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ydk_maliyet">GIRDI!$B$9</definedName>
    <definedName name="ydk_netDefter">GIRDI!$B$15</definedName>
    <definedName name="ydk_fark">MOTOR!$G$20</definedName>
    <definedName name="ydk_fonGec32">MOTOR!$G$21</definedName>
    <definedName name="ydk_ozKaynak298">MOTOR!$G$23</definedName>
    <definedName name="ydk_kararMetni">MOTOR!$G$31</definedName>
    <definedName name="ydk_kararGerekce">MOTOR!$G$32</definedName>
    <definedName name="ydk_maddeAtifMetni">MOTOR!$G$52</definedName>
    <definedName name="ydk_kanitRaporu">MOTOR!$G$53</definedName>
    <definedName name="ydk_kuralYilMatris">KURALLAR!$B$17</definedName>
    <definedName name="ydk_parmakIzi">AYARLAR!$B$19</definedName>
    <definedName name="ydk_senaryoKarsilastirma">SENARYO!$B$11</definedName>
    <definedName name="ydk_yorumSenaryo">SENARYO!$B$12</definedName>
    <definedName name="ydk_duyarlilikSira">SENARYO!$B$19</definedName>
    <definedName name="ydk_yorumDuyarlilik">SENARYO!$B$20</definedName>
    <definedName name="ydk_kuralDegisimSenaryo">SENARYO!$B$22</definedName>
    <definedName name="ydk_yorumKuralDegisim">SENARYO!$B$23</definedName>
    <definedName name="ydk_tahminAralik">SENARYO!$B$32</definedName>
    <definedName name="ydk_yorumTahmin">SENARYO!$B$33</definedName>
    <definedName name="ydk_vakaDurum">VAKALAR!$B$12</definedName>
    <definedName name="ydk_vakaFark">VAKALAR!$B$13</definedName>
    <definedName name="ydk_tolerans">AYARLAR!$B$8</definedName>
    <definedName name="ydk_farkEsik">AYARLAR!$B$9</definedName>
    <definedName name="ydk_senaryoIyi">AYARLAR!$B$10</definedName>
    <definedName name="ydk_senaryoKotu">AYARLAR!$B$11</definedName>
    <definedName name="ydk_oranArtisPuan">AYARLAR!$B$12</definedName>
    <definedName name="ydk_tahminAlt">AYARLAR!$B$13</definedName>
    <definedName name="ydk_tahminUst">AYARLAR!$B$14</definedName>
    <definedName name="ydk_tornadoMaliyet">AYARLAR!$B$15</definedName>
    <definedName name="ydk_tornadoEndeks">AYARLAR!$B$16</definedName>
    <definedName name="ydk_tasarrufCarpan">AYARLAR!$B$17</definedName>
    <definedName name="ydk_yuzdelikOran">AYARLAR!$B$18</definedName>
    <definedName name="ydk_girisBeklenen">AYARLAR!$B$21</definedName>
    <definedName name="ydk_riskDusuk">AYARLAR!$B$22</definedName>
    <definedName name="ydk_riskOrta">AYARLAR!$B$23</definedName>
    <definedName name="ydk_riskYuksek">AYARLAR!$B$24</definedName>
    <definedName name="ydk_kararEsik">AYARLAR!$B$25</definedName>
    <definedName name="ydk_yilTaban">AYARLAR!$B$26</definedName>
    <definedName name="ydk_yuvarMax">AYARLAR!$B$27</definedName>
    <definedName name="vaka_maliyet_1">AYARLAR!$B$28</definedName>
    <definedName name="vaka_endeks_1">AYARLAR!$B$29</definedName>
    <definedName name="vaka_maliyet_2">AYARLAR!$B$30</definedName>
    <definedName name="vaka_endeks_2">AYARLAR!$B$31</definedName>
    <definedName name="vaka_maliyet_3">AYARLAR!$B$32</definedName>
    <definedName name="vaka_endeks_3">AYARLAR!$B$33</definedName>
    <definedName name="ydk_modulT1">PANO!$C$11</definedName>
    <definedName name="ydk_modulT1Yorum">PANO!$D$11</definedName>
    <definedName name="ydk_modulT2">PANO!$C$12</definedName>
    <definedName name="ydk_modulT2Yorum">PANO!$D$12</definedName>
    <definedName name="ydk_modulO1">PANO!$C$13</definedName>
    <definedName name="ydk_modulO1Yorum">PANO!$D$13</definedName>
    <definedName name="ydk_modulO6">PANO!$C$16</definedName>
    <definedName name="ydk_modulO6Yorum">PANO!$D$16</definedName>
    <definedName name="ydk_modulO8">PANO!$C$17</definedName>
    <definedName name="ydk_modulO8Yorum">PANO!$D$17</definedName>
    <definedName name="ydk_modulI2">PANO!$C$20</definedName>
    <definedName name="yd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2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2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left" vertical="center" wrapText="1"/>
    </xf>
    <xf numFmtId="2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1F7A4D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Yeniden değerleme kararını etkiler | Doğru kullanım: Sırayla izleyin | Örnek: demo satırına bakın | Yanlışsa: Fark ve karar bozulur | Kaynak: [Assumption] VUK 298/Ç · Geçici 32</t>
      </text>
    </comment>
    <comment ref="A6" authorId="0" shapeId="0">
      <text>
        <t>Tanım: Adım 2 — Karar | Neden önemli: Yeniden değerleme kararını etkiler | Doğru kullanım: Sırayla izleyin | Örnek: demo satırına bakın | Yanlışsa: Fark ve karar bozulur | Kaynak: [Assumption] VUK 298/Ç · Geçici 32</t>
      </text>
    </comment>
    <comment ref="A7" authorId="0" shapeId="0">
      <text>
        <t>Tanım: Adım 3 — Kanıt | Neden önemli: Yeniden değerleme kararını etkiler | Doğru kullanım: Sırayla izleyin | Örnek: demo satırına bakın | Yanlışsa: Fark ve karar bozulur | Kaynak: [Assumption] VUK 298/Ç · Geçici 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Yeniden değerleme kararını etkiler | Doğru kullanım: Kurumun resmi unvanını yazın. | Örnek: demo satırına bakın | Yanlışsa: Fark ve karar bozulur | Kaynak: [Assumption] VUK 298/Ç · Geçici 32</t>
      </text>
    </comment>
    <comment ref="B7" authorId="0" shapeId="0">
      <text>
        <t>Tanım: Dönem | Neden önemli: Yeniden değerleme kararını etkiler | Doğru kullanım: Vergi dönemi etiketini yazın (ör. 2025). | Örnek: demo satırına bakın | Yanlışsa: Fark ve karar bozulur | Kaynak: [Assumption] VUK 298/Ç · Geçici 32</t>
      </text>
    </comment>
    <comment ref="B8" authorId="0" shapeId="0">
      <text>
        <t>Tanım: Hesap Yılı | Neden önemli: Yeniden değerleme kararını etkiler | Doğru kullanım: 2025, 2026 veya 2027 seçin. | Örnek: demo satırına bakın | Yanlışsa: Fark ve karar bozulur | Kaynak: [Assumption] VUK 298/Ç · Geçici 32</t>
      </text>
    </comment>
    <comment ref="B9" authorId="0" shapeId="0">
      <text>
        <t>Tanım: Maliyet (iktisap) [₺] | Neden önemli: Yeniden değerleme kararını etkiler | Doğru kullanım: Sabit kıymetin iktisap maliyetini TL girin. | Örnek: demo satırına bakın | Yanlışsa: Fark ve karar bozulur | Kaynak: [Assumption] VUK 298/Ç · Geçici 32</t>
      </text>
    </comment>
    <comment ref="B10" authorId="0" shapeId="0">
      <text>
        <t>Tanım: Birikmiş Amortisman [₺] | Neden önemli: Yeniden değerleme kararını etkiler | Doğru kullanım: Birikmiş amortisman tutarını TL girin. | Örnek: demo satırına bakın | Yanlışsa: Fark ve karar bozulur | Kaynak: [Assumption] VUK 298/Ç · Geçici 32</t>
      </text>
    </comment>
    <comment ref="B11" authorId="0" shapeId="0">
      <text>
        <t>Tanım: Endeks Oranı [çarpan] | Neden önemli: Yeniden değerleme kararını etkiler | Doğru kullanım: Yeniden değerleme endeks çarpanını girin (ör. 1,45). | Örnek: demo satırına bakın | Yanlışsa: Fark ve karar bozulur | Kaynak: [Assumption] VUK 298/Ç · Geçici 32</t>
      </text>
    </comment>
    <comment ref="B12" authorId="0" shapeId="0">
      <text>
        <t>Tanım: Kalan Ömür [yıl] | Neden önemli: Yeniden değerleme kararını etkiler | Doğru kullanım: Kalan ekonomik ömrü yıl olarak girin. | Örnek: demo satırına bakın | Yanlışsa: Fark ve karar bozulur | Kaynak: [Assumption] VUK 298/Ç · Geçici 32</t>
      </text>
    </comment>
    <comment ref="B13" authorId="0" shapeId="0">
      <text>
        <t>Tanım: Öncelik Yorumu (A/B) | Neden önemli: Yeniden değerleme kararını etkiler | Doğru kullanım: A=298/Ç öncelik, B=Geç.32 öncelik. | Örnek: demo satırına bakın | Yanlışsa: Fark ve karar bozulur | Kaynak: [Assumption] VUK 298/Ç · Geçici 32</t>
      </text>
    </comment>
    <comment ref="A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Yeniden değerleme kararını etkiler | Doğru kullanım: Raporu hazırlayan kişinin adını yazın. | Örnek: demo satırına bakın | Yanlışsa: Fark ve karar bozulur | Kaynak: [Assumption] VUK 298/Ç · Geçici 32</t>
      </text>
    </comment>
    <comment ref="B29" authorId="0" shapeId="0">
      <text>
        <t>Tanım: Onay | Neden önemli: Yeniden değerleme kararını etkiler | Doğru kullanım: Onaylayan kişinin adını yazın. | Örnek: demo satırına bakın | Yanlışsa: Fark ve karar bozulur | Kaynak: [Assumption] VUK 298/Ç · Geçici 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maliyet?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Fark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Öncelik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6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6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6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6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6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7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7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7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7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7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7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8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8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8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8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8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8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9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9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9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9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9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9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10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10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10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10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10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10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  <comment ref="C6" authorId="0" shapeId="0">
      <text>
        <t>Tanım: Öncelik | Neden önemli: Yeniden değerleme kararını etkiler | Doğru kullanım: 298/Ç veya Geç.32 önceliği | Örnek: demo satırına bakın | Yanlışsa: Fark ve karar bozulur | Kaynak: [Assumption] VUK 298/Ç · Geçici 32</t>
      </text>
    </comment>
    <comment ref="E6" authorId="0" shapeId="0">
      <text>
        <t>Tanım: Seçim | Neden önemli: Yeniden değerleme kararını etkiler | Doğru kullanım: Evet veya Hayır | Örnek: demo satırına bakın | Yanlışsa: Fark ve karar bozulur | Kaynak: [Assumption] VUK 298/Ç · Geçici 32</t>
      </text>
    </comment>
    <comment ref="A7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  <comment ref="C7" authorId="0" shapeId="0">
      <text>
        <t>Tanım: Öncelik | Neden önemli: Yeniden değerleme kararını etkiler | Doğru kullanım: 298/Ç veya Geç.32 önceliği | Örnek: demo satırına bakın | Yanlışsa: Fark ve karar bozulur | Kaynak: [Assumption] VUK 298/Ç · Geçici 32</t>
      </text>
    </comment>
    <comment ref="E7" authorId="0" shapeId="0">
      <text>
        <t>Tanım: Seçim | Neden önemli: Yeniden değerleme kararını etkiler | Doğru kullanım: Evet veya Hayır | Örnek: demo satırına bakın | Yanlışsa: Fark ve karar bozulur | Kaynak: [Assumption] VUK 298/Ç · Geçici 32</t>
      </text>
    </comment>
    <comment ref="A8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Yeniden değerleme kararını etkiler | Doğru kullanım: Aktif hesap yılı | Örnek: demo satırına bakın | Yanlışsa: Fark ve karar bozulur | Kaynak: [Assumption] VUK 298/Ç · Geçici 32</t>
      </text>
    </comment>
    <comment ref="B7" authorId="0" shapeId="0">
      <text>
        <t>Tanım: raporTarihi | Neden önemli: Yeniden değerleme kararını etkiler | Doğru kullanım: Rapor tarihi (sabit) | Örnek: demo satırına bakın | Yanlışsa: Fark ve karar bozulur | Kaynak: [Assumption] VUK 298/Ç · Geçici 32</t>
      </text>
    </comment>
    <comment ref="B8" authorId="0" shapeId="0">
      <text>
        <t>Tanım: ydk_tolerans | Neden önemli: Yeniden değerleme kararını etkiler | Doğru kullanım: Vaka tutarlılık toleransı | Örnek: demo satırına bakın | Yanlışsa: Fark ve karar bozulur | Kaynak: [Assumption] VUK 298/Ç · Geçici 32</t>
      </text>
    </comment>
    <comment ref="B9" authorId="0" shapeId="0">
      <text>
        <t>Tanım: ydk_farkEsik | Neden önemli: Yeniden değerleme kararını etkiler | Doğru kullanım: PANO fark uyarı eşiği | Örnek: demo satırına bakın | Yanlışsa: Fark ve karar bozulur | Kaynak: [Assumption] VUK 298/Ç · Geçici 32</t>
      </text>
    </comment>
    <comment ref="B10" authorId="0" shapeId="0">
      <text>
        <t>Tanım: ydk_senaryoIyi | Neden önemli: Yeniden değerleme kararını etkiler | Doğru kullanım: İyimser maliyet çarpanı | Örnek: demo satırına bakın | Yanlışsa: Fark ve karar bozulur | Kaynak: [Assumption] VUK 298/Ç · Geçici 32</t>
      </text>
    </comment>
    <comment ref="B11" authorId="0" shapeId="0">
      <text>
        <t>Tanım: ydk_senaryoKotu | Neden önemli: Yeniden değerleme kararını etkiler | Doğru kullanım: Kötümser maliyet çarpanı | Örnek: demo satırına bakın | Yanlışsa: Fark ve karar bozulur | Kaynak: [Assumption] VUK 298/Ç · Geçici 32</t>
      </text>
    </comment>
    <comment ref="B12" authorId="0" shapeId="0">
      <text>
        <t>Tanım: ydk_oranArtisPuan | Neden önemli: Yeniden değerleme kararını etkiler | Doğru kullanım: M-SEN fon +1 puan | Örnek: demo satırına bakın | Yanlışsa: Fark ve karar bozulur | Kaynak: [Assumption] VUK 298/Ç · Geçici 32</t>
      </text>
    </comment>
    <comment ref="B13" authorId="0" shapeId="0">
      <text>
        <t>Tanım: ydk_tahminAlt | Neden önemli: Yeniden değerleme kararını etkiler | Doğru kullanım: Tahmin alt bant | Örnek: demo satırına bakın | Yanlışsa: Fark ve karar bozulur | Kaynak: [Assumption] VUK 298/Ç · Geçici 32</t>
      </text>
    </comment>
    <comment ref="B14" authorId="0" shapeId="0">
      <text>
        <t>Tanım: ydk_tahminUst | Neden önemli: Yeniden değerleme kararını etkiler | Doğru kullanım: Tahmin üst bant | Örnek: demo satırına bakın | Yanlışsa: Fark ve karar bozulur | Kaynak: [Assumption] VUK 298/Ç · Geçici 32</t>
      </text>
    </comment>
    <comment ref="B15" authorId="0" shapeId="0">
      <text>
        <t>Tanım: ydk_tornadoMaliyet | Neden önemli: Yeniden değerleme kararını etkiler | Doğru kullanım: Tornado maliyet şoku | Örnek: demo satırına bakın | Yanlışsa: Fark ve karar bozulur | Kaynak: [Assumption] VUK 298/Ç · Geçici 32</t>
      </text>
    </comment>
    <comment ref="B16" authorId="0" shapeId="0">
      <text>
        <t>Tanım: ydk_tornadoEndeks | Neden önemli: Yeniden değerleme kararını etkiler | Doğru kullanım: Tornado endeks şoku | Örnek: demo satırına bakın | Yanlışsa: Fark ve karar bozulur | Kaynak: [Assumption] VUK 298/Ç · Geçici 32</t>
      </text>
    </comment>
    <comment ref="B17" authorId="0" shapeId="0">
      <text>
        <t>Tanım: ydk_tasarrufCarpan | Neden önemli: Yeniden değerleme kararını etkiler | Doğru kullanım: Vergi tasarrufu ağırlığı | Örnek: demo satırına bakın | Yanlışsa: Fark ve karar bozulur | Kaynak: [Assumption] VUK 298/Ç · Geçici 32</t>
      </text>
    </comment>
    <comment ref="B18" authorId="0" shapeId="0">
      <text>
        <t>Tanım: ydk_yuzdelikOran | Neden önemli: Yeniden değerleme kararını etkiler | Doğru kullanım: Yüzdelik P90 | Örnek: demo satırına bakın | Yanlışsa: Fark ve karar bozulur | Kaynak: [Assumption] VUK 298/Ç · Geçici 32</t>
      </text>
    </comment>
    <comment ref="B19" authorId="0" shapeId="0">
      <text>
        <t>Tanım: ydk_parmakIzi | Neden önemli: Yeniden değerleme kararını etkiler | Doğru kullanım: Dosya parmak izi etiketi | Örnek: demo satırına bakın | Yanlışsa: Fark ve karar bozulur | Kaynak: [Assumption] VUK 298/Ç · Geçici 32</t>
      </text>
    </comment>
    <comment ref="B20" authorId="0" shapeId="0">
      <text>
        <t>Tanım: dosya_surumu | Neden önemli: Yeniden değerleme kararını etkiler | Doğru kullanım: Ürün sürümü | Örnek: demo satırına bakın | Yanlışsa: Fark ve karar bozulur | Kaynak: [Assumption] VUK 298/Ç · Geçici 32</t>
      </text>
    </comment>
    <comment ref="B21" authorId="0" shapeId="0">
      <text>
        <t>Tanım: ydk_girisBeklenen | Neden önemli: Yeniden değerleme kararını etkiler | Doğru kullanım: Zorunlu giriş alanı sayısı | Örnek: demo satırına bakın | Yanlışsa: Fark ve karar bozulur | Kaynak: [Assumption] VUK 298/Ç · Geçici 32</t>
      </text>
    </comment>
    <comment ref="B22" authorId="0" shapeId="0">
      <text>
        <t>Tanım: ydk_riskDusuk | Neden önemli: Yeniden değerleme kararını etkiler | Doğru kullanım: Düşük risk skoru | Örnek: demo satırına bakın | Yanlışsa: Fark ve karar bozulur | Kaynak: [Assumption] VUK 298/Ç · Geçici 32</t>
      </text>
    </comment>
    <comment ref="B23" authorId="0" shapeId="0">
      <text>
        <t>Tanım: ydk_riskOrta | Neden önemli: Yeniden değerleme kararını etkiler | Doğru kullanım: Orta risk skoru | Örnek: demo satırına bakın | Yanlışsa: Fark ve karar bozulur | Kaynak: [Assumption] VUK 298/Ç · Geçici 32</t>
      </text>
    </comment>
    <comment ref="B24" authorId="0" shapeId="0">
      <text>
        <t>Tanım: ydk_riskYuksek | Neden önemli: Yeniden değerleme kararını etkiler | Doğru kullanım: Yüksek risk skoru | Örnek: demo satırına bakın | Yanlışsa: Fark ve karar bozulur | Kaynak: [Assumption] VUK 298/Ç · Geçici 32</t>
      </text>
    </comment>
    <comment ref="B25" authorId="0" shapeId="0">
      <text>
        <t>Tanım: ydk_kararEsik | Neden önemli: Yeniden değerleme kararını etkiler | Doğru kullanım: GO/REVIEW fayda fark eşiği | Örnek: demo satırına bakın | Yanlışsa: Fark ve karar bozulur | Kaynak: [Assumption] VUK 298/Ç · Geçici 32</t>
      </text>
    </comment>
    <comment ref="B26" authorId="0" shapeId="0">
      <text>
        <t>Tanım: ydk_yilTaban | Neden önemli: Yeniden değerleme kararını etkiler | Doğru kullanım: CHOOSE yıl tabanı (hesapYili−taban) | Örnek: demo satırına bakın | Yanlışsa: Fark ve karar bozulur | Kaynak: [Assumption] VUK 298/Ç · Geçici 32</t>
      </text>
    </comment>
    <comment ref="B27" authorId="0" shapeId="0">
      <text>
        <t>Tanım: ydk_yuvarMax | Neden önemli: Yeniden değerleme kararını etkiler | Doğru kullanım: ROUND basamak tavanı | Örnek: demo satırına bakın | Yanlışsa: Fark ve karar bozulur | Kaynak: [Assumption] VUK 298/Ç · Geçici 32</t>
      </text>
    </comment>
    <comment ref="B28" authorId="0" shapeId="0">
      <text>
        <t>Tanım: vaka_maliyet_1 | Neden önemli: Yeniden değerleme kararını etkiler | Doğru kullanım: Vaka1 maliyet | Örnek: demo satırına bakın | Yanlışsa: Fark ve karar bozulur | Kaynak: [Assumption] VUK 298/Ç · Geçici 32</t>
      </text>
    </comment>
    <comment ref="B29" authorId="0" shapeId="0">
      <text>
        <t>Tanım: vaka_endeks_1 | Neden önemli: Yeniden değerleme kararını etkiler | Doğru kullanım: Vaka1 endeks | Örnek: demo satırına bakın | Yanlışsa: Fark ve karar bozulur | Kaynak: [Assumption] VUK 298/Ç · Geçici 32</t>
      </text>
    </comment>
    <comment ref="B30" authorId="0" shapeId="0">
      <text>
        <t>Tanım: vaka_maliyet_2 | Neden önemli: Yeniden değerleme kararını etkiler | Doğru kullanım: Vaka2 maliyet | Örnek: demo satırına bakın | Yanlışsa: Fark ve karar bozulur | Kaynak: [Assumption] VUK 298/Ç · Geçici 32</t>
      </text>
    </comment>
    <comment ref="B31" authorId="0" shapeId="0">
      <text>
        <t>Tanım: vaka_endeks_2 | Neden önemli: Yeniden değerleme kararını etkiler | Doğru kullanım: Vaka2 endeks | Örnek: demo satırına bakın | Yanlışsa: Fark ve karar bozulur | Kaynak: [Assumption] VUK 298/Ç · Geçici 32</t>
      </text>
    </comment>
    <comment ref="B32" authorId="0" shapeId="0">
      <text>
        <t>Tanım: vaka_maliyet_3 | Neden önemli: Yeniden değerleme kararını etkiler | Doğru kullanım: Vaka3 maliyet | Örnek: demo satırına bakın | Yanlışsa: Fark ve karar bozulur | Kaynak: [Assumption] VUK 298/Ç · Geçici 32</t>
      </text>
    </comment>
    <comment ref="B33" authorId="0" shapeId="0">
      <text>
        <t>Tanım: vaka_endeks_3 | Neden önemli: Yeniden değerleme kararını etkiler | Doğru kullanım: Vaka3 endeks | Örnek: demo satırına bakın | Yanlışsa: Fark ve karar bozulur | Kaynak: [Assumption] VUK 298/Ç · Geçici 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Row],[kural_id]]="","",IFERROR(CHOOSE(MAX(1,MIN(3,IF(OR(hesapYili="",hesapYili=0),1,hesapYili-ydk_yilTaban))),tblKurallar[[#This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Row],[fark]])&lt;=ydk_tolerans,"TUTARLI","KIRIK"),"KIRIK"))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Maliyet"/>
    <tableColumn id="3" name="Birikmiş"/>
    <tableColumn id="4" name="Endeks"/>
    <tableColumn id="5" name="Kalan Ömür"/>
    <tableColumn id="6" name="Öncelik"/>
    <tableColumn id="7" name="Fark">
      <calculatedColumnFormula>=IF(tblOrnek[[#This Row],[Senaryo]]="","",IFERROR(ROUND(MAX(0,tblOrnek[[#This Row],[Maliyet]]*(tblOrnek[[#This Row],[Endeks]]-1)),2),0))</calculatedColumnFormula>
    </tableColumn>
    <tableColumn id="8" name="Fon Geç.32">
      <calculatedColumnFormula>=IF(tblOrnek[[#This Row],[Senaryo]]="","",IFERROR(ROUND(tblOrnek[[#This Row],[Fark]]*INDEX(tblKurallar[deger_2025],MATCH("YDK-002",tblKurallar[kural_id],0)),2),0))</calculatedColumnFormula>
    </tableColumn>
    <tableColumn id="9" name="Özkaynak 298">
      <calculatedColumnFormula>=IF(tblOrnek[[#This Row],[Senaryo]]="","",IFERROR(tblOrnek[[#This Row],[Fark]]-tblOrnek[[#This Row],[Fark]]*INDEX(tblKurallar[deger_2025],MATCH("YDK-004",tblKurallar[kural_id],0)),0))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5" t="inlineStr">
        <is>
          <t>EXCELARŞİV KARAR SİSTEMİ v15.1 — ÜRETİM REFERANSI</t>
        </is>
      </c>
    </row>
    <row r="3" ht="24" customHeight="1">
      <c r="A3" s="176" t="inlineStr">
        <is>
          <t>Konu</t>
        </is>
      </c>
      <c r="B3" s="176" t="inlineStr">
        <is>
          <t>Bağlayıcı Standart</t>
        </is>
      </c>
    </row>
    <row r="4">
      <c r="A4" s="177" t="inlineStr">
        <is>
          <t>Amaç</t>
        </is>
      </c>
      <c r="B4" s="178" t="inlineStr">
        <is>
          <t>Kanıta dayalı, hatada kapalı çalışan Excel üretim ve denetim sistemi</t>
        </is>
      </c>
    </row>
    <row r="5">
      <c r="A5" s="177" t="inlineStr">
        <is>
          <t>Öncelik</t>
        </is>
      </c>
      <c r="B5" s="178" t="inlineStr">
        <is>
          <t>Kullanıcının açık iş talebi ve gerçek kullanım senaryosu</t>
        </is>
      </c>
    </row>
    <row r="6">
      <c r="A6" s="177" t="inlineStr">
        <is>
          <t>Ana akış</t>
        </is>
      </c>
      <c r="B6" s="178" t="inlineStr">
        <is>
          <t>Uygunluk → Yönetişim → Sözleşmeler → Üretim → Test → Kanıt → Kullanıcı Kabulü → Yayın</t>
        </is>
      </c>
    </row>
    <row r="7">
      <c r="A7" s="177" t="inlineStr">
        <is>
          <t>Yayın ilkesi</t>
        </is>
      </c>
      <c r="B7" s="178" t="inlineStr">
        <is>
          <t>Üst aşamada hata varsa alt aşama GEÇTİ üretilemez</t>
        </is>
      </c>
    </row>
    <row r="8">
      <c r="A8" s="177" t="inlineStr">
        <is>
          <t>Kullanıcı kabulü</t>
        </is>
      </c>
      <c r="B8" s="178" t="inlineStr">
        <is>
          <t>Excel masaüstü görünümü test edilmediyse DIŞ_KABUL_GEREKLİ</t>
        </is>
      </c>
    </row>
    <row r="9">
      <c r="A9" s="177" t="inlineStr">
        <is>
          <t>Nihai yayın</t>
        </is>
      </c>
      <c r="B9" s="178" t="inlineStr">
        <is>
          <t>Yalnız uygulanabilir modüller GEÇTİ veya gerekçeli UYGULANMAZ</t>
        </is>
      </c>
    </row>
    <row r="10">
      <c r="A10" s="177" t="inlineStr">
        <is>
          <t>Ticari ayrım</t>
        </is>
      </c>
      <c r="B10" s="178" t="inlineStr">
        <is>
          <t>Ekonomik olarak savunulabilir fiyat, gerçek pazar kabulü ile aynı değildir</t>
        </is>
      </c>
    </row>
    <row r="11">
      <c r="A11" s="177" t="inlineStr">
        <is>
          <t>Karmaşıklık</t>
        </is>
      </c>
      <c r="B11" s="178" t="inlineStr">
        <is>
          <t>Karar değeri, eklenen karmaşıklığın maliyetinden büyük olmalıdır</t>
        </is>
      </c>
    </row>
    <row r="12">
      <c r="A12" s="177" t="inlineStr">
        <is>
          <t>Excel sınırı</t>
        </is>
      </c>
      <c r="B12" s="178" t="inlineStr">
        <is>
          <t>Veritabanı, kurumsal yetkilendirme, değiştirilemez kayıt sistemi veya gerçek zamanlı olay platformu değildir</t>
        </is>
      </c>
    </row>
    <row r="13">
      <c r="A13" s="177" t="inlineStr">
        <is>
          <t>Dil standardı</t>
        </is>
      </c>
      <c r="B13" s="178" t="inlineStr">
        <is>
          <t>Kullanıcıya görünen tüm sayfa, tablo, başlık, açıklama, uyarı ve karar metinleri saf Türkçe olmalıdır</t>
        </is>
      </c>
    </row>
    <row r="14">
      <c r="A14" s="177" t="inlineStr">
        <is>
          <t>Muhasebe standardı</t>
        </is>
      </c>
      <c r="B14" s="178" t="inlineStr">
        <is>
          <t>Finansal ürünlerde Türkiye Tekdüzen Hesap Planı ve Türk muhasebe kullanım alışkanlıkları esas alınır</t>
        </is>
      </c>
    </row>
    <row r="15">
      <c r="A15" s="177" t="inlineStr">
        <is>
          <t>Görsel standart</t>
        </is>
      </c>
      <c r="B15" s="178" t="inlineStr">
        <is>
          <t>Her sayfa başlıklı, renk kodlu, sıkı kolon düzenli ve premium kurumsal görünümde olmalıdır</t>
        </is>
      </c>
    </row>
    <row r="16">
      <c r="A16" s="177" t="inlineStr">
        <is>
          <t>Grafik standardı</t>
        </is>
      </c>
      <c r="B16" s="178" t="inlineStr">
        <is>
          <t>Grafikler karar üretmeli; dekoratif, 3B, anlamsız renkli veya varsayılan Excel grafiği kullanılamaz</t>
        </is>
      </c>
    </row>
    <row r="17">
      <c r="A17" s="177" t="inlineStr">
        <is>
          <t>Hata standardı</t>
        </is>
      </c>
      <c r="B17" s="178" t="inlineStr">
        <is>
          <t>#AD? / #BAŞV! / #DEĞER! / #SAYI/0! / #YOK gibi hatalar GEÇTİ sonucuyla birlikte bulunamaz</t>
        </is>
      </c>
    </row>
    <row r="18">
      <c r="A18" s="177" t="inlineStr">
        <is>
          <t>Karar standardı</t>
        </is>
      </c>
      <c r="B18" s="178" t="inlineStr">
        <is>
          <t>Her kritik çıktı: ne oldu, neden oldu, parasal etki, ne yapılmalı, ne zamana kadar sorularını cevaplar</t>
        </is>
      </c>
    </row>
    <row r="19">
      <c r="A19" s="177" t="inlineStr">
        <is>
          <t>Satış standardı</t>
        </is>
      </c>
      <c r="B19" s="178" t="inlineStr">
        <is>
          <t>Ürün 5 saniyede anlaşılmalı; pahalı problemi, ekonomik sonucu, kanıtı ve satın alma gerekçesini göstermelidir</t>
        </is>
      </c>
    </row>
    <row r="20">
      <c r="A20" s="177" t="inlineStr">
        <is>
          <t>Güven standardı</t>
        </is>
      </c>
      <c r="B20" s="178" t="inlineStr">
        <is>
          <t>Kanıtsız 'premium', 'kusursuz', 'sıfır hata' veya yüksek fiyat iddiası kullanılamaz</t>
        </is>
      </c>
    </row>
    <row r="21">
      <c r="A21" s="177" t="inlineStr">
        <is>
          <t>Kaynak</t>
        </is>
      </c>
      <c r="B21" s="178" t="inlineStr">
        <is>
          <t>Teknik Python çekirdeği 99_TEKNIK_KAYNAK sayfasında saklanır; kullanıcı arayüzü değildir</t>
        </is>
      </c>
    </row>
    <row r="22">
      <c r="A22" s="177" t="inlineStr">
        <is>
          <t>Bağlayıcı standart</t>
        </is>
      </c>
      <c r="B22" s="178" t="inlineStr">
        <is>
          <t>Teknik kaynak içindeki üretim sözleşmesi + bu çalışma kitabındaki Türkçe operasyon standartları</t>
        </is>
      </c>
    </row>
    <row r="23">
      <c r="A23" s="177" t="inlineStr">
        <is>
          <t>Çıktı disiplini</t>
        </is>
      </c>
      <c r="B23" s="178" t="inlineStr">
        <is>
          <t>Kanıtsız GEÇTİ / NİHAİ / TİCARİ / PAZAR_DOĞRULANDI statüsü yasaktır</t>
        </is>
      </c>
    </row>
    <row r="24">
      <c r="A24" s="177" t="inlineStr">
        <is>
          <t>Uyarlanabilirlik</t>
        </is>
      </c>
      <c r="B24" s="178" t="inlineStr">
        <is>
          <t>Gereksiz modül yalnız prestij amacıyla eklenmez</t>
        </is>
      </c>
    </row>
    <row r="26" ht="16" customHeight="1">
      <c r="A26" s="179" t="inlineStr">
        <is>
          <t>TEK KAYNAK MİMARİSİ</t>
        </is>
      </c>
      <c r="B26" s="179" t="inlineStr">
        <is>
          <t>İKİ DOSYALI / TEK SİSTEM</t>
        </is>
      </c>
    </row>
    <row r="27" ht="28" customHeight="1">
      <c r="A27" s="178" t="inlineStr">
        <is>
          <t>MASTER Excel</t>
        </is>
      </c>
      <c r="B27" s="17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8" t="inlineStr">
        <is>
          <t>Runtime Python</t>
        </is>
      </c>
      <c r="B28" s="178" t="inlineStr">
        <is>
          <t>EXCELARSIV_DECISION_OS_V15_1_RUNTIME_KERNEL.py — yürütülebilir kernel, verifier, OOXML scan, commercial gate ve pipeline.</t>
        </is>
      </c>
    </row>
    <row r="29">
      <c r="A29" s="178" t="inlineStr">
        <is>
          <t>Python SHA-256</t>
        </is>
      </c>
      <c r="B29" s="178" t="inlineStr">
        <is>
          <t>babe066ab599199123e53d01944bcd9d75648a579ade69ab9303dd675962f481</t>
        </is>
      </c>
    </row>
    <row r="30">
      <c r="A30" s="178" t="inlineStr">
        <is>
          <t>Sürüm Eşleşmesi</t>
        </is>
      </c>
      <c r="B30" s="178" t="inlineStr">
        <is>
          <t>Her iki dosya v15.1 sistemine aittir. Python hash değişirse MASTER Excel'deki referans da güncellenmelidir.</t>
        </is>
      </c>
    </row>
    <row r="31" ht="28" customHeight="1">
      <c r="A31" s="178" t="inlineStr">
        <is>
          <t>Sahte PASS Yasağı</t>
        </is>
      </c>
      <c r="B31" s="178" t="inlineStr">
        <is>
          <t>Kanıt yoksa PASS yok; hata=FAIL, ölçülemiyorsa=BLOCKED, Excel GUI gerekiyorsa=HARİCİ KABUL GEREKLİ.</t>
        </is>
      </c>
    </row>
    <row r="32">
      <c r="A32" s="178" t="inlineStr">
        <is>
          <t>Dil</t>
        </is>
      </c>
      <c r="B32" s="178" t="inlineStr">
        <is>
          <t>Kullanıcı yüzeyi safkan Türkçe; teknik kavramların Türkçe karşılığı ana terimdir.</t>
        </is>
      </c>
    </row>
    <row r="33">
      <c r="A33" s="178" t="inlineStr">
        <is>
          <t>Muhasebe</t>
        </is>
      </c>
      <c r="B33" s="17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82" t="inlineStr">
        <is>
          <t>☰ PANO</t>
        </is>
      </c>
    </row>
    <row r="2">
      <c r="B2" s="98" t="inlineStr">
        <is>
          <t>YENIDEN DEĞERLEME KOMUTA MERKEZI (298/Ç + GEÇ.32)</t>
        </is>
      </c>
      <c r="L2" s="99" t="inlineStr">
        <is>
          <t>Dönem: 2026 / Tam ▼</t>
        </is>
      </c>
      <c r="M2" s="100" t="inlineStr">
        <is>
          <t>★ DOĞRULANMIŞ</t>
        </is>
      </c>
    </row>
    <row r="3">
      <c r="B3" s="101" t="inlineStr">
        <is>
          <t>Hedef Kullanıcı: SMMM, YMM, mali işler · 2026 Q3 Denetim Standardı</t>
        </is>
      </c>
    </row>
    <row r="5">
      <c r="B5" s="102" t="inlineStr">
        <is>
          <t>FARK/MALIYET</t>
        </is>
      </c>
      <c r="C5" s="103" t="n"/>
      <c r="D5" s="104" t="inlineStr">
        <is>
          <t>KONSOLİDE</t>
        </is>
      </c>
      <c r="E5" s="105" t="inlineStr">
        <is>
          <t>FON/FARK</t>
        </is>
      </c>
      <c r="F5" s="103" t="n"/>
      <c r="G5" s="106" t="inlineStr">
        <is>
          <t>KONTROL</t>
        </is>
      </c>
      <c r="H5" s="102" t="inlineStr">
        <is>
          <t>NET OPERASYONEL MARJ</t>
        </is>
      </c>
      <c r="I5" s="103" t="n"/>
      <c r="J5" s="107" t="inlineStr">
        <is>
          <t>GÜVENLİ</t>
        </is>
      </c>
      <c r="K5" s="108" t="inlineStr">
        <is>
          <t>SİSTEM GÜVEN SKORU</t>
        </is>
      </c>
      <c r="L5" s="103" t="n"/>
      <c r="M5" s="104" t="inlineStr">
        <is>
          <t>DENETLENDİ</t>
        </is>
      </c>
    </row>
    <row r="6">
      <c r="B6" s="109" t="n"/>
      <c r="C6" s="103" t="n"/>
      <c r="D6" s="103" t="n"/>
      <c r="E6" s="110" t="n"/>
      <c r="F6" s="103" t="n"/>
      <c r="G6" s="103" t="n"/>
      <c r="H6" s="109" t="n"/>
      <c r="I6" s="103" t="n"/>
      <c r="J6" s="103" t="n"/>
      <c r="K6" s="111" t="n"/>
      <c r="L6" s="103" t="n"/>
      <c r="M6" s="103" t="n"/>
    </row>
    <row r="7">
      <c r="B7" s="199">
        <f>GİRDİLER!E17</f>
        <v/>
      </c>
      <c r="C7" s="103" t="n"/>
      <c r="D7" s="103" t="n"/>
      <c r="E7" s="200">
        <f>B7*0.22</f>
        <v/>
      </c>
      <c r="F7" s="103" t="n"/>
      <c r="G7" s="103" t="n"/>
      <c r="H7" s="199">
        <f>B7-E7</f>
        <v/>
      </c>
      <c r="I7" s="103" t="n"/>
      <c r="J7" s="103" t="n"/>
      <c r="K7" s="114">
        <f>EĞER(E7&gt;0; YUVARLA(B7/E7; 2); 0)</f>
        <v/>
      </c>
      <c r="L7" s="103" t="n"/>
      <c r="M7" s="103" t="n"/>
    </row>
    <row r="8">
      <c r="B8" s="109" t="n"/>
      <c r="C8" s="103" t="n"/>
      <c r="D8" s="103" t="n"/>
      <c r="E8" s="110" t="n"/>
      <c r="F8" s="103" t="n"/>
      <c r="G8" s="103" t="n"/>
      <c r="H8" s="109" t="n"/>
      <c r="I8" s="103" t="n"/>
      <c r="J8" s="103" t="n"/>
      <c r="K8" s="111" t="n"/>
      <c r="L8" s="103" t="n"/>
      <c r="M8" s="103" t="n"/>
    </row>
    <row r="9">
      <c r="B9" s="115" t="inlineStr">
        <is>
          <t>↑ %14.2 konsolide canlı veri bağlantısı</t>
        </is>
      </c>
      <c r="C9" s="103" t="n"/>
      <c r="D9" s="103" t="n"/>
      <c r="E9" s="116" t="inlineStr">
        <is>
          <t>● 8 Kalem nakit karşılığı: bloke</t>
        </is>
      </c>
      <c r="F9" s="103" t="n"/>
      <c r="G9" s="103" t="n"/>
      <c r="H9" s="115" t="inlineStr">
        <is>
          <t>██████████░░░░░ %78.0 NET MARJ</t>
        </is>
      </c>
      <c r="I9" s="103" t="n"/>
      <c r="J9" s="103" t="n"/>
      <c r="K9" s="117" t="inlineStr">
        <is>
          <t>✓ İDEAL karşılama rasyosu</t>
        </is>
      </c>
      <c r="L9" s="103" t="n"/>
      <c r="M9" s="103" t="n"/>
    </row>
    <row r="11">
      <c r="B11" s="96" t="inlineStr">
        <is>
          <t>YENIDEN DEĞERLEME KOMUTA MERKEZI (298/Ç + GEÇ.32) — DÖNEMSEL İCRA VE PROJEKSİYON</t>
        </is>
      </c>
      <c r="F11" s="118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Hacim vs. Operasyonel Maliyet ve Net Kâr Eğilimi</t>
        </is>
      </c>
      <c r="H12" s="95" t="inlineStr">
        <is>
          <t>Anlık Hesaplama Sonuçları, Dinamik Formül Çıktıları ve Durum Puanlaması</t>
        </is>
      </c>
    </row>
    <row r="14">
      <c r="B14" s="119" t="inlineStr">
        <is>
          <t>Dönem</t>
        </is>
      </c>
      <c r="C14" s="119" t="inlineStr">
        <is>
          <t>Aktif Hacim</t>
        </is>
      </c>
      <c r="D14" s="119" t="inlineStr">
        <is>
          <t>Maliyet/Yük</t>
        </is>
      </c>
      <c r="E14" s="119" t="inlineStr">
        <is>
          <t>Hedef</t>
        </is>
      </c>
      <c r="H14" s="120" t="inlineStr">
        <is>
          <t>PARAMETRE / KALEM</t>
        </is>
      </c>
      <c r="I14" s="120" t="inlineStr">
        <is>
          <t>ANA TUTAR</t>
        </is>
      </c>
      <c r="J14" s="120" t="inlineStr">
        <is>
          <t>FARK / MARJ</t>
        </is>
      </c>
      <c r="K14" s="120" t="inlineStr">
        <is>
          <t>VADE</t>
        </is>
      </c>
      <c r="L14" s="120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21" t="inlineStr">
        <is>
          <t>Dönemlik Kümülatif Bakiye</t>
        </is>
      </c>
      <c r="I15" s="201">
        <f>B7*0.45</f>
        <v/>
      </c>
      <c r="J15" s="202">
        <f>B7*0.05</f>
        <v/>
      </c>
      <c r="K15" s="123" t="inlineStr">
        <is>
          <t>12 Ay</t>
        </is>
      </c>
      <c r="L15" s="107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21" t="inlineStr">
        <is>
          <t>Kritik Eşik Güvenlik Tamponu</t>
        </is>
      </c>
      <c r="I16" s="201">
        <f>B7*0.30</f>
        <v/>
      </c>
      <c r="J16" s="202">
        <f>B7*0.03</f>
        <v/>
      </c>
      <c r="K16" s="123" t="inlineStr">
        <is>
          <t>24 Ay</t>
        </is>
      </c>
      <c r="L16" s="104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21" t="inlineStr">
        <is>
          <t>Operasyonel Net Fark</t>
        </is>
      </c>
      <c r="I17" s="201">
        <f>B7*0.15</f>
        <v/>
      </c>
      <c r="J17" s="202">
        <f>B7*0.02</f>
        <v/>
      </c>
      <c r="K17" s="123" t="inlineStr">
        <is>
          <t>8 Ay</t>
        </is>
      </c>
      <c r="L17" s="124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21" t="inlineStr">
        <is>
          <t>Rezerv ve Likit Dağılım</t>
        </is>
      </c>
      <c r="I18" s="201">
        <f>B7*0.10</f>
        <v/>
      </c>
      <c r="J18" s="202">
        <f>B7*0.01</f>
        <v/>
      </c>
      <c r="K18" s="123" t="inlineStr">
        <is>
          <t>16 Ay</t>
        </is>
      </c>
      <c r="L18" s="107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25" t="inlineStr">
        <is>
          <t>KONSOLİDE SİSTEM TOPLAMI</t>
        </is>
      </c>
      <c r="I19" s="203">
        <f>TOPLA(I15:I18)</f>
        <v/>
      </c>
      <c r="J19" s="204">
        <f>TOPLA(J15:J18)</f>
        <v/>
      </c>
      <c r="K19" s="128" t="inlineStr"/>
      <c r="L19" s="129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2">
      <c r="B22" s="130" t="inlineStr">
        <is>
          <t>KONSOLİDE PAY VE AĞIRLIK</t>
        </is>
      </c>
      <c r="F22" s="130" t="inlineStr">
        <is>
          <t>LİKİDİTE RİSKİ &amp; ERKEN UYARI SİNYALLERİ</t>
        </is>
      </c>
      <c r="K22" s="131" t="inlineStr">
        <is>
          <t>KARAR MOTORU</t>
        </is>
      </c>
      <c r="L22" s="132" t="n"/>
      <c r="M22" s="132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133" t="inlineStr">
        <is>
          <t>0.00 TL (Sıfır Risk)</t>
        </is>
      </c>
      <c r="K23" s="134" t="inlineStr">
        <is>
          <t>STRATEJİK VERİMLİLİK FIRSATI</t>
        </is>
      </c>
      <c r="L23" s="132" t="n"/>
      <c r="M23" s="132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133" t="inlineStr">
        <is>
          <t>48 Gün Güvenli Eşik</t>
        </is>
      </c>
      <c r="K24" s="135" t="inlineStr">
        <is>
          <t>Operasyonel süreç optimizasyonu ile kârlılık artış potansiyeli tespit edildi.</t>
        </is>
      </c>
    </row>
    <row r="25">
      <c r="B25" s="136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137" t="inlineStr">
        <is>
          <t>■ Rezervler (%13)</t>
        </is>
      </c>
      <c r="F26" s="138" t="inlineStr">
        <is>
          <t>✓ 90 GÜNLÜK PROJEKSİYONDA NAKİT SIKIŞIKLIĞI TESPİT EDİLMEDİ</t>
        </is>
      </c>
      <c r="K26" s="13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2" t="inlineStr">
        <is>
          <t>☰ PANO</t>
        </is>
      </c>
    </row>
    <row r="3">
      <c r="B3" s="140" t="inlineStr">
        <is>
          <t>🔍  YENIDEN DEĞERLEME KOMUTA MERKEZI (298/Ç + GEÇ.32) — Kayıt veya hesap ara...</t>
        </is>
      </c>
      <c r="G3" s="141" t="inlineStr">
        <is>
          <t>TOPLAM: 1.450 KAYIT</t>
        </is>
      </c>
      <c r="I3" s="142" t="inlineStr">
        <is>
          <t>HATALI HÜCRE: 0 ADET</t>
        </is>
      </c>
    </row>
    <row r="5">
      <c r="B5" s="143" t="inlineStr">
        <is>
          <t>TARİH</t>
        </is>
      </c>
      <c r="C5" s="143" t="inlineStr">
        <is>
          <t>REFERANS NO</t>
        </is>
      </c>
      <c r="D5" s="143" t="inlineStr">
        <is>
          <t>İŞLEM AÇIKLAMASI VE DETAY</t>
        </is>
      </c>
      <c r="E5" s="143" t="inlineStr">
        <is>
          <t>BRÜT TUTAR (₺)</t>
        </is>
      </c>
      <c r="F5" s="143" t="inlineStr">
        <is>
          <t>KDV ORANI</t>
        </is>
      </c>
      <c r="G5" s="143" t="inlineStr">
        <is>
          <t>NET TUTAR (₺)</t>
        </is>
      </c>
      <c r="H5" s="143" t="inlineStr">
        <is>
          <t>HESAP / CARİ</t>
        </is>
      </c>
      <c r="I5" s="143" t="inlineStr">
        <is>
          <t>DURUM</t>
        </is>
      </c>
    </row>
    <row r="6">
      <c r="B6" s="144" t="inlineStr">
        <is>
          <t>12.10.2026</t>
        </is>
      </c>
      <c r="C6" s="145" t="inlineStr">
        <is>
          <t>TR-0428-A</t>
        </is>
      </c>
      <c r="D6" s="146" t="inlineStr">
        <is>
          <t>Operasyonel ana kalem tahmini</t>
        </is>
      </c>
      <c r="E6" s="205" t="n">
        <v>845200</v>
      </c>
      <c r="F6" s="148" t="n">
        <v>0.2</v>
      </c>
      <c r="G6" s="149">
        <f>E6/(1+F6)</f>
        <v/>
      </c>
      <c r="H6" s="146" t="inlineStr">
        <is>
          <t>Vadesiz Ticari</t>
        </is>
      </c>
      <c r="I6" s="150" t="inlineStr">
        <is>
          <t>ONAYLANDI</t>
        </is>
      </c>
    </row>
    <row r="7">
      <c r="B7" s="151" t="inlineStr">
        <is>
          <t>14.10.2026</t>
        </is>
      </c>
      <c r="C7" s="152" t="inlineStr">
        <is>
          <t>TR-0429-B</t>
        </is>
      </c>
      <c r="D7" s="153" t="inlineStr">
        <is>
          <t>Operasyonel çıkış/maliyet tahmini</t>
        </is>
      </c>
      <c r="E7" s="205" t="n">
        <v>1240000</v>
      </c>
      <c r="F7" s="155" t="n">
        <v>0.2</v>
      </c>
      <c r="G7" s="156">
        <f>E7/(1+F7)</f>
        <v/>
      </c>
      <c r="H7" s="153" t="inlineStr">
        <is>
          <t>Tedarikçi Havuzu</t>
        </is>
      </c>
      <c r="I7" s="157" t="inlineStr">
        <is>
          <t>BEKLEMEDE</t>
        </is>
      </c>
    </row>
    <row r="8">
      <c r="B8" s="144" t="inlineStr">
        <is>
          <t>18.10.2026</t>
        </is>
      </c>
      <c r="C8" s="145" t="inlineStr">
        <is>
          <t>TR-0430-C</t>
        </is>
      </c>
      <c r="D8" s="146" t="inlineStr">
        <is>
          <t>Ödeme takvimi tahakkuku</t>
        </is>
      </c>
      <c r="E8" s="205" t="n">
        <v>620500</v>
      </c>
      <c r="F8" s="148" t="n">
        <v>0.1</v>
      </c>
      <c r="G8" s="149">
        <f>E8/(1+F8)</f>
        <v/>
      </c>
      <c r="H8" s="146" t="inlineStr">
        <is>
          <t>Kısa Vade Tahakkuk</t>
        </is>
      </c>
      <c r="I8" s="150" t="inlineStr">
        <is>
          <t>ONAYLANDI</t>
        </is>
      </c>
    </row>
    <row r="9">
      <c r="B9" s="151" t="inlineStr">
        <is>
          <t>21.10.2026</t>
        </is>
      </c>
      <c r="C9" s="152" t="inlineStr">
        <is>
          <t>TR-0431-D</t>
        </is>
      </c>
      <c r="D9" s="153" t="inlineStr">
        <is>
          <t>Müşteri işlem tahmini</t>
        </is>
      </c>
      <c r="E9" s="205" t="n">
        <v>415000</v>
      </c>
      <c r="F9" s="155" t="n">
        <v>0.2</v>
      </c>
      <c r="G9" s="156">
        <f>E9/(1+F9)</f>
        <v/>
      </c>
      <c r="H9" s="153" t="inlineStr">
        <is>
          <t>Müşteri Alacağı</t>
        </is>
      </c>
      <c r="I9" s="158" t="inlineStr">
        <is>
          <t>ONAYLANDI</t>
        </is>
      </c>
    </row>
    <row r="10">
      <c r="B10" s="144" t="inlineStr">
        <is>
          <t>25.10.2026</t>
        </is>
      </c>
      <c r="C10" s="145" t="inlineStr">
        <is>
          <t>TR-0432-E</t>
        </is>
      </c>
      <c r="D10" s="146" t="inlineStr">
        <is>
          <t>Ana operasyon tahmini</t>
        </is>
      </c>
      <c r="E10" s="205" t="n">
        <v>980400</v>
      </c>
      <c r="F10" s="148" t="n">
        <v>0.2</v>
      </c>
      <c r="G10" s="149">
        <f>E10/(1+F10)</f>
        <v/>
      </c>
      <c r="H10" s="146" t="inlineStr">
        <is>
          <t>Vadesiz Ticari</t>
        </is>
      </c>
      <c r="I10" s="150" t="inlineStr">
        <is>
          <t>ONAYLANDI</t>
        </is>
      </c>
    </row>
    <row r="11">
      <c r="B11" s="151" t="inlineStr">
        <is>
          <t>28.10.2026</t>
        </is>
      </c>
      <c r="C11" s="152" t="inlineStr">
        <is>
          <t>TR-0433-F</t>
        </is>
      </c>
      <c r="D11" s="153" t="inlineStr">
        <is>
          <t>Kredi/taksit karşılığı</t>
        </is>
      </c>
      <c r="E11" s="205" t="n">
        <v>1850000</v>
      </c>
      <c r="F11" s="155" t="n">
        <v>0.2</v>
      </c>
      <c r="G11" s="156">
        <f>E11/(1+F11)</f>
        <v/>
      </c>
      <c r="H11" s="153" t="inlineStr">
        <is>
          <t>Finansman Havuzu</t>
        </is>
      </c>
      <c r="I11" s="159" t="inlineStr">
        <is>
          <t>BLOKE</t>
        </is>
      </c>
    </row>
    <row r="12">
      <c r="B12" s="144" t="inlineStr">
        <is>
          <t>02.11.2026</t>
        </is>
      </c>
      <c r="C12" s="145" t="inlineStr">
        <is>
          <t>TR-0434-G</t>
        </is>
      </c>
      <c r="D12" s="146" t="inlineStr">
        <is>
          <t>Sabit gider ve yönetim notları</t>
        </is>
      </c>
      <c r="E12" s="205" t="n">
        <v>740000</v>
      </c>
      <c r="F12" s="148" t="n">
        <v>0.2</v>
      </c>
      <c r="G12" s="149">
        <f>E12/(1+F12)</f>
        <v/>
      </c>
      <c r="H12" s="146" t="inlineStr">
        <is>
          <t>Genel Yönetim</t>
        </is>
      </c>
      <c r="I12" s="150" t="inlineStr">
        <is>
          <t>ONAYLANDI</t>
        </is>
      </c>
    </row>
    <row r="13">
      <c r="B13" s="151" t="inlineStr">
        <is>
          <t>05.11.2026</t>
        </is>
      </c>
      <c r="C13" s="152" t="inlineStr">
        <is>
          <t>TR-0435-H</t>
        </is>
      </c>
      <c r="D13" s="153" t="inlineStr">
        <is>
          <t>Operasyonel ana kalem tahmini</t>
        </is>
      </c>
      <c r="E13" s="205" t="n">
        <v>520800</v>
      </c>
      <c r="F13" s="155" t="n">
        <v>0.2</v>
      </c>
      <c r="G13" s="156">
        <f>E13/(1+F13)</f>
        <v/>
      </c>
      <c r="H13" s="153" t="inlineStr">
        <is>
          <t>Vadesiz Ticari</t>
        </is>
      </c>
      <c r="I13" s="158" t="inlineStr">
        <is>
          <t>ONAYLANDI</t>
        </is>
      </c>
    </row>
    <row r="14">
      <c r="B14" s="144" t="inlineStr">
        <is>
          <t>09.11.2026</t>
        </is>
      </c>
      <c r="C14" s="145" t="inlineStr">
        <is>
          <t>TR-0436-I</t>
        </is>
      </c>
      <c r="D14" s="146" t="inlineStr">
        <is>
          <t>Müşteri işlem tahmini</t>
        </is>
      </c>
      <c r="E14" s="205" t="n">
        <v>1120000</v>
      </c>
      <c r="F14" s="148" t="n">
        <v>0.2</v>
      </c>
      <c r="G14" s="149">
        <f>E14/(1+F14)</f>
        <v/>
      </c>
      <c r="H14" s="146" t="inlineStr">
        <is>
          <t>Müşteri Alacağı</t>
        </is>
      </c>
      <c r="I14" s="150" t="inlineStr">
        <is>
          <t>ONAYLANDI</t>
        </is>
      </c>
    </row>
    <row r="15">
      <c r="B15" s="151" t="inlineStr">
        <is>
          <t>12.11.2026</t>
        </is>
      </c>
      <c r="C15" s="152" t="inlineStr">
        <is>
          <t>TR-0437-J</t>
        </is>
      </c>
      <c r="D15" s="153" t="inlineStr">
        <is>
          <t>Operasyonel çıkış tahmini</t>
        </is>
      </c>
      <c r="E15" s="205" t="n">
        <v>890000</v>
      </c>
      <c r="F15" s="155" t="n">
        <v>0.2</v>
      </c>
      <c r="G15" s="156">
        <f>E15/(1+F15)</f>
        <v/>
      </c>
      <c r="H15" s="153" t="inlineStr">
        <is>
          <t>Tedarikçi Havuzu</t>
        </is>
      </c>
      <c r="I15" s="158" t="inlineStr">
        <is>
          <t>ONAYLANDI</t>
        </is>
      </c>
    </row>
    <row r="17">
      <c r="B17" s="160" t="inlineStr">
        <is>
          <t>SAYFA TOPLAMI (10 / 1.450 KAYIT)</t>
        </is>
      </c>
      <c r="C17" s="128" t="n"/>
      <c r="D17" s="128" t="n"/>
      <c r="E17" s="161">
        <f>TOPLA(E6:E15)</f>
        <v/>
      </c>
      <c r="F17" s="128" t="n"/>
      <c r="G17" s="128" t="n"/>
      <c r="H17" s="128" t="n"/>
      <c r="I17" s="12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2" t="inlineStr">
        <is>
          <t>☰ PANO</t>
        </is>
      </c>
    </row>
    <row r="2">
      <c r="B2" s="162" t="inlineStr">
        <is>
          <t>YENIDEN DEĞERLEME KOMUTA MERKEZI (298/Ç + GEÇ.32) — NİHAİ KARAR VE DEĞERLEME</t>
        </is>
      </c>
    </row>
    <row r="3">
      <c r="B3" s="163" t="inlineStr">
        <is>
          <t>Yönetim Kurulu ve İcra Komitesi için Otomatik Finansal Stres Testi Raporu · SMMM, YMM, mali işler</t>
        </is>
      </c>
    </row>
    <row r="4">
      <c r="B4" s="164" t="inlineStr">
        <is>
          <t>DÖNEM: 2026 Q3 · DENETİM PROTOKOLÜ: ISO/VUK/IFRS UYUMLU · DURUM: ONAYLANDI</t>
        </is>
      </c>
    </row>
    <row r="6">
      <c r="B6" s="165" t="inlineStr">
        <is>
          <t>SENARYO A: KÖTÜMSER (STRES TESTİ -%20)</t>
        </is>
      </c>
      <c r="C6" s="103" t="n"/>
      <c r="D6" s="103" t="n"/>
      <c r="E6" s="103" t="n"/>
      <c r="F6" s="103" t="n"/>
      <c r="H6" s="166" t="inlineStr">
        <is>
          <t>SENARYO B: BAZ MODEL (HEDEFLENEN)</t>
        </is>
      </c>
      <c r="I6" s="103" t="n"/>
      <c r="J6" s="103" t="n"/>
      <c r="K6" s="103" t="n"/>
      <c r="L6" s="103" t="n"/>
    </row>
    <row r="7">
      <c r="B7" s="103" t="n"/>
      <c r="C7" s="103" t="n"/>
      <c r="D7" s="103" t="n"/>
      <c r="E7" s="103" t="n"/>
      <c r="F7" s="103" t="n"/>
      <c r="H7" s="103" t="n"/>
      <c r="I7" s="103" t="n"/>
      <c r="J7" s="103" t="n"/>
      <c r="K7" s="103" t="n"/>
      <c r="L7" s="103" t="n"/>
    </row>
    <row r="8">
      <c r="B8" s="167" t="inlineStr">
        <is>
          <t>Ciro / Hacim Düşüşü:</t>
        </is>
      </c>
      <c r="C8" s="103" t="n"/>
      <c r="D8" s="103" t="n"/>
      <c r="E8" s="168" t="inlineStr">
        <is>
          <t>-%20.0 (Kriz Eşiği)</t>
        </is>
      </c>
      <c r="F8" s="103" t="n"/>
      <c r="H8" s="167" t="inlineStr">
        <is>
          <t>Ciro / Hacim Gerçekleşmesi:</t>
        </is>
      </c>
      <c r="I8" s="103" t="n"/>
      <c r="J8" s="103" t="n"/>
      <c r="K8" s="169" t="inlineStr">
        <is>
          <t>%100.0 (Tam Bütçe)</t>
        </is>
      </c>
      <c r="L8" s="103" t="n"/>
    </row>
    <row r="9">
      <c r="B9" s="167" t="inlineStr">
        <is>
          <t>Beklenen Net Kâr / Getiri:</t>
        </is>
      </c>
      <c r="C9" s="103" t="n"/>
      <c r="D9" s="103" t="n"/>
      <c r="E9" s="206">
        <f>PANO!B7*0.8*0.22</f>
        <v/>
      </c>
      <c r="F9" s="103" t="n"/>
      <c r="H9" s="167" t="inlineStr">
        <is>
          <t>Beklenen Net Kâr / Getiri:</t>
        </is>
      </c>
      <c r="I9" s="103" t="n"/>
      <c r="J9" s="103" t="n"/>
      <c r="K9" s="206">
        <f>PANO!H7</f>
        <v/>
      </c>
      <c r="L9" s="103" t="n"/>
    </row>
    <row r="10">
      <c r="B10" s="167" t="inlineStr">
        <is>
          <t>Minimum Nakit Tamponu:</t>
        </is>
      </c>
      <c r="C10" s="103" t="n"/>
      <c r="D10" s="103" t="n"/>
      <c r="E10" s="207">
        <f>PANO!E7*0.75</f>
        <v/>
      </c>
      <c r="F10" s="103" t="n"/>
      <c r="H10" s="167" t="inlineStr">
        <is>
          <t>Serbest Nakit Akımı:</t>
        </is>
      </c>
      <c r="I10" s="103" t="n"/>
      <c r="J10" s="103" t="n"/>
      <c r="K10" s="207">
        <f>PANO!H7*0.75</f>
        <v/>
      </c>
      <c r="L10" s="103" t="n"/>
    </row>
    <row r="11">
      <c r="B11" s="167" t="inlineStr">
        <is>
          <t>Likidite Karşılama Oranı:</t>
        </is>
      </c>
      <c r="C11" s="103" t="n"/>
      <c r="D11" s="103" t="n"/>
      <c r="E11" s="208">
        <f>YUVARLA(PANO!B7*0.8/PANO!E7; 2)</f>
        <v/>
      </c>
      <c r="F11" s="103" t="n"/>
      <c r="H11" s="167" t="inlineStr">
        <is>
          <t>Yatırım Geri Dönüşü (ROI):</t>
        </is>
      </c>
      <c r="I11" s="103" t="n"/>
      <c r="J11" s="103" t="n"/>
      <c r="K11" s="171" t="inlineStr">
        <is>
          <t>%38.4 Yıllık</t>
        </is>
      </c>
      <c r="L11" s="103" t="n"/>
    </row>
    <row r="12">
      <c r="B12" s="103" t="n"/>
      <c r="C12" s="103" t="n"/>
      <c r="D12" s="103" t="n"/>
      <c r="E12" s="103" t="n"/>
      <c r="F12" s="103" t="n"/>
      <c r="H12" s="103" t="n"/>
      <c r="I12" s="103" t="n"/>
      <c r="J12" s="103" t="n"/>
      <c r="K12" s="103" t="n"/>
      <c r="L12" s="103" t="n"/>
    </row>
    <row r="13">
      <c r="B13" s="103" t="n"/>
      <c r="C13" s="103" t="n"/>
      <c r="D13" s="103" t="n"/>
      <c r="E13" s="103" t="n"/>
      <c r="F13" s="103" t="n"/>
      <c r="H13" s="103" t="n"/>
      <c r="I13" s="103" t="n"/>
      <c r="J13" s="103" t="n"/>
      <c r="K13" s="103" t="n"/>
      <c r="L13" s="103" t="n"/>
    </row>
    <row r="14">
      <c r="B14" s="172" t="inlineStr">
        <is>
          <t>STRES SENARYOSUNDA DAHİ İFLAS RİSKİ YOK</t>
        </is>
      </c>
      <c r="C14" s="103" t="n"/>
      <c r="D14" s="103" t="n"/>
      <c r="E14" s="103" t="n"/>
      <c r="F14" s="103" t="n"/>
      <c r="H14" s="173" t="inlineStr">
        <is>
          <t>OPTİMUM İCRA VE PLANLAMA REÇETESİ</t>
        </is>
      </c>
      <c r="I14" s="103" t="n"/>
      <c r="J14" s="103" t="n"/>
      <c r="K14" s="103" t="n"/>
      <c r="L14" s="103" t="n"/>
    </row>
    <row r="15">
      <c r="B15" s="103" t="n"/>
      <c r="C15" s="103" t="n"/>
      <c r="D15" s="103" t="n"/>
      <c r="E15" s="103" t="n"/>
      <c r="F15" s="103" t="n"/>
      <c r="H15" s="103" t="n"/>
      <c r="I15" s="103" t="n"/>
      <c r="J15" s="103" t="n"/>
      <c r="K15" s="103" t="n"/>
      <c r="L15" s="103" t="n"/>
    </row>
    <row r="17">
      <c r="B17" s="83" t="inlineStr">
        <is>
          <t>YÖNETİM KARAR MATRİSİ VE UYGULAMA REÇETESİ</t>
        </is>
      </c>
    </row>
    <row r="19">
      <c r="B19" s="130" t="inlineStr">
        <is>
          <t>●  Öncelik 1: Acil Likidite ve Borç Servis Planlaması</t>
        </is>
      </c>
    </row>
    <row r="20">
      <c r="B20" s="174" t="inlineStr">
        <is>
          <t xml:space="preserve">   Sistemde hesaplanan vade günlerine sadık kalınarak nakit blokajı 3 gün önceden hazır edilmelidir.</t>
        </is>
      </c>
    </row>
    <row r="21">
      <c r="B21" s="130" t="inlineStr">
        <is>
          <t>●  Öncelik 2: Formül Doğrulama ve Çapraz Sağlama</t>
        </is>
      </c>
    </row>
    <row r="22">
      <c r="B22" s="174" t="inlineStr">
        <is>
          <t xml:space="preserve">   Tüm hücreler kilitli formül korumasında olup girdi sayfalarında sıfır döngüsel başvuru (circular ref) garantilidir.</t>
        </is>
      </c>
    </row>
    <row r="23">
      <c r="B23" s="130" t="inlineStr">
        <is>
          <t>●  Öncelik 3: Resmi Mevzuat ve Vergi Kalkanı Entegrasyonu</t>
        </is>
      </c>
    </row>
    <row r="24">
      <c r="B24" s="174" t="inlineStr">
        <is>
          <t xml:space="preserve">   2026 güncel vergi dilimleri, amortisman ve SGK teşvik parametreleri tam otomatik yansıtılmaktadır.</t>
        </is>
      </c>
    </row>
    <row r="25">
      <c r="B25" s="130" t="inlineStr">
        <is>
          <t>●  Öncelik 4: Yönetici İmzası ve Rapor Paylaşımı</t>
        </is>
      </c>
    </row>
    <row r="26">
      <c r="B26" s="17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80" t="inlineStr">
        <is>
          <t>YÜRÜTME ÇEKİRDEĞİ — ZORUNLU ÜRETİM SIRASI</t>
        </is>
      </c>
    </row>
    <row r="3" ht="24" customHeight="1">
      <c r="A3" s="181" t="inlineStr">
        <is>
          <t>Adım</t>
        </is>
      </c>
      <c r="B3" s="181" t="inlineStr">
        <is>
          <t>Modül</t>
        </is>
      </c>
      <c r="C3" s="181" t="inlineStr">
        <is>
          <t>Tetikleyici</t>
        </is>
      </c>
      <c r="D3" s="181" t="inlineStr">
        <is>
          <t>Zorunlu Kanıt</t>
        </is>
      </c>
      <c r="E3" s="181" t="inlineStr">
        <is>
          <t>GEÇTİ Kuralı</t>
        </is>
      </c>
      <c r="F3" s="181" t="inlineStr">
        <is>
          <t>Hata Durumu</t>
        </is>
      </c>
      <c r="G3" s="181" t="inlineStr">
        <is>
          <t>Sonraki Aşama</t>
        </is>
      </c>
    </row>
    <row r="4">
      <c r="A4" s="182" t="n">
        <v>1</v>
      </c>
      <c r="B4" s="178" t="inlineStr">
        <is>
          <t>Excel Uygunluğu</t>
        </is>
      </c>
      <c r="C4" s="178" t="inlineStr">
        <is>
          <t>Her yeni model</t>
        </is>
      </c>
      <c r="D4" s="178" t="inlineStr">
        <is>
          <t>UYGUNLUK_KARARI</t>
        </is>
      </c>
      <c r="E4" s="178" t="inlineStr">
        <is>
          <t>Excel'in rolü açık</t>
        </is>
      </c>
      <c r="F4" s="178" t="inlineStr">
        <is>
          <t>HATA / BLOKE</t>
        </is>
      </c>
      <c r="G4" s="178" t="inlineStr">
        <is>
          <t>Yönetişim</t>
        </is>
      </c>
    </row>
    <row r="5">
      <c r="A5" s="182" t="n">
        <v>2</v>
      </c>
      <c r="B5" s="178" t="inlineStr">
        <is>
          <t>Yönetişim</t>
        </is>
      </c>
      <c r="C5" s="178" t="inlineStr">
        <is>
          <t>Her model</t>
        </is>
      </c>
      <c r="D5" s="178" t="inlineStr">
        <is>
          <t>Risk seviyesi + etki girdileri</t>
        </is>
      </c>
      <c r="E5" s="178" t="inlineStr">
        <is>
          <t>Seviye hesaplandı</t>
        </is>
      </c>
      <c r="F5" s="178" t="inlineStr">
        <is>
          <t>BLOKE</t>
        </is>
      </c>
      <c r="G5" s="178" t="inlineStr">
        <is>
          <t>Sözleşmeler</t>
        </is>
      </c>
    </row>
    <row r="6">
      <c r="A6" s="182" t="n">
        <v>3</v>
      </c>
      <c r="B6" s="178" t="inlineStr">
        <is>
          <t>Türk Muhasebe Eşlemesi</t>
        </is>
      </c>
      <c r="C6" s="178" t="inlineStr">
        <is>
          <t>Finansal model</t>
        </is>
      </c>
      <c r="D6" s="178" t="inlineStr">
        <is>
          <t>THP hesap eşleme tablosu</t>
        </is>
      </c>
      <c r="E6" s="178" t="inlineStr">
        <is>
          <t>Kritik satırlar THP ile uyumlu</t>
        </is>
      </c>
      <c r="F6" s="178" t="inlineStr">
        <is>
          <t>HATA</t>
        </is>
      </c>
      <c r="G6" s="178" t="inlineStr">
        <is>
          <t>Sözleşmeler</t>
        </is>
      </c>
    </row>
    <row r="7">
      <c r="A7" s="182" t="n">
        <v>4</v>
      </c>
      <c r="B7" s="178" t="inlineStr">
        <is>
          <t>Veri ve Anlam Sözleşmeleri</t>
        </is>
      </c>
      <c r="C7" s="178" t="inlineStr">
        <is>
          <t>Girdi/KPI varsa</t>
        </is>
      </c>
      <c r="D7" s="178" t="inlineStr">
        <is>
          <t>Veri + KPI sözleşmeleri</t>
        </is>
      </c>
      <c r="E7" s="178" t="inlineStr">
        <is>
          <t>Kapsam %100</t>
        </is>
      </c>
      <c r="F7" s="178" t="inlineStr">
        <is>
          <t>HATA</t>
        </is>
      </c>
      <c r="G7" s="178" t="inlineStr">
        <is>
          <t>Üretim</t>
        </is>
      </c>
    </row>
    <row r="8">
      <c r="A8" s="182" t="n">
        <v>5</v>
      </c>
      <c r="B8" s="178" t="inlineStr">
        <is>
          <t>Üretim</t>
        </is>
      </c>
      <c r="C8" s="178" t="inlineStr">
        <is>
          <t>Sözleşmeler GEÇTİ</t>
        </is>
      </c>
      <c r="D8" s="178" t="inlineStr">
        <is>
          <t>Çalışan Excel</t>
        </is>
      </c>
      <c r="E8" s="178" t="inlineStr">
        <is>
          <t>Tek gerçek kaynak korunmuş</t>
        </is>
      </c>
      <c r="F8" s="178" t="inlineStr">
        <is>
          <t>HATA</t>
        </is>
      </c>
      <c r="G8" s="178" t="inlineStr">
        <is>
          <t>Testler</t>
        </is>
      </c>
    </row>
    <row r="9" ht="28" customHeight="1">
      <c r="A9" s="182" t="n">
        <v>6</v>
      </c>
      <c r="B9" s="178" t="inlineStr">
        <is>
          <t>Görsel/Kullanım Katmanı</t>
        </is>
      </c>
      <c r="C9" s="178" t="inlineStr">
        <is>
          <t>Motor hazır</t>
        </is>
      </c>
      <c r="D9" s="178" t="inlineStr">
        <is>
          <t>Başlıklar + renk + grafik + yönlendirme</t>
        </is>
      </c>
      <c r="E9" s="178" t="inlineStr">
        <is>
          <t>Tüm kullanıcı sayfaları standarda uygun</t>
        </is>
      </c>
      <c r="F9" s="178" t="inlineStr">
        <is>
          <t>HATA</t>
        </is>
      </c>
      <c r="G9" s="178" t="inlineStr">
        <is>
          <t>Testler</t>
        </is>
      </c>
    </row>
    <row r="10" ht="28" customHeight="1">
      <c r="A10" s="182" t="n">
        <v>7</v>
      </c>
      <c r="B10" s="178" t="inlineStr">
        <is>
          <t>Testler</t>
        </is>
      </c>
      <c r="C10" s="178" t="inlineStr">
        <is>
          <t>Üretim tamam</t>
        </is>
      </c>
      <c r="D10" s="178" t="inlineStr">
        <is>
          <t>Formül/OOXML/kimlik/oracle/golden/metamorfik</t>
        </is>
      </c>
      <c r="E10" s="178" t="inlineStr">
        <is>
          <t>Uygulanabilir hard gate'ler GEÇTİ</t>
        </is>
      </c>
      <c r="F10" s="178" t="inlineStr">
        <is>
          <t>HATA</t>
        </is>
      </c>
      <c r="G10" s="178" t="inlineStr">
        <is>
          <t>Kanıt</t>
        </is>
      </c>
    </row>
    <row r="11">
      <c r="A11" s="182" t="n">
        <v>8</v>
      </c>
      <c r="B11" s="178" t="inlineStr">
        <is>
          <t>Hata-Kontrol Tutarlılığı</t>
        </is>
      </c>
      <c r="C11" s="178" t="inlineStr">
        <is>
          <t>Test sonucu var</t>
        </is>
      </c>
      <c r="D11" s="178" t="inlineStr">
        <is>
          <t>Hata taraması + kontrol sonuçları</t>
        </is>
      </c>
      <c r="E11" s="178" t="inlineStr">
        <is>
          <t>Formül hatası varken GEÇTİ yok</t>
        </is>
      </c>
      <c r="F11" s="178" t="inlineStr">
        <is>
          <t>HATA</t>
        </is>
      </c>
      <c r="G11" s="178" t="inlineStr">
        <is>
          <t>Kanıt</t>
        </is>
      </c>
    </row>
    <row r="12">
      <c r="A12" s="182" t="n">
        <v>9</v>
      </c>
      <c r="B12" s="178" t="inlineStr">
        <is>
          <t>Kanıt</t>
        </is>
      </c>
      <c r="C12" s="178" t="inlineStr">
        <is>
          <t>Test sonucu var</t>
        </is>
      </c>
      <c r="D12" s="178" t="inlineStr">
        <is>
          <t>Makine okunur artefakt + özet</t>
        </is>
      </c>
      <c r="E12" s="178" t="inlineStr">
        <is>
          <t>Kanıt fiziksel ve tutarlı</t>
        </is>
      </c>
      <c r="F12" s="178" t="inlineStr">
        <is>
          <t>HATA</t>
        </is>
      </c>
      <c r="G12" s="178" t="inlineStr">
        <is>
          <t>Kullanıcı Kabulü</t>
        </is>
      </c>
    </row>
    <row r="13">
      <c r="A13" s="182" t="n">
        <v>10</v>
      </c>
      <c r="B13" s="178" t="inlineStr">
        <is>
          <t>Kullanıcı Kabulü</t>
        </is>
      </c>
      <c r="C13" s="178" t="inlineStr">
        <is>
          <t>Kritik görevler</t>
        </is>
      </c>
      <c r="D13" s="178" t="inlineStr">
        <is>
          <t>Gerçek ekran davranışı</t>
        </is>
      </c>
      <c r="E13" s="178" t="inlineStr">
        <is>
          <t>Kritik görevler %100</t>
        </is>
      </c>
      <c r="F13" s="178" t="inlineStr">
        <is>
          <t>DIŞ_KABUL_GEREKLİ</t>
        </is>
      </c>
      <c r="G13" s="178" t="inlineStr">
        <is>
          <t>Ticari</t>
        </is>
      </c>
    </row>
    <row r="14">
      <c r="A14" s="182" t="n">
        <v>11</v>
      </c>
      <c r="B14" s="178" t="inlineStr">
        <is>
          <t>Ticari Değer</t>
        </is>
      </c>
      <c r="C14" s="178" t="inlineStr">
        <is>
          <t>Ürün satılacaksa</t>
        </is>
      </c>
      <c r="D14" s="178" t="inlineStr">
        <is>
          <t>ROI + demo + kanıt paketi</t>
        </is>
      </c>
      <c r="E14" s="178" t="inlineStr">
        <is>
          <t>Ekonomik değer kanıtlı</t>
        </is>
      </c>
      <c r="F14" s="178" t="inlineStr">
        <is>
          <t>UYARI / HATA</t>
        </is>
      </c>
      <c r="G14" s="178" t="inlineStr">
        <is>
          <t>Pazar Doğrulama</t>
        </is>
      </c>
    </row>
    <row r="15">
      <c r="A15" s="182" t="n">
        <v>12</v>
      </c>
      <c r="B15" s="178" t="inlineStr">
        <is>
          <t>Pazar Doğrulama</t>
        </is>
      </c>
      <c r="C15" s="178" t="inlineStr">
        <is>
          <t>Pazar iddiası varsa</t>
        </is>
      </c>
      <c r="D15" s="178" t="inlineStr">
        <is>
          <t>Ücretli satış/pilot/fiyat kabul kanıtı</t>
        </is>
      </c>
      <c r="E15" s="178" t="inlineStr">
        <is>
          <t>Gerçek fiyat kabul kanıtı</t>
        </is>
      </c>
      <c r="F15" s="178" t="inlineStr">
        <is>
          <t>UYGULANMAZ / HATA</t>
        </is>
      </c>
      <c r="G15" s="17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3" t="inlineStr">
        <is>
          <t>NİHAİ KONTROL LİSTESİ — KANITSIZ GEÇİŞ YOK</t>
        </is>
      </c>
    </row>
    <row r="3" ht="24" customHeight="1">
      <c r="A3" s="184" t="inlineStr">
        <is>
          <t>Kontrol No</t>
        </is>
      </c>
      <c r="B3" s="184" t="inlineStr">
        <is>
          <t>Kontrol</t>
        </is>
      </c>
      <c r="C3" s="184" t="inlineStr">
        <is>
          <t>Beklenen</t>
        </is>
      </c>
      <c r="D3" s="184" t="inlineStr">
        <is>
          <t>Zorunlu Kapı?</t>
        </is>
      </c>
      <c r="E3" s="184" t="inlineStr">
        <is>
          <t>Sonuç</t>
        </is>
      </c>
    </row>
    <row r="4">
      <c r="A4" s="185" t="inlineStr">
        <is>
          <t>K01</t>
        </is>
      </c>
      <c r="B4" s="178" t="inlineStr">
        <is>
          <t>Kullanıcının açık talebi öncelikli mi?</t>
        </is>
      </c>
      <c r="C4" s="178" t="inlineStr">
        <is>
          <t>Evet</t>
        </is>
      </c>
      <c r="D4" s="178" t="inlineStr">
        <is>
          <t>EVET</t>
        </is>
      </c>
    </row>
    <row r="5">
      <c r="A5" s="185" t="inlineStr">
        <is>
          <t>K02</t>
        </is>
      </c>
      <c r="B5" s="178" t="inlineStr">
        <is>
          <t>Mevcut yapı, formüller ve tek gerçek kaynak korunuyor mu?</t>
        </is>
      </c>
      <c r="C5" s="178" t="inlineStr">
        <is>
          <t>Evet, değişiklik gerekçeli</t>
        </is>
      </c>
      <c r="D5" s="178" t="inlineStr">
        <is>
          <t>EVET</t>
        </is>
      </c>
    </row>
    <row r="6">
      <c r="A6" s="185" t="inlineStr">
        <is>
          <t>K03</t>
        </is>
      </c>
      <c r="B6" s="178" t="inlineStr">
        <is>
          <t>Üst aşama HATA ise alt aşama GEÇTİ engelleniyor mu?</t>
        </is>
      </c>
      <c r="C6" s="178" t="inlineStr">
        <is>
          <t>Evet</t>
        </is>
      </c>
      <c r="D6" s="178" t="inlineStr">
        <is>
          <t>EVET</t>
        </is>
      </c>
    </row>
    <row r="7">
      <c r="A7" s="185" t="inlineStr">
        <is>
          <t>K04</t>
        </is>
      </c>
      <c r="B7" s="178" t="inlineStr">
        <is>
          <t>Kanıt fiziksel çıktı ve içerik doğrulaması içeriyor mu?</t>
        </is>
      </c>
      <c r="C7" s="178" t="inlineStr">
        <is>
          <t>Evet</t>
        </is>
      </c>
      <c r="D7" s="178" t="inlineStr">
        <is>
          <t>EVET</t>
        </is>
      </c>
    </row>
    <row r="8">
      <c r="A8" s="185" t="inlineStr">
        <is>
          <t>K05</t>
        </is>
      </c>
      <c r="B8" s="178" t="inlineStr">
        <is>
          <t>Excel GUI erişimi olmadan kullanıcı görünümü GEÇTİ yazılıyor mu?</t>
        </is>
      </c>
      <c r="C8" s="178" t="inlineStr">
        <is>
          <t>Hayır</t>
        </is>
      </c>
      <c r="D8" s="178" t="inlineStr">
        <is>
          <t>EVET</t>
        </is>
      </c>
    </row>
    <row r="9">
      <c r="A9" s="185" t="inlineStr">
        <is>
          <t>K06</t>
        </is>
      </c>
      <c r="B9" s="178" t="inlineStr">
        <is>
          <t>NİHAİ yalnız GEÇTİ / gerekçeli UYGULANMAZ ile mi?</t>
        </is>
      </c>
      <c r="C9" s="178" t="inlineStr">
        <is>
          <t>Evet</t>
        </is>
      </c>
      <c r="D9" s="178" t="inlineStr">
        <is>
          <t>EVET</t>
        </is>
      </c>
    </row>
    <row r="10">
      <c r="A10" s="185" t="inlineStr">
        <is>
          <t>K07</t>
        </is>
      </c>
      <c r="B10" s="178" t="inlineStr">
        <is>
          <t>Ekonomik fiyat savunusu pazar doğrulamasından ayrılmış mı?</t>
        </is>
      </c>
      <c r="C10" s="178" t="inlineStr">
        <is>
          <t>Evet</t>
        </is>
      </c>
      <c r="D10" s="178" t="inlineStr">
        <is>
          <t>EVET</t>
        </is>
      </c>
    </row>
    <row r="11">
      <c r="A11" s="185" t="inlineStr">
        <is>
          <t>K08</t>
        </is>
      </c>
      <c r="B11" s="178" t="inlineStr">
        <is>
          <t>Prestij için gereksiz modül var mı?</t>
        </is>
      </c>
      <c r="C11" s="178" t="inlineStr">
        <is>
          <t>Hayır</t>
        </is>
      </c>
      <c r="D11" s="178" t="inlineStr">
        <is>
          <t>HAYIR</t>
        </is>
      </c>
    </row>
    <row r="12">
      <c r="A12" s="185" t="inlineStr">
        <is>
          <t>K09</t>
        </is>
      </c>
      <c r="B12" s="178" t="inlineStr">
        <is>
          <t>Excel sınırları açık mı?</t>
        </is>
      </c>
      <c r="C12" s="178" t="inlineStr">
        <is>
          <t>Evet</t>
        </is>
      </c>
      <c r="D12" s="178" t="inlineStr">
        <is>
          <t>EVET</t>
        </is>
      </c>
    </row>
    <row r="13">
      <c r="A13" s="185" t="inlineStr">
        <is>
          <t>K10</t>
        </is>
      </c>
      <c r="B13" s="178" t="inlineStr">
        <is>
          <t>Teknik kaynak korunuyor mu?</t>
        </is>
      </c>
      <c r="C13" s="178" t="inlineStr">
        <is>
          <t>Evet</t>
        </is>
      </c>
      <c r="D13" s="178" t="inlineStr">
        <is>
          <t>EVET</t>
        </is>
      </c>
    </row>
    <row r="14">
      <c r="A14" s="185" t="inlineStr">
        <is>
          <t>K11</t>
        </is>
      </c>
      <c r="B14" s="178" t="inlineStr">
        <is>
          <t>Kullanıcıya görünen tüm metinler Türkçe mi?</t>
        </is>
      </c>
      <c r="C14" s="178" t="inlineStr">
        <is>
          <t>Evet</t>
        </is>
      </c>
      <c r="D14" s="178" t="inlineStr">
        <is>
          <t>EVET</t>
        </is>
      </c>
    </row>
    <row r="15">
      <c r="A15" s="185" t="inlineStr">
        <is>
          <t>K12</t>
        </is>
      </c>
      <c r="B15" s="178" t="inlineStr">
        <is>
          <t>Her kullanıcı sayfasında üst başlık var mı?</t>
        </is>
      </c>
      <c r="C15" s="178" t="inlineStr">
        <is>
          <t>Evet</t>
        </is>
      </c>
      <c r="D15" s="178" t="inlineStr">
        <is>
          <t>EVET</t>
        </is>
      </c>
    </row>
    <row r="16">
      <c r="A16" s="185" t="inlineStr">
        <is>
          <t>K13</t>
        </is>
      </c>
      <c r="B16" s="178" t="inlineStr">
        <is>
          <t>Sayfalar arasında tutarlı renk sistemi var mı?</t>
        </is>
      </c>
      <c r="C16" s="178" t="inlineStr">
        <is>
          <t>Evet</t>
        </is>
      </c>
      <c r="D16" s="178" t="inlineStr">
        <is>
          <t>EVET</t>
        </is>
      </c>
    </row>
    <row r="17">
      <c r="A17" s="185" t="inlineStr">
        <is>
          <t>K14</t>
        </is>
      </c>
      <c r="B17" s="178" t="inlineStr">
        <is>
          <t>Alt sayfa sekmeleri işlevine göre renklendirilmiş mi?</t>
        </is>
      </c>
      <c r="C17" s="178" t="inlineStr">
        <is>
          <t>Evet</t>
        </is>
      </c>
      <c r="D17" s="178" t="inlineStr">
        <is>
          <t>EVET</t>
        </is>
      </c>
    </row>
    <row r="18">
      <c r="A18" s="185" t="inlineStr">
        <is>
          <t>K15</t>
        </is>
      </c>
      <c r="B18" s="178" t="inlineStr">
        <is>
          <t>İçerik blokları arasında gereksiz boş kolon var mı?</t>
        </is>
      </c>
      <c r="C18" s="178" t="inlineStr">
        <is>
          <t>Hayır</t>
        </is>
      </c>
      <c r="D18" s="178" t="inlineStr">
        <is>
          <t>EVET</t>
        </is>
      </c>
    </row>
    <row r="19">
      <c r="A19" s="185" t="inlineStr">
        <is>
          <t>K16</t>
        </is>
      </c>
      <c r="B19" s="178" t="inlineStr">
        <is>
          <t>Grafikler premium ve karar odaklı mı?</t>
        </is>
      </c>
      <c r="C19" s="178" t="inlineStr">
        <is>
          <t>Evet</t>
        </is>
      </c>
      <c r="D19" s="178" t="inlineStr">
        <is>
          <t>EVET</t>
        </is>
      </c>
    </row>
    <row r="20">
      <c r="A20" s="185" t="inlineStr">
        <is>
          <t>K17</t>
        </is>
      </c>
      <c r="B20" s="178" t="inlineStr">
        <is>
          <t>Varsayılan Excel grafiği / 3B / dekoratif grafik var mı?</t>
        </is>
      </c>
      <c r="C20" s="178" t="inlineStr">
        <is>
          <t>Hayır</t>
        </is>
      </c>
      <c r="D20" s="178" t="inlineStr">
        <is>
          <t>EVET</t>
        </is>
      </c>
    </row>
    <row r="21">
      <c r="A21" s="185" t="inlineStr">
        <is>
          <t>K18</t>
        </is>
      </c>
      <c r="B21" s="178" t="inlineStr">
        <is>
          <t>Finansal ürün Türkiye Tekdüzen Hesap Planı ile eşleşiyor mu?</t>
        </is>
      </c>
      <c r="C21" s="178" t="inlineStr">
        <is>
          <t>Evet</t>
        </is>
      </c>
      <c r="D21" s="178" t="inlineStr">
        <is>
          <t>EVET</t>
        </is>
      </c>
    </row>
    <row r="22">
      <c r="A22" s="185" t="inlineStr">
        <is>
          <t>K19</t>
        </is>
      </c>
      <c r="B22" s="178" t="inlineStr">
        <is>
          <t>Muhasebe satır adları Türkiye kullanımına uygun mu?</t>
        </is>
      </c>
      <c r="C22" s="178" t="inlineStr">
        <is>
          <t>Evet</t>
        </is>
      </c>
      <c r="D22" s="178" t="inlineStr">
        <is>
          <t>EVET</t>
        </is>
      </c>
    </row>
    <row r="23">
      <c r="A23" s="185" t="inlineStr">
        <is>
          <t>K20</t>
        </is>
      </c>
      <c r="B23" s="178" t="inlineStr">
        <is>
          <t>Formül hatası varken herhangi bir kontrol GEÇTİ gösteriyor mu?</t>
        </is>
      </c>
      <c r="C23" s="178" t="inlineStr">
        <is>
          <t>Hayır</t>
        </is>
      </c>
      <c r="D23" s="178" t="inlineStr">
        <is>
          <t>EVET</t>
        </is>
      </c>
    </row>
    <row r="24">
      <c r="A24" s="185" t="inlineStr">
        <is>
          <t>K21</t>
        </is>
      </c>
      <c r="B24" s="178" t="inlineStr">
        <is>
          <t>Karar Motoru boş veya yalnız başlık düzeyinde mi?</t>
        </is>
      </c>
      <c r="C24" s="178" t="inlineStr">
        <is>
          <t>Hayır</t>
        </is>
      </c>
      <c r="D24" s="178" t="inlineStr">
        <is>
          <t>EVET</t>
        </is>
      </c>
    </row>
    <row r="25">
      <c r="A25" s="185" t="inlineStr">
        <is>
          <t>K22</t>
        </is>
      </c>
      <c r="B25" s="178" t="inlineStr">
        <is>
          <t>Senaryo/Stres modülü gerçekten sonuç değiştiriyor mu?</t>
        </is>
      </c>
      <c r="C25" s="178" t="inlineStr">
        <is>
          <t>Evet</t>
        </is>
      </c>
      <c r="D25" s="178" t="inlineStr">
        <is>
          <t>EVET</t>
        </is>
      </c>
    </row>
    <row r="26">
      <c r="A26" s="185" t="inlineStr">
        <is>
          <t>K23</t>
        </is>
      </c>
      <c r="B26" s="178" t="inlineStr">
        <is>
          <t>Oracle/bağımsız doğrulama gerçek veri üretiyor mu?</t>
        </is>
      </c>
      <c r="C26" s="178" t="inlineStr">
        <is>
          <t>Evet veya gerekçeli UYGULANMAZ</t>
        </is>
      </c>
      <c r="D26" s="178" t="inlineStr">
        <is>
          <t>EVET</t>
        </is>
      </c>
    </row>
    <row r="27">
      <c r="A27" s="185" t="inlineStr">
        <is>
          <t>K24</t>
        </is>
      </c>
      <c r="B27" s="178" t="inlineStr">
        <is>
          <t>Yönetici ekranı 5 saniyede sorunu ve aksiyonu anlatıyor mu?</t>
        </is>
      </c>
      <c r="C27" s="178" t="inlineStr">
        <is>
          <t>Evet</t>
        </is>
      </c>
      <c r="D27" s="178" t="inlineStr">
        <is>
          <t>EVET</t>
        </is>
      </c>
    </row>
    <row r="28">
      <c r="A28" s="185" t="inlineStr">
        <is>
          <t>K25</t>
        </is>
      </c>
      <c r="B28" s="178" t="inlineStr">
        <is>
          <t>Her kritik kararın parasal etkisi ve önerilen aksiyonu var mı?</t>
        </is>
      </c>
      <c r="C28" s="178" t="inlineStr">
        <is>
          <t>Evet</t>
        </is>
      </c>
      <c r="D28" s="178" t="inlineStr">
        <is>
          <t>EVET</t>
        </is>
      </c>
    </row>
    <row r="29">
      <c r="A29" s="185" t="inlineStr">
        <is>
          <t>K26</t>
        </is>
      </c>
      <c r="B29" s="178" t="inlineStr">
        <is>
          <t>Ürün sayfası/ürün içi demo satın alma gerekçesini kanıtlıyor mu?</t>
        </is>
      </c>
      <c r="C29" s="178" t="inlineStr">
        <is>
          <t>Evet</t>
        </is>
      </c>
      <c r="D29" s="178" t="inlineStr">
        <is>
          <t>EVET</t>
        </is>
      </c>
    </row>
    <row r="30" ht="30" customHeight="1">
      <c r="A30" s="186" t="inlineStr">
        <is>
          <t>K27</t>
        </is>
      </c>
      <c r="B30" s="187" t="inlineStr">
        <is>
          <t>Buton görünümü verilen tüm alanlar gerçekten tıklanabilir ve doğru hedefe gidiyor mu?</t>
        </is>
      </c>
      <c r="C30" s="187" t="inlineStr">
        <is>
          <t>Evet</t>
        </is>
      </c>
      <c r="D30" s="178" t="inlineStr">
        <is>
          <t>EVET</t>
        </is>
      </c>
    </row>
    <row r="31" ht="30" customHeight="1">
      <c r="A31" s="186" t="inlineStr">
        <is>
          <t>K28</t>
        </is>
      </c>
      <c r="B31" s="187" t="inlineStr">
        <is>
          <t>Tüm görünür kullanıcı sheet tabları kurumsal kategori rengi taşıyor mu?</t>
        </is>
      </c>
      <c r="C31" s="187" t="inlineStr">
        <is>
          <t>Evet</t>
        </is>
      </c>
      <c r="D31" s="178" t="inlineStr">
        <is>
          <t>EVET</t>
        </is>
      </c>
    </row>
    <row r="32" ht="16" customHeight="1">
      <c r="A32" s="186" t="inlineStr">
        <is>
          <t>K29</t>
        </is>
      </c>
      <c r="B32" s="187" t="inlineStr">
        <is>
          <t>Sheet sırası tanımlı kullanıcı iş akışıyla birebir aynı mı?</t>
        </is>
      </c>
      <c r="C32" s="187" t="inlineStr">
        <is>
          <t>Evet</t>
        </is>
      </c>
      <c r="D32" s="178" t="inlineStr">
        <is>
          <t>EVET</t>
        </is>
      </c>
    </row>
    <row r="33" ht="30" customHeight="1">
      <c r="A33" s="186" t="inlineStr">
        <is>
          <t>K30</t>
        </is>
      </c>
      <c r="B33" s="187" t="inlineStr">
        <is>
          <t>Kurumsal renk paleti tutarlı mı; rastgele/gökkuşağı renk kullanımı var mı?</t>
        </is>
      </c>
      <c r="C33" s="187" t="inlineStr">
        <is>
          <t>Evet / Hayır</t>
        </is>
      </c>
      <c r="D33" s="178" t="inlineStr">
        <is>
          <t>EVET</t>
        </is>
      </c>
    </row>
    <row r="34" ht="30" customHeight="1">
      <c r="A34" s="186" t="inlineStr">
        <is>
          <t>K31</t>
        </is>
      </c>
      <c r="B34" s="187" t="inlineStr">
        <is>
          <t>Premium vitrin, altyapı kadar güçlü ve satış fiyatını destekleyecek seviyede mi?</t>
        </is>
      </c>
      <c r="C34" s="187" t="inlineStr">
        <is>
          <t>Evet</t>
        </is>
      </c>
      <c r="D34" s="17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8" t="inlineStr">
        <is>
          <t>GÖRSEL TASARIM VE PREMIUM EXCEL STANDARDI</t>
        </is>
      </c>
    </row>
    <row r="3" ht="24" customHeight="1">
      <c r="A3" s="189" t="inlineStr">
        <is>
          <t>Alan</t>
        </is>
      </c>
      <c r="B3" s="189" t="inlineStr">
        <is>
          <t>Zorunlu Kural</t>
        </is>
      </c>
      <c r="C3" s="189" t="inlineStr">
        <is>
          <t>Uygulama</t>
        </is>
      </c>
      <c r="D3" s="189" t="inlineStr">
        <is>
          <t>Yasak</t>
        </is>
      </c>
      <c r="E3" s="189" t="inlineStr">
        <is>
          <t>Kontrol</t>
        </is>
      </c>
      <c r="F3" s="189" t="inlineStr">
        <is>
          <t>Durum</t>
        </is>
      </c>
    </row>
    <row r="4" ht="28" customHeight="1">
      <c r="A4" s="190" t="inlineStr">
        <is>
          <t>Sayfa başlığı</t>
        </is>
      </c>
      <c r="B4" s="178" t="inlineStr">
        <is>
          <t>Her kullanıcı sayfasının en üstünde tek ve açık sayfa başlığı</t>
        </is>
      </c>
      <c r="C4" s="178" t="inlineStr">
        <is>
          <t>A1'den başlayan koyu lacivert başlık bandı</t>
        </is>
      </c>
      <c r="D4" s="178" t="inlineStr">
        <is>
          <t>Başlıksız sayfa</t>
        </is>
      </c>
      <c r="E4" s="178" t="inlineStr">
        <is>
          <t>Başlık kapsama = %100</t>
        </is>
      </c>
      <c r="F4" s="191" t="inlineStr">
        <is>
          <t>ZORUNLU</t>
        </is>
      </c>
    </row>
    <row r="5" ht="28" customHeight="1">
      <c r="A5" s="190" t="inlineStr">
        <is>
          <t>Sekme renkleri</t>
        </is>
      </c>
      <c r="B5" s="178" t="inlineStr">
        <is>
          <t>Sayfalar işlevine göre renk kodlanır</t>
        </is>
      </c>
      <c r="C5" s="178" t="inlineStr">
        <is>
          <t>Girdi=mavi, hesap=gri, rapor=lacivert, kontrol=kırmızı, kılavuz=altın</t>
        </is>
      </c>
      <c r="D5" s="178" t="inlineStr">
        <is>
          <t>Rastgele renk</t>
        </is>
      </c>
      <c r="E5" s="178" t="inlineStr">
        <is>
          <t>Renk semantiği tutarlı</t>
        </is>
      </c>
      <c r="F5" s="191" t="inlineStr">
        <is>
          <t>ZORUNLU</t>
        </is>
      </c>
    </row>
    <row r="6" ht="28" customHeight="1">
      <c r="A6" s="190" t="inlineStr">
        <is>
          <t>Kolon düzeni</t>
        </is>
      </c>
      <c r="B6" s="178" t="inlineStr">
        <is>
          <t>Veri blokları bitişik kolonlarda ilerler</t>
        </is>
      </c>
      <c r="C6" s="178" t="inlineStr">
        <is>
          <t>Gereksiz boş kolon bırakma; yalnız gerçek bölüm ayrımı varsa kontrollü boşluk</t>
        </is>
      </c>
      <c r="D6" s="178" t="inlineStr">
        <is>
          <t>A:C veri, D boş, E:F veri gibi parçalı yapı</t>
        </is>
      </c>
      <c r="E6" s="178" t="inlineStr">
        <is>
          <t>Boş kolon taraması</t>
        </is>
      </c>
      <c r="F6" s="191" t="inlineStr">
        <is>
          <t>ZORUNLU</t>
        </is>
      </c>
    </row>
    <row r="7" ht="16" customHeight="1">
      <c r="A7" s="190" t="inlineStr">
        <is>
          <t>Girdi hücreleri</t>
        </is>
      </c>
      <c r="B7" s="178" t="inlineStr">
        <is>
          <t>Kullanıcının değiştireceği alan açıkça görünür</t>
        </is>
      </c>
      <c r="C7" s="178" t="inlineStr">
        <is>
          <t>Açık sarı dolgu + mavi yazı</t>
        </is>
      </c>
      <c r="D7" s="178" t="inlineStr">
        <is>
          <t>Formülle aynı görünüm</t>
        </is>
      </c>
      <c r="E7" s="178" t="inlineStr">
        <is>
          <t>Girdi/formül ayrımı</t>
        </is>
      </c>
      <c r="F7" s="191" t="inlineStr">
        <is>
          <t>ZORUNLU</t>
        </is>
      </c>
    </row>
    <row r="8" ht="16" customHeight="1">
      <c r="A8" s="190" t="inlineStr">
        <is>
          <t>Formüller</t>
        </is>
      </c>
      <c r="B8" s="178" t="inlineStr">
        <is>
          <t>Hesap hücreleri kullanıcı girdisinden ayrılır</t>
        </is>
      </c>
      <c r="C8" s="178" t="inlineStr">
        <is>
          <t>Siyah yazı; sayfalar arası bağlantı yeşil yazı</t>
        </is>
      </c>
      <c r="D8" s="178" t="inlineStr">
        <is>
          <t>Hard-code gizleme</t>
        </is>
      </c>
      <c r="E8" s="178" t="inlineStr">
        <is>
          <t>Formül sınıfı kontrolü</t>
        </is>
      </c>
      <c r="F8" s="191" t="inlineStr">
        <is>
          <t>ZORUNLU</t>
        </is>
      </c>
    </row>
    <row r="9" ht="16" customHeight="1">
      <c r="A9" s="190" t="inlineStr">
        <is>
          <t>Grafik sayısı</t>
        </is>
      </c>
      <c r="B9" s="178" t="inlineStr">
        <is>
          <t>Yönetici ekranında en fazla 3 ana karar grafiği</t>
        </is>
      </c>
      <c r="C9" s="178" t="inlineStr">
        <is>
          <t>Trend, karşılaştırma, köprü/dağılım; iş kararına bağlı</t>
        </is>
      </c>
      <c r="D9" s="178" t="inlineStr">
        <is>
          <t>Grafik kalabalığı</t>
        </is>
      </c>
      <c r="E9" s="178" t="inlineStr">
        <is>
          <t>Grafik başına karar sorusu</t>
        </is>
      </c>
      <c r="F9" s="191" t="inlineStr">
        <is>
          <t>ZORUNLU</t>
        </is>
      </c>
    </row>
    <row r="10" ht="16" customHeight="1">
      <c r="A10" s="190" t="inlineStr">
        <is>
          <t>Grafik stili</t>
        </is>
      </c>
      <c r="B10" s="178" t="inlineStr">
        <is>
          <t>Kurumsal ve yüksek okunabilirlik</t>
        </is>
      </c>
      <c r="C10" s="178" t="inlineStr">
        <is>
          <t>Beyaz zemin, ince gridline, tek vurgu rengi, açık birim/başlık</t>
        </is>
      </c>
      <c r="D10" s="178" t="inlineStr">
        <is>
          <t>3B, gölge, neon, gökkuşağı renkleri</t>
        </is>
      </c>
      <c r="E10" s="178" t="inlineStr">
        <is>
          <t>Görsel inceleme</t>
        </is>
      </c>
      <c r="F10" s="191" t="inlineStr">
        <is>
          <t>ZORUNLU</t>
        </is>
      </c>
    </row>
    <row r="11" ht="16" customHeight="1">
      <c r="A11" s="190" t="inlineStr">
        <is>
          <t>Grafik başlığı</t>
        </is>
      </c>
      <c r="B11" s="178" t="inlineStr">
        <is>
          <t>Grafik 'neyi' değil 'ne anlama geldiğini' söyler</t>
        </is>
      </c>
      <c r="C11" s="178" t="inlineStr">
        <is>
          <t>Örn: 'Nakit 2028'de kritik eşiğin altına iniyor'</t>
        </is>
      </c>
      <c r="D11" s="178" t="inlineStr">
        <is>
          <t>'Nakit Grafiği' gibi anlamsız başlık</t>
        </is>
      </c>
      <c r="E11" s="178" t="inlineStr">
        <is>
          <t>Başlık karar testi</t>
        </is>
      </c>
      <c r="F11" s="191" t="inlineStr">
        <is>
          <t>ZORUNLU</t>
        </is>
      </c>
    </row>
    <row r="12" ht="16" customHeight="1">
      <c r="A12" s="190" t="inlineStr">
        <is>
          <t>Birimler</t>
        </is>
      </c>
      <c r="B12" s="178" t="inlineStr">
        <is>
          <t>Tüm finansal görsellerde birim açık</t>
        </is>
      </c>
      <c r="C12" s="178" t="inlineStr">
        <is>
          <t>TL, bin TL, milyon TL, %, gün, x</t>
        </is>
      </c>
      <c r="D12" s="178" t="inlineStr">
        <is>
          <t>Birim belirsizliği</t>
        </is>
      </c>
      <c r="E12" s="178" t="inlineStr">
        <is>
          <t>Birim kapsama %100</t>
        </is>
      </c>
      <c r="F12" s="191" t="inlineStr">
        <is>
          <t>ZORUNLU</t>
        </is>
      </c>
    </row>
    <row r="13" ht="16" customHeight="1">
      <c r="A13" s="190" t="inlineStr">
        <is>
          <t>Sıfır/negatif</t>
        </is>
      </c>
      <c r="B13" s="178" t="inlineStr">
        <is>
          <t>Finansal format standardı</t>
        </is>
      </c>
      <c r="C13" s="178" t="inlineStr">
        <is>
          <t>Sıfır='-', negatif kırmızı parantez</t>
        </is>
      </c>
      <c r="D13" s="178" t="inlineStr">
        <is>
          <t>-500 veya 0,00 kalabalığı</t>
        </is>
      </c>
      <c r="E13" s="178" t="inlineStr">
        <is>
          <t>Format kontrolü</t>
        </is>
      </c>
      <c r="F13" s="191" t="inlineStr">
        <is>
          <t>ZORUNLU</t>
        </is>
      </c>
    </row>
    <row r="14" ht="16" customHeight="1">
      <c r="A14" s="190" t="inlineStr">
        <is>
          <t>Yazı tipi</t>
        </is>
      </c>
      <c r="B14" s="178" t="inlineStr">
        <is>
          <t>Tek aile</t>
        </is>
      </c>
      <c r="C14" s="178" t="inlineStr">
        <is>
          <t>Aptos veya Segoe UI</t>
        </is>
      </c>
      <c r="D14" s="178" t="inlineStr">
        <is>
          <t>Karışık font</t>
        </is>
      </c>
      <c r="E14" s="178" t="inlineStr">
        <is>
          <t>Tek font kontrolü</t>
        </is>
      </c>
      <c r="F14" s="191" t="inlineStr">
        <is>
          <t>ZORUNLU</t>
        </is>
      </c>
    </row>
    <row r="15" ht="16" customHeight="1">
      <c r="A15" s="190" t="inlineStr">
        <is>
          <t>Izgara</t>
        </is>
      </c>
      <c r="B15" s="178" t="inlineStr">
        <is>
          <t>Kullanıcı sayfalarında kapalı</t>
        </is>
      </c>
      <c r="C15" s="178" t="inlineStr">
        <is>
          <t>Bölüm çizgileri ve kart sınırlarıyla düzen</t>
        </is>
      </c>
      <c r="D15" s="178" t="inlineStr">
        <is>
          <t>Excel varsayılan gridline</t>
        </is>
      </c>
      <c r="E15" s="178" t="inlineStr">
        <is>
          <t>Gridline kontrolü</t>
        </is>
      </c>
      <c r="F15" s="191" t="inlineStr">
        <is>
          <t>ZORUNLU</t>
        </is>
      </c>
    </row>
    <row r="16" ht="16" customHeight="1">
      <c r="A16" s="190" t="inlineStr">
        <is>
          <t>Boş durum</t>
        </is>
      </c>
      <c r="B16" s="178" t="inlineStr">
        <is>
          <t>Veri yokken temiz ve anlaşılır</t>
        </is>
      </c>
      <c r="C16" s="178" t="inlineStr">
        <is>
          <t>'Henüz veri yok' / 'Girdi bekleniyor'</t>
        </is>
      </c>
      <c r="D16" s="178" t="inlineStr">
        <is>
          <t>0 yığını / hata kodu</t>
        </is>
      </c>
      <c r="E16" s="178" t="inlineStr">
        <is>
          <t>Boş veri testi</t>
        </is>
      </c>
      <c r="F16" s="191" t="inlineStr">
        <is>
          <t>ZORUNLU</t>
        </is>
      </c>
    </row>
    <row r="17" ht="28" customHeight="1">
      <c r="A17" s="190" t="inlineStr">
        <is>
          <t>Başlangıç deneyimi</t>
        </is>
      </c>
      <c r="B17" s="178" t="inlineStr">
        <is>
          <t>İlk 5 saniyede ne gireceği ve neye bakacağı anlaşılır</t>
        </is>
      </c>
      <c r="C17" s="178" t="inlineStr">
        <is>
          <t>Girdi → durum → aksiyon akışı</t>
        </is>
      </c>
      <c r="D17" s="178" t="inlineStr">
        <is>
          <t>Kılavuz aramaya zorlama</t>
        </is>
      </c>
      <c r="E17" s="178" t="inlineStr">
        <is>
          <t>5 saniye testi</t>
        </is>
      </c>
      <c r="F17" s="191" t="inlineStr">
        <is>
          <t>ZORUNLU</t>
        </is>
      </c>
    </row>
    <row r="18" ht="30" customHeight="1">
      <c r="A18" s="186" t="inlineStr">
        <is>
          <t>Buton standardı</t>
        </is>
      </c>
      <c r="B18" s="187" t="inlineStr">
        <is>
          <t>Buton görünümü verilen her alan gerçek işlev taşır</t>
        </is>
      </c>
      <c r="C18" s="187" t="inlineStr">
        <is>
          <t>Sayfa içi HYPERLINK / gerçek aksiyon; tıklanınca hedefe gider</t>
        </is>
      </c>
      <c r="D18" s="187" t="inlineStr">
        <is>
          <t>İşlevsiz dekoratif buton / sahte navigasyon</t>
        </is>
      </c>
      <c r="E18" s="187" t="inlineStr">
        <is>
          <t>Butonların %100'ü tıklanabilir ve hedefi doğru</t>
        </is>
      </c>
      <c r="F18" s="191" t="inlineStr">
        <is>
          <t>ZORUNLU</t>
        </is>
      </c>
    </row>
    <row r="19" ht="32" customHeight="1">
      <c r="A19" s="186" t="inlineStr">
        <is>
          <t>Native sayfa sekmesi rengi</t>
        </is>
      </c>
      <c r="B19" s="187" t="inlineStr">
        <is>
          <t>Excel alt sheet tabları kurumsal paletle renklendirilir</t>
        </is>
      </c>
      <c r="C19" s="187" t="inlineStr">
        <is>
          <t>Başlangıç/özet=lacivert; girdiler=mavi; hesap/finans=teal; karar/kontrol=burgundy; doküman=gri</t>
        </is>
      </c>
      <c r="D19" s="187" t="inlineStr">
        <is>
          <t>Renksiz sekmeler veya rastgele/gökkuşağı renkleri</t>
        </is>
      </c>
      <c r="E19" s="187" t="inlineStr">
        <is>
          <t>Tüm görünür kullanıcı sheet tabları renkli</t>
        </is>
      </c>
      <c r="F19" s="191" t="inlineStr">
        <is>
          <t>ZORUNLU</t>
        </is>
      </c>
    </row>
    <row r="20" ht="60" customHeight="1">
      <c r="A20" s="186" t="inlineStr">
        <is>
          <t>İş akışı sıralaması</t>
        </is>
      </c>
      <c r="B20" s="187" t="inlineStr">
        <is>
          <t>Sayfalar kullanıcının çalışma sırasına göre fiziksel olarak dizilir</t>
        </is>
      </c>
      <c r="C20" s="18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7" t="inlineStr">
        <is>
          <t>Teknik oluşturma sırasına göre dağınık sheet dizilimi</t>
        </is>
      </c>
      <c r="E20" s="187" t="inlineStr">
        <is>
          <t>Sheet order = tanımlı workflow</t>
        </is>
      </c>
      <c r="F20" s="191" t="inlineStr">
        <is>
          <t>ZORUNLU</t>
        </is>
      </c>
    </row>
    <row r="21" ht="30" customHeight="1">
      <c r="A21" s="186" t="inlineStr">
        <is>
          <t>Kurumsal renk paleti</t>
        </is>
      </c>
      <c r="B21" s="187" t="inlineStr">
        <is>
          <t>Sekme, başlık, buton ve vurgu renkleri tek kurumsal paletten gelir</t>
        </is>
      </c>
      <c r="C21" s="187" t="inlineStr">
        <is>
          <t>Lacivert + mavi + teal + kontrollü burgundy/gri; kategori semantiği sabit</t>
        </is>
      </c>
      <c r="D21" s="187" t="inlineStr">
        <is>
          <t>Neon, rastgele yüksek doygunluk, her sayfada farklı bağımsız renk</t>
        </is>
      </c>
      <c r="E21" s="187" t="inlineStr">
        <is>
          <t>Palette token kontrolü</t>
        </is>
      </c>
      <c r="F21" s="191" t="inlineStr">
        <is>
          <t>ZORUNLU</t>
        </is>
      </c>
    </row>
    <row r="22" ht="45" customHeight="1">
      <c r="A22" s="186" t="inlineStr">
        <is>
          <t>Premium vitrin</t>
        </is>
      </c>
      <c r="B22" s="187" t="inlineStr">
        <is>
          <t>Görsel kalite ürün değerinin zorunlu parçasıdır</t>
        </is>
      </c>
      <c r="C22" s="187" t="inlineStr">
        <is>
          <t>Kaliteli grafik, gerçek KPI kartı, finansal hiyerarşi, tab rengi, fonksiyonel navigasyon</t>
        </is>
      </c>
      <c r="D22" s="187" t="inlineStr">
        <is>
          <t>Sadece doğru hesap yapıp çıplak/varsayılan Excel görünümü bırakmak</t>
        </is>
      </c>
      <c r="E22" s="187" t="inlineStr">
        <is>
          <t>Görsel release incelemesi</t>
        </is>
      </c>
      <c r="F22" s="19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2" t="inlineStr">
        <is>
          <t>TÜRKİYE MUHASEBE VE TEKDÜZEN HESAP PLANI STANDARDI</t>
        </is>
      </c>
    </row>
    <row r="3" ht="24" customHeight="1">
      <c r="A3" s="193" t="inlineStr">
        <is>
          <t>Konu</t>
        </is>
      </c>
      <c r="B3" s="193" t="inlineStr">
        <is>
          <t>Zorunlu Standart</t>
        </is>
      </c>
      <c r="C3" s="193" t="inlineStr">
        <is>
          <t>Örnek Türkçe Ad</t>
        </is>
      </c>
      <c r="D3" s="193" t="inlineStr">
        <is>
          <t>THP / Mantık</t>
        </is>
      </c>
      <c r="E3" s="193" t="inlineStr">
        <is>
          <t>Hata Riski</t>
        </is>
      </c>
      <c r="F3" s="193" t="inlineStr">
        <is>
          <t>Kontrol</t>
        </is>
      </c>
    </row>
    <row r="4">
      <c r="A4" s="194" t="inlineStr">
        <is>
          <t>Dil</t>
        </is>
      </c>
      <c r="B4" s="178" t="inlineStr">
        <is>
          <t>Kullanıcıya görünen finansal terimler Türkçe</t>
        </is>
      </c>
      <c r="C4" s="178" t="inlineStr">
        <is>
          <t>Hasılat, Satışların Maliyeti, Brüt Kâr, Faaliyet Giderleri</t>
        </is>
      </c>
      <c r="D4" s="178" t="inlineStr">
        <is>
          <t>Türk işletme kullanımına uygun</t>
        </is>
      </c>
      <c r="E4" s="178" t="inlineStr">
        <is>
          <t>İngilizce jargon</t>
        </is>
      </c>
      <c r="F4" s="178" t="inlineStr">
        <is>
          <t>Terminoloji taraması</t>
        </is>
      </c>
    </row>
    <row r="5" ht="28" customHeight="1">
      <c r="A5" s="194" t="inlineStr">
        <is>
          <t>Gelir Tablosu</t>
        </is>
      </c>
      <c r="B5" s="178" t="inlineStr">
        <is>
          <t>Türk sunum sırası kullanılır</t>
        </is>
      </c>
      <c r="C5" s="178" t="inlineStr">
        <is>
          <t>Net Satışlar → Satışların Maliyeti → Brüt Kâr → Faaliyet Giderleri → Faaliyet Kârı</t>
        </is>
      </c>
      <c r="D5" s="178" t="inlineStr">
        <is>
          <t>600/610/611; 620-623; 63x</t>
        </is>
      </c>
      <c r="E5" s="178" t="inlineStr">
        <is>
          <t>Yanlış sınıflama</t>
        </is>
      </c>
      <c r="F5" s="178" t="inlineStr">
        <is>
          <t>Hesap eşleme</t>
        </is>
      </c>
    </row>
    <row r="6" ht="28" customHeight="1">
      <c r="A6" s="194" t="inlineStr">
        <is>
          <t>Bilanço</t>
        </is>
      </c>
      <c r="B6" s="178" t="inlineStr">
        <is>
          <t>Dönen/Duran Varlık ve Kısa/Uzun Vadeli Yükümlülük ayrımı</t>
        </is>
      </c>
      <c r="C6" s="178" t="inlineStr">
        <is>
          <t>Hazır Değerler, Ticari Alacaklar, Stoklar, Mali Borçlar</t>
        </is>
      </c>
      <c r="D6" s="178" t="inlineStr">
        <is>
          <t>1xx / 2xx / 3xx / 4xx / 5xx</t>
        </is>
      </c>
      <c r="E6" s="178" t="inlineStr">
        <is>
          <t>Vade sınıfı hatası</t>
        </is>
      </c>
      <c r="F6" s="178" t="inlineStr">
        <is>
          <t>Bilanço eşitliği</t>
        </is>
      </c>
    </row>
    <row r="7">
      <c r="A7" s="194" t="inlineStr">
        <is>
          <t>Nakit Akışı</t>
        </is>
      </c>
      <c r="B7" s="178" t="inlineStr">
        <is>
          <t>İşletme/Yatırım/Finansman nakit akışları ayrılır</t>
        </is>
      </c>
      <c r="C7" s="178" t="inlineStr">
        <is>
          <t>Faaliyetlerden Nakit, Yatırım Harcamaları, Finansman Nakit Akışı</t>
        </is>
      </c>
      <c r="D7" s="178" t="inlineStr">
        <is>
          <t>Dolaylı/doğrudan yöntem açık seçilir</t>
        </is>
      </c>
      <c r="E7" s="178" t="inlineStr">
        <is>
          <t>Kâr = nakit sanılması</t>
        </is>
      </c>
      <c r="F7" s="178" t="inlineStr">
        <is>
          <t>Nakit devri</t>
        </is>
      </c>
    </row>
    <row r="8">
      <c r="A8" s="194" t="inlineStr">
        <is>
          <t>Ticari Alacaklar</t>
        </is>
      </c>
      <c r="B8" s="178" t="inlineStr">
        <is>
          <t>Cari ve vade mantığı korunur</t>
        </is>
      </c>
      <c r="C8" s="178" t="inlineStr">
        <is>
          <t>120 Alıcılar</t>
        </is>
      </c>
      <c r="D8" s="178" t="inlineStr">
        <is>
          <t>120</t>
        </is>
      </c>
      <c r="E8" s="178" t="inlineStr">
        <is>
          <t>Tahakkuk/nakit karışması</t>
        </is>
      </c>
      <c r="F8" s="178" t="inlineStr">
        <is>
          <t>Alacak devir kontrolü</t>
        </is>
      </c>
    </row>
    <row r="9">
      <c r="A9" s="194" t="inlineStr">
        <is>
          <t>Ticari Borçlar</t>
        </is>
      </c>
      <c r="B9" s="178" t="inlineStr">
        <is>
          <t>Tedarikçi borcu ayrı izlenir</t>
        </is>
      </c>
      <c r="C9" s="178" t="inlineStr">
        <is>
          <t>320 Satıcılar</t>
        </is>
      </c>
      <c r="D9" s="178" t="inlineStr">
        <is>
          <t>320</t>
        </is>
      </c>
      <c r="E9" s="178" t="inlineStr">
        <is>
          <t>Gider/ödeme karışması</t>
        </is>
      </c>
      <c r="F9" s="178" t="inlineStr">
        <is>
          <t>Borç devir kontrolü</t>
        </is>
      </c>
    </row>
    <row r="10">
      <c r="A10" s="194" t="inlineStr">
        <is>
          <t>Kasa/Banka</t>
        </is>
      </c>
      <c r="B10" s="178" t="inlineStr">
        <is>
          <t>Hazır değerler ayrı izlenir</t>
        </is>
      </c>
      <c r="C10" s="178" t="inlineStr">
        <is>
          <t>100 Kasa, 102 Bankalar</t>
        </is>
      </c>
      <c r="D10" s="178" t="inlineStr">
        <is>
          <t>100 / 102</t>
        </is>
      </c>
      <c r="E10" s="178" t="inlineStr">
        <is>
          <t>Virmanla toplam nakdin değişmesi</t>
        </is>
      </c>
      <c r="F10" s="178" t="inlineStr">
        <is>
          <t>Virman değişmezi</t>
        </is>
      </c>
    </row>
    <row r="11">
      <c r="A11" s="194" t="inlineStr">
        <is>
          <t>Stok</t>
        </is>
      </c>
      <c r="B11" s="178" t="inlineStr">
        <is>
          <t>Dikeye uygun stok türü</t>
        </is>
      </c>
      <c r="C11" s="178" t="inlineStr">
        <is>
          <t>150 İlk Madde ve Malzeme, 153 Ticari Mallar</t>
        </is>
      </c>
      <c r="D11" s="178" t="inlineStr">
        <is>
          <t>15x</t>
        </is>
      </c>
      <c r="E11" s="178" t="inlineStr">
        <is>
          <t>Maliyet ve stok hareketinin kopması</t>
        </is>
      </c>
      <c r="F11" s="178" t="inlineStr">
        <is>
          <t>Stok devri</t>
        </is>
      </c>
    </row>
    <row r="12" ht="28" customHeight="1">
      <c r="A12" s="194" t="inlineStr">
        <is>
          <t>Maddi Duran Varlık</t>
        </is>
      </c>
      <c r="B12" s="178" t="inlineStr">
        <is>
          <t>Yatırım harcaması ve amortisman bağlantılı</t>
        </is>
      </c>
      <c r="C12" s="178" t="inlineStr">
        <is>
          <t>253 Tesis Makine Cihazlar, 255 Demirbaşlar, 257 Birikmiş Amortismanlar</t>
        </is>
      </c>
      <c r="D12" s="178" t="inlineStr">
        <is>
          <t>25x</t>
        </is>
      </c>
      <c r="E12" s="178" t="inlineStr">
        <is>
          <t>Yatırım/gider karışması</t>
        </is>
      </c>
      <c r="F12" s="178" t="inlineStr">
        <is>
          <t>Net defter değeri devri</t>
        </is>
      </c>
    </row>
    <row r="13">
      <c r="A13" s="194" t="inlineStr">
        <is>
          <t>Mali Borçlar</t>
        </is>
      </c>
      <c r="B13" s="178" t="inlineStr">
        <is>
          <t>Kısa/uzun vadeli borç ayrımı</t>
        </is>
      </c>
      <c r="C13" s="178" t="inlineStr">
        <is>
          <t>300 Banka Kredileri / 400 Banka Kredileri</t>
        </is>
      </c>
      <c r="D13" s="178" t="inlineStr">
        <is>
          <t>300 / 400</t>
        </is>
      </c>
      <c r="E13" s="178" t="inlineStr">
        <is>
          <t>Vade sınıfı yanlış</t>
        </is>
      </c>
      <c r="F13" s="178" t="inlineStr">
        <is>
          <t>Borç devri</t>
        </is>
      </c>
    </row>
    <row r="14">
      <c r="A14" s="194" t="inlineStr">
        <is>
          <t>Özkaynak</t>
        </is>
      </c>
      <c r="B14" s="178" t="inlineStr">
        <is>
          <t>Sermaye ve geçmiş yıl kârları ayrı</t>
        </is>
      </c>
      <c r="C14" s="178" t="inlineStr">
        <is>
          <t>500 Sermaye, 570 Geçmiş Yıllar Kârları, 590 Dönem Net Kârı</t>
        </is>
      </c>
      <c r="D14" s="178" t="inlineStr">
        <is>
          <t>5xx</t>
        </is>
      </c>
      <c r="E14" s="178" t="inlineStr">
        <is>
          <t>Net kâr bağının kopması</t>
        </is>
      </c>
      <c r="F14" s="178" t="inlineStr">
        <is>
          <t>Özkaynak devri</t>
        </is>
      </c>
    </row>
    <row r="15">
      <c r="A15" s="194" t="inlineStr">
        <is>
          <t>Vergi</t>
        </is>
      </c>
      <c r="B15" s="178" t="inlineStr">
        <is>
          <t>Vergi satırları Türkiye mantığına uygun</t>
        </is>
      </c>
      <c r="C15" s="178" t="inlineStr">
        <is>
          <t>Dönem Vergi ve Diğer Yasal Yükümlülük Karşılıkları</t>
        </is>
      </c>
      <c r="D15" s="178" t="inlineStr">
        <is>
          <t>37x / ilgili vergi hesapları</t>
        </is>
      </c>
      <c r="E15" s="178" t="inlineStr">
        <is>
          <t>Vergi etkisinin yanlış dönemlenmesi</t>
        </is>
      </c>
      <c r="F15" s="178" t="inlineStr">
        <is>
          <t>Vergi sözleşmesi</t>
        </is>
      </c>
    </row>
    <row r="16">
      <c r="A16" s="194" t="inlineStr">
        <is>
          <t>İsim standardı</t>
        </is>
      </c>
      <c r="B16" s="178" t="inlineStr">
        <is>
          <t>Tablo ve sayfa adları Türkçe ve işlevsel</t>
        </is>
      </c>
      <c r="C16" s="178" t="inlineStr">
        <is>
          <t>GELİR_TABLOSU, BİLANÇO, NAKİT_AKISI, BORC_PLANI</t>
        </is>
      </c>
      <c r="D16" s="178" t="inlineStr">
        <is>
          <t>Tekrarlanabilir standart</t>
        </is>
      </c>
      <c r="E16" s="178" t="inlineStr">
        <is>
          <t>İngilizce/karma isim</t>
        </is>
      </c>
      <c r="F16" s="178" t="inlineStr">
        <is>
          <t>Sayfa ve tablo taraması</t>
        </is>
      </c>
    </row>
    <row r="17">
      <c r="A17" s="194" t="inlineStr">
        <is>
          <t>THP eşleme tablosu</t>
        </is>
      </c>
      <c r="B17" s="178" t="inlineStr">
        <is>
          <t>Her kritik satır en az bir THP hesabına bağlanır</t>
        </is>
      </c>
      <c r="C17" s="178" t="inlineStr">
        <is>
          <t>RaporSatırı → HesapKodu → HesapAdı → İşaret → Dönem</t>
        </is>
      </c>
      <c r="D17" s="178" t="inlineStr">
        <is>
          <t>Kaynak izlenebilirliği</t>
        </is>
      </c>
      <c r="E17" s="178" t="inlineStr">
        <is>
          <t>Rapordan rapora kaynak</t>
        </is>
      </c>
      <c r="F17" s="178" t="inlineStr">
        <is>
          <t>Eşleme kapsama %100</t>
        </is>
      </c>
    </row>
    <row r="18">
      <c r="A18" s="194" t="inlineStr">
        <is>
          <t>İstisna</t>
        </is>
      </c>
      <c r="B18" s="178" t="inlineStr">
        <is>
          <t>TFRS özel ürün varsa fark açık yazılır</t>
        </is>
      </c>
      <c r="C18" s="178" t="inlineStr">
        <is>
          <t>Tekdüzen raporlama ≠ TFRS finansal tablo sunumu</t>
        </is>
      </c>
      <c r="D18" s="178" t="inlineStr">
        <is>
          <t>Amaç belirtilir</t>
        </is>
      </c>
      <c r="E18" s="178" t="inlineStr">
        <is>
          <t>Standartları karıştırma</t>
        </is>
      </c>
      <c r="F18" s="17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5" t="inlineStr">
        <is>
          <t>KARAR, GÜVEN VE SATIŞA HAZIRLIK STANDARDI</t>
        </is>
      </c>
    </row>
    <row r="3" ht="24" customHeight="1">
      <c r="A3" s="196" t="inlineStr">
        <is>
          <t>Alan</t>
        </is>
      </c>
      <c r="B3" s="196" t="inlineStr">
        <is>
          <t>Müşteri Sorusu</t>
        </is>
      </c>
      <c r="C3" s="196" t="inlineStr">
        <is>
          <t>Zorunlu Ürün Davranışı</t>
        </is>
      </c>
      <c r="D3" s="196" t="inlineStr">
        <is>
          <t>Kanıt</t>
        </is>
      </c>
      <c r="E3" s="196" t="inlineStr">
        <is>
          <t>Başarısızlık Durumu</t>
        </is>
      </c>
      <c r="F3" s="196" t="inlineStr">
        <is>
          <t>Kapı</t>
        </is>
      </c>
    </row>
    <row r="4">
      <c r="A4" s="197" t="inlineStr">
        <is>
          <t>5 saniye</t>
        </is>
      </c>
      <c r="B4" s="178" t="inlineStr">
        <is>
          <t>Bu ürün neyi çözüyor?</t>
        </is>
      </c>
      <c r="C4" s="178" t="inlineStr">
        <is>
          <t>İlk ekranda hedef kullanıcı + pahalı problem + sonuç görünür</t>
        </is>
      </c>
      <c r="D4" s="178" t="inlineStr">
        <is>
          <t>Başlık + alt mesaj + gerçek ekran</t>
        </is>
      </c>
      <c r="E4" s="178" t="inlineStr">
        <is>
          <t>Ürün yalnız teknik isim</t>
        </is>
      </c>
      <c r="F4" s="198" t="inlineStr">
        <is>
          <t>HATA</t>
        </is>
      </c>
    </row>
    <row r="5">
      <c r="A5" s="197" t="inlineStr">
        <is>
          <t>Acı</t>
        </is>
      </c>
      <c r="B5" s="178" t="inlineStr">
        <is>
          <t>Sorun bana neye mal oluyor?</t>
        </is>
      </c>
      <c r="C5" s="178" t="inlineStr">
        <is>
          <t>Mümkünse müşterinin kendi verisiyle parasal/zaman etkisi hesaplanır</t>
        </is>
      </c>
      <c r="D5" s="178" t="inlineStr">
        <is>
          <t>ROI/acı hesaplama yöntemi</t>
        </is>
      </c>
      <c r="E5" s="178" t="inlineStr">
        <is>
          <t>Uydurma tasarruf</t>
        </is>
      </c>
      <c r="F5" s="198" t="inlineStr">
        <is>
          <t>HATA</t>
        </is>
      </c>
    </row>
    <row r="6">
      <c r="A6" s="197" t="inlineStr">
        <is>
          <t>Karar</t>
        </is>
      </c>
      <c r="B6" s="178" t="inlineStr">
        <is>
          <t>Bu bilgiyle ne yapacağım?</t>
        </is>
      </c>
      <c r="C6" s="178" t="inlineStr">
        <is>
          <t>Her kritik KPI aksiyona bağlanır</t>
        </is>
      </c>
      <c r="D6" s="178" t="inlineStr">
        <is>
          <t>KARAR_KUYRUGU</t>
        </is>
      </c>
      <c r="E6" s="178" t="inlineStr">
        <is>
          <t>Sadece rapor</t>
        </is>
      </c>
      <c r="F6" s="198" t="inlineStr">
        <is>
          <t>HATA</t>
        </is>
      </c>
    </row>
    <row r="7">
      <c r="A7" s="197" t="inlineStr">
        <is>
          <t>Güven</t>
        </is>
      </c>
      <c r="B7" s="178" t="inlineStr">
        <is>
          <t>Bu sayıya neden inanayım?</t>
        </is>
      </c>
      <c r="C7" s="178" t="inlineStr">
        <is>
          <t>Kaynak, formül mantığı, kontrol ve son doğrulama görünür</t>
        </is>
      </c>
      <c r="D7" s="178" t="inlineStr">
        <is>
          <t>Kontroller + kaynak izi + sürüm</t>
        </is>
      </c>
      <c r="E7" s="178" t="inlineStr">
        <is>
          <t>Prestij kelimesi</t>
        </is>
      </c>
      <c r="F7" s="198" t="inlineStr">
        <is>
          <t>HATA</t>
        </is>
      </c>
    </row>
    <row r="8">
      <c r="A8" s="197" t="inlineStr">
        <is>
          <t>Referans</t>
        </is>
      </c>
      <c r="B8" s="178" t="inlineStr">
        <is>
          <t>Müşteri yorumu yoksa ne göstereceğim?</t>
        </is>
      </c>
      <c r="C8" s="178" t="inlineStr">
        <is>
          <t>Önce/Sonra + Karar Vakası + Hata Önleme Vakası üretilir</t>
        </is>
      </c>
      <c r="D8" s="178" t="inlineStr">
        <is>
          <t>Demo/örnek çıktı</t>
        </is>
      </c>
      <c r="E8" s="178" t="inlineStr">
        <is>
          <t>Kanıtsız iddia</t>
        </is>
      </c>
      <c r="F8" s="198" t="inlineStr">
        <is>
          <t>HATA</t>
        </is>
      </c>
    </row>
    <row r="9">
      <c r="A9" s="197" t="inlineStr">
        <is>
          <t>Senaryo</t>
        </is>
      </c>
      <c r="B9" s="178" t="inlineStr">
        <is>
          <t>Ne olursa işler bozulur?</t>
        </is>
      </c>
      <c r="C9" s="178" t="inlineStr">
        <is>
          <t>Baz/Aşağı/Yukarı veya uygun stres senaryosu</t>
        </is>
      </c>
      <c r="D9" s="178" t="inlineStr">
        <is>
          <t>Senaryo karşılaştırma</t>
        </is>
      </c>
      <c r="E9" s="178" t="inlineStr">
        <is>
          <t>Dekoratif senaryo</t>
        </is>
      </c>
      <c r="F9" s="198" t="inlineStr">
        <is>
          <t>HATA</t>
        </is>
      </c>
    </row>
    <row r="10">
      <c r="A10" s="197" t="inlineStr">
        <is>
          <t>Ters stres</t>
        </is>
      </c>
      <c r="B10" s="178" t="inlineStr">
        <is>
          <t>Hangi eşikte karar kırılır?</t>
        </is>
      </c>
      <c r="C10" s="178" t="inlineStr">
        <is>
          <t>En az bir kritik sürücü için kırılma eşiği</t>
        </is>
      </c>
      <c r="D10" s="178" t="inlineStr">
        <is>
          <t>Kırılma eşiği tablosu</t>
        </is>
      </c>
      <c r="E10" s="178" t="inlineStr">
        <is>
          <t>Sadece +/- %10</t>
        </is>
      </c>
      <c r="F10" s="198" t="inlineStr">
        <is>
          <t>UYARI/HATA</t>
        </is>
      </c>
    </row>
    <row r="11">
      <c r="A11" s="197" t="inlineStr">
        <is>
          <t>Hata tutarlılığı</t>
        </is>
      </c>
      <c r="B11" s="178" t="inlineStr">
        <is>
          <t>Formül hata verirse ne olur?</t>
        </is>
      </c>
      <c r="C11" s="178" t="inlineStr">
        <is>
          <t>Kontrol GEÇTİ veremez; BLOKE/HATA üretir</t>
        </is>
      </c>
      <c r="D11" s="178" t="inlineStr">
        <is>
          <t>Hata taraması</t>
        </is>
      </c>
      <c r="E11" s="178" t="inlineStr">
        <is>
          <t>Hata + GEÇTİ birlikte</t>
        </is>
      </c>
      <c r="F11" s="198" t="inlineStr">
        <is>
          <t>HATA</t>
        </is>
      </c>
    </row>
    <row r="12">
      <c r="A12" s="197" t="inlineStr">
        <is>
          <t>Karar motoru</t>
        </is>
      </c>
      <c r="B12" s="178" t="inlineStr">
        <is>
          <t>Ne oldu, neden oldu?</t>
        </is>
      </c>
      <c r="C12" s="178" t="inlineStr">
        <is>
          <t>Sorun + neden + parasal etki + aksiyon + son tarih</t>
        </is>
      </c>
      <c r="D12" s="178" t="inlineStr">
        <is>
          <t>Karar tablosu</t>
        </is>
      </c>
      <c r="E12" s="178" t="inlineStr">
        <is>
          <t>Boş sayfa / isim düzeyi modül</t>
        </is>
      </c>
      <c r="F12" s="198" t="inlineStr">
        <is>
          <t>HATA</t>
        </is>
      </c>
    </row>
    <row r="13">
      <c r="A13" s="197" t="inlineStr">
        <is>
          <t>Yönetici özeti</t>
        </is>
      </c>
      <c r="B13" s="178" t="inlineStr">
        <is>
          <t>5 saniyede ne görmeliyim?</t>
        </is>
      </c>
      <c r="C13" s="178" t="inlineStr">
        <is>
          <t>Bugün / ne değişti / ne bozulacak / neden / ne yapmalıyım / güven</t>
        </is>
      </c>
      <c r="D13" s="178" t="inlineStr">
        <is>
          <t>Yönetici özeti ekranı</t>
        </is>
      </c>
      <c r="E13" s="178" t="inlineStr">
        <is>
          <t>KPI kutusu yığını</t>
        </is>
      </c>
      <c r="F13" s="198" t="inlineStr">
        <is>
          <t>HATA</t>
        </is>
      </c>
    </row>
    <row r="14">
      <c r="A14" s="197" t="inlineStr">
        <is>
          <t>Teklif</t>
        </is>
      </c>
      <c r="B14" s="178" t="inlineStr">
        <is>
          <t>Neden satın almalıyım?</t>
        </is>
      </c>
      <c r="C14" s="178" t="inlineStr">
        <is>
          <t>Dosya özellikleri yerine sonuç ve kaçınılan maliyet sunulur</t>
        </is>
      </c>
      <c r="D14" s="178" t="inlineStr">
        <is>
          <t>Ürün sayfası kanıt eşlemesi</t>
        </is>
      </c>
      <c r="E14" s="178" t="inlineStr">
        <is>
          <t>Özellik listesiyle satış</t>
        </is>
      </c>
      <c r="F14" s="198" t="inlineStr">
        <is>
          <t>HATA</t>
        </is>
      </c>
    </row>
    <row r="15">
      <c r="A15" s="197" t="inlineStr">
        <is>
          <t>Dağıtım</t>
        </is>
      </c>
      <c r="B15" s="178" t="inlineStr">
        <is>
          <t>Beni nasıl bulacaklar?</t>
        </is>
      </c>
      <c r="C15" s="178" t="inlineStr">
        <is>
          <t>Sorun niyetine göre SEO sayfaları, iç bağlantı, temiz yapı, taranabilir metin</t>
        </is>
      </c>
      <c r="D15" s="178" t="inlineStr">
        <is>
          <t>Arama niyeti haritası</t>
        </is>
      </c>
      <c r="E15" s="178" t="inlineStr">
        <is>
          <t>Tek ürün sayfasına bağımlılık</t>
        </is>
      </c>
      <c r="F15" s="198" t="inlineStr">
        <is>
          <t>UYARI</t>
        </is>
      </c>
    </row>
    <row r="16" ht="28" customHeight="1">
      <c r="A16" s="197" t="inlineStr">
        <is>
          <t>LLM görünürlüğü</t>
        </is>
      </c>
      <c r="B16" s="178" t="inlineStr">
        <is>
          <t>AI ürünümü anlayabiliyor mu?</t>
        </is>
      </c>
      <c r="C16" s="178" t="inlineStr">
        <is>
          <t>Ürün tanımı, hedef kullanıcı, girdi/çıktı, metodoloji, sınırlar, SSS açık metindir</t>
        </is>
      </c>
      <c r="D16" s="178" t="inlineStr">
        <is>
          <t>Taranabilir ürün içeriği</t>
        </is>
      </c>
      <c r="E16" s="178" t="inlineStr">
        <is>
          <t>'AI SEO' iddiası</t>
        </is>
      </c>
      <c r="F16" s="198" t="inlineStr">
        <is>
          <t>UYARI</t>
        </is>
      </c>
    </row>
    <row r="17">
      <c r="A17" s="197" t="inlineStr">
        <is>
          <t>Satış kanalı</t>
        </is>
      </c>
      <c r="B17" s="178" t="inlineStr">
        <is>
          <t>Nerede satılmalı?</t>
        </is>
      </c>
      <c r="C17" s="178" t="inlineStr">
        <is>
          <t>Arama, LinkedIn, uzman/partner, demo/video; ürüne göre kanal seçilir</t>
        </is>
      </c>
      <c r="D17" s="178" t="inlineStr">
        <is>
          <t>Kanal matrisi</t>
        </is>
      </c>
      <c r="E17" s="178" t="inlineStr">
        <is>
          <t>Her ürüne aynı kanal</t>
        </is>
      </c>
      <c r="F17" s="198" t="inlineStr">
        <is>
          <t>UYARI</t>
        </is>
      </c>
    </row>
    <row r="18">
      <c r="A18" s="197" t="inlineStr">
        <is>
          <t>Fiyat</t>
        </is>
      </c>
      <c r="B18" s="178" t="inlineStr">
        <is>
          <t>Bu fiyat neden mantıklı?</t>
        </is>
      </c>
      <c r="C18" s="178" t="inlineStr">
        <is>
          <t>Fiyat, ekonomik karar değerine ve kanıtlanmış ürün derinliğine bağlanır</t>
        </is>
      </c>
      <c r="D18" s="178" t="inlineStr">
        <is>
          <t>Değer haritası + demo</t>
        </is>
      </c>
      <c r="E18" s="178" t="inlineStr">
        <is>
          <t>Sırf sayfa/formül sayısı</t>
        </is>
      </c>
      <c r="F18" s="198" t="inlineStr">
        <is>
          <t>HATA</t>
        </is>
      </c>
    </row>
    <row r="19">
      <c r="A19" s="197" t="inlineStr">
        <is>
          <t>Pazar kanıtı</t>
        </is>
      </c>
      <c r="B19" s="178" t="inlineStr">
        <is>
          <t>Piyasa gerçekten ödüyor mu?</t>
        </is>
      </c>
      <c r="C19" s="178" t="inlineStr">
        <is>
          <t>Satış/pilot/LOI/fiyat kabulü olmadan pazar doğrulandı yazılmaz</t>
        </is>
      </c>
      <c r="D19" s="178" t="inlineStr">
        <is>
          <t>Gerçek işlem kanıtı</t>
        </is>
      </c>
      <c r="E19" s="178" t="inlineStr">
        <is>
          <t>Tahmini talep = satış kabulü</t>
        </is>
      </c>
      <c r="F19" s="19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Yeniden Değerleme Komuta Merkezi (298/Ç + Geç.32)</t>
        </is>
      </c>
    </row>
    <row r="3" ht="30" customHeight="1">
      <c r="A3" s="3" t="inlineStr">
        <is>
          <t>Yeniden Değerleme Komuta Merkezi (298/Ç + Geç.32)</t>
        </is>
      </c>
    </row>
    <row r="4">
      <c r="A4" s="4" t="inlineStr">
        <is>
          <t>Sabit kıymet maliyet ve endeksini girin; VUK 298/Ç ile Geçici 32 yeniden değerleme farkını, fon/özkaynak ve vergi etkisini yan yana üretip GO/REVIEW kararı verin.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endeks/fon güncellemesine hazır motor</t>
        </is>
      </c>
    </row>
    <row r="8">
      <c r="A8" s="6" t="inlineStr">
        <is>
          <t>• 298/Ç ve Geç.32 yan yana fark, fon, özkaynak ve vergi etkisi</t>
        </is>
      </c>
    </row>
    <row r="9">
      <c r="A9" s="6" t="inlineStr">
        <is>
          <t>• Baz / iyimser / kötümser + kural değişimi (fon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Geç.32 vs 298/Ç öncelik (yorum A / B)</t>
        </is>
      </c>
    </row>
    <row r="13">
      <c r="A13" s="5" t="inlineStr">
        <is>
          <t>Kimler için?</t>
        </is>
      </c>
    </row>
    <row r="14">
      <c r="A14" s="7" t="inlineStr">
        <is>
          <t>• SMMM / YMM — 298/Ç vs Geç.32 kararını müşteriye sunmak</t>
        </is>
      </c>
    </row>
    <row r="15">
      <c r="A15" s="7" t="inlineStr">
        <is>
          <t>• CFO — vergi/özkaynak etkisini bütçelemek</t>
        </is>
      </c>
    </row>
    <row r="16">
      <c r="A16" s="7" t="inlineStr">
        <is>
          <t>• Ortak / yönetim — yap/yapma kararını almak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Yeniden Değerleme Komuta Merkezi (298/Ç + Geç.32)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maliyet, birikmiş amortisman, endeks ve kalan ömrü sarı hücrelere girin.</t>
        </is>
      </c>
    </row>
    <row r="6">
      <c r="A6" s="10" t="inlineStr">
        <is>
          <t>Adım 2 — Karar</t>
        </is>
      </c>
      <c r="B6" s="6" t="inlineStr">
        <is>
          <t>PANO'da fark, fon, özkaynak etkisi ve GO/REVIEW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Endeksi yüzde yerine çarpan olarak girmemek (1,45 doğru; 45 yanlış)</t>
        </is>
      </c>
    </row>
    <row r="11">
      <c r="A11" s="12" t="inlineStr">
        <is>
          <t>• Net defter yerine brüt maliyeti karıştırmak</t>
        </is>
      </c>
    </row>
    <row r="12">
      <c r="A12" s="12" t="inlineStr">
        <is>
          <t>• Geç.32 fon oranını kural tablosu dışında sabitlemek</t>
        </is>
      </c>
    </row>
    <row r="14">
      <c r="A14" s="13" t="inlineStr">
        <is>
          <t>Bu dosya karar destek aracıdır; beyanname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Yeniden Değerleme Komuta Merkezi (298/Ç + Geç.32)</t>
        </is>
      </c>
    </row>
    <row r="3">
      <c r="A3" s="9" t="inlineStr">
        <is>
          <t>Dönem ve kıymet</t>
        </is>
      </c>
    </row>
    <row r="4">
      <c r="A4" s="4" t="inlineStr">
        <is>
          <t>Sarı hücreler manuel giriştir. Fark ve karar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Kurum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Maliyet (iktisap) [₺]</t>
        </is>
      </c>
      <c r="B9" s="33" t="n">
        <v>1000000</v>
      </c>
      <c r="C9" s="28" t="inlineStr">
        <is>
          <t>₺</t>
        </is>
      </c>
    </row>
    <row r="10">
      <c r="A10" s="7" t="inlineStr">
        <is>
          <t>Birikmiş Amortisman [₺]</t>
        </is>
      </c>
      <c r="B10" s="33" t="n">
        <v>200000</v>
      </c>
      <c r="C10" s="28" t="inlineStr">
        <is>
          <t>₺</t>
        </is>
      </c>
    </row>
    <row r="11">
      <c r="A11" s="7" t="inlineStr">
        <is>
          <t>Endeks Oranı [çarpan]</t>
        </is>
      </c>
      <c r="B11" s="34" t="n">
        <v>1.45</v>
      </c>
      <c r="C11" s="28" t="inlineStr">
        <is>
          <t>çarpan</t>
        </is>
      </c>
    </row>
    <row r="12">
      <c r="A12" s="7" t="inlineStr">
        <is>
          <t>Kalan Ömür [yıl]</t>
        </is>
      </c>
      <c r="B12" s="32" t="n">
        <v>10</v>
      </c>
      <c r="C12" s="28" t="inlineStr">
        <is>
          <t>yıl</t>
        </is>
      </c>
    </row>
    <row r="13">
      <c r="A13" s="7" t="inlineStr">
        <is>
          <t>Öncelik Yorumu (A/B)</t>
        </is>
      </c>
      <c r="B13" s="31" t="inlineStr">
        <is>
          <t>A</t>
        </is>
      </c>
      <c r="C13" s="28" t="inlineStr">
        <is>
          <t>A/B</t>
        </is>
      </c>
    </row>
    <row r="15">
      <c r="A15" s="10" t="inlineStr">
        <is>
          <t>Net Defter Değeri [₺]</t>
        </is>
      </c>
      <c r="B15" s="35">
        <f>MAX(0,B9-B10)</f>
        <v/>
      </c>
    </row>
    <row r="16">
      <c r="A16" s="10" t="inlineStr">
        <is>
          <t>Değer Artış Farkı [₺]</t>
        </is>
      </c>
      <c r="B16" s="35">
        <f>IFERROR(ROUND(MAX(0,B9*(B11-1)),2),0)</f>
        <v/>
      </c>
    </row>
    <row r="17">
      <c r="A17" s="10" t="inlineStr">
        <is>
          <t>Giriş doluluk (kalite)</t>
        </is>
      </c>
      <c r="B17" s="36">
        <f>IFERROR(IF(OR(COUNTA(B6:B13)=0,ydk_girisBeklenen=0),0,ROUND(COUNTA(B6:B13)/ydk_girisBeklenen*100,0)),0)</f>
        <v/>
      </c>
    </row>
    <row r="20">
      <c r="A20" s="10" t="inlineStr">
        <is>
          <t>Giriş tablosu (otomasyon / boş-mod)</t>
        </is>
      </c>
    </row>
    <row r="21" ht="30" customHeight="1">
      <c r="A21" s="22" t="inlineStr">
        <is>
          <t>Alan Anahtarı</t>
        </is>
      </c>
      <c r="B21" s="22" t="inlineStr">
        <is>
          <t>Değer</t>
        </is>
      </c>
      <c r="C21" s="22" t="inlineStr">
        <is>
          <t>Birim</t>
        </is>
      </c>
      <c r="D21" s="22" t="inlineStr">
        <is>
          <t>Zorunlu</t>
        </is>
      </c>
      <c r="E21" s="22" t="inlineStr">
        <is>
          <t>Kaynak</t>
        </is>
      </c>
      <c r="F21" s="22" t="inlineStr">
        <is>
          <t>Kontrol</t>
        </is>
      </c>
    </row>
    <row r="22">
      <c r="A22" s="37" t="inlineStr">
        <is>
          <t>kurum_adi</t>
        </is>
      </c>
      <c r="B22" s="37" t="inlineStr">
        <is>
          <t>Örnek Sanayi A.Ş.</t>
        </is>
      </c>
      <c r="C22" s="37" t="inlineStr">
        <is>
          <t>metin</t>
        </is>
      </c>
      <c r="D22" s="37" t="inlineStr">
        <is>
          <t>Evet</t>
        </is>
      </c>
      <c r="E22" s="37" t="inlineStr">
        <is>
          <t>GIRDI</t>
        </is>
      </c>
      <c r="F22" s="38">
        <f>IF($A22="","",IF($B22="","EKSİK","TAM"))</f>
        <v/>
      </c>
    </row>
    <row r="23">
      <c r="A23" s="37" t="inlineStr">
        <is>
          <t>donem</t>
        </is>
      </c>
      <c r="B23" s="37" t="inlineStr">
        <is>
          <t>2025</t>
        </is>
      </c>
      <c r="C23" s="37" t="inlineStr">
        <is>
          <t>metin</t>
        </is>
      </c>
      <c r="D23" s="37" t="inlineStr">
        <is>
          <t>Evet</t>
        </is>
      </c>
      <c r="E23" s="37" t="inlineStr">
        <is>
          <t>GIRDI</t>
        </is>
      </c>
      <c r="F23" s="38">
        <f>IF($A23="","",IF($B23="","EKSİK","TAM"))</f>
        <v/>
      </c>
    </row>
    <row r="24">
      <c r="A24" s="37" t="inlineStr">
        <is>
          <t>hesapYili</t>
        </is>
      </c>
      <c r="B24" s="39" t="n">
        <v>2025</v>
      </c>
      <c r="C24" s="37" t="inlineStr">
        <is>
          <t>yıl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maliyet</t>
        </is>
      </c>
      <c r="B25" s="40" t="n">
        <v>1000000</v>
      </c>
      <c r="C25" s="37" t="inlineStr">
        <is>
          <t>TL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birikmis_amortisman</t>
        </is>
      </c>
      <c r="B26" s="40" t="n">
        <v>200000</v>
      </c>
      <c r="C26" s="37" t="inlineStr">
        <is>
          <t>TL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endeks_orani</t>
        </is>
      </c>
      <c r="B27" s="41" t="n">
        <v>1.45</v>
      </c>
      <c r="C27" s="37" t="inlineStr">
        <is>
          <t>çarpan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kalan_omur_yil</t>
        </is>
      </c>
      <c r="B28" s="39" t="n">
        <v>10</v>
      </c>
      <c r="C28" s="37" t="inlineStr">
        <is>
          <t>yıl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oncelik_yorumu</t>
        </is>
      </c>
      <c r="B29" s="37" t="inlineStr">
        <is>
          <t>A</t>
        </is>
      </c>
      <c r="C29" s="37" t="inlineStr">
        <is>
          <t>A/B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F30" s="38">
        <f>IF($A30="","",IF($B30="","EKSİK","TAM"))</f>
        <v/>
      </c>
    </row>
    <row r="31">
      <c r="F31" s="38">
        <f>IF($A31="","",IF($B31="","EKSİK","TAM"))</f>
        <v/>
      </c>
    </row>
    <row r="32">
      <c r="F32" s="38">
        <f>IF($A32="","",IF($B32="","EKSİK","TAM"))</f>
        <v/>
      </c>
    </row>
    <row r="33"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2" ht="20" customHeight="1">
      <c r="A1022" s="42" t="inlineStr">
        <is>
          <t>Sarı alanlar giriş; fark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2:AN1022"/>
    <mergeCell ref="A1:AD1"/>
  </mergeCells>
  <conditionalFormatting sqref="B9:B12">
    <cfRule type="cellIs" priority="1" operator="lessThan" dxfId="5">
      <formula>0</formula>
    </cfRule>
  </conditionalFormatting>
  <conditionalFormatting sqref="B9:B10">
    <cfRule type="cellIs" priority="2" operator="equal" dxfId="3">
      <formula>0</formula>
    </cfRule>
  </conditionalFormatting>
  <conditionalFormatting sqref="F22:F29">
    <cfRule type="expression" priority="3" dxfId="2">
      <formula>F22="EKSİK"</formula>
    </cfRule>
    <cfRule type="expression" priority="4" dxfId="0">
      <formula>F22="TAM"</formula>
    </cfRule>
  </conditionalFormatting>
  <dataValidations count="12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3" showDropDown="0" showInputMessage="1" showErrorMessage="1" allowBlank="0" errorTitle="Geçersiz" error="A veya B seçin." promptTitle="Öncelik" prompt="A=298/Ç veya B=Geç.32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9" showDropDown="0" showInputMessage="1" showErrorMessage="1" allowBlank="1" errorTitle="Geçersiz" error="A veya B." promptTitle="Öncelik" prompt="A veya B." type="list" errorStyle="stop">
      <formula1>ListeYorumAB</formula1>
    </dataValidation>
    <dataValidation sqref="B9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27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12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  <dataValidation sqref="B28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Yeniden Değerleme Komuta Merkezi (298/Ç + Geç.32)</t>
        </is>
      </c>
    </row>
    <row r="3">
      <c r="A3" s="4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YDK-001</t>
        </is>
      </c>
      <c r="B7" s="7" t="inlineStr">
        <is>
          <t>VUK 298/Ç</t>
        </is>
      </c>
      <c r="C7" s="7" t="inlineStr">
        <is>
          <t>endeks_taban</t>
        </is>
      </c>
      <c r="D7" s="7" t="inlineStr">
        <is>
          <t>endeks&gt;=taban</t>
        </is>
      </c>
      <c r="E7" s="7" t="inlineStr">
        <is>
          <t>endeks_taban</t>
        </is>
      </c>
      <c r="F7" s="45" t="n">
        <v>1</v>
      </c>
      <c r="G7" s="45" t="n">
        <v>1</v>
      </c>
      <c r="H7" s="45" t="n">
        <v>1</v>
      </c>
      <c r="I7" s="7" t="inlineStr">
        <is>
          <t>01.01.2025</t>
        </is>
      </c>
      <c r="J7" s="7" t="inlineStr">
        <is>
          <t>VUK md.298/Ç</t>
        </is>
      </c>
      <c r="K7" s="38">
        <f>IF($A7="","",IFERROR(CHOOSE(MAX(1,MIN(3,IF(OR(hesapYili="",hesapYili=0),1,hesapYili-ydk_yilTaban))),$F7,$G7,$H7),0))</f>
        <v/>
      </c>
    </row>
    <row r="8">
      <c r="A8" s="7" t="inlineStr">
        <is>
          <t>YDK-002</t>
        </is>
      </c>
      <c r="B8" s="7" t="inlineStr">
        <is>
          <t>Geçici 32</t>
        </is>
      </c>
      <c r="C8" s="7" t="inlineStr">
        <is>
          <t>gec32_fon_orani</t>
        </is>
      </c>
      <c r="D8" s="7" t="inlineStr">
        <is>
          <t>fark&gt;0</t>
        </is>
      </c>
      <c r="E8" s="7" t="inlineStr">
        <is>
          <t>gec32_fon_orani</t>
        </is>
      </c>
      <c r="F8" s="46" t="n">
        <v>0.02</v>
      </c>
      <c r="G8" s="46" t="n">
        <v>0.02</v>
      </c>
      <c r="H8" s="46" t="n">
        <v>0.02</v>
      </c>
      <c r="I8" s="7" t="inlineStr">
        <is>
          <t>01.01.2025</t>
        </is>
      </c>
      <c r="J8" s="7" t="inlineStr">
        <is>
          <t>VUK Geçici md.32</t>
        </is>
      </c>
      <c r="K8" s="38">
        <f>IF($A8="","",IFERROR(CHOOSE(MAX(1,MIN(3,IF(OR(hesapYili="",hesapYili=0),1,hesapYili-ydk_yilTaban))),$F8,$G8,$H8),0))</f>
        <v/>
      </c>
    </row>
    <row r="9">
      <c r="A9" s="7" t="inlineStr">
        <is>
          <t>YDK-003</t>
        </is>
      </c>
      <c r="B9" s="7" t="inlineStr">
        <is>
          <t>KVK md.32</t>
        </is>
      </c>
      <c r="C9" s="7" t="inlineStr">
        <is>
          <t>kv_oran</t>
        </is>
      </c>
      <c r="D9" s="7" t="inlineStr">
        <is>
          <t>vergi etkisi</t>
        </is>
      </c>
      <c r="E9" s="7" t="inlineStr">
        <is>
          <t>kv_oran</t>
        </is>
      </c>
      <c r="F9" s="46" t="n">
        <v>0.25</v>
      </c>
      <c r="G9" s="46" t="n">
        <v>0.25</v>
      </c>
      <c r="H9" s="46" t="n">
        <v>0.25</v>
      </c>
      <c r="I9" s="7" t="inlineStr">
        <is>
          <t>01.01.2025</t>
        </is>
      </c>
      <c r="J9" s="7" t="inlineStr">
        <is>
          <t>KVK md.32</t>
        </is>
      </c>
      <c r="K9" s="38">
        <f>IF($A9="","",IFERROR(CHOOSE(MAX(1,MIN(3,IF(OR(hesapYili="",hesapYili=0),1,hesapYili-ydk_yilTaban))),$F9,$G9,$H9),0))</f>
        <v/>
      </c>
    </row>
    <row r="10">
      <c r="A10" s="7" t="inlineStr">
        <is>
          <t>YDK-004</t>
        </is>
      </c>
      <c r="B10" s="7" t="inlineStr">
        <is>
          <t>VUK 298/Ç</t>
        </is>
      </c>
      <c r="C10" s="7" t="inlineStr">
        <is>
          <t>c298_fon_orani</t>
        </is>
      </c>
      <c r="D10" s="7" t="inlineStr">
        <is>
          <t>298 yolu</t>
        </is>
      </c>
      <c r="E10" s="7" t="inlineStr">
        <is>
          <t>c298_fon_orani</t>
        </is>
      </c>
      <c r="F10" s="46" t="n">
        <v>0</v>
      </c>
      <c r="G10" s="46" t="n">
        <v>0</v>
      </c>
      <c r="H10" s="46" t="n">
        <v>0</v>
      </c>
      <c r="I10" s="7" t="inlineStr">
        <is>
          <t>01.01.2025</t>
        </is>
      </c>
      <c r="J10" s="7" t="inlineStr">
        <is>
          <t>VUK md.298/Ç</t>
        </is>
      </c>
      <c r="K10" s="38">
        <f>IF($A10="","",IFERROR(CHOOSE(MAX(1,MIN(3,IF(OR(hesapYili="",hesapYili=0),1,hesapYili-ydk_yilTaban))),$F10,$G10,$H10),0))</f>
        <v/>
      </c>
    </row>
    <row r="11">
      <c r="A11" s="7" t="inlineStr">
        <is>
          <t>YDK-005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7" t="n">
        <v>2</v>
      </c>
      <c r="G11" s="47" t="n">
        <v>2</v>
      </c>
      <c r="H11" s="47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IF($A11="","",IFERROR(CHOOSE(MAX(1,MIN(3,IF(OR(hesapYili="",hesapYili=0),1,hesapYili-ydk_yilTaban))),$F11,$G11,$H11),0))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Geç.32 fon oranı (aktif yıl)</t>
        </is>
      </c>
      <c r="B15" s="25">
        <f>IFERROR(INDEX(CHOOSE(MAX(1,MIN(3,IF(OR(hesapYili="",hesapYili=0),1,hesapYili-ydk_yilTaban))),tblKurallar[deger_2025],tblKurallar[deger_2026],tblKurallar[deger_2027]),MATCH("YDK-002",tblKurallar[kural_id],0)),0)</f>
        <v/>
      </c>
    </row>
    <row r="16">
      <c r="A16" s="7" t="inlineStr">
        <is>
          <t>KV oranı (aktif yıl)</t>
        </is>
      </c>
      <c r="B16" s="25">
        <f>IFERROR(INDEX(CHOOSE(MAX(1,MIN(3,IF(OR(hesapYili="",hesapYili=0),1,hesapYili-ydk_yilTaban))),tblKurallar[deger_2025],tblKurallar[deger_2026],tblKurallar[deger_2027]),MATCH("YDK-003",tblKurallar[kural_id],0)),0)</f>
        <v/>
      </c>
    </row>
    <row r="17">
      <c r="A17" s="7" t="inlineStr">
        <is>
          <t>Matris metni</t>
        </is>
      </c>
      <c r="B17" s="21">
        <f>_xlfn.TEXTJOIN(" | ",TRUE,"YDK-002=",TEXT(B15,"0.0%"),"YDK-003=",TEXT(B16,"0.0%"),"yıl=",hesapYili)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Yeniden Değerleme Komuta Merkezi (298/Ç + Geç.32)</t>
        </is>
      </c>
    </row>
    <row r="3">
      <c r="A3" s="4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8" t="n">
        <v>1</v>
      </c>
      <c r="B7" s="24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3" t="inlineStr">
        <is>
          <t>YDK-005</t>
        </is>
      </c>
      <c r="G7" s="36">
        <f>IFERROR(hesapYili,0)</f>
        <v/>
      </c>
    </row>
    <row r="8">
      <c r="A8" s="48" t="n">
        <v>2</v>
      </c>
      <c r="B8" s="24" t="inlineStr">
        <is>
          <t>Endeks taban</t>
        </is>
      </c>
      <c r="C8" s="51">
        <f>IFERROR(INDEX(CHOOSE(MAX(1,MIN(3,IF(OR(hesapYili="",hesapYili=0),1,hesapYili-ydk_yilTaban))),tblKurallar[deger_2025],tblKurallar[deger_2026],tblKurallar[deger_2027]),MATCH("YDK-001",tblKurallar[kural_id],0)),0)</f>
        <v/>
      </c>
      <c r="D8" s="50" t="inlineStr">
        <is>
          <t>çarpan</t>
        </is>
      </c>
      <c r="E8" s="6" t="inlineStr">
        <is>
          <t>Minimum endeks</t>
        </is>
      </c>
      <c r="F8" s="23" t="inlineStr">
        <is>
          <t>YDK-001</t>
        </is>
      </c>
      <c r="G8" s="52">
        <f>IFERROR(INDEX(CHOOSE(MAX(1,MIN(3,IF(OR(hesapYili="",hesapYili=0),1,hesapYili-ydk_yilTaban))),tblKurallar[deger_2025],tblKurallar[deger_2026],tblKurallar[deger_2027]),MATCH("YDK-001",tblKurallar[kural_id],0)),0)</f>
        <v/>
      </c>
    </row>
    <row r="9">
      <c r="A9" s="48" t="n">
        <v>3</v>
      </c>
      <c r="B9" s="24" t="inlineStr">
        <is>
          <t>Geç.32 fon oranı</t>
        </is>
      </c>
      <c r="C9" s="53">
        <f>IFERROR(INDEX(CHOOSE(MAX(1,MIN(3,IF(OR(hesapYili="",hesapYili=0),1,hesapYili-ydk_yilTaban))),tblKurallar[deger_2025],tblKurallar[deger_2026],tblKurallar[deger_2027]),MATCH("YDK-002",tblKurallar[kural_id],0)),0)</f>
        <v/>
      </c>
      <c r="D9" s="50" t="inlineStr">
        <is>
          <t>oran</t>
        </is>
      </c>
      <c r="E9" s="6" t="inlineStr">
        <is>
          <t>Fon vergi oranı</t>
        </is>
      </c>
      <c r="F9" s="23" t="inlineStr">
        <is>
          <t>YDK-002</t>
        </is>
      </c>
      <c r="G9" s="25">
        <f>IFERROR(INDEX(CHOOSE(MAX(1,MIN(3,IF(OR(hesapYili="",hesapYili=0),1,hesapYili-ydk_yilTaban))),tblKurallar[deger_2025],tblKurallar[deger_2026],tblKurallar[deger_2027]),MATCH("YDK-002",tblKurallar[kural_id],0)),0)</f>
        <v/>
      </c>
    </row>
    <row r="10">
      <c r="A10" s="48" t="n">
        <v>4</v>
      </c>
      <c r="B10" s="24" t="inlineStr">
        <is>
          <t>KV oranı</t>
        </is>
      </c>
      <c r="C10" s="53">
        <f>IFERROR(INDEX(CHOOSE(MAX(1,MIN(3,IF(OR(hesapYili="",hesapYili=0),1,hesapYili-ydk_yilTaban))),tblKurallar[deger_2025],tblKurallar[deger_2026],tblKurallar[deger_2027]),MATCH("YDK-003",tblKurallar[kural_id],0)),0)</f>
        <v/>
      </c>
      <c r="D10" s="50" t="inlineStr">
        <is>
          <t>oran</t>
        </is>
      </c>
      <c r="E10" s="6" t="inlineStr">
        <is>
          <t>Kurumlar vergisi oranı</t>
        </is>
      </c>
      <c r="F10" s="23" t="inlineStr">
        <is>
          <t>YDK-003</t>
        </is>
      </c>
      <c r="G10" s="25">
        <f>IFERROR(INDEX(CHOOSE(MAX(1,MIN(3,IF(OR(hesapYili="",hesapYili=0),1,hesapYili-ydk_yilTaban))),tblKurallar[deger_2025],tblKurallar[deger_2026],tblKurallar[deger_2027]),MATCH("YDK-003",tblKurallar[kural_id],0)),0)</f>
        <v/>
      </c>
    </row>
    <row r="11">
      <c r="A11" s="48" t="n">
        <v>5</v>
      </c>
      <c r="B11" s="24" t="inlineStr">
        <is>
          <t>298/Ç fon oranı</t>
        </is>
      </c>
      <c r="C11" s="53">
        <f>IFERROR(INDEX(CHOOSE(MAX(1,MIN(3,IF(OR(hesapYili="",hesapYili=0),1,hesapYili-ydk_yilTaban))),tblKurallar[deger_2025],tblKurallar[deger_2026],tblKurallar[deger_2027]),MATCH("YDK-004",tblKurallar[kural_id],0)),0)</f>
        <v/>
      </c>
      <c r="D11" s="50" t="inlineStr">
        <is>
          <t>oran</t>
        </is>
      </c>
      <c r="E11" s="6" t="inlineStr">
        <is>
          <t>298 yolu fon</t>
        </is>
      </c>
      <c r="F11" s="23" t="inlineStr">
        <is>
          <t>YDK-004</t>
        </is>
      </c>
      <c r="G11" s="25">
        <f>IFERROR(INDEX(CHOOSE(MAX(1,MIN(3,IF(OR(hesapYili="",hesapYili=0),1,hesapYili-ydk_yilTaban))),tblKurallar[deger_2025],tblKurallar[deger_2026],tblKurallar[deger_2027]),MATCH("YDK-004",tblKurallar[kural_id],0)),0)</f>
        <v/>
      </c>
    </row>
    <row r="12">
      <c r="A12" s="48" t="n">
        <v>6</v>
      </c>
      <c r="B12" s="24" t="inlineStr">
        <is>
          <t>Yuvarlama ondalık</t>
        </is>
      </c>
      <c r="C12" s="49">
        <f>IFERROR(INDEX(CHOOSE(MAX(1,MIN(3,IF(OR(hesapYili="",hesapYili=0),1,hesapYili-ydk_yilTaban))),tblKurallar[deger_2025],tblKurallar[deger_2026],tblKurallar[deger_2027]),MATCH("YDK-005",tblKurallar[kural_id],0)),0)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3" t="inlineStr">
        <is>
          <t>YDK-005</t>
        </is>
      </c>
      <c r="G12" s="36">
        <f>IFERROR(INDEX(CHOOSE(MAX(1,MIN(3,IF(OR(hesapYili="",hesapYili=0),1,hesapYili-ydk_yilTaban))),tblKurallar[deger_2025],tblKurallar[deger_2026],tblKurallar[deger_2027]),MATCH("YDK-005",tblKurallar[kural_id],0)),0)</f>
        <v/>
      </c>
    </row>
    <row r="13">
      <c r="A13" s="48" t="n">
        <v>7</v>
      </c>
      <c r="B13" s="24" t="inlineStr">
        <is>
          <t>Maliyet</t>
        </is>
      </c>
      <c r="C13" s="54">
        <f>IFERROR(GIRDI!B9,0)</f>
        <v/>
      </c>
      <c r="D13" s="50" t="inlineStr">
        <is>
          <t>TL</t>
        </is>
      </c>
      <c r="E13" s="6" t="inlineStr">
        <is>
          <t>İktisap maliyeti</t>
        </is>
      </c>
      <c r="F13" s="23" t="inlineStr">
        <is>
          <t>YDK-001</t>
        </is>
      </c>
      <c r="G13" s="26">
        <f>IFERROR(GIRDI!B9,0)</f>
        <v/>
      </c>
    </row>
    <row r="14">
      <c r="A14" s="48" t="n">
        <v>8</v>
      </c>
      <c r="B14" s="24" t="inlineStr">
        <is>
          <t>Birikmiş amortisman</t>
        </is>
      </c>
      <c r="C14" s="54">
        <f>IFERROR(GIRDI!B10,0)</f>
        <v/>
      </c>
      <c r="D14" s="50" t="inlineStr">
        <is>
          <t>TL</t>
        </is>
      </c>
      <c r="E14" s="6" t="inlineStr">
        <is>
          <t>Birikmiş amortisman</t>
        </is>
      </c>
      <c r="F14" s="23" t="inlineStr">
        <is>
          <t>YDK-001</t>
        </is>
      </c>
      <c r="G14" s="26">
        <f>IFERROR(GIRDI!B10,0)</f>
        <v/>
      </c>
    </row>
    <row r="15">
      <c r="A15" s="48" t="n">
        <v>9</v>
      </c>
      <c r="B15" s="24" t="inlineStr">
        <is>
          <t>Endeks oranı</t>
        </is>
      </c>
      <c r="C15" s="51">
        <f>IFERROR(GIRDI!B11,0)</f>
        <v/>
      </c>
      <c r="D15" s="50" t="inlineStr">
        <is>
          <t>çarpan</t>
        </is>
      </c>
      <c r="E15" s="6" t="inlineStr">
        <is>
          <t>Kullanıcı endeksi</t>
        </is>
      </c>
      <c r="F15" s="23" t="inlineStr">
        <is>
          <t>YDK-001</t>
        </is>
      </c>
      <c r="G15" s="52">
        <f>IFERROR(GIRDI!B11,0)</f>
        <v/>
      </c>
    </row>
    <row r="16">
      <c r="A16" s="48" t="n">
        <v>10</v>
      </c>
      <c r="B16" s="24" t="inlineStr">
        <is>
          <t>Kalan ömür</t>
        </is>
      </c>
      <c r="C16" s="49">
        <f>IFERROR(GIRDI!B12,0)</f>
        <v/>
      </c>
      <c r="D16" s="50" t="inlineStr">
        <is>
          <t>yıl</t>
        </is>
      </c>
      <c r="E16" s="6" t="inlineStr">
        <is>
          <t>Kalan ekonomik ömür</t>
        </is>
      </c>
      <c r="F16" s="23" t="inlineStr">
        <is>
          <t>YDK-003</t>
        </is>
      </c>
      <c r="G16" s="36">
        <f>IFERROR(GIRDI!B12,0)</f>
        <v/>
      </c>
    </row>
    <row r="17">
      <c r="A17" s="48" t="n">
        <v>11</v>
      </c>
      <c r="B17" s="24" t="inlineStr">
        <is>
          <t>Net defter değeri</t>
        </is>
      </c>
      <c r="C17" s="54">
        <f>IFERROR(MAX(0,G13-G14),0)</f>
        <v/>
      </c>
      <c r="D17" s="50" t="inlineStr">
        <is>
          <t>TL</t>
        </is>
      </c>
      <c r="E17" s="6" t="inlineStr">
        <is>
          <t>Maliyet − birikmiş</t>
        </is>
      </c>
      <c r="F17" s="23" t="inlineStr">
        <is>
          <t>YDK-001</t>
        </is>
      </c>
      <c r="G17" s="26">
        <f>IFERROR(MAX(0,G13-G14),0)</f>
        <v/>
      </c>
    </row>
    <row r="18">
      <c r="A18" s="48" t="n">
        <v>12</v>
      </c>
      <c r="B18" s="24" t="inlineStr">
        <is>
          <t>Endeks düzeltilmiş</t>
        </is>
      </c>
      <c r="C18" s="51">
        <f>IFERROR(MAX(G15,G8),0)</f>
        <v/>
      </c>
      <c r="D18" s="50" t="inlineStr">
        <is>
          <t>çarpan</t>
        </is>
      </c>
      <c r="E18" s="6" t="inlineStr">
        <is>
          <t>Taban ile max</t>
        </is>
      </c>
      <c r="F18" s="23" t="inlineStr">
        <is>
          <t>YDK-001</t>
        </is>
      </c>
      <c r="G18" s="52">
        <f>IFERROR(MAX(G15,G8),0)</f>
        <v/>
      </c>
    </row>
    <row r="19">
      <c r="A19" s="48" t="n">
        <v>13</v>
      </c>
      <c r="B19" s="24" t="inlineStr">
        <is>
          <t>Yeniden değerlenmiş maliyet</t>
        </is>
      </c>
      <c r="C19" s="54">
        <f>IFERROR(ROUND(G13*G18,MAX(0,MIN(ydk_yuvarMax,IFERROR(N(G12),0)))),0)</f>
        <v/>
      </c>
      <c r="D19" s="50" t="inlineStr">
        <is>
          <t>TL</t>
        </is>
      </c>
      <c r="E19" s="6" t="inlineStr">
        <is>
          <t>Maliyet × endeks</t>
        </is>
      </c>
      <c r="F19" s="23" t="inlineStr">
        <is>
          <t>YDK-001</t>
        </is>
      </c>
      <c r="G19" s="26">
        <f>IFERROR(ROUND(G13*G18,MAX(0,MIN(ydk_yuvarMax,IFERROR(N(G12),0)))),0)</f>
        <v/>
      </c>
    </row>
    <row r="20">
      <c r="A20" s="48" t="n">
        <v>14</v>
      </c>
      <c r="B20" s="24" t="inlineStr">
        <is>
          <t>Değer artış farkı</t>
        </is>
      </c>
      <c r="C20" s="54">
        <f>IFERROR(ROUND(MAX(0,G13*(G18-1)),MAX(0,MIN(ydk_yuvarMax,IFERROR(N(G12),0)))),0)</f>
        <v/>
      </c>
      <c r="D20" s="50" t="inlineStr">
        <is>
          <t>TL</t>
        </is>
      </c>
      <c r="E20" s="6" t="inlineStr">
        <is>
          <t>Maliyet×(endeks−1)</t>
        </is>
      </c>
      <c r="F20" s="23" t="inlineStr">
        <is>
          <t>YDK-001</t>
        </is>
      </c>
      <c r="G20" s="26">
        <f>IFERROR(ROUND(MAX(0,G13*(G18-1)),MAX(0,MIN(ydk_yuvarMax,IFERROR(N(G12),0)))),0)</f>
        <v/>
      </c>
    </row>
    <row r="21">
      <c r="A21" s="48" t="n">
        <v>15</v>
      </c>
      <c r="B21" s="24" t="inlineStr">
        <is>
          <t>Geç.32 fon vergisi</t>
        </is>
      </c>
      <c r="C21" s="54">
        <f>IFERROR(ROUND(G20*G9,MAX(0,MIN(ydk_yuvarMax,IFERROR(N(G12),0)))),0)</f>
        <v/>
      </c>
      <c r="D21" s="50" t="inlineStr">
        <is>
          <t>TL</t>
        </is>
      </c>
      <c r="E21" s="6" t="inlineStr">
        <is>
          <t>Fark × fon oranı</t>
        </is>
      </c>
      <c r="F21" s="23" t="inlineStr">
        <is>
          <t>YDK-002</t>
        </is>
      </c>
      <c r="G21" s="26">
        <f>IFERROR(ROUND(G20*G9,MAX(0,MIN(ydk_yuvarMax,IFERROR(N(G12),0)))),0)</f>
        <v/>
      </c>
    </row>
    <row r="22">
      <c r="A22" s="48" t="n">
        <v>16</v>
      </c>
      <c r="B22" s="24" t="inlineStr">
        <is>
          <t>298/Ç fon vergisi</t>
        </is>
      </c>
      <c r="C22" s="54">
        <f>IFERROR(ROUND(G20*G11,MAX(0,MIN(ydk_yuvarMax,IFERROR(N(G12),0)))),0)</f>
        <v/>
      </c>
      <c r="D22" s="50" t="inlineStr">
        <is>
          <t>TL</t>
        </is>
      </c>
      <c r="E22" s="6" t="inlineStr">
        <is>
          <t>Fark × 298 fon</t>
        </is>
      </c>
      <c r="F22" s="23" t="inlineStr">
        <is>
          <t>YDK-004</t>
        </is>
      </c>
      <c r="G22" s="26">
        <f>IFERROR(ROUND(G20*G11,MAX(0,MIN(ydk_yuvarMax,IFERROR(N(G12),0)))),0)</f>
        <v/>
      </c>
    </row>
    <row r="23">
      <c r="A23" s="48" t="n">
        <v>17</v>
      </c>
      <c r="B23" s="24" t="inlineStr">
        <is>
          <t>Özkaynak 298/Ç</t>
        </is>
      </c>
      <c r="C23" s="54">
        <f>IFERROR(G20-G22,0)</f>
        <v/>
      </c>
      <c r="D23" s="50" t="inlineStr">
        <is>
          <t>TL</t>
        </is>
      </c>
      <c r="E23" s="6" t="inlineStr">
        <is>
          <t>Fark − 298 fon</t>
        </is>
      </c>
      <c r="F23" s="23" t="inlineStr">
        <is>
          <t>YDK-004</t>
        </is>
      </c>
      <c r="G23" s="26">
        <f>IFERROR(G20-G22,0)</f>
        <v/>
      </c>
    </row>
    <row r="24">
      <c r="A24" s="48" t="n">
        <v>18</v>
      </c>
      <c r="B24" s="24" t="inlineStr">
        <is>
          <t>Özkaynak Geç.32</t>
        </is>
      </c>
      <c r="C24" s="54">
        <f>IFERROR(G20-G21,0)</f>
        <v/>
      </c>
      <c r="D24" s="50" t="inlineStr">
        <is>
          <t>TL</t>
        </is>
      </c>
      <c r="E24" s="6" t="inlineStr">
        <is>
          <t>Fark − Geç.32 fon</t>
        </is>
      </c>
      <c r="F24" s="23" t="inlineStr">
        <is>
          <t>YDK-002</t>
        </is>
      </c>
      <c r="G24" s="26">
        <f>IFERROR(G20-G21,0)</f>
        <v/>
      </c>
    </row>
    <row r="25">
      <c r="A25" s="48" t="n">
        <v>19</v>
      </c>
      <c r="B25" s="24" t="inlineStr">
        <is>
          <t>Ek amortisman yıllık</t>
        </is>
      </c>
      <c r="C25" s="54">
        <f>IFERROR(IF(G16=0,0,G20/G16),0)</f>
        <v/>
      </c>
      <c r="D25" s="50" t="inlineStr">
        <is>
          <t>TL</t>
        </is>
      </c>
      <c r="E25" s="6" t="inlineStr">
        <is>
          <t>Fark / kalan ömür</t>
        </is>
      </c>
      <c r="F25" s="23" t="inlineStr">
        <is>
          <t>YDK-003</t>
        </is>
      </c>
      <c r="G25" s="26">
        <f>IFERROR(IF(G16=0,0,G20/G16),0)</f>
        <v/>
      </c>
    </row>
    <row r="26">
      <c r="A26" s="48" t="n">
        <v>20</v>
      </c>
      <c r="B26" s="24" t="inlineStr">
        <is>
          <t>Vergi tasarrufu brüt</t>
        </is>
      </c>
      <c r="C26" s="54">
        <f>IFERROR(ROUND(G20*G10,MAX(0,MIN(ydk_yuvarMax,IFERROR(N(G12),0)))),0)</f>
        <v/>
      </c>
      <c r="D26" s="50" t="inlineStr">
        <is>
          <t>TL</t>
        </is>
      </c>
      <c r="E26" s="6" t="inlineStr">
        <is>
          <t>Fark × KV oranı</t>
        </is>
      </c>
      <c r="F26" s="23" t="inlineStr">
        <is>
          <t>YDK-003</t>
        </is>
      </c>
      <c r="G26" s="26">
        <f>IFERROR(ROUND(G20*G10,MAX(0,MIN(ydk_yuvarMax,IFERROR(N(G12),0)))),0)</f>
        <v/>
      </c>
    </row>
    <row r="27">
      <c r="A27" s="48" t="n">
        <v>21</v>
      </c>
      <c r="B27" s="24" t="inlineStr">
        <is>
          <t>Net fayda 298/Ç</t>
        </is>
      </c>
      <c r="C27" s="54">
        <f>IFERROR(G23,0)</f>
        <v/>
      </c>
      <c r="D27" s="50" t="inlineStr">
        <is>
          <t>TL</t>
        </is>
      </c>
      <c r="E27" s="6" t="inlineStr">
        <is>
          <t>298 özkaynak net</t>
        </is>
      </c>
      <c r="F27" s="23" t="inlineStr">
        <is>
          <t>YDK-004</t>
        </is>
      </c>
      <c r="G27" s="26">
        <f>IFERROR(G23,0)</f>
        <v/>
      </c>
    </row>
    <row r="28">
      <c r="A28" s="48" t="n">
        <v>22</v>
      </c>
      <c r="B28" s="24" t="inlineStr">
        <is>
          <t>Net fayda Geç.32</t>
        </is>
      </c>
      <c r="C28" s="54">
        <f>IFERROR(G24+G26*ydk_tasarrufCarpan,0)</f>
        <v/>
      </c>
      <c r="D28" s="50" t="inlineStr">
        <is>
          <t>TL</t>
        </is>
      </c>
      <c r="E28" s="6" t="inlineStr">
        <is>
          <t>Özkaynak+vergi faydası</t>
        </is>
      </c>
      <c r="F28" s="23" t="inlineStr">
        <is>
          <t>YDK-002</t>
        </is>
      </c>
      <c r="G28" s="26">
        <f>IFERROR(G24+G26*ydk_tasarrufCarpan,0)</f>
        <v/>
      </c>
    </row>
    <row r="29">
      <c r="A29" s="48" t="n">
        <v>23</v>
      </c>
      <c r="B29" s="24" t="inlineStr">
        <is>
          <t>Fayda farkı (298−Geç32)</t>
        </is>
      </c>
      <c r="C29" s="54">
        <f>IFERROR(G27-G28,0)</f>
        <v/>
      </c>
      <c r="D29" s="50" t="inlineStr">
        <is>
          <t>TL</t>
        </is>
      </c>
      <c r="E29" s="6" t="inlineStr">
        <is>
          <t>Yol karşılaştırması</t>
        </is>
      </c>
      <c r="F29" s="23" t="inlineStr">
        <is>
          <t>YDK-001</t>
        </is>
      </c>
      <c r="G29" s="26">
        <f>IFERROR(G27-G28,0)</f>
        <v/>
      </c>
    </row>
    <row r="30">
      <c r="A30" s="48" t="n">
        <v>24</v>
      </c>
      <c r="B30" s="24" t="inlineStr">
        <is>
          <t>Karar kodu</t>
        </is>
      </c>
      <c r="C30" s="21">
        <f>IFERROR(IF(COUNTA(tblGirdi[Alan Anahtarı])=0,"VERI_YOK",IF(G20&lt;=0,"YOK",IF(ABS(G29)&lt;=ydk_kararEsik,"REVIEW",IF(G29&gt;0,"GO_298","GO_GEC32")))),"")</f>
        <v/>
      </c>
      <c r="D30" s="50" t="inlineStr">
        <is>
          <t>kod</t>
        </is>
      </c>
      <c r="E30" s="6" t="inlineStr">
        <is>
          <t>Karar kodu</t>
        </is>
      </c>
      <c r="F30" s="23" t="inlineStr">
        <is>
          <t>YDK-001</t>
        </is>
      </c>
      <c r="G30" s="27">
        <f>IFERROR(IF(COUNTA(tblGirdi[Alan Anahtarı])=0,"VERI_YOK",IF(G20&lt;=0,"YOK",IF(ABS(G29)&lt;=ydk_kararEsik,"REVIEW",IF(G29&gt;0,"GO_298","GO_GEC32")))),"")</f>
        <v/>
      </c>
    </row>
    <row r="31">
      <c r="A31" s="48" t="n">
        <v>25</v>
      </c>
      <c r="B31" s="24" t="inlineStr">
        <is>
          <t>Karar metni</t>
        </is>
      </c>
      <c r="C31" s="21">
        <f>IFERROR(IF(G30="VERI_YOK","VERİ YOK",IF(G30="YOK","YENİDEN DEĞERLEME YOK / UYGUN DEĞİL",IF(G30="REVIEW","REVIEW · DİKKAT",IF(G30="GO_298","GO · 298/Ç UYGUN","GO · GEÇ.32 UYGUN")))),"")</f>
        <v/>
      </c>
      <c r="D31" s="50" t="inlineStr">
        <is>
          <t>metin</t>
        </is>
      </c>
      <c r="E31" s="6" t="inlineStr">
        <is>
          <t>Kullanıcıya karar</t>
        </is>
      </c>
      <c r="F31" s="23" t="inlineStr">
        <is>
          <t>YDK-001</t>
        </is>
      </c>
      <c r="G31" s="27">
        <f>IFERROR(IF(G30="VERI_YOK","VERİ YOK",IF(G30="YOK","YENİDEN DEĞERLEME YOK / UYGUN DEĞİL",IF(G30="REVIEW","REVIEW · DİKKAT",IF(G30="GO_298","GO · 298/Ç UYGUN","GO · GEÇ.32 UYGUN")))),"")</f>
        <v/>
      </c>
    </row>
    <row r="32">
      <c r="A32" s="48" t="n">
        <v>26</v>
      </c>
      <c r="B32" s="24" t="inlineStr">
        <is>
          <t>Gerekçe</t>
        </is>
      </c>
      <c r="C32" s="21">
        <f>IFERROR(IF(G30="VERI_YOK","Giriş tablosu boş — hesap yapılamaz.",IF(G30="YOK","Endeks artışı yok; yeniden değerleme farkı sıfır.",IF(G30="REVIEW","298/Ç ve Geç.32 net faydaları eşik içinde; öncelik yorumunu gözden geçirin.",IF(G30="GO_298","298/Ç net faydası Geç.32 üstünde; fon yükü düşük yol öne çıkar.","Geç.32 net faydası (özkaynak+vergi tasarrufu) 298/Ç üstünde.")))),"")</f>
        <v/>
      </c>
      <c r="D32" s="50" t="inlineStr">
        <is>
          <t>metin</t>
        </is>
      </c>
      <c r="E32" s="6" t="inlineStr">
        <is>
          <t>Gerekçe cümlesi</t>
        </is>
      </c>
      <c r="F32" s="23" t="inlineStr">
        <is>
          <t>YDK-001</t>
        </is>
      </c>
      <c r="G32" s="27">
        <f>IFERROR(IF(G30="VERI_YOK","Giriş tablosu boş — hesap yapılamaz.",IF(G30="YOK","Endeks artışı yok; yeniden değerleme farkı sıfır.",IF(G30="REVIEW","298/Ç ve Geç.32 net faydaları eşik içinde; öncelik yorumunu gözden geçirin.",IF(G30="GO_298","298/Ç net faydası Geç.32 üstünde; fon yükü düşük yol öne çıkar.","Geç.32 net faydası (özkaynak+vergi tasarrufu) 298/Ç üstünde.")))),"")</f>
        <v/>
      </c>
    </row>
    <row r="33">
      <c r="A33" s="48" t="n">
        <v>27</v>
      </c>
      <c r="B33" s="24" t="inlineStr">
        <is>
          <t>Fark / maliyet</t>
        </is>
      </c>
      <c r="C33" s="53">
        <f>IFERROR(IF(G13=0,0,G20/G13),0)</f>
        <v/>
      </c>
      <c r="D33" s="50" t="inlineStr">
        <is>
          <t>oran</t>
        </is>
      </c>
      <c r="E33" s="6" t="inlineStr">
        <is>
          <t>Artış yoğunluğu</t>
        </is>
      </c>
      <c r="F33" s="23" t="inlineStr">
        <is>
          <t>YDK-001</t>
        </is>
      </c>
      <c r="G33" s="25">
        <f>IFERROR(IF(G13=0,0,G20/G13),0)</f>
        <v/>
      </c>
    </row>
    <row r="34">
      <c r="A34" s="48" t="n">
        <v>28</v>
      </c>
      <c r="B34" s="24" t="inlineStr">
        <is>
          <t>Fon / fark</t>
        </is>
      </c>
      <c r="C34" s="53">
        <f>IFERROR(IF(G20=0,0,G21/G20),0)</f>
        <v/>
      </c>
      <c r="D34" s="50" t="inlineStr">
        <is>
          <t>oran</t>
        </is>
      </c>
      <c r="E34" s="6" t="inlineStr">
        <is>
          <t>Fon yük oranı</t>
        </is>
      </c>
      <c r="F34" s="23" t="inlineStr">
        <is>
          <t>YDK-002</t>
        </is>
      </c>
      <c r="G34" s="25">
        <f>IFERROR(IF(G20=0,0,G21/G20),0)</f>
        <v/>
      </c>
    </row>
    <row r="35">
      <c r="A35" s="48" t="n">
        <v>29</v>
      </c>
      <c r="B35" s="24" t="inlineStr">
        <is>
          <t>Yorum A net (298 öncelik)</t>
        </is>
      </c>
      <c r="C35" s="54">
        <f>IFERROR(G27,0)</f>
        <v/>
      </c>
      <c r="D35" s="50" t="inlineStr">
        <is>
          <t>TL</t>
        </is>
      </c>
      <c r="E35" s="6" t="inlineStr">
        <is>
          <t>A yolu net</t>
        </is>
      </c>
      <c r="F35" s="23" t="inlineStr">
        <is>
          <t>YDK-004</t>
        </is>
      </c>
      <c r="G35" s="26">
        <f>IFERROR(G27,0)</f>
        <v/>
      </c>
    </row>
    <row r="36">
      <c r="A36" s="48" t="n">
        <v>30</v>
      </c>
      <c r="B36" s="24" t="inlineStr">
        <is>
          <t>Yorum B net (Geç.32 öncelik)</t>
        </is>
      </c>
      <c r="C36" s="54">
        <f>IFERROR(G28,0)</f>
        <v/>
      </c>
      <c r="D36" s="50" t="inlineStr">
        <is>
          <t>TL</t>
        </is>
      </c>
      <c r="E36" s="6" t="inlineStr">
        <is>
          <t>B yolu net</t>
        </is>
      </c>
      <c r="F36" s="23" t="inlineStr">
        <is>
          <t>YDK-002</t>
        </is>
      </c>
      <c r="G36" s="26">
        <f>IFERROR(G28,0)</f>
        <v/>
      </c>
    </row>
    <row r="37">
      <c r="A37" s="48" t="n">
        <v>31</v>
      </c>
      <c r="B37" s="24" t="inlineStr">
        <is>
          <t>Seçili yorum net</t>
        </is>
      </c>
      <c r="C37" s="54">
        <f>IFERROR(IF(GIRDI!B13="B",G36,G35),0)</f>
        <v/>
      </c>
      <c r="D37" s="50" t="inlineStr">
        <is>
          <t>TL</t>
        </is>
      </c>
      <c r="E37" s="6" t="inlineStr">
        <is>
          <t>A/B seçimine göre</t>
        </is>
      </c>
      <c r="F37" s="23" t="inlineStr">
        <is>
          <t>YDK-001</t>
        </is>
      </c>
      <c r="G37" s="26">
        <f>IFERROR(IF(GIRDI!B13="B",G36,G35),0)</f>
        <v/>
      </c>
    </row>
    <row r="38">
      <c r="A38" s="48" t="n">
        <v>32</v>
      </c>
      <c r="B38" s="24" t="inlineStr">
        <is>
          <t>Yorum farkı</t>
        </is>
      </c>
      <c r="C38" s="54">
        <f>IFERROR(ABS(G35-G36),0)</f>
        <v/>
      </c>
      <c r="D38" s="50" t="inlineStr">
        <is>
          <t>TL</t>
        </is>
      </c>
      <c r="E38" s="6" t="inlineStr">
        <is>
          <t>Belirsizlik aralığı</t>
        </is>
      </c>
      <c r="F38" s="23" t="inlineStr">
        <is>
          <t>YDK-001</t>
        </is>
      </c>
      <c r="G38" s="26">
        <f>IFERROR(ABS(G35-G36),0)</f>
        <v/>
      </c>
    </row>
    <row r="39">
      <c r="A39" s="48" t="n">
        <v>33</v>
      </c>
      <c r="B39" s="24" t="inlineStr">
        <is>
          <t>Güven skoru</t>
        </is>
      </c>
      <c r="C39" s="49">
        <f>IFERROR(ROUND(IF(OR(COUNTA(GIRDI!B6:B13)=0,ydk_girisBeklenen=0),0,COUNTA(GIRDI!B6:B13)/ydk_girisBeklenen*100),0),0)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23" t="inlineStr">
        <is>
          <t>YDK-005</t>
        </is>
      </c>
      <c r="G39" s="36">
        <f>IFERROR(ROUND(IF(OR(COUNTA(GIRDI!B6:B13)=0,ydk_girisBeklenen=0),0,COUNTA(GIRDI!B6:B13)/ydk_girisBeklenen*100),0),0)</f>
        <v/>
      </c>
    </row>
    <row r="40">
      <c r="A40" s="48" t="n">
        <v>34</v>
      </c>
      <c r="B40" s="24" t="inlineStr">
        <is>
          <t>Risk skoru</t>
        </is>
      </c>
      <c r="C40" s="49">
        <f>IFERROR(IF(G30="VERI_YOK",0,IF(G30="YOK",ydk_riskDusuk,IF(G30="REVIEW",ydk_riskOrta,ydk_riskYuksek))),0)</f>
        <v/>
      </c>
      <c r="D40" s="50" t="inlineStr">
        <is>
          <t>puan</t>
        </is>
      </c>
      <c r="E40" s="6" t="inlineStr">
        <is>
          <t>Karar riski</t>
        </is>
      </c>
      <c r="F40" s="23" t="inlineStr">
        <is>
          <t>YDK-001</t>
        </is>
      </c>
      <c r="G40" s="36">
        <f>IFERROR(IF(G30="VERI_YOK",0,IF(G30="YOK",ydk_riskDusuk,IF(G30="REVIEW",ydk_riskOrta,ydk_riskYuksek))),0)</f>
        <v/>
      </c>
    </row>
    <row r="41">
      <c r="A41" s="48" t="n">
        <v>35</v>
      </c>
      <c r="B41" s="24" t="inlineStr">
        <is>
          <t>Senaryo iyimser maliyet</t>
        </is>
      </c>
      <c r="C41" s="54">
        <f>IFERROR(G13*ydk_senaryoIyi,0)</f>
        <v/>
      </c>
      <c r="D41" s="50" t="inlineStr">
        <is>
          <t>TL</t>
        </is>
      </c>
      <c r="E41" s="6" t="inlineStr">
        <is>
          <t>İyimser maliyet</t>
        </is>
      </c>
      <c r="F41" s="23" t="inlineStr">
        <is>
          <t>YDK-001</t>
        </is>
      </c>
      <c r="G41" s="26">
        <f>IFERROR(G13*ydk_senaryoIyi,0)</f>
        <v/>
      </c>
    </row>
    <row r="42">
      <c r="A42" s="48" t="n">
        <v>36</v>
      </c>
      <c r="B42" s="24" t="inlineStr">
        <is>
          <t>Senaryo kötümser maliyet</t>
        </is>
      </c>
      <c r="C42" s="54">
        <f>IFERROR(G13*ydk_senaryoKotu,0)</f>
        <v/>
      </c>
      <c r="D42" s="50" t="inlineStr">
        <is>
          <t>TL</t>
        </is>
      </c>
      <c r="E42" s="6" t="inlineStr">
        <is>
          <t>Kötümser maliyet</t>
        </is>
      </c>
      <c r="F42" s="23" t="inlineStr">
        <is>
          <t>YDK-001</t>
        </is>
      </c>
      <c r="G42" s="26">
        <f>IFERROR(G13*ydk_senaryoKotu,0)</f>
        <v/>
      </c>
    </row>
    <row r="43">
      <c r="A43" s="48" t="n">
        <v>37</v>
      </c>
      <c r="B43" s="24" t="inlineStr">
        <is>
          <t>İyimser fark</t>
        </is>
      </c>
      <c r="C43" s="54">
        <f>IFERROR(ROUND(MAX(0,G41*(G18-1)),MAX(0,MIN(ydk_yuvarMax,IFERROR(N(G12),0)))),0)</f>
        <v/>
      </c>
      <c r="D43" s="50" t="inlineStr">
        <is>
          <t>TL</t>
        </is>
      </c>
      <c r="E43" s="6" t="inlineStr">
        <is>
          <t>İyimser fark</t>
        </is>
      </c>
      <c r="F43" s="23" t="inlineStr">
        <is>
          <t>YDK-001</t>
        </is>
      </c>
      <c r="G43" s="26">
        <f>IFERROR(ROUND(MAX(0,G41*(G18-1)),MAX(0,MIN(ydk_yuvarMax,IFERROR(N(G12),0)))),0)</f>
        <v/>
      </c>
    </row>
    <row r="44">
      <c r="A44" s="48" t="n">
        <v>38</v>
      </c>
      <c r="B44" s="24" t="inlineStr">
        <is>
          <t>Kötümser fark</t>
        </is>
      </c>
      <c r="C44" s="54">
        <f>IFERROR(ROUND(MAX(0,G42*(G18-1)),MAX(0,MIN(ydk_yuvarMax,IFERROR(N(G12),0)))),0)</f>
        <v/>
      </c>
      <c r="D44" s="50" t="inlineStr">
        <is>
          <t>TL</t>
        </is>
      </c>
      <c r="E44" s="6" t="inlineStr">
        <is>
          <t>Kötümser fark</t>
        </is>
      </c>
      <c r="F44" s="23" t="inlineStr">
        <is>
          <t>YDK-001</t>
        </is>
      </c>
      <c r="G44" s="26">
        <f>IFERROR(ROUND(MAX(0,G42*(G18-1)),MAX(0,MIN(ydk_yuvarMax,IFERROR(N(G12),0)))),0)</f>
        <v/>
      </c>
    </row>
    <row r="45">
      <c r="A45" s="48" t="n">
        <v>39</v>
      </c>
      <c r="B45" s="24" t="inlineStr">
        <is>
          <t>M-SEN fon+1 puan fark net</t>
        </is>
      </c>
      <c r="C45" s="54">
        <f>IFERROR(ROUND(G20*(G9+ydk_oranArtisPuan),MAX(0,MIN(ydk_yuvarMax,IFERROR(N(G12),0)))),0)</f>
        <v/>
      </c>
      <c r="D45" s="50" t="inlineStr">
        <is>
          <t>TL</t>
        </is>
      </c>
      <c r="E45" s="6" t="inlineStr">
        <is>
          <t>Fon +1 puan senaryosu</t>
        </is>
      </c>
      <c r="F45" s="23" t="inlineStr">
        <is>
          <t>YDK-002</t>
        </is>
      </c>
      <c r="G45" s="26">
        <f>IFERROR(ROUND(G20*(G9+ydk_oranArtisPuan),MAX(0,MIN(ydk_yuvarMax,IFERROR(N(G12),0)))),0)</f>
        <v/>
      </c>
    </row>
    <row r="46">
      <c r="A46" s="48" t="n">
        <v>40</v>
      </c>
      <c r="B46" s="24" t="inlineStr">
        <is>
          <t>M-SEN özkaynak Geç.32</t>
        </is>
      </c>
      <c r="C46" s="54">
        <f>IFERROR(G20-G45,0)</f>
        <v/>
      </c>
      <c r="D46" s="50" t="inlineStr">
        <is>
          <t>TL</t>
        </is>
      </c>
      <c r="E46" s="6" t="inlineStr">
        <is>
          <t>M-SEN net özkaynak</t>
        </is>
      </c>
      <c r="F46" s="23" t="inlineStr">
        <is>
          <t>YDK-002</t>
        </is>
      </c>
      <c r="G46" s="26">
        <f>IFERROR(G20-G45,0)</f>
        <v/>
      </c>
    </row>
    <row r="47">
      <c r="A47" s="48" t="n">
        <v>41</v>
      </c>
      <c r="B47" s="24" t="inlineStr">
        <is>
          <t>Tahmin üst</t>
        </is>
      </c>
      <c r="C47" s="54">
        <f>IFERROR(G20*ydk_tahminUst,0)</f>
        <v/>
      </c>
      <c r="D47" s="50" t="inlineStr">
        <is>
          <t>TL</t>
        </is>
      </c>
      <c r="E47" s="6" t="inlineStr">
        <is>
          <t>Tahmin üst bant</t>
        </is>
      </c>
      <c r="F47" s="23" t="inlineStr">
        <is>
          <t>YDK-005</t>
        </is>
      </c>
      <c r="G47" s="26">
        <f>IFERROR(G20*ydk_tahminUst,0)</f>
        <v/>
      </c>
    </row>
    <row r="48">
      <c r="A48" s="48" t="n">
        <v>42</v>
      </c>
      <c r="B48" s="24" t="inlineStr">
        <is>
          <t>Tahmin alt</t>
        </is>
      </c>
      <c r="C48" s="54">
        <f>IFERROR(G20*ydk_tahminAlt,0)</f>
        <v/>
      </c>
      <c r="D48" s="50" t="inlineStr">
        <is>
          <t>TL</t>
        </is>
      </c>
      <c r="E48" s="6" t="inlineStr">
        <is>
          <t>Tahmin alt bant</t>
        </is>
      </c>
      <c r="F48" s="23" t="inlineStr">
        <is>
          <t>YDK-005</t>
        </is>
      </c>
      <c r="G48" s="26">
        <f>IFERROR(G20*ydk_tahminAlt,0)</f>
        <v/>
      </c>
    </row>
    <row r="49">
      <c r="A49" s="48" t="n">
        <v>43</v>
      </c>
      <c r="B49" s="24" t="inlineStr">
        <is>
          <t>Tornado: maliyet etkisi</t>
        </is>
      </c>
      <c r="C49" s="54">
        <f>IFERROR(ABS(ROUND(MAX(0,(G13*ydk_tornadoMaliyet)*(G18-1)),MAX(0,MIN(ydk_yuvarMax,IFERROR(N(G12),0))))-G20),0)</f>
        <v/>
      </c>
      <c r="D49" s="50" t="inlineStr">
        <is>
          <t>TL</t>
        </is>
      </c>
      <c r="E49" s="6" t="inlineStr">
        <is>
          <t>Maliyet ± etki</t>
        </is>
      </c>
      <c r="F49" s="23" t="inlineStr">
        <is>
          <t>YDK-001</t>
        </is>
      </c>
      <c r="G49" s="26">
        <f>IFERROR(ABS(ROUND(MAX(0,(G13*ydk_tornadoMaliyet)*(G18-1)),MAX(0,MIN(ydk_yuvarMax,IFERROR(N(G12),0))))-G20),0)</f>
        <v/>
      </c>
    </row>
    <row r="50">
      <c r="A50" s="48" t="n">
        <v>44</v>
      </c>
      <c r="B50" s="24" t="inlineStr">
        <is>
          <t>Tornado: endeks etkisi</t>
        </is>
      </c>
      <c r="C50" s="54">
        <f>IFERROR(ABS(ROUND(MAX(0,G13*(G18*ydk_tornadoEndeks-1)),MAX(0,MIN(ydk_yuvarMax,IFERROR(N(G12),0))))-G20),0)</f>
        <v/>
      </c>
      <c r="D50" s="50" t="inlineStr">
        <is>
          <t>TL</t>
        </is>
      </c>
      <c r="E50" s="6" t="inlineStr">
        <is>
          <t>Endeks ± etki</t>
        </is>
      </c>
      <c r="F50" s="23" t="inlineStr">
        <is>
          <t>YDK-001</t>
        </is>
      </c>
      <c r="G50" s="26">
        <f>IFERROR(ABS(ROUND(MAX(0,G13*(G18*ydk_tornadoEndeks-1)),MAX(0,MIN(ydk_yuvarMax,IFERROR(N(G12),0))))-G20),0)</f>
        <v/>
      </c>
    </row>
    <row r="51">
      <c r="A51" s="48" t="n">
        <v>45</v>
      </c>
      <c r="B51" s="24" t="inlineStr">
        <is>
          <t>Tornado: fon etkisi</t>
        </is>
      </c>
      <c r="C51" s="54">
        <f>IFERROR(ABS(ROUND(G20*(G9+ydk_oranArtisPuan),MAX(0,MIN(ydk_yuvarMax,IFERROR(N(G12),0))))-G21),0)</f>
        <v/>
      </c>
      <c r="D51" s="50" t="inlineStr">
        <is>
          <t>TL</t>
        </is>
      </c>
      <c r="E51" s="6" t="inlineStr">
        <is>
          <t>Fon ± etki</t>
        </is>
      </c>
      <c r="F51" s="23" t="inlineStr">
        <is>
          <t>YDK-002</t>
        </is>
      </c>
      <c r="G51" s="26">
        <f>IFERROR(ABS(ROUND(G20*(G9+ydk_oranArtisPuan),MAX(0,MIN(ydk_yuvarMax,IFERROR(N(G12),0))))-G21),0)</f>
        <v/>
      </c>
    </row>
    <row r="52">
      <c r="A52" s="48" t="n">
        <v>46</v>
      </c>
      <c r="B52" s="24" t="inlineStr">
        <is>
          <t>Madde atıf özeti</t>
        </is>
      </c>
      <c r="C52" s="21">
        <f>IFERROR(_xlfn.TEXTJOIN(" | ",TRUE,"YDK-001→VUK 298/Ç","YDK-002→Geçici 32","YDK-003→KVK md.32"),"")</f>
        <v/>
      </c>
      <c r="D52" s="50" t="inlineStr">
        <is>
          <t>metin</t>
        </is>
      </c>
      <c r="E52" s="6" t="inlineStr">
        <is>
          <t>Kanıt atıfları</t>
        </is>
      </c>
      <c r="F52" s="23" t="inlineStr">
        <is>
          <t>YDK-001</t>
        </is>
      </c>
      <c r="G52" s="27">
        <f>IFERROR(_xlfn.TEXTJOIN(" | ",TRUE,"YDK-001→VUK 298/Ç","YDK-002→Geçici 32","YDK-003→KVK md.32"),"")</f>
        <v/>
      </c>
    </row>
    <row r="53">
      <c r="A53" s="48" t="n">
        <v>47</v>
      </c>
      <c r="B53" s="24" t="inlineStr">
        <is>
          <t>Kanıt satır özeti</t>
        </is>
      </c>
      <c r="C53" s="21">
        <f>IFERROR(_xlfn.TEXTJOIN(" · ",TRUE,"Fark=",TEXT(G20,"₺ #,##0"),"Fon32=",TEXT(G21,"₺ #,##0"),"Özkaynak298=",TEXT(G23,"₺ #,##0")),"")</f>
        <v/>
      </c>
      <c r="D53" s="50" t="inlineStr">
        <is>
          <t>metin</t>
        </is>
      </c>
      <c r="E53" s="6" t="inlineStr">
        <is>
          <t>Rapor özeti</t>
        </is>
      </c>
      <c r="F53" s="23" t="inlineStr">
        <is>
          <t>YDK-005</t>
        </is>
      </c>
      <c r="G53" s="27">
        <f>IFERROR(_xlfn.TEXTJOIN(" · ",TRUE,"Fark=",TEXT(G20,"₺ #,##0"),"Fon32=",TEXT(G21,"₺ #,##0"),"Özkaynak298=",TEXT(G23,"₺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0">
    <cfRule type="cellIs" priority="1" operator="lessThan" dxfId="5">
      <formula>0</formula>
    </cfRule>
  </conditionalFormatting>
  <conditionalFormatting sqref="F7:F60">
    <cfRule type="expression" priority="2" dxfId="6">
      <formula>F7="YDK-002"</formula>
    </cfRule>
    <cfRule type="expression" priority="3" dxfId="5">
      <formula>F7="YDK-001"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Yeniden Değerleme Komuta Merkezi (298/Ç + Geç.32)</t>
        </is>
      </c>
    </row>
    <row r="3">
      <c r="A3" s="9" t="inlineStr">
        <is>
          <t>Senaryo ve duyarlılık</t>
        </is>
      </c>
    </row>
    <row r="5">
      <c r="A5" s="55" t="inlineStr">
        <is>
          <t>Senaryo</t>
        </is>
      </c>
      <c r="B5" s="55" t="inlineStr">
        <is>
          <t>Maliyet Çarpanı</t>
        </is>
      </c>
      <c r="C5" s="55" t="inlineStr">
        <is>
          <t>Değer Farkı</t>
        </is>
      </c>
      <c r="D5" s="55" t="inlineStr">
        <is>
          <t>Geç.32 Fon</t>
        </is>
      </c>
      <c r="E5" s="55" t="inlineStr">
        <is>
          <t>Karar</t>
        </is>
      </c>
      <c r="G5" s="55" t="inlineStr">
        <is>
          <t>FarkDemo</t>
        </is>
      </c>
    </row>
    <row r="6">
      <c r="A6" s="7" t="inlineStr">
        <is>
          <t>İyimser</t>
        </is>
      </c>
      <c r="B6" s="25">
        <f>IFERROR(ydk_senaryoIyi+N(GIRDI!B9)*0,0)</f>
        <v/>
      </c>
      <c r="C6" s="26">
        <f>IFERROR(ROUND(MAX(0,IFERROR(ydk_maliyet,0)*B6*(IFERROR(GIRDI!B11,1)-1)),2),0)</f>
        <v/>
      </c>
      <c r="D6" s="26">
        <f>IFERROR(ROUND(C6*IFERROR(INDEX(tblKurallar[aktif_deger],MATCH("YDK-002",tblKurallar[kural_id],0)),0),2),0)</f>
        <v/>
      </c>
      <c r="E6" s="27">
        <f>IF(COUNTA(tblGirdi[Alan Anahtarı])=0,"VERİ YOK",IF(C6=0,"YOK","GO/REVIEW"))</f>
        <v/>
      </c>
      <c r="G6" s="29" t="n">
        <v>405000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IFERROR(ROUND(MAX(0,IFERROR(ydk_maliyet,0)*B7*(IFERROR(GIRDI!B11,1)-1)),2),0)</f>
        <v/>
      </c>
      <c r="D7" s="26">
        <f>IFERROR(ROUND(C7*IFERROR(INDEX(tblKurallar[aktif_deger],MATCH("YDK-002",tblKurallar[kural_id],0)),0),2),0)</f>
        <v/>
      </c>
      <c r="E7" s="27">
        <f>IF(COUNTA(tblGirdi[Alan Anahtarı])=0,"VERİ YOK",IF(C7=0,"YOK","GO/REVIEW"))</f>
        <v/>
      </c>
      <c r="G7" s="29" t="n">
        <v>450000</v>
      </c>
    </row>
    <row r="8">
      <c r="A8" s="7" t="inlineStr">
        <is>
          <t>Kötümser</t>
        </is>
      </c>
      <c r="B8" s="25">
        <f>IFERROR(ydk_senaryoKotu+N(GIRDI!B9)*0,0)</f>
        <v/>
      </c>
      <c r="C8" s="26">
        <f>IFERROR(ROUND(MAX(0,IFERROR(ydk_maliyet,0)*B8*(IFERROR(GIRDI!B11,1)-1)),2),0)</f>
        <v/>
      </c>
      <c r="D8" s="26">
        <f>IFERROR(ROUND(C8*IFERROR(INDEX(tblKurallar[aktif_deger],MATCH("YDK-002",tblKurallar[kural_id],0)),0),2),0)</f>
        <v/>
      </c>
      <c r="E8" s="27">
        <f>IF(COUNTA(tblGirdi[Alan Anahtarı])=0,"VERİ YOK",IF(C8=0,"YOK","GO/REVIEW"))</f>
        <v/>
      </c>
      <c r="G8" s="29" t="n">
        <v>495000</v>
      </c>
    </row>
    <row r="9">
      <c r="A9" s="7" t="inlineStr">
        <is>
          <t>M-SEN fon+1 puan</t>
        </is>
      </c>
      <c r="B9" s="25">
        <f>IFERROR(1+N(GIRDI!B9)*0,1)</f>
        <v/>
      </c>
      <c r="C9" s="26">
        <f>IFERROR(ydk_fark,0)</f>
        <v/>
      </c>
      <c r="D9" s="26">
        <f>IFERROR(MOTOR!G45,0)</f>
        <v/>
      </c>
      <c r="E9" s="27">
        <f>IF(COUNTA(tblGirdi[Alan Anahtarı])=0,"VERİ YOK",IF(C9=0,"YOK","GO/REVIEW"))</f>
        <v/>
      </c>
      <c r="G9" s="29" t="n">
        <v>459000</v>
      </c>
    </row>
    <row r="11">
      <c r="A11" s="10" t="inlineStr">
        <is>
          <t>Senaryo bant genişliği (iyimser−kötümser fark)</t>
        </is>
      </c>
      <c r="B11" s="26">
        <f>IFERROR(C6-C8,0)</f>
        <v/>
      </c>
    </row>
    <row r="12">
      <c r="A12" s="10" t="inlineStr">
        <is>
          <t>Senaryo yorumu</t>
        </is>
      </c>
      <c r="B12" s="21">
        <f>IFERROR(_xlfn.TEXTJOIN("; ",TRUE,"İyimser fark ",TEXT(C6,"₺ #,##0")," · Baz ",TEXT(C7,"₺ #,##0")," · Kötümser ",TEXT(C8,"₺ #,##0")," · Bant ",TEXT(B11,"₺ #,##0")),"-")</f>
        <v/>
      </c>
    </row>
    <row r="14">
      <c r="A14" s="5" t="inlineStr">
        <is>
          <t>Duyarlılık (tornado)</t>
        </is>
      </c>
    </row>
    <row r="15">
      <c r="A15" s="55" t="inlineStr">
        <is>
          <t>Değişken</t>
        </is>
      </c>
      <c r="B15" s="55" t="inlineStr">
        <is>
          <t>Etki [₺]</t>
        </is>
      </c>
      <c r="C15" s="55" t="inlineStr">
        <is>
          <t>Sıra</t>
        </is>
      </c>
      <c r="E15" s="55" t="inlineStr">
        <is>
          <t>EtkiDemo</t>
        </is>
      </c>
    </row>
    <row r="16">
      <c r="A16" s="7" t="inlineStr">
        <is>
          <t>Tornado maliyet etkisi</t>
        </is>
      </c>
      <c r="B16" s="26">
        <f>IFERROR(MOTOR!G49,0)</f>
        <v/>
      </c>
      <c r="C16" s="36">
        <f>IFERROR(IF(B16&gt;=MAX(B16:B18),1,IF(B16&gt;=MIN(B16:B18)+ABS(B16-B17),2,3)),3)</f>
        <v/>
      </c>
      <c r="E16" s="29" t="n">
        <v>22500</v>
      </c>
    </row>
    <row r="17">
      <c r="A17" s="7" t="inlineStr">
        <is>
          <t>Tornado endeks etkisi</t>
        </is>
      </c>
      <c r="B17" s="26">
        <f>IFERROR(MOTOR!G50,0)</f>
        <v/>
      </c>
      <c r="C17" s="36">
        <f>IFERROR(IF(B17&gt;=MAX(B16:B18),1,IF(B17=MEDIAN(B16:B18),2,3)),3)</f>
        <v/>
      </c>
      <c r="E17" s="29" t="n">
        <v>45000</v>
      </c>
    </row>
    <row r="18">
      <c r="A18" s="7" t="inlineStr">
        <is>
          <t>Tornado fon etkisi</t>
        </is>
      </c>
      <c r="B18" s="26">
        <f>IFERROR(MOTOR!G51,0)</f>
        <v/>
      </c>
      <c r="C18" s="36">
        <f>IFERROR(IF(B18&gt;=MAX(B16:B18),1,IF(B18=MEDIAN(B16:B18),2,3)),3)</f>
        <v/>
      </c>
      <c r="E18" s="29" t="n">
        <v>4500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fon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",TRUE,"Fon oranı +1 puan senaryosunda fon ",TEXT(D9,"₺ #,##0")," TL")</f>
        <v/>
      </c>
    </row>
    <row r="25">
      <c r="A25" s="10" t="inlineStr">
        <is>
          <t>Tahmin aralığı (fark)</t>
        </is>
      </c>
      <c r="B25" s="26">
        <f>MOTOR!G48</f>
        <v/>
      </c>
      <c r="C25" s="26">
        <f>ydk_fark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6" t="n">
        <v>1</v>
      </c>
      <c r="B28" s="26">
        <f>C6</f>
        <v/>
      </c>
      <c r="D28" s="29" t="n">
        <v>405000</v>
      </c>
    </row>
    <row r="29">
      <c r="A29" s="56" t="n">
        <v>2</v>
      </c>
      <c r="B29" s="26">
        <f>C7</f>
        <v/>
      </c>
      <c r="D29" s="29" t="n">
        <v>450000</v>
      </c>
    </row>
    <row r="30">
      <c r="A30" s="56" t="n">
        <v>3</v>
      </c>
      <c r="B30" s="26">
        <f>C8</f>
        <v/>
      </c>
      <c r="D30" s="29" t="n">
        <v>495000</v>
      </c>
    </row>
    <row r="31">
      <c r="A31" s="56" t="n">
        <v>4</v>
      </c>
      <c r="B31" s="26">
        <f>C9</f>
        <v/>
      </c>
      <c r="D31" s="29" t="n">
        <v>459000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ISNUMBER(SEARCH("GO",E6))</formula>
    </cfRule>
  </conditionalFormatting>
  <conditionalFormatting sqref="B16:B18">
    <cfRule type="cellIs" priority="4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Yeniden Değerleme Komuta Merkezi (298/Ç + Geç.32)</t>
        </is>
      </c>
    </row>
    <row r="3">
      <c r="A3" s="44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5" t="inlineStr">
        <is>
          <t>BeklenenDemo</t>
        </is>
      </c>
      <c r="K5" s="55" t="inlineStr">
        <is>
          <t>HesapDemo</t>
        </is>
      </c>
    </row>
    <row r="6">
      <c r="A6" s="7" t="inlineStr">
        <is>
          <t>YD-V01</t>
        </is>
      </c>
      <c r="B6" s="7" t="inlineStr">
        <is>
          <t>Tebliğ örnek 1 — pozitif fark</t>
        </is>
      </c>
      <c r="C6" s="7" t="inlineStr">
        <is>
          <t>maliyet=vaka_maliyet_1; endeks=vaka_endeks_1</t>
        </is>
      </c>
      <c r="D6" s="57" t="n">
        <v>450000</v>
      </c>
      <c r="E6" s="26">
        <f>IFERROR(ROUND(MAX(0,vaka_maliyet_1*(vaka_endeks_1-INDEX(tblKurallar[deger_2025],MATCH("YDK-001",tblKurallar[kural_id],0)))),2),0)</f>
        <v/>
      </c>
      <c r="F6" s="58">
        <f>IF($A6="","",IFERROR($D6-$E6,0))</f>
        <v/>
      </c>
      <c r="G6" s="59">
        <f>IF($A6="","",IFERROR(IF(ABS($F6)&lt;=ydk_tolerans,"TUTARLI","KIRIK"),"KIRIK"))</f>
        <v/>
      </c>
      <c r="H6" s="7" t="inlineStr">
        <is>
          <t>VUK 298/Ç · Geçici 32 hesap örneği</t>
        </is>
      </c>
      <c r="J6" s="29" t="n">
        <v>450000</v>
      </c>
      <c r="K6" s="29" t="n">
        <v>450000</v>
      </c>
    </row>
    <row r="7">
      <c r="A7" s="7" t="inlineStr">
        <is>
          <t>YD-V02</t>
        </is>
      </c>
      <c r="B7" s="7" t="inlineStr">
        <is>
          <t>Tebliğ örnek 2 — orta endeks</t>
        </is>
      </c>
      <c r="C7" s="7" t="inlineStr">
        <is>
          <t>maliyet=vaka_maliyet_2; endeks=vaka_endeks_2</t>
        </is>
      </c>
      <c r="D7" s="57" t="n">
        <v>400000</v>
      </c>
      <c r="E7" s="26">
        <f>IFERROR(ROUND(MAX(0,vaka_maliyet_2*(vaka_endeks_2-INDEX(tblKurallar[deger_2025],MATCH("YDK-001",tblKurallar[kural_id],0)))),2),0)</f>
        <v/>
      </c>
      <c r="F7" s="58">
        <f>IF($A7="","",IFERROR($D7-$E7,0))</f>
        <v/>
      </c>
      <c r="G7" s="59">
        <f>IF($A7="","",IFERROR(IF(ABS($F7)&lt;=ydk_tolerans,"TUTARLI","KIRIK"),"KIRIK"))</f>
        <v/>
      </c>
      <c r="H7" s="7" t="inlineStr">
        <is>
          <t>VUK 298/Ç hesap örneği</t>
        </is>
      </c>
      <c r="J7" s="29" t="n">
        <v>400000</v>
      </c>
      <c r="K7" s="29" t="n">
        <v>400000</v>
      </c>
    </row>
    <row r="8">
      <c r="A8" s="7" t="inlineStr">
        <is>
          <t>YD-V03</t>
        </is>
      </c>
      <c r="B8" s="7" t="inlineStr">
        <is>
          <t>Tebliğ örnek 3 — düşük endeks</t>
        </is>
      </c>
      <c r="C8" s="7" t="inlineStr">
        <is>
          <t>maliyet=vaka_maliyet_3; endeks=vaka_endeks_3</t>
        </is>
      </c>
      <c r="D8" s="57" t="n">
        <v>50000</v>
      </c>
      <c r="E8" s="26">
        <f>IFERROR(ROUND(MAX(0,vaka_maliyet_3*(vaka_endeks_3-INDEX(tblKurallar[deger_2025],MATCH("YDK-001",tblKurallar[kural_id],0)))),2),0)</f>
        <v/>
      </c>
      <c r="F8" s="58">
        <f>IF($A8="","",IFERROR($D8-$E8,0))</f>
        <v/>
      </c>
      <c r="G8" s="59">
        <f>IF($A8="","",IFERROR(IF(ABS($F8)&lt;=ydk_tolerans,"TUTARLI","KIRIK"),"KIRIK"))</f>
        <v/>
      </c>
      <c r="H8" s="7" t="inlineStr">
        <is>
          <t>VUK 298/Ç hesap örneği</t>
        </is>
      </c>
      <c r="J8" s="29" t="n">
        <v>50000</v>
      </c>
      <c r="K8" s="29" t="n">
        <v>50000</v>
      </c>
    </row>
    <row r="9">
      <c r="A9" s="7" t="inlineStr">
        <is>
          <t>YD-V04</t>
        </is>
      </c>
      <c r="B9" s="7" t="inlineStr">
        <is>
          <t>Geç.32 fon kontrolü</t>
        </is>
      </c>
      <c r="C9" s="7" t="inlineStr">
        <is>
          <t>fark=vaka_maliyet_1*(vaka_endeks_1-1); fon oranı YDK-002</t>
        </is>
      </c>
      <c r="D9" s="57" t="n">
        <v>9000</v>
      </c>
      <c r="E9" s="26">
        <f>IFERROR(ROUND(MAX(0,vaka_maliyet_1*(vaka_endeks_1-1))*INDEX(tblKurallar[deger_2025],MATCH("YDK-002",tblKurallar[kural_id],0)),2),0)</f>
        <v/>
      </c>
      <c r="F9" s="58">
        <f>IF($A9="","",IFERROR($D9-$E9,0))</f>
        <v/>
      </c>
      <c r="G9" s="59">
        <f>IF($A9="","",IFERROR(IF(ABS($F9)&lt;=ydk_tolerans,"TUTARLI","KIRIK"),"KIRIK"))</f>
        <v/>
      </c>
      <c r="H9" s="7" t="inlineStr">
        <is>
          <t>VUK Geçici md.32</t>
        </is>
      </c>
      <c r="J9" s="29" t="n">
        <v>9000</v>
      </c>
      <c r="K9" s="29" t="n">
        <v>9000</v>
      </c>
    </row>
    <row r="12">
      <c r="A12" s="10" t="inlineStr">
        <is>
          <t>Vaka durum özeti</t>
        </is>
      </c>
      <c r="B12" s="60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Yeniden Değerleme Komuta Merkezi (298/Ç + Geç.32)</t>
        </is>
      </c>
    </row>
    <row r="3">
      <c r="A3" s="61" t="inlineStr">
        <is>
          <t>KANIT RAPORU — Yeniden Değerleme (298/Ç + Geç.32)</t>
        </is>
      </c>
    </row>
    <row r="4">
      <c r="A4" s="7" t="inlineStr">
        <is>
          <t>Rapor tarihi</t>
        </is>
      </c>
      <c r="B4" s="62">
        <f>raporTarihi</f>
        <v/>
      </c>
    </row>
    <row r="5">
      <c r="A5" s="7" t="inlineStr">
        <is>
          <t>Kurum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Maliyet</t>
        </is>
      </c>
      <c r="B9" s="26">
        <f>GIRDI!B9</f>
        <v/>
      </c>
    </row>
    <row r="10">
      <c r="A10" s="7" t="inlineStr">
        <is>
          <t>Birikmiş amortisman</t>
        </is>
      </c>
      <c r="B10" s="26">
        <f>GIRDI!B10</f>
        <v/>
      </c>
    </row>
    <row r="11">
      <c r="A11" s="7" t="inlineStr">
        <is>
          <t>Endeks oranı</t>
        </is>
      </c>
      <c r="B11" s="52">
        <f>GIRDI!B11</f>
        <v/>
      </c>
    </row>
    <row r="12">
      <c r="A12" s="7" t="inlineStr">
        <is>
          <t>Kalan ömür</t>
        </is>
      </c>
      <c r="B12" s="36">
        <f>GIRDI!B12</f>
        <v/>
      </c>
    </row>
    <row r="13">
      <c r="A13" s="7" t="inlineStr">
        <is>
          <t>Değer artış farkı</t>
        </is>
      </c>
      <c r="B13" s="26">
        <f>ydk_fark</f>
        <v/>
      </c>
    </row>
    <row r="14">
      <c r="A14" s="7" t="inlineStr">
        <is>
          <t>Net defter</t>
        </is>
      </c>
      <c r="B14" s="26">
        <f>ydk_netDefter</f>
        <v/>
      </c>
    </row>
    <row r="16">
      <c r="A16" s="5" t="inlineStr">
        <is>
          <t>Hesap zinciri</t>
        </is>
      </c>
    </row>
    <row r="17">
      <c r="A17" s="7" t="inlineStr">
        <is>
          <t>Geç.32 fon</t>
        </is>
      </c>
      <c r="B17" s="35">
        <f>ydk_fonGec32</f>
        <v/>
      </c>
    </row>
    <row r="18">
      <c r="A18" s="7" t="inlineStr">
        <is>
          <t>Özkaynak 298/Ç</t>
        </is>
      </c>
      <c r="B18" s="35">
        <f>ydk_ozKaynak298</f>
        <v/>
      </c>
    </row>
    <row r="19">
      <c r="A19" s="10" t="inlineStr">
        <is>
          <t>KARAR</t>
        </is>
      </c>
      <c r="B19" s="63">
        <f>ydk_kararMetni</f>
        <v/>
      </c>
    </row>
    <row r="20">
      <c r="A20" s="7" t="inlineStr">
        <is>
          <t>Gerekçe</t>
        </is>
      </c>
      <c r="B20" s="21">
        <f>ydk_kararGerekce</f>
        <v/>
      </c>
    </row>
    <row r="22">
      <c r="A22" s="10" t="inlineStr">
        <is>
          <t>Madde atıfları</t>
        </is>
      </c>
      <c r="B22" s="21">
        <f>ydk_maddeAtifMetni</f>
        <v/>
      </c>
    </row>
    <row r="24">
      <c r="A24" s="10" t="inlineStr">
        <is>
          <t>Kanıt gövdesi</t>
        </is>
      </c>
      <c r="B24" s="21">
        <f>ydk_kanitRaporu</f>
        <v/>
      </c>
    </row>
    <row r="26">
      <c r="A26" s="7" t="inlineStr">
        <is>
          <t>Parmak izi (SHA-256 kısaltma)</t>
        </is>
      </c>
      <c r="B26" s="28">
        <f>ydk_parmakIzi</f>
        <v/>
      </c>
    </row>
    <row r="28">
      <c r="A28" s="7" t="inlineStr">
        <is>
          <t>Hazırlayan (imza)</t>
        </is>
      </c>
      <c r="B28" s="64" t="inlineStr"/>
    </row>
    <row r="29">
      <c r="A29" s="7" t="inlineStr">
        <is>
          <t>Onaylayan (imza)</t>
        </is>
      </c>
      <c r="B29" s="64" t="inlineStr"/>
    </row>
    <row r="31">
      <c r="A31" s="13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1:L1"/>
    <mergeCell ref="A31:F31"/>
    <mergeCell ref="B22:F22"/>
    <mergeCell ref="A3:F3"/>
  </mergeCells>
  <conditionalFormatting sqref="B19">
    <cfRule type="expression" priority="1" dxfId="0">
      <formula>ISNUMBER(SEARCH("UYGUN",B19))</formula>
    </cfRule>
    <cfRule type="expression" priority="2" dxfId="1">
      <formula>ISNUMBER(SEARCH("DİKKAT",B19))</formula>
    </cfRule>
  </conditionalFormatting>
  <conditionalFormatting sqref="B17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&amp;LYeniden Değerleme Komuta Merkezi (298/Ç + Geç.32) · 1.0.0&amp;CExcelArşiv&amp;RSayfa &amp;P / &amp;N</oddFooter>
    <evenHeader/>
    <evenFooter>&amp;LYeniden Değerleme Komuta Merkezi (298/Ç + Geç.32)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Yeniden Değerleme Komuta Merkezi (298/Ç + Geç.32)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maliyet?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IFERROR(IF(AND(N(hesapYili)&gt;N(ydk_yilTaban),N(hesapYili)&lt;=N(ydk_yilTaban)+3),"TEMİZ","HATALI"),"HATALI")</f>
        <v/>
      </c>
    </row>
    <row r="8">
      <c r="A8" s="7" t="inlineStr">
        <is>
          <t>Fark sıfır mı?</t>
        </is>
      </c>
      <c r="B8" s="27">
        <f>IF(IFERROR(ydk_fark,0)=0,"SIFIR","NORMAL")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IF(IFERROR(ydk_fark,0)&gt;ydk_farkEsik,"AŞIYOR","NORMAL")</f>
        <v/>
      </c>
    </row>
    <row r="11">
      <c r="A11" s="7" t="inlineStr">
        <is>
          <t>Öncelik A/B seçili mi?</t>
        </is>
      </c>
      <c r="B11" s="27">
        <f>IF(OR(GIRDI!B13="A",GIRDI!B13="B"),"TEMİZ","EKSİK")</f>
        <v/>
      </c>
    </row>
    <row r="12">
      <c r="A12" s="10" t="inlineStr">
        <is>
          <t>Kalite skoru (modül)</t>
        </is>
      </c>
      <c r="B12" s="65">
        <f>IFERROR(ROUND(IF(OR(B14=0,B14=""),0,B15/B14*100),0),0)</f>
        <v/>
      </c>
    </row>
    <row r="14">
      <c r="A14" s="7" t="inlineStr">
        <is>
          <t>Toplam giriş alanı</t>
        </is>
      </c>
      <c r="B14" s="36">
        <f>IFERROR(ydk_girisBeklenen+COUNTA(GIRDI!B6:B13)*0,0)</f>
        <v/>
      </c>
    </row>
    <row r="15">
      <c r="A15" s="7" t="inlineStr">
        <is>
          <t>Dolu giriş</t>
        </is>
      </c>
      <c r="B15" s="36">
        <f>COUNTA(GIRDI!B6:B13)</f>
        <v/>
      </c>
    </row>
    <row r="17">
      <c r="A17" s="7" t="inlineStr">
        <is>
          <t>Fark kontrol</t>
        </is>
      </c>
      <c r="B17" s="26">
        <f>IFERROR(ydk_fark,0)</f>
        <v/>
      </c>
    </row>
    <row r="18">
      <c r="A18" s="7" t="inlineStr">
        <is>
          <t>Fon kontrol</t>
        </is>
      </c>
      <c r="B18" s="26">
        <f>IFERROR(ydk_fonGec32,0)</f>
        <v/>
      </c>
    </row>
    <row r="19">
      <c r="A19" s="7" t="inlineStr">
        <is>
          <t>Karar kontrol</t>
        </is>
      </c>
      <c r="B19" s="27">
        <f>IFERROR(ydk_kararMetni,"-")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Yeniden Değerleme Komuta Merkezi (298/Ç + Geç.32)</t>
        </is>
      </c>
    </row>
    <row r="3">
      <c r="A3" s="4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Maliyet</t>
        </is>
      </c>
      <c r="C5" s="22" t="inlineStr">
        <is>
          <t>Birikmiş</t>
        </is>
      </c>
      <c r="D5" s="22" t="inlineStr">
        <is>
          <t>Endeks</t>
        </is>
      </c>
      <c r="E5" s="22" t="inlineStr">
        <is>
          <t>Kalan Ömür</t>
        </is>
      </c>
      <c r="F5" s="22" t="inlineStr">
        <is>
          <t>Öncelik</t>
        </is>
      </c>
      <c r="G5" s="22" t="inlineStr">
        <is>
          <t>Fark</t>
        </is>
      </c>
      <c r="H5" s="22" t="inlineStr">
        <is>
          <t>Fon Geç.32</t>
        </is>
      </c>
      <c r="I5" s="22" t="inlineStr">
        <is>
          <t>Özkaynak 298</t>
        </is>
      </c>
      <c r="L5" s="55" t="inlineStr">
        <is>
          <t>FarkDemo</t>
        </is>
      </c>
    </row>
    <row r="6">
      <c r="A6" s="37" t="inlineStr">
        <is>
          <t>Demo ana</t>
        </is>
      </c>
      <c r="B6" s="40" t="n">
        <v>1000000</v>
      </c>
      <c r="C6" s="40" t="n">
        <v>200000</v>
      </c>
      <c r="D6" s="41" t="n">
        <v>1.45</v>
      </c>
      <c r="E6" s="39" t="n">
        <v>10</v>
      </c>
      <c r="F6" s="37" t="inlineStr">
        <is>
          <t>A</t>
        </is>
      </c>
      <c r="G6" s="38">
        <f>IF($A6="","",IFERROR(ROUND(MAX(0,$B6*($D6-1)),2),0))</f>
        <v/>
      </c>
      <c r="H6" s="38">
        <f>IF($A6="","",IFERROR(ROUND($G6*INDEX(tblKurallar[deger_2025],MATCH("YDK-002",tblKurallar[kural_id],0)),2),0))</f>
        <v/>
      </c>
      <c r="I6" s="38">
        <f>IF($A6="","",IFERROR($G6-$G6*INDEX(tblKurallar[deger_2025],MATCH("YDK-004",tblKurallar[kural_id],0)),0))</f>
        <v/>
      </c>
      <c r="L6" s="29" t="n">
        <v>450000</v>
      </c>
    </row>
    <row r="7">
      <c r="A7" s="37" t="inlineStr">
        <is>
          <t>Yüksek endeks</t>
        </is>
      </c>
      <c r="B7" s="40" t="n">
        <v>1000000</v>
      </c>
      <c r="C7" s="40" t="n">
        <v>100000</v>
      </c>
      <c r="D7" s="41" t="n">
        <v>1.8</v>
      </c>
      <c r="E7" s="39" t="n">
        <v>8</v>
      </c>
      <c r="F7" s="37" t="inlineStr">
        <is>
          <t>A</t>
        </is>
      </c>
      <c r="G7" s="38">
        <f>IF($A7="","",IFERROR(ROUND(MAX(0,$B7*($D7-1)),2),0))</f>
        <v/>
      </c>
      <c r="H7" s="38">
        <f>IF($A7="","",IFERROR(ROUND($G7*INDEX(tblKurallar[deger_2025],MATCH("YDK-002",tblKurallar[kural_id],0)),2),0))</f>
        <v/>
      </c>
      <c r="I7" s="38">
        <f>IF($A7="","",IFERROR($G7-$G7*INDEX(tblKurallar[deger_2025],MATCH("YDK-004",tblKurallar[kural_id],0)),0))</f>
        <v/>
      </c>
      <c r="L7" s="29" t="n">
        <v>800000</v>
      </c>
    </row>
    <row r="8">
      <c r="A8" s="37" t="inlineStr">
        <is>
          <t>Düşük maliyet</t>
        </is>
      </c>
      <c r="B8" s="40" t="n">
        <v>500000</v>
      </c>
      <c r="C8" s="40" t="n">
        <v>50000</v>
      </c>
      <c r="D8" s="41" t="n">
        <v>1.2</v>
      </c>
      <c r="E8" s="39" t="n">
        <v>5</v>
      </c>
      <c r="F8" s="37" t="inlineStr">
        <is>
          <t>B</t>
        </is>
      </c>
      <c r="G8" s="38">
        <f>IF($A8="","",IFERROR(ROUND(MAX(0,$B8*($D8-1)),2),0))</f>
        <v/>
      </c>
      <c r="H8" s="38">
        <f>IF($A8="","",IFERROR(ROUND($G8*INDEX(tblKurallar[deger_2025],MATCH("YDK-002",tblKurallar[kural_id],0)),2),0))</f>
        <v/>
      </c>
      <c r="I8" s="38">
        <f>IF($A8="","",IFERROR($G8-$G8*INDEX(tblKurallar[deger_2025],MATCH("YDK-004",tblKurallar[kural_id],0)),0))</f>
        <v/>
      </c>
      <c r="L8" s="29" t="n">
        <v>100000</v>
      </c>
    </row>
    <row r="9">
      <c r="A9" s="37" t="inlineStr">
        <is>
          <t>Uzun ömür</t>
        </is>
      </c>
      <c r="B9" s="40" t="n">
        <v>2000000</v>
      </c>
      <c r="C9" s="40" t="n">
        <v>400000</v>
      </c>
      <c r="D9" s="41" t="n">
        <v>1.35</v>
      </c>
      <c r="E9" s="39" t="n">
        <v>20</v>
      </c>
      <c r="F9" s="37" t="inlineStr">
        <is>
          <t>A</t>
        </is>
      </c>
      <c r="G9" s="38">
        <f>IF($A9="","",IFERROR(ROUND(MAX(0,$B9*($D9-1)),2),0))</f>
        <v/>
      </c>
      <c r="H9" s="38">
        <f>IF($A9="","",IFERROR(ROUND($G9*INDEX(tblKurallar[deger_2025],MATCH("YDK-002",tblKurallar[kural_id],0)),2),0))</f>
        <v/>
      </c>
      <c r="I9" s="38">
        <f>IF($A9="","",IFERROR($G9-$G9*INDEX(tblKurallar[deger_2025],MATCH("YDK-004",tblKurallar[kural_id],0)),0))</f>
        <v/>
      </c>
      <c r="L9" s="29" t="n">
        <v>700000</v>
      </c>
    </row>
    <row r="10">
      <c r="A10" s="37" t="inlineStr">
        <is>
          <t>Sıfır artış</t>
        </is>
      </c>
      <c r="B10" s="40" t="n">
        <v>800000</v>
      </c>
      <c r="C10" s="40" t="n">
        <v>100000</v>
      </c>
      <c r="D10" s="41" t="n">
        <v>1</v>
      </c>
      <c r="E10" s="39" t="n">
        <v>10</v>
      </c>
      <c r="F10" s="37" t="inlineStr">
        <is>
          <t>B</t>
        </is>
      </c>
      <c r="G10" s="38">
        <f>IF($A10="","",IFERROR(ROUND(MAX(0,$B10*($D10-1)),2),0))</f>
        <v/>
      </c>
      <c r="H10" s="38">
        <f>IF($A10="","",IFERROR(ROUND($G10*INDEX(tblKurallar[deger_2025],MATCH("YDK-002",tblKurallar[kural_id],0)),2),0))</f>
        <v/>
      </c>
      <c r="I10" s="38">
        <f>IF($A10="","",IFERROR($G10-$G10*INDEX(tblKurallar[deger_2025],MATCH("YDK-004",tblKurallar[kural_id],0)),0))</f>
        <v/>
      </c>
      <c r="L10" s="29" t="n">
        <v>0</v>
      </c>
    </row>
    <row r="11">
      <c r="A11" s="37" t="n"/>
      <c r="B11" s="37" t="n"/>
      <c r="C11" s="37" t="n"/>
      <c r="D11" s="37" t="n"/>
      <c r="E11" s="37" t="n"/>
      <c r="F11" s="37" t="n"/>
      <c r="G11" s="38">
        <f>IF($A11="","",IFERROR(ROUND(MAX(0,$B11*($D11-1)),2),0))</f>
        <v/>
      </c>
      <c r="H11" s="38">
        <f>IF($A11="","",IFERROR(ROUND($G11*INDEX(tblKurallar[deger_2025],MATCH("YDK-002",tblKurallar[kural_id],0)),2),0))</f>
        <v/>
      </c>
      <c r="I11" s="38">
        <f>IF($A11="","",IFERROR($G11-$G11*INDEX(tblKurallar[deger_2025],MATCH("YDK-004",tblKurallar[kural_id],0)),0))</f>
        <v/>
      </c>
    </row>
    <row r="12">
      <c r="A12" s="37" t="n"/>
      <c r="B12" s="37" t="n"/>
      <c r="C12" s="37" t="n"/>
      <c r="D12" s="37" t="n"/>
      <c r="E12" s="37" t="n"/>
      <c r="F12" s="37" t="n"/>
      <c r="G12" s="38">
        <f>IF($A12="","",IFERROR(ROUND(MAX(0,$B12*($D12-1)),2),0))</f>
        <v/>
      </c>
      <c r="H12" s="38">
        <f>IF($A12="","",IFERROR(ROUND($G12*INDEX(tblKurallar[deger_2025],MATCH("YDK-002",tblKurallar[kural_id],0)),2),0))</f>
        <v/>
      </c>
      <c r="I12" s="38">
        <f>IF($A12="","",IFERROR($G12-$G12*INDEX(tblKurallar[deger_2025],MATCH("YDK-004",tblKurallar[kural_id],0)),0))</f>
        <v/>
      </c>
    </row>
    <row r="13">
      <c r="A13" s="37" t="n"/>
      <c r="B13" s="37" t="n"/>
      <c r="C13" s="37" t="n"/>
      <c r="D13" s="37" t="n"/>
      <c r="E13" s="37" t="n"/>
      <c r="F13" s="37" t="n"/>
      <c r="G13" s="38">
        <f>IF($A13="","",IFERROR(ROUND(MAX(0,$B13*($D13-1)),2),0))</f>
        <v/>
      </c>
      <c r="H13" s="38">
        <f>IF($A13="","",IFERROR(ROUND($G13*INDEX(tblKurallar[deger_2025],MATCH("YDK-002",tblKurallar[kural_id],0)),2),0))</f>
        <v/>
      </c>
      <c r="I13" s="38">
        <f>IF($A13="","",IFERROR($G13-$G13*INDEX(tblKurallar[deger_2025],MATCH("YDK-004",tblKurallar[kural_id],0)),0))</f>
        <v/>
      </c>
    </row>
    <row r="14">
      <c r="A14" s="37" t="n"/>
      <c r="B14" s="37" t="n"/>
      <c r="C14" s="37" t="n"/>
      <c r="D14" s="37" t="n"/>
      <c r="E14" s="37" t="n"/>
      <c r="F14" s="37" t="n"/>
      <c r="G14" s="38">
        <f>IF($A14="","",IFERROR(ROUND(MAX(0,$B14*($D14-1)),2),0))</f>
        <v/>
      </c>
      <c r="H14" s="38">
        <f>IF($A14="","",IFERROR(ROUND($G14*INDEX(tblKurallar[deger_2025],MATCH("YDK-002",tblKurallar[kural_id],0)),2),0))</f>
        <v/>
      </c>
      <c r="I14" s="38">
        <f>IF($A14="","",IFERROR($G14-$G14*INDEX(tblKurallar[deger_2025],MATCH("YDK-004",tblKurallar[kural_id],0)),0))</f>
        <v/>
      </c>
    </row>
    <row r="15">
      <c r="A15" s="37" t="n"/>
      <c r="B15" s="37" t="n"/>
      <c r="C15" s="37" t="n"/>
      <c r="D15" s="37" t="n"/>
      <c r="E15" s="37" t="n"/>
      <c r="F15" s="37" t="n"/>
      <c r="G15" s="38">
        <f>IF($A15="","",IFERROR(ROUND(MAX(0,$B15*($D15-1)),2),0))</f>
        <v/>
      </c>
      <c r="H15" s="38">
        <f>IF($A15="","",IFERROR(ROUND($G15*INDEX(tblKurallar[deger_2025],MATCH("YDK-002",tblKurallar[kural_id],0)),2),0))</f>
        <v/>
      </c>
      <c r="I15" s="38">
        <f>IF($A15="","",IFERROR($G15-$G15*INDEX(tblKurallar[deger_2025],MATCH("YDK-004",tblKurallar[kural_id],0)),0))</f>
        <v/>
      </c>
    </row>
    <row r="16">
      <c r="A16" s="37" t="n"/>
      <c r="B16" s="37" t="n"/>
      <c r="C16" s="37" t="n"/>
      <c r="D16" s="37" t="n"/>
      <c r="E16" s="37" t="n"/>
      <c r="F16" s="37" t="n"/>
      <c r="G16" s="38">
        <f>IF($A16="","",IFERROR(ROUND(MAX(0,$B16*($D16-1)),2),0))</f>
        <v/>
      </c>
      <c r="H16" s="38">
        <f>IF($A16="","",IFERROR(ROUND($G16*INDEX(tblKurallar[deger_2025],MATCH("YDK-002",tblKurallar[kural_id],0)),2),0))</f>
        <v/>
      </c>
      <c r="I16" s="38">
        <f>IF($A16="","",IFERROR($G16-$G16*INDEX(tblKurallar[deger_2025],MATCH("YDK-004",tblKurallar[kural_id],0)),0))</f>
        <v/>
      </c>
    </row>
    <row r="17">
      <c r="A17" s="37" t="n"/>
      <c r="B17" s="37" t="n"/>
      <c r="C17" s="37" t="n"/>
      <c r="D17" s="37" t="n"/>
      <c r="E17" s="37" t="n"/>
      <c r="F17" s="37" t="n"/>
      <c r="G17" s="38">
        <f>IF($A17="","",IFERROR(ROUND(MAX(0,$B17*($D17-1)),2),0))</f>
        <v/>
      </c>
      <c r="H17" s="38">
        <f>IF($A17="","",IFERROR(ROUND($G17*INDEX(tblKurallar[deger_2025],MATCH("YDK-002",tblKurallar[kural_id],0)),2),0))</f>
        <v/>
      </c>
      <c r="I17" s="38">
        <f>IF($A17="","",IFERROR($G17-$G17*INDEX(tblKurallar[deger_2025],MATCH("YDK-004",tblKurallar[kural_id],0)),0))</f>
        <v/>
      </c>
    </row>
    <row r="18">
      <c r="A18" s="37" t="n"/>
      <c r="B18" s="37" t="n"/>
      <c r="C18" s="37" t="n"/>
      <c r="D18" s="37" t="n"/>
      <c r="E18" s="37" t="n"/>
      <c r="F18" s="37" t="n"/>
      <c r="G18" s="38">
        <f>IF($A18="","",IFERROR(ROUND(MAX(0,$B18*($D18-1)),2),0))</f>
        <v/>
      </c>
      <c r="H18" s="38">
        <f>IF($A18="","",IFERROR(ROUND($G18*INDEX(tblKurallar[deger_2025],MATCH("YDK-002",tblKurallar[kural_id],0)),2),0))</f>
        <v/>
      </c>
      <c r="I18" s="38">
        <f>IF($A18="","",IFERROR($G18-$G18*INDEX(tblKurallar[deger_2025],MATCH("YDK-004",tblKurallar[kural_id],0)),0))</f>
        <v/>
      </c>
    </row>
    <row r="19">
      <c r="A19" s="37" t="n"/>
      <c r="B19" s="37" t="n"/>
      <c r="C19" s="37" t="n"/>
      <c r="D19" s="37" t="n"/>
      <c r="E19" s="37" t="n"/>
      <c r="F19" s="37" t="n"/>
      <c r="G19" s="38">
        <f>IF($A19="","",IFERROR(ROUND(MAX(0,$B19*($D19-1)),2),0))</f>
        <v/>
      </c>
      <c r="H19" s="38">
        <f>IF($A19="","",IFERROR(ROUND($G19*INDEX(tblKurallar[deger_2025],MATCH("YDK-002",tblKurallar[kural_id],0)),2),0))</f>
        <v/>
      </c>
      <c r="I19" s="38">
        <f>IF($A19="","",IFERROR($G19-$G19*INDEX(tblKurallar[deger_2025],MATCH("YDK-004",tblKurallar[kural_id],0)),0))</f>
        <v/>
      </c>
    </row>
    <row r="20">
      <c r="A20" s="37" t="n"/>
      <c r="B20" s="37" t="n"/>
      <c r="C20" s="37" t="n"/>
      <c r="D20" s="37" t="n"/>
      <c r="E20" s="37" t="n"/>
      <c r="F20" s="37" t="n"/>
      <c r="G20" s="38">
        <f>IF($A20="","",IFERROR(ROUND(MAX(0,$B20*($D20-1)),2),0))</f>
        <v/>
      </c>
      <c r="H20" s="38">
        <f>IF($A20="","",IFERROR(ROUND($G20*INDEX(tblKurallar[deger_2025],MATCH("YDK-002",tblKurallar[kural_id],0)),2),0))</f>
        <v/>
      </c>
      <c r="I20" s="38">
        <f>IF($A20="","",IFERROR($G20-$G20*INDEX(tblKurallar[deger_2025],MATCH("YDK-004",tblKurallar[kural_id],0)),0))</f>
        <v/>
      </c>
    </row>
    <row r="21">
      <c r="A21" s="37" t="n"/>
      <c r="B21" s="37" t="n"/>
      <c r="C21" s="37" t="n"/>
      <c r="D21" s="37" t="n"/>
      <c r="E21" s="37" t="n"/>
      <c r="F21" s="37" t="n"/>
      <c r="G21" s="38">
        <f>IF($A21="","",IFERROR(ROUND(MAX(0,$B21*($D21-1)),2),0))</f>
        <v/>
      </c>
      <c r="H21" s="38">
        <f>IF($A21="","",IFERROR(ROUND($G21*INDEX(tblKurallar[deger_2025],MATCH("YDK-002",tblKurallar[kural_id],0)),2),0))</f>
        <v/>
      </c>
      <c r="I21" s="38">
        <f>IF($A21="","",IFERROR($G21-$G21*INDEX(tblKurallar[deger_2025],MATCH("YDK-004",tblKurallar[kural_id],0)),0))</f>
        <v/>
      </c>
    </row>
    <row r="22">
      <c r="A22" s="37" t="n"/>
      <c r="B22" s="37" t="n"/>
      <c r="C22" s="37" t="n"/>
      <c r="D22" s="37" t="n"/>
      <c r="E22" s="37" t="n"/>
      <c r="F22" s="37" t="n"/>
      <c r="G22" s="38">
        <f>IF($A22="","",IFERROR(ROUND(MAX(0,$B22*($D22-1)),2),0))</f>
        <v/>
      </c>
      <c r="H22" s="38">
        <f>IF($A22="","",IFERROR(ROUND($G22*INDEX(tblKurallar[deger_2025],MATCH("YDK-002",tblKurallar[kural_id],0)),2),0))</f>
        <v/>
      </c>
      <c r="I22" s="38">
        <f>IF($A22="","",IFERROR($G22-$G22*INDEX(tblKurallar[deger_2025],MATCH("YDK-004",tblKurallar[kural_id],0)),0))</f>
        <v/>
      </c>
    </row>
    <row r="23">
      <c r="A23" s="37" t="n"/>
      <c r="B23" s="37" t="n"/>
      <c r="C23" s="37" t="n"/>
      <c r="D23" s="37" t="n"/>
      <c r="E23" s="37" t="n"/>
      <c r="F23" s="37" t="n"/>
      <c r="G23" s="38">
        <f>IF($A23="","",IFERROR(ROUND(MAX(0,$B23*($D23-1)),2),0))</f>
        <v/>
      </c>
      <c r="H23" s="38">
        <f>IF($A23="","",IFERROR(ROUND($G23*INDEX(tblKurallar[deger_2025],MATCH("YDK-002",tblKurallar[kural_id],0)),2),0))</f>
        <v/>
      </c>
      <c r="I23" s="38">
        <f>IF($A23="","",IFERROR($G23-$G23*INDEX(tblKurallar[deger_2025],MATCH("YDK-004",tblKurallar[kural_id],0)),0))</f>
        <v/>
      </c>
    </row>
    <row r="24">
      <c r="A24" s="37" t="n"/>
      <c r="B24" s="37" t="n"/>
      <c r="C24" s="37" t="n"/>
      <c r="D24" s="37" t="n"/>
      <c r="E24" s="37" t="n"/>
      <c r="F24" s="37" t="n"/>
      <c r="G24" s="38">
        <f>IF($A24="","",IFERROR(ROUND(MAX(0,$B24*($D24-1)),2),0))</f>
        <v/>
      </c>
      <c r="H24" s="38">
        <f>IF($A24="","",IFERROR(ROUND($G24*INDEX(tblKurallar[deger_2025],MATCH("YDK-002",tblKurallar[kural_id],0)),2),0))</f>
        <v/>
      </c>
      <c r="I24" s="38">
        <f>IF($A24="","",IFERROR($G24-$G24*INDEX(tblKurallar[deger_2025],MATCH("YDK-004",tblKurallar[kural_id],0)),0))</f>
        <v/>
      </c>
    </row>
    <row r="25">
      <c r="A25" s="37" t="n"/>
      <c r="B25" s="37" t="n"/>
      <c r="C25" s="37" t="n"/>
      <c r="D25" s="37" t="n"/>
      <c r="E25" s="37" t="n"/>
      <c r="F25" s="37" t="n"/>
      <c r="G25" s="38">
        <f>IF($A25="","",IFERROR(ROUND(MAX(0,$B25*($D25-1)),2),0))</f>
        <v/>
      </c>
      <c r="H25" s="38">
        <f>IF($A25="","",IFERROR(ROUND($G25*INDEX(tblKurallar[deger_2025],MATCH("YDK-002",tblKurallar[kural_id],0)),2),0))</f>
        <v/>
      </c>
      <c r="I25" s="38">
        <f>IF($A25="","",IFERROR($G25-$G25*INDEX(tblKurallar[deger_2025],MATCH("YDK-004",tblKurallar[kural_id],0)),0))</f>
        <v/>
      </c>
    </row>
    <row r="26">
      <c r="A26" s="37" t="n"/>
      <c r="B26" s="37" t="n"/>
      <c r="C26" s="37" t="n"/>
      <c r="D26" s="37" t="n"/>
      <c r="E26" s="37" t="n"/>
      <c r="F26" s="37" t="n"/>
      <c r="G26" s="38">
        <f>IF($A26="","",IFERROR(ROUND(MAX(0,$B26*($D26-1)),2),0))</f>
        <v/>
      </c>
      <c r="H26" s="38">
        <f>IF($A26="","",IFERROR(ROUND($G26*INDEX(tblKurallar[deger_2025],MATCH("YDK-002",tblKurallar[kural_id],0)),2),0))</f>
        <v/>
      </c>
      <c r="I26" s="38">
        <f>IF($A26="","",IFERROR($G26-$G26*INDEX(tblKurallar[deger_2025],MATCH("YDK-004",tblKurallar[kural_id],0)),0))</f>
        <v/>
      </c>
    </row>
    <row r="27">
      <c r="A27" s="37" t="n"/>
      <c r="B27" s="37" t="n"/>
      <c r="C27" s="37" t="n"/>
      <c r="D27" s="37" t="n"/>
      <c r="E27" s="37" t="n"/>
      <c r="F27" s="37" t="n"/>
      <c r="G27" s="38">
        <f>IF($A27="","",IFERROR(ROUND(MAX(0,$B27*($D27-1)),2),0))</f>
        <v/>
      </c>
      <c r="H27" s="38">
        <f>IF($A27="","",IFERROR(ROUND($G27*INDEX(tblKurallar[deger_2025],MATCH("YDK-002",tblKurallar[kural_id],0)),2),0))</f>
        <v/>
      </c>
      <c r="I27" s="38">
        <f>IF($A27="","",IFERROR($G27-$G27*INDEX(tblKurallar[deger_2025],MATCH("YDK-004",tblKurallar[kural_id],0)),0))</f>
        <v/>
      </c>
    </row>
    <row r="28">
      <c r="A28" s="37" t="n"/>
      <c r="B28" s="37" t="n"/>
      <c r="C28" s="37" t="n"/>
      <c r="D28" s="37" t="n"/>
      <c r="E28" s="37" t="n"/>
      <c r="F28" s="37" t="n"/>
      <c r="G28" s="38">
        <f>IF($A28="","",IFERROR(ROUND(MAX(0,$B28*($D28-1)),2),0))</f>
        <v/>
      </c>
      <c r="H28" s="38">
        <f>IF($A28="","",IFERROR(ROUND($G28*INDEX(tblKurallar[deger_2025],MATCH("YDK-002",tblKurallar[kural_id],0)),2),0))</f>
        <v/>
      </c>
      <c r="I28" s="38">
        <f>IF($A28="","",IFERROR($G28-$G28*INDEX(tblKurallar[deger_2025],MATCH("YDK-004",tblKurallar[kural_id],0)),0))</f>
        <v/>
      </c>
    </row>
    <row r="29">
      <c r="A29" s="37" t="n"/>
      <c r="B29" s="37" t="n"/>
      <c r="C29" s="37" t="n"/>
      <c r="D29" s="37" t="n"/>
      <c r="E29" s="37" t="n"/>
      <c r="F29" s="37" t="n"/>
      <c r="G29" s="38">
        <f>IF($A29="","",IFERROR(ROUND(MAX(0,$B29*($D29-1)),2),0))</f>
        <v/>
      </c>
      <c r="H29" s="38">
        <f>IF($A29="","",IFERROR(ROUND($G29*INDEX(tblKurallar[deger_2025],MATCH("YDK-002",tblKurallar[kural_id],0)),2),0))</f>
        <v/>
      </c>
      <c r="I29" s="38">
        <f>IF($A29="","",IFERROR($G29-$G29*INDEX(tblKurallar[deger_2025],MATCH("YDK-004",tblKurallar[kural_id],0)),0))</f>
        <v/>
      </c>
    </row>
    <row r="30">
      <c r="A30" s="37" t="n"/>
      <c r="B30" s="37" t="n"/>
      <c r="C30" s="37" t="n"/>
      <c r="D30" s="37" t="n"/>
      <c r="E30" s="37" t="n"/>
      <c r="F30" s="37" t="n"/>
      <c r="G30" s="38">
        <f>IF($A30="","",IFERROR(ROUND(MAX(0,$B30*($D30-1)),2),0))</f>
        <v/>
      </c>
      <c r="H30" s="38">
        <f>IF($A30="","",IFERROR(ROUND($G30*INDEX(tblKurallar[deger_2025],MATCH("YDK-002",tblKurallar[kural_id],0)),2),0))</f>
        <v/>
      </c>
      <c r="I30" s="38">
        <f>IF($A30="","",IFERROR($G30-$G30*INDEX(tblKurallar[deger_2025],MATCH("YDK-004",tblKurallar[kural_id],0)),0))</f>
        <v/>
      </c>
    </row>
    <row r="31">
      <c r="A31" s="37" t="n"/>
      <c r="B31" s="37" t="n"/>
      <c r="C31" s="37" t="n"/>
      <c r="D31" s="37" t="n"/>
      <c r="E31" s="37" t="n"/>
      <c r="F31" s="37" t="n"/>
      <c r="G31" s="38">
        <f>IF($A31="","",IFERROR(ROUND(MAX(0,$B31*($D31-1)),2),0))</f>
        <v/>
      </c>
      <c r="H31" s="38">
        <f>IF($A31="","",IFERROR(ROUND($G31*INDEX(tblKurallar[deger_2025],MATCH("YDK-002",tblKurallar[kural_id],0)),2),0))</f>
        <v/>
      </c>
      <c r="I31" s="38">
        <f>IF($A31="","",IFERROR($G31-$G31*INDEX(tblKurallar[deger_2025],MATCH("YDK-004",tblKurallar[kural_id],0)),0))</f>
        <v/>
      </c>
    </row>
    <row r="32">
      <c r="A32" s="37" t="n"/>
      <c r="B32" s="37" t="n"/>
      <c r="C32" s="37" t="n"/>
      <c r="D32" s="37" t="n"/>
      <c r="E32" s="37" t="n"/>
      <c r="F32" s="37" t="n"/>
      <c r="G32" s="38">
        <f>IF($A32="","",IFERROR(ROUND(MAX(0,$B32*($D32-1)),2),0))</f>
        <v/>
      </c>
      <c r="H32" s="38">
        <f>IF($A32="","",IFERROR(ROUND($G32*INDEX(tblKurallar[deger_2025],MATCH("YDK-002",tblKurallar[kural_id],0)),2),0))</f>
        <v/>
      </c>
      <c r="I32" s="38">
        <f>IF($A32="","",IFERROR($G32-$G32*INDEX(tblKurallar[deger_2025],MATCH("YDK-004",tblKurallar[kural_id],0)),0))</f>
        <v/>
      </c>
    </row>
    <row r="33">
      <c r="A33" s="37" t="n"/>
      <c r="B33" s="37" t="n"/>
      <c r="C33" s="37" t="n"/>
      <c r="D33" s="37" t="n"/>
      <c r="E33" s="37" t="n"/>
      <c r="F33" s="37" t="n"/>
      <c r="G33" s="38">
        <f>IF($A33="","",IFERROR(ROUND(MAX(0,$B33*($D33-1)),2),0))</f>
        <v/>
      </c>
      <c r="H33" s="38">
        <f>IF($A33="","",IFERROR(ROUND($G33*INDEX(tblKurallar[deger_2025],MATCH("YDK-002",tblKurallar[kural_id],0)),2),0))</f>
        <v/>
      </c>
      <c r="I33" s="38">
        <f>IF($A33="","",IFERROR($G33-$G33*INDEX(tblKurallar[deger_2025],MATCH("YDK-004",tblKurallar[kural_id],0)),0))</f>
        <v/>
      </c>
    </row>
    <row r="34">
      <c r="A34" s="37" t="n"/>
      <c r="B34" s="37" t="n"/>
      <c r="C34" s="37" t="n"/>
      <c r="D34" s="37" t="n"/>
      <c r="E34" s="37" t="n"/>
      <c r="F34" s="37" t="n"/>
      <c r="G34" s="38">
        <f>IF($A34="","",IFERROR(ROUND(MAX(0,$B34*($D34-1)),2),0))</f>
        <v/>
      </c>
      <c r="H34" s="38">
        <f>IF($A34="","",IFERROR(ROUND($G34*INDEX(tblKurallar[deger_2025],MATCH("YDK-002",tblKurallar[kural_id],0)),2),0))</f>
        <v/>
      </c>
      <c r="I34" s="38">
        <f>IF($A34="","",IFERROR($G34-$G34*INDEX(tblKurallar[deger_2025],MATCH("YDK-004",tblKurallar[kural_id],0)),0))</f>
        <v/>
      </c>
    </row>
    <row r="35">
      <c r="A35" s="37" t="n"/>
      <c r="B35" s="37" t="n"/>
      <c r="C35" s="37" t="n"/>
      <c r="D35" s="37" t="n"/>
      <c r="E35" s="37" t="n"/>
      <c r="F35" s="37" t="n"/>
      <c r="G35" s="38">
        <f>IF($A35="","",IFERROR(ROUND(MAX(0,$B35*($D35-1)),2),0))</f>
        <v/>
      </c>
      <c r="H35" s="38">
        <f>IF($A35="","",IFERROR(ROUND($G35*INDEX(tblKurallar[deger_2025],MATCH("YDK-002",tblKurallar[kural_id],0)),2),0))</f>
        <v/>
      </c>
      <c r="I35" s="38">
        <f>IF($A35="","",IFERROR($G35-$G35*INDEX(tblKurallar[deger_2025],MATCH("YDK-004",tblKurallar[kural_id],0)),0))</f>
        <v/>
      </c>
    </row>
    <row r="36">
      <c r="A36" s="37" t="n"/>
      <c r="B36" s="37" t="n"/>
      <c r="C36" s="37" t="n"/>
      <c r="D36" s="37" t="n"/>
      <c r="E36" s="37" t="n"/>
      <c r="F36" s="37" t="n"/>
      <c r="G36" s="38">
        <f>IF($A36="","",IFERROR(ROUND(MAX(0,$B36*($D36-1)),2),0))</f>
        <v/>
      </c>
      <c r="H36" s="38">
        <f>IF($A36="","",IFERROR(ROUND($G36*INDEX(tblKurallar[deger_2025],MATCH("YDK-002",tblKurallar[kural_id],0)),2),0))</f>
        <v/>
      </c>
      <c r="I36" s="38">
        <f>IF($A36="","",IFERROR($G36-$G36*INDEX(tblKurallar[deger_2025],MATCH("YDK-004",tblKurallar[kural_id],0)),0))</f>
        <v/>
      </c>
    </row>
    <row r="37">
      <c r="A37" s="37" t="n"/>
      <c r="B37" s="37" t="n"/>
      <c r="C37" s="37" t="n"/>
      <c r="D37" s="37" t="n"/>
      <c r="E37" s="37" t="n"/>
      <c r="F37" s="37" t="n"/>
      <c r="G37" s="38">
        <f>IF($A37="","",IFERROR(ROUND(MAX(0,$B37*($D37-1)),2),0))</f>
        <v/>
      </c>
      <c r="H37" s="38">
        <f>IF($A37="","",IFERROR(ROUND($G37*INDEX(tblKurallar[deger_2025],MATCH("YDK-002",tblKurallar[kural_id],0)),2),0))</f>
        <v/>
      </c>
      <c r="I37" s="38">
        <f>IF($A37="","",IFERROR($G37-$G37*INDEX(tblKurallar[deger_2025],MATCH("YDK-004",tblKurallar[kural_id],0)),0))</f>
        <v/>
      </c>
    </row>
    <row r="38">
      <c r="A38" s="37" t="n"/>
      <c r="B38" s="37" t="n"/>
      <c r="C38" s="37" t="n"/>
      <c r="D38" s="37" t="n"/>
      <c r="E38" s="37" t="n"/>
      <c r="F38" s="37" t="n"/>
      <c r="G38" s="38">
        <f>IF($A38="","",IFERROR(ROUND(MAX(0,$B38*($D38-1)),2),0))</f>
        <v/>
      </c>
      <c r="H38" s="38">
        <f>IF($A38="","",IFERROR(ROUND($G38*INDEX(tblKurallar[deger_2025],MATCH("YDK-002",tblKurallar[kural_id],0)),2),0))</f>
        <v/>
      </c>
      <c r="I38" s="38">
        <f>IF($A38="","",IFERROR($G38-$G38*INDEX(tblKurallar[deger_2025],MATCH("YDK-004",tblKurallar[kural_id],0)),0))</f>
        <v/>
      </c>
    </row>
    <row r="39">
      <c r="A39" s="37" t="n"/>
      <c r="B39" s="37" t="n"/>
      <c r="C39" s="37" t="n"/>
      <c r="D39" s="37" t="n"/>
      <c r="E39" s="37" t="n"/>
      <c r="F39" s="37" t="n"/>
      <c r="G39" s="38">
        <f>IF($A39="","",IFERROR(ROUND(MAX(0,$B39*($D39-1)),2),0))</f>
        <v/>
      </c>
      <c r="H39" s="38">
        <f>IF($A39="","",IFERROR(ROUND($G39*INDEX(tblKurallar[deger_2025],MATCH("YDK-002",tblKurallar[kural_id],0)),2),0))</f>
        <v/>
      </c>
      <c r="I39" s="38">
        <f>IF($A39="","",IFERROR($G39-$G39*INDEX(tblKurallar[deger_2025],MATCH("YDK-004",tblKurallar[kural_id],0)),0))</f>
        <v/>
      </c>
    </row>
    <row r="40">
      <c r="A40" s="37" t="n"/>
      <c r="B40" s="37" t="n"/>
      <c r="C40" s="37" t="n"/>
      <c r="D40" s="37" t="n"/>
      <c r="E40" s="37" t="n"/>
      <c r="F40" s="37" t="n"/>
      <c r="G40" s="38">
        <f>IF($A40="","",IFERROR(ROUND(MAX(0,$B40*($D40-1)),2),0))</f>
        <v/>
      </c>
      <c r="H40" s="38">
        <f>IF($A40="","",IFERROR(ROUND($G40*INDEX(tblKurallar[deger_2025],MATCH("YDK-002",tblKurallar[kural_id],0)),2),0))</f>
        <v/>
      </c>
      <c r="I40" s="38">
        <f>IF($A40="","",IFERROR($G40-$G40*INDEX(tblKurallar[deger_2025],MATCH("YDK-004",tblKurallar[kural_id],0)),0))</f>
        <v/>
      </c>
    </row>
    <row r="41">
      <c r="A41" s="37" t="n"/>
      <c r="B41" s="37" t="n"/>
      <c r="C41" s="37" t="n"/>
      <c r="D41" s="37" t="n"/>
      <c r="E41" s="37" t="n"/>
      <c r="F41" s="37" t="n"/>
      <c r="G41" s="38">
        <f>IF($A41="","",IFERROR(ROUND(MAX(0,$B41*($D41-1)),2),0))</f>
        <v/>
      </c>
      <c r="H41" s="38">
        <f>IF($A41="","",IFERROR(ROUND($G41*INDEX(tblKurallar[deger_2025],MATCH("YDK-002",tblKurallar[kural_id],0)),2),0))</f>
        <v/>
      </c>
      <c r="I41" s="38">
        <f>IF($A41="","",IFERROR($G41-$G41*INDEX(tblKurallar[deger_2025],MATCH("YDK-004",tblKurallar[kural_id],0)),0))</f>
        <v/>
      </c>
    </row>
    <row r="42">
      <c r="A42" s="37" t="n"/>
      <c r="B42" s="37" t="n"/>
      <c r="C42" s="37" t="n"/>
      <c r="D42" s="37" t="n"/>
      <c r="E42" s="37" t="n"/>
      <c r="F42" s="37" t="n"/>
      <c r="G42" s="38">
        <f>IF($A42="","",IFERROR(ROUND(MAX(0,$B42*($D42-1)),2),0))</f>
        <v/>
      </c>
      <c r="H42" s="38">
        <f>IF($A42="","",IFERROR(ROUND($G42*INDEX(tblKurallar[deger_2025],MATCH("YDK-002",tblKurallar[kural_id],0)),2),0))</f>
        <v/>
      </c>
      <c r="I42" s="38">
        <f>IF($A42="","",IFERROR($G42-$G42*INDEX(tblKurallar[deger_2025],MATCH("YDK-004",tblKurallar[kural_id],0)),0))</f>
        <v/>
      </c>
    </row>
    <row r="43">
      <c r="A43" s="37" t="n"/>
      <c r="B43" s="37" t="n"/>
      <c r="C43" s="37" t="n"/>
      <c r="D43" s="37" t="n"/>
      <c r="E43" s="37" t="n"/>
      <c r="F43" s="37" t="n"/>
      <c r="G43" s="38">
        <f>IF($A43="","",IFERROR(ROUND(MAX(0,$B43*($D43-1)),2),0))</f>
        <v/>
      </c>
      <c r="H43" s="38">
        <f>IF($A43="","",IFERROR(ROUND($G43*INDEX(tblKurallar[deger_2025],MATCH("YDK-002",tblKurallar[kural_id],0)),2),0))</f>
        <v/>
      </c>
      <c r="I43" s="38">
        <f>IF($A43="","",IFERROR($G43-$G43*INDEX(tblKurallar[deger_2025],MATCH("YDK-004",tblKurallar[kural_id],0)),0))</f>
        <v/>
      </c>
    </row>
    <row r="44">
      <c r="A44" s="37" t="n"/>
      <c r="B44" s="37" t="n"/>
      <c r="C44" s="37" t="n"/>
      <c r="D44" s="37" t="n"/>
      <c r="E44" s="37" t="n"/>
      <c r="F44" s="37" t="n"/>
      <c r="G44" s="38">
        <f>IF($A44="","",IFERROR(ROUND(MAX(0,$B44*($D44-1)),2),0))</f>
        <v/>
      </c>
      <c r="H44" s="38">
        <f>IF($A44="","",IFERROR(ROUND($G44*INDEX(tblKurallar[deger_2025],MATCH("YDK-002",tblKurallar[kural_id],0)),2),0))</f>
        <v/>
      </c>
      <c r="I44" s="38">
        <f>IF($A44="","",IFERROR($G44-$G44*INDEX(tblKurallar[deger_2025],MATCH("YDK-004",tblKurallar[kural_id],0)),0))</f>
        <v/>
      </c>
    </row>
    <row r="45">
      <c r="A45" s="37" t="n"/>
      <c r="B45" s="37" t="n"/>
      <c r="C45" s="37" t="n"/>
      <c r="D45" s="37" t="n"/>
      <c r="E45" s="37" t="n"/>
      <c r="F45" s="37" t="n"/>
      <c r="G45" s="38">
        <f>IF($A45="","",IFERROR(ROUND(MAX(0,$B45*($D45-1)),2),0))</f>
        <v/>
      </c>
      <c r="H45" s="38">
        <f>IF($A45="","",IFERROR(ROUND($G45*INDEX(tblKurallar[deger_2025],MATCH("YDK-002",tblKurallar[kural_id],0)),2),0))</f>
        <v/>
      </c>
      <c r="I45" s="38">
        <f>IF($A45="","",IFERROR($G45-$G45*INDEX(tblKurallar[deger_2025],MATCH("YDK-004",tblKurallar[kural_id],0)),0))</f>
        <v/>
      </c>
    </row>
    <row r="46">
      <c r="A46" s="37" t="n"/>
      <c r="B46" s="37" t="n"/>
      <c r="C46" s="37" t="n"/>
      <c r="D46" s="37" t="n"/>
      <c r="E46" s="37" t="n"/>
      <c r="F46" s="37" t="n"/>
      <c r="G46" s="38">
        <f>IF($A46="","",IFERROR(ROUND(MAX(0,$B46*($D46-1)),2),0))</f>
        <v/>
      </c>
      <c r="H46" s="38">
        <f>IF($A46="","",IFERROR(ROUND($G46*INDEX(tblKurallar[deger_2025],MATCH("YDK-002",tblKurallar[kural_id],0)),2),0))</f>
        <v/>
      </c>
      <c r="I46" s="38">
        <f>IF($A46="","",IFERROR($G46-$G46*INDEX(tblKurallar[deger_2025],MATCH("YDK-004",tblKurallar[kural_id],0)),0))</f>
        <v/>
      </c>
    </row>
    <row r="47">
      <c r="A47" s="37" t="n"/>
      <c r="B47" s="37" t="n"/>
      <c r="C47" s="37" t="n"/>
      <c r="D47" s="37" t="n"/>
      <c r="E47" s="37" t="n"/>
      <c r="F47" s="37" t="n"/>
      <c r="G47" s="38">
        <f>IF($A47="","",IFERROR(ROUND(MAX(0,$B47*($D47-1)),2),0))</f>
        <v/>
      </c>
      <c r="H47" s="38">
        <f>IF($A47="","",IFERROR(ROUND($G47*INDEX(tblKurallar[deger_2025],MATCH("YDK-002",tblKurallar[kural_id],0)),2),0))</f>
        <v/>
      </c>
      <c r="I47" s="38">
        <f>IF($A47="","",IFERROR($G47-$G47*INDEX(tblKurallar[deger_2025],MATCH("YDK-004",tblKurallar[kural_id],0)),0))</f>
        <v/>
      </c>
    </row>
    <row r="48">
      <c r="A48" s="37" t="n"/>
      <c r="B48" s="37" t="n"/>
      <c r="C48" s="37" t="n"/>
      <c r="D48" s="37" t="n"/>
      <c r="E48" s="37" t="n"/>
      <c r="F48" s="37" t="n"/>
      <c r="G48" s="38">
        <f>IF($A48="","",IFERROR(ROUND(MAX(0,$B48*($D48-1)),2),0))</f>
        <v/>
      </c>
      <c r="H48" s="38">
        <f>IF($A48="","",IFERROR(ROUND($G48*INDEX(tblKurallar[deger_2025],MATCH("YDK-002",tblKurallar[kural_id],0)),2),0))</f>
        <v/>
      </c>
      <c r="I48" s="38">
        <f>IF($A48="","",IFERROR($G48-$G48*INDEX(tblKurallar[deger_2025],MATCH("YDK-004",tblKurallar[kural_id],0)),0))</f>
        <v/>
      </c>
    </row>
    <row r="49">
      <c r="A49" s="37" t="n"/>
      <c r="B49" s="37" t="n"/>
      <c r="C49" s="37" t="n"/>
      <c r="D49" s="37" t="n"/>
      <c r="E49" s="37" t="n"/>
      <c r="F49" s="37" t="n"/>
      <c r="G49" s="38">
        <f>IF($A49="","",IFERROR(ROUND(MAX(0,$B49*($D49-1)),2),0))</f>
        <v/>
      </c>
      <c r="H49" s="38">
        <f>IF($A49="","",IFERROR(ROUND($G49*INDEX(tblKurallar[deger_2025],MATCH("YDK-002",tblKurallar[kural_id],0)),2),0))</f>
        <v/>
      </c>
      <c r="I49" s="38">
        <f>IF($A49="","",IFERROR($G49-$G49*INDEX(tblKurallar[deger_2025],MATCH("YDK-004",tblKurallar[kural_id],0)),0))</f>
        <v/>
      </c>
    </row>
    <row r="50">
      <c r="A50" s="37" t="n"/>
      <c r="B50" s="37" t="n"/>
      <c r="C50" s="37" t="n"/>
      <c r="D50" s="37" t="n"/>
      <c r="E50" s="37" t="n"/>
      <c r="F50" s="37" t="n"/>
      <c r="G50" s="38">
        <f>IF($A50="","",IFERROR(ROUND(MAX(0,$B50*($D50-1)),2),0))</f>
        <v/>
      </c>
      <c r="H50" s="38">
        <f>IF($A50="","",IFERROR(ROUND($G50*INDEX(tblKurallar[deger_2025],MATCH("YDK-002",tblKurallar[kural_id],0)),2),0))</f>
        <v/>
      </c>
      <c r="I50" s="38">
        <f>IF($A50="","",IFERROR($G50-$G50*INDEX(tblKurallar[deger_2025],MATCH("YDK-004",tblKurallar[kural_id],0)),0))</f>
        <v/>
      </c>
    </row>
    <row r="51">
      <c r="A51" s="37" t="n"/>
      <c r="B51" s="37" t="n"/>
      <c r="C51" s="37" t="n"/>
      <c r="D51" s="37" t="n"/>
      <c r="E51" s="37" t="n"/>
      <c r="F51" s="37" t="n"/>
      <c r="G51" s="38">
        <f>IF($A51="","",IFERROR(ROUND(MAX(0,$B51*($D51-1)),2),0))</f>
        <v/>
      </c>
      <c r="H51" s="38">
        <f>IF($A51="","",IFERROR(ROUND($G51*INDEX(tblKurallar[deger_2025],MATCH("YDK-002",tblKurallar[kural_id],0)),2),0))</f>
        <v/>
      </c>
      <c r="I51" s="38">
        <f>IF($A51="","",IFERROR($G51-$G51*INDEX(tblKurallar[deger_2025],MATCH("YDK-004",tblKurallar[kural_id],0)),0))</f>
        <v/>
      </c>
    </row>
    <row r="52">
      <c r="A52" s="37" t="n"/>
      <c r="B52" s="37" t="n"/>
      <c r="C52" s="37" t="n"/>
      <c r="D52" s="37" t="n"/>
      <c r="E52" s="37" t="n"/>
      <c r="F52" s="37" t="n"/>
      <c r="G52" s="38">
        <f>IF($A52="","",IFERROR(ROUND(MAX(0,$B52*($D52-1)),2),0))</f>
        <v/>
      </c>
      <c r="H52" s="38">
        <f>IF($A52="","",IFERROR(ROUND($G52*INDEX(tblKurallar[deger_2025],MATCH("YDK-002",tblKurallar[kural_id],0)),2),0))</f>
        <v/>
      </c>
      <c r="I52" s="38">
        <f>IF($A52="","",IFERROR($G52-$G52*INDEX(tblKurallar[deger_2025],MATCH("YDK-004",tblKurallar[kural_id],0)),0))</f>
        <v/>
      </c>
    </row>
    <row r="53">
      <c r="A53" s="37" t="n"/>
      <c r="B53" s="37" t="n"/>
      <c r="C53" s="37" t="n"/>
      <c r="D53" s="37" t="n"/>
      <c r="E53" s="37" t="n"/>
      <c r="F53" s="37" t="n"/>
      <c r="G53" s="38">
        <f>IF($A53="","",IFERROR(ROUND(MAX(0,$B53*($D53-1)),2),0))</f>
        <v/>
      </c>
      <c r="H53" s="38">
        <f>IF($A53="","",IFERROR(ROUND($G53*INDEX(tblKurallar[deger_2025],MATCH("YDK-002",tblKurallar[kural_id],0)),2),0))</f>
        <v/>
      </c>
      <c r="I53" s="38">
        <f>IF($A53="","",IFERROR($G53-$G53*INDEX(tblKurallar[deger_2025],MATCH("YDK-004",tblKurallar[kural_id],0)),0))</f>
        <v/>
      </c>
    </row>
    <row r="54">
      <c r="A54" s="37" t="n"/>
      <c r="B54" s="37" t="n"/>
      <c r="C54" s="37" t="n"/>
      <c r="D54" s="37" t="n"/>
      <c r="E54" s="37" t="n"/>
      <c r="F54" s="37" t="n"/>
      <c r="G54" s="38">
        <f>IF($A54="","",IFERROR(ROUND(MAX(0,$B54*($D54-1)),2),0))</f>
        <v/>
      </c>
      <c r="H54" s="38">
        <f>IF($A54="","",IFERROR(ROUND($G54*INDEX(tblKurallar[deger_2025],MATCH("YDK-002",tblKurallar[kural_id],0)),2),0))</f>
        <v/>
      </c>
      <c r="I54" s="38">
        <f>IF($A54="","",IFERROR($G54-$G54*INDEX(tblKurallar[deger_2025],MATCH("YDK-004",tblKurallar[kural_id],0)),0))</f>
        <v/>
      </c>
    </row>
    <row r="55">
      <c r="A55" s="37" t="n"/>
      <c r="B55" s="37" t="n"/>
      <c r="C55" s="37" t="n"/>
      <c r="D55" s="37" t="n"/>
      <c r="E55" s="37" t="n"/>
      <c r="F55" s="37" t="n"/>
      <c r="G55" s="38">
        <f>IF($A55="","",IFERROR(ROUND(MAX(0,$B55*($D55-1)),2),0))</f>
        <v/>
      </c>
      <c r="H55" s="38">
        <f>IF($A55="","",IFERROR(ROUND($G55*INDEX(tblKurallar[deger_2025],MATCH("YDK-002",tblKurallar[kural_id],0)),2),0))</f>
        <v/>
      </c>
      <c r="I55" s="38">
        <f>IF($A55="","",IFERROR($G55-$G55*INDEX(tblKurallar[deger_2025],MATCH("YDK-004",tblKurallar[kural_id],0)),0))</f>
        <v/>
      </c>
    </row>
    <row r="56">
      <c r="A56" s="37" t="n"/>
      <c r="B56" s="37" t="n"/>
      <c r="C56" s="37" t="n"/>
      <c r="D56" s="37" t="n"/>
      <c r="E56" s="37" t="n"/>
      <c r="F56" s="37" t="n"/>
      <c r="G56" s="38">
        <f>IF($A56="","",IFERROR(ROUND(MAX(0,$B56*($D56-1)),2),0))</f>
        <v/>
      </c>
      <c r="H56" s="38">
        <f>IF($A56="","",IFERROR(ROUND($G56*INDEX(tblKurallar[deger_2025],MATCH("YDK-002",tblKurallar[kural_id],0)),2),0))</f>
        <v/>
      </c>
      <c r="I56" s="38">
        <f>IF($A56="","",IFERROR($G56-$G56*INDEX(tblKurallar[deger_2025],MATCH("YDK-004",tblKurallar[kural_id],0)),0))</f>
        <v/>
      </c>
    </row>
    <row r="57">
      <c r="A57" s="37" t="n"/>
      <c r="B57" s="37" t="n"/>
      <c r="C57" s="37" t="n"/>
      <c r="D57" s="37" t="n"/>
      <c r="E57" s="37" t="n"/>
      <c r="F57" s="37" t="n"/>
      <c r="G57" s="38">
        <f>IF($A57="","",IFERROR(ROUND(MAX(0,$B57*($D57-1)),2),0))</f>
        <v/>
      </c>
      <c r="H57" s="38">
        <f>IF($A57="","",IFERROR(ROUND($G57*INDEX(tblKurallar[deger_2025],MATCH("YDK-002",tblKurallar[kural_id],0)),2),0))</f>
        <v/>
      </c>
      <c r="I57" s="38">
        <f>IF($A57="","",IFERROR($G57-$G57*INDEX(tblKurallar[deger_2025],MATCH("YDK-004",tblKurallar[kural_id],0)),0))</f>
        <v/>
      </c>
    </row>
    <row r="58">
      <c r="A58" s="37" t="n"/>
      <c r="B58" s="37" t="n"/>
      <c r="C58" s="37" t="n"/>
      <c r="D58" s="37" t="n"/>
      <c r="E58" s="37" t="n"/>
      <c r="F58" s="37" t="n"/>
      <c r="G58" s="38">
        <f>IF($A58="","",IFERROR(ROUND(MAX(0,$B58*($D58-1)),2),0))</f>
        <v/>
      </c>
      <c r="H58" s="38">
        <f>IF($A58="","",IFERROR(ROUND($G58*INDEX(tblKurallar[deger_2025],MATCH("YDK-002",tblKurallar[kural_id],0)),2),0))</f>
        <v/>
      </c>
      <c r="I58" s="38">
        <f>IF($A58="","",IFERROR($G58-$G58*INDEX(tblKurallar[deger_2025],MATCH("YDK-004",tblKurallar[kural_id],0)),0))</f>
        <v/>
      </c>
    </row>
    <row r="59">
      <c r="A59" s="37" t="n"/>
      <c r="B59" s="37" t="n"/>
      <c r="C59" s="37" t="n"/>
      <c r="D59" s="37" t="n"/>
      <c r="E59" s="37" t="n"/>
      <c r="F59" s="37" t="n"/>
      <c r="G59" s="38">
        <f>IF($A59="","",IFERROR(ROUND(MAX(0,$B59*($D59-1)),2),0))</f>
        <v/>
      </c>
      <c r="H59" s="38">
        <f>IF($A59="","",IFERROR(ROUND($G59*INDEX(tblKurallar[deger_2025],MATCH("YDK-002",tblKurallar[kural_id],0)),2),0))</f>
        <v/>
      </c>
      <c r="I59" s="38">
        <f>IF($A59="","",IFERROR($G59-$G59*INDEX(tblKurallar[deger_2025],MATCH("YDK-004",tblKurallar[kural_id],0)),0))</f>
        <v/>
      </c>
    </row>
    <row r="60">
      <c r="A60" s="37" t="n"/>
      <c r="B60" s="37" t="n"/>
      <c r="C60" s="37" t="n"/>
      <c r="D60" s="37" t="n"/>
      <c r="E60" s="37" t="n"/>
      <c r="F60" s="37" t="n"/>
      <c r="G60" s="38">
        <f>IF($A60="","",IFERROR(ROUND(MAX(0,$B60*($D60-1)),2),0))</f>
        <v/>
      </c>
      <c r="H60" s="38">
        <f>IF($A60="","",IFERROR(ROUND($G60*INDEX(tblKurallar[deger_2025],MATCH("YDK-002",tblKurallar[kural_id],0)),2),0))</f>
        <v/>
      </c>
      <c r="I60" s="38">
        <f>IF($A60="","",IFERROR($G60-$G60*INDEX(tblKurallar[deger_2025],MATCH("YDK-004",tblKurallar[kural_id],0)),0))</f>
        <v/>
      </c>
    </row>
    <row r="61">
      <c r="A61" s="37" t="n"/>
      <c r="B61" s="37" t="n"/>
      <c r="C61" s="37" t="n"/>
      <c r="D61" s="37" t="n"/>
      <c r="E61" s="37" t="n"/>
      <c r="F61" s="37" t="n"/>
      <c r="G61" s="38">
        <f>IF($A61="","",IFERROR(ROUND(MAX(0,$B61*($D61-1)),2),0))</f>
        <v/>
      </c>
      <c r="H61" s="38">
        <f>IF($A61="","",IFERROR(ROUND($G61*INDEX(tblKurallar[deger_2025],MATCH("YDK-002",tblKurallar[kural_id],0)),2),0))</f>
        <v/>
      </c>
      <c r="I61" s="38">
        <f>IF($A61="","",IFERROR($G61-$G61*INDEX(tblKurallar[deger_2025],MATCH("YDK-004",tblKurallar[kural_id],0)),0))</f>
        <v/>
      </c>
    </row>
    <row r="62">
      <c r="A62" s="37" t="n"/>
      <c r="B62" s="37" t="n"/>
      <c r="C62" s="37" t="n"/>
      <c r="D62" s="37" t="n"/>
      <c r="E62" s="37" t="n"/>
      <c r="F62" s="37" t="n"/>
      <c r="G62" s="38">
        <f>IF($A62="","",IFERROR(ROUND(MAX(0,$B62*($D62-1)),2),0))</f>
        <v/>
      </c>
      <c r="H62" s="38">
        <f>IF($A62="","",IFERROR(ROUND($G62*INDEX(tblKurallar[deger_2025],MATCH("YDK-002",tblKurallar[kural_id],0)),2),0))</f>
        <v/>
      </c>
      <c r="I62" s="38">
        <f>IF($A62="","",IFERROR($G62-$G62*INDEX(tblKurallar[deger_2025],MATCH("YDK-004",tblKurallar[kural_id],0)),0))</f>
        <v/>
      </c>
    </row>
    <row r="63">
      <c r="A63" s="37" t="n"/>
      <c r="B63" s="37" t="n"/>
      <c r="C63" s="37" t="n"/>
      <c r="D63" s="37" t="n"/>
      <c r="E63" s="37" t="n"/>
      <c r="F63" s="37" t="n"/>
      <c r="G63" s="38">
        <f>IF($A63="","",IFERROR(ROUND(MAX(0,$B63*($D63-1)),2),0))</f>
        <v/>
      </c>
      <c r="H63" s="38">
        <f>IF($A63="","",IFERROR(ROUND($G63*INDEX(tblKurallar[deger_2025],MATCH("YDK-002",tblKurallar[kural_id],0)),2),0))</f>
        <v/>
      </c>
      <c r="I63" s="38">
        <f>IF($A63="","",IFERROR($G63-$G63*INDEX(tblKurallar[deger_2025],MATCH("YDK-004",tblKurallar[kural_id],0)),0))</f>
        <v/>
      </c>
    </row>
    <row r="64">
      <c r="A64" s="37" t="n"/>
      <c r="B64" s="37" t="n"/>
      <c r="C64" s="37" t="n"/>
      <c r="D64" s="37" t="n"/>
      <c r="E64" s="37" t="n"/>
      <c r="F64" s="37" t="n"/>
      <c r="G64" s="38">
        <f>IF($A64="","",IFERROR(ROUND(MAX(0,$B64*($D64-1)),2),0))</f>
        <v/>
      </c>
      <c r="H64" s="38">
        <f>IF($A64="","",IFERROR(ROUND($G64*INDEX(tblKurallar[deger_2025],MATCH("YDK-002",tblKurallar[kural_id],0)),2),0))</f>
        <v/>
      </c>
      <c r="I64" s="38">
        <f>IF($A64="","",IFERROR($G64-$G64*INDEX(tblKurallar[deger_2025],MATCH("YDK-004",tblKurallar[kural_id],0)),0))</f>
        <v/>
      </c>
    </row>
    <row r="65">
      <c r="A65" s="37" t="n"/>
      <c r="B65" s="37" t="n"/>
      <c r="C65" s="37" t="n"/>
      <c r="D65" s="37" t="n"/>
      <c r="E65" s="37" t="n"/>
      <c r="F65" s="37" t="n"/>
      <c r="G65" s="38">
        <f>IF($A65="","",IFERROR(ROUND(MAX(0,$B65*($D65-1)),2),0))</f>
        <v/>
      </c>
      <c r="H65" s="38">
        <f>IF($A65="","",IFERROR(ROUND($G65*INDEX(tblKurallar[deger_2025],MATCH("YDK-002",tblKurallar[kural_id],0)),2),0))</f>
        <v/>
      </c>
      <c r="I65" s="38">
        <f>IF($A65="","",IFERROR($G65-$G65*INDEX(tblKurallar[deger_2025],MATCH("YDK-004",tblKurallar[kural_id],0)),0))</f>
        <v/>
      </c>
    </row>
    <row r="66">
      <c r="A66" s="37" t="n"/>
      <c r="B66" s="37" t="n"/>
      <c r="C66" s="37" t="n"/>
      <c r="D66" s="37" t="n"/>
      <c r="E66" s="37" t="n"/>
      <c r="F66" s="37" t="n"/>
      <c r="G66" s="38">
        <f>IF($A66="","",IFERROR(ROUND(MAX(0,$B66*($D66-1)),2),0))</f>
        <v/>
      </c>
      <c r="H66" s="38">
        <f>IF($A66="","",IFERROR(ROUND($G66*INDEX(tblKurallar[deger_2025],MATCH("YDK-002",tblKurallar[kural_id],0)),2),0))</f>
        <v/>
      </c>
      <c r="I66" s="38">
        <f>IF($A66="","",IFERROR($G66-$G66*INDEX(tblKurallar[deger_2025],MATCH("YDK-004",tblKurallar[kural_id],0)),0))</f>
        <v/>
      </c>
    </row>
    <row r="67">
      <c r="A67" s="37" t="n"/>
      <c r="B67" s="37" t="n"/>
      <c r="C67" s="37" t="n"/>
      <c r="D67" s="37" t="n"/>
      <c r="E67" s="37" t="n"/>
      <c r="F67" s="37" t="n"/>
      <c r="G67" s="38">
        <f>IF($A67="","",IFERROR(ROUND(MAX(0,$B67*($D67-1)),2),0))</f>
        <v/>
      </c>
      <c r="H67" s="38">
        <f>IF($A67="","",IFERROR(ROUND($G67*INDEX(tblKurallar[deger_2025],MATCH("YDK-002",tblKurallar[kural_id],0)),2),0))</f>
        <v/>
      </c>
      <c r="I67" s="38">
        <f>IF($A67="","",IFERROR($G67-$G67*INDEX(tblKurallar[deger_2025],MATCH("YDK-004",tblKurallar[kural_id],0)),0))</f>
        <v/>
      </c>
    </row>
    <row r="68">
      <c r="A68" s="37" t="n"/>
      <c r="B68" s="37" t="n"/>
      <c r="C68" s="37" t="n"/>
      <c r="D68" s="37" t="n"/>
      <c r="E68" s="37" t="n"/>
      <c r="F68" s="37" t="n"/>
      <c r="G68" s="38">
        <f>IF($A68="","",IFERROR(ROUND(MAX(0,$B68*($D68-1)),2),0))</f>
        <v/>
      </c>
      <c r="H68" s="38">
        <f>IF($A68="","",IFERROR(ROUND($G68*INDEX(tblKurallar[deger_2025],MATCH("YDK-002",tblKurallar[kural_id],0)),2),0))</f>
        <v/>
      </c>
      <c r="I68" s="38">
        <f>IF($A68="","",IFERROR($G68-$G68*INDEX(tblKurallar[deger_2025],MATCH("YDK-004",tblKurallar[kural_id],0)),0))</f>
        <v/>
      </c>
    </row>
    <row r="69">
      <c r="A69" s="37" t="n"/>
      <c r="B69" s="37" t="n"/>
      <c r="C69" s="37" t="n"/>
      <c r="D69" s="37" t="n"/>
      <c r="E69" s="37" t="n"/>
      <c r="F69" s="37" t="n"/>
      <c r="G69" s="38">
        <f>IF($A69="","",IFERROR(ROUND(MAX(0,$B69*($D69-1)),2),0))</f>
        <v/>
      </c>
      <c r="H69" s="38">
        <f>IF($A69="","",IFERROR(ROUND($G69*INDEX(tblKurallar[deger_2025],MATCH("YDK-002",tblKurallar[kural_id],0)),2),0))</f>
        <v/>
      </c>
      <c r="I69" s="38">
        <f>IF($A69="","",IFERROR($G69-$G69*INDEX(tblKurallar[deger_2025],MATCH("YDK-004",tblKurallar[kural_id],0)),0))</f>
        <v/>
      </c>
    </row>
    <row r="70">
      <c r="A70" s="37" t="n"/>
      <c r="B70" s="37" t="n"/>
      <c r="C70" s="37" t="n"/>
      <c r="D70" s="37" t="n"/>
      <c r="E70" s="37" t="n"/>
      <c r="F70" s="37" t="n"/>
      <c r="G70" s="38">
        <f>IF($A70="","",IFERROR(ROUND(MAX(0,$B70*($D70-1)),2),0))</f>
        <v/>
      </c>
      <c r="H70" s="38">
        <f>IF($A70="","",IFERROR(ROUND($G70*INDEX(tblKurallar[deger_2025],MATCH("YDK-002",tblKurallar[kural_id],0)),2),0))</f>
        <v/>
      </c>
      <c r="I70" s="38">
        <f>IF($A70="","",IFERROR($G70-$G70*INDEX(tblKurallar[deger_2025],MATCH("YDK-004",tblKurallar[kural_id],0)),0))</f>
        <v/>
      </c>
    </row>
    <row r="71">
      <c r="A71" s="37" t="n"/>
      <c r="B71" s="37" t="n"/>
      <c r="C71" s="37" t="n"/>
      <c r="D71" s="37" t="n"/>
      <c r="E71" s="37" t="n"/>
      <c r="F71" s="37" t="n"/>
      <c r="G71" s="38">
        <f>IF($A71="","",IFERROR(ROUND(MAX(0,$B71*($D71-1)),2),0))</f>
        <v/>
      </c>
      <c r="H71" s="38">
        <f>IF($A71="","",IFERROR(ROUND($G71*INDEX(tblKurallar[deger_2025],MATCH("YDK-002",tblKurallar[kural_id],0)),2),0))</f>
        <v/>
      </c>
      <c r="I71" s="38">
        <f>IF($A71="","",IFERROR($G71-$G71*INDEX(tblKurallar[deger_2025],MATCH("YDK-004",tblKurallar[kural_id],0)),0))</f>
        <v/>
      </c>
    </row>
    <row r="72">
      <c r="A72" s="37" t="n"/>
      <c r="B72" s="37" t="n"/>
      <c r="C72" s="37" t="n"/>
      <c r="D72" s="37" t="n"/>
      <c r="E72" s="37" t="n"/>
      <c r="F72" s="37" t="n"/>
      <c r="G72" s="38">
        <f>IF($A72="","",IFERROR(ROUND(MAX(0,$B72*($D72-1)),2),0))</f>
        <v/>
      </c>
      <c r="H72" s="38">
        <f>IF($A72="","",IFERROR(ROUND($G72*INDEX(tblKurallar[deger_2025],MATCH("YDK-002",tblKurallar[kural_id],0)),2),0))</f>
        <v/>
      </c>
      <c r="I72" s="38">
        <f>IF($A72="","",IFERROR($G72-$G72*INDEX(tblKurallar[deger_2025],MATCH("YDK-004",tblKurallar[kural_id],0)),0))</f>
        <v/>
      </c>
    </row>
    <row r="73">
      <c r="A73" s="37" t="n"/>
      <c r="B73" s="37" t="n"/>
      <c r="C73" s="37" t="n"/>
      <c r="D73" s="37" t="n"/>
      <c r="E73" s="37" t="n"/>
      <c r="F73" s="37" t="n"/>
      <c r="G73" s="38">
        <f>IF($A73="","",IFERROR(ROUND(MAX(0,$B73*($D73-1)),2),0))</f>
        <v/>
      </c>
      <c r="H73" s="38">
        <f>IF($A73="","",IFERROR(ROUND($G73*INDEX(tblKurallar[deger_2025],MATCH("YDK-002",tblKurallar[kural_id],0)),2),0))</f>
        <v/>
      </c>
      <c r="I73" s="38">
        <f>IF($A73="","",IFERROR($G73-$G73*INDEX(tblKurallar[deger_2025],MATCH("YDK-004",tblKurallar[kural_id],0)),0))</f>
        <v/>
      </c>
    </row>
    <row r="74">
      <c r="A74" s="37" t="n"/>
      <c r="B74" s="37" t="n"/>
      <c r="C74" s="37" t="n"/>
      <c r="D74" s="37" t="n"/>
      <c r="E74" s="37" t="n"/>
      <c r="F74" s="37" t="n"/>
      <c r="G74" s="38">
        <f>IF($A74="","",IFERROR(ROUND(MAX(0,$B74*($D74-1)),2),0))</f>
        <v/>
      </c>
      <c r="H74" s="38">
        <f>IF($A74="","",IFERROR(ROUND($G74*INDEX(tblKurallar[deger_2025],MATCH("YDK-002",tblKurallar[kural_id],0)),2),0))</f>
        <v/>
      </c>
      <c r="I74" s="38">
        <f>IF($A74="","",IFERROR($G74-$G74*INDEX(tblKurallar[deger_2025],MATCH("YDK-004",tblKurallar[kural_id],0)),0))</f>
        <v/>
      </c>
    </row>
    <row r="75">
      <c r="A75" s="37" t="n"/>
      <c r="B75" s="37" t="n"/>
      <c r="C75" s="37" t="n"/>
      <c r="D75" s="37" t="n"/>
      <c r="E75" s="37" t="n"/>
      <c r="F75" s="37" t="n"/>
      <c r="G75" s="38">
        <f>IF($A75="","",IFERROR(ROUND(MAX(0,$B75*($D75-1)),2),0))</f>
        <v/>
      </c>
      <c r="H75" s="38">
        <f>IF($A75="","",IFERROR(ROUND($G75*INDEX(tblKurallar[deger_2025],MATCH("YDK-002",tblKurallar[kural_id],0)),2),0))</f>
        <v/>
      </c>
      <c r="I75" s="38">
        <f>IF($A75="","",IFERROR($G75-$G75*INDEX(tblKurallar[deger_2025],MATCH("YDK-004",tblKurallar[kural_id],0)),0))</f>
        <v/>
      </c>
    </row>
    <row r="76">
      <c r="A76" s="37" t="n"/>
      <c r="B76" s="37" t="n"/>
      <c r="C76" s="37" t="n"/>
      <c r="D76" s="37" t="n"/>
      <c r="E76" s="37" t="n"/>
      <c r="F76" s="37" t="n"/>
      <c r="G76" s="38">
        <f>IF($A76="","",IFERROR(ROUND(MAX(0,$B76*($D76-1)),2),0))</f>
        <v/>
      </c>
      <c r="H76" s="38">
        <f>IF($A76="","",IFERROR(ROUND($G76*INDEX(tblKurallar[deger_2025],MATCH("YDK-002",tblKurallar[kural_id],0)),2),0))</f>
        <v/>
      </c>
      <c r="I76" s="38">
        <f>IF($A76="","",IFERROR($G76-$G76*INDEX(tblKurallar[deger_2025],MATCH("YDK-004",tblKurallar[kural_id],0)),0))</f>
        <v/>
      </c>
    </row>
    <row r="77">
      <c r="A77" s="37" t="n"/>
      <c r="B77" s="37" t="n"/>
      <c r="C77" s="37" t="n"/>
      <c r="D77" s="37" t="n"/>
      <c r="E77" s="37" t="n"/>
      <c r="F77" s="37" t="n"/>
      <c r="G77" s="38">
        <f>IF($A77="","",IFERROR(ROUND(MAX(0,$B77*($D77-1)),2),0))</f>
        <v/>
      </c>
      <c r="H77" s="38">
        <f>IF($A77="","",IFERROR(ROUND($G77*INDEX(tblKurallar[deger_2025],MATCH("YDK-002",tblKurallar[kural_id],0)),2),0))</f>
        <v/>
      </c>
      <c r="I77" s="38">
        <f>IF($A77="","",IFERROR($G77-$G77*INDEX(tblKurallar[deger_2025],MATCH("YDK-004",tblKurallar[kural_id],0)),0))</f>
        <v/>
      </c>
    </row>
    <row r="78">
      <c r="A78" s="37" t="n"/>
      <c r="B78" s="37" t="n"/>
      <c r="C78" s="37" t="n"/>
      <c r="D78" s="37" t="n"/>
      <c r="E78" s="37" t="n"/>
      <c r="F78" s="37" t="n"/>
      <c r="G78" s="38">
        <f>IF($A78="","",IFERROR(ROUND(MAX(0,$B78*($D78-1)),2),0))</f>
        <v/>
      </c>
      <c r="H78" s="38">
        <f>IF($A78="","",IFERROR(ROUND($G78*INDEX(tblKurallar[deger_2025],MATCH("YDK-002",tblKurallar[kural_id],0)),2),0))</f>
        <v/>
      </c>
      <c r="I78" s="38">
        <f>IF($A78="","",IFERROR($G78-$G78*INDEX(tblKurallar[deger_2025],MATCH("YDK-004",tblKurallar[kural_id],0)),0))</f>
        <v/>
      </c>
    </row>
    <row r="79">
      <c r="A79" s="37" t="n"/>
      <c r="B79" s="37" t="n"/>
      <c r="C79" s="37" t="n"/>
      <c r="D79" s="37" t="n"/>
      <c r="E79" s="37" t="n"/>
      <c r="F79" s="37" t="n"/>
      <c r="G79" s="38">
        <f>IF($A79="","",IFERROR(ROUND(MAX(0,$B79*($D79-1)),2),0))</f>
        <v/>
      </c>
      <c r="H79" s="38">
        <f>IF($A79="","",IFERROR(ROUND($G79*INDEX(tblKurallar[deger_2025],MATCH("YDK-002",tblKurallar[kural_id],0)),2),0))</f>
        <v/>
      </c>
      <c r="I79" s="38">
        <f>IF($A79="","",IFERROR($G79-$G79*INDEX(tblKurallar[deger_2025],MATCH("YDK-004",tblKurallar[kural_id],0)),0))</f>
        <v/>
      </c>
    </row>
    <row r="80">
      <c r="A80" s="37" t="n"/>
      <c r="B80" s="37" t="n"/>
      <c r="C80" s="37" t="n"/>
      <c r="D80" s="37" t="n"/>
      <c r="E80" s="37" t="n"/>
      <c r="F80" s="37" t="n"/>
      <c r="G80" s="38">
        <f>IF($A80="","",IFERROR(ROUND(MAX(0,$B80*($D80-1)),2),0))</f>
        <v/>
      </c>
      <c r="H80" s="38">
        <f>IF($A80="","",IFERROR(ROUND($G80*INDEX(tblKurallar[deger_2025],MATCH("YDK-002",tblKurallar[kural_id],0)),2),0))</f>
        <v/>
      </c>
      <c r="I80" s="38">
        <f>IF($A80="","",IFERROR($G80-$G80*INDEX(tblKurallar[deger_2025],MATCH("YDK-004",tblKurallar[kural_id],0)),0))</f>
        <v/>
      </c>
    </row>
    <row r="81">
      <c r="A81" s="37" t="n"/>
      <c r="B81" s="37" t="n"/>
      <c r="C81" s="37" t="n"/>
      <c r="D81" s="37" t="n"/>
      <c r="E81" s="37" t="n"/>
      <c r="F81" s="37" t="n"/>
      <c r="G81" s="38">
        <f>IF($A81="","",IFERROR(ROUND(MAX(0,$B81*($D81-1)),2),0))</f>
        <v/>
      </c>
      <c r="H81" s="38">
        <f>IF($A81="","",IFERROR(ROUND($G81*INDEX(tblKurallar[deger_2025],MATCH("YDK-002",tblKurallar[kural_id],0)),2),0))</f>
        <v/>
      </c>
      <c r="I81" s="38">
        <f>IF($A81="","",IFERROR($G81-$G81*INDEX(tblKurallar[deger_2025],MATCH("YDK-004",tblKurallar[kural_id],0)),0))</f>
        <v/>
      </c>
    </row>
    <row r="82">
      <c r="A82" s="37" t="n"/>
      <c r="B82" s="37" t="n"/>
      <c r="C82" s="37" t="n"/>
      <c r="D82" s="37" t="n"/>
      <c r="E82" s="37" t="n"/>
      <c r="F82" s="37" t="n"/>
      <c r="G82" s="38">
        <f>IF($A82="","",IFERROR(ROUND(MAX(0,$B82*($D82-1)),2),0))</f>
        <v/>
      </c>
      <c r="H82" s="38">
        <f>IF($A82="","",IFERROR(ROUND($G82*INDEX(tblKurallar[deger_2025],MATCH("YDK-002",tblKurallar[kural_id],0)),2),0))</f>
        <v/>
      </c>
      <c r="I82" s="38">
        <f>IF($A82="","",IFERROR($G82-$G82*INDEX(tblKurallar[deger_2025],MATCH("YDK-004",tblKurallar[kural_id],0)),0))</f>
        <v/>
      </c>
    </row>
    <row r="83">
      <c r="A83" s="37" t="n"/>
      <c r="B83" s="37" t="n"/>
      <c r="C83" s="37" t="n"/>
      <c r="D83" s="37" t="n"/>
      <c r="E83" s="37" t="n"/>
      <c r="F83" s="37" t="n"/>
      <c r="G83" s="38">
        <f>IF($A83="","",IFERROR(ROUND(MAX(0,$B83*($D83-1)),2),0))</f>
        <v/>
      </c>
      <c r="H83" s="38">
        <f>IF($A83="","",IFERROR(ROUND($G83*INDEX(tblKurallar[deger_2025],MATCH("YDK-002",tblKurallar[kural_id],0)),2),0))</f>
        <v/>
      </c>
      <c r="I83" s="38">
        <f>IF($A83="","",IFERROR($G83-$G83*INDEX(tblKurallar[deger_2025],MATCH("YDK-004",tblKurallar[kural_id],0)),0))</f>
        <v/>
      </c>
    </row>
    <row r="84">
      <c r="A84" s="37" t="n"/>
      <c r="B84" s="37" t="n"/>
      <c r="C84" s="37" t="n"/>
      <c r="D84" s="37" t="n"/>
      <c r="E84" s="37" t="n"/>
      <c r="F84" s="37" t="n"/>
      <c r="G84" s="38">
        <f>IF($A84="","",IFERROR(ROUND(MAX(0,$B84*($D84-1)),2),0))</f>
        <v/>
      </c>
      <c r="H84" s="38">
        <f>IF($A84="","",IFERROR(ROUND($G84*INDEX(tblKurallar[deger_2025],MATCH("YDK-002",tblKurallar[kural_id],0)),2),0))</f>
        <v/>
      </c>
      <c r="I84" s="38">
        <f>IF($A84="","",IFERROR($G84-$G84*INDEX(tblKurallar[deger_2025],MATCH("YDK-004",tblKurallar[kural_id],0)),0))</f>
        <v/>
      </c>
    </row>
    <row r="85">
      <c r="A85" s="37" t="n"/>
      <c r="B85" s="37" t="n"/>
      <c r="C85" s="37" t="n"/>
      <c r="D85" s="37" t="n"/>
      <c r="E85" s="37" t="n"/>
      <c r="F85" s="37" t="n"/>
      <c r="G85" s="38">
        <f>IF($A85="","",IFERROR(ROUND(MAX(0,$B85*($D85-1)),2),0))</f>
        <v/>
      </c>
      <c r="H85" s="38">
        <f>IF($A85="","",IFERROR(ROUND($G85*INDEX(tblKurallar[deger_2025],MATCH("YDK-002",tblKurallar[kural_id],0)),2),0))</f>
        <v/>
      </c>
      <c r="I85" s="38">
        <f>IF($A85="","",IFERROR($G85-$G85*INDEX(tblKurallar[deger_2025],MATCH("YDK-004",tblKurallar[kural_id],0)),0))</f>
        <v/>
      </c>
    </row>
    <row r="86">
      <c r="A86" s="37" t="n"/>
      <c r="B86" s="37" t="n"/>
      <c r="C86" s="37" t="n"/>
      <c r="D86" s="37" t="n"/>
      <c r="E86" s="37" t="n"/>
      <c r="F86" s="37" t="n"/>
      <c r="G86" s="38">
        <f>IF($A86="","",IFERROR(ROUND(MAX(0,$B86*($D86-1)),2),0))</f>
        <v/>
      </c>
      <c r="H86" s="38">
        <f>IF($A86="","",IFERROR(ROUND($G86*INDEX(tblKurallar[deger_2025],MATCH("YDK-002",tblKurallar[kural_id],0)),2),0))</f>
        <v/>
      </c>
      <c r="I86" s="38">
        <f>IF($A86="","",IFERROR($G86-$G86*INDEX(tblKurallar[deger_2025],MATCH("YDK-004",tblKurallar[kural_id],0)),0))</f>
        <v/>
      </c>
    </row>
    <row r="87">
      <c r="A87" s="37" t="n"/>
      <c r="B87" s="37" t="n"/>
      <c r="C87" s="37" t="n"/>
      <c r="D87" s="37" t="n"/>
      <c r="E87" s="37" t="n"/>
      <c r="F87" s="37" t="n"/>
      <c r="G87" s="38">
        <f>IF($A87="","",IFERROR(ROUND(MAX(0,$B87*($D87-1)),2),0))</f>
        <v/>
      </c>
      <c r="H87" s="38">
        <f>IF($A87="","",IFERROR(ROUND($G87*INDEX(tblKurallar[deger_2025],MATCH("YDK-002",tblKurallar[kural_id],0)),2),0))</f>
        <v/>
      </c>
      <c r="I87" s="38">
        <f>IF($A87="","",IFERROR($G87-$G87*INDEX(tblKurallar[deger_2025],MATCH("YDK-004",tblKurallar[kural_id],0)),0))</f>
        <v/>
      </c>
    </row>
    <row r="88">
      <c r="A88" s="37" t="n"/>
      <c r="B88" s="37" t="n"/>
      <c r="C88" s="37" t="n"/>
      <c r="D88" s="37" t="n"/>
      <c r="E88" s="37" t="n"/>
      <c r="F88" s="37" t="n"/>
      <c r="G88" s="38">
        <f>IF($A88="","",IFERROR(ROUND(MAX(0,$B88*($D88-1)),2),0))</f>
        <v/>
      </c>
      <c r="H88" s="38">
        <f>IF($A88="","",IFERROR(ROUND($G88*INDEX(tblKurallar[deger_2025],MATCH("YDK-002",tblKurallar[kural_id],0)),2),0))</f>
        <v/>
      </c>
      <c r="I88" s="38">
        <f>IF($A88="","",IFERROR($G88-$G88*INDEX(tblKurallar[deger_2025],MATCH("YDK-004",tblKurallar[kural_id],0)),0))</f>
        <v/>
      </c>
    </row>
    <row r="89">
      <c r="A89" s="37" t="n"/>
      <c r="B89" s="37" t="n"/>
      <c r="C89" s="37" t="n"/>
      <c r="D89" s="37" t="n"/>
      <c r="E89" s="37" t="n"/>
      <c r="F89" s="37" t="n"/>
      <c r="G89" s="38">
        <f>IF($A89="","",IFERROR(ROUND(MAX(0,$B89*($D89-1)),2),0))</f>
        <v/>
      </c>
      <c r="H89" s="38">
        <f>IF($A89="","",IFERROR(ROUND($G89*INDEX(tblKurallar[deger_2025],MATCH("YDK-002",tblKurallar[kural_id],0)),2),0))</f>
        <v/>
      </c>
      <c r="I89" s="38">
        <f>IF($A89="","",IFERROR($G89-$G89*INDEX(tblKurallar[deger_2025],MATCH("YDK-004",tblKurallar[kural_id],0)),0))</f>
        <v/>
      </c>
    </row>
    <row r="90">
      <c r="A90" s="37" t="n"/>
      <c r="B90" s="37" t="n"/>
      <c r="C90" s="37" t="n"/>
      <c r="D90" s="37" t="n"/>
      <c r="E90" s="37" t="n"/>
      <c r="F90" s="37" t="n"/>
      <c r="G90" s="38">
        <f>IF($A90="","",IFERROR(ROUND(MAX(0,$B90*($D90-1)),2),0))</f>
        <v/>
      </c>
      <c r="H90" s="38">
        <f>IF($A90="","",IFERROR(ROUND($G90*INDEX(tblKurallar[deger_2025],MATCH("YDK-002",tblKurallar[kural_id],0)),2),0))</f>
        <v/>
      </c>
      <c r="I90" s="38">
        <f>IF($A90="","",IFERROR($G90-$G90*INDEX(tblKurallar[deger_2025],MATCH("YDK-004",tblKurallar[kural_id],0)),0))</f>
        <v/>
      </c>
    </row>
    <row r="91">
      <c r="A91" s="37" t="n"/>
      <c r="B91" s="37" t="n"/>
      <c r="C91" s="37" t="n"/>
      <c r="D91" s="37" t="n"/>
      <c r="E91" s="37" t="n"/>
      <c r="F91" s="37" t="n"/>
      <c r="G91" s="38">
        <f>IF($A91="","",IFERROR(ROUND(MAX(0,$B91*($D91-1)),2),0))</f>
        <v/>
      </c>
      <c r="H91" s="38">
        <f>IF($A91="","",IFERROR(ROUND($G91*INDEX(tblKurallar[deger_2025],MATCH("YDK-002",tblKurallar[kural_id],0)),2),0))</f>
        <v/>
      </c>
      <c r="I91" s="38">
        <f>IF($A91="","",IFERROR($G91-$G91*INDEX(tblKurallar[deger_2025],MATCH("YDK-004",tblKurallar[kural_id],0)),0))</f>
        <v/>
      </c>
    </row>
    <row r="92">
      <c r="A92" s="37" t="n"/>
      <c r="B92" s="37" t="n"/>
      <c r="C92" s="37" t="n"/>
      <c r="D92" s="37" t="n"/>
      <c r="E92" s="37" t="n"/>
      <c r="F92" s="37" t="n"/>
      <c r="G92" s="38">
        <f>IF($A92="","",IFERROR(ROUND(MAX(0,$B92*($D92-1)),2),0))</f>
        <v/>
      </c>
      <c r="H92" s="38">
        <f>IF($A92="","",IFERROR(ROUND($G92*INDEX(tblKurallar[deger_2025],MATCH("YDK-002",tblKurallar[kural_id],0)),2),0))</f>
        <v/>
      </c>
      <c r="I92" s="38">
        <f>IF($A92="","",IFERROR($G92-$G92*INDEX(tblKurallar[deger_2025],MATCH("YDK-004",tblKurallar[kural_id],0)),0))</f>
        <v/>
      </c>
    </row>
    <row r="93">
      <c r="A93" s="37" t="n"/>
      <c r="B93" s="37" t="n"/>
      <c r="C93" s="37" t="n"/>
      <c r="D93" s="37" t="n"/>
      <c r="E93" s="37" t="n"/>
      <c r="F93" s="37" t="n"/>
      <c r="G93" s="38">
        <f>IF($A93="","",IFERROR(ROUND(MAX(0,$B93*($D93-1)),2),0))</f>
        <v/>
      </c>
      <c r="H93" s="38">
        <f>IF($A93="","",IFERROR(ROUND($G93*INDEX(tblKurallar[deger_2025],MATCH("YDK-002",tblKurallar[kural_id],0)),2),0))</f>
        <v/>
      </c>
      <c r="I93" s="38">
        <f>IF($A93="","",IFERROR($G93-$G93*INDEX(tblKurallar[deger_2025],MATCH("YDK-004",tblKurallar[kural_id],0)),0))</f>
        <v/>
      </c>
    </row>
    <row r="94">
      <c r="A94" s="37" t="n"/>
      <c r="B94" s="37" t="n"/>
      <c r="C94" s="37" t="n"/>
      <c r="D94" s="37" t="n"/>
      <c r="E94" s="37" t="n"/>
      <c r="F94" s="37" t="n"/>
      <c r="G94" s="38">
        <f>IF($A94="","",IFERROR(ROUND(MAX(0,$B94*($D94-1)),2),0))</f>
        <v/>
      </c>
      <c r="H94" s="38">
        <f>IF($A94="","",IFERROR(ROUND($G94*INDEX(tblKurallar[deger_2025],MATCH("YDK-002",tblKurallar[kural_id],0)),2),0))</f>
        <v/>
      </c>
      <c r="I94" s="38">
        <f>IF($A94="","",IFERROR($G94-$G94*INDEX(tblKurallar[deger_2025],MATCH("YDK-004",tblKurallar[kural_id],0)),0))</f>
        <v/>
      </c>
    </row>
    <row r="95">
      <c r="A95" s="37" t="n"/>
      <c r="B95" s="37" t="n"/>
      <c r="C95" s="37" t="n"/>
      <c r="D95" s="37" t="n"/>
      <c r="E95" s="37" t="n"/>
      <c r="F95" s="37" t="n"/>
      <c r="G95" s="38">
        <f>IF($A95="","",IFERROR(ROUND(MAX(0,$B95*($D95-1)),2),0))</f>
        <v/>
      </c>
      <c r="H95" s="38">
        <f>IF($A95="","",IFERROR(ROUND($G95*INDEX(tblKurallar[deger_2025],MATCH("YDK-002",tblKurallar[kural_id],0)),2),0))</f>
        <v/>
      </c>
      <c r="I95" s="38">
        <f>IF($A95="","",IFERROR($G95-$G95*INDEX(tblKurallar[deger_2025],MATCH("YDK-004",tblKurallar[kural_id],0)),0))</f>
        <v/>
      </c>
    </row>
    <row r="96">
      <c r="A96" s="37" t="n"/>
      <c r="B96" s="37" t="n"/>
      <c r="C96" s="37" t="n"/>
      <c r="D96" s="37" t="n"/>
      <c r="E96" s="37" t="n"/>
      <c r="F96" s="37" t="n"/>
      <c r="G96" s="38">
        <f>IF($A96="","",IFERROR(ROUND(MAX(0,$B96*($D96-1)),2),0))</f>
        <v/>
      </c>
      <c r="H96" s="38">
        <f>IF($A96="","",IFERROR(ROUND($G96*INDEX(tblKurallar[deger_2025],MATCH("YDK-002",tblKurallar[kural_id],0)),2),0))</f>
        <v/>
      </c>
      <c r="I96" s="38">
        <f>IF($A96="","",IFERROR($G96-$G96*INDEX(tblKurallar[deger_2025],MATCH("YDK-004",tblKurallar[kural_id],0)),0))</f>
        <v/>
      </c>
    </row>
    <row r="97">
      <c r="A97" s="37" t="n"/>
      <c r="B97" s="37" t="n"/>
      <c r="C97" s="37" t="n"/>
      <c r="D97" s="37" t="n"/>
      <c r="E97" s="37" t="n"/>
      <c r="F97" s="37" t="n"/>
      <c r="G97" s="38">
        <f>IF($A97="","",IFERROR(ROUND(MAX(0,$B97*($D97-1)),2),0))</f>
        <v/>
      </c>
      <c r="H97" s="38">
        <f>IF($A97="","",IFERROR(ROUND($G97*INDEX(tblKurallar[deger_2025],MATCH("YDK-002",tblKurallar[kural_id],0)),2),0))</f>
        <v/>
      </c>
      <c r="I97" s="38">
        <f>IF($A97="","",IFERROR($G97-$G97*INDEX(tblKurallar[deger_2025],MATCH("YDK-004",tblKurallar[kural_id],0)),0))</f>
        <v/>
      </c>
    </row>
    <row r="98">
      <c r="A98" s="37" t="n"/>
      <c r="B98" s="37" t="n"/>
      <c r="C98" s="37" t="n"/>
      <c r="D98" s="37" t="n"/>
      <c r="E98" s="37" t="n"/>
      <c r="F98" s="37" t="n"/>
      <c r="G98" s="38">
        <f>IF($A98="","",IFERROR(ROUND(MAX(0,$B98*($D98-1)),2),0))</f>
        <v/>
      </c>
      <c r="H98" s="38">
        <f>IF($A98="","",IFERROR(ROUND($G98*INDEX(tblKurallar[deger_2025],MATCH("YDK-002",tblKurallar[kural_id],0)),2),0))</f>
        <v/>
      </c>
      <c r="I98" s="38">
        <f>IF($A98="","",IFERROR($G98-$G98*INDEX(tblKurallar[deger_2025],MATCH("YDK-004",tblKurallar[kural_id],0)),0))</f>
        <v/>
      </c>
    </row>
    <row r="99">
      <c r="A99" s="37" t="n"/>
      <c r="B99" s="37" t="n"/>
      <c r="C99" s="37" t="n"/>
      <c r="D99" s="37" t="n"/>
      <c r="E99" s="37" t="n"/>
      <c r="F99" s="37" t="n"/>
      <c r="G99" s="38">
        <f>IF($A99="","",IFERROR(ROUND(MAX(0,$B99*($D99-1)),2),0))</f>
        <v/>
      </c>
      <c r="H99" s="38">
        <f>IF($A99="","",IFERROR(ROUND($G99*INDEX(tblKurallar[deger_2025],MATCH("YDK-002",tblKurallar[kural_id],0)),2),0))</f>
        <v/>
      </c>
      <c r="I99" s="38">
        <f>IF($A99="","",IFERROR($G99-$G99*INDEX(tblKurallar[deger_2025],MATCH("YDK-004",tblKurallar[kural_id],0)),0))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8">
        <f>IF($A100="","",IFERROR(ROUND(MAX(0,$B100*($D100-1)),2),0))</f>
        <v/>
      </c>
      <c r="H100" s="38">
        <f>IF($A100="","",IFERROR(ROUND($G100*INDEX(tblKurallar[deger_2025],MATCH("YDK-002",tblKurallar[kural_id],0)),2),0))</f>
        <v/>
      </c>
      <c r="I100" s="38">
        <f>IF($A100="","",IFERROR($G100-$G100*INDEX(tblKurallar[deger_2025],MATCH("YDK-004",tblKurallar[kural_id],0)),0))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8">
        <f>IF($A101="","",IFERROR(ROUND(MAX(0,$B101*($D101-1)),2),0))</f>
        <v/>
      </c>
      <c r="H101" s="38">
        <f>IF($A101="","",IFERROR(ROUND($G101*INDEX(tblKurallar[deger_2025],MATCH("YDK-002",tblKurallar[kural_id],0)),2),0))</f>
        <v/>
      </c>
      <c r="I101" s="38">
        <f>IF($A101="","",IFERROR($G101-$G101*INDEX(tblKurallar[deger_2025],MATCH("YDK-004",tblKurallar[kural_id],0)),0))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8">
        <f>IF($A102="","",IFERROR(ROUND(MAX(0,$B102*($D102-1)),2),0))</f>
        <v/>
      </c>
      <c r="H102" s="38">
        <f>IF($A102="","",IFERROR(ROUND($G102*INDEX(tblKurallar[deger_2025],MATCH("YDK-002",tblKurallar[kural_id],0)),2),0))</f>
        <v/>
      </c>
      <c r="I102" s="38">
        <f>IF($A102="","",IFERROR($G102-$G102*INDEX(tblKurallar[deger_2025],MATCH("YDK-004",tblKurallar[kural_id],0)),0))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8">
        <f>IF($A103="","",IFERROR(ROUND(MAX(0,$B103*($D103-1)),2),0))</f>
        <v/>
      </c>
      <c r="H103" s="38">
        <f>IF($A103="","",IFERROR(ROUND($G103*INDEX(tblKurallar[deger_2025],MATCH("YDK-002",tblKurallar[kural_id],0)),2),0))</f>
        <v/>
      </c>
      <c r="I103" s="38">
        <f>IF($A103="","",IFERROR($G103-$G103*INDEX(tblKurallar[deger_2025],MATCH("YDK-004",tblKurallar[kural_id],0)),0))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8">
        <f>IF($A104="","",IFERROR(ROUND(MAX(0,$B104*($D104-1)),2),0))</f>
        <v/>
      </c>
      <c r="H104" s="38">
        <f>IF($A104="","",IFERROR(ROUND($G104*INDEX(tblKurallar[deger_2025],MATCH("YDK-002",tblKurallar[kural_id],0)),2),0))</f>
        <v/>
      </c>
      <c r="I104" s="38">
        <f>IF($A104="","",IFERROR($G104-$G104*INDEX(tblKurallar[deger_2025],MATCH("YDK-004",tblKurallar[kural_id],0)),0))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8">
        <f>IF($A105="","",IFERROR(ROUND(MAX(0,$B105*($D105-1)),2),0))</f>
        <v/>
      </c>
      <c r="H105" s="38">
        <f>IF($A105="","",IFERROR(ROUND($G105*INDEX(tblKurallar[deger_2025],MATCH("YDK-002",tblKurallar[kural_id],0)),2),0))</f>
        <v/>
      </c>
      <c r="I105" s="38">
        <f>IF($A105="","",IFERROR($G105-$G105*INDEX(tblKurallar[deger_2025],MATCH("YDK-004",tblKurallar[kural_id],0)),0))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8">
        <f>IF($A106="","",IFERROR(ROUND(MAX(0,$B106*($D106-1)),2),0))</f>
        <v/>
      </c>
      <c r="H106" s="38">
        <f>IF($A106="","",IFERROR(ROUND($G106*INDEX(tblKurallar[deger_2025],MATCH("YDK-002",tblKurallar[kural_id],0)),2),0))</f>
        <v/>
      </c>
      <c r="I106" s="38">
        <f>IF($A106="","",IFERROR($G106-$G106*INDEX(tblKurallar[deger_2025],MATCH("YDK-004",tblKurallar[kural_id],0)),0))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8">
        <f>IF($A107="","",IFERROR(ROUND(MAX(0,$B107*($D107-1)),2),0))</f>
        <v/>
      </c>
      <c r="H107" s="38">
        <f>IF($A107="","",IFERROR(ROUND($G107*INDEX(tblKurallar[deger_2025],MATCH("YDK-002",tblKurallar[kural_id],0)),2),0))</f>
        <v/>
      </c>
      <c r="I107" s="38">
        <f>IF($A107="","",IFERROR($G107-$G107*INDEX(tblKurallar[deger_2025],MATCH("YDK-004",tblKurallar[kural_id],0)),0))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8">
        <f>IF($A108="","",IFERROR(ROUND(MAX(0,$B108*($D108-1)),2),0))</f>
        <v/>
      </c>
      <c r="H108" s="38">
        <f>IF($A108="","",IFERROR(ROUND($G108*INDEX(tblKurallar[deger_2025],MATCH("YDK-002",tblKurallar[kural_id],0)),2),0))</f>
        <v/>
      </c>
      <c r="I108" s="38">
        <f>IF($A108="","",IFERROR($G108-$G108*INDEX(tblKurallar[deger_2025],MATCH("YDK-004",tblKurallar[kural_id],0)),0))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8">
        <f>IF($A109="","",IFERROR(ROUND(MAX(0,$B109*($D109-1)),2),0))</f>
        <v/>
      </c>
      <c r="H109" s="38">
        <f>IF($A109="","",IFERROR(ROUND($G109*INDEX(tblKurallar[deger_2025],MATCH("YDK-002",tblKurallar[kural_id],0)),2),0))</f>
        <v/>
      </c>
      <c r="I109" s="38">
        <f>IF($A109="","",IFERROR($G109-$G109*INDEX(tblKurallar[deger_2025],MATCH("YDK-004",tblKurallar[kural_id],0)),0))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8">
        <f>IF($A110="","",IFERROR(ROUND(MAX(0,$B110*($D110-1)),2),0))</f>
        <v/>
      </c>
      <c r="H110" s="38">
        <f>IF($A110="","",IFERROR(ROUND($G110*INDEX(tblKurallar[deger_2025],MATCH("YDK-002",tblKurallar[kural_id],0)),2),0))</f>
        <v/>
      </c>
      <c r="I110" s="38">
        <f>IF($A110="","",IFERROR($G110-$G110*INDEX(tblKurallar[deger_2025],MATCH("YDK-004",tblKurallar[kural_id],0)),0))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8">
        <f>IF($A111="","",IFERROR(ROUND(MAX(0,$B111*($D111-1)),2),0))</f>
        <v/>
      </c>
      <c r="H111" s="38">
        <f>IF($A111="","",IFERROR(ROUND($G111*INDEX(tblKurallar[deger_2025],MATCH("YDK-002",tblKurallar[kural_id],0)),2),0))</f>
        <v/>
      </c>
      <c r="I111" s="38">
        <f>IF($A111="","",IFERROR($G111-$G111*INDEX(tblKurallar[deger_2025],MATCH("YDK-004",tblKurallar[kural_id],0)),0))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8">
        <f>IF($A112="","",IFERROR(ROUND(MAX(0,$B112*($D112-1)),2),0))</f>
        <v/>
      </c>
      <c r="H112" s="38">
        <f>IF($A112="","",IFERROR(ROUND($G112*INDEX(tblKurallar[deger_2025],MATCH("YDK-002",tblKurallar[kural_id],0)),2),0))</f>
        <v/>
      </c>
      <c r="I112" s="38">
        <f>IF($A112="","",IFERROR($G112-$G112*INDEX(tblKurallar[deger_2025],MATCH("YDK-004",tblKurallar[kural_id],0)),0))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8">
        <f>IF($A113="","",IFERROR(ROUND(MAX(0,$B113*($D113-1)),2),0))</f>
        <v/>
      </c>
      <c r="H113" s="38">
        <f>IF($A113="","",IFERROR(ROUND($G113*INDEX(tblKurallar[deger_2025],MATCH("YDK-002",tblKurallar[kural_id],0)),2),0))</f>
        <v/>
      </c>
      <c r="I113" s="38">
        <f>IF($A113="","",IFERROR($G113-$G113*INDEX(tblKurallar[deger_2025],MATCH("YDK-004",tblKurallar[kural_id],0)),0))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8">
        <f>IF($A114="","",IFERROR(ROUND(MAX(0,$B114*($D114-1)),2),0))</f>
        <v/>
      </c>
      <c r="H114" s="38">
        <f>IF($A114="","",IFERROR(ROUND($G114*INDEX(tblKurallar[deger_2025],MATCH("YDK-002",tblKurallar[kural_id],0)),2),0))</f>
        <v/>
      </c>
      <c r="I114" s="38">
        <f>IF($A114="","",IFERROR($G114-$G114*INDEX(tblKurallar[deger_2025],MATCH("YDK-004",tblKurallar[kural_id],0)),0))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8">
        <f>IF($A115="","",IFERROR(ROUND(MAX(0,$B115*($D115-1)),2),0))</f>
        <v/>
      </c>
      <c r="H115" s="38">
        <f>IF($A115="","",IFERROR(ROUND($G115*INDEX(tblKurallar[deger_2025],MATCH("YDK-002",tblKurallar[kural_id],0)),2),0))</f>
        <v/>
      </c>
      <c r="I115" s="38">
        <f>IF($A115="","",IFERROR($G115-$G115*INDEX(tblKurallar[deger_2025],MATCH("YDK-004",tblKurallar[kural_id],0)),0))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8">
        <f>IF($A116="","",IFERROR(ROUND(MAX(0,$B116*($D116-1)),2),0))</f>
        <v/>
      </c>
      <c r="H116" s="38">
        <f>IF($A116="","",IFERROR(ROUND($G116*INDEX(tblKurallar[deger_2025],MATCH("YDK-002",tblKurallar[kural_id],0)),2),0))</f>
        <v/>
      </c>
      <c r="I116" s="38">
        <f>IF($A116="","",IFERROR($G116-$G116*INDEX(tblKurallar[deger_2025],MATCH("YDK-004",tblKurallar[kural_id],0)),0))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8">
        <f>IF($A117="","",IFERROR(ROUND(MAX(0,$B117*($D117-1)),2),0))</f>
        <v/>
      </c>
      <c r="H117" s="38">
        <f>IF($A117="","",IFERROR(ROUND($G117*INDEX(tblKurallar[deger_2025],MATCH("YDK-002",tblKurallar[kural_id],0)),2),0))</f>
        <v/>
      </c>
      <c r="I117" s="38">
        <f>IF($A117="","",IFERROR($G117-$G117*INDEX(tblKurallar[deger_2025],MATCH("YDK-004",tblKurallar[kural_id],0)),0))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8">
        <f>IF($A118="","",IFERROR(ROUND(MAX(0,$B118*($D118-1)),2),0))</f>
        <v/>
      </c>
      <c r="H118" s="38">
        <f>IF($A118="","",IFERROR(ROUND($G118*INDEX(tblKurallar[deger_2025],MATCH("YDK-002",tblKurallar[kural_id],0)),2),0))</f>
        <v/>
      </c>
      <c r="I118" s="38">
        <f>IF($A118="","",IFERROR($G118-$G118*INDEX(tblKurallar[deger_2025],MATCH("YDK-004",tblKurallar[kural_id],0)),0))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8">
        <f>IF($A119="","",IFERROR(ROUND(MAX(0,$B119*($D119-1)),2),0))</f>
        <v/>
      </c>
      <c r="H119" s="38">
        <f>IF($A119="","",IFERROR(ROUND($G119*INDEX(tblKurallar[deger_2025],MATCH("YDK-002",tblKurallar[kural_id],0)),2),0))</f>
        <v/>
      </c>
      <c r="I119" s="38">
        <f>IF($A119="","",IFERROR($G119-$G119*INDEX(tblKurallar[deger_2025],MATCH("YDK-004",tblKurallar[kural_id],0)),0))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8">
        <f>IF($A120="","",IFERROR(ROUND(MAX(0,$B120*($D120-1)),2),0))</f>
        <v/>
      </c>
      <c r="H120" s="38">
        <f>IF($A120="","",IFERROR(ROUND($G120*INDEX(tblKurallar[deger_2025],MATCH("YDK-002",tblKurallar[kural_id],0)),2),0))</f>
        <v/>
      </c>
      <c r="I120" s="38">
        <f>IF($A120="","",IFERROR($G120-$G120*INDEX(tblKurallar[deger_2025],MATCH("YDK-004",tblKurallar[kural_id],0)),0))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8">
        <f>IF($A121="","",IFERROR(ROUND(MAX(0,$B121*($D121-1)),2),0))</f>
        <v/>
      </c>
      <c r="H121" s="38">
        <f>IF($A121="","",IFERROR(ROUND($G121*INDEX(tblKurallar[deger_2025],MATCH("YDK-002",tblKurallar[kural_id],0)),2),0))</f>
        <v/>
      </c>
      <c r="I121" s="38">
        <f>IF($A121="","",IFERROR($G121-$G121*INDEX(tblKurallar[deger_2025],MATCH("YDK-004",tblKurallar[kural_id],0)),0))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8">
        <f>IF($A122="","",IFERROR(ROUND(MAX(0,$B122*($D122-1)),2),0))</f>
        <v/>
      </c>
      <c r="H122" s="38">
        <f>IF($A122="","",IFERROR(ROUND($G122*INDEX(tblKurallar[deger_2025],MATCH("YDK-002",tblKurallar[kural_id],0)),2),0))</f>
        <v/>
      </c>
      <c r="I122" s="38">
        <f>IF($A122="","",IFERROR($G122-$G122*INDEX(tblKurallar[deger_2025],MATCH("YDK-004",tblKurallar[kural_id],0)),0))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8">
        <f>IF($A123="","",IFERROR(ROUND(MAX(0,$B123*($D123-1)),2),0))</f>
        <v/>
      </c>
      <c r="H123" s="38">
        <f>IF($A123="","",IFERROR(ROUND($G123*INDEX(tblKurallar[deger_2025],MATCH("YDK-002",tblKurallar[kural_id],0)),2),0))</f>
        <v/>
      </c>
      <c r="I123" s="38">
        <f>IF($A123="","",IFERROR($G123-$G123*INDEX(tblKurallar[deger_2025],MATCH("YDK-004",tblKurallar[kural_id],0)),0))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8">
        <f>IF($A124="","",IFERROR(ROUND(MAX(0,$B124*($D124-1)),2),0))</f>
        <v/>
      </c>
      <c r="H124" s="38">
        <f>IF($A124="","",IFERROR(ROUND($G124*INDEX(tblKurallar[deger_2025],MATCH("YDK-002",tblKurallar[kural_id],0)),2),0))</f>
        <v/>
      </c>
      <c r="I124" s="38">
        <f>IF($A124="","",IFERROR($G124-$G124*INDEX(tblKurallar[deger_2025],MATCH("YDK-004",tblKurallar[kural_id],0)),0))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8">
        <f>IF($A125="","",IFERROR(ROUND(MAX(0,$B125*($D125-1)),2),0))</f>
        <v/>
      </c>
      <c r="H125" s="38">
        <f>IF($A125="","",IFERROR(ROUND($G125*INDEX(tblKurallar[deger_2025],MATCH("YDK-002",tblKurallar[kural_id],0)),2),0))</f>
        <v/>
      </c>
      <c r="I125" s="38">
        <f>IF($A125="","",IFERROR($G125-$G125*INDEX(tblKurallar[deger_2025],MATCH("YDK-004",tblKurallar[kural_id],0)),0))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8">
        <f>IF($A126="","",IFERROR(ROUND(MAX(0,$B126*($D126-1)),2),0))</f>
        <v/>
      </c>
      <c r="H126" s="38">
        <f>IF($A126="","",IFERROR(ROUND($G126*INDEX(tblKurallar[deger_2025],MATCH("YDK-002",tblKurallar[kural_id],0)),2),0))</f>
        <v/>
      </c>
      <c r="I126" s="38">
        <f>IF($A126="","",IFERROR($G126-$G126*INDEX(tblKurallar[deger_2025],MATCH("YDK-004",tblKurallar[kural_id],0)),0))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8">
        <f>IF($A127="","",IFERROR(ROUND(MAX(0,$B127*($D127-1)),2),0))</f>
        <v/>
      </c>
      <c r="H127" s="38">
        <f>IF($A127="","",IFERROR(ROUND($G127*INDEX(tblKurallar[deger_2025],MATCH("YDK-002",tblKurallar[kural_id],0)),2),0))</f>
        <v/>
      </c>
      <c r="I127" s="38">
        <f>IF($A127="","",IFERROR($G127-$G127*INDEX(tblKurallar[deger_2025],MATCH("YDK-004",tblKurallar[kural_id],0)),0))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8">
        <f>IF($A128="","",IFERROR(ROUND(MAX(0,$B128*($D128-1)),2),0))</f>
        <v/>
      </c>
      <c r="H128" s="38">
        <f>IF($A128="","",IFERROR(ROUND($G128*INDEX(tblKurallar[deger_2025],MATCH("YDK-002",tblKurallar[kural_id],0)),2),0))</f>
        <v/>
      </c>
      <c r="I128" s="38">
        <f>IF($A128="","",IFERROR($G128-$G128*INDEX(tblKurallar[deger_2025],MATCH("YDK-004",tblKurallar[kural_id],0)),0))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8">
        <f>IF($A129="","",IFERROR(ROUND(MAX(0,$B129*($D129-1)),2),0))</f>
        <v/>
      </c>
      <c r="H129" s="38">
        <f>IF($A129="","",IFERROR(ROUND($G129*INDEX(tblKurallar[deger_2025],MATCH("YDK-002",tblKurallar[kural_id],0)),2),0))</f>
        <v/>
      </c>
      <c r="I129" s="38">
        <f>IF($A129="","",IFERROR($G129-$G129*INDEX(tblKurallar[deger_2025],MATCH("YDK-004",tblKurallar[kural_id],0)),0))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8">
        <f>IF($A130="","",IFERROR(ROUND(MAX(0,$B130*($D130-1)),2),0))</f>
        <v/>
      </c>
      <c r="H130" s="38">
        <f>IF($A130="","",IFERROR(ROUND($G130*INDEX(tblKurallar[deger_2025],MATCH("YDK-002",tblKurallar[kural_id],0)),2),0))</f>
        <v/>
      </c>
      <c r="I130" s="38">
        <f>IF($A130="","",IFERROR($G130-$G130*INDEX(tblKurallar[deger_2025],MATCH("YDK-004",tblKurallar[kural_id],0)),0))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8">
        <f>IF($A131="","",IFERROR(ROUND(MAX(0,$B131*($D131-1)),2),0))</f>
        <v/>
      </c>
      <c r="H131" s="38">
        <f>IF($A131="","",IFERROR(ROUND($G131*INDEX(tblKurallar[deger_2025],MATCH("YDK-002",tblKurallar[kural_id],0)),2),0))</f>
        <v/>
      </c>
      <c r="I131" s="38">
        <f>IF($A131="","",IFERROR($G131-$G131*INDEX(tblKurallar[deger_2025],MATCH("YDK-004",tblKurallar[kural_id],0)),0))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8">
        <f>IF($A132="","",IFERROR(ROUND(MAX(0,$B132*($D132-1)),2),0))</f>
        <v/>
      </c>
      <c r="H132" s="38">
        <f>IF($A132="","",IFERROR(ROUND($G132*INDEX(tblKurallar[deger_2025],MATCH("YDK-002",tblKurallar[kural_id],0)),2),0))</f>
        <v/>
      </c>
      <c r="I132" s="38">
        <f>IF($A132="","",IFERROR($G132-$G132*INDEX(tblKurallar[deger_2025],MATCH("YDK-004",tblKurallar[kural_id],0)),0))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8">
        <f>IF($A133="","",IFERROR(ROUND(MAX(0,$B133*($D133-1)),2),0))</f>
        <v/>
      </c>
      <c r="H133" s="38">
        <f>IF($A133="","",IFERROR(ROUND($G133*INDEX(tblKurallar[deger_2025],MATCH("YDK-002",tblKurallar[kural_id],0)),2),0))</f>
        <v/>
      </c>
      <c r="I133" s="38">
        <f>IF($A133="","",IFERROR($G133-$G133*INDEX(tblKurallar[deger_2025],MATCH("YDK-004",tblKurallar[kural_id],0)),0))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8">
        <f>IF($A134="","",IFERROR(ROUND(MAX(0,$B134*($D134-1)),2),0))</f>
        <v/>
      </c>
      <c r="H134" s="38">
        <f>IF($A134="","",IFERROR(ROUND($G134*INDEX(tblKurallar[deger_2025],MATCH("YDK-002",tblKurallar[kural_id],0)),2),0))</f>
        <v/>
      </c>
      <c r="I134" s="38">
        <f>IF($A134="","",IFERROR($G134-$G134*INDEX(tblKurallar[deger_2025],MATCH("YDK-004",tblKurallar[kural_id],0)),0))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8">
        <f>IF($A135="","",IFERROR(ROUND(MAX(0,$B135*($D135-1)),2),0))</f>
        <v/>
      </c>
      <c r="H135" s="38">
        <f>IF($A135="","",IFERROR(ROUND($G135*INDEX(tblKurallar[deger_2025],MATCH("YDK-002",tblKurallar[kural_id],0)),2),0))</f>
        <v/>
      </c>
      <c r="I135" s="38">
        <f>IF($A135="","",IFERROR($G135-$G135*INDEX(tblKurallar[deger_2025],MATCH("YDK-004",tblKurallar[kural_id],0)),0))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8">
        <f>IF($A136="","",IFERROR(ROUND(MAX(0,$B136*($D136-1)),2),0))</f>
        <v/>
      </c>
      <c r="H136" s="38">
        <f>IF($A136="","",IFERROR(ROUND($G136*INDEX(tblKurallar[deger_2025],MATCH("YDK-002",tblKurallar[kural_id],0)),2),0))</f>
        <v/>
      </c>
      <c r="I136" s="38">
        <f>IF($A136="","",IFERROR($G136-$G136*INDEX(tblKurallar[deger_2025],MATCH("YDK-004",tblKurallar[kural_id],0)),0))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8">
        <f>IF($A137="","",IFERROR(ROUND(MAX(0,$B137*($D137-1)),2),0))</f>
        <v/>
      </c>
      <c r="H137" s="38">
        <f>IF($A137="","",IFERROR(ROUND($G137*INDEX(tblKurallar[deger_2025],MATCH("YDK-002",tblKurallar[kural_id],0)),2),0))</f>
        <v/>
      </c>
      <c r="I137" s="38">
        <f>IF($A137="","",IFERROR($G137-$G137*INDEX(tblKurallar[deger_2025],MATCH("YDK-004",tblKurallar[kural_id],0)),0))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8">
        <f>IF($A138="","",IFERROR(ROUND(MAX(0,$B138*($D138-1)),2),0))</f>
        <v/>
      </c>
      <c r="H138" s="38">
        <f>IF($A138="","",IFERROR(ROUND($G138*INDEX(tblKurallar[deger_2025],MATCH("YDK-002",tblKurallar[kural_id],0)),2),0))</f>
        <v/>
      </c>
      <c r="I138" s="38">
        <f>IF($A138="","",IFERROR($G138-$G138*INDEX(tblKurallar[deger_2025],MATCH("YDK-004",tblKurallar[kural_id],0)),0))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8">
        <f>IF($A139="","",IFERROR(ROUND(MAX(0,$B139*($D139-1)),2),0))</f>
        <v/>
      </c>
      <c r="H139" s="38">
        <f>IF($A139="","",IFERROR(ROUND($G139*INDEX(tblKurallar[deger_2025],MATCH("YDK-002",tblKurallar[kural_id],0)),2),0))</f>
        <v/>
      </c>
      <c r="I139" s="38">
        <f>IF($A139="","",IFERROR($G139-$G139*INDEX(tblKurallar[deger_2025],MATCH("YDK-004",tblKurallar[kural_id],0)),0))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8">
        <f>IF($A140="","",IFERROR(ROUND(MAX(0,$B140*($D140-1)),2),0))</f>
        <v/>
      </c>
      <c r="H140" s="38">
        <f>IF($A140="","",IFERROR(ROUND($G140*INDEX(tblKurallar[deger_2025],MATCH("YDK-002",tblKurallar[kural_id],0)),2),0))</f>
        <v/>
      </c>
      <c r="I140" s="38">
        <f>IF($A140="","",IFERROR($G140-$G140*INDEX(tblKurallar[deger_2025],MATCH("YDK-004",tblKurallar[kural_id],0)),0))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8">
        <f>IF($A141="","",IFERROR(ROUND(MAX(0,$B141*($D141-1)),2),0))</f>
        <v/>
      </c>
      <c r="H141" s="38">
        <f>IF($A141="","",IFERROR(ROUND($G141*INDEX(tblKurallar[deger_2025],MATCH("YDK-002",tblKurallar[kural_id],0)),2),0))</f>
        <v/>
      </c>
      <c r="I141" s="38">
        <f>IF($A141="","",IFERROR($G141-$G141*INDEX(tblKurallar[deger_2025],MATCH("YDK-004",tblKurallar[kural_id],0)),0))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8">
        <f>IF($A142="","",IFERROR(ROUND(MAX(0,$B142*($D142-1)),2),0))</f>
        <v/>
      </c>
      <c r="H142" s="38">
        <f>IF($A142="","",IFERROR(ROUND($G142*INDEX(tblKurallar[deger_2025],MATCH("YDK-002",tblKurallar[kural_id],0)),2),0))</f>
        <v/>
      </c>
      <c r="I142" s="38">
        <f>IF($A142="","",IFERROR($G142-$G142*INDEX(tblKurallar[deger_2025],MATCH("YDK-004",tblKurallar[kural_id],0)),0))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8">
        <f>IF($A143="","",IFERROR(ROUND(MAX(0,$B143*($D143-1)),2),0))</f>
        <v/>
      </c>
      <c r="H143" s="38">
        <f>IF($A143="","",IFERROR(ROUND($G143*INDEX(tblKurallar[deger_2025],MATCH("YDK-002",tblKurallar[kural_id],0)),2),0))</f>
        <v/>
      </c>
      <c r="I143" s="38">
        <f>IF($A143="","",IFERROR($G143-$G143*INDEX(tblKurallar[deger_2025],MATCH("YDK-004",tblKurallar[kural_id],0)),0))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8">
        <f>IF($A144="","",IFERROR(ROUND(MAX(0,$B144*($D144-1)),2),0))</f>
        <v/>
      </c>
      <c r="H144" s="38">
        <f>IF($A144="","",IFERROR(ROUND($G144*INDEX(tblKurallar[deger_2025],MATCH("YDK-002",tblKurallar[kural_id],0)),2),0))</f>
        <v/>
      </c>
      <c r="I144" s="38">
        <f>IF($A144="","",IFERROR($G144-$G144*INDEX(tblKurallar[deger_2025],MATCH("YDK-004",tblKurallar[kural_id],0)),0))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8">
        <f>IF($A145="","",IFERROR(ROUND(MAX(0,$B145*($D145-1)),2),0))</f>
        <v/>
      </c>
      <c r="H145" s="38">
        <f>IF($A145="","",IFERROR(ROUND($G145*INDEX(tblKurallar[deger_2025],MATCH("YDK-002",tblKurallar[kural_id],0)),2),0))</f>
        <v/>
      </c>
      <c r="I145" s="38">
        <f>IF($A145="","",IFERROR($G145-$G145*INDEX(tblKurallar[deger_2025],MATCH("YDK-004",tblKurallar[kural_id],0)),0))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8">
        <f>IF($A146="","",IFERROR(ROUND(MAX(0,$B146*($D146-1)),2),0))</f>
        <v/>
      </c>
      <c r="H146" s="38">
        <f>IF($A146="","",IFERROR(ROUND($G146*INDEX(tblKurallar[deger_2025],MATCH("YDK-002",tblKurallar[kural_id],0)),2),0))</f>
        <v/>
      </c>
      <c r="I146" s="38">
        <f>IF($A146="","",IFERROR($G146-$G146*INDEX(tblKurallar[deger_2025],MATCH("YDK-004",tblKurallar[kural_id],0)),0))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8">
        <f>IF($A147="","",IFERROR(ROUND(MAX(0,$B147*($D147-1)),2),0))</f>
        <v/>
      </c>
      <c r="H147" s="38">
        <f>IF($A147="","",IFERROR(ROUND($G147*INDEX(tblKurallar[deger_2025],MATCH("YDK-002",tblKurallar[kural_id],0)),2),0))</f>
        <v/>
      </c>
      <c r="I147" s="38">
        <f>IF($A147="","",IFERROR($G147-$G147*INDEX(tblKurallar[deger_2025],MATCH("YDK-004",tblKurallar[kural_id],0)),0))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8">
        <f>IF($A148="","",IFERROR(ROUND(MAX(0,$B148*($D148-1)),2),0))</f>
        <v/>
      </c>
      <c r="H148" s="38">
        <f>IF($A148="","",IFERROR(ROUND($G148*INDEX(tblKurallar[deger_2025],MATCH("YDK-002",tblKurallar[kural_id],0)),2),0))</f>
        <v/>
      </c>
      <c r="I148" s="38">
        <f>IF($A148="","",IFERROR($G148-$G148*INDEX(tblKurallar[deger_2025],MATCH("YDK-004",tblKurallar[kural_id],0)),0))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8">
        <f>IF($A149="","",IFERROR(ROUND(MAX(0,$B149*($D149-1)),2),0))</f>
        <v/>
      </c>
      <c r="H149" s="38">
        <f>IF($A149="","",IFERROR(ROUND($G149*INDEX(tblKurallar[deger_2025],MATCH("YDK-002",tblKurallar[kural_id],0)),2),0))</f>
        <v/>
      </c>
      <c r="I149" s="38">
        <f>IF($A149="","",IFERROR($G149-$G149*INDEX(tblKurallar[deger_2025],MATCH("YDK-004",tblKurallar[kural_id],0)),0))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8">
        <f>IF($A150="","",IFERROR(ROUND(MAX(0,$B150*($D150-1)),2),0))</f>
        <v/>
      </c>
      <c r="H150" s="38">
        <f>IF($A150="","",IFERROR(ROUND($G150*INDEX(tblKurallar[deger_2025],MATCH("YDK-002",tblKurallar[kural_id],0)),2),0))</f>
        <v/>
      </c>
      <c r="I150" s="38">
        <f>IF($A150="","",IFERROR($G150-$G150*INDEX(tblKurallar[deger_2025],MATCH("YDK-004",tblKurallar[kural_id],0)),0))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8">
        <f>IF($A151="","",IFERROR(ROUND(MAX(0,$B151*($D151-1)),2),0))</f>
        <v/>
      </c>
      <c r="H151" s="38">
        <f>IF($A151="","",IFERROR(ROUND($G151*INDEX(tblKurallar[deger_2025],MATCH("YDK-002",tblKurallar[kural_id],0)),2),0))</f>
        <v/>
      </c>
      <c r="I151" s="38">
        <f>IF($A151="","",IFERROR($G151-$G151*INDEX(tblKurallar[deger_2025],MATCH("YDK-004",tblKurallar[kural_id],0)),0))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8">
        <f>IF($A152="","",IFERROR(ROUND(MAX(0,$B152*($D152-1)),2),0))</f>
        <v/>
      </c>
      <c r="H152" s="38">
        <f>IF($A152="","",IFERROR(ROUND($G152*INDEX(tblKurallar[deger_2025],MATCH("YDK-002",tblKurallar[kural_id],0)),2),0))</f>
        <v/>
      </c>
      <c r="I152" s="38">
        <f>IF($A152="","",IFERROR($G152-$G152*INDEX(tblKurallar[deger_2025],MATCH("YDK-004",tblKurallar[kural_id],0)),0))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8">
        <f>IF($A153="","",IFERROR(ROUND(MAX(0,$B153*($D153-1)),2),0))</f>
        <v/>
      </c>
      <c r="H153" s="38">
        <f>IF($A153="","",IFERROR(ROUND($G153*INDEX(tblKurallar[deger_2025],MATCH("YDK-002",tblKurallar[kural_id],0)),2),0))</f>
        <v/>
      </c>
      <c r="I153" s="38">
        <f>IF($A153="","",IFERROR($G153-$G153*INDEX(tblKurallar[deger_2025],MATCH("YDK-004",tblKurallar[kural_id],0)),0))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8">
        <f>IF($A154="","",IFERROR(ROUND(MAX(0,$B154*($D154-1)),2),0))</f>
        <v/>
      </c>
      <c r="H154" s="38">
        <f>IF($A154="","",IFERROR(ROUND($G154*INDEX(tblKurallar[deger_2025],MATCH("YDK-002",tblKurallar[kural_id],0)),2),0))</f>
        <v/>
      </c>
      <c r="I154" s="38">
        <f>IF($A154="","",IFERROR($G154-$G154*INDEX(tblKurallar[deger_2025],MATCH("YDK-004",tblKurallar[kural_id],0)),0))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8">
        <f>IF($A155="","",IFERROR(ROUND(MAX(0,$B155*($D155-1)),2),0))</f>
        <v/>
      </c>
      <c r="H155" s="38">
        <f>IF($A155="","",IFERROR(ROUND($G155*INDEX(tblKurallar[deger_2025],MATCH("YDK-002",tblKurallar[kural_id],0)),2),0))</f>
        <v/>
      </c>
      <c r="I155" s="38">
        <f>IF($A155="","",IFERROR($G155-$G155*INDEX(tblKurallar[deger_2025],MATCH("YDK-004",tblKurallar[kural_id],0)),0))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8">
        <f>IF($A156="","",IFERROR(ROUND(MAX(0,$B156*($D156-1)),2),0))</f>
        <v/>
      </c>
      <c r="H156" s="38">
        <f>IF($A156="","",IFERROR(ROUND($G156*INDEX(tblKurallar[deger_2025],MATCH("YDK-002",tblKurallar[kural_id],0)),2),0))</f>
        <v/>
      </c>
      <c r="I156" s="38">
        <f>IF($A156="","",IFERROR($G156-$G156*INDEX(tblKurallar[deger_2025],MATCH("YDK-004",tblKurallar[kural_id],0)),0))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8">
        <f>IF($A157="","",IFERROR(ROUND(MAX(0,$B157*($D157-1)),2),0))</f>
        <v/>
      </c>
      <c r="H157" s="38">
        <f>IF($A157="","",IFERROR(ROUND($G157*INDEX(tblKurallar[deger_2025],MATCH("YDK-002",tblKurallar[kural_id],0)),2),0))</f>
        <v/>
      </c>
      <c r="I157" s="38">
        <f>IF($A157="","",IFERROR($G157-$G157*INDEX(tblKurallar[deger_2025],MATCH("YDK-004",tblKurallar[kural_id],0)),0))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8">
        <f>IF($A158="","",IFERROR(ROUND(MAX(0,$B158*($D158-1)),2),0))</f>
        <v/>
      </c>
      <c r="H158" s="38">
        <f>IF($A158="","",IFERROR(ROUND($G158*INDEX(tblKurallar[deger_2025],MATCH("YDK-002",tblKurallar[kural_id],0)),2),0))</f>
        <v/>
      </c>
      <c r="I158" s="38">
        <f>IF($A158="","",IFERROR($G158-$G158*INDEX(tblKurallar[deger_2025],MATCH("YDK-004",tblKurallar[kural_id],0)),0))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8">
        <f>IF($A159="","",IFERROR(ROUND(MAX(0,$B159*($D159-1)),2),0))</f>
        <v/>
      </c>
      <c r="H159" s="38">
        <f>IF($A159="","",IFERROR(ROUND($G159*INDEX(tblKurallar[deger_2025],MATCH("YDK-002",tblKurallar[kural_id],0)),2),0))</f>
        <v/>
      </c>
      <c r="I159" s="38">
        <f>IF($A159="","",IFERROR($G159-$G159*INDEX(tblKurallar[deger_2025],MATCH("YDK-004",tblKurallar[kural_id],0)),0))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8">
        <f>IF($A160="","",IFERROR(ROUND(MAX(0,$B160*($D160-1)),2),0))</f>
        <v/>
      </c>
      <c r="H160" s="38">
        <f>IF($A160="","",IFERROR(ROUND($G160*INDEX(tblKurallar[deger_2025],MATCH("YDK-002",tblKurallar[kural_id],0)),2),0))</f>
        <v/>
      </c>
      <c r="I160" s="38">
        <f>IF($A160="","",IFERROR($G160-$G160*INDEX(tblKurallar[deger_2025],MATCH("YDK-004",tblKurallar[kural_id],0)),0))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8">
        <f>IF($A161="","",IFERROR(ROUND(MAX(0,$B161*($D161-1)),2),0))</f>
        <v/>
      </c>
      <c r="H161" s="38">
        <f>IF($A161="","",IFERROR(ROUND($G161*INDEX(tblKurallar[deger_2025],MATCH("YDK-002",tblKurallar[kural_id],0)),2),0))</f>
        <v/>
      </c>
      <c r="I161" s="38">
        <f>IF($A161="","",IFERROR($G161-$G161*INDEX(tblKurallar[deger_2025],MATCH("YDK-004",tblKurallar[kural_id],0)),0))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8">
        <f>IF($A162="","",IFERROR(ROUND(MAX(0,$B162*($D162-1)),2),0))</f>
        <v/>
      </c>
      <c r="H162" s="38">
        <f>IF($A162="","",IFERROR(ROUND($G162*INDEX(tblKurallar[deger_2025],MATCH("YDK-002",tblKurallar[kural_id],0)),2),0))</f>
        <v/>
      </c>
      <c r="I162" s="38">
        <f>IF($A162="","",IFERROR($G162-$G162*INDEX(tblKurallar[deger_2025],MATCH("YDK-004",tblKurallar[kural_id],0)),0))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8">
        <f>IF($A163="","",IFERROR(ROUND(MAX(0,$B163*($D163-1)),2),0))</f>
        <v/>
      </c>
      <c r="H163" s="38">
        <f>IF($A163="","",IFERROR(ROUND($G163*INDEX(tblKurallar[deger_2025],MATCH("YDK-002",tblKurallar[kural_id],0)),2),0))</f>
        <v/>
      </c>
      <c r="I163" s="38">
        <f>IF($A163="","",IFERROR($G163-$G163*INDEX(tblKurallar[deger_2025],MATCH("YDK-004",tblKurallar[kural_id],0)),0))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8">
        <f>IF($A164="","",IFERROR(ROUND(MAX(0,$B164*($D164-1)),2),0))</f>
        <v/>
      </c>
      <c r="H164" s="38">
        <f>IF($A164="","",IFERROR(ROUND($G164*INDEX(tblKurallar[deger_2025],MATCH("YDK-002",tblKurallar[kural_id],0)),2),0))</f>
        <v/>
      </c>
      <c r="I164" s="38">
        <f>IF($A164="","",IFERROR($G164-$G164*INDEX(tblKurallar[deger_2025],MATCH("YDK-004",tblKurallar[kural_id],0)),0))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8">
        <f>IF($A165="","",IFERROR(ROUND(MAX(0,$B165*($D165-1)),2),0))</f>
        <v/>
      </c>
      <c r="H165" s="38">
        <f>IF($A165="","",IFERROR(ROUND($G165*INDEX(tblKurallar[deger_2025],MATCH("YDK-002",tblKurallar[kural_id],0)),2),0))</f>
        <v/>
      </c>
      <c r="I165" s="38">
        <f>IF($A165="","",IFERROR($G165-$G165*INDEX(tblKurallar[deger_2025],MATCH("YDK-004",tblKurallar[kural_id],0)),0))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8">
        <f>IF($A166="","",IFERROR(ROUND(MAX(0,$B166*($D166-1)),2),0))</f>
        <v/>
      </c>
      <c r="H166" s="38">
        <f>IF($A166="","",IFERROR(ROUND($G166*INDEX(tblKurallar[deger_2025],MATCH("YDK-002",tblKurallar[kural_id],0)),2),0))</f>
        <v/>
      </c>
      <c r="I166" s="38">
        <f>IF($A166="","",IFERROR($G166-$G166*INDEX(tblKurallar[deger_2025],MATCH("YDK-004",tblKurallar[kural_id],0)),0))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8">
        <f>IF($A167="","",IFERROR(ROUND(MAX(0,$B167*($D167-1)),2),0))</f>
        <v/>
      </c>
      <c r="H167" s="38">
        <f>IF($A167="","",IFERROR(ROUND($G167*INDEX(tblKurallar[deger_2025],MATCH("YDK-002",tblKurallar[kural_id],0)),2),0))</f>
        <v/>
      </c>
      <c r="I167" s="38">
        <f>IF($A167="","",IFERROR($G167-$G167*INDEX(tblKurallar[deger_2025],MATCH("YDK-004",tblKurallar[kural_id],0)),0))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8">
        <f>IF($A168="","",IFERROR(ROUND(MAX(0,$B168*($D168-1)),2),0))</f>
        <v/>
      </c>
      <c r="H168" s="38">
        <f>IF($A168="","",IFERROR(ROUND($G168*INDEX(tblKurallar[deger_2025],MATCH("YDK-002",tblKurallar[kural_id],0)),2),0))</f>
        <v/>
      </c>
      <c r="I168" s="38">
        <f>IF($A168="","",IFERROR($G168-$G168*INDEX(tblKurallar[deger_2025],MATCH("YDK-004",tblKurallar[kural_id],0)),0))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8">
        <f>IF($A169="","",IFERROR(ROUND(MAX(0,$B169*($D169-1)),2),0))</f>
        <v/>
      </c>
      <c r="H169" s="38">
        <f>IF($A169="","",IFERROR(ROUND($G169*INDEX(tblKurallar[deger_2025],MATCH("YDK-002",tblKurallar[kural_id],0)),2),0))</f>
        <v/>
      </c>
      <c r="I169" s="38">
        <f>IF($A169="","",IFERROR($G169-$G169*INDEX(tblKurallar[deger_2025],MATCH("YDK-004",tblKurallar[kural_id],0)),0))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8">
        <f>IF($A170="","",IFERROR(ROUND(MAX(0,$B170*($D170-1)),2),0))</f>
        <v/>
      </c>
      <c r="H170" s="38">
        <f>IF($A170="","",IFERROR(ROUND($G170*INDEX(tblKurallar[deger_2025],MATCH("YDK-002",tblKurallar[kural_id],0)),2),0))</f>
        <v/>
      </c>
      <c r="I170" s="38">
        <f>IF($A170="","",IFERROR($G170-$G170*INDEX(tblKurallar[deger_2025],MATCH("YDK-004",tblKurallar[kural_id],0)),0))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8">
        <f>IF($A171="","",IFERROR(ROUND(MAX(0,$B171*($D171-1)),2),0))</f>
        <v/>
      </c>
      <c r="H171" s="38">
        <f>IF($A171="","",IFERROR(ROUND($G171*INDEX(tblKurallar[deger_2025],MATCH("YDK-002",tblKurallar[kural_id],0)),2),0))</f>
        <v/>
      </c>
      <c r="I171" s="38">
        <f>IF($A171="","",IFERROR($G171-$G171*INDEX(tblKurallar[deger_2025],MATCH("YDK-004",tblKurallar[kural_id],0)),0))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8">
        <f>IF($A172="","",IFERROR(ROUND(MAX(0,$B172*($D172-1)),2),0))</f>
        <v/>
      </c>
      <c r="H172" s="38">
        <f>IF($A172="","",IFERROR(ROUND($G172*INDEX(tblKurallar[deger_2025],MATCH("YDK-002",tblKurallar[kural_id],0)),2),0))</f>
        <v/>
      </c>
      <c r="I172" s="38">
        <f>IF($A172="","",IFERROR($G172-$G172*INDEX(tblKurallar[deger_2025],MATCH("YDK-004",tblKurallar[kural_id],0)),0))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8">
        <f>IF($A173="","",IFERROR(ROUND(MAX(0,$B173*($D173-1)),2),0))</f>
        <v/>
      </c>
      <c r="H173" s="38">
        <f>IF($A173="","",IFERROR(ROUND($G173*INDEX(tblKurallar[deger_2025],MATCH("YDK-002",tblKurallar[kural_id],0)),2),0))</f>
        <v/>
      </c>
      <c r="I173" s="38">
        <f>IF($A173="","",IFERROR($G173-$G173*INDEX(tblKurallar[deger_2025],MATCH("YDK-004",tblKurallar[kural_id],0)),0))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8">
        <f>IF($A174="","",IFERROR(ROUND(MAX(0,$B174*($D174-1)),2),0))</f>
        <v/>
      </c>
      <c r="H174" s="38">
        <f>IF($A174="","",IFERROR(ROUND($G174*INDEX(tblKurallar[deger_2025],MATCH("YDK-002",tblKurallar[kural_id],0)),2),0))</f>
        <v/>
      </c>
      <c r="I174" s="38">
        <f>IF($A174="","",IFERROR($G174-$G174*INDEX(tblKurallar[deger_2025],MATCH("YDK-004",tblKurallar[kural_id],0)),0))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8">
        <f>IF($A175="","",IFERROR(ROUND(MAX(0,$B175*($D175-1)),2),0))</f>
        <v/>
      </c>
      <c r="H175" s="38">
        <f>IF($A175="","",IFERROR(ROUND($G175*INDEX(tblKurallar[deger_2025],MATCH("YDK-002",tblKurallar[kural_id],0)),2),0))</f>
        <v/>
      </c>
      <c r="I175" s="38">
        <f>IF($A175="","",IFERROR($G175-$G175*INDEX(tblKurallar[deger_2025],MATCH("YDK-004",tblKurallar[kural_id],0)),0))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8">
        <f>IF($A176="","",IFERROR(ROUND(MAX(0,$B176*($D176-1)),2),0))</f>
        <v/>
      </c>
      <c r="H176" s="38">
        <f>IF($A176="","",IFERROR(ROUND($G176*INDEX(tblKurallar[deger_2025],MATCH("YDK-002",tblKurallar[kural_id],0)),2),0))</f>
        <v/>
      </c>
      <c r="I176" s="38">
        <f>IF($A176="","",IFERROR($G176-$G176*INDEX(tblKurallar[deger_2025],MATCH("YDK-004",tblKurallar[kural_id],0)),0))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8">
        <f>IF($A177="","",IFERROR(ROUND(MAX(0,$B177*($D177-1)),2),0))</f>
        <v/>
      </c>
      <c r="H177" s="38">
        <f>IF($A177="","",IFERROR(ROUND($G177*INDEX(tblKurallar[deger_2025],MATCH("YDK-002",tblKurallar[kural_id],0)),2),0))</f>
        <v/>
      </c>
      <c r="I177" s="38">
        <f>IF($A177="","",IFERROR($G177-$G177*INDEX(tblKurallar[deger_2025],MATCH("YDK-004",tblKurallar[kural_id],0)),0))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8">
        <f>IF($A178="","",IFERROR(ROUND(MAX(0,$B178*($D178-1)),2),0))</f>
        <v/>
      </c>
      <c r="H178" s="38">
        <f>IF($A178="","",IFERROR(ROUND($G178*INDEX(tblKurallar[deger_2025],MATCH("YDK-002",tblKurallar[kural_id],0)),2),0))</f>
        <v/>
      </c>
      <c r="I178" s="38">
        <f>IF($A178="","",IFERROR($G178-$G178*INDEX(tblKurallar[deger_2025],MATCH("YDK-004",tblKurallar[kural_id],0)),0))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8">
        <f>IF($A179="","",IFERROR(ROUND(MAX(0,$B179*($D179-1)),2),0))</f>
        <v/>
      </c>
      <c r="H179" s="38">
        <f>IF($A179="","",IFERROR(ROUND($G179*INDEX(tblKurallar[deger_2025],MATCH("YDK-002",tblKurallar[kural_id],0)),2),0))</f>
        <v/>
      </c>
      <c r="I179" s="38">
        <f>IF($A179="","",IFERROR($G179-$G179*INDEX(tblKurallar[deger_2025],MATCH("YDK-004",tblKurallar[kural_id],0)),0))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8">
        <f>IF($A180="","",IFERROR(ROUND(MAX(0,$B180*($D180-1)),2),0))</f>
        <v/>
      </c>
      <c r="H180" s="38">
        <f>IF($A180="","",IFERROR(ROUND($G180*INDEX(tblKurallar[deger_2025],MATCH("YDK-002",tblKurallar[kural_id],0)),2),0))</f>
        <v/>
      </c>
      <c r="I180" s="38">
        <f>IF($A180="","",IFERROR($G180-$G180*INDEX(tblKurallar[deger_2025],MATCH("YDK-004",tblKurallar[kural_id],0)),0))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8">
        <f>IF($A181="","",IFERROR(ROUND(MAX(0,$B181*($D181-1)),2),0))</f>
        <v/>
      </c>
      <c r="H181" s="38">
        <f>IF($A181="","",IFERROR(ROUND($G181*INDEX(tblKurallar[deger_2025],MATCH("YDK-002",tblKurallar[kural_id],0)),2),0))</f>
        <v/>
      </c>
      <c r="I181" s="38">
        <f>IF($A181="","",IFERROR($G181-$G181*INDEX(tblKurallar[deger_2025],MATCH("YDK-004",tblKurallar[kural_id],0)),0))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8">
        <f>IF($A182="","",IFERROR(ROUND(MAX(0,$B182*($D182-1)),2),0))</f>
        <v/>
      </c>
      <c r="H182" s="38">
        <f>IF($A182="","",IFERROR(ROUND($G182*INDEX(tblKurallar[deger_2025],MATCH("YDK-002",tblKurallar[kural_id],0)),2),0))</f>
        <v/>
      </c>
      <c r="I182" s="38">
        <f>IF($A182="","",IFERROR($G182-$G182*INDEX(tblKurallar[deger_2025],MATCH("YDK-004",tblKurallar[kural_id],0)),0))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8">
        <f>IF($A183="","",IFERROR(ROUND(MAX(0,$B183*($D183-1)),2),0))</f>
        <v/>
      </c>
      <c r="H183" s="38">
        <f>IF($A183="","",IFERROR(ROUND($G183*INDEX(tblKurallar[deger_2025],MATCH("YDK-002",tblKurallar[kural_id],0)),2),0))</f>
        <v/>
      </c>
      <c r="I183" s="38">
        <f>IF($A183="","",IFERROR($G183-$G183*INDEX(tblKurallar[deger_2025],MATCH("YDK-004",tblKurallar[kural_id],0)),0))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8">
        <f>IF($A184="","",IFERROR(ROUND(MAX(0,$B184*($D184-1)),2),0))</f>
        <v/>
      </c>
      <c r="H184" s="38">
        <f>IF($A184="","",IFERROR(ROUND($G184*INDEX(tblKurallar[deger_2025],MATCH("YDK-002",tblKurallar[kural_id],0)),2),0))</f>
        <v/>
      </c>
      <c r="I184" s="38">
        <f>IF($A184="","",IFERROR($G184-$G184*INDEX(tblKurallar[deger_2025],MATCH("YDK-004",tblKurallar[kural_id],0)),0))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8">
        <f>IF($A185="","",IFERROR(ROUND(MAX(0,$B185*($D185-1)),2),0))</f>
        <v/>
      </c>
      <c r="H185" s="38">
        <f>IF($A185="","",IFERROR(ROUND($G185*INDEX(tblKurallar[deger_2025],MATCH("YDK-002",tblKurallar[kural_id],0)),2),0))</f>
        <v/>
      </c>
      <c r="I185" s="38">
        <f>IF($A185="","",IFERROR($G185-$G185*INDEX(tblKurallar[deger_2025],MATCH("YDK-004",tblKurallar[kural_id],0)),0))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8">
        <f>IF($A186="","",IFERROR(ROUND(MAX(0,$B186*($D186-1)),2),0))</f>
        <v/>
      </c>
      <c r="H186" s="38">
        <f>IF($A186="","",IFERROR(ROUND($G186*INDEX(tblKurallar[deger_2025],MATCH("YDK-002",tblKurallar[kural_id],0)),2),0))</f>
        <v/>
      </c>
      <c r="I186" s="38">
        <f>IF($A186="","",IFERROR($G186-$G186*INDEX(tblKurallar[deger_2025],MATCH("YDK-004",tblKurallar[kural_id],0)),0))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8">
        <f>IF($A187="","",IFERROR(ROUND(MAX(0,$B187*($D187-1)),2),0))</f>
        <v/>
      </c>
      <c r="H187" s="38">
        <f>IF($A187="","",IFERROR(ROUND($G187*INDEX(tblKurallar[deger_2025],MATCH("YDK-002",tblKurallar[kural_id],0)),2),0))</f>
        <v/>
      </c>
      <c r="I187" s="38">
        <f>IF($A187="","",IFERROR($G187-$G187*INDEX(tblKurallar[deger_2025],MATCH("YDK-004",tblKurallar[kural_id],0)),0))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8">
        <f>IF($A188="","",IFERROR(ROUND(MAX(0,$B188*($D188-1)),2),0))</f>
        <v/>
      </c>
      <c r="H188" s="38">
        <f>IF($A188="","",IFERROR(ROUND($G188*INDEX(tblKurallar[deger_2025],MATCH("YDK-002",tblKurallar[kural_id],0)),2),0))</f>
        <v/>
      </c>
      <c r="I188" s="38">
        <f>IF($A188="","",IFERROR($G188-$G188*INDEX(tblKurallar[deger_2025],MATCH("YDK-004",tblKurallar[kural_id],0)),0))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8">
        <f>IF($A189="","",IFERROR(ROUND(MAX(0,$B189*($D189-1)),2),0))</f>
        <v/>
      </c>
      <c r="H189" s="38">
        <f>IF($A189="","",IFERROR(ROUND($G189*INDEX(tblKurallar[deger_2025],MATCH("YDK-002",tblKurallar[kural_id],0)),2),0))</f>
        <v/>
      </c>
      <c r="I189" s="38">
        <f>IF($A189="","",IFERROR($G189-$G189*INDEX(tblKurallar[deger_2025],MATCH("YDK-004",tblKurallar[kural_id],0)),0))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8">
        <f>IF($A190="","",IFERROR(ROUND(MAX(0,$B190*($D190-1)),2),0))</f>
        <v/>
      </c>
      <c r="H190" s="38">
        <f>IF($A190="","",IFERROR(ROUND($G190*INDEX(tblKurallar[deger_2025],MATCH("YDK-002",tblKurallar[kural_id],0)),2),0))</f>
        <v/>
      </c>
      <c r="I190" s="38">
        <f>IF($A190="","",IFERROR($G190-$G190*INDEX(tblKurallar[deger_2025],MATCH("YDK-004",tblKurallar[kural_id],0)),0))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8">
        <f>IF($A191="","",IFERROR(ROUND(MAX(0,$B191*($D191-1)),2),0))</f>
        <v/>
      </c>
      <c r="H191" s="38">
        <f>IF($A191="","",IFERROR(ROUND($G191*INDEX(tblKurallar[deger_2025],MATCH("YDK-002",tblKurallar[kural_id],0)),2),0))</f>
        <v/>
      </c>
      <c r="I191" s="38">
        <f>IF($A191="","",IFERROR($G191-$G191*INDEX(tblKurallar[deger_2025],MATCH("YDK-004",tblKurallar[kural_id],0)),0))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8">
        <f>IF($A192="","",IFERROR(ROUND(MAX(0,$B192*($D192-1)),2),0))</f>
        <v/>
      </c>
      <c r="H192" s="38">
        <f>IF($A192="","",IFERROR(ROUND($G192*INDEX(tblKurallar[deger_2025],MATCH("YDK-002",tblKurallar[kural_id],0)),2),0))</f>
        <v/>
      </c>
      <c r="I192" s="38">
        <f>IF($A192="","",IFERROR($G192-$G192*INDEX(tblKurallar[deger_2025],MATCH("YDK-004",tblKurallar[kural_id],0)),0))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8">
        <f>IF($A193="","",IFERROR(ROUND(MAX(0,$B193*($D193-1)),2),0))</f>
        <v/>
      </c>
      <c r="H193" s="38">
        <f>IF($A193="","",IFERROR(ROUND($G193*INDEX(tblKurallar[deger_2025],MATCH("YDK-002",tblKurallar[kural_id],0)),2),0))</f>
        <v/>
      </c>
      <c r="I193" s="38">
        <f>IF($A193="","",IFERROR($G193-$G193*INDEX(tblKurallar[deger_2025],MATCH("YDK-004",tblKurallar[kural_id],0)),0))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8">
        <f>IF($A194="","",IFERROR(ROUND(MAX(0,$B194*($D194-1)),2),0))</f>
        <v/>
      </c>
      <c r="H194" s="38">
        <f>IF($A194="","",IFERROR(ROUND($G194*INDEX(tblKurallar[deger_2025],MATCH("YDK-002",tblKurallar[kural_id],0)),2),0))</f>
        <v/>
      </c>
      <c r="I194" s="38">
        <f>IF($A194="","",IFERROR($G194-$G194*INDEX(tblKurallar[deger_2025],MATCH("YDK-004",tblKurallar[kural_id],0)),0))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8">
        <f>IF($A195="","",IFERROR(ROUND(MAX(0,$B195*($D195-1)),2),0))</f>
        <v/>
      </c>
      <c r="H195" s="38">
        <f>IF($A195="","",IFERROR(ROUND($G195*INDEX(tblKurallar[deger_2025],MATCH("YDK-002",tblKurallar[kural_id],0)),2),0))</f>
        <v/>
      </c>
      <c r="I195" s="38">
        <f>IF($A195="","",IFERROR($G195-$G195*INDEX(tblKurallar[deger_2025],MATCH("YDK-004",tblKurallar[kural_id],0)),0))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8">
        <f>IF($A196="","",IFERROR(ROUND(MAX(0,$B196*($D196-1)),2),0))</f>
        <v/>
      </c>
      <c r="H196" s="38">
        <f>IF($A196="","",IFERROR(ROUND($G196*INDEX(tblKurallar[deger_2025],MATCH("YDK-002",tblKurallar[kural_id],0)),2),0))</f>
        <v/>
      </c>
      <c r="I196" s="38">
        <f>IF($A196="","",IFERROR($G196-$G196*INDEX(tblKurallar[deger_2025],MATCH("YDK-004",tblKurallar[kural_id],0)),0))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8">
        <f>IF($A197="","",IFERROR(ROUND(MAX(0,$B197*($D197-1)),2),0))</f>
        <v/>
      </c>
      <c r="H197" s="38">
        <f>IF($A197="","",IFERROR(ROUND($G197*INDEX(tblKurallar[deger_2025],MATCH("YDK-002",tblKurallar[kural_id],0)),2),0))</f>
        <v/>
      </c>
      <c r="I197" s="38">
        <f>IF($A197="","",IFERROR($G197-$G197*INDEX(tblKurallar[deger_2025],MATCH("YDK-004",tblKurallar[kural_id],0)),0))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8">
        <f>IF($A198="","",IFERROR(ROUND(MAX(0,$B198*($D198-1)),2),0))</f>
        <v/>
      </c>
      <c r="H198" s="38">
        <f>IF($A198="","",IFERROR(ROUND($G198*INDEX(tblKurallar[deger_2025],MATCH("YDK-002",tblKurallar[kural_id],0)),2),0))</f>
        <v/>
      </c>
      <c r="I198" s="38">
        <f>IF($A198="","",IFERROR($G198-$G198*INDEX(tblKurallar[deger_2025],MATCH("YDK-004",tblKurallar[kural_id],0)),0))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8">
        <f>IF($A199="","",IFERROR(ROUND(MAX(0,$B199*($D199-1)),2),0))</f>
        <v/>
      </c>
      <c r="H199" s="38">
        <f>IF($A199="","",IFERROR(ROUND($G199*INDEX(tblKurallar[deger_2025],MATCH("YDK-002",tblKurallar[kural_id],0)),2),0))</f>
        <v/>
      </c>
      <c r="I199" s="38">
        <f>IF($A199="","",IFERROR($G199-$G199*INDEX(tblKurallar[deger_2025],MATCH("YDK-004",tblKurallar[kural_id],0)),0))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8">
        <f>IF($A200="","",IFERROR(ROUND(MAX(0,$B200*($D200-1)),2),0))</f>
        <v/>
      </c>
      <c r="H200" s="38">
        <f>IF($A200="","",IFERROR(ROUND($G200*INDEX(tblKurallar[deger_2025],MATCH("YDK-002",tblKurallar[kural_id],0)),2),0))</f>
        <v/>
      </c>
      <c r="I200" s="38">
        <f>IF($A200="","",IFERROR($G200-$G200*INDEX(tblKurallar[deger_2025],MATCH("YDK-004",tblKurallar[kural_id],0)),0))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8">
        <f>IF($A201="","",IFERROR(ROUND(MAX(0,$B201*($D201-1)),2),0))</f>
        <v/>
      </c>
      <c r="H201" s="38">
        <f>IF($A201="","",IFERROR(ROUND($G201*INDEX(tblKurallar[deger_2025],MATCH("YDK-002",tblKurallar[kural_id],0)),2),0))</f>
        <v/>
      </c>
      <c r="I201" s="38">
        <f>IF($A201="","",IFERROR($G201-$G201*INDEX(tblKurallar[deger_2025],MATCH("YDK-004",tblKurallar[kural_id],0)),0))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8">
        <f>IF($A202="","",IFERROR(ROUND(MAX(0,$B202*($D202-1)),2),0))</f>
        <v/>
      </c>
      <c r="H202" s="38">
        <f>IF($A202="","",IFERROR(ROUND($G202*INDEX(tblKurallar[deger_2025],MATCH("YDK-002",tblKurallar[kural_id],0)),2),0))</f>
        <v/>
      </c>
      <c r="I202" s="38">
        <f>IF($A202="","",IFERROR($G202-$G202*INDEX(tblKurallar[deger_2025],MATCH("YDK-004",tblKurallar[kural_id],0)),0))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8">
        <f>IF($A203="","",IFERROR(ROUND(MAX(0,$B203*($D203-1)),2),0))</f>
        <v/>
      </c>
      <c r="H203" s="38">
        <f>IF($A203="","",IFERROR(ROUND($G203*INDEX(tblKurallar[deger_2025],MATCH("YDK-002",tblKurallar[kural_id],0)),2),0))</f>
        <v/>
      </c>
      <c r="I203" s="38">
        <f>IF($A203="","",IFERROR($G203-$G203*INDEX(tblKurallar[deger_2025],MATCH("YDK-004",tblKurallar[kural_id],0)),0))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8">
        <f>IF($A204="","",IFERROR(ROUND(MAX(0,$B204*($D204-1)),2),0))</f>
        <v/>
      </c>
      <c r="H204" s="38">
        <f>IF($A204="","",IFERROR(ROUND($G204*INDEX(tblKurallar[deger_2025],MATCH("YDK-002",tblKurallar[kural_id],0)),2),0))</f>
        <v/>
      </c>
      <c r="I204" s="38">
        <f>IF($A204="","",IFERROR($G204-$G204*INDEX(tblKurallar[deger_2025],MATCH("YDK-004",tblKurallar[kural_id],0)),0))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8">
        <f>IF($A205="","",IFERROR(ROUND(MAX(0,$B205*($D205-1)),2),0))</f>
        <v/>
      </c>
      <c r="H205" s="38">
        <f>IF($A205="","",IFERROR(ROUND($G205*INDEX(tblKurallar[deger_2025],MATCH("YDK-002",tblKurallar[kural_id],0)),2),0))</f>
        <v/>
      </c>
      <c r="I205" s="38">
        <f>IF($A205="","",IFERROR($G205-$G205*INDEX(tblKurallar[deger_2025],MATCH("YDK-004",tblKurallar[kural_id],0)),0))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8">
        <f>IF($A206="","",IFERROR(ROUND(MAX(0,$B206*($D206-1)),2),0))</f>
        <v/>
      </c>
      <c r="H206" s="38">
        <f>IF($A206="","",IFERROR(ROUND($G206*INDEX(tblKurallar[deger_2025],MATCH("YDK-002",tblKurallar[kural_id],0)),2),0))</f>
        <v/>
      </c>
      <c r="I206" s="38">
        <f>IF($A206="","",IFERROR($G206-$G206*INDEX(tblKurallar[deger_2025],MATCH("YDK-004",tblKurallar[kural_id],0)),0))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8">
        <f>IF($A207="","",IFERROR(ROUND(MAX(0,$B207*($D207-1)),2),0))</f>
        <v/>
      </c>
      <c r="H207" s="38">
        <f>IF($A207="","",IFERROR(ROUND($G207*INDEX(tblKurallar[deger_2025],MATCH("YDK-002",tblKurallar[kural_id],0)),2),0))</f>
        <v/>
      </c>
      <c r="I207" s="38">
        <f>IF($A207="","",IFERROR($G207-$G207*INDEX(tblKurallar[deger_2025],MATCH("YDK-004",tblKurallar[kural_id],0)),0))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8">
        <f>IF($A208="","",IFERROR(ROUND(MAX(0,$B208*($D208-1)),2),0))</f>
        <v/>
      </c>
      <c r="H208" s="38">
        <f>IF($A208="","",IFERROR(ROUND($G208*INDEX(tblKurallar[deger_2025],MATCH("YDK-002",tblKurallar[kural_id],0)),2),0))</f>
        <v/>
      </c>
      <c r="I208" s="38">
        <f>IF($A208="","",IFERROR($G208-$G208*INDEX(tblKurallar[deger_2025],MATCH("YDK-004",tblKurallar[kural_id],0)),0))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8">
        <f>IF($A209="","",IFERROR(ROUND(MAX(0,$B209*($D209-1)),2),0))</f>
        <v/>
      </c>
      <c r="H209" s="38">
        <f>IF($A209="","",IFERROR(ROUND($G209*INDEX(tblKurallar[deger_2025],MATCH("YDK-002",tblKurallar[kural_id],0)),2),0))</f>
        <v/>
      </c>
      <c r="I209" s="38">
        <f>IF($A209="","",IFERROR($G209-$G209*INDEX(tblKurallar[deger_2025],MATCH("YDK-004",tblKurallar[kural_id],0)),0))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8">
        <f>IF($A210="","",IFERROR(ROUND(MAX(0,$B210*($D210-1)),2),0))</f>
        <v/>
      </c>
      <c r="H210" s="38">
        <f>IF($A210="","",IFERROR(ROUND($G210*INDEX(tblKurallar[deger_2025],MATCH("YDK-002",tblKurallar[kural_id],0)),2),0))</f>
        <v/>
      </c>
      <c r="I210" s="38">
        <f>IF($A210="","",IFERROR($G210-$G210*INDEX(tblKurallar[deger_2025],MATCH("YDK-004",tblKurallar[kural_id],0)),0))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8">
        <f>IF($A211="","",IFERROR(ROUND(MAX(0,$B211*($D211-1)),2),0))</f>
        <v/>
      </c>
      <c r="H211" s="38">
        <f>IF($A211="","",IFERROR(ROUND($G211*INDEX(tblKurallar[deger_2025],MATCH("YDK-002",tblKurallar[kural_id],0)),2),0))</f>
        <v/>
      </c>
      <c r="I211" s="38">
        <f>IF($A211="","",IFERROR($G211-$G211*INDEX(tblKurallar[deger_2025],MATCH("YDK-004",tblKurallar[kural_id],0)),0))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8">
        <f>IF($A212="","",IFERROR(ROUND(MAX(0,$B212*($D212-1)),2),0))</f>
        <v/>
      </c>
      <c r="H212" s="38">
        <f>IF($A212="","",IFERROR(ROUND($G212*INDEX(tblKurallar[deger_2025],MATCH("YDK-002",tblKurallar[kural_id],0)),2),0))</f>
        <v/>
      </c>
      <c r="I212" s="38">
        <f>IF($A212="","",IFERROR($G212-$G212*INDEX(tblKurallar[deger_2025],MATCH("YDK-004",tblKurallar[kural_id],0)),0))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8">
        <f>IF($A213="","",IFERROR(ROUND(MAX(0,$B213*($D213-1)),2),0))</f>
        <v/>
      </c>
      <c r="H213" s="38">
        <f>IF($A213="","",IFERROR(ROUND($G213*INDEX(tblKurallar[deger_2025],MATCH("YDK-002",tblKurallar[kural_id],0)),2),0))</f>
        <v/>
      </c>
      <c r="I213" s="38">
        <f>IF($A213="","",IFERROR($G213-$G213*INDEX(tblKurallar[deger_2025],MATCH("YDK-004",tblKurallar[kural_id],0)),0))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8">
        <f>IF($A214="","",IFERROR(ROUND(MAX(0,$B214*($D214-1)),2),0))</f>
        <v/>
      </c>
      <c r="H214" s="38">
        <f>IF($A214="","",IFERROR(ROUND($G214*INDEX(tblKurallar[deger_2025],MATCH("YDK-002",tblKurallar[kural_id],0)),2),0))</f>
        <v/>
      </c>
      <c r="I214" s="38">
        <f>IF($A214="","",IFERROR($G214-$G214*INDEX(tblKurallar[deger_2025],MATCH("YDK-004",tblKurallar[kural_id],0)),0))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8">
        <f>IF($A215="","",IFERROR(ROUND(MAX(0,$B215*($D215-1)),2),0))</f>
        <v/>
      </c>
      <c r="H215" s="38">
        <f>IF($A215="","",IFERROR(ROUND($G215*INDEX(tblKurallar[deger_2025],MATCH("YDK-002",tblKurallar[kural_id],0)),2),0))</f>
        <v/>
      </c>
      <c r="I215" s="38">
        <f>IF($A215="","",IFERROR($G215-$G215*INDEX(tblKurallar[deger_2025],MATCH("YDK-004",tblKurallar[kural_id],0)),0))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8">
        <f>IF($A216="","",IFERROR(ROUND(MAX(0,$B216*($D216-1)),2),0))</f>
        <v/>
      </c>
      <c r="H216" s="38">
        <f>IF($A216="","",IFERROR(ROUND($G216*INDEX(tblKurallar[deger_2025],MATCH("YDK-002",tblKurallar[kural_id],0)),2),0))</f>
        <v/>
      </c>
      <c r="I216" s="38">
        <f>IF($A216="","",IFERROR($G216-$G216*INDEX(tblKurallar[deger_2025],MATCH("YDK-004",tblKurallar[kural_id],0)),0))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8">
        <f>IF($A217="","",IFERROR(ROUND(MAX(0,$B217*($D217-1)),2),0))</f>
        <v/>
      </c>
      <c r="H217" s="38">
        <f>IF($A217="","",IFERROR(ROUND($G217*INDEX(tblKurallar[deger_2025],MATCH("YDK-002",tblKurallar[kural_id],0)),2),0))</f>
        <v/>
      </c>
      <c r="I217" s="38">
        <f>IF($A217="","",IFERROR($G217-$G217*INDEX(tblKurallar[deger_2025],MATCH("YDK-004",tblKurallar[kural_id],0)),0))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8">
        <f>IF($A218="","",IFERROR(ROUND(MAX(0,$B218*($D218-1)),2),0))</f>
        <v/>
      </c>
      <c r="H218" s="38">
        <f>IF($A218="","",IFERROR(ROUND($G218*INDEX(tblKurallar[deger_2025],MATCH("YDK-002",tblKurallar[kural_id],0)),2),0))</f>
        <v/>
      </c>
      <c r="I218" s="38">
        <f>IF($A218="","",IFERROR($G218-$G218*INDEX(tblKurallar[deger_2025],MATCH("YDK-004",tblKurallar[kural_id],0)),0))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8">
        <f>IF($A219="","",IFERROR(ROUND(MAX(0,$B219*($D219-1)),2),0))</f>
        <v/>
      </c>
      <c r="H219" s="38">
        <f>IF($A219="","",IFERROR(ROUND($G219*INDEX(tblKurallar[deger_2025],MATCH("YDK-002",tblKurallar[kural_id],0)),2),0))</f>
        <v/>
      </c>
      <c r="I219" s="38">
        <f>IF($A219="","",IFERROR($G219-$G219*INDEX(tblKurallar[deger_2025],MATCH("YDK-004",tblKurallar[kural_id],0)),0))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8">
        <f>IF($A220="","",IFERROR(ROUND(MAX(0,$B220*($D220-1)),2),0))</f>
        <v/>
      </c>
      <c r="H220" s="38">
        <f>IF($A220="","",IFERROR(ROUND($G220*INDEX(tblKurallar[deger_2025],MATCH("YDK-002",tblKurallar[kural_id],0)),2),0))</f>
        <v/>
      </c>
      <c r="I220" s="38">
        <f>IF($A220="","",IFERROR($G220-$G220*INDEX(tblKurallar[deger_2025],MATCH("YDK-004",tblKurallar[kural_id],0)),0))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8">
        <f>IF($A221="","",IFERROR(ROUND(MAX(0,$B221*($D221-1)),2),0))</f>
        <v/>
      </c>
      <c r="H221" s="38">
        <f>IF($A221="","",IFERROR(ROUND($G221*INDEX(tblKurallar[deger_2025],MATCH("YDK-002",tblKurallar[kural_id],0)),2),0))</f>
        <v/>
      </c>
      <c r="I221" s="38">
        <f>IF($A221="","",IFERROR($G221-$G221*INDEX(tblKurallar[deger_2025],MATCH("YDK-004",tblKurallar[kural_id],0)),0))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8">
        <f>IF($A222="","",IFERROR(ROUND(MAX(0,$B222*($D222-1)),2),0))</f>
        <v/>
      </c>
      <c r="H222" s="38">
        <f>IF($A222="","",IFERROR(ROUND($G222*INDEX(tblKurallar[deger_2025],MATCH("YDK-002",tblKurallar[kural_id],0)),2),0))</f>
        <v/>
      </c>
      <c r="I222" s="38">
        <f>IF($A222="","",IFERROR($G222-$G222*INDEX(tblKurallar[deger_2025],MATCH("YDK-004",tblKurallar[kural_id],0)),0))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8">
        <f>IF($A223="","",IFERROR(ROUND(MAX(0,$B223*($D223-1)),2),0))</f>
        <v/>
      </c>
      <c r="H223" s="38">
        <f>IF($A223="","",IFERROR(ROUND($G223*INDEX(tblKurallar[deger_2025],MATCH("YDK-002",tblKurallar[kural_id],0)),2),0))</f>
        <v/>
      </c>
      <c r="I223" s="38">
        <f>IF($A223="","",IFERROR($G223-$G223*INDEX(tblKurallar[deger_2025],MATCH("YDK-004",tblKurallar[kural_id],0)),0))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8">
        <f>IF($A224="","",IFERROR(ROUND(MAX(0,$B224*($D224-1)),2),0))</f>
        <v/>
      </c>
      <c r="H224" s="38">
        <f>IF($A224="","",IFERROR(ROUND($G224*INDEX(tblKurallar[deger_2025],MATCH("YDK-002",tblKurallar[kural_id],0)),2),0))</f>
        <v/>
      </c>
      <c r="I224" s="38">
        <f>IF($A224="","",IFERROR($G224-$G224*INDEX(tblKurallar[deger_2025],MATCH("YDK-004",tblKurallar[kural_id],0)),0))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8">
        <f>IF($A225="","",IFERROR(ROUND(MAX(0,$B225*($D225-1)),2),0))</f>
        <v/>
      </c>
      <c r="H225" s="38">
        <f>IF($A225="","",IFERROR(ROUND($G225*INDEX(tblKurallar[deger_2025],MATCH("YDK-002",tblKurallar[kural_id],0)),2),0))</f>
        <v/>
      </c>
      <c r="I225" s="38">
        <f>IF($A225="","",IFERROR($G225-$G225*INDEX(tblKurallar[deger_2025],MATCH("YDK-004",tblKurallar[kural_id],0)),0))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8">
        <f>IF($A226="","",IFERROR(ROUND(MAX(0,$B226*($D226-1)),2),0))</f>
        <v/>
      </c>
      <c r="H226" s="38">
        <f>IF($A226="","",IFERROR(ROUND($G226*INDEX(tblKurallar[deger_2025],MATCH("YDK-002",tblKurallar[kural_id],0)),2),0))</f>
        <v/>
      </c>
      <c r="I226" s="38">
        <f>IF($A226="","",IFERROR($G226-$G226*INDEX(tblKurallar[deger_2025],MATCH("YDK-004",tblKurallar[kural_id],0)),0))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8">
        <f>IF($A227="","",IFERROR(ROUND(MAX(0,$B227*($D227-1)),2),0))</f>
        <v/>
      </c>
      <c r="H227" s="38">
        <f>IF($A227="","",IFERROR(ROUND($G227*INDEX(tblKurallar[deger_2025],MATCH("YDK-002",tblKurallar[kural_id],0)),2),0))</f>
        <v/>
      </c>
      <c r="I227" s="38">
        <f>IF($A227="","",IFERROR($G227-$G227*INDEX(tblKurallar[deger_2025],MATCH("YDK-004",tblKurallar[kural_id],0)),0))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8">
        <f>IF($A228="","",IFERROR(ROUND(MAX(0,$B228*($D228-1)),2),0))</f>
        <v/>
      </c>
      <c r="H228" s="38">
        <f>IF($A228="","",IFERROR(ROUND($G228*INDEX(tblKurallar[deger_2025],MATCH("YDK-002",tblKurallar[kural_id],0)),2),0))</f>
        <v/>
      </c>
      <c r="I228" s="38">
        <f>IF($A228="","",IFERROR($G228-$G228*INDEX(tblKurallar[deger_2025],MATCH("YDK-004",tblKurallar[kural_id],0)),0))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8">
        <f>IF($A229="","",IFERROR(ROUND(MAX(0,$B229*($D229-1)),2),0))</f>
        <v/>
      </c>
      <c r="H229" s="38">
        <f>IF($A229="","",IFERROR(ROUND($G229*INDEX(tblKurallar[deger_2025],MATCH("YDK-002",tblKurallar[kural_id],0)),2),0))</f>
        <v/>
      </c>
      <c r="I229" s="38">
        <f>IF($A229="","",IFERROR($G229-$G229*INDEX(tblKurallar[deger_2025],MATCH("YDK-004",tblKurallar[kural_id],0)),0))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8">
        <f>IF($A230="","",IFERROR(ROUND(MAX(0,$B230*($D230-1)),2),0))</f>
        <v/>
      </c>
      <c r="H230" s="38">
        <f>IF($A230="","",IFERROR(ROUND($G230*INDEX(tblKurallar[deger_2025],MATCH("YDK-002",tblKurallar[kural_id],0)),2),0))</f>
        <v/>
      </c>
      <c r="I230" s="38">
        <f>IF($A230="","",IFERROR($G230-$G230*INDEX(tblKurallar[deger_2025],MATCH("YDK-004",tblKurallar[kural_id],0)),0))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8">
        <f>IF($A231="","",IFERROR(ROUND(MAX(0,$B231*($D231-1)),2),0))</f>
        <v/>
      </c>
      <c r="H231" s="38">
        <f>IF($A231="","",IFERROR(ROUND($G231*INDEX(tblKurallar[deger_2025],MATCH("YDK-002",tblKurallar[kural_id],0)),2),0))</f>
        <v/>
      </c>
      <c r="I231" s="38">
        <f>IF($A231="","",IFERROR($G231-$G231*INDEX(tblKurallar[deger_2025],MATCH("YDK-004",tblKurallar[kural_id],0)),0))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8">
        <f>IF($A232="","",IFERROR(ROUND(MAX(0,$B232*($D232-1)),2),0))</f>
        <v/>
      </c>
      <c r="H232" s="38">
        <f>IF($A232="","",IFERROR(ROUND($G232*INDEX(tblKurallar[deger_2025],MATCH("YDK-002",tblKurallar[kural_id],0)),2),0))</f>
        <v/>
      </c>
      <c r="I232" s="38">
        <f>IF($A232="","",IFERROR($G232-$G232*INDEX(tblKurallar[deger_2025],MATCH("YDK-004",tblKurallar[kural_id],0)),0))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8">
        <f>IF($A233="","",IFERROR(ROUND(MAX(0,$B233*($D233-1)),2),0))</f>
        <v/>
      </c>
      <c r="H233" s="38">
        <f>IF($A233="","",IFERROR(ROUND($G233*INDEX(tblKurallar[deger_2025],MATCH("YDK-002",tblKurallar[kural_id],0)),2),0))</f>
        <v/>
      </c>
      <c r="I233" s="38">
        <f>IF($A233="","",IFERROR($G233-$G233*INDEX(tblKurallar[deger_2025],MATCH("YDK-004",tblKurallar[kural_id],0)),0))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8">
        <f>IF($A234="","",IFERROR(ROUND(MAX(0,$B234*($D234-1)),2),0))</f>
        <v/>
      </c>
      <c r="H234" s="38">
        <f>IF($A234="","",IFERROR(ROUND($G234*INDEX(tblKurallar[deger_2025],MATCH("YDK-002",tblKurallar[kural_id],0)),2),0))</f>
        <v/>
      </c>
      <c r="I234" s="38">
        <f>IF($A234="","",IFERROR($G234-$G234*INDEX(tblKurallar[deger_2025],MATCH("YDK-004",tblKurallar[kural_id],0)),0))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8">
        <f>IF($A235="","",IFERROR(ROUND(MAX(0,$B235*($D235-1)),2),0))</f>
        <v/>
      </c>
      <c r="H235" s="38">
        <f>IF($A235="","",IFERROR(ROUND($G235*INDEX(tblKurallar[deger_2025],MATCH("YDK-002",tblKurallar[kural_id],0)),2),0))</f>
        <v/>
      </c>
      <c r="I235" s="38">
        <f>IF($A235="","",IFERROR($G235-$G235*INDEX(tblKurallar[deger_2025],MATCH("YDK-004",tblKurallar[kural_id],0)),0))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8">
        <f>IF($A236="","",IFERROR(ROUND(MAX(0,$B236*($D236-1)),2),0))</f>
        <v/>
      </c>
      <c r="H236" s="38">
        <f>IF($A236="","",IFERROR(ROUND($G236*INDEX(tblKurallar[deger_2025],MATCH("YDK-002",tblKurallar[kural_id],0)),2),0))</f>
        <v/>
      </c>
      <c r="I236" s="38">
        <f>IF($A236="","",IFERROR($G236-$G236*INDEX(tblKurallar[deger_2025],MATCH("YDK-004",tblKurallar[kural_id],0)),0))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8">
        <f>IF($A237="","",IFERROR(ROUND(MAX(0,$B237*($D237-1)),2),0))</f>
        <v/>
      </c>
      <c r="H237" s="38">
        <f>IF($A237="","",IFERROR(ROUND($G237*INDEX(tblKurallar[deger_2025],MATCH("YDK-002",tblKurallar[kural_id],0)),2),0))</f>
        <v/>
      </c>
      <c r="I237" s="38">
        <f>IF($A237="","",IFERROR($G237-$G237*INDEX(tblKurallar[deger_2025],MATCH("YDK-004",tblKurallar[kural_id],0)),0))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8">
        <f>IF($A238="","",IFERROR(ROUND(MAX(0,$B238*($D238-1)),2),0))</f>
        <v/>
      </c>
      <c r="H238" s="38">
        <f>IF($A238="","",IFERROR(ROUND($G238*INDEX(tblKurallar[deger_2025],MATCH("YDK-002",tblKurallar[kural_id],0)),2),0))</f>
        <v/>
      </c>
      <c r="I238" s="38">
        <f>IF($A238="","",IFERROR($G238-$G238*INDEX(tblKurallar[deger_2025],MATCH("YDK-004",tblKurallar[kural_id],0)),0))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8">
        <f>IF($A239="","",IFERROR(ROUND(MAX(0,$B239*($D239-1)),2),0))</f>
        <v/>
      </c>
      <c r="H239" s="38">
        <f>IF($A239="","",IFERROR(ROUND($G239*INDEX(tblKurallar[deger_2025],MATCH("YDK-002",tblKurallar[kural_id],0)),2),0))</f>
        <v/>
      </c>
      <c r="I239" s="38">
        <f>IF($A239="","",IFERROR($G239-$G239*INDEX(tblKurallar[deger_2025],MATCH("YDK-004",tblKurallar[kural_id],0)),0))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8">
        <f>IF($A240="","",IFERROR(ROUND(MAX(0,$B240*($D240-1)),2),0))</f>
        <v/>
      </c>
      <c r="H240" s="38">
        <f>IF($A240="","",IFERROR(ROUND($G240*INDEX(tblKurallar[deger_2025],MATCH("YDK-002",tblKurallar[kural_id],0)),2),0))</f>
        <v/>
      </c>
      <c r="I240" s="38">
        <f>IF($A240="","",IFERROR($G240-$G240*INDEX(tblKurallar[deger_2025],MATCH("YDK-004",tblKurallar[kural_id],0)),0))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8">
        <f>IF($A241="","",IFERROR(ROUND(MAX(0,$B241*($D241-1)),2),0))</f>
        <v/>
      </c>
      <c r="H241" s="38">
        <f>IF($A241="","",IFERROR(ROUND($G241*INDEX(tblKurallar[deger_2025],MATCH("YDK-002",tblKurallar[kural_id],0)),2),0))</f>
        <v/>
      </c>
      <c r="I241" s="38">
        <f>IF($A241="","",IFERROR($G241-$G241*INDEX(tblKurallar[deger_2025],MATCH("YDK-004",tblKurallar[kural_id],0)),0))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8">
        <f>IF($A242="","",IFERROR(ROUND(MAX(0,$B242*($D242-1)),2),0))</f>
        <v/>
      </c>
      <c r="H242" s="38">
        <f>IF($A242="","",IFERROR(ROUND($G242*INDEX(tblKurallar[deger_2025],MATCH("YDK-002",tblKurallar[kural_id],0)),2),0))</f>
        <v/>
      </c>
      <c r="I242" s="38">
        <f>IF($A242="","",IFERROR($G242-$G242*INDEX(tblKurallar[deger_2025],MATCH("YDK-004",tblKurallar[kural_id],0)),0))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8">
        <f>IF($A243="","",IFERROR(ROUND(MAX(0,$B243*($D243-1)),2),0))</f>
        <v/>
      </c>
      <c r="H243" s="38">
        <f>IF($A243="","",IFERROR(ROUND($G243*INDEX(tblKurallar[deger_2025],MATCH("YDK-002",tblKurallar[kural_id],0)),2),0))</f>
        <v/>
      </c>
      <c r="I243" s="38">
        <f>IF($A243="","",IFERROR($G243-$G243*INDEX(tblKurallar[deger_2025],MATCH("YDK-004",tblKurallar[kural_id],0)),0))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8">
        <f>IF($A244="","",IFERROR(ROUND(MAX(0,$B244*($D244-1)),2),0))</f>
        <v/>
      </c>
      <c r="H244" s="38">
        <f>IF($A244="","",IFERROR(ROUND($G244*INDEX(tblKurallar[deger_2025],MATCH("YDK-002",tblKurallar[kural_id],0)),2),0))</f>
        <v/>
      </c>
      <c r="I244" s="38">
        <f>IF($A244="","",IFERROR($G244-$G244*INDEX(tblKurallar[deger_2025],MATCH("YDK-004",tblKurallar[kural_id],0)),0))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8">
        <f>IF($A245="","",IFERROR(ROUND(MAX(0,$B245*($D245-1)),2),0))</f>
        <v/>
      </c>
      <c r="H245" s="38">
        <f>IF($A245="","",IFERROR(ROUND($G245*INDEX(tblKurallar[deger_2025],MATCH("YDK-002",tblKurallar[kural_id],0)),2),0))</f>
        <v/>
      </c>
      <c r="I245" s="38">
        <f>IF($A245="","",IFERROR($G245-$G245*INDEX(tblKurallar[deger_2025],MATCH("YDK-004",tblKurallar[kural_id],0)),0))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8">
        <f>IF($A246="","",IFERROR(ROUND(MAX(0,$B246*($D246-1)),2),0))</f>
        <v/>
      </c>
      <c r="H246" s="38">
        <f>IF($A246="","",IFERROR(ROUND($G246*INDEX(tblKurallar[deger_2025],MATCH("YDK-002",tblKurallar[kural_id],0)),2),0))</f>
        <v/>
      </c>
      <c r="I246" s="38">
        <f>IF($A246="","",IFERROR($G246-$G246*INDEX(tblKurallar[deger_2025],MATCH("YDK-004",tblKurallar[kural_id],0)),0))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8">
        <f>IF($A247="","",IFERROR(ROUND(MAX(0,$B247*($D247-1)),2),0))</f>
        <v/>
      </c>
      <c r="H247" s="38">
        <f>IF($A247="","",IFERROR(ROUND($G247*INDEX(tblKurallar[deger_2025],MATCH("YDK-002",tblKurallar[kural_id],0)),2),0))</f>
        <v/>
      </c>
      <c r="I247" s="38">
        <f>IF($A247="","",IFERROR($G247-$G247*INDEX(tblKurallar[deger_2025],MATCH("YDK-004",tblKurallar[kural_id],0)),0))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8">
        <f>IF($A248="","",IFERROR(ROUND(MAX(0,$B248*($D248-1)),2),0))</f>
        <v/>
      </c>
      <c r="H248" s="38">
        <f>IF($A248="","",IFERROR(ROUND($G248*INDEX(tblKurallar[deger_2025],MATCH("YDK-002",tblKurallar[kural_id],0)),2),0))</f>
        <v/>
      </c>
      <c r="I248" s="38">
        <f>IF($A248="","",IFERROR($G248-$G248*INDEX(tblKurallar[deger_2025],MATCH("YDK-004",tblKurallar[kural_id],0)),0))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8">
        <f>IF($A249="","",IFERROR(ROUND(MAX(0,$B249*($D249-1)),2),0))</f>
        <v/>
      </c>
      <c r="H249" s="38">
        <f>IF($A249="","",IFERROR(ROUND($G249*INDEX(tblKurallar[deger_2025],MATCH("YDK-002",tblKurallar[kural_id],0)),2),0))</f>
        <v/>
      </c>
      <c r="I249" s="38">
        <f>IF($A249="","",IFERROR($G249-$G249*INDEX(tblKurallar[deger_2025],MATCH("YDK-004",tblKurallar[kural_id],0)),0))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8">
        <f>IF($A250="","",IFERROR(ROUND(MAX(0,$B250*($D250-1)),2),0))</f>
        <v/>
      </c>
      <c r="H250" s="38">
        <f>IF($A250="","",IFERROR(ROUND($G250*INDEX(tblKurallar[deger_2025],MATCH("YDK-002",tblKurallar[kural_id],0)),2),0))</f>
        <v/>
      </c>
      <c r="I250" s="38">
        <f>IF($A250="","",IFERROR($G250-$G250*INDEX(tblKurallar[deger_2025],MATCH("YDK-004",tblKurallar[kural_id],0)),0))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8">
        <f>IF($A251="","",IFERROR(ROUND(MAX(0,$B251*($D251-1)),2),0))</f>
        <v/>
      </c>
      <c r="H251" s="38">
        <f>IF($A251="","",IFERROR(ROUND($G251*INDEX(tblKurallar[deger_2025],MATCH("YDK-002",tblKurallar[kural_id],0)),2),0))</f>
        <v/>
      </c>
      <c r="I251" s="38">
        <f>IF($A251="","",IFERROR($G251-$G251*INDEX(tblKurallar[deger_2025],MATCH("YDK-004",tblKurallar[kural_id],0)),0))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8">
        <f>IF($A252="","",IFERROR(ROUND(MAX(0,$B252*($D252-1)),2),0))</f>
        <v/>
      </c>
      <c r="H252" s="38">
        <f>IF($A252="","",IFERROR(ROUND($G252*INDEX(tblKurallar[deger_2025],MATCH("YDK-002",tblKurallar[kural_id],0)),2),0))</f>
        <v/>
      </c>
      <c r="I252" s="38">
        <f>IF($A252="","",IFERROR($G252-$G252*INDEX(tblKurallar[deger_2025],MATCH("YDK-004",tblKurallar[kural_id],0)),0))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8">
        <f>IF($A253="","",IFERROR(ROUND(MAX(0,$B253*($D253-1)),2),0))</f>
        <v/>
      </c>
      <c r="H253" s="38">
        <f>IF($A253="","",IFERROR(ROUND($G253*INDEX(tblKurallar[deger_2025],MATCH("YDK-002",tblKurallar[kural_id],0)),2),0))</f>
        <v/>
      </c>
      <c r="I253" s="38">
        <f>IF($A253="","",IFERROR($G253-$G253*INDEX(tblKurallar[deger_2025],MATCH("YDK-004",tblKurallar[kural_id],0)),0))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8">
        <f>IF($A254="","",IFERROR(ROUND(MAX(0,$B254*($D254-1)),2),0))</f>
        <v/>
      </c>
      <c r="H254" s="38">
        <f>IF($A254="","",IFERROR(ROUND($G254*INDEX(tblKurallar[deger_2025],MATCH("YDK-002",tblKurallar[kural_id],0)),2),0))</f>
        <v/>
      </c>
      <c r="I254" s="38">
        <f>IF($A254="","",IFERROR($G254-$G254*INDEX(tblKurallar[deger_2025],MATCH("YDK-004",tblKurallar[kural_id],0)),0))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8">
        <f>IF($A255="","",IFERROR(ROUND(MAX(0,$B255*($D255-1)),2),0))</f>
        <v/>
      </c>
      <c r="H255" s="38">
        <f>IF($A255="","",IFERROR(ROUND($G255*INDEX(tblKurallar[deger_2025],MATCH("YDK-002",tblKurallar[kural_id],0)),2),0))</f>
        <v/>
      </c>
      <c r="I255" s="38">
        <f>IF($A255="","",IFERROR($G255-$G255*INDEX(tblKurallar[deger_2025],MATCH("YDK-004",tblKurallar[kural_id],0)),0))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8">
        <f>IF($A256="","",IFERROR(ROUND(MAX(0,$B256*($D256-1)),2),0))</f>
        <v/>
      </c>
      <c r="H256" s="38">
        <f>IF($A256="","",IFERROR(ROUND($G256*INDEX(tblKurallar[deger_2025],MATCH("YDK-002",tblKurallar[kural_id],0)),2),0))</f>
        <v/>
      </c>
      <c r="I256" s="38">
        <f>IF($A256="","",IFERROR($G256-$G256*INDEX(tblKurallar[deger_2025],MATCH("YDK-004",tblKurallar[kural_id],0)),0))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8">
        <f>IF($A257="","",IFERROR(ROUND(MAX(0,$B257*($D257-1)),2),0))</f>
        <v/>
      </c>
      <c r="H257" s="38">
        <f>IF($A257="","",IFERROR(ROUND($G257*INDEX(tblKurallar[deger_2025],MATCH("YDK-002",tblKurallar[kural_id],0)),2),0))</f>
        <v/>
      </c>
      <c r="I257" s="38">
        <f>IF($A257="","",IFERROR($G257-$G257*INDEX(tblKurallar[deger_2025],MATCH("YDK-004",tblKurallar[kural_id],0)),0))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8">
        <f>IF($A258="","",IFERROR(ROUND(MAX(0,$B258*($D258-1)),2),0))</f>
        <v/>
      </c>
      <c r="H258" s="38">
        <f>IF($A258="","",IFERROR(ROUND($G258*INDEX(tblKurallar[deger_2025],MATCH("YDK-002",tblKurallar[kural_id],0)),2),0))</f>
        <v/>
      </c>
      <c r="I258" s="38">
        <f>IF($A258="","",IFERROR($G258-$G258*INDEX(tblKurallar[deger_2025],MATCH("YDK-004",tblKurallar[kural_id],0)),0))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8">
        <f>IF($A259="","",IFERROR(ROUND(MAX(0,$B259*($D259-1)),2),0))</f>
        <v/>
      </c>
      <c r="H259" s="38">
        <f>IF($A259="","",IFERROR(ROUND($G259*INDEX(tblKurallar[deger_2025],MATCH("YDK-002",tblKurallar[kural_id],0)),2),0))</f>
        <v/>
      </c>
      <c r="I259" s="38">
        <f>IF($A259="","",IFERROR($G259-$G259*INDEX(tblKurallar[deger_2025],MATCH("YDK-004",tblKurallar[kural_id],0)),0))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8">
        <f>IF($A260="","",IFERROR(ROUND(MAX(0,$B260*($D260-1)),2),0))</f>
        <v/>
      </c>
      <c r="H260" s="38">
        <f>IF($A260="","",IFERROR(ROUND($G260*INDEX(tblKurallar[deger_2025],MATCH("YDK-002",tblKurallar[kural_id],0)),2),0))</f>
        <v/>
      </c>
      <c r="I260" s="38">
        <f>IF($A260="","",IFERROR($G260-$G260*INDEX(tblKurallar[deger_2025],MATCH("YDK-004",tblKurallar[kural_id],0)),0))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8">
        <f>IF($A261="","",IFERROR(ROUND(MAX(0,$B261*($D261-1)),2),0))</f>
        <v/>
      </c>
      <c r="H261" s="38">
        <f>IF($A261="","",IFERROR(ROUND($G261*INDEX(tblKurallar[deger_2025],MATCH("YDK-002",tblKurallar[kural_id],0)),2),0))</f>
        <v/>
      </c>
      <c r="I261" s="38">
        <f>IF($A261="","",IFERROR($G261-$G261*INDEX(tblKurallar[deger_2025],MATCH("YDK-004",tblKurallar[kural_id],0)),0))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8">
        <f>IF($A262="","",IFERROR(ROUND(MAX(0,$B262*($D262-1)),2),0))</f>
        <v/>
      </c>
      <c r="H262" s="38">
        <f>IF($A262="","",IFERROR(ROUND($G262*INDEX(tblKurallar[deger_2025],MATCH("YDK-002",tblKurallar[kural_id],0)),2),0))</f>
        <v/>
      </c>
      <c r="I262" s="38">
        <f>IF($A262="","",IFERROR($G262-$G262*INDEX(tblKurallar[deger_2025],MATCH("YDK-004",tblKurallar[kural_id],0)),0))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8">
        <f>IF($A263="","",IFERROR(ROUND(MAX(0,$B263*($D263-1)),2),0))</f>
        <v/>
      </c>
      <c r="H263" s="38">
        <f>IF($A263="","",IFERROR(ROUND($G263*INDEX(tblKurallar[deger_2025],MATCH("YDK-002",tblKurallar[kural_id],0)),2),0))</f>
        <v/>
      </c>
      <c r="I263" s="38">
        <f>IF($A263="","",IFERROR($G263-$G263*INDEX(tblKurallar[deger_2025],MATCH("YDK-004",tblKurallar[kural_id],0)),0))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8">
        <f>IF($A264="","",IFERROR(ROUND(MAX(0,$B264*($D264-1)),2),0))</f>
        <v/>
      </c>
      <c r="H264" s="38">
        <f>IF($A264="","",IFERROR(ROUND($G264*INDEX(tblKurallar[deger_2025],MATCH("YDK-002",tblKurallar[kural_id],0)),2),0))</f>
        <v/>
      </c>
      <c r="I264" s="38">
        <f>IF($A264="","",IFERROR($G264-$G264*INDEX(tblKurallar[deger_2025],MATCH("YDK-004",tblKurallar[kural_id],0)),0))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8">
        <f>IF($A265="","",IFERROR(ROUND(MAX(0,$B265*($D265-1)),2),0))</f>
        <v/>
      </c>
      <c r="H265" s="38">
        <f>IF($A265="","",IFERROR(ROUND($G265*INDEX(tblKurallar[deger_2025],MATCH("YDK-002",tblKurallar[kural_id],0)),2),0))</f>
        <v/>
      </c>
      <c r="I265" s="38">
        <f>IF($A265="","",IFERROR($G265-$G265*INDEX(tblKurallar[deger_2025],MATCH("YDK-004",tblKurallar[kural_id],0)),0))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8">
        <f>IF($A266="","",IFERROR(ROUND(MAX(0,$B266*($D266-1)),2),0))</f>
        <v/>
      </c>
      <c r="H266" s="38">
        <f>IF($A266="","",IFERROR(ROUND($G266*INDEX(tblKurallar[deger_2025],MATCH("YDK-002",tblKurallar[kural_id],0)),2),0))</f>
        <v/>
      </c>
      <c r="I266" s="38">
        <f>IF($A266="","",IFERROR($G266-$G266*INDEX(tblKurallar[deger_2025],MATCH("YDK-004",tblKurallar[kural_id],0)),0))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8">
        <f>IF($A267="","",IFERROR(ROUND(MAX(0,$B267*($D267-1)),2),0))</f>
        <v/>
      </c>
      <c r="H267" s="38">
        <f>IF($A267="","",IFERROR(ROUND($G267*INDEX(tblKurallar[deger_2025],MATCH("YDK-002",tblKurallar[kural_id],0)),2),0))</f>
        <v/>
      </c>
      <c r="I267" s="38">
        <f>IF($A267="","",IFERROR($G267-$G267*INDEX(tblKurallar[deger_2025],MATCH("YDK-004",tblKurallar[kural_id],0)),0))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8">
        <f>IF($A268="","",IFERROR(ROUND(MAX(0,$B268*($D268-1)),2),0))</f>
        <v/>
      </c>
      <c r="H268" s="38">
        <f>IF($A268="","",IFERROR(ROUND($G268*INDEX(tblKurallar[deger_2025],MATCH("YDK-002",tblKurallar[kural_id],0)),2),0))</f>
        <v/>
      </c>
      <c r="I268" s="38">
        <f>IF($A268="","",IFERROR($G268-$G268*INDEX(tblKurallar[deger_2025],MATCH("YDK-004",tblKurallar[kural_id],0)),0))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8">
        <f>IF($A269="","",IFERROR(ROUND(MAX(0,$B269*($D269-1)),2),0))</f>
        <v/>
      </c>
      <c r="H269" s="38">
        <f>IF($A269="","",IFERROR(ROUND($G269*INDEX(tblKurallar[deger_2025],MATCH("YDK-002",tblKurallar[kural_id],0)),2),0))</f>
        <v/>
      </c>
      <c r="I269" s="38">
        <f>IF($A269="","",IFERROR($G269-$G269*INDEX(tblKurallar[deger_2025],MATCH("YDK-004",tblKurallar[kural_id],0)),0))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8">
        <f>IF($A270="","",IFERROR(ROUND(MAX(0,$B270*($D270-1)),2),0))</f>
        <v/>
      </c>
      <c r="H270" s="38">
        <f>IF($A270="","",IFERROR(ROUND($G270*INDEX(tblKurallar[deger_2025],MATCH("YDK-002",tblKurallar[kural_id],0)),2),0))</f>
        <v/>
      </c>
      <c r="I270" s="38">
        <f>IF($A270="","",IFERROR($G270-$G270*INDEX(tblKurallar[deger_2025],MATCH("YDK-004",tblKurallar[kural_id],0)),0))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8">
        <f>IF($A271="","",IFERROR(ROUND(MAX(0,$B271*($D271-1)),2),0))</f>
        <v/>
      </c>
      <c r="H271" s="38">
        <f>IF($A271="","",IFERROR(ROUND($G271*INDEX(tblKurallar[deger_2025],MATCH("YDK-002",tblKurallar[kural_id],0)),2),0))</f>
        <v/>
      </c>
      <c r="I271" s="38">
        <f>IF($A271="","",IFERROR($G271-$G271*INDEX(tblKurallar[deger_2025],MATCH("YDK-004",tblKurallar[kural_id],0)),0))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8">
        <f>IF($A272="","",IFERROR(ROUND(MAX(0,$B272*($D272-1)),2),0))</f>
        <v/>
      </c>
      <c r="H272" s="38">
        <f>IF($A272="","",IFERROR(ROUND($G272*INDEX(tblKurallar[deger_2025],MATCH("YDK-002",tblKurallar[kural_id],0)),2),0))</f>
        <v/>
      </c>
      <c r="I272" s="38">
        <f>IF($A272="","",IFERROR($G272-$G272*INDEX(tblKurallar[deger_2025],MATCH("YDK-004",tblKurallar[kural_id],0)),0))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8">
        <f>IF($A273="","",IFERROR(ROUND(MAX(0,$B273*($D273-1)),2),0))</f>
        <v/>
      </c>
      <c r="H273" s="38">
        <f>IF($A273="","",IFERROR(ROUND($G273*INDEX(tblKurallar[deger_2025],MATCH("YDK-002",tblKurallar[kural_id],0)),2),0))</f>
        <v/>
      </c>
      <c r="I273" s="38">
        <f>IF($A273="","",IFERROR($G273-$G273*INDEX(tblKurallar[deger_2025],MATCH("YDK-004",tblKurallar[kural_id],0)),0))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8">
        <f>IF($A274="","",IFERROR(ROUND(MAX(0,$B274*($D274-1)),2),0))</f>
        <v/>
      </c>
      <c r="H274" s="38">
        <f>IF($A274="","",IFERROR(ROUND($G274*INDEX(tblKurallar[deger_2025],MATCH("YDK-002",tblKurallar[kural_id],0)),2),0))</f>
        <v/>
      </c>
      <c r="I274" s="38">
        <f>IF($A274="","",IFERROR($G274-$G274*INDEX(tblKurallar[deger_2025],MATCH("YDK-004",tblKurallar[kural_id],0)),0))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8">
        <f>IF($A275="","",IFERROR(ROUND(MAX(0,$B275*($D275-1)),2),0))</f>
        <v/>
      </c>
      <c r="H275" s="38">
        <f>IF($A275="","",IFERROR(ROUND($G275*INDEX(tblKurallar[deger_2025],MATCH("YDK-002",tblKurallar[kural_id],0)),2),0))</f>
        <v/>
      </c>
      <c r="I275" s="38">
        <f>IF($A275="","",IFERROR($G275-$G275*INDEX(tblKurallar[deger_2025],MATCH("YDK-004",tblKurallar[kural_id],0)),0))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8">
        <f>IF($A276="","",IFERROR(ROUND(MAX(0,$B276*($D276-1)),2),0))</f>
        <v/>
      </c>
      <c r="H276" s="38">
        <f>IF($A276="","",IFERROR(ROUND($G276*INDEX(tblKurallar[deger_2025],MATCH("YDK-002",tblKurallar[kural_id],0)),2),0))</f>
        <v/>
      </c>
      <c r="I276" s="38">
        <f>IF($A276="","",IFERROR($G276-$G276*INDEX(tblKurallar[deger_2025],MATCH("YDK-004",tblKurallar[kural_id],0)),0))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8">
        <f>IF($A277="","",IFERROR(ROUND(MAX(0,$B277*($D277-1)),2),0))</f>
        <v/>
      </c>
      <c r="H277" s="38">
        <f>IF($A277="","",IFERROR(ROUND($G277*INDEX(tblKurallar[deger_2025],MATCH("YDK-002",tblKurallar[kural_id],0)),2),0))</f>
        <v/>
      </c>
      <c r="I277" s="38">
        <f>IF($A277="","",IFERROR($G277-$G277*INDEX(tblKurallar[deger_2025],MATCH("YDK-004",tblKurallar[kural_id],0)),0))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8">
        <f>IF($A278="","",IFERROR(ROUND(MAX(0,$B278*($D278-1)),2),0))</f>
        <v/>
      </c>
      <c r="H278" s="38">
        <f>IF($A278="","",IFERROR(ROUND($G278*INDEX(tblKurallar[deger_2025],MATCH("YDK-002",tblKurallar[kural_id],0)),2),0))</f>
        <v/>
      </c>
      <c r="I278" s="38">
        <f>IF($A278="","",IFERROR($G278-$G278*INDEX(tblKurallar[deger_2025],MATCH("YDK-004",tblKurallar[kural_id],0)),0))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8">
        <f>IF($A279="","",IFERROR(ROUND(MAX(0,$B279*($D279-1)),2),0))</f>
        <v/>
      </c>
      <c r="H279" s="38">
        <f>IF($A279="","",IFERROR(ROUND($G279*INDEX(tblKurallar[deger_2025],MATCH("YDK-002",tblKurallar[kural_id],0)),2),0))</f>
        <v/>
      </c>
      <c r="I279" s="38">
        <f>IF($A279="","",IFERROR($G279-$G279*INDEX(tblKurallar[deger_2025],MATCH("YDK-004",tblKurallar[kural_id],0)),0))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8">
        <f>IF($A280="","",IFERROR(ROUND(MAX(0,$B280*($D280-1)),2),0))</f>
        <v/>
      </c>
      <c r="H280" s="38">
        <f>IF($A280="","",IFERROR(ROUND($G280*INDEX(tblKurallar[deger_2025],MATCH("YDK-002",tblKurallar[kural_id],0)),2),0))</f>
        <v/>
      </c>
      <c r="I280" s="38">
        <f>IF($A280="","",IFERROR($G280-$G280*INDEX(tblKurallar[deger_2025],MATCH("YDK-004",tblKurallar[kural_id],0)),0))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8">
        <f>IF($A281="","",IFERROR(ROUND(MAX(0,$B281*($D281-1)),2),0))</f>
        <v/>
      </c>
      <c r="H281" s="38">
        <f>IF($A281="","",IFERROR(ROUND($G281*INDEX(tblKurallar[deger_2025],MATCH("YDK-002",tblKurallar[kural_id],0)),2),0))</f>
        <v/>
      </c>
      <c r="I281" s="38">
        <f>IF($A281="","",IFERROR($G281-$G281*INDEX(tblKurallar[deger_2025],MATCH("YDK-004",tblKurallar[kural_id],0)),0))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8">
        <f>IF($A282="","",IFERROR(ROUND(MAX(0,$B282*($D282-1)),2),0))</f>
        <v/>
      </c>
      <c r="H282" s="38">
        <f>IF($A282="","",IFERROR(ROUND($G282*INDEX(tblKurallar[deger_2025],MATCH("YDK-002",tblKurallar[kural_id],0)),2),0))</f>
        <v/>
      </c>
      <c r="I282" s="38">
        <f>IF($A282="","",IFERROR($G282-$G282*INDEX(tblKurallar[deger_2025],MATCH("YDK-004",tblKurallar[kural_id],0)),0))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8">
        <f>IF($A283="","",IFERROR(ROUND(MAX(0,$B283*($D283-1)),2),0))</f>
        <v/>
      </c>
      <c r="H283" s="38">
        <f>IF($A283="","",IFERROR(ROUND($G283*INDEX(tblKurallar[deger_2025],MATCH("YDK-002",tblKurallar[kural_id],0)),2),0))</f>
        <v/>
      </c>
      <c r="I283" s="38">
        <f>IF($A283="","",IFERROR($G283-$G283*INDEX(tblKurallar[deger_2025],MATCH("YDK-004",tblKurallar[kural_id],0)),0))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8">
        <f>IF($A284="","",IFERROR(ROUND(MAX(0,$B284*($D284-1)),2),0))</f>
        <v/>
      </c>
      <c r="H284" s="38">
        <f>IF($A284="","",IFERROR(ROUND($G284*INDEX(tblKurallar[deger_2025],MATCH("YDK-002",tblKurallar[kural_id],0)),2),0))</f>
        <v/>
      </c>
      <c r="I284" s="38">
        <f>IF($A284="","",IFERROR($G284-$G284*INDEX(tblKurallar[deger_2025],MATCH("YDK-004",tblKurallar[kural_id],0)),0))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8">
        <f>IF($A285="","",IFERROR(ROUND(MAX(0,$B285*($D285-1)),2),0))</f>
        <v/>
      </c>
      <c r="H285" s="38">
        <f>IF($A285="","",IFERROR(ROUND($G285*INDEX(tblKurallar[deger_2025],MATCH("YDK-002",tblKurallar[kural_id],0)),2),0))</f>
        <v/>
      </c>
      <c r="I285" s="38">
        <f>IF($A285="","",IFERROR($G285-$G285*INDEX(tblKurallar[deger_2025],MATCH("YDK-004",tblKurallar[kural_id],0)),0))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8">
        <f>IF($A286="","",IFERROR(ROUND(MAX(0,$B286*($D286-1)),2),0))</f>
        <v/>
      </c>
      <c r="H286" s="38">
        <f>IF($A286="","",IFERROR(ROUND($G286*INDEX(tblKurallar[deger_2025],MATCH("YDK-002",tblKurallar[kural_id],0)),2),0))</f>
        <v/>
      </c>
      <c r="I286" s="38">
        <f>IF($A286="","",IFERROR($G286-$G286*INDEX(tblKurallar[deger_2025],MATCH("YDK-004",tblKurallar[kural_id],0)),0))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8">
        <f>IF($A287="","",IFERROR(ROUND(MAX(0,$B287*($D287-1)),2),0))</f>
        <v/>
      </c>
      <c r="H287" s="38">
        <f>IF($A287="","",IFERROR(ROUND($G287*INDEX(tblKurallar[deger_2025],MATCH("YDK-002",tblKurallar[kural_id],0)),2),0))</f>
        <v/>
      </c>
      <c r="I287" s="38">
        <f>IF($A287="","",IFERROR($G287-$G287*INDEX(tblKurallar[deger_2025],MATCH("YDK-004",tblKurallar[kural_id],0)),0))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8">
        <f>IF($A288="","",IFERROR(ROUND(MAX(0,$B288*($D288-1)),2),0))</f>
        <v/>
      </c>
      <c r="H288" s="38">
        <f>IF($A288="","",IFERROR(ROUND($G288*INDEX(tblKurallar[deger_2025],MATCH("YDK-002",tblKurallar[kural_id],0)),2),0))</f>
        <v/>
      </c>
      <c r="I288" s="38">
        <f>IF($A288="","",IFERROR($G288-$G288*INDEX(tblKurallar[deger_2025],MATCH("YDK-004",tblKurallar[kural_id],0)),0))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8">
        <f>IF($A289="","",IFERROR(ROUND(MAX(0,$B289*($D289-1)),2),0))</f>
        <v/>
      </c>
      <c r="H289" s="38">
        <f>IF($A289="","",IFERROR(ROUND($G289*INDEX(tblKurallar[deger_2025],MATCH("YDK-002",tblKurallar[kural_id],0)),2),0))</f>
        <v/>
      </c>
      <c r="I289" s="38">
        <f>IF($A289="","",IFERROR($G289-$G289*INDEX(tblKurallar[deger_2025],MATCH("YDK-004",tblKurallar[kural_id],0)),0))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8">
        <f>IF($A290="","",IFERROR(ROUND(MAX(0,$B290*($D290-1)),2),0))</f>
        <v/>
      </c>
      <c r="H290" s="38">
        <f>IF($A290="","",IFERROR(ROUND($G290*INDEX(tblKurallar[deger_2025],MATCH("YDK-002",tblKurallar[kural_id],0)),2),0))</f>
        <v/>
      </c>
      <c r="I290" s="38">
        <f>IF($A290="","",IFERROR($G290-$G290*INDEX(tblKurallar[deger_2025],MATCH("YDK-004",tblKurallar[kural_id],0)),0))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8">
        <f>IF($A291="","",IFERROR(ROUND(MAX(0,$B291*($D291-1)),2),0))</f>
        <v/>
      </c>
      <c r="H291" s="38">
        <f>IF($A291="","",IFERROR(ROUND($G291*INDEX(tblKurallar[deger_2025],MATCH("YDK-002",tblKurallar[kural_id],0)),2),0))</f>
        <v/>
      </c>
      <c r="I291" s="38">
        <f>IF($A291="","",IFERROR($G291-$G291*INDEX(tblKurallar[deger_2025],MATCH("YDK-004",tblKurallar[kural_id],0)),0))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8">
        <f>IF($A292="","",IFERROR(ROUND(MAX(0,$B292*($D292-1)),2),0))</f>
        <v/>
      </c>
      <c r="H292" s="38">
        <f>IF($A292="","",IFERROR(ROUND($G292*INDEX(tblKurallar[deger_2025],MATCH("YDK-002",tblKurallar[kural_id],0)),2),0))</f>
        <v/>
      </c>
      <c r="I292" s="38">
        <f>IF($A292="","",IFERROR($G292-$G292*INDEX(tblKurallar[deger_2025],MATCH("YDK-004",tblKurallar[kural_id],0)),0))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8">
        <f>IF($A293="","",IFERROR(ROUND(MAX(0,$B293*($D293-1)),2),0))</f>
        <v/>
      </c>
      <c r="H293" s="38">
        <f>IF($A293="","",IFERROR(ROUND($G293*INDEX(tblKurallar[deger_2025],MATCH("YDK-002",tblKurallar[kural_id],0)),2),0))</f>
        <v/>
      </c>
      <c r="I293" s="38">
        <f>IF($A293="","",IFERROR($G293-$G293*INDEX(tblKurallar[deger_2025],MATCH("YDK-004",tblKurallar[kural_id],0)),0))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8">
        <f>IF($A294="","",IFERROR(ROUND(MAX(0,$B294*($D294-1)),2),0))</f>
        <v/>
      </c>
      <c r="H294" s="38">
        <f>IF($A294="","",IFERROR(ROUND($G294*INDEX(tblKurallar[deger_2025],MATCH("YDK-002",tblKurallar[kural_id],0)),2),0))</f>
        <v/>
      </c>
      <c r="I294" s="38">
        <f>IF($A294="","",IFERROR($G294-$G294*INDEX(tblKurallar[deger_2025],MATCH("YDK-004",tblKurallar[kural_id],0)),0))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8">
        <f>IF($A295="","",IFERROR(ROUND(MAX(0,$B295*($D295-1)),2),0))</f>
        <v/>
      </c>
      <c r="H295" s="38">
        <f>IF($A295="","",IFERROR(ROUND($G295*INDEX(tblKurallar[deger_2025],MATCH("YDK-002",tblKurallar[kural_id],0)),2),0))</f>
        <v/>
      </c>
      <c r="I295" s="38">
        <f>IF($A295="","",IFERROR($G295-$G295*INDEX(tblKurallar[deger_2025],MATCH("YDK-004",tblKurallar[kural_id],0)),0))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8">
        <f>IF($A296="","",IFERROR(ROUND(MAX(0,$B296*($D296-1)),2),0))</f>
        <v/>
      </c>
      <c r="H296" s="38">
        <f>IF($A296="","",IFERROR(ROUND($G296*INDEX(tblKurallar[deger_2025],MATCH("YDK-002",tblKurallar[kural_id],0)),2),0))</f>
        <v/>
      </c>
      <c r="I296" s="38">
        <f>IF($A296="","",IFERROR($G296-$G296*INDEX(tblKurallar[deger_2025],MATCH("YDK-004",tblKurallar[kural_id],0)),0))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8">
        <f>IF($A297="","",IFERROR(ROUND(MAX(0,$B297*($D297-1)),2),0))</f>
        <v/>
      </c>
      <c r="H297" s="38">
        <f>IF($A297="","",IFERROR(ROUND($G297*INDEX(tblKurallar[deger_2025],MATCH("YDK-002",tblKurallar[kural_id],0)),2),0))</f>
        <v/>
      </c>
      <c r="I297" s="38">
        <f>IF($A297="","",IFERROR($G297-$G297*INDEX(tblKurallar[deger_2025],MATCH("YDK-004",tblKurallar[kural_id],0)),0))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8">
        <f>IF($A298="","",IFERROR(ROUND(MAX(0,$B298*($D298-1)),2),0))</f>
        <v/>
      </c>
      <c r="H298" s="38">
        <f>IF($A298="","",IFERROR(ROUND($G298*INDEX(tblKurallar[deger_2025],MATCH("YDK-002",tblKurallar[kural_id],0)),2),0))</f>
        <v/>
      </c>
      <c r="I298" s="38">
        <f>IF($A298="","",IFERROR($G298-$G298*INDEX(tblKurallar[deger_2025],MATCH("YDK-004",tblKurallar[kural_id],0)),0))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8">
        <f>IF($A299="","",IFERROR(ROUND(MAX(0,$B299*($D299-1)),2),0))</f>
        <v/>
      </c>
      <c r="H299" s="38">
        <f>IF($A299="","",IFERROR(ROUND($G299*INDEX(tblKurallar[deger_2025],MATCH("YDK-002",tblKurallar[kural_id],0)),2),0))</f>
        <v/>
      </c>
      <c r="I299" s="38">
        <f>IF($A299="","",IFERROR($G299-$G299*INDEX(tblKurallar[deger_2025],MATCH("YDK-004",tblKurallar[kural_id],0)),0))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8">
        <f>IF($A300="","",IFERROR(ROUND(MAX(0,$B300*($D300-1)),2),0))</f>
        <v/>
      </c>
      <c r="H300" s="38">
        <f>IF($A300="","",IFERROR(ROUND($G300*INDEX(tblKurallar[deger_2025],MATCH("YDK-002",tblKurallar[kural_id],0)),2),0))</f>
        <v/>
      </c>
      <c r="I300" s="38">
        <f>IF($A300="","",IFERROR($G300-$G300*INDEX(tblKurallar[deger_2025],MATCH("YDK-004",tblKurallar[kural_id],0)),0))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8">
        <f>IF($A301="","",IFERROR(ROUND(MAX(0,$B301*($D301-1)),2),0))</f>
        <v/>
      </c>
      <c r="H301" s="38">
        <f>IF($A301="","",IFERROR(ROUND($G301*INDEX(tblKurallar[deger_2025],MATCH("YDK-002",tblKurallar[kural_id],0)),2),0))</f>
        <v/>
      </c>
      <c r="I301" s="38">
        <f>IF($A301="","",IFERROR($G301-$G301*INDEX(tblKurallar[deger_2025],MATCH("YDK-004",tblKurallar[kural_id],0)),0))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8">
        <f>IF($A302="","",IFERROR(ROUND(MAX(0,$B302*($D302-1)),2),0))</f>
        <v/>
      </c>
      <c r="H302" s="38">
        <f>IF($A302="","",IFERROR(ROUND($G302*INDEX(tblKurallar[deger_2025],MATCH("YDK-002",tblKurallar[kural_id],0)),2),0))</f>
        <v/>
      </c>
      <c r="I302" s="38">
        <f>IF($A302="","",IFERROR($G302-$G302*INDEX(tblKurallar[deger_2025],MATCH("YDK-004",tblKurallar[kural_id],0)),0))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8">
        <f>IF($A303="","",IFERROR(ROUND(MAX(0,$B303*($D303-1)),2),0))</f>
        <v/>
      </c>
      <c r="H303" s="38">
        <f>IF($A303="","",IFERROR(ROUND($G303*INDEX(tblKurallar[deger_2025],MATCH("YDK-002",tblKurallar[kural_id],0)),2),0))</f>
        <v/>
      </c>
      <c r="I303" s="38">
        <f>IF($A303="","",IFERROR($G303-$G303*INDEX(tblKurallar[deger_2025],MATCH("YDK-004",tblKurallar[kural_id],0)),0))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8">
        <f>IF($A304="","",IFERROR(ROUND(MAX(0,$B304*($D304-1)),2),0))</f>
        <v/>
      </c>
      <c r="H304" s="38">
        <f>IF($A304="","",IFERROR(ROUND($G304*INDEX(tblKurallar[deger_2025],MATCH("YDK-002",tblKurallar[kural_id],0)),2),0))</f>
        <v/>
      </c>
      <c r="I304" s="38">
        <f>IF($A304="","",IFERROR($G304-$G304*INDEX(tblKurallar[deger_2025],MATCH("YDK-004",tblKurallar[kural_id],0)),0))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8">
        <f>IF($A305="","",IFERROR(ROUND(MAX(0,$B305*($D305-1)),2),0))</f>
        <v/>
      </c>
      <c r="H305" s="38">
        <f>IF($A305="","",IFERROR(ROUND($G305*INDEX(tblKurallar[deger_2025],MATCH("YDK-002",tblKurallar[kural_id],0)),2),0))</f>
        <v/>
      </c>
      <c r="I305" s="38">
        <f>IF($A305="","",IFERROR($G305-$G305*INDEX(tblKurallar[deger_2025],MATCH("YDK-004",tblKurallar[kural_id],0)),0))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8">
        <f>IF($A306="","",IFERROR(ROUND(MAX(0,$B306*($D306-1)),2),0))</f>
        <v/>
      </c>
      <c r="H306" s="38">
        <f>IF($A306="","",IFERROR(ROUND($G306*INDEX(tblKurallar[deger_2025],MATCH("YDK-002",tblKurallar[kural_id],0)),2),0))</f>
        <v/>
      </c>
      <c r="I306" s="38">
        <f>IF($A306="","",IFERROR($G306-$G306*INDEX(tblKurallar[deger_2025],MATCH("YDK-004",tblKurallar[kural_id],0)),0))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8">
        <f>IF($A307="","",IFERROR(ROUND(MAX(0,$B307*($D307-1)),2),0))</f>
        <v/>
      </c>
      <c r="H307" s="38">
        <f>IF($A307="","",IFERROR(ROUND($G307*INDEX(tblKurallar[deger_2025],MATCH("YDK-002",tblKurallar[kural_id],0)),2),0))</f>
        <v/>
      </c>
      <c r="I307" s="38">
        <f>IF($A307="","",IFERROR($G307-$G307*INDEX(tblKurallar[deger_2025],MATCH("YDK-004",tblKurallar[kural_id],0)),0))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8">
        <f>IF($A308="","",IFERROR(ROUND(MAX(0,$B308*($D308-1)),2),0))</f>
        <v/>
      </c>
      <c r="H308" s="38">
        <f>IF($A308="","",IFERROR(ROUND($G308*INDEX(tblKurallar[deger_2025],MATCH("YDK-002",tblKurallar[kural_id],0)),2),0))</f>
        <v/>
      </c>
      <c r="I308" s="38">
        <f>IF($A308="","",IFERROR($G308-$G308*INDEX(tblKurallar[deger_2025],MATCH("YDK-004",tblKurallar[kural_id],0)),0))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8">
        <f>IF($A309="","",IFERROR(ROUND(MAX(0,$B309*($D309-1)),2),0))</f>
        <v/>
      </c>
      <c r="H309" s="38">
        <f>IF($A309="","",IFERROR(ROUND($G309*INDEX(tblKurallar[deger_2025],MATCH("YDK-002",tblKurallar[kural_id],0)),2),0))</f>
        <v/>
      </c>
      <c r="I309" s="38">
        <f>IF($A309="","",IFERROR($G309-$G309*INDEX(tblKurallar[deger_2025],MATCH("YDK-004",tblKurallar[kural_id],0)),0))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8">
        <f>IF($A310="","",IFERROR(ROUND(MAX(0,$B310*($D310-1)),2),0))</f>
        <v/>
      </c>
      <c r="H310" s="38">
        <f>IF($A310="","",IFERROR(ROUND($G310*INDEX(tblKurallar[deger_2025],MATCH("YDK-002",tblKurallar[kural_id],0)),2),0))</f>
        <v/>
      </c>
      <c r="I310" s="38">
        <f>IF($A310="","",IFERROR($G310-$G310*INDEX(tblKurallar[deger_2025],MATCH("YDK-004",tblKurallar[kural_id],0)),0))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8">
        <f>IF($A311="","",IFERROR(ROUND(MAX(0,$B311*($D311-1)),2),0))</f>
        <v/>
      </c>
      <c r="H311" s="38">
        <f>IF($A311="","",IFERROR(ROUND($G311*INDEX(tblKurallar[deger_2025],MATCH("YDK-002",tblKurallar[kural_id],0)),2),0))</f>
        <v/>
      </c>
      <c r="I311" s="38">
        <f>IF($A311="","",IFERROR($G311-$G311*INDEX(tblKurallar[deger_2025],MATCH("YDK-004",tblKurallar[kural_id],0)),0))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8">
        <f>IF($A312="","",IFERROR(ROUND(MAX(0,$B312*($D312-1)),2),0))</f>
        <v/>
      </c>
      <c r="H312" s="38">
        <f>IF($A312="","",IFERROR(ROUND($G312*INDEX(tblKurallar[deger_2025],MATCH("YDK-002",tblKurallar[kural_id],0)),2),0))</f>
        <v/>
      </c>
      <c r="I312" s="38">
        <f>IF($A312="","",IFERROR($G312-$G312*INDEX(tblKurallar[deger_2025],MATCH("YDK-004",tblKurallar[kural_id],0)),0))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8">
        <f>IF($A313="","",IFERROR(ROUND(MAX(0,$B313*($D313-1)),2),0))</f>
        <v/>
      </c>
      <c r="H313" s="38">
        <f>IF($A313="","",IFERROR(ROUND($G313*INDEX(tblKurallar[deger_2025],MATCH("YDK-002",tblKurallar[kural_id],0)),2),0))</f>
        <v/>
      </c>
      <c r="I313" s="38">
        <f>IF($A313="","",IFERROR($G313-$G313*INDEX(tblKurallar[deger_2025],MATCH("YDK-004",tblKurallar[kural_id],0)),0))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8">
        <f>IF($A314="","",IFERROR(ROUND(MAX(0,$B314*($D314-1)),2),0))</f>
        <v/>
      </c>
      <c r="H314" s="38">
        <f>IF($A314="","",IFERROR(ROUND($G314*INDEX(tblKurallar[deger_2025],MATCH("YDK-002",tblKurallar[kural_id],0)),2),0))</f>
        <v/>
      </c>
      <c r="I314" s="38">
        <f>IF($A314="","",IFERROR($G314-$G314*INDEX(tblKurallar[deger_2025],MATCH("YDK-004",tblKurallar[kural_id],0)),0))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8">
        <f>IF($A315="","",IFERROR(ROUND(MAX(0,$B315*($D315-1)),2),0))</f>
        <v/>
      </c>
      <c r="H315" s="38">
        <f>IF($A315="","",IFERROR(ROUND($G315*INDEX(tblKurallar[deger_2025],MATCH("YDK-002",tblKurallar[kural_id],0)),2),0))</f>
        <v/>
      </c>
      <c r="I315" s="38">
        <f>IF($A315="","",IFERROR($G315-$G315*INDEX(tblKurallar[deger_2025],MATCH("YDK-004",tblKurallar[kural_id],0)),0))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8">
        <f>IF($A316="","",IFERROR(ROUND(MAX(0,$B316*($D316-1)),2),0))</f>
        <v/>
      </c>
      <c r="H316" s="38">
        <f>IF($A316="","",IFERROR(ROUND($G316*INDEX(tblKurallar[deger_2025],MATCH("YDK-002",tblKurallar[kural_id],0)),2),0))</f>
        <v/>
      </c>
      <c r="I316" s="38">
        <f>IF($A316="","",IFERROR($G316-$G316*INDEX(tblKurallar[deger_2025],MATCH("YDK-004",tblKurallar[kural_id],0)),0))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8">
        <f>IF($A317="","",IFERROR(ROUND(MAX(0,$B317*($D317-1)),2),0))</f>
        <v/>
      </c>
      <c r="H317" s="38">
        <f>IF($A317="","",IFERROR(ROUND($G317*INDEX(tblKurallar[deger_2025],MATCH("YDK-002",tblKurallar[kural_id],0)),2),0))</f>
        <v/>
      </c>
      <c r="I317" s="38">
        <f>IF($A317="","",IFERROR($G317-$G317*INDEX(tblKurallar[deger_2025],MATCH("YDK-004",tblKurallar[kural_id],0)),0))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8">
        <f>IF($A318="","",IFERROR(ROUND(MAX(0,$B318*($D318-1)),2),0))</f>
        <v/>
      </c>
      <c r="H318" s="38">
        <f>IF($A318="","",IFERROR(ROUND($G318*INDEX(tblKurallar[deger_2025],MATCH("YDK-002",tblKurallar[kural_id],0)),2),0))</f>
        <v/>
      </c>
      <c r="I318" s="38">
        <f>IF($A318="","",IFERROR($G318-$G318*INDEX(tblKurallar[deger_2025],MATCH("YDK-004",tblKurallar[kural_id],0)),0))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8">
        <f>IF($A319="","",IFERROR(ROUND(MAX(0,$B319*($D319-1)),2),0))</f>
        <v/>
      </c>
      <c r="H319" s="38">
        <f>IF($A319="","",IFERROR(ROUND($G319*INDEX(tblKurallar[deger_2025],MATCH("YDK-002",tblKurallar[kural_id],0)),2),0))</f>
        <v/>
      </c>
      <c r="I319" s="38">
        <f>IF($A319="","",IFERROR($G319-$G319*INDEX(tblKurallar[deger_2025],MATCH("YDK-004",tblKurallar[kural_id],0)),0))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8">
        <f>IF($A320="","",IFERROR(ROUND(MAX(0,$B320*($D320-1)),2),0))</f>
        <v/>
      </c>
      <c r="H320" s="38">
        <f>IF($A320="","",IFERROR(ROUND($G320*INDEX(tblKurallar[deger_2025],MATCH("YDK-002",tblKurallar[kural_id],0)),2),0))</f>
        <v/>
      </c>
      <c r="I320" s="38">
        <f>IF($A320="","",IFERROR($G320-$G320*INDEX(tblKurallar[deger_2025],MATCH("YDK-004",tblKurallar[kural_id],0)),0))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8">
        <f>IF($A321="","",IFERROR(ROUND(MAX(0,$B321*($D321-1)),2),0))</f>
        <v/>
      </c>
      <c r="H321" s="38">
        <f>IF($A321="","",IFERROR(ROUND($G321*INDEX(tblKurallar[deger_2025],MATCH("YDK-002",tblKurallar[kural_id],0)),2),0))</f>
        <v/>
      </c>
      <c r="I321" s="38">
        <f>IF($A321="","",IFERROR($G321-$G321*INDEX(tblKurallar[deger_2025],MATCH("YDK-004",tblKurallar[kural_id],0)),0))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8">
        <f>IF($A322="","",IFERROR(ROUND(MAX(0,$B322*($D322-1)),2),0))</f>
        <v/>
      </c>
      <c r="H322" s="38">
        <f>IF($A322="","",IFERROR(ROUND($G322*INDEX(tblKurallar[deger_2025],MATCH("YDK-002",tblKurallar[kural_id],0)),2),0))</f>
        <v/>
      </c>
      <c r="I322" s="38">
        <f>IF($A322="","",IFERROR($G322-$G322*INDEX(tblKurallar[deger_2025],MATCH("YDK-004",tblKurallar[kural_id],0)),0))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8">
        <f>IF($A323="","",IFERROR(ROUND(MAX(0,$B323*($D323-1)),2),0))</f>
        <v/>
      </c>
      <c r="H323" s="38">
        <f>IF($A323="","",IFERROR(ROUND($G323*INDEX(tblKurallar[deger_2025],MATCH("YDK-002",tblKurallar[kural_id],0)),2),0))</f>
        <v/>
      </c>
      <c r="I323" s="38">
        <f>IF($A323="","",IFERROR($G323-$G323*INDEX(tblKurallar[deger_2025],MATCH("YDK-004",tblKurallar[kural_id],0)),0))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8">
        <f>IF($A324="","",IFERROR(ROUND(MAX(0,$B324*($D324-1)),2),0))</f>
        <v/>
      </c>
      <c r="H324" s="38">
        <f>IF($A324="","",IFERROR(ROUND($G324*INDEX(tblKurallar[deger_2025],MATCH("YDK-002",tblKurallar[kural_id],0)),2),0))</f>
        <v/>
      </c>
      <c r="I324" s="38">
        <f>IF($A324="","",IFERROR($G324-$G324*INDEX(tblKurallar[deger_2025],MATCH("YDK-004",tblKurallar[kural_id],0)),0))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8">
        <f>IF($A325="","",IFERROR(ROUND(MAX(0,$B325*($D325-1)),2),0))</f>
        <v/>
      </c>
      <c r="H325" s="38">
        <f>IF($A325="","",IFERROR(ROUND($G325*INDEX(tblKurallar[deger_2025],MATCH("YDK-002",tblKurallar[kural_id],0)),2),0))</f>
        <v/>
      </c>
      <c r="I325" s="38">
        <f>IF($A325="","",IFERROR($G325-$G325*INDEX(tblKurallar[deger_2025],MATCH("YDK-004",tblKurallar[kural_id],0)),0))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8">
        <f>IF($A326="","",IFERROR(ROUND(MAX(0,$B326*($D326-1)),2),0))</f>
        <v/>
      </c>
      <c r="H326" s="38">
        <f>IF($A326="","",IFERROR(ROUND($G326*INDEX(tblKurallar[deger_2025],MATCH("YDK-002",tblKurallar[kural_id],0)),2),0))</f>
        <v/>
      </c>
      <c r="I326" s="38">
        <f>IF($A326="","",IFERROR($G326-$G326*INDEX(tblKurallar[deger_2025],MATCH("YDK-004",tblKurallar[kural_id],0)),0))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8">
        <f>IF($A327="","",IFERROR(ROUND(MAX(0,$B327*($D327-1)),2),0))</f>
        <v/>
      </c>
      <c r="H327" s="38">
        <f>IF($A327="","",IFERROR(ROUND($G327*INDEX(tblKurallar[deger_2025],MATCH("YDK-002",tblKurallar[kural_id],0)),2),0))</f>
        <v/>
      </c>
      <c r="I327" s="38">
        <f>IF($A327="","",IFERROR($G327-$G327*INDEX(tblKurallar[deger_2025],MATCH("YDK-004",tblKurallar[kural_id],0)),0))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8">
        <f>IF($A328="","",IFERROR(ROUND(MAX(0,$B328*($D328-1)),2),0))</f>
        <v/>
      </c>
      <c r="H328" s="38">
        <f>IF($A328="","",IFERROR(ROUND($G328*INDEX(tblKurallar[deger_2025],MATCH("YDK-002",tblKurallar[kural_id],0)),2),0))</f>
        <v/>
      </c>
      <c r="I328" s="38">
        <f>IF($A328="","",IFERROR($G328-$G328*INDEX(tblKurallar[deger_2025],MATCH("YDK-004",tblKurallar[kural_id],0)),0))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8">
        <f>IF($A329="","",IFERROR(ROUND(MAX(0,$B329*($D329-1)),2),0))</f>
        <v/>
      </c>
      <c r="H329" s="38">
        <f>IF($A329="","",IFERROR(ROUND($G329*INDEX(tblKurallar[deger_2025],MATCH("YDK-002",tblKurallar[kural_id],0)),2),0))</f>
        <v/>
      </c>
      <c r="I329" s="38">
        <f>IF($A329="","",IFERROR($G329-$G329*INDEX(tblKurallar[deger_2025],MATCH("YDK-004",tblKurallar[kural_id],0)),0))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8">
        <f>IF($A330="","",IFERROR(ROUND(MAX(0,$B330*($D330-1)),2),0))</f>
        <v/>
      </c>
      <c r="H330" s="38">
        <f>IF($A330="","",IFERROR(ROUND($G330*INDEX(tblKurallar[deger_2025],MATCH("YDK-002",tblKurallar[kural_id],0)),2),0))</f>
        <v/>
      </c>
      <c r="I330" s="38">
        <f>IF($A330="","",IFERROR($G330-$G330*INDEX(tblKurallar[deger_2025],MATCH("YDK-004",tblKurallar[kural_id],0)),0))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8">
        <f>IF($A331="","",IFERROR(ROUND(MAX(0,$B331*($D331-1)),2),0))</f>
        <v/>
      </c>
      <c r="H331" s="38">
        <f>IF($A331="","",IFERROR(ROUND($G331*INDEX(tblKurallar[deger_2025],MATCH("YDK-002",tblKurallar[kural_id],0)),2),0))</f>
        <v/>
      </c>
      <c r="I331" s="38">
        <f>IF($A331="","",IFERROR($G331-$G331*INDEX(tblKurallar[deger_2025],MATCH("YDK-004",tblKurallar[kural_id],0)),0))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8">
        <f>IF($A332="","",IFERROR(ROUND(MAX(0,$B332*($D332-1)),2),0))</f>
        <v/>
      </c>
      <c r="H332" s="38">
        <f>IF($A332="","",IFERROR(ROUND($G332*INDEX(tblKurallar[deger_2025],MATCH("YDK-002",tblKurallar[kural_id],0)),2),0))</f>
        <v/>
      </c>
      <c r="I332" s="38">
        <f>IF($A332="","",IFERROR($G332-$G332*INDEX(tblKurallar[deger_2025],MATCH("YDK-004",tblKurallar[kural_id],0)),0))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8">
        <f>IF($A333="","",IFERROR(ROUND(MAX(0,$B333*($D333-1)),2),0))</f>
        <v/>
      </c>
      <c r="H333" s="38">
        <f>IF($A333="","",IFERROR(ROUND($G333*INDEX(tblKurallar[deger_2025],MATCH("YDK-002",tblKurallar[kural_id],0)),2),0))</f>
        <v/>
      </c>
      <c r="I333" s="38">
        <f>IF($A333="","",IFERROR($G333-$G333*INDEX(tblKurallar[deger_2025],MATCH("YDK-004",tblKurallar[kural_id],0)),0))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8">
        <f>IF($A334="","",IFERROR(ROUND(MAX(0,$B334*($D334-1)),2),0))</f>
        <v/>
      </c>
      <c r="H334" s="38">
        <f>IF($A334="","",IFERROR(ROUND($G334*INDEX(tblKurallar[deger_2025],MATCH("YDK-002",tblKurallar[kural_id],0)),2),0))</f>
        <v/>
      </c>
      <c r="I334" s="38">
        <f>IF($A334="","",IFERROR($G334-$G334*INDEX(tblKurallar[deger_2025],MATCH("YDK-004",tblKurallar[kural_id],0)),0))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8">
        <f>IF($A335="","",IFERROR(ROUND(MAX(0,$B335*($D335-1)),2),0))</f>
        <v/>
      </c>
      <c r="H335" s="38">
        <f>IF($A335="","",IFERROR(ROUND($G335*INDEX(tblKurallar[deger_2025],MATCH("YDK-002",tblKurallar[kural_id],0)),2),0))</f>
        <v/>
      </c>
      <c r="I335" s="38">
        <f>IF($A335="","",IFERROR($G335-$G335*INDEX(tblKurallar[deger_2025],MATCH("YDK-004",tblKurallar[kural_id],0)),0))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8">
        <f>IF($A336="","",IFERROR(ROUND(MAX(0,$B336*($D336-1)),2),0))</f>
        <v/>
      </c>
      <c r="H336" s="38">
        <f>IF($A336="","",IFERROR(ROUND($G336*INDEX(tblKurallar[deger_2025],MATCH("YDK-002",tblKurallar[kural_id],0)),2),0))</f>
        <v/>
      </c>
      <c r="I336" s="38">
        <f>IF($A336="","",IFERROR($G336-$G336*INDEX(tblKurallar[deger_2025],MATCH("YDK-004",tblKurallar[kural_id],0)),0))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8">
        <f>IF($A337="","",IFERROR(ROUND(MAX(0,$B337*($D337-1)),2),0))</f>
        <v/>
      </c>
      <c r="H337" s="38">
        <f>IF($A337="","",IFERROR(ROUND($G337*INDEX(tblKurallar[deger_2025],MATCH("YDK-002",tblKurallar[kural_id],0)),2),0))</f>
        <v/>
      </c>
      <c r="I337" s="38">
        <f>IF($A337="","",IFERROR($G337-$G337*INDEX(tblKurallar[deger_2025],MATCH("YDK-004",tblKurallar[kural_id],0)),0))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8">
        <f>IF($A338="","",IFERROR(ROUND(MAX(0,$B338*($D338-1)),2),0))</f>
        <v/>
      </c>
      <c r="H338" s="38">
        <f>IF($A338="","",IFERROR(ROUND($G338*INDEX(tblKurallar[deger_2025],MATCH("YDK-002",tblKurallar[kural_id],0)),2),0))</f>
        <v/>
      </c>
      <c r="I338" s="38">
        <f>IF($A338="","",IFERROR($G338-$G338*INDEX(tblKurallar[deger_2025],MATCH("YDK-004",tblKurallar[kural_id],0)),0))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8">
        <f>IF($A339="","",IFERROR(ROUND(MAX(0,$B339*($D339-1)),2),0))</f>
        <v/>
      </c>
      <c r="H339" s="38">
        <f>IF($A339="","",IFERROR(ROUND($G339*INDEX(tblKurallar[deger_2025],MATCH("YDK-002",tblKurallar[kural_id],0)),2),0))</f>
        <v/>
      </c>
      <c r="I339" s="38">
        <f>IF($A339="","",IFERROR($G339-$G339*INDEX(tblKurallar[deger_2025],MATCH("YDK-004",tblKurallar[kural_id],0)),0))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8">
        <f>IF($A340="","",IFERROR(ROUND(MAX(0,$B340*($D340-1)),2),0))</f>
        <v/>
      </c>
      <c r="H340" s="38">
        <f>IF($A340="","",IFERROR(ROUND($G340*INDEX(tblKurallar[deger_2025],MATCH("YDK-002",tblKurallar[kural_id],0)),2),0))</f>
        <v/>
      </c>
      <c r="I340" s="38">
        <f>IF($A340="","",IFERROR($G340-$G340*INDEX(tblKurallar[deger_2025],MATCH("YDK-004",tblKurallar[kural_id],0)),0))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8">
        <f>IF($A341="","",IFERROR(ROUND(MAX(0,$B341*($D341-1)),2),0))</f>
        <v/>
      </c>
      <c r="H341" s="38">
        <f>IF($A341="","",IFERROR(ROUND($G341*INDEX(tblKurallar[deger_2025],MATCH("YDK-002",tblKurallar[kural_id],0)),2),0))</f>
        <v/>
      </c>
      <c r="I341" s="38">
        <f>IF($A341="","",IFERROR($G341-$G341*INDEX(tblKurallar[deger_2025],MATCH("YDK-004",tblKurallar[kural_id],0)),0))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8">
        <f>IF($A342="","",IFERROR(ROUND(MAX(0,$B342*($D342-1)),2),0))</f>
        <v/>
      </c>
      <c r="H342" s="38">
        <f>IF($A342="","",IFERROR(ROUND($G342*INDEX(tblKurallar[deger_2025],MATCH("YDK-002",tblKurallar[kural_id],0)),2),0))</f>
        <v/>
      </c>
      <c r="I342" s="38">
        <f>IF($A342="","",IFERROR($G342-$G342*INDEX(tblKurallar[deger_2025],MATCH("YDK-004",tblKurallar[kural_id],0)),0))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8">
        <f>IF($A343="","",IFERROR(ROUND(MAX(0,$B343*($D343-1)),2),0))</f>
        <v/>
      </c>
      <c r="H343" s="38">
        <f>IF($A343="","",IFERROR(ROUND($G343*INDEX(tblKurallar[deger_2025],MATCH("YDK-002",tblKurallar[kural_id],0)),2),0))</f>
        <v/>
      </c>
      <c r="I343" s="38">
        <f>IF($A343="","",IFERROR($G343-$G343*INDEX(tblKurallar[deger_2025],MATCH("YDK-004",tblKurallar[kural_id],0)),0))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8">
        <f>IF($A344="","",IFERROR(ROUND(MAX(0,$B344*($D344-1)),2),0))</f>
        <v/>
      </c>
      <c r="H344" s="38">
        <f>IF($A344="","",IFERROR(ROUND($G344*INDEX(tblKurallar[deger_2025],MATCH("YDK-002",tblKurallar[kural_id],0)),2),0))</f>
        <v/>
      </c>
      <c r="I344" s="38">
        <f>IF($A344="","",IFERROR($G344-$G344*INDEX(tblKurallar[deger_2025],MATCH("YDK-004",tblKurallar[kural_id],0)),0))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8">
        <f>IF($A345="","",IFERROR(ROUND(MAX(0,$B345*($D345-1)),2),0))</f>
        <v/>
      </c>
      <c r="H345" s="38">
        <f>IF($A345="","",IFERROR(ROUND($G345*INDEX(tblKurallar[deger_2025],MATCH("YDK-002",tblKurallar[kural_id],0)),2),0))</f>
        <v/>
      </c>
      <c r="I345" s="38">
        <f>IF($A345="","",IFERROR($G345-$G345*INDEX(tblKurallar[deger_2025],MATCH("YDK-004",tblKurallar[kural_id],0)),0))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8">
        <f>IF($A346="","",IFERROR(ROUND(MAX(0,$B346*($D346-1)),2),0))</f>
        <v/>
      </c>
      <c r="H346" s="38">
        <f>IF($A346="","",IFERROR(ROUND($G346*INDEX(tblKurallar[deger_2025],MATCH("YDK-002",tblKurallar[kural_id],0)),2),0))</f>
        <v/>
      </c>
      <c r="I346" s="38">
        <f>IF($A346="","",IFERROR($G346-$G346*INDEX(tblKurallar[deger_2025],MATCH("YDK-004",tblKurallar[kural_id],0)),0))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8">
        <f>IF($A347="","",IFERROR(ROUND(MAX(0,$B347*($D347-1)),2),0))</f>
        <v/>
      </c>
      <c r="H347" s="38">
        <f>IF($A347="","",IFERROR(ROUND($G347*INDEX(tblKurallar[deger_2025],MATCH("YDK-002",tblKurallar[kural_id],0)),2),0))</f>
        <v/>
      </c>
      <c r="I347" s="38">
        <f>IF($A347="","",IFERROR($G347-$G347*INDEX(tblKurallar[deger_2025],MATCH("YDK-004",tblKurallar[kural_id],0)),0))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8">
        <f>IF($A348="","",IFERROR(ROUND(MAX(0,$B348*($D348-1)),2),0))</f>
        <v/>
      </c>
      <c r="H348" s="38">
        <f>IF($A348="","",IFERROR(ROUND($G348*INDEX(tblKurallar[deger_2025],MATCH("YDK-002",tblKurallar[kural_id],0)),2),0))</f>
        <v/>
      </c>
      <c r="I348" s="38">
        <f>IF($A348="","",IFERROR($G348-$G348*INDEX(tblKurallar[deger_2025],MATCH("YDK-004",tblKurallar[kural_id],0)),0))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8">
        <f>IF($A349="","",IFERROR(ROUND(MAX(0,$B349*($D349-1)),2),0))</f>
        <v/>
      </c>
      <c r="H349" s="38">
        <f>IF($A349="","",IFERROR(ROUND($G349*INDEX(tblKurallar[deger_2025],MATCH("YDK-002",tblKurallar[kural_id],0)),2),0))</f>
        <v/>
      </c>
      <c r="I349" s="38">
        <f>IF($A349="","",IFERROR($G349-$G349*INDEX(tblKurallar[deger_2025],MATCH("YDK-004",tblKurallar[kural_id],0)),0))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8">
        <f>IF($A350="","",IFERROR(ROUND(MAX(0,$B350*($D350-1)),2),0))</f>
        <v/>
      </c>
      <c r="H350" s="38">
        <f>IF($A350="","",IFERROR(ROUND($G350*INDEX(tblKurallar[deger_2025],MATCH("YDK-002",tblKurallar[kural_id],0)),2),0))</f>
        <v/>
      </c>
      <c r="I350" s="38">
        <f>IF($A350="","",IFERROR($G350-$G350*INDEX(tblKurallar[deger_2025],MATCH("YDK-004",tblKurallar[kural_id],0)),0))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8">
        <f>IF($A351="","",IFERROR(ROUND(MAX(0,$B351*($D351-1)),2),0))</f>
        <v/>
      </c>
      <c r="H351" s="38">
        <f>IF($A351="","",IFERROR(ROUND($G351*INDEX(tblKurallar[deger_2025],MATCH("YDK-002",tblKurallar[kural_id],0)),2),0))</f>
        <v/>
      </c>
      <c r="I351" s="38">
        <f>IF($A351="","",IFERROR($G351-$G351*INDEX(tblKurallar[deger_2025],MATCH("YDK-004",tblKurallar[kural_id],0)),0))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8">
        <f>IF($A352="","",IFERROR(ROUND(MAX(0,$B352*($D352-1)),2),0))</f>
        <v/>
      </c>
      <c r="H352" s="38">
        <f>IF($A352="","",IFERROR(ROUND($G352*INDEX(tblKurallar[deger_2025],MATCH("YDK-002",tblKurallar[kural_id],0)),2),0))</f>
        <v/>
      </c>
      <c r="I352" s="38">
        <f>IF($A352="","",IFERROR($G352-$G352*INDEX(tblKurallar[deger_2025],MATCH("YDK-004",tblKurallar[kural_id],0)),0))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8">
        <f>IF($A353="","",IFERROR(ROUND(MAX(0,$B353*($D353-1)),2),0))</f>
        <v/>
      </c>
      <c r="H353" s="38">
        <f>IF($A353="","",IFERROR(ROUND($G353*INDEX(tblKurallar[deger_2025],MATCH("YDK-002",tblKurallar[kural_id],0)),2),0))</f>
        <v/>
      </c>
      <c r="I353" s="38">
        <f>IF($A353="","",IFERROR($G353-$G353*INDEX(tblKurallar[deger_2025],MATCH("YDK-004",tblKurallar[kural_id],0)),0))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8">
        <f>IF($A354="","",IFERROR(ROUND(MAX(0,$B354*($D354-1)),2),0))</f>
        <v/>
      </c>
      <c r="H354" s="38">
        <f>IF($A354="","",IFERROR(ROUND($G354*INDEX(tblKurallar[deger_2025],MATCH("YDK-002",tblKurallar[kural_id],0)),2),0))</f>
        <v/>
      </c>
      <c r="I354" s="38">
        <f>IF($A354="","",IFERROR($G354-$G354*INDEX(tblKurallar[deger_2025],MATCH("YDK-004",tblKurallar[kural_id],0)),0))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8">
        <f>IF($A355="","",IFERROR(ROUND(MAX(0,$B355*($D355-1)),2),0))</f>
        <v/>
      </c>
      <c r="H355" s="38">
        <f>IF($A355="","",IFERROR(ROUND($G355*INDEX(tblKurallar[deger_2025],MATCH("YDK-002",tblKurallar[kural_id],0)),2),0))</f>
        <v/>
      </c>
      <c r="I355" s="38">
        <f>IF($A355="","",IFERROR($G355-$G355*INDEX(tblKurallar[deger_2025],MATCH("YDK-004",tblKurallar[kural_id],0)),0))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8">
        <f>IF($A356="","",IFERROR(ROUND(MAX(0,$B356*($D356-1)),2),0))</f>
        <v/>
      </c>
      <c r="H356" s="38">
        <f>IF($A356="","",IFERROR(ROUND($G356*INDEX(tblKurallar[deger_2025],MATCH("YDK-002",tblKurallar[kural_id],0)),2),0))</f>
        <v/>
      </c>
      <c r="I356" s="38">
        <f>IF($A356="","",IFERROR($G356-$G356*INDEX(tblKurallar[deger_2025],MATCH("YDK-004",tblKurallar[kural_id],0)),0))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8">
        <f>IF($A357="","",IFERROR(ROUND(MAX(0,$B357*($D357-1)),2),0))</f>
        <v/>
      </c>
      <c r="H357" s="38">
        <f>IF($A357="","",IFERROR(ROUND($G357*INDEX(tblKurallar[deger_2025],MATCH("YDK-002",tblKurallar[kural_id],0)),2),0))</f>
        <v/>
      </c>
      <c r="I357" s="38">
        <f>IF($A357="","",IFERROR($G357-$G357*INDEX(tblKurallar[deger_2025],MATCH("YDK-004",tblKurallar[kural_id],0)),0))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8">
        <f>IF($A358="","",IFERROR(ROUND(MAX(0,$B358*($D358-1)),2),0))</f>
        <v/>
      </c>
      <c r="H358" s="38">
        <f>IF($A358="","",IFERROR(ROUND($G358*INDEX(tblKurallar[deger_2025],MATCH("YDK-002",tblKurallar[kural_id],0)),2),0))</f>
        <v/>
      </c>
      <c r="I358" s="38">
        <f>IF($A358="","",IFERROR($G358-$G358*INDEX(tblKurallar[deger_2025],MATCH("YDK-004",tblKurallar[kural_id],0)),0))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8">
        <f>IF($A359="","",IFERROR(ROUND(MAX(0,$B359*($D359-1)),2),0))</f>
        <v/>
      </c>
      <c r="H359" s="38">
        <f>IF($A359="","",IFERROR(ROUND($G359*INDEX(tblKurallar[deger_2025],MATCH("YDK-002",tblKurallar[kural_id],0)),2),0))</f>
        <v/>
      </c>
      <c r="I359" s="38">
        <f>IF($A359="","",IFERROR($G359-$G359*INDEX(tblKurallar[deger_2025],MATCH("YDK-004",tblKurallar[kural_id],0)),0))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8">
        <f>IF($A360="","",IFERROR(ROUND(MAX(0,$B360*($D360-1)),2),0))</f>
        <v/>
      </c>
      <c r="H360" s="38">
        <f>IF($A360="","",IFERROR(ROUND($G360*INDEX(tblKurallar[deger_2025],MATCH("YDK-002",tblKurallar[kural_id],0)),2),0))</f>
        <v/>
      </c>
      <c r="I360" s="38">
        <f>IF($A360="","",IFERROR($G360-$G360*INDEX(tblKurallar[deger_2025],MATCH("YDK-004",tblKurallar[kural_id],0)),0))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8">
        <f>IF($A361="","",IFERROR(ROUND(MAX(0,$B361*($D361-1)),2),0))</f>
        <v/>
      </c>
      <c r="H361" s="38">
        <f>IF($A361="","",IFERROR(ROUND($G361*INDEX(tblKurallar[deger_2025],MATCH("YDK-002",tblKurallar[kural_id],0)),2),0))</f>
        <v/>
      </c>
      <c r="I361" s="38">
        <f>IF($A361="","",IFERROR($G361-$G361*INDEX(tblKurallar[deger_2025],MATCH("YDK-004",tblKurallar[kural_id],0)),0))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8">
        <f>IF($A362="","",IFERROR(ROUND(MAX(0,$B362*($D362-1)),2),0))</f>
        <v/>
      </c>
      <c r="H362" s="38">
        <f>IF($A362="","",IFERROR(ROUND($G362*INDEX(tblKurallar[deger_2025],MATCH("YDK-002",tblKurallar[kural_id],0)),2),0))</f>
        <v/>
      </c>
      <c r="I362" s="38">
        <f>IF($A362="","",IFERROR($G362-$G362*INDEX(tblKurallar[deger_2025],MATCH("YDK-004",tblKurallar[kural_id],0)),0))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8">
        <f>IF($A363="","",IFERROR(ROUND(MAX(0,$B363*($D363-1)),2),0))</f>
        <v/>
      </c>
      <c r="H363" s="38">
        <f>IF($A363="","",IFERROR(ROUND($G363*INDEX(tblKurallar[deger_2025],MATCH("YDK-002",tblKurallar[kural_id],0)),2),0))</f>
        <v/>
      </c>
      <c r="I363" s="38">
        <f>IF($A363="","",IFERROR($G363-$G363*INDEX(tblKurallar[deger_2025],MATCH("YDK-004",tblKurallar[kural_id],0)),0))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8">
        <f>IF($A364="","",IFERROR(ROUND(MAX(0,$B364*($D364-1)),2),0))</f>
        <v/>
      </c>
      <c r="H364" s="38">
        <f>IF($A364="","",IFERROR(ROUND($G364*INDEX(tblKurallar[deger_2025],MATCH("YDK-002",tblKurallar[kural_id],0)),2),0))</f>
        <v/>
      </c>
      <c r="I364" s="38">
        <f>IF($A364="","",IFERROR($G364-$G364*INDEX(tblKurallar[deger_2025],MATCH("YDK-004",tblKurallar[kural_id],0)),0))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8">
        <f>IF($A365="","",IFERROR(ROUND(MAX(0,$B365*($D365-1)),2),0))</f>
        <v/>
      </c>
      <c r="H365" s="38">
        <f>IF($A365="","",IFERROR(ROUND($G365*INDEX(tblKurallar[deger_2025],MATCH("YDK-002",tblKurallar[kural_id],0)),2),0))</f>
        <v/>
      </c>
      <c r="I365" s="38">
        <f>IF($A365="","",IFERROR($G365-$G365*INDEX(tblKurallar[deger_2025],MATCH("YDK-004",tblKurallar[kural_id],0)),0))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8">
        <f>IF($A366="","",IFERROR(ROUND(MAX(0,$B366*($D366-1)),2),0))</f>
        <v/>
      </c>
      <c r="H366" s="38">
        <f>IF($A366="","",IFERROR(ROUND($G366*INDEX(tblKurallar[deger_2025],MATCH("YDK-002",tblKurallar[kural_id],0)),2),0))</f>
        <v/>
      </c>
      <c r="I366" s="38">
        <f>IF($A366="","",IFERROR($G366-$G366*INDEX(tblKurallar[deger_2025],MATCH("YDK-004",tblKurallar[kural_id],0)),0))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8">
        <f>IF($A367="","",IFERROR(ROUND(MAX(0,$B367*($D367-1)),2),0))</f>
        <v/>
      </c>
      <c r="H367" s="38">
        <f>IF($A367="","",IFERROR(ROUND($G367*INDEX(tblKurallar[deger_2025],MATCH("YDK-002",tblKurallar[kural_id],0)),2),0))</f>
        <v/>
      </c>
      <c r="I367" s="38">
        <f>IF($A367="","",IFERROR($G367-$G367*INDEX(tblKurallar[deger_2025],MATCH("YDK-004",tblKurallar[kural_id],0)),0))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8">
        <f>IF($A368="","",IFERROR(ROUND(MAX(0,$B368*($D368-1)),2),0))</f>
        <v/>
      </c>
      <c r="H368" s="38">
        <f>IF($A368="","",IFERROR(ROUND($G368*INDEX(tblKurallar[deger_2025],MATCH("YDK-002",tblKurallar[kural_id],0)),2),0))</f>
        <v/>
      </c>
      <c r="I368" s="38">
        <f>IF($A368="","",IFERROR($G368-$G368*INDEX(tblKurallar[deger_2025],MATCH("YDK-004",tblKurallar[kural_id],0)),0))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8">
        <f>IF($A369="","",IFERROR(ROUND(MAX(0,$B369*($D369-1)),2),0))</f>
        <v/>
      </c>
      <c r="H369" s="38">
        <f>IF($A369="","",IFERROR(ROUND($G369*INDEX(tblKurallar[deger_2025],MATCH("YDK-002",tblKurallar[kural_id],0)),2),0))</f>
        <v/>
      </c>
      <c r="I369" s="38">
        <f>IF($A369="","",IFERROR($G369-$G369*INDEX(tblKurallar[deger_2025],MATCH("YDK-004",tblKurallar[kural_id],0)),0))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8">
        <f>IF($A370="","",IFERROR(ROUND(MAX(0,$B370*($D370-1)),2),0))</f>
        <v/>
      </c>
      <c r="H370" s="38">
        <f>IF($A370="","",IFERROR(ROUND($G370*INDEX(tblKurallar[deger_2025],MATCH("YDK-002",tblKurallar[kural_id],0)),2),0))</f>
        <v/>
      </c>
      <c r="I370" s="38">
        <f>IF($A370="","",IFERROR($G370-$G370*INDEX(tblKurallar[deger_2025],MATCH("YDK-004",tblKurallar[kural_id],0)),0))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8">
        <f>IF($A371="","",IFERROR(ROUND(MAX(0,$B371*($D371-1)),2),0))</f>
        <v/>
      </c>
      <c r="H371" s="38">
        <f>IF($A371="","",IFERROR(ROUND($G371*INDEX(tblKurallar[deger_2025],MATCH("YDK-002",tblKurallar[kural_id],0)),2),0))</f>
        <v/>
      </c>
      <c r="I371" s="38">
        <f>IF($A371="","",IFERROR($G371-$G371*INDEX(tblKurallar[deger_2025],MATCH("YDK-004",tblKurallar[kural_id],0)),0))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8">
        <f>IF($A372="","",IFERROR(ROUND(MAX(0,$B372*($D372-1)),2),0))</f>
        <v/>
      </c>
      <c r="H372" s="38">
        <f>IF($A372="","",IFERROR(ROUND($G372*INDEX(tblKurallar[deger_2025],MATCH("YDK-002",tblKurallar[kural_id],0)),2),0))</f>
        <v/>
      </c>
      <c r="I372" s="38">
        <f>IF($A372="","",IFERROR($G372-$G372*INDEX(tblKurallar[deger_2025],MATCH("YDK-004",tblKurallar[kural_id],0)),0))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8">
        <f>IF($A373="","",IFERROR(ROUND(MAX(0,$B373*($D373-1)),2),0))</f>
        <v/>
      </c>
      <c r="H373" s="38">
        <f>IF($A373="","",IFERROR(ROUND($G373*INDEX(tblKurallar[deger_2025],MATCH("YDK-002",tblKurallar[kural_id],0)),2),0))</f>
        <v/>
      </c>
      <c r="I373" s="38">
        <f>IF($A373="","",IFERROR($G373-$G373*INDEX(tblKurallar[deger_2025],MATCH("YDK-004",tblKurallar[kural_id],0)),0))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8">
        <f>IF($A374="","",IFERROR(ROUND(MAX(0,$B374*($D374-1)),2),0))</f>
        <v/>
      </c>
      <c r="H374" s="38">
        <f>IF($A374="","",IFERROR(ROUND($G374*INDEX(tblKurallar[deger_2025],MATCH("YDK-002",tblKurallar[kural_id],0)),2),0))</f>
        <v/>
      </c>
      <c r="I374" s="38">
        <f>IF($A374="","",IFERROR($G374-$G374*INDEX(tblKurallar[deger_2025],MATCH("YDK-004",tblKurallar[kural_id],0)),0))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8">
        <f>IF($A375="","",IFERROR(ROUND(MAX(0,$B375*($D375-1)),2),0))</f>
        <v/>
      </c>
      <c r="H375" s="38">
        <f>IF($A375="","",IFERROR(ROUND($G375*INDEX(tblKurallar[deger_2025],MATCH("YDK-002",tblKurallar[kural_id],0)),2),0))</f>
        <v/>
      </c>
      <c r="I375" s="38">
        <f>IF($A375="","",IFERROR($G375-$G375*INDEX(tblKurallar[deger_2025],MATCH("YDK-004",tblKurallar[kural_id],0)),0))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8">
        <f>IF($A376="","",IFERROR(ROUND(MAX(0,$B376*($D376-1)),2),0))</f>
        <v/>
      </c>
      <c r="H376" s="38">
        <f>IF($A376="","",IFERROR(ROUND($G376*INDEX(tblKurallar[deger_2025],MATCH("YDK-002",tblKurallar[kural_id],0)),2),0))</f>
        <v/>
      </c>
      <c r="I376" s="38">
        <f>IF($A376="","",IFERROR($G376-$G376*INDEX(tblKurallar[deger_2025],MATCH("YDK-004",tblKurallar[kural_id],0)),0))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8">
        <f>IF($A377="","",IFERROR(ROUND(MAX(0,$B377*($D377-1)),2),0))</f>
        <v/>
      </c>
      <c r="H377" s="38">
        <f>IF($A377="","",IFERROR(ROUND($G377*INDEX(tblKurallar[deger_2025],MATCH("YDK-002",tblKurallar[kural_id],0)),2),0))</f>
        <v/>
      </c>
      <c r="I377" s="38">
        <f>IF($A377="","",IFERROR($G377-$G377*INDEX(tblKurallar[deger_2025],MATCH("YDK-004",tblKurallar[kural_id],0)),0))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8">
        <f>IF($A378="","",IFERROR(ROUND(MAX(0,$B378*($D378-1)),2),0))</f>
        <v/>
      </c>
      <c r="H378" s="38">
        <f>IF($A378="","",IFERROR(ROUND($G378*INDEX(tblKurallar[deger_2025],MATCH("YDK-002",tblKurallar[kural_id],0)),2),0))</f>
        <v/>
      </c>
      <c r="I378" s="38">
        <f>IF($A378="","",IFERROR($G378-$G378*INDEX(tblKurallar[deger_2025],MATCH("YDK-004",tblKurallar[kural_id],0)),0))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8">
        <f>IF($A379="","",IFERROR(ROUND(MAX(0,$B379*($D379-1)),2),0))</f>
        <v/>
      </c>
      <c r="H379" s="38">
        <f>IF($A379="","",IFERROR(ROUND($G379*INDEX(tblKurallar[deger_2025],MATCH("YDK-002",tblKurallar[kural_id],0)),2),0))</f>
        <v/>
      </c>
      <c r="I379" s="38">
        <f>IF($A379="","",IFERROR($G379-$G379*INDEX(tblKurallar[deger_2025],MATCH("YDK-004",tblKurallar[kural_id],0)),0))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8">
        <f>IF($A380="","",IFERROR(ROUND(MAX(0,$B380*($D380-1)),2),0))</f>
        <v/>
      </c>
      <c r="H380" s="38">
        <f>IF($A380="","",IFERROR(ROUND($G380*INDEX(tblKurallar[deger_2025],MATCH("YDK-002",tblKurallar[kural_id],0)),2),0))</f>
        <v/>
      </c>
      <c r="I380" s="38">
        <f>IF($A380="","",IFERROR($G380-$G380*INDEX(tblKurallar[deger_2025],MATCH("YDK-004",tblKurallar[kural_id],0)),0))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8">
        <f>IF($A381="","",IFERROR(ROUND(MAX(0,$B381*($D381-1)),2),0))</f>
        <v/>
      </c>
      <c r="H381" s="38">
        <f>IF($A381="","",IFERROR(ROUND($G381*INDEX(tblKurallar[deger_2025],MATCH("YDK-002",tblKurallar[kural_id],0)),2),0))</f>
        <v/>
      </c>
      <c r="I381" s="38">
        <f>IF($A381="","",IFERROR($G381-$G381*INDEX(tblKurallar[deger_2025],MATCH("YDK-004",tblKurallar[kural_id],0)),0))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8">
        <f>IF($A382="","",IFERROR(ROUND(MAX(0,$B382*($D382-1)),2),0))</f>
        <v/>
      </c>
      <c r="H382" s="38">
        <f>IF($A382="","",IFERROR(ROUND($G382*INDEX(tblKurallar[deger_2025],MATCH("YDK-002",tblKurallar[kural_id],0)),2),0))</f>
        <v/>
      </c>
      <c r="I382" s="38">
        <f>IF($A382="","",IFERROR($G382-$G382*INDEX(tblKurallar[deger_2025],MATCH("YDK-004",tblKurallar[kural_id],0)),0))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8">
        <f>IF($A383="","",IFERROR(ROUND(MAX(0,$B383*($D383-1)),2),0))</f>
        <v/>
      </c>
      <c r="H383" s="38">
        <f>IF($A383="","",IFERROR(ROUND($G383*INDEX(tblKurallar[deger_2025],MATCH("YDK-002",tblKurallar[kural_id],0)),2),0))</f>
        <v/>
      </c>
      <c r="I383" s="38">
        <f>IF($A383="","",IFERROR($G383-$G383*INDEX(tblKurallar[deger_2025],MATCH("YDK-004",tblKurallar[kural_id],0)),0))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8">
        <f>IF($A384="","",IFERROR(ROUND(MAX(0,$B384*($D384-1)),2),0))</f>
        <v/>
      </c>
      <c r="H384" s="38">
        <f>IF($A384="","",IFERROR(ROUND($G384*INDEX(tblKurallar[deger_2025],MATCH("YDK-002",tblKurallar[kural_id],0)),2),0))</f>
        <v/>
      </c>
      <c r="I384" s="38">
        <f>IF($A384="","",IFERROR($G384-$G384*INDEX(tblKurallar[deger_2025],MATCH("YDK-004",tblKurallar[kural_id],0)),0))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8">
        <f>IF($A385="","",IFERROR(ROUND(MAX(0,$B385*($D385-1)),2),0))</f>
        <v/>
      </c>
      <c r="H385" s="38">
        <f>IF($A385="","",IFERROR(ROUND($G385*INDEX(tblKurallar[deger_2025],MATCH("YDK-002",tblKurallar[kural_id],0)),2),0))</f>
        <v/>
      </c>
      <c r="I385" s="38">
        <f>IF($A385="","",IFERROR($G385-$G385*INDEX(tblKurallar[deger_2025],MATCH("YDK-004",tblKurallar[kural_id],0)),0))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8">
        <f>IF($A386="","",IFERROR(ROUND(MAX(0,$B386*($D386-1)),2),0))</f>
        <v/>
      </c>
      <c r="H386" s="38">
        <f>IF($A386="","",IFERROR(ROUND($G386*INDEX(tblKurallar[deger_2025],MATCH("YDK-002",tblKurallar[kural_id],0)),2),0))</f>
        <v/>
      </c>
      <c r="I386" s="38">
        <f>IF($A386="","",IFERROR($G386-$G386*INDEX(tblKurallar[deger_2025],MATCH("YDK-004",tblKurallar[kural_id],0)),0))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8">
        <f>IF($A387="","",IFERROR(ROUND(MAX(0,$B387*($D387-1)),2),0))</f>
        <v/>
      </c>
      <c r="H387" s="38">
        <f>IF($A387="","",IFERROR(ROUND($G387*INDEX(tblKurallar[deger_2025],MATCH("YDK-002",tblKurallar[kural_id],0)),2),0))</f>
        <v/>
      </c>
      <c r="I387" s="38">
        <f>IF($A387="","",IFERROR($G387-$G387*INDEX(tblKurallar[deger_2025],MATCH("YDK-004",tblKurallar[kural_id],0)),0))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8">
        <f>IF($A388="","",IFERROR(ROUND(MAX(0,$B388*($D388-1)),2),0))</f>
        <v/>
      </c>
      <c r="H388" s="38">
        <f>IF($A388="","",IFERROR(ROUND($G388*INDEX(tblKurallar[deger_2025],MATCH("YDK-002",tblKurallar[kural_id],0)),2),0))</f>
        <v/>
      </c>
      <c r="I388" s="38">
        <f>IF($A388="","",IFERROR($G388-$G388*INDEX(tblKurallar[deger_2025],MATCH("YDK-004",tblKurallar[kural_id],0)),0))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8">
        <f>IF($A389="","",IFERROR(ROUND(MAX(0,$B389*($D389-1)),2),0))</f>
        <v/>
      </c>
      <c r="H389" s="38">
        <f>IF($A389="","",IFERROR(ROUND($G389*INDEX(tblKurallar[deger_2025],MATCH("YDK-002",tblKurallar[kural_id],0)),2),0))</f>
        <v/>
      </c>
      <c r="I389" s="38">
        <f>IF($A389="","",IFERROR($G389-$G389*INDEX(tblKurallar[deger_2025],MATCH("YDK-004",tblKurallar[kural_id],0)),0))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8">
        <f>IF($A390="","",IFERROR(ROUND(MAX(0,$B390*($D390-1)),2),0))</f>
        <v/>
      </c>
      <c r="H390" s="38">
        <f>IF($A390="","",IFERROR(ROUND($G390*INDEX(tblKurallar[deger_2025],MATCH("YDK-002",tblKurallar[kural_id],0)),2),0))</f>
        <v/>
      </c>
      <c r="I390" s="38">
        <f>IF($A390="","",IFERROR($G390-$G390*INDEX(tblKurallar[deger_2025],MATCH("YDK-004",tblKurallar[kural_id],0)),0))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8">
        <f>IF($A391="","",IFERROR(ROUND(MAX(0,$B391*($D391-1)),2),0))</f>
        <v/>
      </c>
      <c r="H391" s="38">
        <f>IF($A391="","",IFERROR(ROUND($G391*INDEX(tblKurallar[deger_2025],MATCH("YDK-002",tblKurallar[kural_id],0)),2),0))</f>
        <v/>
      </c>
      <c r="I391" s="38">
        <f>IF($A391="","",IFERROR($G391-$G391*INDEX(tblKurallar[deger_2025],MATCH("YDK-004",tblKurallar[kural_id],0)),0))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8">
        <f>IF($A392="","",IFERROR(ROUND(MAX(0,$B392*($D392-1)),2),0))</f>
        <v/>
      </c>
      <c r="H392" s="38">
        <f>IF($A392="","",IFERROR(ROUND($G392*INDEX(tblKurallar[deger_2025],MATCH("YDK-002",tblKurallar[kural_id],0)),2),0))</f>
        <v/>
      </c>
      <c r="I392" s="38">
        <f>IF($A392="","",IFERROR($G392-$G392*INDEX(tblKurallar[deger_2025],MATCH("YDK-004",tblKurallar[kural_id],0)),0))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8">
        <f>IF($A393="","",IFERROR(ROUND(MAX(0,$B393*($D393-1)),2),0))</f>
        <v/>
      </c>
      <c r="H393" s="38">
        <f>IF($A393="","",IFERROR(ROUND($G393*INDEX(tblKurallar[deger_2025],MATCH("YDK-002",tblKurallar[kural_id],0)),2),0))</f>
        <v/>
      </c>
      <c r="I393" s="38">
        <f>IF($A393="","",IFERROR($G393-$G393*INDEX(tblKurallar[deger_2025],MATCH("YDK-004",tblKurallar[kural_id],0)),0))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8">
        <f>IF($A394="","",IFERROR(ROUND(MAX(0,$B394*($D394-1)),2),0))</f>
        <v/>
      </c>
      <c r="H394" s="38">
        <f>IF($A394="","",IFERROR(ROUND($G394*INDEX(tblKurallar[deger_2025],MATCH("YDK-002",tblKurallar[kural_id],0)),2),0))</f>
        <v/>
      </c>
      <c r="I394" s="38">
        <f>IF($A394="","",IFERROR($G394-$G394*INDEX(tblKurallar[deger_2025],MATCH("YDK-004",tblKurallar[kural_id],0)),0))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8">
        <f>IF($A395="","",IFERROR(ROUND(MAX(0,$B395*($D395-1)),2),0))</f>
        <v/>
      </c>
      <c r="H395" s="38">
        <f>IF($A395="","",IFERROR(ROUND($G395*INDEX(tblKurallar[deger_2025],MATCH("YDK-002",tblKurallar[kural_id],0)),2),0))</f>
        <v/>
      </c>
      <c r="I395" s="38">
        <f>IF($A395="","",IFERROR($G395-$G395*INDEX(tblKurallar[deger_2025],MATCH("YDK-004",tblKurallar[kural_id],0)),0))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8">
        <f>IF($A396="","",IFERROR(ROUND(MAX(0,$B396*($D396-1)),2),0))</f>
        <v/>
      </c>
      <c r="H396" s="38">
        <f>IF($A396="","",IFERROR(ROUND($G396*INDEX(tblKurallar[deger_2025],MATCH("YDK-002",tblKurallar[kural_id],0)),2),0))</f>
        <v/>
      </c>
      <c r="I396" s="38">
        <f>IF($A396="","",IFERROR($G396-$G396*INDEX(tblKurallar[deger_2025],MATCH("YDK-004",tblKurallar[kural_id],0)),0))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8">
        <f>IF($A397="","",IFERROR(ROUND(MAX(0,$B397*($D397-1)),2),0))</f>
        <v/>
      </c>
      <c r="H397" s="38">
        <f>IF($A397="","",IFERROR(ROUND($G397*INDEX(tblKurallar[deger_2025],MATCH("YDK-002",tblKurallar[kural_id],0)),2),0))</f>
        <v/>
      </c>
      <c r="I397" s="38">
        <f>IF($A397="","",IFERROR($G397-$G397*INDEX(tblKurallar[deger_2025],MATCH("YDK-004",tblKurallar[kural_id],0)),0))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8">
        <f>IF($A398="","",IFERROR(ROUND(MAX(0,$B398*($D398-1)),2),0))</f>
        <v/>
      </c>
      <c r="H398" s="38">
        <f>IF($A398="","",IFERROR(ROUND($G398*INDEX(tblKurallar[deger_2025],MATCH("YDK-002",tblKurallar[kural_id],0)),2),0))</f>
        <v/>
      </c>
      <c r="I398" s="38">
        <f>IF($A398="","",IFERROR($G398-$G398*INDEX(tblKurallar[deger_2025],MATCH("YDK-004",tblKurallar[kural_id],0)),0))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8">
        <f>IF($A399="","",IFERROR(ROUND(MAX(0,$B399*($D399-1)),2),0))</f>
        <v/>
      </c>
      <c r="H399" s="38">
        <f>IF($A399="","",IFERROR(ROUND($G399*INDEX(tblKurallar[deger_2025],MATCH("YDK-002",tblKurallar[kural_id],0)),2),0))</f>
        <v/>
      </c>
      <c r="I399" s="38">
        <f>IF($A399="","",IFERROR($G399-$G399*INDEX(tblKurallar[deger_2025],MATCH("YDK-004",tblKurallar[kural_id],0)),0))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8">
        <f>IF($A400="","",IFERROR(ROUND(MAX(0,$B400*($D400-1)),2),0))</f>
        <v/>
      </c>
      <c r="H400" s="38">
        <f>IF($A400="","",IFERROR(ROUND($G400*INDEX(tblKurallar[deger_2025],MATCH("YDK-002",tblKurallar[kural_id],0)),2),0))</f>
        <v/>
      </c>
      <c r="I400" s="38">
        <f>IF($A400="","",IFERROR($G400-$G400*INDEX(tblKurallar[deger_2025],MATCH("YDK-004",tblKurallar[kural_id],0)),0))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8">
        <f>IF($A401="","",IFERROR(ROUND(MAX(0,$B401*($D401-1)),2),0))</f>
        <v/>
      </c>
      <c r="H401" s="38">
        <f>IF($A401="","",IFERROR(ROUND($G401*INDEX(tblKurallar[deger_2025],MATCH("YDK-002",tblKurallar[kural_id],0)),2),0))</f>
        <v/>
      </c>
      <c r="I401" s="38">
        <f>IF($A401="","",IFERROR($G401-$G401*INDEX(tblKurallar[deger_2025],MATCH("YDK-004",tblKurallar[kural_id],0)),0))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8">
        <f>IF($A402="","",IFERROR(ROUND(MAX(0,$B402*($D402-1)),2),0))</f>
        <v/>
      </c>
      <c r="H402" s="38">
        <f>IF($A402="","",IFERROR(ROUND($G402*INDEX(tblKurallar[deger_2025],MATCH("YDK-002",tblKurallar[kural_id],0)),2),0))</f>
        <v/>
      </c>
      <c r="I402" s="38">
        <f>IF($A402="","",IFERROR($G402-$G402*INDEX(tblKurallar[deger_2025],MATCH("YDK-004",tblKurallar[kural_id],0)),0))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8">
        <f>IF($A403="","",IFERROR(ROUND(MAX(0,$B403*($D403-1)),2),0))</f>
        <v/>
      </c>
      <c r="H403" s="38">
        <f>IF($A403="","",IFERROR(ROUND($G403*INDEX(tblKurallar[deger_2025],MATCH("YDK-002",tblKurallar[kural_id],0)),2),0))</f>
        <v/>
      </c>
      <c r="I403" s="38">
        <f>IF($A403="","",IFERROR($G403-$G403*INDEX(tblKurallar[deger_2025],MATCH("YDK-004",tblKurallar[kural_id],0)),0))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8">
        <f>IF($A404="","",IFERROR(ROUND(MAX(0,$B404*($D404-1)),2),0))</f>
        <v/>
      </c>
      <c r="H404" s="38">
        <f>IF($A404="","",IFERROR(ROUND($G404*INDEX(tblKurallar[deger_2025],MATCH("YDK-002",tblKurallar[kural_id],0)),2),0))</f>
        <v/>
      </c>
      <c r="I404" s="38">
        <f>IF($A404="","",IFERROR($G404-$G404*INDEX(tblKurallar[deger_2025],MATCH("YDK-004",tblKurallar[kural_id],0)),0))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8">
        <f>IF($A405="","",IFERROR(ROUND(MAX(0,$B405*($D405-1)),2),0))</f>
        <v/>
      </c>
      <c r="H405" s="38">
        <f>IF($A405="","",IFERROR(ROUND($G405*INDEX(tblKurallar[deger_2025],MATCH("YDK-002",tblKurallar[kural_id],0)),2),0))</f>
        <v/>
      </c>
      <c r="I405" s="38">
        <f>IF($A405="","",IFERROR($G405-$G405*INDEX(tblKurallar[deger_2025],MATCH("YDK-004",tblKurallar[kural_id],0)),0))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8">
        <f>IF($A406="","",IFERROR(ROUND(MAX(0,$B406*($D406-1)),2),0))</f>
        <v/>
      </c>
      <c r="H406" s="38">
        <f>IF($A406="","",IFERROR(ROUND($G406*INDEX(tblKurallar[deger_2025],MATCH("YDK-002",tblKurallar[kural_id],0)),2),0))</f>
        <v/>
      </c>
      <c r="I406" s="38">
        <f>IF($A406="","",IFERROR($G406-$G406*INDEX(tblKurallar[deger_2025],MATCH("YDK-004",tblKurallar[kural_id],0)),0))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8">
        <f>IF($A407="","",IFERROR(ROUND(MAX(0,$B407*($D407-1)),2),0))</f>
        <v/>
      </c>
      <c r="H407" s="38">
        <f>IF($A407="","",IFERROR(ROUND($G407*INDEX(tblKurallar[deger_2025],MATCH("YDK-002",tblKurallar[kural_id],0)),2),0))</f>
        <v/>
      </c>
      <c r="I407" s="38">
        <f>IF($A407="","",IFERROR($G407-$G407*INDEX(tblKurallar[deger_2025],MATCH("YDK-004",tblKurallar[kural_id],0)),0))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8">
        <f>IF($A408="","",IFERROR(ROUND(MAX(0,$B408*($D408-1)),2),0))</f>
        <v/>
      </c>
      <c r="H408" s="38">
        <f>IF($A408="","",IFERROR(ROUND($G408*INDEX(tblKurallar[deger_2025],MATCH("YDK-002",tblKurallar[kural_id],0)),2),0))</f>
        <v/>
      </c>
      <c r="I408" s="38">
        <f>IF($A408="","",IFERROR($G408-$G408*INDEX(tblKurallar[deger_2025],MATCH("YDK-004",tblKurallar[kural_id],0)),0))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8">
        <f>IF($A409="","",IFERROR(ROUND(MAX(0,$B409*($D409-1)),2),0))</f>
        <v/>
      </c>
      <c r="H409" s="38">
        <f>IF($A409="","",IFERROR(ROUND($G409*INDEX(tblKurallar[deger_2025],MATCH("YDK-002",tblKurallar[kural_id],0)),2),0))</f>
        <v/>
      </c>
      <c r="I409" s="38">
        <f>IF($A409="","",IFERROR($G409-$G409*INDEX(tblKurallar[deger_2025],MATCH("YDK-004",tblKurallar[kural_id],0)),0))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8">
        <f>IF($A410="","",IFERROR(ROUND(MAX(0,$B410*($D410-1)),2),0))</f>
        <v/>
      </c>
      <c r="H410" s="38">
        <f>IF($A410="","",IFERROR(ROUND($G410*INDEX(tblKurallar[deger_2025],MATCH("YDK-002",tblKurallar[kural_id],0)),2),0))</f>
        <v/>
      </c>
      <c r="I410" s="38">
        <f>IF($A410="","",IFERROR($G410-$G410*INDEX(tblKurallar[deger_2025],MATCH("YDK-004",tblKurallar[kural_id],0)),0))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8">
        <f>IF($A411="","",IFERROR(ROUND(MAX(0,$B411*($D411-1)),2),0))</f>
        <v/>
      </c>
      <c r="H411" s="38">
        <f>IF($A411="","",IFERROR(ROUND($G411*INDEX(tblKurallar[deger_2025],MATCH("YDK-002",tblKurallar[kural_id],0)),2),0))</f>
        <v/>
      </c>
      <c r="I411" s="38">
        <f>IF($A411="","",IFERROR($G411-$G411*INDEX(tblKurallar[deger_2025],MATCH("YDK-004",tblKurallar[kural_id],0)),0))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8">
        <f>IF($A412="","",IFERROR(ROUND(MAX(0,$B412*($D412-1)),2),0))</f>
        <v/>
      </c>
      <c r="H412" s="38">
        <f>IF($A412="","",IFERROR(ROUND($G412*INDEX(tblKurallar[deger_2025],MATCH("YDK-002",tblKurallar[kural_id],0)),2),0))</f>
        <v/>
      </c>
      <c r="I412" s="38">
        <f>IF($A412="","",IFERROR($G412-$G412*INDEX(tblKurallar[deger_2025],MATCH("YDK-004",tblKurallar[kural_id],0)),0))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8">
        <f>IF($A413="","",IFERROR(ROUND(MAX(0,$B413*($D413-1)),2),0))</f>
        <v/>
      </c>
      <c r="H413" s="38">
        <f>IF($A413="","",IFERROR(ROUND($G413*INDEX(tblKurallar[deger_2025],MATCH("YDK-002",tblKurallar[kural_id],0)),2),0))</f>
        <v/>
      </c>
      <c r="I413" s="38">
        <f>IF($A413="","",IFERROR($G413-$G413*INDEX(tblKurallar[deger_2025],MATCH("YDK-004",tblKurallar[kural_id],0)),0))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8">
        <f>IF($A414="","",IFERROR(ROUND(MAX(0,$B414*($D414-1)),2),0))</f>
        <v/>
      </c>
      <c r="H414" s="38">
        <f>IF($A414="","",IFERROR(ROUND($G414*INDEX(tblKurallar[deger_2025],MATCH("YDK-002",tblKurallar[kural_id],0)),2),0))</f>
        <v/>
      </c>
      <c r="I414" s="38">
        <f>IF($A414="","",IFERROR($G414-$G414*INDEX(tblKurallar[deger_2025],MATCH("YDK-004",tblKurallar[kural_id],0)),0))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8">
        <f>IF($A415="","",IFERROR(ROUND(MAX(0,$B415*($D415-1)),2),0))</f>
        <v/>
      </c>
      <c r="H415" s="38">
        <f>IF($A415="","",IFERROR(ROUND($G415*INDEX(tblKurallar[deger_2025],MATCH("YDK-002",tblKurallar[kural_id],0)),2),0))</f>
        <v/>
      </c>
      <c r="I415" s="38">
        <f>IF($A415="","",IFERROR($G415-$G415*INDEX(tblKurallar[deger_2025],MATCH("YDK-004",tblKurallar[kural_id],0)),0))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8">
        <f>IF($A416="","",IFERROR(ROUND(MAX(0,$B416*($D416-1)),2),0))</f>
        <v/>
      </c>
      <c r="H416" s="38">
        <f>IF($A416="","",IFERROR(ROUND($G416*INDEX(tblKurallar[deger_2025],MATCH("YDK-002",tblKurallar[kural_id],0)),2),0))</f>
        <v/>
      </c>
      <c r="I416" s="38">
        <f>IF($A416="","",IFERROR($G416-$G416*INDEX(tblKurallar[deger_2025],MATCH("YDK-004",tblKurallar[kural_id],0)),0))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8">
        <f>IF($A417="","",IFERROR(ROUND(MAX(0,$B417*($D417-1)),2),0))</f>
        <v/>
      </c>
      <c r="H417" s="38">
        <f>IF($A417="","",IFERROR(ROUND($G417*INDEX(tblKurallar[deger_2025],MATCH("YDK-002",tblKurallar[kural_id],0)),2),0))</f>
        <v/>
      </c>
      <c r="I417" s="38">
        <f>IF($A417="","",IFERROR($G417-$G417*INDEX(tblKurallar[deger_2025],MATCH("YDK-004",tblKurallar[kural_id],0)),0))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8">
        <f>IF($A418="","",IFERROR(ROUND(MAX(0,$B418*($D418-1)),2),0))</f>
        <v/>
      </c>
      <c r="H418" s="38">
        <f>IF($A418="","",IFERROR(ROUND($G418*INDEX(tblKurallar[deger_2025],MATCH("YDK-002",tblKurallar[kural_id],0)),2),0))</f>
        <v/>
      </c>
      <c r="I418" s="38">
        <f>IF($A418="","",IFERROR($G418-$G418*INDEX(tblKurallar[deger_2025],MATCH("YDK-004",tblKurallar[kural_id],0)),0))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8">
        <f>IF($A419="","",IFERROR(ROUND(MAX(0,$B419*($D419-1)),2),0))</f>
        <v/>
      </c>
      <c r="H419" s="38">
        <f>IF($A419="","",IFERROR(ROUND($G419*INDEX(tblKurallar[deger_2025],MATCH("YDK-002",tblKurallar[kural_id],0)),2),0))</f>
        <v/>
      </c>
      <c r="I419" s="38">
        <f>IF($A419="","",IFERROR($G419-$G419*INDEX(tblKurallar[deger_2025],MATCH("YDK-004",tblKurallar[kural_id],0)),0))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8">
        <f>IF($A420="","",IFERROR(ROUND(MAX(0,$B420*($D420-1)),2),0))</f>
        <v/>
      </c>
      <c r="H420" s="38">
        <f>IF($A420="","",IFERROR(ROUND($G420*INDEX(tblKurallar[deger_2025],MATCH("YDK-002",tblKurallar[kural_id],0)),2),0))</f>
        <v/>
      </c>
      <c r="I420" s="38">
        <f>IF($A420="","",IFERROR($G420-$G420*INDEX(tblKurallar[deger_2025],MATCH("YDK-004",tblKurallar[kural_id],0)),0))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8">
        <f>IF($A421="","",IFERROR(ROUND(MAX(0,$B421*($D421-1)),2),0))</f>
        <v/>
      </c>
      <c r="H421" s="38">
        <f>IF($A421="","",IFERROR(ROUND($G421*INDEX(tblKurallar[deger_2025],MATCH("YDK-002",tblKurallar[kural_id],0)),2),0))</f>
        <v/>
      </c>
      <c r="I421" s="38">
        <f>IF($A421="","",IFERROR($G421-$G421*INDEX(tblKurallar[deger_2025],MATCH("YDK-004",tblKurallar[kural_id],0)),0))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8">
        <f>IF($A422="","",IFERROR(ROUND(MAX(0,$B422*($D422-1)),2),0))</f>
        <v/>
      </c>
      <c r="H422" s="38">
        <f>IF($A422="","",IFERROR(ROUND($G422*INDEX(tblKurallar[deger_2025],MATCH("YDK-002",tblKurallar[kural_id],0)),2),0))</f>
        <v/>
      </c>
      <c r="I422" s="38">
        <f>IF($A422="","",IFERROR($G422-$G422*INDEX(tblKurallar[deger_2025],MATCH("YDK-004",tblKurallar[kural_id],0)),0))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8">
        <f>IF($A423="","",IFERROR(ROUND(MAX(0,$B423*($D423-1)),2),0))</f>
        <v/>
      </c>
      <c r="H423" s="38">
        <f>IF($A423="","",IFERROR(ROUND($G423*INDEX(tblKurallar[deger_2025],MATCH("YDK-002",tblKurallar[kural_id],0)),2),0))</f>
        <v/>
      </c>
      <c r="I423" s="38">
        <f>IF($A423="","",IFERROR($G423-$G423*INDEX(tblKurallar[deger_2025],MATCH("YDK-004",tblKurallar[kural_id],0)),0))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8">
        <f>IF($A424="","",IFERROR(ROUND(MAX(0,$B424*($D424-1)),2),0))</f>
        <v/>
      </c>
      <c r="H424" s="38">
        <f>IF($A424="","",IFERROR(ROUND($G424*INDEX(tblKurallar[deger_2025],MATCH("YDK-002",tblKurallar[kural_id],0)),2),0))</f>
        <v/>
      </c>
      <c r="I424" s="38">
        <f>IF($A424="","",IFERROR($G424-$G424*INDEX(tblKurallar[deger_2025],MATCH("YDK-004",tblKurallar[kural_id],0)),0))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8">
        <f>IF($A425="","",IFERROR(ROUND(MAX(0,$B425*($D425-1)),2),0))</f>
        <v/>
      </c>
      <c r="H425" s="38">
        <f>IF($A425="","",IFERROR(ROUND($G425*INDEX(tblKurallar[deger_2025],MATCH("YDK-002",tblKurallar[kural_id],0)),2),0))</f>
        <v/>
      </c>
      <c r="I425" s="38">
        <f>IF($A425="","",IFERROR($G425-$G425*INDEX(tblKurallar[deger_2025],MATCH("YDK-004",tblKurallar[kural_id],0)),0))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8">
        <f>IF($A426="","",IFERROR(ROUND(MAX(0,$B426*($D426-1)),2),0))</f>
        <v/>
      </c>
      <c r="H426" s="38">
        <f>IF($A426="","",IFERROR(ROUND($G426*INDEX(tblKurallar[deger_2025],MATCH("YDK-002",tblKurallar[kural_id],0)),2),0))</f>
        <v/>
      </c>
      <c r="I426" s="38">
        <f>IF($A426="","",IFERROR($G426-$G426*INDEX(tblKurallar[deger_2025],MATCH("YDK-004",tblKurallar[kural_id],0)),0))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8">
        <f>IF($A427="","",IFERROR(ROUND(MAX(0,$B427*($D427-1)),2),0))</f>
        <v/>
      </c>
      <c r="H427" s="38">
        <f>IF($A427="","",IFERROR(ROUND($G427*INDEX(tblKurallar[deger_2025],MATCH("YDK-002",tblKurallar[kural_id],0)),2),0))</f>
        <v/>
      </c>
      <c r="I427" s="38">
        <f>IF($A427="","",IFERROR($G427-$G427*INDEX(tblKurallar[deger_2025],MATCH("YDK-004",tblKurallar[kural_id],0)),0))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8">
        <f>IF($A428="","",IFERROR(ROUND(MAX(0,$B428*($D428-1)),2),0))</f>
        <v/>
      </c>
      <c r="H428" s="38">
        <f>IF($A428="","",IFERROR(ROUND($G428*INDEX(tblKurallar[deger_2025],MATCH("YDK-002",tblKurallar[kural_id],0)),2),0))</f>
        <v/>
      </c>
      <c r="I428" s="38">
        <f>IF($A428="","",IFERROR($G428-$G428*INDEX(tblKurallar[deger_2025],MATCH("YDK-004",tblKurallar[kural_id],0)),0))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8">
        <f>IF($A429="","",IFERROR(ROUND(MAX(0,$B429*($D429-1)),2),0))</f>
        <v/>
      </c>
      <c r="H429" s="38">
        <f>IF($A429="","",IFERROR(ROUND($G429*INDEX(tblKurallar[deger_2025],MATCH("YDK-002",tblKurallar[kural_id],0)),2),0))</f>
        <v/>
      </c>
      <c r="I429" s="38">
        <f>IF($A429="","",IFERROR($G429-$G429*INDEX(tblKurallar[deger_2025],MATCH("YDK-004",tblKurallar[kural_id],0)),0))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8">
        <f>IF($A430="","",IFERROR(ROUND(MAX(0,$B430*($D430-1)),2),0))</f>
        <v/>
      </c>
      <c r="H430" s="38">
        <f>IF($A430="","",IFERROR(ROUND($G430*INDEX(tblKurallar[deger_2025],MATCH("YDK-002",tblKurallar[kural_id],0)),2),0))</f>
        <v/>
      </c>
      <c r="I430" s="38">
        <f>IF($A430="","",IFERROR($G430-$G430*INDEX(tblKurallar[deger_2025],MATCH("YDK-004",tblKurallar[kural_id],0)),0))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8">
        <f>IF($A431="","",IFERROR(ROUND(MAX(0,$B431*($D431-1)),2),0))</f>
        <v/>
      </c>
      <c r="H431" s="38">
        <f>IF($A431="","",IFERROR(ROUND($G431*INDEX(tblKurallar[deger_2025],MATCH("YDK-002",tblKurallar[kural_id],0)),2),0))</f>
        <v/>
      </c>
      <c r="I431" s="38">
        <f>IF($A431="","",IFERROR($G431-$G431*INDEX(tblKurallar[deger_2025],MATCH("YDK-004",tblKurallar[kural_id],0)),0))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8">
        <f>IF($A432="","",IFERROR(ROUND(MAX(0,$B432*($D432-1)),2),0))</f>
        <v/>
      </c>
      <c r="H432" s="38">
        <f>IF($A432="","",IFERROR(ROUND($G432*INDEX(tblKurallar[deger_2025],MATCH("YDK-002",tblKurallar[kural_id],0)),2),0))</f>
        <v/>
      </c>
      <c r="I432" s="38">
        <f>IF($A432="","",IFERROR($G432-$G432*INDEX(tblKurallar[deger_2025],MATCH("YDK-004",tblKurallar[kural_id],0)),0))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8">
        <f>IF($A433="","",IFERROR(ROUND(MAX(0,$B433*($D433-1)),2),0))</f>
        <v/>
      </c>
      <c r="H433" s="38">
        <f>IF($A433="","",IFERROR(ROUND($G433*INDEX(tblKurallar[deger_2025],MATCH("YDK-002",tblKurallar[kural_id],0)),2),0))</f>
        <v/>
      </c>
      <c r="I433" s="38">
        <f>IF($A433="","",IFERROR($G433-$G433*INDEX(tblKurallar[deger_2025],MATCH("YDK-004",tblKurallar[kural_id],0)),0))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8">
        <f>IF($A434="","",IFERROR(ROUND(MAX(0,$B434*($D434-1)),2),0))</f>
        <v/>
      </c>
      <c r="H434" s="38">
        <f>IF($A434="","",IFERROR(ROUND($G434*INDEX(tblKurallar[deger_2025],MATCH("YDK-002",tblKurallar[kural_id],0)),2),0))</f>
        <v/>
      </c>
      <c r="I434" s="38">
        <f>IF($A434="","",IFERROR($G434-$G434*INDEX(tblKurallar[deger_2025],MATCH("YDK-004",tblKurallar[kural_id],0)),0))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8">
        <f>IF($A435="","",IFERROR(ROUND(MAX(0,$B435*($D435-1)),2),0))</f>
        <v/>
      </c>
      <c r="H435" s="38">
        <f>IF($A435="","",IFERROR(ROUND($G435*INDEX(tblKurallar[deger_2025],MATCH("YDK-002",tblKurallar[kural_id],0)),2),0))</f>
        <v/>
      </c>
      <c r="I435" s="38">
        <f>IF($A435="","",IFERROR($G435-$G435*INDEX(tblKurallar[deger_2025],MATCH("YDK-004",tblKurallar[kural_id],0)),0))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8">
        <f>IF($A436="","",IFERROR(ROUND(MAX(0,$B436*($D436-1)),2),0))</f>
        <v/>
      </c>
      <c r="H436" s="38">
        <f>IF($A436="","",IFERROR(ROUND($G436*INDEX(tblKurallar[deger_2025],MATCH("YDK-002",tblKurallar[kural_id],0)),2),0))</f>
        <v/>
      </c>
      <c r="I436" s="38">
        <f>IF($A436="","",IFERROR($G436-$G436*INDEX(tblKurallar[deger_2025],MATCH("YDK-004",tblKurallar[kural_id],0)),0))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8">
        <f>IF($A437="","",IFERROR(ROUND(MAX(0,$B437*($D437-1)),2),0))</f>
        <v/>
      </c>
      <c r="H437" s="38">
        <f>IF($A437="","",IFERROR(ROUND($G437*INDEX(tblKurallar[deger_2025],MATCH("YDK-002",tblKurallar[kural_id],0)),2),0))</f>
        <v/>
      </c>
      <c r="I437" s="38">
        <f>IF($A437="","",IFERROR($G437-$G437*INDEX(tblKurallar[deger_2025],MATCH("YDK-004",tblKurallar[kural_id],0)),0))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8">
        <f>IF($A438="","",IFERROR(ROUND(MAX(0,$B438*($D438-1)),2),0))</f>
        <v/>
      </c>
      <c r="H438" s="38">
        <f>IF($A438="","",IFERROR(ROUND($G438*INDEX(tblKurallar[deger_2025],MATCH("YDK-002",tblKurallar[kural_id],0)),2),0))</f>
        <v/>
      </c>
      <c r="I438" s="38">
        <f>IF($A438="","",IFERROR($G438-$G438*INDEX(tblKurallar[deger_2025],MATCH("YDK-004",tblKurallar[kural_id],0)),0))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8">
        <f>IF($A439="","",IFERROR(ROUND(MAX(0,$B439*($D439-1)),2),0))</f>
        <v/>
      </c>
      <c r="H439" s="38">
        <f>IF($A439="","",IFERROR(ROUND($G439*INDEX(tblKurallar[deger_2025],MATCH("YDK-002",tblKurallar[kural_id],0)),2),0))</f>
        <v/>
      </c>
      <c r="I439" s="38">
        <f>IF($A439="","",IFERROR($G439-$G439*INDEX(tblKurallar[deger_2025],MATCH("YDK-004",tblKurallar[kural_id],0)),0))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8">
        <f>IF($A440="","",IFERROR(ROUND(MAX(0,$B440*($D440-1)),2),0))</f>
        <v/>
      </c>
      <c r="H440" s="38">
        <f>IF($A440="","",IFERROR(ROUND($G440*INDEX(tblKurallar[deger_2025],MATCH("YDK-002",tblKurallar[kural_id],0)),2),0))</f>
        <v/>
      </c>
      <c r="I440" s="38">
        <f>IF($A440="","",IFERROR($G440-$G440*INDEX(tblKurallar[deger_2025],MATCH("YDK-004",tblKurallar[kural_id],0)),0))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8">
        <f>IF($A441="","",IFERROR(ROUND(MAX(0,$B441*($D441-1)),2),0))</f>
        <v/>
      </c>
      <c r="H441" s="38">
        <f>IF($A441="","",IFERROR(ROUND($G441*INDEX(tblKurallar[deger_2025],MATCH("YDK-002",tblKurallar[kural_id],0)),2),0))</f>
        <v/>
      </c>
      <c r="I441" s="38">
        <f>IF($A441="","",IFERROR($G441-$G441*INDEX(tblKurallar[deger_2025],MATCH("YDK-004",tblKurallar[kural_id],0)),0))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8">
        <f>IF($A442="","",IFERROR(ROUND(MAX(0,$B442*($D442-1)),2),0))</f>
        <v/>
      </c>
      <c r="H442" s="38">
        <f>IF($A442="","",IFERROR(ROUND($G442*INDEX(tblKurallar[deger_2025],MATCH("YDK-002",tblKurallar[kural_id],0)),2),0))</f>
        <v/>
      </c>
      <c r="I442" s="38">
        <f>IF($A442="","",IFERROR($G442-$G442*INDEX(tblKurallar[deger_2025],MATCH("YDK-004",tblKurallar[kural_id],0)),0))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8">
        <f>IF($A443="","",IFERROR(ROUND(MAX(0,$B443*($D443-1)),2),0))</f>
        <v/>
      </c>
      <c r="H443" s="38">
        <f>IF($A443="","",IFERROR(ROUND($G443*INDEX(tblKurallar[deger_2025],MATCH("YDK-002",tblKurallar[kural_id],0)),2),0))</f>
        <v/>
      </c>
      <c r="I443" s="38">
        <f>IF($A443="","",IFERROR($G443-$G443*INDEX(tblKurallar[deger_2025],MATCH("YDK-004",tblKurallar[kural_id],0)),0))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8">
        <f>IF($A444="","",IFERROR(ROUND(MAX(0,$B444*($D444-1)),2),0))</f>
        <v/>
      </c>
      <c r="H444" s="38">
        <f>IF($A444="","",IFERROR(ROUND($G444*INDEX(tblKurallar[deger_2025],MATCH("YDK-002",tblKurallar[kural_id],0)),2),0))</f>
        <v/>
      </c>
      <c r="I444" s="38">
        <f>IF($A444="","",IFERROR($G444-$G444*INDEX(tblKurallar[deger_2025],MATCH("YDK-004",tblKurallar[kural_id],0)),0))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8">
        <f>IF($A445="","",IFERROR(ROUND(MAX(0,$B445*($D445-1)),2),0))</f>
        <v/>
      </c>
      <c r="H445" s="38">
        <f>IF($A445="","",IFERROR(ROUND($G445*INDEX(tblKurallar[deger_2025],MATCH("YDK-002",tblKurallar[kural_id],0)),2),0))</f>
        <v/>
      </c>
      <c r="I445" s="38">
        <f>IF($A445="","",IFERROR($G445-$G445*INDEX(tblKurallar[deger_2025],MATCH("YDK-004",tblKurallar[kural_id],0)),0))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8">
        <f>IF($A446="","",IFERROR(ROUND(MAX(0,$B446*($D446-1)),2),0))</f>
        <v/>
      </c>
      <c r="H446" s="38">
        <f>IF($A446="","",IFERROR(ROUND($G446*INDEX(tblKurallar[deger_2025],MATCH("YDK-002",tblKurallar[kural_id],0)),2),0))</f>
        <v/>
      </c>
      <c r="I446" s="38">
        <f>IF($A446="","",IFERROR($G446-$G446*INDEX(tblKurallar[deger_2025],MATCH("YDK-004",tblKurallar[kural_id],0)),0))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8">
        <f>IF($A447="","",IFERROR(ROUND(MAX(0,$B447*($D447-1)),2),0))</f>
        <v/>
      </c>
      <c r="H447" s="38">
        <f>IF($A447="","",IFERROR(ROUND($G447*INDEX(tblKurallar[deger_2025],MATCH("YDK-002",tblKurallar[kural_id],0)),2),0))</f>
        <v/>
      </c>
      <c r="I447" s="38">
        <f>IF($A447="","",IFERROR($G447-$G447*INDEX(tblKurallar[deger_2025],MATCH("YDK-004",tblKurallar[kural_id],0)),0))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8">
        <f>IF($A448="","",IFERROR(ROUND(MAX(0,$B448*($D448-1)),2),0))</f>
        <v/>
      </c>
      <c r="H448" s="38">
        <f>IF($A448="","",IFERROR(ROUND($G448*INDEX(tblKurallar[deger_2025],MATCH("YDK-002",tblKurallar[kural_id],0)),2),0))</f>
        <v/>
      </c>
      <c r="I448" s="38">
        <f>IF($A448="","",IFERROR($G448-$G448*INDEX(tblKurallar[deger_2025],MATCH("YDK-004",tblKurallar[kural_id],0)),0))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8">
        <f>IF($A449="","",IFERROR(ROUND(MAX(0,$B449*($D449-1)),2),0))</f>
        <v/>
      </c>
      <c r="H449" s="38">
        <f>IF($A449="","",IFERROR(ROUND($G449*INDEX(tblKurallar[deger_2025],MATCH("YDK-002",tblKurallar[kural_id],0)),2),0))</f>
        <v/>
      </c>
      <c r="I449" s="38">
        <f>IF($A449="","",IFERROR($G449-$G449*INDEX(tblKurallar[deger_2025],MATCH("YDK-004",tblKurallar[kural_id],0)),0))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8">
        <f>IF($A450="","",IFERROR(ROUND(MAX(0,$B450*($D450-1)),2),0))</f>
        <v/>
      </c>
      <c r="H450" s="38">
        <f>IF($A450="","",IFERROR(ROUND($G450*INDEX(tblKurallar[deger_2025],MATCH("YDK-002",tblKurallar[kural_id],0)),2),0))</f>
        <v/>
      </c>
      <c r="I450" s="38">
        <f>IF($A450="","",IFERROR($G450-$G450*INDEX(tblKurallar[deger_2025],MATCH("YDK-004",tblKurallar[kural_id],0)),0))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8">
        <f>IF($A451="","",IFERROR(ROUND(MAX(0,$B451*($D451-1)),2),0))</f>
        <v/>
      </c>
      <c r="H451" s="38">
        <f>IF($A451="","",IFERROR(ROUND($G451*INDEX(tblKurallar[deger_2025],MATCH("YDK-002",tblKurallar[kural_id],0)),2),0))</f>
        <v/>
      </c>
      <c r="I451" s="38">
        <f>IF($A451="","",IFERROR($G451-$G451*INDEX(tblKurallar[deger_2025],MATCH("YDK-004",tblKurallar[kural_id],0)),0))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8">
        <f>IF($A452="","",IFERROR(ROUND(MAX(0,$B452*($D452-1)),2),0))</f>
        <v/>
      </c>
      <c r="H452" s="38">
        <f>IF($A452="","",IFERROR(ROUND($G452*INDEX(tblKurallar[deger_2025],MATCH("YDK-002",tblKurallar[kural_id],0)),2),0))</f>
        <v/>
      </c>
      <c r="I452" s="38">
        <f>IF($A452="","",IFERROR($G452-$G452*INDEX(tblKurallar[deger_2025],MATCH("YDK-004",tblKurallar[kural_id],0)),0))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8">
        <f>IF($A453="","",IFERROR(ROUND(MAX(0,$B453*($D453-1)),2),0))</f>
        <v/>
      </c>
      <c r="H453" s="38">
        <f>IF($A453="","",IFERROR(ROUND($G453*INDEX(tblKurallar[deger_2025],MATCH("YDK-002",tblKurallar[kural_id],0)),2),0))</f>
        <v/>
      </c>
      <c r="I453" s="38">
        <f>IF($A453="","",IFERROR($G453-$G453*INDEX(tblKurallar[deger_2025],MATCH("YDK-004",tblKurallar[kural_id],0)),0))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8">
        <f>IF($A454="","",IFERROR(ROUND(MAX(0,$B454*($D454-1)),2),0))</f>
        <v/>
      </c>
      <c r="H454" s="38">
        <f>IF($A454="","",IFERROR(ROUND($G454*INDEX(tblKurallar[deger_2025],MATCH("YDK-002",tblKurallar[kural_id],0)),2),0))</f>
        <v/>
      </c>
      <c r="I454" s="38">
        <f>IF($A454="","",IFERROR($G454-$G454*INDEX(tblKurallar[deger_2025],MATCH("YDK-004",tblKurallar[kural_id],0)),0))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8">
        <f>IF($A455="","",IFERROR(ROUND(MAX(0,$B455*($D455-1)),2),0))</f>
        <v/>
      </c>
      <c r="H455" s="38">
        <f>IF($A455="","",IFERROR(ROUND($G455*INDEX(tblKurallar[deger_2025],MATCH("YDK-002",tblKurallar[kural_id],0)),2),0))</f>
        <v/>
      </c>
      <c r="I455" s="38">
        <f>IF($A455="","",IFERROR($G455-$G455*INDEX(tblKurallar[deger_2025],MATCH("YDK-004",tblKurallar[kural_id],0)),0))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8">
        <f>IF($A456="","",IFERROR(ROUND(MAX(0,$B456*($D456-1)),2),0))</f>
        <v/>
      </c>
      <c r="H456" s="38">
        <f>IF($A456="","",IFERROR(ROUND($G456*INDEX(tblKurallar[deger_2025],MATCH("YDK-002",tblKurallar[kural_id],0)),2),0))</f>
        <v/>
      </c>
      <c r="I456" s="38">
        <f>IF($A456="","",IFERROR($G456-$G456*INDEX(tblKurallar[deger_2025],MATCH("YDK-004",tblKurallar[kural_id],0)),0))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8">
        <f>IF($A457="","",IFERROR(ROUND(MAX(0,$B457*($D457-1)),2),0))</f>
        <v/>
      </c>
      <c r="H457" s="38">
        <f>IF($A457="","",IFERROR(ROUND($G457*INDEX(tblKurallar[deger_2025],MATCH("YDK-002",tblKurallar[kural_id],0)),2),0))</f>
        <v/>
      </c>
      <c r="I457" s="38">
        <f>IF($A457="","",IFERROR($G457-$G457*INDEX(tblKurallar[deger_2025],MATCH("YDK-004",tblKurallar[kural_id],0)),0))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8">
        <f>IF($A458="","",IFERROR(ROUND(MAX(0,$B458*($D458-1)),2),0))</f>
        <v/>
      </c>
      <c r="H458" s="38">
        <f>IF($A458="","",IFERROR(ROUND($G458*INDEX(tblKurallar[deger_2025],MATCH("YDK-002",tblKurallar[kural_id],0)),2),0))</f>
        <v/>
      </c>
      <c r="I458" s="38">
        <f>IF($A458="","",IFERROR($G458-$G458*INDEX(tblKurallar[deger_2025],MATCH("YDK-004",tblKurallar[kural_id],0)),0))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8">
        <f>IF($A459="","",IFERROR(ROUND(MAX(0,$B459*($D459-1)),2),0))</f>
        <v/>
      </c>
      <c r="H459" s="38">
        <f>IF($A459="","",IFERROR(ROUND($G459*INDEX(tblKurallar[deger_2025],MATCH("YDK-002",tblKurallar[kural_id],0)),2),0))</f>
        <v/>
      </c>
      <c r="I459" s="38">
        <f>IF($A459="","",IFERROR($G459-$G459*INDEX(tblKurallar[deger_2025],MATCH("YDK-004",tblKurallar[kural_id],0)),0))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8">
        <f>IF($A460="","",IFERROR(ROUND(MAX(0,$B460*($D460-1)),2),0))</f>
        <v/>
      </c>
      <c r="H460" s="38">
        <f>IF($A460="","",IFERROR(ROUND($G460*INDEX(tblKurallar[deger_2025],MATCH("YDK-002",tblKurallar[kural_id],0)),2),0))</f>
        <v/>
      </c>
      <c r="I460" s="38">
        <f>IF($A460="","",IFERROR($G460-$G460*INDEX(tblKurallar[deger_2025],MATCH("YDK-004",tblKurallar[kural_id],0)),0))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8">
        <f>IF($A461="","",IFERROR(ROUND(MAX(0,$B461*($D461-1)),2),0))</f>
        <v/>
      </c>
      <c r="H461" s="38">
        <f>IF($A461="","",IFERROR(ROUND($G461*INDEX(tblKurallar[deger_2025],MATCH("YDK-002",tblKurallar[kural_id],0)),2),0))</f>
        <v/>
      </c>
      <c r="I461" s="38">
        <f>IF($A461="","",IFERROR($G461-$G461*INDEX(tblKurallar[deger_2025],MATCH("YDK-004",tblKurallar[kural_id],0)),0))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8">
        <f>IF($A462="","",IFERROR(ROUND(MAX(0,$B462*($D462-1)),2),0))</f>
        <v/>
      </c>
      <c r="H462" s="38">
        <f>IF($A462="","",IFERROR(ROUND($G462*INDEX(tblKurallar[deger_2025],MATCH("YDK-002",tblKurallar[kural_id],0)),2),0))</f>
        <v/>
      </c>
      <c r="I462" s="38">
        <f>IF($A462="","",IFERROR($G462-$G462*INDEX(tblKurallar[deger_2025],MATCH("YDK-004",tblKurallar[kural_id],0)),0))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8">
        <f>IF($A463="","",IFERROR(ROUND(MAX(0,$B463*($D463-1)),2),0))</f>
        <v/>
      </c>
      <c r="H463" s="38">
        <f>IF($A463="","",IFERROR(ROUND($G463*INDEX(tblKurallar[deger_2025],MATCH("YDK-002",tblKurallar[kural_id],0)),2),0))</f>
        <v/>
      </c>
      <c r="I463" s="38">
        <f>IF($A463="","",IFERROR($G463-$G463*INDEX(tblKurallar[deger_2025],MATCH("YDK-004",tblKurallar[kural_id],0)),0))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8">
        <f>IF($A464="","",IFERROR(ROUND(MAX(0,$B464*($D464-1)),2),0))</f>
        <v/>
      </c>
      <c r="H464" s="38">
        <f>IF($A464="","",IFERROR(ROUND($G464*INDEX(tblKurallar[deger_2025],MATCH("YDK-002",tblKurallar[kural_id],0)),2),0))</f>
        <v/>
      </c>
      <c r="I464" s="38">
        <f>IF($A464="","",IFERROR($G464-$G464*INDEX(tblKurallar[deger_2025],MATCH("YDK-004",tblKurallar[kural_id],0)),0))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8">
        <f>IF($A465="","",IFERROR(ROUND(MAX(0,$B465*($D465-1)),2),0))</f>
        <v/>
      </c>
      <c r="H465" s="38">
        <f>IF($A465="","",IFERROR(ROUND($G465*INDEX(tblKurallar[deger_2025],MATCH("YDK-002",tblKurallar[kural_id],0)),2),0))</f>
        <v/>
      </c>
      <c r="I465" s="38">
        <f>IF($A465="","",IFERROR($G465-$G465*INDEX(tblKurallar[deger_2025],MATCH("YDK-004",tblKurallar[kural_id],0)),0))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8">
        <f>IF($A466="","",IFERROR(ROUND(MAX(0,$B466*($D466-1)),2),0))</f>
        <v/>
      </c>
      <c r="H466" s="38">
        <f>IF($A466="","",IFERROR(ROUND($G466*INDEX(tblKurallar[deger_2025],MATCH("YDK-002",tblKurallar[kural_id],0)),2),0))</f>
        <v/>
      </c>
      <c r="I466" s="38">
        <f>IF($A466="","",IFERROR($G466-$G466*INDEX(tblKurallar[deger_2025],MATCH("YDK-004",tblKurallar[kural_id],0)),0))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8">
        <f>IF($A467="","",IFERROR(ROUND(MAX(0,$B467*($D467-1)),2),0))</f>
        <v/>
      </c>
      <c r="H467" s="38">
        <f>IF($A467="","",IFERROR(ROUND($G467*INDEX(tblKurallar[deger_2025],MATCH("YDK-002",tblKurallar[kural_id],0)),2),0))</f>
        <v/>
      </c>
      <c r="I467" s="38">
        <f>IF($A467="","",IFERROR($G467-$G467*INDEX(tblKurallar[deger_2025],MATCH("YDK-004",tblKurallar[kural_id],0)),0))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8">
        <f>IF($A468="","",IFERROR(ROUND(MAX(0,$B468*($D468-1)),2),0))</f>
        <v/>
      </c>
      <c r="H468" s="38">
        <f>IF($A468="","",IFERROR(ROUND($G468*INDEX(tblKurallar[deger_2025],MATCH("YDK-002",tblKurallar[kural_id],0)),2),0))</f>
        <v/>
      </c>
      <c r="I468" s="38">
        <f>IF($A468="","",IFERROR($G468-$G468*INDEX(tblKurallar[deger_2025],MATCH("YDK-004",tblKurallar[kural_id],0)),0))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8">
        <f>IF($A469="","",IFERROR(ROUND(MAX(0,$B469*($D469-1)),2),0))</f>
        <v/>
      </c>
      <c r="H469" s="38">
        <f>IF($A469="","",IFERROR(ROUND($G469*INDEX(tblKurallar[deger_2025],MATCH("YDK-002",tblKurallar[kural_id],0)),2),0))</f>
        <v/>
      </c>
      <c r="I469" s="38">
        <f>IF($A469="","",IFERROR($G469-$G469*INDEX(tblKurallar[deger_2025],MATCH("YDK-004",tblKurallar[kural_id],0)),0))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8">
        <f>IF($A470="","",IFERROR(ROUND(MAX(0,$B470*($D470-1)),2),0))</f>
        <v/>
      </c>
      <c r="H470" s="38">
        <f>IF($A470="","",IFERROR(ROUND($G470*INDEX(tblKurallar[deger_2025],MATCH("YDK-002",tblKurallar[kural_id],0)),2),0))</f>
        <v/>
      </c>
      <c r="I470" s="38">
        <f>IF($A470="","",IFERROR($G470-$G470*INDEX(tblKurallar[deger_2025],MATCH("YDK-004",tblKurallar[kural_id],0)),0))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8">
        <f>IF($A471="","",IFERROR(ROUND(MAX(0,$B471*($D471-1)),2),0))</f>
        <v/>
      </c>
      <c r="H471" s="38">
        <f>IF($A471="","",IFERROR(ROUND($G471*INDEX(tblKurallar[deger_2025],MATCH("YDK-002",tblKurallar[kural_id],0)),2),0))</f>
        <v/>
      </c>
      <c r="I471" s="38">
        <f>IF($A471="","",IFERROR($G471-$G471*INDEX(tblKurallar[deger_2025],MATCH("YDK-004",tblKurallar[kural_id],0)),0))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8">
        <f>IF($A472="","",IFERROR(ROUND(MAX(0,$B472*($D472-1)),2),0))</f>
        <v/>
      </c>
      <c r="H472" s="38">
        <f>IF($A472="","",IFERROR(ROUND($G472*INDEX(tblKurallar[deger_2025],MATCH("YDK-002",tblKurallar[kural_id],0)),2),0))</f>
        <v/>
      </c>
      <c r="I472" s="38">
        <f>IF($A472="","",IFERROR($G472-$G472*INDEX(tblKurallar[deger_2025],MATCH("YDK-004",tblKurallar[kural_id],0)),0))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8">
        <f>IF($A473="","",IFERROR(ROUND(MAX(0,$B473*($D473-1)),2),0))</f>
        <v/>
      </c>
      <c r="H473" s="38">
        <f>IF($A473="","",IFERROR(ROUND($G473*INDEX(tblKurallar[deger_2025],MATCH("YDK-002",tblKurallar[kural_id],0)),2),0))</f>
        <v/>
      </c>
      <c r="I473" s="38">
        <f>IF($A473="","",IFERROR($G473-$G473*INDEX(tblKurallar[deger_2025],MATCH("YDK-004",tblKurallar[kural_id],0)),0))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8">
        <f>IF($A474="","",IFERROR(ROUND(MAX(0,$B474*($D474-1)),2),0))</f>
        <v/>
      </c>
      <c r="H474" s="38">
        <f>IF($A474="","",IFERROR(ROUND($G474*INDEX(tblKurallar[deger_2025],MATCH("YDK-002",tblKurallar[kural_id],0)),2),0))</f>
        <v/>
      </c>
      <c r="I474" s="38">
        <f>IF($A474="","",IFERROR($G474-$G474*INDEX(tblKurallar[deger_2025],MATCH("YDK-004",tblKurallar[kural_id],0)),0))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8">
        <f>IF($A475="","",IFERROR(ROUND(MAX(0,$B475*($D475-1)),2),0))</f>
        <v/>
      </c>
      <c r="H475" s="38">
        <f>IF($A475="","",IFERROR(ROUND($G475*INDEX(tblKurallar[deger_2025],MATCH("YDK-002",tblKurallar[kural_id],0)),2),0))</f>
        <v/>
      </c>
      <c r="I475" s="38">
        <f>IF($A475="","",IFERROR($G475-$G475*INDEX(tblKurallar[deger_2025],MATCH("YDK-004",tblKurallar[kural_id],0)),0))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8">
        <f>IF($A476="","",IFERROR(ROUND(MAX(0,$B476*($D476-1)),2),0))</f>
        <v/>
      </c>
      <c r="H476" s="38">
        <f>IF($A476="","",IFERROR(ROUND($G476*INDEX(tblKurallar[deger_2025],MATCH("YDK-002",tblKurallar[kural_id],0)),2),0))</f>
        <v/>
      </c>
      <c r="I476" s="38">
        <f>IF($A476="","",IFERROR($G476-$G476*INDEX(tblKurallar[deger_2025],MATCH("YDK-004",tblKurallar[kural_id],0)),0))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8">
        <f>IF($A477="","",IFERROR(ROUND(MAX(0,$B477*($D477-1)),2),0))</f>
        <v/>
      </c>
      <c r="H477" s="38">
        <f>IF($A477="","",IFERROR(ROUND($G477*INDEX(tblKurallar[deger_2025],MATCH("YDK-002",tblKurallar[kural_id],0)),2),0))</f>
        <v/>
      </c>
      <c r="I477" s="38">
        <f>IF($A477="","",IFERROR($G477-$G477*INDEX(tblKurallar[deger_2025],MATCH("YDK-004",tblKurallar[kural_id],0)),0))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8">
        <f>IF($A478="","",IFERROR(ROUND(MAX(0,$B478*($D478-1)),2),0))</f>
        <v/>
      </c>
      <c r="H478" s="38">
        <f>IF($A478="","",IFERROR(ROUND($G478*INDEX(tblKurallar[deger_2025],MATCH("YDK-002",tblKurallar[kural_id],0)),2),0))</f>
        <v/>
      </c>
      <c r="I478" s="38">
        <f>IF($A478="","",IFERROR($G478-$G478*INDEX(tblKurallar[deger_2025],MATCH("YDK-004",tblKurallar[kural_id],0)),0))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8">
        <f>IF($A479="","",IFERROR(ROUND(MAX(0,$B479*($D479-1)),2),0))</f>
        <v/>
      </c>
      <c r="H479" s="38">
        <f>IF($A479="","",IFERROR(ROUND($G479*INDEX(tblKurallar[deger_2025],MATCH("YDK-002",tblKurallar[kural_id],0)),2),0))</f>
        <v/>
      </c>
      <c r="I479" s="38">
        <f>IF($A479="","",IFERROR($G479-$G479*INDEX(tblKurallar[deger_2025],MATCH("YDK-004",tblKurallar[kural_id],0)),0))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8">
        <f>IF($A480="","",IFERROR(ROUND(MAX(0,$B480*($D480-1)),2),0))</f>
        <v/>
      </c>
      <c r="H480" s="38">
        <f>IF($A480="","",IFERROR(ROUND($G480*INDEX(tblKurallar[deger_2025],MATCH("YDK-002",tblKurallar[kural_id],0)),2),0))</f>
        <v/>
      </c>
      <c r="I480" s="38">
        <f>IF($A480="","",IFERROR($G480-$G480*INDEX(tblKurallar[deger_2025],MATCH("YDK-004",tblKurallar[kural_id],0)),0))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8">
        <f>IF($A481="","",IFERROR(ROUND(MAX(0,$B481*($D481-1)),2),0))</f>
        <v/>
      </c>
      <c r="H481" s="38">
        <f>IF($A481="","",IFERROR(ROUND($G481*INDEX(tblKurallar[deger_2025],MATCH("YDK-002",tblKurallar[kural_id],0)),2),0))</f>
        <v/>
      </c>
      <c r="I481" s="38">
        <f>IF($A481="","",IFERROR($G481-$G481*INDEX(tblKurallar[deger_2025],MATCH("YDK-004",tblKurallar[kural_id],0)),0))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8">
        <f>IF($A482="","",IFERROR(ROUND(MAX(0,$B482*($D482-1)),2),0))</f>
        <v/>
      </c>
      <c r="H482" s="38">
        <f>IF($A482="","",IFERROR(ROUND($G482*INDEX(tblKurallar[deger_2025],MATCH("YDK-002",tblKurallar[kural_id],0)),2),0))</f>
        <v/>
      </c>
      <c r="I482" s="38">
        <f>IF($A482="","",IFERROR($G482-$G482*INDEX(tblKurallar[deger_2025],MATCH("YDK-004",tblKurallar[kural_id],0)),0))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8">
        <f>IF($A483="","",IFERROR(ROUND(MAX(0,$B483*($D483-1)),2),0))</f>
        <v/>
      </c>
      <c r="H483" s="38">
        <f>IF($A483="","",IFERROR(ROUND($G483*INDEX(tblKurallar[deger_2025],MATCH("YDK-002",tblKurallar[kural_id],0)),2),0))</f>
        <v/>
      </c>
      <c r="I483" s="38">
        <f>IF($A483="","",IFERROR($G483-$G483*INDEX(tblKurallar[deger_2025],MATCH("YDK-004",tblKurallar[kural_id],0)),0))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8">
        <f>IF($A484="","",IFERROR(ROUND(MAX(0,$B484*($D484-1)),2),0))</f>
        <v/>
      </c>
      <c r="H484" s="38">
        <f>IF($A484="","",IFERROR(ROUND($G484*INDEX(tblKurallar[deger_2025],MATCH("YDK-002",tblKurallar[kural_id],0)),2),0))</f>
        <v/>
      </c>
      <c r="I484" s="38">
        <f>IF($A484="","",IFERROR($G484-$G484*INDEX(tblKurallar[deger_2025],MATCH("YDK-004",tblKurallar[kural_id],0)),0))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8">
        <f>IF($A485="","",IFERROR(ROUND(MAX(0,$B485*($D485-1)),2),0))</f>
        <v/>
      </c>
      <c r="H485" s="38">
        <f>IF($A485="","",IFERROR(ROUND($G485*INDEX(tblKurallar[deger_2025],MATCH("YDK-002",tblKurallar[kural_id],0)),2),0))</f>
        <v/>
      </c>
      <c r="I485" s="38">
        <f>IF($A485="","",IFERROR($G485-$G485*INDEX(tblKurallar[deger_2025],MATCH("YDK-004",tblKurallar[kural_id],0)),0))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8">
        <f>IF($A486="","",IFERROR(ROUND(MAX(0,$B486*($D486-1)),2),0))</f>
        <v/>
      </c>
      <c r="H486" s="38">
        <f>IF($A486="","",IFERROR(ROUND($G486*INDEX(tblKurallar[deger_2025],MATCH("YDK-002",tblKurallar[kural_id],0)),2),0))</f>
        <v/>
      </c>
      <c r="I486" s="38">
        <f>IF($A486="","",IFERROR($G486-$G486*INDEX(tblKurallar[deger_2025],MATCH("YDK-004",tblKurallar[kural_id],0)),0))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8">
        <f>IF($A487="","",IFERROR(ROUND(MAX(0,$B487*($D487-1)),2),0))</f>
        <v/>
      </c>
      <c r="H487" s="38">
        <f>IF($A487="","",IFERROR(ROUND($G487*INDEX(tblKurallar[deger_2025],MATCH("YDK-002",tblKurallar[kural_id],0)),2),0))</f>
        <v/>
      </c>
      <c r="I487" s="38">
        <f>IF($A487="","",IFERROR($G487-$G487*INDEX(tblKurallar[deger_2025],MATCH("YDK-004",tblKurallar[kural_id],0)),0))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8">
        <f>IF($A488="","",IFERROR(ROUND(MAX(0,$B488*($D488-1)),2),0))</f>
        <v/>
      </c>
      <c r="H488" s="38">
        <f>IF($A488="","",IFERROR(ROUND($G488*INDEX(tblKurallar[deger_2025],MATCH("YDK-002",tblKurallar[kural_id],0)),2),0))</f>
        <v/>
      </c>
      <c r="I488" s="38">
        <f>IF($A488="","",IFERROR($G488-$G488*INDEX(tblKurallar[deger_2025],MATCH("YDK-004",tblKurallar[kural_id],0)),0))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8">
        <f>IF($A489="","",IFERROR(ROUND(MAX(0,$B489*($D489-1)),2),0))</f>
        <v/>
      </c>
      <c r="H489" s="38">
        <f>IF($A489="","",IFERROR(ROUND($G489*INDEX(tblKurallar[deger_2025],MATCH("YDK-002",tblKurallar[kural_id],0)),2),0))</f>
        <v/>
      </c>
      <c r="I489" s="38">
        <f>IF($A489="","",IFERROR($G489-$G489*INDEX(tblKurallar[deger_2025],MATCH("YDK-004",tblKurallar[kural_id],0)),0))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8">
        <f>IF($A490="","",IFERROR(ROUND(MAX(0,$B490*($D490-1)),2),0))</f>
        <v/>
      </c>
      <c r="H490" s="38">
        <f>IF($A490="","",IFERROR(ROUND($G490*INDEX(tblKurallar[deger_2025],MATCH("YDK-002",tblKurallar[kural_id],0)),2),0))</f>
        <v/>
      </c>
      <c r="I490" s="38">
        <f>IF($A490="","",IFERROR($G490-$G490*INDEX(tblKurallar[deger_2025],MATCH("YDK-004",tblKurallar[kural_id],0)),0))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8">
        <f>IF($A491="","",IFERROR(ROUND(MAX(0,$B491*($D491-1)),2),0))</f>
        <v/>
      </c>
      <c r="H491" s="38">
        <f>IF($A491="","",IFERROR(ROUND($G491*INDEX(tblKurallar[deger_2025],MATCH("YDK-002",tblKurallar[kural_id],0)),2),0))</f>
        <v/>
      </c>
      <c r="I491" s="38">
        <f>IF($A491="","",IFERROR($G491-$G491*INDEX(tblKurallar[deger_2025],MATCH("YDK-004",tblKurallar[kural_id],0)),0))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8">
        <f>IF($A492="","",IFERROR(ROUND(MAX(0,$B492*($D492-1)),2),0))</f>
        <v/>
      </c>
      <c r="H492" s="38">
        <f>IF($A492="","",IFERROR(ROUND($G492*INDEX(tblKurallar[deger_2025],MATCH("YDK-002",tblKurallar[kural_id],0)),2),0))</f>
        <v/>
      </c>
      <c r="I492" s="38">
        <f>IF($A492="","",IFERROR($G492-$G492*INDEX(tblKurallar[deger_2025],MATCH("YDK-004",tblKurallar[kural_id],0)),0))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8">
        <f>IF($A493="","",IFERROR(ROUND(MAX(0,$B493*($D493-1)),2),0))</f>
        <v/>
      </c>
      <c r="H493" s="38">
        <f>IF($A493="","",IFERROR(ROUND($G493*INDEX(tblKurallar[deger_2025],MATCH("YDK-002",tblKurallar[kural_id],0)),2),0))</f>
        <v/>
      </c>
      <c r="I493" s="38">
        <f>IF($A493="","",IFERROR($G493-$G493*INDEX(tblKurallar[deger_2025],MATCH("YDK-004",tblKurallar[kural_id],0)),0))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8">
        <f>IF($A494="","",IFERROR(ROUND(MAX(0,$B494*($D494-1)),2),0))</f>
        <v/>
      </c>
      <c r="H494" s="38">
        <f>IF($A494="","",IFERROR(ROUND($G494*INDEX(tblKurallar[deger_2025],MATCH("YDK-002",tblKurallar[kural_id],0)),2),0))</f>
        <v/>
      </c>
      <c r="I494" s="38">
        <f>IF($A494="","",IFERROR($G494-$G494*INDEX(tblKurallar[deger_2025],MATCH("YDK-004",tblKurallar[kural_id],0)),0))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8">
        <f>IF($A495="","",IFERROR(ROUND(MAX(0,$B495*($D495-1)),2),0))</f>
        <v/>
      </c>
      <c r="H495" s="38">
        <f>IF($A495="","",IFERROR(ROUND($G495*INDEX(tblKurallar[deger_2025],MATCH("YDK-002",tblKurallar[kural_id],0)),2),0))</f>
        <v/>
      </c>
      <c r="I495" s="38">
        <f>IF($A495="","",IFERROR($G495-$G495*INDEX(tblKurallar[deger_2025],MATCH("YDK-004",tblKurallar[kural_id],0)),0))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8">
        <f>IF($A496="","",IFERROR(ROUND(MAX(0,$B496*($D496-1)),2),0))</f>
        <v/>
      </c>
      <c r="H496" s="38">
        <f>IF($A496="","",IFERROR(ROUND($G496*INDEX(tblKurallar[deger_2025],MATCH("YDK-002",tblKurallar[kural_id],0)),2),0))</f>
        <v/>
      </c>
      <c r="I496" s="38">
        <f>IF($A496="","",IFERROR($G496-$G496*INDEX(tblKurallar[deger_2025],MATCH("YDK-004",tblKurallar[kural_id],0)),0))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8">
        <f>IF($A497="","",IFERROR(ROUND(MAX(0,$B497*($D497-1)),2),0))</f>
        <v/>
      </c>
      <c r="H497" s="38">
        <f>IF($A497="","",IFERROR(ROUND($G497*INDEX(tblKurallar[deger_2025],MATCH("YDK-002",tblKurallar[kural_id],0)),2),0))</f>
        <v/>
      </c>
      <c r="I497" s="38">
        <f>IF($A497="","",IFERROR($G497-$G497*INDEX(tblKurallar[deger_2025],MATCH("YDK-004",tblKurallar[kural_id],0)),0))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8">
        <f>IF($A498="","",IFERROR(ROUND(MAX(0,$B498*($D498-1)),2),0))</f>
        <v/>
      </c>
      <c r="H498" s="38">
        <f>IF($A498="","",IFERROR(ROUND($G498*INDEX(tblKurallar[deger_2025],MATCH("YDK-002",tblKurallar[kural_id],0)),2),0))</f>
        <v/>
      </c>
      <c r="I498" s="38">
        <f>IF($A498="","",IFERROR($G498-$G498*INDEX(tblKurallar[deger_2025],MATCH("YDK-004",tblKurallar[kural_id],0)),0))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8">
        <f>IF($A499="","",IFERROR(ROUND(MAX(0,$B499*($D499-1)),2),0))</f>
        <v/>
      </c>
      <c r="H499" s="38">
        <f>IF($A499="","",IFERROR(ROUND($G499*INDEX(tblKurallar[deger_2025],MATCH("YDK-002",tblKurallar[kural_id],0)),2),0))</f>
        <v/>
      </c>
      <c r="I499" s="38">
        <f>IF($A499="","",IFERROR($G499-$G499*INDEX(tblKurallar[deger_2025],MATCH("YDK-004",tblKurallar[kural_id],0)),0))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8">
        <f>IF($A500="","",IFERROR(ROUND(MAX(0,$B500*($D500-1)),2),0))</f>
        <v/>
      </c>
      <c r="H500" s="38">
        <f>IF($A500="","",IFERROR(ROUND($G500*INDEX(tblKurallar[deger_2025],MATCH("YDK-002",tblKurallar[kural_id],0)),2),0))</f>
        <v/>
      </c>
      <c r="I500" s="38">
        <f>IF($A500="","",IFERROR($G500-$G500*INDEX(tblKurallar[deger_2025],MATCH("YDK-004",tblKurallar[kural_id],0)),0))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8">
        <f>IF($A501="","",IFERROR(ROUND(MAX(0,$B501*($D501-1)),2),0))</f>
        <v/>
      </c>
      <c r="H501" s="38">
        <f>IF($A501="","",IFERROR(ROUND($G501*INDEX(tblKurallar[deger_2025],MATCH("YDK-002",tblKurallar[kural_id],0)),2),0))</f>
        <v/>
      </c>
      <c r="I501" s="38">
        <f>IF($A501="","",IFERROR($G501-$G501*INDEX(tblKurallar[deger_2025],MATCH("YDK-004",tblKurallar[kural_id],0)),0))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8">
        <f>IF($A502="","",IFERROR(ROUND(MAX(0,$B502*($D502-1)),2),0))</f>
        <v/>
      </c>
      <c r="H502" s="38">
        <f>IF($A502="","",IFERROR(ROUND($G502*INDEX(tblKurallar[deger_2025],MATCH("YDK-002",tblKurallar[kural_id],0)),2),0))</f>
        <v/>
      </c>
      <c r="I502" s="38">
        <f>IF($A502="","",IFERROR($G502-$G502*INDEX(tblKurallar[deger_2025],MATCH("YDK-004",tblKurallar[kural_id],0)),0))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8">
        <f>IF($A503="","",IFERROR(ROUND(MAX(0,$B503*($D503-1)),2),0))</f>
        <v/>
      </c>
      <c r="H503" s="38">
        <f>IF($A503="","",IFERROR(ROUND($G503*INDEX(tblKurallar[deger_2025],MATCH("YDK-002",tblKurallar[kural_id],0)),2),0))</f>
        <v/>
      </c>
      <c r="I503" s="38">
        <f>IF($A503="","",IFERROR($G503-$G503*INDEX(tblKurallar[deger_2025],MATCH("YDK-004",tblKurallar[kural_id],0)),0))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8">
        <f>IF($A504="","",IFERROR(ROUND(MAX(0,$B504*($D504-1)),2),0))</f>
        <v/>
      </c>
      <c r="H504" s="38">
        <f>IF($A504="","",IFERROR(ROUND($G504*INDEX(tblKurallar[deger_2025],MATCH("YDK-002",tblKurallar[kural_id],0)),2),0))</f>
        <v/>
      </c>
      <c r="I504" s="38">
        <f>IF($A504="","",IFERROR($G504-$G504*INDEX(tblKurallar[deger_2025],MATCH("YDK-004",tblKurallar[kural_id],0)),0))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8">
        <f>IF($A505="","",IFERROR(ROUND(MAX(0,$B505*($D505-1)),2),0))</f>
        <v/>
      </c>
      <c r="H505" s="38">
        <f>IF($A505="","",IFERROR(ROUND($G505*INDEX(tblKurallar[deger_2025],MATCH("YDK-002",tblKurallar[kural_id],0)),2),0))</f>
        <v/>
      </c>
      <c r="I505" s="38">
        <f>IF($A505="","",IFERROR($G505-$G505*INDEX(tblKurallar[deger_2025],MATCH("YDK-004",tblKurallar[kural_id],0)),0))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8">
        <f>IF($A506="","",IFERROR(ROUND(MAX(0,$B506*($D506-1)),2),0))</f>
        <v/>
      </c>
      <c r="H506" s="38">
        <f>IF($A506="","",IFERROR(ROUND($G506*INDEX(tblKurallar[deger_2025],MATCH("YDK-002",tblKurallar[kural_id],0)),2),0))</f>
        <v/>
      </c>
      <c r="I506" s="38">
        <f>IF($A506="","",IFERROR($G506-$G506*INDEX(tblKurallar[deger_2025],MATCH("YDK-004",tblKurallar[kural_id],0)),0))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8">
        <f>IF($A507="","",IFERROR(ROUND(MAX(0,$B507*($D507-1)),2),0))</f>
        <v/>
      </c>
      <c r="H507" s="38">
        <f>IF($A507="","",IFERROR(ROUND($G507*INDEX(tblKurallar[deger_2025],MATCH("YDK-002",tblKurallar[kural_id],0)),2),0))</f>
        <v/>
      </c>
      <c r="I507" s="38">
        <f>IF($A507="","",IFERROR($G507-$G507*INDEX(tblKurallar[deger_2025],MATCH("YDK-004",tblKurallar[kural_id],0)),0))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8">
        <f>IF($A508="","",IFERROR(ROUND(MAX(0,$B508*($D508-1)),2),0))</f>
        <v/>
      </c>
      <c r="H508" s="38">
        <f>IF($A508="","",IFERROR(ROUND($G508*INDEX(tblKurallar[deger_2025],MATCH("YDK-002",tblKurallar[kural_id],0)),2),0))</f>
        <v/>
      </c>
      <c r="I508" s="38">
        <f>IF($A508="","",IFERROR($G508-$G508*INDEX(tblKurallar[deger_2025],MATCH("YDK-004",tblKurallar[kural_id],0)),0))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8">
        <f>IF($A509="","",IFERROR(ROUND(MAX(0,$B509*($D509-1)),2),0))</f>
        <v/>
      </c>
      <c r="H509" s="38">
        <f>IF($A509="","",IFERROR(ROUND($G509*INDEX(tblKurallar[deger_2025],MATCH("YDK-002",tblKurallar[kural_id],0)),2),0))</f>
        <v/>
      </c>
      <c r="I509" s="38">
        <f>IF($A509="","",IFERROR($G509-$G509*INDEX(tblKurallar[deger_2025],MATCH("YDK-004",tblKurallar[kural_id],0)),0))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8">
        <f>IF($A510="","",IFERROR(ROUND(MAX(0,$B510*($D510-1)),2),0))</f>
        <v/>
      </c>
      <c r="H510" s="38">
        <f>IF($A510="","",IFERROR(ROUND($G510*INDEX(tblKurallar[deger_2025],MATCH("YDK-002",tblKurallar[kural_id],0)),2),0))</f>
        <v/>
      </c>
      <c r="I510" s="38">
        <f>IF($A510="","",IFERROR($G510-$G510*INDEX(tblKurallar[deger_2025],MATCH("YDK-004",tblKurallar[kural_id],0)),0))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8">
        <f>IF($A511="","",IFERROR(ROUND(MAX(0,$B511*($D511-1)),2),0))</f>
        <v/>
      </c>
      <c r="H511" s="38">
        <f>IF($A511="","",IFERROR(ROUND($G511*INDEX(tblKurallar[deger_2025],MATCH("YDK-002",tblKurallar[kural_id],0)),2),0))</f>
        <v/>
      </c>
      <c r="I511" s="38">
        <f>IF($A511="","",IFERROR($G511-$G511*INDEX(tblKurallar[deger_2025],MATCH("YDK-004",tblKurallar[kural_id],0)),0))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8">
        <f>IF($A512="","",IFERROR(ROUND(MAX(0,$B512*($D512-1)),2),0))</f>
        <v/>
      </c>
      <c r="H512" s="38">
        <f>IF($A512="","",IFERROR(ROUND($G512*INDEX(tblKurallar[deger_2025],MATCH("YDK-002",tblKurallar[kural_id],0)),2),0))</f>
        <v/>
      </c>
      <c r="I512" s="38">
        <f>IF($A512="","",IFERROR($G512-$G512*INDEX(tblKurallar[deger_2025],MATCH("YDK-004",tblKurallar[kural_id],0)),0))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8">
        <f>IF($A513="","",IFERROR(ROUND(MAX(0,$B513*($D513-1)),2),0))</f>
        <v/>
      </c>
      <c r="H513" s="38">
        <f>IF($A513="","",IFERROR(ROUND($G513*INDEX(tblKurallar[deger_2025],MATCH("YDK-002",tblKurallar[kural_id],0)),2),0))</f>
        <v/>
      </c>
      <c r="I513" s="38">
        <f>IF($A513="","",IFERROR($G513-$G513*INDEX(tblKurallar[deger_2025],MATCH("YDK-004",tblKurallar[kural_id],0)),0))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8">
        <f>IF($A514="","",IFERROR(ROUND(MAX(0,$B514*($D514-1)),2),0))</f>
        <v/>
      </c>
      <c r="H514" s="38">
        <f>IF($A514="","",IFERROR(ROUND($G514*INDEX(tblKurallar[deger_2025],MATCH("YDK-002",tblKurallar[kural_id],0)),2),0))</f>
        <v/>
      </c>
      <c r="I514" s="38">
        <f>IF($A514="","",IFERROR($G514-$G514*INDEX(tblKurallar[deger_2025],MATCH("YDK-004",tblKurallar[kural_id],0)),0))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8">
        <f>IF($A515="","",IFERROR(ROUND(MAX(0,$B515*($D515-1)),2),0))</f>
        <v/>
      </c>
      <c r="H515" s="38">
        <f>IF($A515="","",IFERROR(ROUND($G515*INDEX(tblKurallar[deger_2025],MATCH("YDK-002",tblKurallar[kural_id],0)),2),0))</f>
        <v/>
      </c>
      <c r="I515" s="38">
        <f>IF($A515="","",IFERROR($G515-$G515*INDEX(tblKurallar[deger_2025],MATCH("YDK-004",tblKurallar[kural_id],0)),0))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8">
        <f>IF($A516="","",IFERROR(ROUND(MAX(0,$B516*($D516-1)),2),0))</f>
        <v/>
      </c>
      <c r="H516" s="38">
        <f>IF($A516="","",IFERROR(ROUND($G516*INDEX(tblKurallar[deger_2025],MATCH("YDK-002",tblKurallar[kural_id],0)),2),0))</f>
        <v/>
      </c>
      <c r="I516" s="38">
        <f>IF($A516="","",IFERROR($G516-$G516*INDEX(tblKurallar[deger_2025],MATCH("YDK-004",tblKurallar[kural_id],0)),0))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8">
        <f>IF($A517="","",IFERROR(ROUND(MAX(0,$B517*($D517-1)),2),0))</f>
        <v/>
      </c>
      <c r="H517" s="38">
        <f>IF($A517="","",IFERROR(ROUND($G517*INDEX(tblKurallar[deger_2025],MATCH("YDK-002",tblKurallar[kural_id],0)),2),0))</f>
        <v/>
      </c>
      <c r="I517" s="38">
        <f>IF($A517="","",IFERROR($G517-$G517*INDEX(tblKurallar[deger_2025],MATCH("YDK-004",tblKurallar[kural_id],0)),0))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8">
        <f>IF($A518="","",IFERROR(ROUND(MAX(0,$B518*($D518-1)),2),0))</f>
        <v/>
      </c>
      <c r="H518" s="38">
        <f>IF($A518="","",IFERROR(ROUND($G518*INDEX(tblKurallar[deger_2025],MATCH("YDK-002",tblKurallar[kural_id],0)),2),0))</f>
        <v/>
      </c>
      <c r="I518" s="38">
        <f>IF($A518="","",IFERROR($G518-$G518*INDEX(tblKurallar[deger_2025],MATCH("YDK-004",tblKurallar[kural_id],0)),0))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8">
        <f>IF($A519="","",IFERROR(ROUND(MAX(0,$B519*($D519-1)),2),0))</f>
        <v/>
      </c>
      <c r="H519" s="38">
        <f>IF($A519="","",IFERROR(ROUND($G519*INDEX(tblKurallar[deger_2025],MATCH("YDK-002",tblKurallar[kural_id],0)),2),0))</f>
        <v/>
      </c>
      <c r="I519" s="38">
        <f>IF($A519="","",IFERROR($G519-$G519*INDEX(tblKurallar[deger_2025],MATCH("YDK-004",tblKurallar[kural_id],0)),0))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8">
        <f>IF($A520="","",IFERROR(ROUND(MAX(0,$B520*($D520-1)),2),0))</f>
        <v/>
      </c>
      <c r="H520" s="38">
        <f>IF($A520="","",IFERROR(ROUND($G520*INDEX(tblKurallar[deger_2025],MATCH("YDK-002",tblKurallar[kural_id],0)),2),0))</f>
        <v/>
      </c>
      <c r="I520" s="38">
        <f>IF($A520="","",IFERROR($G520-$G520*INDEX(tblKurallar[deger_2025],MATCH("YDK-004",tblKurallar[kural_id],0)),0))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8">
        <f>IF($A521="","",IFERROR(ROUND(MAX(0,$B521*($D521-1)),2),0))</f>
        <v/>
      </c>
      <c r="H521" s="38">
        <f>IF($A521="","",IFERROR(ROUND($G521*INDEX(tblKurallar[deger_2025],MATCH("YDK-002",tblKurallar[kural_id],0)),2),0))</f>
        <v/>
      </c>
      <c r="I521" s="38">
        <f>IF($A521="","",IFERROR($G521-$G521*INDEX(tblKurallar[deger_2025],MATCH("YDK-004",tblKurallar[kural_id],0)),0))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8">
        <f>IF($A522="","",IFERROR(ROUND(MAX(0,$B522*($D522-1)),2),0))</f>
        <v/>
      </c>
      <c r="H522" s="38">
        <f>IF($A522="","",IFERROR(ROUND($G522*INDEX(tblKurallar[deger_2025],MATCH("YDK-002",tblKurallar[kural_id],0)),2),0))</f>
        <v/>
      </c>
      <c r="I522" s="38">
        <f>IF($A522="","",IFERROR($G522-$G522*INDEX(tblKurallar[deger_2025],MATCH("YDK-004",tblKurallar[kural_id],0)),0))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8">
        <f>IF($A523="","",IFERROR(ROUND(MAX(0,$B523*($D523-1)),2),0))</f>
        <v/>
      </c>
      <c r="H523" s="38">
        <f>IF($A523="","",IFERROR(ROUND($G523*INDEX(tblKurallar[deger_2025],MATCH("YDK-002",tblKurallar[kural_id],0)),2),0))</f>
        <v/>
      </c>
      <c r="I523" s="38">
        <f>IF($A523="","",IFERROR($G523-$G523*INDEX(tblKurallar[deger_2025],MATCH("YDK-004",tblKurallar[kural_id],0)),0))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8">
        <f>IF($A524="","",IFERROR(ROUND(MAX(0,$B524*($D524-1)),2),0))</f>
        <v/>
      </c>
      <c r="H524" s="38">
        <f>IF($A524="","",IFERROR(ROUND($G524*INDEX(tblKurallar[deger_2025],MATCH("YDK-002",tblKurallar[kural_id],0)),2),0))</f>
        <v/>
      </c>
      <c r="I524" s="38">
        <f>IF($A524="","",IFERROR($G524-$G524*INDEX(tblKurallar[deger_2025],MATCH("YDK-004",tblKurallar[kural_id],0)),0))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8">
        <f>IF($A525="","",IFERROR(ROUND(MAX(0,$B525*($D525-1)),2),0))</f>
        <v/>
      </c>
      <c r="H525" s="38">
        <f>IF($A525="","",IFERROR(ROUND($G525*INDEX(tblKurallar[deger_2025],MATCH("YDK-002",tblKurallar[kural_id],0)),2),0))</f>
        <v/>
      </c>
      <c r="I525" s="38">
        <f>IF($A525="","",IFERROR($G525-$G525*INDEX(tblKurallar[deger_2025],MATCH("YDK-004",tblKurallar[kural_id],0)),0))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8">
        <f>IF($A526="","",IFERROR(ROUND(MAX(0,$B526*($D526-1)),2),0))</f>
        <v/>
      </c>
      <c r="H526" s="38">
        <f>IF($A526="","",IFERROR(ROUND($G526*INDEX(tblKurallar[deger_2025],MATCH("YDK-002",tblKurallar[kural_id],0)),2),0))</f>
        <v/>
      </c>
      <c r="I526" s="38">
        <f>IF($A526="","",IFERROR($G526-$G526*INDEX(tblKurallar[deger_2025],MATCH("YDK-004",tblKurallar[kural_id],0)),0))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8">
        <f>IF($A527="","",IFERROR(ROUND(MAX(0,$B527*($D527-1)),2),0))</f>
        <v/>
      </c>
      <c r="H527" s="38">
        <f>IF($A527="","",IFERROR(ROUND($G527*INDEX(tblKurallar[deger_2025],MATCH("YDK-002",tblKurallar[kural_id],0)),2),0))</f>
        <v/>
      </c>
      <c r="I527" s="38">
        <f>IF($A527="","",IFERROR($G527-$G527*INDEX(tblKurallar[deger_2025],MATCH("YDK-004",tblKurallar[kural_id],0)),0))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8">
        <f>IF($A528="","",IFERROR(ROUND(MAX(0,$B528*($D528-1)),2),0))</f>
        <v/>
      </c>
      <c r="H528" s="38">
        <f>IF($A528="","",IFERROR(ROUND($G528*INDEX(tblKurallar[deger_2025],MATCH("YDK-002",tblKurallar[kural_id],0)),2),0))</f>
        <v/>
      </c>
      <c r="I528" s="38">
        <f>IF($A528="","",IFERROR($G528-$G528*INDEX(tblKurallar[deger_2025],MATCH("YDK-004",tblKurallar[kural_id],0)),0))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8">
        <f>IF($A529="","",IFERROR(ROUND(MAX(0,$B529*($D529-1)),2),0))</f>
        <v/>
      </c>
      <c r="H529" s="38">
        <f>IF($A529="","",IFERROR(ROUND($G529*INDEX(tblKurallar[deger_2025],MATCH("YDK-002",tblKurallar[kural_id],0)),2),0))</f>
        <v/>
      </c>
      <c r="I529" s="38">
        <f>IF($A529="","",IFERROR($G529-$G529*INDEX(tblKurallar[deger_2025],MATCH("YDK-004",tblKurallar[kural_id],0)),0))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8">
        <f>IF($A530="","",IFERROR(ROUND(MAX(0,$B530*($D530-1)),2),0))</f>
        <v/>
      </c>
      <c r="H530" s="38">
        <f>IF($A530="","",IFERROR(ROUND($G530*INDEX(tblKurallar[deger_2025],MATCH("YDK-002",tblKurallar[kural_id],0)),2),0))</f>
        <v/>
      </c>
      <c r="I530" s="38">
        <f>IF($A530="","",IFERROR($G530-$G530*INDEX(tblKurallar[deger_2025],MATCH("YDK-004",tblKurallar[kural_id],0)),0))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8">
        <f>IF($A531="","",IFERROR(ROUND(MAX(0,$B531*($D531-1)),2),0))</f>
        <v/>
      </c>
      <c r="H531" s="38">
        <f>IF($A531="","",IFERROR(ROUND($G531*INDEX(tblKurallar[deger_2025],MATCH("YDK-002",tblKurallar[kural_id],0)),2),0))</f>
        <v/>
      </c>
      <c r="I531" s="38">
        <f>IF($A531="","",IFERROR($G531-$G531*INDEX(tblKurallar[deger_2025],MATCH("YDK-004",tblKurallar[kural_id],0)),0))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8">
        <f>IF($A532="","",IFERROR(ROUND(MAX(0,$B532*($D532-1)),2),0))</f>
        <v/>
      </c>
      <c r="H532" s="38">
        <f>IF($A532="","",IFERROR(ROUND($G532*INDEX(tblKurallar[deger_2025],MATCH("YDK-002",tblKurallar[kural_id],0)),2),0))</f>
        <v/>
      </c>
      <c r="I532" s="38">
        <f>IF($A532="","",IFERROR($G532-$G532*INDEX(tblKurallar[deger_2025],MATCH("YDK-004",tblKurallar[kural_id],0)),0))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8">
        <f>IF($A533="","",IFERROR(ROUND(MAX(0,$B533*($D533-1)),2),0))</f>
        <v/>
      </c>
      <c r="H533" s="38">
        <f>IF($A533="","",IFERROR(ROUND($G533*INDEX(tblKurallar[deger_2025],MATCH("YDK-002",tblKurallar[kural_id],0)),2),0))</f>
        <v/>
      </c>
      <c r="I533" s="38">
        <f>IF($A533="","",IFERROR($G533-$G533*INDEX(tblKurallar[deger_2025],MATCH("YDK-004",tblKurallar[kural_id],0)),0))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8">
        <f>IF($A534="","",IFERROR(ROUND(MAX(0,$B534*($D534-1)),2),0))</f>
        <v/>
      </c>
      <c r="H534" s="38">
        <f>IF($A534="","",IFERROR(ROUND($G534*INDEX(tblKurallar[deger_2025],MATCH("YDK-002",tblKurallar[kural_id],0)),2),0))</f>
        <v/>
      </c>
      <c r="I534" s="38">
        <f>IF($A534="","",IFERROR($G534-$G534*INDEX(tblKurallar[deger_2025],MATCH("YDK-004",tblKurallar[kural_id],0)),0))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8">
        <f>IF($A535="","",IFERROR(ROUND(MAX(0,$B535*($D535-1)),2),0))</f>
        <v/>
      </c>
      <c r="H535" s="38">
        <f>IF($A535="","",IFERROR(ROUND($G535*INDEX(tblKurallar[deger_2025],MATCH("YDK-002",tblKurallar[kural_id],0)),2),0))</f>
        <v/>
      </c>
      <c r="I535" s="38">
        <f>IF($A535="","",IFERROR($G535-$G535*INDEX(tblKurallar[deger_2025],MATCH("YDK-004",tblKurallar[kural_id],0)),0))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8">
        <f>IF($A536="","",IFERROR(ROUND(MAX(0,$B536*($D536-1)),2),0))</f>
        <v/>
      </c>
      <c r="H536" s="38">
        <f>IF($A536="","",IFERROR(ROUND($G536*INDEX(tblKurallar[deger_2025],MATCH("YDK-002",tblKurallar[kural_id],0)),2),0))</f>
        <v/>
      </c>
      <c r="I536" s="38">
        <f>IF($A536="","",IFERROR($G536-$G536*INDEX(tblKurallar[deger_2025],MATCH("YDK-004",tblKurallar[kural_id],0)),0))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8">
        <f>IF($A537="","",IFERROR(ROUND(MAX(0,$B537*($D537-1)),2),0))</f>
        <v/>
      </c>
      <c r="H537" s="38">
        <f>IF($A537="","",IFERROR(ROUND($G537*INDEX(tblKurallar[deger_2025],MATCH("YDK-002",tblKurallar[kural_id],0)),2),0))</f>
        <v/>
      </c>
      <c r="I537" s="38">
        <f>IF($A537="","",IFERROR($G537-$G537*INDEX(tblKurallar[deger_2025],MATCH("YDK-004",tblKurallar[kural_id],0)),0))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8">
        <f>IF($A538="","",IFERROR(ROUND(MAX(0,$B538*($D538-1)),2),0))</f>
        <v/>
      </c>
      <c r="H538" s="38">
        <f>IF($A538="","",IFERROR(ROUND($G538*INDEX(tblKurallar[deger_2025],MATCH("YDK-002",tblKurallar[kural_id],0)),2),0))</f>
        <v/>
      </c>
      <c r="I538" s="38">
        <f>IF($A538="","",IFERROR($G538-$G538*INDEX(tblKurallar[deger_2025],MATCH("YDK-004",tblKurallar[kural_id],0)),0))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8">
        <f>IF($A539="","",IFERROR(ROUND(MAX(0,$B539*($D539-1)),2),0))</f>
        <v/>
      </c>
      <c r="H539" s="38">
        <f>IF($A539="","",IFERROR(ROUND($G539*INDEX(tblKurallar[deger_2025],MATCH("YDK-002",tblKurallar[kural_id],0)),2),0))</f>
        <v/>
      </c>
      <c r="I539" s="38">
        <f>IF($A539="","",IFERROR($G539-$G539*INDEX(tblKurallar[deger_2025],MATCH("YDK-004",tblKurallar[kural_id],0)),0))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8">
        <f>IF($A540="","",IFERROR(ROUND(MAX(0,$B540*($D540-1)),2),0))</f>
        <v/>
      </c>
      <c r="H540" s="38">
        <f>IF($A540="","",IFERROR(ROUND($G540*INDEX(tblKurallar[deger_2025],MATCH("YDK-002",tblKurallar[kural_id],0)),2),0))</f>
        <v/>
      </c>
      <c r="I540" s="38">
        <f>IF($A540="","",IFERROR($G540-$G540*INDEX(tblKurallar[deger_2025],MATCH("YDK-004",tblKurallar[kural_id],0)),0))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8">
        <f>IF($A541="","",IFERROR(ROUND(MAX(0,$B541*($D541-1)),2),0))</f>
        <v/>
      </c>
      <c r="H541" s="38">
        <f>IF($A541="","",IFERROR(ROUND($G541*INDEX(tblKurallar[deger_2025],MATCH("YDK-002",tblKurallar[kural_id],0)),2),0))</f>
        <v/>
      </c>
      <c r="I541" s="38">
        <f>IF($A541="","",IFERROR($G541-$G541*INDEX(tblKurallar[deger_2025],MATCH("YDK-004",tblKurallar[kural_id],0)),0))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8">
        <f>IF($A542="","",IFERROR(ROUND(MAX(0,$B542*($D542-1)),2),0))</f>
        <v/>
      </c>
      <c r="H542" s="38">
        <f>IF($A542="","",IFERROR(ROUND($G542*INDEX(tblKurallar[deger_2025],MATCH("YDK-002",tblKurallar[kural_id],0)),2),0))</f>
        <v/>
      </c>
      <c r="I542" s="38">
        <f>IF($A542="","",IFERROR($G542-$G542*INDEX(tblKurallar[deger_2025],MATCH("YDK-004",tblKurallar[kural_id],0)),0))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8">
        <f>IF($A543="","",IFERROR(ROUND(MAX(0,$B543*($D543-1)),2),0))</f>
        <v/>
      </c>
      <c r="H543" s="38">
        <f>IF($A543="","",IFERROR(ROUND($G543*INDEX(tblKurallar[deger_2025],MATCH("YDK-002",tblKurallar[kural_id],0)),2),0))</f>
        <v/>
      </c>
      <c r="I543" s="38">
        <f>IF($A543="","",IFERROR($G543-$G543*INDEX(tblKurallar[deger_2025],MATCH("YDK-004",tblKurallar[kural_id],0)),0))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8">
        <f>IF($A544="","",IFERROR(ROUND(MAX(0,$B544*($D544-1)),2),0))</f>
        <v/>
      </c>
      <c r="H544" s="38">
        <f>IF($A544="","",IFERROR(ROUND($G544*INDEX(tblKurallar[deger_2025],MATCH("YDK-002",tblKurallar[kural_id],0)),2),0))</f>
        <v/>
      </c>
      <c r="I544" s="38">
        <f>IF($A544="","",IFERROR($G544-$G544*INDEX(tblKurallar[deger_2025],MATCH("YDK-004",tblKurallar[kural_id],0)),0))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8">
        <f>IF($A545="","",IFERROR(ROUND(MAX(0,$B545*($D545-1)),2),0))</f>
        <v/>
      </c>
      <c r="H545" s="38">
        <f>IF($A545="","",IFERROR(ROUND($G545*INDEX(tblKurallar[deger_2025],MATCH("YDK-002",tblKurallar[kural_id],0)),2),0))</f>
        <v/>
      </c>
      <c r="I545" s="38">
        <f>IF($A545="","",IFERROR($G545-$G545*INDEX(tblKurallar[deger_2025],MATCH("YDK-004",tblKurallar[kural_id],0)),0))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8">
        <f>IF($A546="","",IFERROR(ROUND(MAX(0,$B546*($D546-1)),2),0))</f>
        <v/>
      </c>
      <c r="H546" s="38">
        <f>IF($A546="","",IFERROR(ROUND($G546*INDEX(tblKurallar[deger_2025],MATCH("YDK-002",tblKurallar[kural_id],0)),2),0))</f>
        <v/>
      </c>
      <c r="I546" s="38">
        <f>IF($A546="","",IFERROR($G546-$G546*INDEX(tblKurallar[deger_2025],MATCH("YDK-004",tblKurallar[kural_id],0)),0))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8">
        <f>IF($A547="","",IFERROR(ROUND(MAX(0,$B547*($D547-1)),2),0))</f>
        <v/>
      </c>
      <c r="H547" s="38">
        <f>IF($A547="","",IFERROR(ROUND($G547*INDEX(tblKurallar[deger_2025],MATCH("YDK-002",tblKurallar[kural_id],0)),2),0))</f>
        <v/>
      </c>
      <c r="I547" s="38">
        <f>IF($A547="","",IFERROR($G547-$G547*INDEX(tblKurallar[deger_2025],MATCH("YDK-004",tblKurallar[kural_id],0)),0))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8">
        <f>IF($A548="","",IFERROR(ROUND(MAX(0,$B548*($D548-1)),2),0))</f>
        <v/>
      </c>
      <c r="H548" s="38">
        <f>IF($A548="","",IFERROR(ROUND($G548*INDEX(tblKurallar[deger_2025],MATCH("YDK-002",tblKurallar[kural_id],0)),2),0))</f>
        <v/>
      </c>
      <c r="I548" s="38">
        <f>IF($A548="","",IFERROR($G548-$G548*INDEX(tblKurallar[deger_2025],MATCH("YDK-004",tblKurallar[kural_id],0)),0))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8">
        <f>IF($A549="","",IFERROR(ROUND(MAX(0,$B549*($D549-1)),2),0))</f>
        <v/>
      </c>
      <c r="H549" s="38">
        <f>IF($A549="","",IFERROR(ROUND($G549*INDEX(tblKurallar[deger_2025],MATCH("YDK-002",tblKurallar[kural_id],0)),2),0))</f>
        <v/>
      </c>
      <c r="I549" s="38">
        <f>IF($A549="","",IFERROR($G549-$G549*INDEX(tblKurallar[deger_2025],MATCH("YDK-004",tblKurallar[kural_id],0)),0))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8">
        <f>IF($A550="","",IFERROR(ROUND(MAX(0,$B550*($D550-1)),2),0))</f>
        <v/>
      </c>
      <c r="H550" s="38">
        <f>IF($A550="","",IFERROR(ROUND($G550*INDEX(tblKurallar[deger_2025],MATCH("YDK-002",tblKurallar[kural_id],0)),2),0))</f>
        <v/>
      </c>
      <c r="I550" s="38">
        <f>IF($A550="","",IFERROR($G550-$G550*INDEX(tblKurallar[deger_2025],MATCH("YDK-004",tblKurallar[kural_id],0)),0))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8">
        <f>IF($A551="","",IFERROR(ROUND(MAX(0,$B551*($D551-1)),2),0))</f>
        <v/>
      </c>
      <c r="H551" s="38">
        <f>IF($A551="","",IFERROR(ROUND($G551*INDEX(tblKurallar[deger_2025],MATCH("YDK-002",tblKurallar[kural_id],0)),2),0))</f>
        <v/>
      </c>
      <c r="I551" s="38">
        <f>IF($A551="","",IFERROR($G551-$G551*INDEX(tblKurallar[deger_2025],MATCH("YDK-004",tblKurallar[kural_id],0)),0))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8">
        <f>IF($A552="","",IFERROR(ROUND(MAX(0,$B552*($D552-1)),2),0))</f>
        <v/>
      </c>
      <c r="H552" s="38">
        <f>IF($A552="","",IFERROR(ROUND($G552*INDEX(tblKurallar[deger_2025],MATCH("YDK-002",tblKurallar[kural_id],0)),2),0))</f>
        <v/>
      </c>
      <c r="I552" s="38">
        <f>IF($A552="","",IFERROR($G552-$G552*INDEX(tblKurallar[deger_2025],MATCH("YDK-004",tblKurallar[kural_id],0)),0))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8">
        <f>IF($A553="","",IFERROR(ROUND(MAX(0,$B553*($D553-1)),2),0))</f>
        <v/>
      </c>
      <c r="H553" s="38">
        <f>IF($A553="","",IFERROR(ROUND($G553*INDEX(tblKurallar[deger_2025],MATCH("YDK-002",tblKurallar[kural_id],0)),2),0))</f>
        <v/>
      </c>
      <c r="I553" s="38">
        <f>IF($A553="","",IFERROR($G553-$G553*INDEX(tblKurallar[deger_2025],MATCH("YDK-004",tblKurallar[kural_id],0)),0))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8">
        <f>IF($A554="","",IFERROR(ROUND(MAX(0,$B554*($D554-1)),2),0))</f>
        <v/>
      </c>
      <c r="H554" s="38">
        <f>IF($A554="","",IFERROR(ROUND($G554*INDEX(tblKurallar[deger_2025],MATCH("YDK-002",tblKurallar[kural_id],0)),2),0))</f>
        <v/>
      </c>
      <c r="I554" s="38">
        <f>IF($A554="","",IFERROR($G554-$G554*INDEX(tblKurallar[deger_2025],MATCH("YDK-004",tblKurallar[kural_id],0)),0))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8">
        <f>IF($A555="","",IFERROR(ROUND(MAX(0,$B555*($D555-1)),2),0))</f>
        <v/>
      </c>
      <c r="H555" s="38">
        <f>IF($A555="","",IFERROR(ROUND($G555*INDEX(tblKurallar[deger_2025],MATCH("YDK-002",tblKurallar[kural_id],0)),2),0))</f>
        <v/>
      </c>
      <c r="I555" s="38">
        <f>IF($A555="","",IFERROR($G555-$G555*INDEX(tblKurallar[deger_2025],MATCH("YDK-004",tblKurallar[kural_id],0)),0))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8">
        <f>IF($A556="","",IFERROR(ROUND(MAX(0,$B556*($D556-1)),2),0))</f>
        <v/>
      </c>
      <c r="H556" s="38">
        <f>IF($A556="","",IFERROR(ROUND($G556*INDEX(tblKurallar[deger_2025],MATCH("YDK-002",tblKurallar[kural_id],0)),2),0))</f>
        <v/>
      </c>
      <c r="I556" s="38">
        <f>IF($A556="","",IFERROR($G556-$G556*INDEX(tblKurallar[deger_2025],MATCH("YDK-004",tblKurallar[kural_id],0)),0))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8">
        <f>IF($A557="","",IFERROR(ROUND(MAX(0,$B557*($D557-1)),2),0))</f>
        <v/>
      </c>
      <c r="H557" s="38">
        <f>IF($A557="","",IFERROR(ROUND($G557*INDEX(tblKurallar[deger_2025],MATCH("YDK-002",tblKurallar[kural_id],0)),2),0))</f>
        <v/>
      </c>
      <c r="I557" s="38">
        <f>IF($A557="","",IFERROR($G557-$G557*INDEX(tblKurallar[deger_2025],MATCH("YDK-004",tblKurallar[kural_id],0)),0))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8">
        <f>IF($A558="","",IFERROR(ROUND(MAX(0,$B558*($D558-1)),2),0))</f>
        <v/>
      </c>
      <c r="H558" s="38">
        <f>IF($A558="","",IFERROR(ROUND($G558*INDEX(tblKurallar[deger_2025],MATCH("YDK-002",tblKurallar[kural_id],0)),2),0))</f>
        <v/>
      </c>
      <c r="I558" s="38">
        <f>IF($A558="","",IFERROR($G558-$G558*INDEX(tblKurallar[deger_2025],MATCH("YDK-004",tblKurallar[kural_id],0)),0))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8">
        <f>IF($A559="","",IFERROR(ROUND(MAX(0,$B559*($D559-1)),2),0))</f>
        <v/>
      </c>
      <c r="H559" s="38">
        <f>IF($A559="","",IFERROR(ROUND($G559*INDEX(tblKurallar[deger_2025],MATCH("YDK-002",tblKurallar[kural_id],0)),2),0))</f>
        <v/>
      </c>
      <c r="I559" s="38">
        <f>IF($A559="","",IFERROR($G559-$G559*INDEX(tblKurallar[deger_2025],MATCH("YDK-004",tblKurallar[kural_id],0)),0))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8">
        <f>IF($A560="","",IFERROR(ROUND(MAX(0,$B560*($D560-1)),2),0))</f>
        <v/>
      </c>
      <c r="H560" s="38">
        <f>IF($A560="","",IFERROR(ROUND($G560*INDEX(tblKurallar[deger_2025],MATCH("YDK-002",tblKurallar[kural_id],0)),2),0))</f>
        <v/>
      </c>
      <c r="I560" s="38">
        <f>IF($A560="","",IFERROR($G560-$G560*INDEX(tblKurallar[deger_2025],MATCH("YDK-004",tblKurallar[kural_id],0)),0))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8">
        <f>IF($A561="","",IFERROR(ROUND(MAX(0,$B561*($D561-1)),2),0))</f>
        <v/>
      </c>
      <c r="H561" s="38">
        <f>IF($A561="","",IFERROR(ROUND($G561*INDEX(tblKurallar[deger_2025],MATCH("YDK-002",tblKurallar[kural_id],0)),2),0))</f>
        <v/>
      </c>
      <c r="I561" s="38">
        <f>IF($A561="","",IFERROR($G561-$G561*INDEX(tblKurallar[deger_2025],MATCH("YDK-004",tblKurallar[kural_id],0)),0))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8">
        <f>IF($A562="","",IFERROR(ROUND(MAX(0,$B562*($D562-1)),2),0))</f>
        <v/>
      </c>
      <c r="H562" s="38">
        <f>IF($A562="","",IFERROR(ROUND($G562*INDEX(tblKurallar[deger_2025],MATCH("YDK-002",tblKurallar[kural_id],0)),2),0))</f>
        <v/>
      </c>
      <c r="I562" s="38">
        <f>IF($A562="","",IFERROR($G562-$G562*INDEX(tblKurallar[deger_2025],MATCH("YDK-004",tblKurallar[kural_id],0)),0))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8">
        <f>IF($A563="","",IFERROR(ROUND(MAX(0,$B563*($D563-1)),2),0))</f>
        <v/>
      </c>
      <c r="H563" s="38">
        <f>IF($A563="","",IFERROR(ROUND($G563*INDEX(tblKurallar[deger_2025],MATCH("YDK-002",tblKurallar[kural_id],0)),2),0))</f>
        <v/>
      </c>
      <c r="I563" s="38">
        <f>IF($A563="","",IFERROR($G563-$G563*INDEX(tblKurallar[deger_2025],MATCH("YDK-004",tblKurallar[kural_id],0)),0))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8">
        <f>IF($A564="","",IFERROR(ROUND(MAX(0,$B564*($D564-1)),2),0))</f>
        <v/>
      </c>
      <c r="H564" s="38">
        <f>IF($A564="","",IFERROR(ROUND($G564*INDEX(tblKurallar[deger_2025],MATCH("YDK-002",tblKurallar[kural_id],0)),2),0))</f>
        <v/>
      </c>
      <c r="I564" s="38">
        <f>IF($A564="","",IFERROR($G564-$G564*INDEX(tblKurallar[deger_2025],MATCH("YDK-004",tblKurallar[kural_id],0)),0))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8">
        <f>IF($A565="","",IFERROR(ROUND(MAX(0,$B565*($D565-1)),2),0))</f>
        <v/>
      </c>
      <c r="H565" s="38">
        <f>IF($A565="","",IFERROR(ROUND($G565*INDEX(tblKurallar[deger_2025],MATCH("YDK-002",tblKurallar[kural_id],0)),2),0))</f>
        <v/>
      </c>
      <c r="I565" s="38">
        <f>IF($A565="","",IFERROR($G565-$G565*INDEX(tblKurallar[deger_2025],MATCH("YDK-004",tblKurallar[kural_id],0)),0))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8">
        <f>IF($A566="","",IFERROR(ROUND(MAX(0,$B566*($D566-1)),2),0))</f>
        <v/>
      </c>
      <c r="H566" s="38">
        <f>IF($A566="","",IFERROR(ROUND($G566*INDEX(tblKurallar[deger_2025],MATCH("YDK-002",tblKurallar[kural_id],0)),2),0))</f>
        <v/>
      </c>
      <c r="I566" s="38">
        <f>IF($A566="","",IFERROR($G566-$G566*INDEX(tblKurallar[deger_2025],MATCH("YDK-004",tblKurallar[kural_id],0)),0))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8">
        <f>IF($A567="","",IFERROR(ROUND(MAX(0,$B567*($D567-1)),2),0))</f>
        <v/>
      </c>
      <c r="H567" s="38">
        <f>IF($A567="","",IFERROR(ROUND($G567*INDEX(tblKurallar[deger_2025],MATCH("YDK-002",tblKurallar[kural_id],0)),2),0))</f>
        <v/>
      </c>
      <c r="I567" s="38">
        <f>IF($A567="","",IFERROR($G567-$G567*INDEX(tblKurallar[deger_2025],MATCH("YDK-004",tblKurallar[kural_id],0)),0))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8">
        <f>IF($A568="","",IFERROR(ROUND(MAX(0,$B568*($D568-1)),2),0))</f>
        <v/>
      </c>
      <c r="H568" s="38">
        <f>IF($A568="","",IFERROR(ROUND($G568*INDEX(tblKurallar[deger_2025],MATCH("YDK-002",tblKurallar[kural_id],0)),2),0))</f>
        <v/>
      </c>
      <c r="I568" s="38">
        <f>IF($A568="","",IFERROR($G568-$G568*INDEX(tblKurallar[deger_2025],MATCH("YDK-004",tblKurallar[kural_id],0)),0))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8">
        <f>IF($A569="","",IFERROR(ROUND(MAX(0,$B569*($D569-1)),2),0))</f>
        <v/>
      </c>
      <c r="H569" s="38">
        <f>IF($A569="","",IFERROR(ROUND($G569*INDEX(tblKurallar[deger_2025],MATCH("YDK-002",tblKurallar[kural_id],0)),2),0))</f>
        <v/>
      </c>
      <c r="I569" s="38">
        <f>IF($A569="","",IFERROR($G569-$G569*INDEX(tblKurallar[deger_2025],MATCH("YDK-004",tblKurallar[kural_id],0)),0))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8">
        <f>IF($A570="","",IFERROR(ROUND(MAX(0,$B570*($D570-1)),2),0))</f>
        <v/>
      </c>
      <c r="H570" s="38">
        <f>IF($A570="","",IFERROR(ROUND($G570*INDEX(tblKurallar[deger_2025],MATCH("YDK-002",tblKurallar[kural_id],0)),2),0))</f>
        <v/>
      </c>
      <c r="I570" s="38">
        <f>IF($A570="","",IFERROR($G570-$G570*INDEX(tblKurallar[deger_2025],MATCH("YDK-004",tblKurallar[kural_id],0)),0))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8">
        <f>IF($A571="","",IFERROR(ROUND(MAX(0,$B571*($D571-1)),2),0))</f>
        <v/>
      </c>
      <c r="H571" s="38">
        <f>IF($A571="","",IFERROR(ROUND($G571*INDEX(tblKurallar[deger_2025],MATCH("YDK-002",tblKurallar[kural_id],0)),2),0))</f>
        <v/>
      </c>
      <c r="I571" s="38">
        <f>IF($A571="","",IFERROR($G571-$G571*INDEX(tblKurallar[deger_2025],MATCH("YDK-004",tblKurallar[kural_id],0)),0))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8">
        <f>IF($A572="","",IFERROR(ROUND(MAX(0,$B572*($D572-1)),2),0))</f>
        <v/>
      </c>
      <c r="H572" s="38">
        <f>IF($A572="","",IFERROR(ROUND($G572*INDEX(tblKurallar[deger_2025],MATCH("YDK-002",tblKurallar[kural_id],0)),2),0))</f>
        <v/>
      </c>
      <c r="I572" s="38">
        <f>IF($A572="","",IFERROR($G572-$G572*INDEX(tblKurallar[deger_2025],MATCH("YDK-004",tblKurallar[kural_id],0)),0))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8">
        <f>IF($A573="","",IFERROR(ROUND(MAX(0,$B573*($D573-1)),2),0))</f>
        <v/>
      </c>
      <c r="H573" s="38">
        <f>IF($A573="","",IFERROR(ROUND($G573*INDEX(tblKurallar[deger_2025],MATCH("YDK-002",tblKurallar[kural_id],0)),2),0))</f>
        <v/>
      </c>
      <c r="I573" s="38">
        <f>IF($A573="","",IFERROR($G573-$G573*INDEX(tblKurallar[deger_2025],MATCH("YDK-004",tblKurallar[kural_id],0)),0))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8">
        <f>IF($A574="","",IFERROR(ROUND(MAX(0,$B574*($D574-1)),2),0))</f>
        <v/>
      </c>
      <c r="H574" s="38">
        <f>IF($A574="","",IFERROR(ROUND($G574*INDEX(tblKurallar[deger_2025],MATCH("YDK-002",tblKurallar[kural_id],0)),2),0))</f>
        <v/>
      </c>
      <c r="I574" s="38">
        <f>IF($A574="","",IFERROR($G574-$G574*INDEX(tblKurallar[deger_2025],MATCH("YDK-004",tblKurallar[kural_id],0)),0))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8">
        <f>IF($A575="","",IFERROR(ROUND(MAX(0,$B575*($D575-1)),2),0))</f>
        <v/>
      </c>
      <c r="H575" s="38">
        <f>IF($A575="","",IFERROR(ROUND($G575*INDEX(tblKurallar[deger_2025],MATCH("YDK-002",tblKurallar[kural_id],0)),2),0))</f>
        <v/>
      </c>
      <c r="I575" s="38">
        <f>IF($A575="","",IFERROR($G575-$G575*INDEX(tblKurallar[deger_2025],MATCH("YDK-004",tblKurallar[kural_id],0)),0))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8">
        <f>IF($A576="","",IFERROR(ROUND(MAX(0,$B576*($D576-1)),2),0))</f>
        <v/>
      </c>
      <c r="H576" s="38">
        <f>IF($A576="","",IFERROR(ROUND($G576*INDEX(tblKurallar[deger_2025],MATCH("YDK-002",tblKurallar[kural_id],0)),2),0))</f>
        <v/>
      </c>
      <c r="I576" s="38">
        <f>IF($A576="","",IFERROR($G576-$G576*INDEX(tblKurallar[deger_2025],MATCH("YDK-004",tblKurallar[kural_id],0)),0))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8">
        <f>IF($A577="","",IFERROR(ROUND(MAX(0,$B577*($D577-1)),2),0))</f>
        <v/>
      </c>
      <c r="H577" s="38">
        <f>IF($A577="","",IFERROR(ROUND($G577*INDEX(tblKurallar[deger_2025],MATCH("YDK-002",tblKurallar[kural_id],0)),2),0))</f>
        <v/>
      </c>
      <c r="I577" s="38">
        <f>IF($A577="","",IFERROR($G577-$G577*INDEX(tblKurallar[deger_2025],MATCH("YDK-004",tblKurallar[kural_id],0)),0))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8">
        <f>IF($A578="","",IFERROR(ROUND(MAX(0,$B578*($D578-1)),2),0))</f>
        <v/>
      </c>
      <c r="H578" s="38">
        <f>IF($A578="","",IFERROR(ROUND($G578*INDEX(tblKurallar[deger_2025],MATCH("YDK-002",tblKurallar[kural_id],0)),2),0))</f>
        <v/>
      </c>
      <c r="I578" s="38">
        <f>IF($A578="","",IFERROR($G578-$G578*INDEX(tblKurallar[deger_2025],MATCH("YDK-004",tblKurallar[kural_id],0)),0))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8">
        <f>IF($A579="","",IFERROR(ROUND(MAX(0,$B579*($D579-1)),2),0))</f>
        <v/>
      </c>
      <c r="H579" s="38">
        <f>IF($A579="","",IFERROR(ROUND($G579*INDEX(tblKurallar[deger_2025],MATCH("YDK-002",tblKurallar[kural_id],0)),2),0))</f>
        <v/>
      </c>
      <c r="I579" s="38">
        <f>IF($A579="","",IFERROR($G579-$G579*INDEX(tblKurallar[deger_2025],MATCH("YDK-004",tblKurallar[kural_id],0)),0))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8">
        <f>IF($A580="","",IFERROR(ROUND(MAX(0,$B580*($D580-1)),2),0))</f>
        <v/>
      </c>
      <c r="H580" s="38">
        <f>IF($A580="","",IFERROR(ROUND($G580*INDEX(tblKurallar[deger_2025],MATCH("YDK-002",tblKurallar[kural_id],0)),2),0))</f>
        <v/>
      </c>
      <c r="I580" s="38">
        <f>IF($A580="","",IFERROR($G580-$G580*INDEX(tblKurallar[deger_2025],MATCH("YDK-004",tblKurallar[kural_id],0)),0))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8">
        <f>IF($A581="","",IFERROR(ROUND(MAX(0,$B581*($D581-1)),2),0))</f>
        <v/>
      </c>
      <c r="H581" s="38">
        <f>IF($A581="","",IFERROR(ROUND($G581*INDEX(tblKurallar[deger_2025],MATCH("YDK-002",tblKurallar[kural_id],0)),2),0))</f>
        <v/>
      </c>
      <c r="I581" s="38">
        <f>IF($A581="","",IFERROR($G581-$G581*INDEX(tblKurallar[deger_2025],MATCH("YDK-004",tblKurallar[kural_id],0)),0))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8">
        <f>IF($A582="","",IFERROR(ROUND(MAX(0,$B582*($D582-1)),2),0))</f>
        <v/>
      </c>
      <c r="H582" s="38">
        <f>IF($A582="","",IFERROR(ROUND($G582*INDEX(tblKurallar[deger_2025],MATCH("YDK-002",tblKurallar[kural_id],0)),2),0))</f>
        <v/>
      </c>
      <c r="I582" s="38">
        <f>IF($A582="","",IFERROR($G582-$G582*INDEX(tblKurallar[deger_2025],MATCH("YDK-004",tblKurallar[kural_id],0)),0))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8">
        <f>IF($A583="","",IFERROR(ROUND(MAX(0,$B583*($D583-1)),2),0))</f>
        <v/>
      </c>
      <c r="H583" s="38">
        <f>IF($A583="","",IFERROR(ROUND($G583*INDEX(tblKurallar[deger_2025],MATCH("YDK-002",tblKurallar[kural_id],0)),2),0))</f>
        <v/>
      </c>
      <c r="I583" s="38">
        <f>IF($A583="","",IFERROR($G583-$G583*INDEX(tblKurallar[deger_2025],MATCH("YDK-004",tblKurallar[kural_id],0)),0))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8">
        <f>IF($A584="","",IFERROR(ROUND(MAX(0,$B584*($D584-1)),2),0))</f>
        <v/>
      </c>
      <c r="H584" s="38">
        <f>IF($A584="","",IFERROR(ROUND($G584*INDEX(tblKurallar[deger_2025],MATCH("YDK-002",tblKurallar[kural_id],0)),2),0))</f>
        <v/>
      </c>
      <c r="I584" s="38">
        <f>IF($A584="","",IFERROR($G584-$G584*INDEX(tblKurallar[deger_2025],MATCH("YDK-004",tblKurallar[kural_id],0)),0))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8">
        <f>IF($A585="","",IFERROR(ROUND(MAX(0,$B585*($D585-1)),2),0))</f>
        <v/>
      </c>
      <c r="H585" s="38">
        <f>IF($A585="","",IFERROR(ROUND($G585*INDEX(tblKurallar[deger_2025],MATCH("YDK-002",tblKurallar[kural_id],0)),2),0))</f>
        <v/>
      </c>
      <c r="I585" s="38">
        <f>IF($A585="","",IFERROR($G585-$G585*INDEX(tblKurallar[deger_2025],MATCH("YDK-004",tblKurallar[kural_id],0)),0))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8">
        <f>IF($A586="","",IFERROR(ROUND(MAX(0,$B586*($D586-1)),2),0))</f>
        <v/>
      </c>
      <c r="H586" s="38">
        <f>IF($A586="","",IFERROR(ROUND($G586*INDEX(tblKurallar[deger_2025],MATCH("YDK-002",tblKurallar[kural_id],0)),2),0))</f>
        <v/>
      </c>
      <c r="I586" s="38">
        <f>IF($A586="","",IFERROR($G586-$G586*INDEX(tblKurallar[deger_2025],MATCH("YDK-004",tblKurallar[kural_id],0)),0))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8">
        <f>IF($A587="","",IFERROR(ROUND(MAX(0,$B587*($D587-1)),2),0))</f>
        <v/>
      </c>
      <c r="H587" s="38">
        <f>IF($A587="","",IFERROR(ROUND($G587*INDEX(tblKurallar[deger_2025],MATCH("YDK-002",tblKurallar[kural_id],0)),2),0))</f>
        <v/>
      </c>
      <c r="I587" s="38">
        <f>IF($A587="","",IFERROR($G587-$G587*INDEX(tblKurallar[deger_2025],MATCH("YDK-004",tblKurallar[kural_id],0)),0))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8">
        <f>IF($A588="","",IFERROR(ROUND(MAX(0,$B588*($D588-1)),2),0))</f>
        <v/>
      </c>
      <c r="H588" s="38">
        <f>IF($A588="","",IFERROR(ROUND($G588*INDEX(tblKurallar[deger_2025],MATCH("YDK-002",tblKurallar[kural_id],0)),2),0))</f>
        <v/>
      </c>
      <c r="I588" s="38">
        <f>IF($A588="","",IFERROR($G588-$G588*INDEX(tblKurallar[deger_2025],MATCH("YDK-004",tblKurallar[kural_id],0)),0))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8">
        <f>IF($A589="","",IFERROR(ROUND(MAX(0,$B589*($D589-1)),2),0))</f>
        <v/>
      </c>
      <c r="H589" s="38">
        <f>IF($A589="","",IFERROR(ROUND($G589*INDEX(tblKurallar[deger_2025],MATCH("YDK-002",tblKurallar[kural_id],0)),2),0))</f>
        <v/>
      </c>
      <c r="I589" s="38">
        <f>IF($A589="","",IFERROR($G589-$G589*INDEX(tblKurallar[deger_2025],MATCH("YDK-004",tblKurallar[kural_id],0)),0))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8">
        <f>IF($A590="","",IFERROR(ROUND(MAX(0,$B590*($D590-1)),2),0))</f>
        <v/>
      </c>
      <c r="H590" s="38">
        <f>IF($A590="","",IFERROR(ROUND($G590*INDEX(tblKurallar[deger_2025],MATCH("YDK-002",tblKurallar[kural_id],0)),2),0))</f>
        <v/>
      </c>
      <c r="I590" s="38">
        <f>IF($A590="","",IFERROR($G590-$G590*INDEX(tblKurallar[deger_2025],MATCH("YDK-004",tblKurallar[kural_id],0)),0))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8">
        <f>IF($A591="","",IFERROR(ROUND(MAX(0,$B591*($D591-1)),2),0))</f>
        <v/>
      </c>
      <c r="H591" s="38">
        <f>IF($A591="","",IFERROR(ROUND($G591*INDEX(tblKurallar[deger_2025],MATCH("YDK-002",tblKurallar[kural_id],0)),2),0))</f>
        <v/>
      </c>
      <c r="I591" s="38">
        <f>IF($A591="","",IFERROR($G591-$G591*INDEX(tblKurallar[deger_2025],MATCH("YDK-004",tblKurallar[kural_id],0)),0))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8">
        <f>IF($A592="","",IFERROR(ROUND(MAX(0,$B592*($D592-1)),2),0))</f>
        <v/>
      </c>
      <c r="H592" s="38">
        <f>IF($A592="","",IFERROR(ROUND($G592*INDEX(tblKurallar[deger_2025],MATCH("YDK-002",tblKurallar[kural_id],0)),2),0))</f>
        <v/>
      </c>
      <c r="I592" s="38">
        <f>IF($A592="","",IFERROR($G592-$G592*INDEX(tblKurallar[deger_2025],MATCH("YDK-004",tblKurallar[kural_id],0)),0))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8">
        <f>IF($A593="","",IFERROR(ROUND(MAX(0,$B593*($D593-1)),2),0))</f>
        <v/>
      </c>
      <c r="H593" s="38">
        <f>IF($A593="","",IFERROR(ROUND($G593*INDEX(tblKurallar[deger_2025],MATCH("YDK-002",tblKurallar[kural_id],0)),2),0))</f>
        <v/>
      </c>
      <c r="I593" s="38">
        <f>IF($A593="","",IFERROR($G593-$G593*INDEX(tblKurallar[deger_2025],MATCH("YDK-004",tblKurallar[kural_id],0)),0))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8">
        <f>IF($A594="","",IFERROR(ROUND(MAX(0,$B594*($D594-1)),2),0))</f>
        <v/>
      </c>
      <c r="H594" s="38">
        <f>IF($A594="","",IFERROR(ROUND($G594*INDEX(tblKurallar[deger_2025],MATCH("YDK-002",tblKurallar[kural_id],0)),2),0))</f>
        <v/>
      </c>
      <c r="I594" s="38">
        <f>IF($A594="","",IFERROR($G594-$G594*INDEX(tblKurallar[deger_2025],MATCH("YDK-004",tblKurallar[kural_id],0)),0))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8">
        <f>IF($A595="","",IFERROR(ROUND(MAX(0,$B595*($D595-1)),2),0))</f>
        <v/>
      </c>
      <c r="H595" s="38">
        <f>IF($A595="","",IFERROR(ROUND($G595*INDEX(tblKurallar[deger_2025],MATCH("YDK-002",tblKurallar[kural_id],0)),2),0))</f>
        <v/>
      </c>
      <c r="I595" s="38">
        <f>IF($A595="","",IFERROR($G595-$G595*INDEX(tblKurallar[deger_2025],MATCH("YDK-004",tblKurallar[kural_id],0)),0))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8">
        <f>IF($A596="","",IFERROR(ROUND(MAX(0,$B596*($D596-1)),2),0))</f>
        <v/>
      </c>
      <c r="H596" s="38">
        <f>IF($A596="","",IFERROR(ROUND($G596*INDEX(tblKurallar[deger_2025],MATCH("YDK-002",tblKurallar[kural_id],0)),2),0))</f>
        <v/>
      </c>
      <c r="I596" s="38">
        <f>IF($A596="","",IFERROR($G596-$G596*INDEX(tblKurallar[deger_2025],MATCH("YDK-004",tblKurallar[kural_id],0)),0))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8">
        <f>IF($A597="","",IFERROR(ROUND(MAX(0,$B597*($D597-1)),2),0))</f>
        <v/>
      </c>
      <c r="H597" s="38">
        <f>IF($A597="","",IFERROR(ROUND($G597*INDEX(tblKurallar[deger_2025],MATCH("YDK-002",tblKurallar[kural_id],0)),2),0))</f>
        <v/>
      </c>
      <c r="I597" s="38">
        <f>IF($A597="","",IFERROR($G597-$G597*INDEX(tblKurallar[deger_2025],MATCH("YDK-004",tblKurallar[kural_id],0)),0))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8">
        <f>IF($A598="","",IFERROR(ROUND(MAX(0,$B598*($D598-1)),2),0))</f>
        <v/>
      </c>
      <c r="H598" s="38">
        <f>IF($A598="","",IFERROR(ROUND($G598*INDEX(tblKurallar[deger_2025],MATCH("YDK-002",tblKurallar[kural_id],0)),2),0))</f>
        <v/>
      </c>
      <c r="I598" s="38">
        <f>IF($A598="","",IFERROR($G598-$G598*INDEX(tblKurallar[deger_2025],MATCH("YDK-004",tblKurallar[kural_id],0)),0))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8">
        <f>IF($A599="","",IFERROR(ROUND(MAX(0,$B599*($D599-1)),2),0))</f>
        <v/>
      </c>
      <c r="H599" s="38">
        <f>IF($A599="","",IFERROR(ROUND($G599*INDEX(tblKurallar[deger_2025],MATCH("YDK-002",tblKurallar[kural_id],0)),2),0))</f>
        <v/>
      </c>
      <c r="I599" s="38">
        <f>IF($A599="","",IFERROR($G599-$G599*INDEX(tblKurallar[deger_2025],MATCH("YDK-004",tblKurallar[kural_id],0)),0))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8">
        <f>IF($A600="","",IFERROR(ROUND(MAX(0,$B600*($D600-1)),2),0))</f>
        <v/>
      </c>
      <c r="H600" s="38">
        <f>IF($A600="","",IFERROR(ROUND($G600*INDEX(tblKurallar[deger_2025],MATCH("YDK-002",tblKurallar[kural_id],0)),2),0))</f>
        <v/>
      </c>
      <c r="I600" s="38">
        <f>IF($A600="","",IFERROR($G600-$G600*INDEX(tblKurallar[deger_2025],MATCH("YDK-004",tblKurallar[kural_id],0)),0))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8">
        <f>IF($A601="","",IFERROR(ROUND(MAX(0,$B601*($D601-1)),2),0))</f>
        <v/>
      </c>
      <c r="H601" s="38">
        <f>IF($A601="","",IFERROR(ROUND($G601*INDEX(tblKurallar[deger_2025],MATCH("YDK-002",tblKurallar[kural_id],0)),2),0))</f>
        <v/>
      </c>
      <c r="I601" s="38">
        <f>IF($A601="","",IFERROR($G601-$G601*INDEX(tblKurallar[deger_2025],MATCH("YDK-004",tblKurallar[kural_id],0)),0))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8">
        <f>IF($A602="","",IFERROR(ROUND(MAX(0,$B602*($D602-1)),2),0))</f>
        <v/>
      </c>
      <c r="H602" s="38">
        <f>IF($A602="","",IFERROR(ROUND($G602*INDEX(tblKurallar[deger_2025],MATCH("YDK-002",tblKurallar[kural_id],0)),2),0))</f>
        <v/>
      </c>
      <c r="I602" s="38">
        <f>IF($A602="","",IFERROR($G602-$G602*INDEX(tblKurallar[deger_2025],MATCH("YDK-004",tblKurallar[kural_id],0)),0))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8">
        <f>IF($A603="","",IFERROR(ROUND(MAX(0,$B603*($D603-1)),2),0))</f>
        <v/>
      </c>
      <c r="H603" s="38">
        <f>IF($A603="","",IFERROR(ROUND($G603*INDEX(tblKurallar[deger_2025],MATCH("YDK-002",tblKurallar[kural_id],0)),2),0))</f>
        <v/>
      </c>
      <c r="I603" s="38">
        <f>IF($A603="","",IFERROR($G603-$G603*INDEX(tblKurallar[deger_2025],MATCH("YDK-004",tblKurallar[kural_id],0)),0))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8">
        <f>IF($A604="","",IFERROR(ROUND(MAX(0,$B604*($D604-1)),2),0))</f>
        <v/>
      </c>
      <c r="H604" s="38">
        <f>IF($A604="","",IFERROR(ROUND($G604*INDEX(tblKurallar[deger_2025],MATCH("YDK-002",tblKurallar[kural_id],0)),2),0))</f>
        <v/>
      </c>
      <c r="I604" s="38">
        <f>IF($A604="","",IFERROR($G604-$G604*INDEX(tblKurallar[deger_2025],MATCH("YDK-004",tblKurallar[kural_id],0)),0))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8">
        <f>IF($A605="","",IFERROR(ROUND(MAX(0,$B605*($D605-1)),2),0))</f>
        <v/>
      </c>
      <c r="H605" s="38">
        <f>IF($A605="","",IFERROR(ROUND($G605*INDEX(tblKurallar[deger_2025],MATCH("YDK-002",tblKurallar[kural_id],0)),2),0))</f>
        <v/>
      </c>
      <c r="I605" s="38">
        <f>IF($A605="","",IFERROR($G605-$G605*INDEX(tblKurallar[deger_2025],MATCH("YDK-004",tblKurallar[kural_id],0)),0))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8">
        <f>IF($A606="","",IFERROR(ROUND(MAX(0,$B606*($D606-1)),2),0))</f>
        <v/>
      </c>
      <c r="H606" s="38">
        <f>IF($A606="","",IFERROR(ROUND($G606*INDEX(tblKurallar[deger_2025],MATCH("YDK-002",tblKurallar[kural_id],0)),2),0))</f>
        <v/>
      </c>
      <c r="I606" s="38">
        <f>IF($A606="","",IFERROR($G606-$G606*INDEX(tblKurallar[deger_2025],MATCH("YDK-004",tblKurallar[kural_id],0)),0))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8">
        <f>IF($A607="","",IFERROR(ROUND(MAX(0,$B607*($D607-1)),2),0))</f>
        <v/>
      </c>
      <c r="H607" s="38">
        <f>IF($A607="","",IFERROR(ROUND($G607*INDEX(tblKurallar[deger_2025],MATCH("YDK-002",tblKurallar[kural_id],0)),2),0))</f>
        <v/>
      </c>
      <c r="I607" s="38">
        <f>IF($A607="","",IFERROR($G607-$G607*INDEX(tblKurallar[deger_2025],MATCH("YDK-004",tblKurallar[kural_id],0)),0))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8">
        <f>IF($A608="","",IFERROR(ROUND(MAX(0,$B608*($D608-1)),2),0))</f>
        <v/>
      </c>
      <c r="H608" s="38">
        <f>IF($A608="","",IFERROR(ROUND($G608*INDEX(tblKurallar[deger_2025],MATCH("YDK-002",tblKurallar[kural_id],0)),2),0))</f>
        <v/>
      </c>
      <c r="I608" s="38">
        <f>IF($A608="","",IFERROR($G608-$G608*INDEX(tblKurallar[deger_2025],MATCH("YDK-004",tblKurallar[kural_id],0)),0))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8">
        <f>IF($A609="","",IFERROR(ROUND(MAX(0,$B609*($D609-1)),2),0))</f>
        <v/>
      </c>
      <c r="H609" s="38">
        <f>IF($A609="","",IFERROR(ROUND($G609*INDEX(tblKurallar[deger_2025],MATCH("YDK-002",tblKurallar[kural_id],0)),2),0))</f>
        <v/>
      </c>
      <c r="I609" s="38">
        <f>IF($A609="","",IFERROR($G609-$G609*INDEX(tblKurallar[deger_2025],MATCH("YDK-004",tblKurallar[kural_id],0)),0))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8">
        <f>IF($A610="","",IFERROR(ROUND(MAX(0,$B610*($D610-1)),2),0))</f>
        <v/>
      </c>
      <c r="H610" s="38">
        <f>IF($A610="","",IFERROR(ROUND($G610*INDEX(tblKurallar[deger_2025],MATCH("YDK-002",tblKurallar[kural_id],0)),2),0))</f>
        <v/>
      </c>
      <c r="I610" s="38">
        <f>IF($A610="","",IFERROR($G610-$G610*INDEX(tblKurallar[deger_2025],MATCH("YDK-004",tblKurallar[kural_id],0)),0))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8">
        <f>IF($A611="","",IFERROR(ROUND(MAX(0,$B611*($D611-1)),2),0))</f>
        <v/>
      </c>
      <c r="H611" s="38">
        <f>IF($A611="","",IFERROR(ROUND($G611*INDEX(tblKurallar[deger_2025],MATCH("YDK-002",tblKurallar[kural_id],0)),2),0))</f>
        <v/>
      </c>
      <c r="I611" s="38">
        <f>IF($A611="","",IFERROR($G611-$G611*INDEX(tblKurallar[deger_2025],MATCH("YDK-004",tblKurallar[kural_id],0)),0))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8">
        <f>IF($A612="","",IFERROR(ROUND(MAX(0,$B612*($D612-1)),2),0))</f>
        <v/>
      </c>
      <c r="H612" s="38">
        <f>IF($A612="","",IFERROR(ROUND($G612*INDEX(tblKurallar[deger_2025],MATCH("YDK-002",tblKurallar[kural_id],0)),2),0))</f>
        <v/>
      </c>
      <c r="I612" s="38">
        <f>IF($A612="","",IFERROR($G612-$G612*INDEX(tblKurallar[deger_2025],MATCH("YDK-004",tblKurallar[kural_id],0)),0))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8">
        <f>IF($A613="","",IFERROR(ROUND(MAX(0,$B613*($D613-1)),2),0))</f>
        <v/>
      </c>
      <c r="H613" s="38">
        <f>IF($A613="","",IFERROR(ROUND($G613*INDEX(tblKurallar[deger_2025],MATCH("YDK-002",tblKurallar[kural_id],0)),2),0))</f>
        <v/>
      </c>
      <c r="I613" s="38">
        <f>IF($A613="","",IFERROR($G613-$G613*INDEX(tblKurallar[deger_2025],MATCH("YDK-004",tblKurallar[kural_id],0)),0))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8">
        <f>IF($A614="","",IFERROR(ROUND(MAX(0,$B614*($D614-1)),2),0))</f>
        <v/>
      </c>
      <c r="H614" s="38">
        <f>IF($A614="","",IFERROR(ROUND($G614*INDEX(tblKurallar[deger_2025],MATCH("YDK-002",tblKurallar[kural_id],0)),2),0))</f>
        <v/>
      </c>
      <c r="I614" s="38">
        <f>IF($A614="","",IFERROR($G614-$G614*INDEX(tblKurallar[deger_2025],MATCH("YDK-004",tblKurallar[kural_id],0)),0))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8">
        <f>IF($A615="","",IFERROR(ROUND(MAX(0,$B615*($D615-1)),2),0))</f>
        <v/>
      </c>
      <c r="H615" s="38">
        <f>IF($A615="","",IFERROR(ROUND($G615*INDEX(tblKurallar[deger_2025],MATCH("YDK-002",tblKurallar[kural_id],0)),2),0))</f>
        <v/>
      </c>
      <c r="I615" s="38">
        <f>IF($A615="","",IFERROR($G615-$G615*INDEX(tblKurallar[deger_2025],MATCH("YDK-004",tblKurallar[kural_id],0)),0))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8">
        <f>IF($A616="","",IFERROR(ROUND(MAX(0,$B616*($D616-1)),2),0))</f>
        <v/>
      </c>
      <c r="H616" s="38">
        <f>IF($A616="","",IFERROR(ROUND($G616*INDEX(tblKurallar[deger_2025],MATCH("YDK-002",tblKurallar[kural_id],0)),2),0))</f>
        <v/>
      </c>
      <c r="I616" s="38">
        <f>IF($A616="","",IFERROR($G616-$G616*INDEX(tblKurallar[deger_2025],MATCH("YDK-004",tblKurallar[kural_id],0)),0))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8">
        <f>IF($A617="","",IFERROR(ROUND(MAX(0,$B617*($D617-1)),2),0))</f>
        <v/>
      </c>
      <c r="H617" s="38">
        <f>IF($A617="","",IFERROR(ROUND($G617*INDEX(tblKurallar[deger_2025],MATCH("YDK-002",tblKurallar[kural_id],0)),2),0))</f>
        <v/>
      </c>
      <c r="I617" s="38">
        <f>IF($A617="","",IFERROR($G617-$G617*INDEX(tblKurallar[deger_2025],MATCH("YDK-004",tblKurallar[kural_id],0)),0))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8">
        <f>IF($A618="","",IFERROR(ROUND(MAX(0,$B618*($D618-1)),2),0))</f>
        <v/>
      </c>
      <c r="H618" s="38">
        <f>IF($A618="","",IFERROR(ROUND($G618*INDEX(tblKurallar[deger_2025],MATCH("YDK-002",tblKurallar[kural_id],0)),2),0))</f>
        <v/>
      </c>
      <c r="I618" s="38">
        <f>IF($A618="","",IFERROR($G618-$G618*INDEX(tblKurallar[deger_2025],MATCH("YDK-004",tblKurallar[kural_id],0)),0))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8">
        <f>IF($A619="","",IFERROR(ROUND(MAX(0,$B619*($D619-1)),2),0))</f>
        <v/>
      </c>
      <c r="H619" s="38">
        <f>IF($A619="","",IFERROR(ROUND($G619*INDEX(tblKurallar[deger_2025],MATCH("YDK-002",tblKurallar[kural_id],0)),2),0))</f>
        <v/>
      </c>
      <c r="I619" s="38">
        <f>IF($A619="","",IFERROR($G619-$G619*INDEX(tblKurallar[deger_2025],MATCH("YDK-004",tblKurallar[kural_id],0)),0))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8">
        <f>IF($A620="","",IFERROR(ROUND(MAX(0,$B620*($D620-1)),2),0))</f>
        <v/>
      </c>
      <c r="H620" s="38">
        <f>IF($A620="","",IFERROR(ROUND($G620*INDEX(tblKurallar[deger_2025],MATCH("YDK-002",tblKurallar[kural_id],0)),2),0))</f>
        <v/>
      </c>
      <c r="I620" s="38">
        <f>IF($A620="","",IFERROR($G620-$G620*INDEX(tblKurallar[deger_2025],MATCH("YDK-004",tblKurallar[kural_id],0)),0))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8">
        <f>IF($A621="","",IFERROR(ROUND(MAX(0,$B621*($D621-1)),2),0))</f>
        <v/>
      </c>
      <c r="H621" s="38">
        <f>IF($A621="","",IFERROR(ROUND($G621*INDEX(tblKurallar[deger_2025],MATCH("YDK-002",tblKurallar[kural_id],0)),2),0))</f>
        <v/>
      </c>
      <c r="I621" s="38">
        <f>IF($A621="","",IFERROR($G621-$G621*INDEX(tblKurallar[deger_2025],MATCH("YDK-004",tblKurallar[kural_id],0)),0))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8">
        <f>IF($A622="","",IFERROR(ROUND(MAX(0,$B622*($D622-1)),2),0))</f>
        <v/>
      </c>
      <c r="H622" s="38">
        <f>IF($A622="","",IFERROR(ROUND($G622*INDEX(tblKurallar[deger_2025],MATCH("YDK-002",tblKurallar[kural_id],0)),2),0))</f>
        <v/>
      </c>
      <c r="I622" s="38">
        <f>IF($A622="","",IFERROR($G622-$G622*INDEX(tblKurallar[deger_2025],MATCH("YDK-004",tblKurallar[kural_id],0)),0))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8">
        <f>IF($A623="","",IFERROR(ROUND(MAX(0,$B623*($D623-1)),2),0))</f>
        <v/>
      </c>
      <c r="H623" s="38">
        <f>IF($A623="","",IFERROR(ROUND($G623*INDEX(tblKurallar[deger_2025],MATCH("YDK-002",tblKurallar[kural_id],0)),2),0))</f>
        <v/>
      </c>
      <c r="I623" s="38">
        <f>IF($A623="","",IFERROR($G623-$G623*INDEX(tblKurallar[deger_2025],MATCH("YDK-004",tblKurallar[kural_id],0)),0))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8">
        <f>IF($A624="","",IFERROR(ROUND(MAX(0,$B624*($D624-1)),2),0))</f>
        <v/>
      </c>
      <c r="H624" s="38">
        <f>IF($A624="","",IFERROR(ROUND($G624*INDEX(tblKurallar[deger_2025],MATCH("YDK-002",tblKurallar[kural_id],0)),2),0))</f>
        <v/>
      </c>
      <c r="I624" s="38">
        <f>IF($A624="","",IFERROR($G624-$G624*INDEX(tblKurallar[deger_2025],MATCH("YDK-004",tblKurallar[kural_id],0)),0))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8">
        <f>IF($A625="","",IFERROR(ROUND(MAX(0,$B625*($D625-1)),2),0))</f>
        <v/>
      </c>
      <c r="H625" s="38">
        <f>IF($A625="","",IFERROR(ROUND($G625*INDEX(tblKurallar[deger_2025],MATCH("YDK-002",tblKurallar[kural_id],0)),2),0))</f>
        <v/>
      </c>
      <c r="I625" s="38">
        <f>IF($A625="","",IFERROR($G625-$G625*INDEX(tblKurallar[deger_2025],MATCH("YDK-004",tblKurallar[kural_id],0)),0))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8">
        <f>IF($A626="","",IFERROR(ROUND(MAX(0,$B626*($D626-1)),2),0))</f>
        <v/>
      </c>
      <c r="H626" s="38">
        <f>IF($A626="","",IFERROR(ROUND($G626*INDEX(tblKurallar[deger_2025],MATCH("YDK-002",tblKurallar[kural_id],0)),2),0))</f>
        <v/>
      </c>
      <c r="I626" s="38">
        <f>IF($A626="","",IFERROR($G626-$G626*INDEX(tblKurallar[deger_2025],MATCH("YDK-004",tblKurallar[kural_id],0)),0))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8">
        <f>IF($A627="","",IFERROR(ROUND(MAX(0,$B627*($D627-1)),2),0))</f>
        <v/>
      </c>
      <c r="H627" s="38">
        <f>IF($A627="","",IFERROR(ROUND($G627*INDEX(tblKurallar[deger_2025],MATCH("YDK-002",tblKurallar[kural_id],0)),2),0))</f>
        <v/>
      </c>
      <c r="I627" s="38">
        <f>IF($A627="","",IFERROR($G627-$G627*INDEX(tblKurallar[deger_2025],MATCH("YDK-004",tblKurallar[kural_id],0)),0))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8">
        <f>IF($A628="","",IFERROR(ROUND(MAX(0,$B628*($D628-1)),2),0))</f>
        <v/>
      </c>
      <c r="H628" s="38">
        <f>IF($A628="","",IFERROR(ROUND($G628*INDEX(tblKurallar[deger_2025],MATCH("YDK-002",tblKurallar[kural_id],0)),2),0))</f>
        <v/>
      </c>
      <c r="I628" s="38">
        <f>IF($A628="","",IFERROR($G628-$G628*INDEX(tblKurallar[deger_2025],MATCH("YDK-004",tblKurallar[kural_id],0)),0))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8">
        <f>IF($A629="","",IFERROR(ROUND(MAX(0,$B629*($D629-1)),2),0))</f>
        <v/>
      </c>
      <c r="H629" s="38">
        <f>IF($A629="","",IFERROR(ROUND($G629*INDEX(tblKurallar[deger_2025],MATCH("YDK-002",tblKurallar[kural_id],0)),2),0))</f>
        <v/>
      </c>
      <c r="I629" s="38">
        <f>IF($A629="","",IFERROR($G629-$G629*INDEX(tblKurallar[deger_2025],MATCH("YDK-004",tblKurallar[kural_id],0)),0))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8">
        <f>IF($A630="","",IFERROR(ROUND(MAX(0,$B630*($D630-1)),2),0))</f>
        <v/>
      </c>
      <c r="H630" s="38">
        <f>IF($A630="","",IFERROR(ROUND($G630*INDEX(tblKurallar[deger_2025],MATCH("YDK-002",tblKurallar[kural_id],0)),2),0))</f>
        <v/>
      </c>
      <c r="I630" s="38">
        <f>IF($A630="","",IFERROR($G630-$G630*INDEX(tblKurallar[deger_2025],MATCH("YDK-004",tblKurallar[kural_id],0)),0))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8">
        <f>IF($A631="","",IFERROR(ROUND(MAX(0,$B631*($D631-1)),2),0))</f>
        <v/>
      </c>
      <c r="H631" s="38">
        <f>IF($A631="","",IFERROR(ROUND($G631*INDEX(tblKurallar[deger_2025],MATCH("YDK-002",tblKurallar[kural_id],0)),2),0))</f>
        <v/>
      </c>
      <c r="I631" s="38">
        <f>IF($A631="","",IFERROR($G631-$G631*INDEX(tblKurallar[deger_2025],MATCH("YDK-004",tblKurallar[kural_id],0)),0))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8">
        <f>IF($A632="","",IFERROR(ROUND(MAX(0,$B632*($D632-1)),2),0))</f>
        <v/>
      </c>
      <c r="H632" s="38">
        <f>IF($A632="","",IFERROR(ROUND($G632*INDEX(tblKurallar[deger_2025],MATCH("YDK-002",tblKurallar[kural_id],0)),2),0))</f>
        <v/>
      </c>
      <c r="I632" s="38">
        <f>IF($A632="","",IFERROR($G632-$G632*INDEX(tblKurallar[deger_2025],MATCH("YDK-004",tblKurallar[kural_id],0)),0))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8">
        <f>IF($A633="","",IFERROR(ROUND(MAX(0,$B633*($D633-1)),2),0))</f>
        <v/>
      </c>
      <c r="H633" s="38">
        <f>IF($A633="","",IFERROR(ROUND($G633*INDEX(tblKurallar[deger_2025],MATCH("YDK-002",tblKurallar[kural_id],0)),2),0))</f>
        <v/>
      </c>
      <c r="I633" s="38">
        <f>IF($A633="","",IFERROR($G633-$G633*INDEX(tblKurallar[deger_2025],MATCH("YDK-004",tblKurallar[kural_id],0)),0))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8">
        <f>IF($A634="","",IFERROR(ROUND(MAX(0,$B634*($D634-1)),2),0))</f>
        <v/>
      </c>
      <c r="H634" s="38">
        <f>IF($A634="","",IFERROR(ROUND($G634*INDEX(tblKurallar[deger_2025],MATCH("YDK-002",tblKurallar[kural_id],0)),2),0))</f>
        <v/>
      </c>
      <c r="I634" s="38">
        <f>IF($A634="","",IFERROR($G634-$G634*INDEX(tblKurallar[deger_2025],MATCH("YDK-004",tblKurallar[kural_id],0)),0))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8">
        <f>IF($A635="","",IFERROR(ROUND(MAX(0,$B635*($D635-1)),2),0))</f>
        <v/>
      </c>
      <c r="H635" s="38">
        <f>IF($A635="","",IFERROR(ROUND($G635*INDEX(tblKurallar[deger_2025],MATCH("YDK-002",tblKurallar[kural_id],0)),2),0))</f>
        <v/>
      </c>
      <c r="I635" s="38">
        <f>IF($A635="","",IFERROR($G635-$G635*INDEX(tblKurallar[deger_2025],MATCH("YDK-004",tblKurallar[kural_id],0)),0))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8">
        <f>IF($A636="","",IFERROR(ROUND(MAX(0,$B636*($D636-1)),2),0))</f>
        <v/>
      </c>
      <c r="H636" s="38">
        <f>IF($A636="","",IFERROR(ROUND($G636*INDEX(tblKurallar[deger_2025],MATCH("YDK-002",tblKurallar[kural_id],0)),2),0))</f>
        <v/>
      </c>
      <c r="I636" s="38">
        <f>IF($A636="","",IFERROR($G636-$G636*INDEX(tblKurallar[deger_2025],MATCH("YDK-004",tblKurallar[kural_id],0)),0))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8">
        <f>IF($A637="","",IFERROR(ROUND(MAX(0,$B637*($D637-1)),2),0))</f>
        <v/>
      </c>
      <c r="H637" s="38">
        <f>IF($A637="","",IFERROR(ROUND($G637*INDEX(tblKurallar[deger_2025],MATCH("YDK-002",tblKurallar[kural_id],0)),2),0))</f>
        <v/>
      </c>
      <c r="I637" s="38">
        <f>IF($A637="","",IFERROR($G637-$G637*INDEX(tblKurallar[deger_2025],MATCH("YDK-004",tblKurallar[kural_id],0)),0))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8">
        <f>IF($A638="","",IFERROR(ROUND(MAX(0,$B638*($D638-1)),2),0))</f>
        <v/>
      </c>
      <c r="H638" s="38">
        <f>IF($A638="","",IFERROR(ROUND($G638*INDEX(tblKurallar[deger_2025],MATCH("YDK-002",tblKurallar[kural_id],0)),2),0))</f>
        <v/>
      </c>
      <c r="I638" s="38">
        <f>IF($A638="","",IFERROR($G638-$G638*INDEX(tblKurallar[deger_2025],MATCH("YDK-004",tblKurallar[kural_id],0)),0))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8">
        <f>IF($A639="","",IFERROR(ROUND(MAX(0,$B639*($D639-1)),2),0))</f>
        <v/>
      </c>
      <c r="H639" s="38">
        <f>IF($A639="","",IFERROR(ROUND($G639*INDEX(tblKurallar[deger_2025],MATCH("YDK-002",tblKurallar[kural_id],0)),2),0))</f>
        <v/>
      </c>
      <c r="I639" s="38">
        <f>IF($A639="","",IFERROR($G639-$G639*INDEX(tblKurallar[deger_2025],MATCH("YDK-004",tblKurallar[kural_id],0)),0))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8">
        <f>IF($A640="","",IFERROR(ROUND(MAX(0,$B640*($D640-1)),2),0))</f>
        <v/>
      </c>
      <c r="H640" s="38">
        <f>IF($A640="","",IFERROR(ROUND($G640*INDEX(tblKurallar[deger_2025],MATCH("YDK-002",tblKurallar[kural_id],0)),2),0))</f>
        <v/>
      </c>
      <c r="I640" s="38">
        <f>IF($A640="","",IFERROR($G640-$G640*INDEX(tblKurallar[deger_2025],MATCH("YDK-004",tblKurallar[kural_id],0)),0))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8">
        <f>IF($A641="","",IFERROR(ROUND(MAX(0,$B641*($D641-1)),2),0))</f>
        <v/>
      </c>
      <c r="H641" s="38">
        <f>IF($A641="","",IFERROR(ROUND($G641*INDEX(tblKurallar[deger_2025],MATCH("YDK-002",tblKurallar[kural_id],0)),2),0))</f>
        <v/>
      </c>
      <c r="I641" s="38">
        <f>IF($A641="","",IFERROR($G641-$G641*INDEX(tblKurallar[deger_2025],MATCH("YDK-004",tblKurallar[kural_id],0)),0))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8">
        <f>IF($A642="","",IFERROR(ROUND(MAX(0,$B642*($D642-1)),2),0))</f>
        <v/>
      </c>
      <c r="H642" s="38">
        <f>IF($A642="","",IFERROR(ROUND($G642*INDEX(tblKurallar[deger_2025],MATCH("YDK-002",tblKurallar[kural_id],0)),2),0))</f>
        <v/>
      </c>
      <c r="I642" s="38">
        <f>IF($A642="","",IFERROR($G642-$G642*INDEX(tblKurallar[deger_2025],MATCH("YDK-004",tblKurallar[kural_id],0)),0))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8">
        <f>IF($A643="","",IFERROR(ROUND(MAX(0,$B643*($D643-1)),2),0))</f>
        <v/>
      </c>
      <c r="H643" s="38">
        <f>IF($A643="","",IFERROR(ROUND($G643*INDEX(tblKurallar[deger_2025],MATCH("YDK-002",tblKurallar[kural_id],0)),2),0))</f>
        <v/>
      </c>
      <c r="I643" s="38">
        <f>IF($A643="","",IFERROR($G643-$G643*INDEX(tblKurallar[deger_2025],MATCH("YDK-004",tblKurallar[kural_id],0)),0))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8">
        <f>IF($A644="","",IFERROR(ROUND(MAX(0,$B644*($D644-1)),2),0))</f>
        <v/>
      </c>
      <c r="H644" s="38">
        <f>IF($A644="","",IFERROR(ROUND($G644*INDEX(tblKurallar[deger_2025],MATCH("YDK-002",tblKurallar[kural_id],0)),2),0))</f>
        <v/>
      </c>
      <c r="I644" s="38">
        <f>IF($A644="","",IFERROR($G644-$G644*INDEX(tblKurallar[deger_2025],MATCH("YDK-004",tblKurallar[kural_id],0)),0))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8">
        <f>IF($A645="","",IFERROR(ROUND(MAX(0,$B645*($D645-1)),2),0))</f>
        <v/>
      </c>
      <c r="H645" s="38">
        <f>IF($A645="","",IFERROR(ROUND($G645*INDEX(tblKurallar[deger_2025],MATCH("YDK-002",tblKurallar[kural_id],0)),2),0))</f>
        <v/>
      </c>
      <c r="I645" s="38">
        <f>IF($A645="","",IFERROR($G645-$G645*INDEX(tblKurallar[deger_2025],MATCH("YDK-004",tblKurallar[kural_id],0)),0))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8">
        <f>IF($A646="","",IFERROR(ROUND(MAX(0,$B646*($D646-1)),2),0))</f>
        <v/>
      </c>
      <c r="H646" s="38">
        <f>IF($A646="","",IFERROR(ROUND($G646*INDEX(tblKurallar[deger_2025],MATCH("YDK-002",tblKurallar[kural_id],0)),2),0))</f>
        <v/>
      </c>
      <c r="I646" s="38">
        <f>IF($A646="","",IFERROR($G646-$G646*INDEX(tblKurallar[deger_2025],MATCH("YDK-004",tblKurallar[kural_id],0)),0))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8">
        <f>IF($A647="","",IFERROR(ROUND(MAX(0,$B647*($D647-1)),2),0))</f>
        <v/>
      </c>
      <c r="H647" s="38">
        <f>IF($A647="","",IFERROR(ROUND($G647*INDEX(tblKurallar[deger_2025],MATCH("YDK-002",tblKurallar[kural_id],0)),2),0))</f>
        <v/>
      </c>
      <c r="I647" s="38">
        <f>IF($A647="","",IFERROR($G647-$G647*INDEX(tblKurallar[deger_2025],MATCH("YDK-004",tblKurallar[kural_id],0)),0))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8">
        <f>IF($A648="","",IFERROR(ROUND(MAX(0,$B648*($D648-1)),2),0))</f>
        <v/>
      </c>
      <c r="H648" s="38">
        <f>IF($A648="","",IFERROR(ROUND($G648*INDEX(tblKurallar[deger_2025],MATCH("YDK-002",tblKurallar[kural_id],0)),2),0))</f>
        <v/>
      </c>
      <c r="I648" s="38">
        <f>IF($A648="","",IFERROR($G648-$G648*INDEX(tblKurallar[deger_2025],MATCH("YDK-004",tblKurallar[kural_id],0)),0))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8">
        <f>IF($A649="","",IFERROR(ROUND(MAX(0,$B649*($D649-1)),2),0))</f>
        <v/>
      </c>
      <c r="H649" s="38">
        <f>IF($A649="","",IFERROR(ROUND($G649*INDEX(tblKurallar[deger_2025],MATCH("YDK-002",tblKurallar[kural_id],0)),2),0))</f>
        <v/>
      </c>
      <c r="I649" s="38">
        <f>IF($A649="","",IFERROR($G649-$G649*INDEX(tblKurallar[deger_2025],MATCH("YDK-004",tblKurallar[kural_id],0)),0))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8">
        <f>IF($A650="","",IFERROR(ROUND(MAX(0,$B650*($D650-1)),2),0))</f>
        <v/>
      </c>
      <c r="H650" s="38">
        <f>IF($A650="","",IFERROR(ROUND($G650*INDEX(tblKurallar[deger_2025],MATCH("YDK-002",tblKurallar[kural_id],0)),2),0))</f>
        <v/>
      </c>
      <c r="I650" s="38">
        <f>IF($A650="","",IFERROR($G650-$G650*INDEX(tblKurallar[deger_2025],MATCH("YDK-004",tblKurallar[kural_id],0)),0))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8">
        <f>IF($A651="","",IFERROR(ROUND(MAX(0,$B651*($D651-1)),2),0))</f>
        <v/>
      </c>
      <c r="H651" s="38">
        <f>IF($A651="","",IFERROR(ROUND($G651*INDEX(tblKurallar[deger_2025],MATCH("YDK-002",tblKurallar[kural_id],0)),2),0))</f>
        <v/>
      </c>
      <c r="I651" s="38">
        <f>IF($A651="","",IFERROR($G651-$G651*INDEX(tblKurallar[deger_2025],MATCH("YDK-004",tblKurallar[kural_id],0)),0))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8">
        <f>IF($A652="","",IFERROR(ROUND(MAX(0,$B652*($D652-1)),2),0))</f>
        <v/>
      </c>
      <c r="H652" s="38">
        <f>IF($A652="","",IFERROR(ROUND($G652*INDEX(tblKurallar[deger_2025],MATCH("YDK-002",tblKurallar[kural_id],0)),2),0))</f>
        <v/>
      </c>
      <c r="I652" s="38">
        <f>IF($A652="","",IFERROR($G652-$G652*INDEX(tblKurallar[deger_2025],MATCH("YDK-004",tblKurallar[kural_id],0)),0))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8">
        <f>IF($A653="","",IFERROR(ROUND(MAX(0,$B653*($D653-1)),2),0))</f>
        <v/>
      </c>
      <c r="H653" s="38">
        <f>IF($A653="","",IFERROR(ROUND($G653*INDEX(tblKurallar[deger_2025],MATCH("YDK-002",tblKurallar[kural_id],0)),2),0))</f>
        <v/>
      </c>
      <c r="I653" s="38">
        <f>IF($A653="","",IFERROR($G653-$G653*INDEX(tblKurallar[deger_2025],MATCH("YDK-004",tblKurallar[kural_id],0)),0))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8">
        <f>IF($A654="","",IFERROR(ROUND(MAX(0,$B654*($D654-1)),2),0))</f>
        <v/>
      </c>
      <c r="H654" s="38">
        <f>IF($A654="","",IFERROR(ROUND($G654*INDEX(tblKurallar[deger_2025],MATCH("YDK-002",tblKurallar[kural_id],0)),2),0))</f>
        <v/>
      </c>
      <c r="I654" s="38">
        <f>IF($A654="","",IFERROR($G654-$G654*INDEX(tblKurallar[deger_2025],MATCH("YDK-004",tblKurallar[kural_id],0)),0))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8">
        <f>IF($A655="","",IFERROR(ROUND(MAX(0,$B655*($D655-1)),2),0))</f>
        <v/>
      </c>
      <c r="H655" s="38">
        <f>IF($A655="","",IFERROR(ROUND($G655*INDEX(tblKurallar[deger_2025],MATCH("YDK-002",tblKurallar[kural_id],0)),2),0))</f>
        <v/>
      </c>
      <c r="I655" s="38">
        <f>IF($A655="","",IFERROR($G655-$G655*INDEX(tblKurallar[deger_2025],MATCH("YDK-004",tblKurallar[kural_id],0)),0))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8">
        <f>IF($A656="","",IFERROR(ROUND(MAX(0,$B656*($D656-1)),2),0))</f>
        <v/>
      </c>
      <c r="H656" s="38">
        <f>IF($A656="","",IFERROR(ROUND($G656*INDEX(tblKurallar[deger_2025],MATCH("YDK-002",tblKurallar[kural_id],0)),2),0))</f>
        <v/>
      </c>
      <c r="I656" s="38">
        <f>IF($A656="","",IFERROR($G656-$G656*INDEX(tblKurallar[deger_2025],MATCH("YDK-004",tblKurallar[kural_id],0)),0))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8">
        <f>IF($A657="","",IFERROR(ROUND(MAX(0,$B657*($D657-1)),2),0))</f>
        <v/>
      </c>
      <c r="H657" s="38">
        <f>IF($A657="","",IFERROR(ROUND($G657*INDEX(tblKurallar[deger_2025],MATCH("YDK-002",tblKurallar[kural_id],0)),2),0))</f>
        <v/>
      </c>
      <c r="I657" s="38">
        <f>IF($A657="","",IFERROR($G657-$G657*INDEX(tblKurallar[deger_2025],MATCH("YDK-004",tblKurallar[kural_id],0)),0))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8">
        <f>IF($A658="","",IFERROR(ROUND(MAX(0,$B658*($D658-1)),2),0))</f>
        <v/>
      </c>
      <c r="H658" s="38">
        <f>IF($A658="","",IFERROR(ROUND($G658*INDEX(tblKurallar[deger_2025],MATCH("YDK-002",tblKurallar[kural_id],0)),2),0))</f>
        <v/>
      </c>
      <c r="I658" s="38">
        <f>IF($A658="","",IFERROR($G658-$G658*INDEX(tblKurallar[deger_2025],MATCH("YDK-004",tblKurallar[kural_id],0)),0))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8">
        <f>IF($A659="","",IFERROR(ROUND(MAX(0,$B659*($D659-1)),2),0))</f>
        <v/>
      </c>
      <c r="H659" s="38">
        <f>IF($A659="","",IFERROR(ROUND($G659*INDEX(tblKurallar[deger_2025],MATCH("YDK-002",tblKurallar[kural_id],0)),2),0))</f>
        <v/>
      </c>
      <c r="I659" s="38">
        <f>IF($A659="","",IFERROR($G659-$G659*INDEX(tblKurallar[deger_2025],MATCH("YDK-004",tblKurallar[kural_id],0)),0))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8">
        <f>IF($A660="","",IFERROR(ROUND(MAX(0,$B660*($D660-1)),2),0))</f>
        <v/>
      </c>
      <c r="H660" s="38">
        <f>IF($A660="","",IFERROR(ROUND($G660*INDEX(tblKurallar[deger_2025],MATCH("YDK-002",tblKurallar[kural_id],0)),2),0))</f>
        <v/>
      </c>
      <c r="I660" s="38">
        <f>IF($A660="","",IFERROR($G660-$G660*INDEX(tblKurallar[deger_2025],MATCH("YDK-004",tblKurallar[kural_id],0)),0))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8">
        <f>IF($A661="","",IFERROR(ROUND(MAX(0,$B661*($D661-1)),2),0))</f>
        <v/>
      </c>
      <c r="H661" s="38">
        <f>IF($A661="","",IFERROR(ROUND($G661*INDEX(tblKurallar[deger_2025],MATCH("YDK-002",tblKurallar[kural_id],0)),2),0))</f>
        <v/>
      </c>
      <c r="I661" s="38">
        <f>IF($A661="","",IFERROR($G661-$G661*INDEX(tblKurallar[deger_2025],MATCH("YDK-004",tblKurallar[kural_id],0)),0))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8">
        <f>IF($A662="","",IFERROR(ROUND(MAX(0,$B662*($D662-1)),2),0))</f>
        <v/>
      </c>
      <c r="H662" s="38">
        <f>IF($A662="","",IFERROR(ROUND($G662*INDEX(tblKurallar[deger_2025],MATCH("YDK-002",tblKurallar[kural_id],0)),2),0))</f>
        <v/>
      </c>
      <c r="I662" s="38">
        <f>IF($A662="","",IFERROR($G662-$G662*INDEX(tblKurallar[deger_2025],MATCH("YDK-004",tblKurallar[kural_id],0)),0))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8">
        <f>IF($A663="","",IFERROR(ROUND(MAX(0,$B663*($D663-1)),2),0))</f>
        <v/>
      </c>
      <c r="H663" s="38">
        <f>IF($A663="","",IFERROR(ROUND($G663*INDEX(tblKurallar[deger_2025],MATCH("YDK-002",tblKurallar[kural_id],0)),2),0))</f>
        <v/>
      </c>
      <c r="I663" s="38">
        <f>IF($A663="","",IFERROR($G663-$G663*INDEX(tblKurallar[deger_2025],MATCH("YDK-004",tblKurallar[kural_id],0)),0))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8">
        <f>IF($A664="","",IFERROR(ROUND(MAX(0,$B664*($D664-1)),2),0))</f>
        <v/>
      </c>
      <c r="H664" s="38">
        <f>IF($A664="","",IFERROR(ROUND($G664*INDEX(tblKurallar[deger_2025],MATCH("YDK-002",tblKurallar[kural_id],0)),2),0))</f>
        <v/>
      </c>
      <c r="I664" s="38">
        <f>IF($A664="","",IFERROR($G664-$G664*INDEX(tblKurallar[deger_2025],MATCH("YDK-004",tblKurallar[kural_id],0)),0))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8">
        <f>IF($A665="","",IFERROR(ROUND(MAX(0,$B665*($D665-1)),2),0))</f>
        <v/>
      </c>
      <c r="H665" s="38">
        <f>IF($A665="","",IFERROR(ROUND($G665*INDEX(tblKurallar[deger_2025],MATCH("YDK-002",tblKurallar[kural_id],0)),2),0))</f>
        <v/>
      </c>
      <c r="I665" s="38">
        <f>IF($A665="","",IFERROR($G665-$G665*INDEX(tblKurallar[deger_2025],MATCH("YDK-004",tblKurallar[kural_id],0)),0))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8">
        <f>IF($A666="","",IFERROR(ROUND(MAX(0,$B666*($D666-1)),2),0))</f>
        <v/>
      </c>
      <c r="H666" s="38">
        <f>IF($A666="","",IFERROR(ROUND($G666*INDEX(tblKurallar[deger_2025],MATCH("YDK-002",tblKurallar[kural_id],0)),2),0))</f>
        <v/>
      </c>
      <c r="I666" s="38">
        <f>IF($A666="","",IFERROR($G666-$G666*INDEX(tblKurallar[deger_2025],MATCH("YDK-004",tblKurallar[kural_id],0)),0))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8">
        <f>IF($A667="","",IFERROR(ROUND(MAX(0,$B667*($D667-1)),2),0))</f>
        <v/>
      </c>
      <c r="H667" s="38">
        <f>IF($A667="","",IFERROR(ROUND($G667*INDEX(tblKurallar[deger_2025],MATCH("YDK-002",tblKurallar[kural_id],0)),2),0))</f>
        <v/>
      </c>
      <c r="I667" s="38">
        <f>IF($A667="","",IFERROR($G667-$G667*INDEX(tblKurallar[deger_2025],MATCH("YDK-004",tblKurallar[kural_id],0)),0))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8">
        <f>IF($A668="","",IFERROR(ROUND(MAX(0,$B668*($D668-1)),2),0))</f>
        <v/>
      </c>
      <c r="H668" s="38">
        <f>IF($A668="","",IFERROR(ROUND($G668*INDEX(tblKurallar[deger_2025],MATCH("YDK-002",tblKurallar[kural_id],0)),2),0))</f>
        <v/>
      </c>
      <c r="I668" s="38">
        <f>IF($A668="","",IFERROR($G668-$G668*INDEX(tblKurallar[deger_2025],MATCH("YDK-004",tblKurallar[kural_id],0)),0))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8">
        <f>IF($A669="","",IFERROR(ROUND(MAX(0,$B669*($D669-1)),2),0))</f>
        <v/>
      </c>
      <c r="H669" s="38">
        <f>IF($A669="","",IFERROR(ROUND($G669*INDEX(tblKurallar[deger_2025],MATCH("YDK-002",tblKurallar[kural_id],0)),2),0))</f>
        <v/>
      </c>
      <c r="I669" s="38">
        <f>IF($A669="","",IFERROR($G669-$G669*INDEX(tblKurallar[deger_2025],MATCH("YDK-004",tblKurallar[kural_id],0)),0))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8">
        <f>IF($A670="","",IFERROR(ROUND(MAX(0,$B670*($D670-1)),2),0))</f>
        <v/>
      </c>
      <c r="H670" s="38">
        <f>IF($A670="","",IFERROR(ROUND($G670*INDEX(tblKurallar[deger_2025],MATCH("YDK-002",tblKurallar[kural_id],0)),2),0))</f>
        <v/>
      </c>
      <c r="I670" s="38">
        <f>IF($A670="","",IFERROR($G670-$G670*INDEX(tblKurallar[deger_2025],MATCH("YDK-004",tblKurallar[kural_id],0)),0))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8">
        <f>IF($A671="","",IFERROR(ROUND(MAX(0,$B671*($D671-1)),2),0))</f>
        <v/>
      </c>
      <c r="H671" s="38">
        <f>IF($A671="","",IFERROR(ROUND($G671*INDEX(tblKurallar[deger_2025],MATCH("YDK-002",tblKurallar[kural_id],0)),2),0))</f>
        <v/>
      </c>
      <c r="I671" s="38">
        <f>IF($A671="","",IFERROR($G671-$G671*INDEX(tblKurallar[deger_2025],MATCH("YDK-004",tblKurallar[kural_id],0)),0))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8">
        <f>IF($A672="","",IFERROR(ROUND(MAX(0,$B672*($D672-1)),2),0))</f>
        <v/>
      </c>
      <c r="H672" s="38">
        <f>IF($A672="","",IFERROR(ROUND($G672*INDEX(tblKurallar[deger_2025],MATCH("YDK-002",tblKurallar[kural_id],0)),2),0))</f>
        <v/>
      </c>
      <c r="I672" s="38">
        <f>IF($A672="","",IFERROR($G672-$G672*INDEX(tblKurallar[deger_2025],MATCH("YDK-004",tblKurallar[kural_id],0)),0))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8">
        <f>IF($A673="","",IFERROR(ROUND(MAX(0,$B673*($D673-1)),2),0))</f>
        <v/>
      </c>
      <c r="H673" s="38">
        <f>IF($A673="","",IFERROR(ROUND($G673*INDEX(tblKurallar[deger_2025],MATCH("YDK-002",tblKurallar[kural_id],0)),2),0))</f>
        <v/>
      </c>
      <c r="I673" s="38">
        <f>IF($A673="","",IFERROR($G673-$G673*INDEX(tblKurallar[deger_2025],MATCH("YDK-004",tblKurallar[kural_id],0)),0))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8">
        <f>IF($A674="","",IFERROR(ROUND(MAX(0,$B674*($D674-1)),2),0))</f>
        <v/>
      </c>
      <c r="H674" s="38">
        <f>IF($A674="","",IFERROR(ROUND($G674*INDEX(tblKurallar[deger_2025],MATCH("YDK-002",tblKurallar[kural_id],0)),2),0))</f>
        <v/>
      </c>
      <c r="I674" s="38">
        <f>IF($A674="","",IFERROR($G674-$G674*INDEX(tblKurallar[deger_2025],MATCH("YDK-004",tblKurallar[kural_id],0)),0))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8">
        <f>IF($A675="","",IFERROR(ROUND(MAX(0,$B675*($D675-1)),2),0))</f>
        <v/>
      </c>
      <c r="H675" s="38">
        <f>IF($A675="","",IFERROR(ROUND($G675*INDEX(tblKurallar[deger_2025],MATCH("YDK-002",tblKurallar[kural_id],0)),2),0))</f>
        <v/>
      </c>
      <c r="I675" s="38">
        <f>IF($A675="","",IFERROR($G675-$G675*INDEX(tblKurallar[deger_2025],MATCH("YDK-004",tblKurallar[kural_id],0)),0))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8">
        <f>IF($A676="","",IFERROR(ROUND(MAX(0,$B676*($D676-1)),2),0))</f>
        <v/>
      </c>
      <c r="H676" s="38">
        <f>IF($A676="","",IFERROR(ROUND($G676*INDEX(tblKurallar[deger_2025],MATCH("YDK-002",tblKurallar[kural_id],0)),2),0))</f>
        <v/>
      </c>
      <c r="I676" s="38">
        <f>IF($A676="","",IFERROR($G676-$G676*INDEX(tblKurallar[deger_2025],MATCH("YDK-004",tblKurallar[kural_id],0)),0))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8">
        <f>IF($A677="","",IFERROR(ROUND(MAX(0,$B677*($D677-1)),2),0))</f>
        <v/>
      </c>
      <c r="H677" s="38">
        <f>IF($A677="","",IFERROR(ROUND($G677*INDEX(tblKurallar[deger_2025],MATCH("YDK-002",tblKurallar[kural_id],0)),2),0))</f>
        <v/>
      </c>
      <c r="I677" s="38">
        <f>IF($A677="","",IFERROR($G677-$G677*INDEX(tblKurallar[deger_2025],MATCH("YDK-004",tblKurallar[kural_id],0)),0))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8">
        <f>IF($A678="","",IFERROR(ROUND(MAX(0,$B678*($D678-1)),2),0))</f>
        <v/>
      </c>
      <c r="H678" s="38">
        <f>IF($A678="","",IFERROR(ROUND($G678*INDEX(tblKurallar[deger_2025],MATCH("YDK-002",tblKurallar[kural_id],0)),2),0))</f>
        <v/>
      </c>
      <c r="I678" s="38">
        <f>IF($A678="","",IFERROR($G678-$G678*INDEX(tblKurallar[deger_2025],MATCH("YDK-004",tblKurallar[kural_id],0)),0))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8">
        <f>IF($A679="","",IFERROR(ROUND(MAX(0,$B679*($D679-1)),2),0))</f>
        <v/>
      </c>
      <c r="H679" s="38">
        <f>IF($A679="","",IFERROR(ROUND($G679*INDEX(tblKurallar[deger_2025],MATCH("YDK-002",tblKurallar[kural_id],0)),2),0))</f>
        <v/>
      </c>
      <c r="I679" s="38">
        <f>IF($A679="","",IFERROR($G679-$G679*INDEX(tblKurallar[deger_2025],MATCH("YDK-004",tblKurallar[kural_id],0)),0))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8">
        <f>IF($A680="","",IFERROR(ROUND(MAX(0,$B680*($D680-1)),2),0))</f>
        <v/>
      </c>
      <c r="H680" s="38">
        <f>IF($A680="","",IFERROR(ROUND($G680*INDEX(tblKurallar[deger_2025],MATCH("YDK-002",tblKurallar[kural_id],0)),2),0))</f>
        <v/>
      </c>
      <c r="I680" s="38">
        <f>IF($A680="","",IFERROR($G680-$G680*INDEX(tblKurallar[deger_2025],MATCH("YDK-004",tblKurallar[kural_id],0)),0))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8">
        <f>IF($A681="","",IFERROR(ROUND(MAX(0,$B681*($D681-1)),2),0))</f>
        <v/>
      </c>
      <c r="H681" s="38">
        <f>IF($A681="","",IFERROR(ROUND($G681*INDEX(tblKurallar[deger_2025],MATCH("YDK-002",tblKurallar[kural_id],0)),2),0))</f>
        <v/>
      </c>
      <c r="I681" s="38">
        <f>IF($A681="","",IFERROR($G681-$G681*INDEX(tblKurallar[deger_2025],MATCH("YDK-004",tblKurallar[kural_id],0)),0))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8">
        <f>IF($A682="","",IFERROR(ROUND(MAX(0,$B682*($D682-1)),2),0))</f>
        <v/>
      </c>
      <c r="H682" s="38">
        <f>IF($A682="","",IFERROR(ROUND($G682*INDEX(tblKurallar[deger_2025],MATCH("YDK-002",tblKurallar[kural_id],0)),2),0))</f>
        <v/>
      </c>
      <c r="I682" s="38">
        <f>IF($A682="","",IFERROR($G682-$G682*INDEX(tblKurallar[deger_2025],MATCH("YDK-004",tblKurallar[kural_id],0)),0))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8">
        <f>IF($A683="","",IFERROR(ROUND(MAX(0,$B683*($D683-1)),2),0))</f>
        <v/>
      </c>
      <c r="H683" s="38">
        <f>IF($A683="","",IFERROR(ROUND($G683*INDEX(tblKurallar[deger_2025],MATCH("YDK-002",tblKurallar[kural_id],0)),2),0))</f>
        <v/>
      </c>
      <c r="I683" s="38">
        <f>IF($A683="","",IFERROR($G683-$G683*INDEX(tblKurallar[deger_2025],MATCH("YDK-004",tblKurallar[kural_id],0)),0))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8">
        <f>IF($A684="","",IFERROR(ROUND(MAX(0,$B684*($D684-1)),2),0))</f>
        <v/>
      </c>
      <c r="H684" s="38">
        <f>IF($A684="","",IFERROR(ROUND($G684*INDEX(tblKurallar[deger_2025],MATCH("YDK-002",tblKurallar[kural_id],0)),2),0))</f>
        <v/>
      </c>
      <c r="I684" s="38">
        <f>IF($A684="","",IFERROR($G684-$G684*INDEX(tblKurallar[deger_2025],MATCH("YDK-004",tblKurallar[kural_id],0)),0))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8">
        <f>IF($A685="","",IFERROR(ROUND(MAX(0,$B685*($D685-1)),2),0))</f>
        <v/>
      </c>
      <c r="H685" s="38">
        <f>IF($A685="","",IFERROR(ROUND($G685*INDEX(tblKurallar[deger_2025],MATCH("YDK-002",tblKurallar[kural_id],0)),2),0))</f>
        <v/>
      </c>
      <c r="I685" s="38">
        <f>IF($A685="","",IFERROR($G685-$G685*INDEX(tblKurallar[deger_2025],MATCH("YDK-004",tblKurallar[kural_id],0)),0))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8">
        <f>IF($A686="","",IFERROR(ROUND(MAX(0,$B686*($D686-1)),2),0))</f>
        <v/>
      </c>
      <c r="H686" s="38">
        <f>IF($A686="","",IFERROR(ROUND($G686*INDEX(tblKurallar[deger_2025],MATCH("YDK-002",tblKurallar[kural_id],0)),2),0))</f>
        <v/>
      </c>
      <c r="I686" s="38">
        <f>IF($A686="","",IFERROR($G686-$G686*INDEX(tblKurallar[deger_2025],MATCH("YDK-004",tblKurallar[kural_id],0)),0))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8">
        <f>IF($A687="","",IFERROR(ROUND(MAX(0,$B687*($D687-1)),2),0))</f>
        <v/>
      </c>
      <c r="H687" s="38">
        <f>IF($A687="","",IFERROR(ROUND($G687*INDEX(tblKurallar[deger_2025],MATCH("YDK-002",tblKurallar[kural_id],0)),2),0))</f>
        <v/>
      </c>
      <c r="I687" s="38">
        <f>IF($A687="","",IFERROR($G687-$G687*INDEX(tblKurallar[deger_2025],MATCH("YDK-004",tblKurallar[kural_id],0)),0))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8">
        <f>IF($A688="","",IFERROR(ROUND(MAX(0,$B688*($D688-1)),2),0))</f>
        <v/>
      </c>
      <c r="H688" s="38">
        <f>IF($A688="","",IFERROR(ROUND($G688*INDEX(tblKurallar[deger_2025],MATCH("YDK-002",tblKurallar[kural_id],0)),2),0))</f>
        <v/>
      </c>
      <c r="I688" s="38">
        <f>IF($A688="","",IFERROR($G688-$G688*INDEX(tblKurallar[deger_2025],MATCH("YDK-004",tblKurallar[kural_id],0)),0))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8">
        <f>IF($A689="","",IFERROR(ROUND(MAX(0,$B689*($D689-1)),2),0))</f>
        <v/>
      </c>
      <c r="H689" s="38">
        <f>IF($A689="","",IFERROR(ROUND($G689*INDEX(tblKurallar[deger_2025],MATCH("YDK-002",tblKurallar[kural_id],0)),2),0))</f>
        <v/>
      </c>
      <c r="I689" s="38">
        <f>IF($A689="","",IFERROR($G689-$G689*INDEX(tblKurallar[deger_2025],MATCH("YDK-004",tblKurallar[kural_id],0)),0))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8">
        <f>IF($A690="","",IFERROR(ROUND(MAX(0,$B690*($D690-1)),2),0))</f>
        <v/>
      </c>
      <c r="H690" s="38">
        <f>IF($A690="","",IFERROR(ROUND($G690*INDEX(tblKurallar[deger_2025],MATCH("YDK-002",tblKurallar[kural_id],0)),2),0))</f>
        <v/>
      </c>
      <c r="I690" s="38">
        <f>IF($A690="","",IFERROR($G690-$G690*INDEX(tblKurallar[deger_2025],MATCH("YDK-004",tblKurallar[kural_id],0)),0))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8">
        <f>IF($A691="","",IFERROR(ROUND(MAX(0,$B691*($D691-1)),2),0))</f>
        <v/>
      </c>
      <c r="H691" s="38">
        <f>IF($A691="","",IFERROR(ROUND($G691*INDEX(tblKurallar[deger_2025],MATCH("YDK-002",tblKurallar[kural_id],0)),2),0))</f>
        <v/>
      </c>
      <c r="I691" s="38">
        <f>IF($A691="","",IFERROR($G691-$G691*INDEX(tblKurallar[deger_2025],MATCH("YDK-004",tblKurallar[kural_id],0)),0))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8">
        <f>IF($A692="","",IFERROR(ROUND(MAX(0,$B692*($D692-1)),2),0))</f>
        <v/>
      </c>
      <c r="H692" s="38">
        <f>IF($A692="","",IFERROR(ROUND($G692*INDEX(tblKurallar[deger_2025],MATCH("YDK-002",tblKurallar[kural_id],0)),2),0))</f>
        <v/>
      </c>
      <c r="I692" s="38">
        <f>IF($A692="","",IFERROR($G692-$G692*INDEX(tblKurallar[deger_2025],MATCH("YDK-004",tblKurallar[kural_id],0)),0))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8">
        <f>IF($A693="","",IFERROR(ROUND(MAX(0,$B693*($D693-1)),2),0))</f>
        <v/>
      </c>
      <c r="H693" s="38">
        <f>IF($A693="","",IFERROR(ROUND($G693*INDEX(tblKurallar[deger_2025],MATCH("YDK-002",tblKurallar[kural_id],0)),2),0))</f>
        <v/>
      </c>
      <c r="I693" s="38">
        <f>IF($A693="","",IFERROR($G693-$G693*INDEX(tblKurallar[deger_2025],MATCH("YDK-004",tblKurallar[kural_id],0)),0))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8">
        <f>IF($A694="","",IFERROR(ROUND(MAX(0,$B694*($D694-1)),2),0))</f>
        <v/>
      </c>
      <c r="H694" s="38">
        <f>IF($A694="","",IFERROR(ROUND($G694*INDEX(tblKurallar[deger_2025],MATCH("YDK-002",tblKurallar[kural_id],0)),2),0))</f>
        <v/>
      </c>
      <c r="I694" s="38">
        <f>IF($A694="","",IFERROR($G694-$G694*INDEX(tblKurallar[deger_2025],MATCH("YDK-004",tblKurallar[kural_id],0)),0))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8">
        <f>IF($A695="","",IFERROR(ROUND(MAX(0,$B695*($D695-1)),2),0))</f>
        <v/>
      </c>
      <c r="H695" s="38">
        <f>IF($A695="","",IFERROR(ROUND($G695*INDEX(tblKurallar[deger_2025],MATCH("YDK-002",tblKurallar[kural_id],0)),2),0))</f>
        <v/>
      </c>
      <c r="I695" s="38">
        <f>IF($A695="","",IFERROR($G695-$G695*INDEX(tblKurallar[deger_2025],MATCH("YDK-004",tblKurallar[kural_id],0)),0))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8">
        <f>IF($A696="","",IFERROR(ROUND(MAX(0,$B696*($D696-1)),2),0))</f>
        <v/>
      </c>
      <c r="H696" s="38">
        <f>IF($A696="","",IFERROR(ROUND($G696*INDEX(tblKurallar[deger_2025],MATCH("YDK-002",tblKurallar[kural_id],0)),2),0))</f>
        <v/>
      </c>
      <c r="I696" s="38">
        <f>IF($A696="","",IFERROR($G696-$G696*INDEX(tblKurallar[deger_2025],MATCH("YDK-004",tblKurallar[kural_id],0)),0))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8">
        <f>IF($A697="","",IFERROR(ROUND(MAX(0,$B697*($D697-1)),2),0))</f>
        <v/>
      </c>
      <c r="H697" s="38">
        <f>IF($A697="","",IFERROR(ROUND($G697*INDEX(tblKurallar[deger_2025],MATCH("YDK-002",tblKurallar[kural_id],0)),2),0))</f>
        <v/>
      </c>
      <c r="I697" s="38">
        <f>IF($A697="","",IFERROR($G697-$G697*INDEX(tblKurallar[deger_2025],MATCH("YDK-004",tblKurallar[kural_id],0)),0))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8">
        <f>IF($A698="","",IFERROR(ROUND(MAX(0,$B698*($D698-1)),2),0))</f>
        <v/>
      </c>
      <c r="H698" s="38">
        <f>IF($A698="","",IFERROR(ROUND($G698*INDEX(tblKurallar[deger_2025],MATCH("YDK-002",tblKurallar[kural_id],0)),2),0))</f>
        <v/>
      </c>
      <c r="I698" s="38">
        <f>IF($A698="","",IFERROR($G698-$G698*INDEX(tblKurallar[deger_2025],MATCH("YDK-004",tblKurallar[kural_id],0)),0))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8">
        <f>IF($A699="","",IFERROR(ROUND(MAX(0,$B699*($D699-1)),2),0))</f>
        <v/>
      </c>
      <c r="H699" s="38">
        <f>IF($A699="","",IFERROR(ROUND($G699*INDEX(tblKurallar[deger_2025],MATCH("YDK-002",tblKurallar[kural_id],0)),2),0))</f>
        <v/>
      </c>
      <c r="I699" s="38">
        <f>IF($A699="","",IFERROR($G699-$G699*INDEX(tblKurallar[deger_2025],MATCH("YDK-004",tblKurallar[kural_id],0)),0))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8">
        <f>IF($A700="","",IFERROR(ROUND(MAX(0,$B700*($D700-1)),2),0))</f>
        <v/>
      </c>
      <c r="H700" s="38">
        <f>IF($A700="","",IFERROR(ROUND($G700*INDEX(tblKurallar[deger_2025],MATCH("YDK-002",tblKurallar[kural_id],0)),2),0))</f>
        <v/>
      </c>
      <c r="I700" s="38">
        <f>IF($A700="","",IFERROR($G700-$G700*INDEX(tblKurallar[deger_2025],MATCH("YDK-004",tblKurallar[kural_id],0)),0))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8">
        <f>IF($A701="","",IFERROR(ROUND(MAX(0,$B701*($D701-1)),2),0))</f>
        <v/>
      </c>
      <c r="H701" s="38">
        <f>IF($A701="","",IFERROR(ROUND($G701*INDEX(tblKurallar[deger_2025],MATCH("YDK-002",tblKurallar[kural_id],0)),2),0))</f>
        <v/>
      </c>
      <c r="I701" s="38">
        <f>IF($A701="","",IFERROR($G701-$G701*INDEX(tblKurallar[deger_2025],MATCH("YDK-004",tblKurallar[kural_id],0)),0))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8">
        <f>IF($A702="","",IFERROR(ROUND(MAX(0,$B702*($D702-1)),2),0))</f>
        <v/>
      </c>
      <c r="H702" s="38">
        <f>IF($A702="","",IFERROR(ROUND($G702*INDEX(tblKurallar[deger_2025],MATCH("YDK-002",tblKurallar[kural_id],0)),2),0))</f>
        <v/>
      </c>
      <c r="I702" s="38">
        <f>IF($A702="","",IFERROR($G702-$G702*INDEX(tblKurallar[deger_2025],MATCH("YDK-004",tblKurallar[kural_id],0)),0))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8">
        <f>IF($A703="","",IFERROR(ROUND(MAX(0,$B703*($D703-1)),2),0))</f>
        <v/>
      </c>
      <c r="H703" s="38">
        <f>IF($A703="","",IFERROR(ROUND($G703*INDEX(tblKurallar[deger_2025],MATCH("YDK-002",tblKurallar[kural_id],0)),2),0))</f>
        <v/>
      </c>
      <c r="I703" s="38">
        <f>IF($A703="","",IFERROR($G703-$G703*INDEX(tblKurallar[deger_2025],MATCH("YDK-004",tblKurallar[kural_id],0)),0))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8">
        <f>IF($A704="","",IFERROR(ROUND(MAX(0,$B704*($D704-1)),2),0))</f>
        <v/>
      </c>
      <c r="H704" s="38">
        <f>IF($A704="","",IFERROR(ROUND($G704*INDEX(tblKurallar[deger_2025],MATCH("YDK-002",tblKurallar[kural_id],0)),2),0))</f>
        <v/>
      </c>
      <c r="I704" s="38">
        <f>IF($A704="","",IFERROR($G704-$G704*INDEX(tblKurallar[deger_2025],MATCH("YDK-004",tblKurallar[kural_id],0)),0))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8">
        <f>IF($A705="","",IFERROR(ROUND(MAX(0,$B705*($D705-1)),2),0))</f>
        <v/>
      </c>
      <c r="H705" s="38">
        <f>IF($A705="","",IFERROR(ROUND($G705*INDEX(tblKurallar[deger_2025],MATCH("YDK-002",tblKurallar[kural_id],0)),2),0))</f>
        <v/>
      </c>
      <c r="I705" s="38">
        <f>IF($A705="","",IFERROR($G705-$G705*INDEX(tblKurallar[deger_2025],MATCH("YDK-004",tblKurallar[kural_id],0)),0))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8">
        <f>IF($A706="","",IFERROR(ROUND(MAX(0,$B706*($D706-1)),2),0))</f>
        <v/>
      </c>
      <c r="H706" s="38">
        <f>IF($A706="","",IFERROR(ROUND($G706*INDEX(tblKurallar[deger_2025],MATCH("YDK-002",tblKurallar[kural_id],0)),2),0))</f>
        <v/>
      </c>
      <c r="I706" s="38">
        <f>IF($A706="","",IFERROR($G706-$G706*INDEX(tblKurallar[deger_2025],MATCH("YDK-004",tblKurallar[kural_id],0)),0))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8">
        <f>IF($A707="","",IFERROR(ROUND(MAX(0,$B707*($D707-1)),2),0))</f>
        <v/>
      </c>
      <c r="H707" s="38">
        <f>IF($A707="","",IFERROR(ROUND($G707*INDEX(tblKurallar[deger_2025],MATCH("YDK-002",tblKurallar[kural_id],0)),2),0))</f>
        <v/>
      </c>
      <c r="I707" s="38">
        <f>IF($A707="","",IFERROR($G707-$G707*INDEX(tblKurallar[deger_2025],MATCH("YDK-004",tblKurallar[kural_id],0)),0))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8">
        <f>IF($A708="","",IFERROR(ROUND(MAX(0,$B708*($D708-1)),2),0))</f>
        <v/>
      </c>
      <c r="H708" s="38">
        <f>IF($A708="","",IFERROR(ROUND($G708*INDEX(tblKurallar[deger_2025],MATCH("YDK-002",tblKurallar[kural_id],0)),2),0))</f>
        <v/>
      </c>
      <c r="I708" s="38">
        <f>IF($A708="","",IFERROR($G708-$G708*INDEX(tblKurallar[deger_2025],MATCH("YDK-004",tblKurallar[kural_id],0)),0))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8">
        <f>IF($A709="","",IFERROR(ROUND(MAX(0,$B709*($D709-1)),2),0))</f>
        <v/>
      </c>
      <c r="H709" s="38">
        <f>IF($A709="","",IFERROR(ROUND($G709*INDEX(tblKurallar[deger_2025],MATCH("YDK-002",tblKurallar[kural_id],0)),2),0))</f>
        <v/>
      </c>
      <c r="I709" s="38">
        <f>IF($A709="","",IFERROR($G709-$G709*INDEX(tblKurallar[deger_2025],MATCH("YDK-004",tblKurallar[kural_id],0)),0))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8">
        <f>IF($A710="","",IFERROR(ROUND(MAX(0,$B710*($D710-1)),2),0))</f>
        <v/>
      </c>
      <c r="H710" s="38">
        <f>IF($A710="","",IFERROR(ROUND($G710*INDEX(tblKurallar[deger_2025],MATCH("YDK-002",tblKurallar[kural_id],0)),2),0))</f>
        <v/>
      </c>
      <c r="I710" s="38">
        <f>IF($A710="","",IFERROR($G710-$G710*INDEX(tblKurallar[deger_2025],MATCH("YDK-004",tblKurallar[kural_id],0)),0))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8">
        <f>IF($A711="","",IFERROR(ROUND(MAX(0,$B711*($D711-1)),2),0))</f>
        <v/>
      </c>
      <c r="H711" s="38">
        <f>IF($A711="","",IFERROR(ROUND($G711*INDEX(tblKurallar[deger_2025],MATCH("YDK-002",tblKurallar[kural_id],0)),2),0))</f>
        <v/>
      </c>
      <c r="I711" s="38">
        <f>IF($A711="","",IFERROR($G711-$G711*INDEX(tblKurallar[deger_2025],MATCH("YDK-004",tblKurallar[kural_id],0)),0))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8">
        <f>IF($A712="","",IFERROR(ROUND(MAX(0,$B712*($D712-1)),2),0))</f>
        <v/>
      </c>
      <c r="H712" s="38">
        <f>IF($A712="","",IFERROR(ROUND($G712*INDEX(tblKurallar[deger_2025],MATCH("YDK-002",tblKurallar[kural_id],0)),2),0))</f>
        <v/>
      </c>
      <c r="I712" s="38">
        <f>IF($A712="","",IFERROR($G712-$G712*INDEX(tblKurallar[deger_2025],MATCH("YDK-004",tblKurallar[kural_id],0)),0))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8">
        <f>IF($A713="","",IFERROR(ROUND(MAX(0,$B713*($D713-1)),2),0))</f>
        <v/>
      </c>
      <c r="H713" s="38">
        <f>IF($A713="","",IFERROR(ROUND($G713*INDEX(tblKurallar[deger_2025],MATCH("YDK-002",tblKurallar[kural_id],0)),2),0))</f>
        <v/>
      </c>
      <c r="I713" s="38">
        <f>IF($A713="","",IFERROR($G713-$G713*INDEX(tblKurallar[deger_2025],MATCH("YDK-004",tblKurallar[kural_id],0)),0))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8">
        <f>IF($A714="","",IFERROR(ROUND(MAX(0,$B714*($D714-1)),2),0))</f>
        <v/>
      </c>
      <c r="H714" s="38">
        <f>IF($A714="","",IFERROR(ROUND($G714*INDEX(tblKurallar[deger_2025],MATCH("YDK-002",tblKurallar[kural_id],0)),2),0))</f>
        <v/>
      </c>
      <c r="I714" s="38">
        <f>IF($A714="","",IFERROR($G714-$G714*INDEX(tblKurallar[deger_2025],MATCH("YDK-004",tblKurallar[kural_id],0)),0))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8">
        <f>IF($A715="","",IFERROR(ROUND(MAX(0,$B715*($D715-1)),2),0))</f>
        <v/>
      </c>
      <c r="H715" s="38">
        <f>IF($A715="","",IFERROR(ROUND($G715*INDEX(tblKurallar[deger_2025],MATCH("YDK-002",tblKurallar[kural_id],0)),2),0))</f>
        <v/>
      </c>
      <c r="I715" s="38">
        <f>IF($A715="","",IFERROR($G715-$G715*INDEX(tblKurallar[deger_2025],MATCH("YDK-004",tblKurallar[kural_id],0)),0))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8">
        <f>IF($A716="","",IFERROR(ROUND(MAX(0,$B716*($D716-1)),2),0))</f>
        <v/>
      </c>
      <c r="H716" s="38">
        <f>IF($A716="","",IFERROR(ROUND($G716*INDEX(tblKurallar[deger_2025],MATCH("YDK-002",tblKurallar[kural_id],0)),2),0))</f>
        <v/>
      </c>
      <c r="I716" s="38">
        <f>IF($A716="","",IFERROR($G716-$G716*INDEX(tblKurallar[deger_2025],MATCH("YDK-004",tblKurallar[kural_id],0)),0))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8">
        <f>IF($A717="","",IFERROR(ROUND(MAX(0,$B717*($D717-1)),2),0))</f>
        <v/>
      </c>
      <c r="H717" s="38">
        <f>IF($A717="","",IFERROR(ROUND($G717*INDEX(tblKurallar[deger_2025],MATCH("YDK-002",tblKurallar[kural_id],0)),2),0))</f>
        <v/>
      </c>
      <c r="I717" s="38">
        <f>IF($A717="","",IFERROR($G717-$G717*INDEX(tblKurallar[deger_2025],MATCH("YDK-004",tblKurallar[kural_id],0)),0))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8">
        <f>IF($A718="","",IFERROR(ROUND(MAX(0,$B718*($D718-1)),2),0))</f>
        <v/>
      </c>
      <c r="H718" s="38">
        <f>IF($A718="","",IFERROR(ROUND($G718*INDEX(tblKurallar[deger_2025],MATCH("YDK-002",tblKurallar[kural_id],0)),2),0))</f>
        <v/>
      </c>
      <c r="I718" s="38">
        <f>IF($A718="","",IFERROR($G718-$G718*INDEX(tblKurallar[deger_2025],MATCH("YDK-004",tblKurallar[kural_id],0)),0))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8">
        <f>IF($A719="","",IFERROR(ROUND(MAX(0,$B719*($D719-1)),2),0))</f>
        <v/>
      </c>
      <c r="H719" s="38">
        <f>IF($A719="","",IFERROR(ROUND($G719*INDEX(tblKurallar[deger_2025],MATCH("YDK-002",tblKurallar[kural_id],0)),2),0))</f>
        <v/>
      </c>
      <c r="I719" s="38">
        <f>IF($A719="","",IFERROR($G719-$G719*INDEX(tblKurallar[deger_2025],MATCH("YDK-004",tblKurallar[kural_id],0)),0))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8">
        <f>IF($A720="","",IFERROR(ROUND(MAX(0,$B720*($D720-1)),2),0))</f>
        <v/>
      </c>
      <c r="H720" s="38">
        <f>IF($A720="","",IFERROR(ROUND($G720*INDEX(tblKurallar[deger_2025],MATCH("YDK-002",tblKurallar[kural_id],0)),2),0))</f>
        <v/>
      </c>
      <c r="I720" s="38">
        <f>IF($A720="","",IFERROR($G720-$G720*INDEX(tblKurallar[deger_2025],MATCH("YDK-004",tblKurallar[kural_id],0)),0))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8">
        <f>IF($A721="","",IFERROR(ROUND(MAX(0,$B721*($D721-1)),2),0))</f>
        <v/>
      </c>
      <c r="H721" s="38">
        <f>IF($A721="","",IFERROR(ROUND($G721*INDEX(tblKurallar[deger_2025],MATCH("YDK-002",tblKurallar[kural_id],0)),2),0))</f>
        <v/>
      </c>
      <c r="I721" s="38">
        <f>IF($A721="","",IFERROR($G721-$G721*INDEX(tblKurallar[deger_2025],MATCH("YDK-004",tblKurallar[kural_id],0)),0))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8">
        <f>IF($A722="","",IFERROR(ROUND(MAX(0,$B722*($D722-1)),2),0))</f>
        <v/>
      </c>
      <c r="H722" s="38">
        <f>IF($A722="","",IFERROR(ROUND($G722*INDEX(tblKurallar[deger_2025],MATCH("YDK-002",tblKurallar[kural_id],0)),2),0))</f>
        <v/>
      </c>
      <c r="I722" s="38">
        <f>IF($A722="","",IFERROR($G722-$G722*INDEX(tblKurallar[deger_2025],MATCH("YDK-004",tblKurallar[kural_id],0)),0))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8">
        <f>IF($A723="","",IFERROR(ROUND(MAX(0,$B723*($D723-1)),2),0))</f>
        <v/>
      </c>
      <c r="H723" s="38">
        <f>IF($A723="","",IFERROR(ROUND($G723*INDEX(tblKurallar[deger_2025],MATCH("YDK-002",tblKurallar[kural_id],0)),2),0))</f>
        <v/>
      </c>
      <c r="I723" s="38">
        <f>IF($A723="","",IFERROR($G723-$G723*INDEX(tblKurallar[deger_2025],MATCH("YDK-004",tblKurallar[kural_id],0)),0))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8">
        <f>IF($A724="","",IFERROR(ROUND(MAX(0,$B724*($D724-1)),2),0))</f>
        <v/>
      </c>
      <c r="H724" s="38">
        <f>IF($A724="","",IFERROR(ROUND($G724*INDEX(tblKurallar[deger_2025],MATCH("YDK-002",tblKurallar[kural_id],0)),2),0))</f>
        <v/>
      </c>
      <c r="I724" s="38">
        <f>IF($A724="","",IFERROR($G724-$G724*INDEX(tblKurallar[deger_2025],MATCH("YDK-004",tblKurallar[kural_id],0)),0))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8">
        <f>IF($A725="","",IFERROR(ROUND(MAX(0,$B725*($D725-1)),2),0))</f>
        <v/>
      </c>
      <c r="H725" s="38">
        <f>IF($A725="","",IFERROR(ROUND($G725*INDEX(tblKurallar[deger_2025],MATCH("YDK-002",tblKurallar[kural_id],0)),2),0))</f>
        <v/>
      </c>
      <c r="I725" s="38">
        <f>IF($A725="","",IFERROR($G725-$G725*INDEX(tblKurallar[deger_2025],MATCH("YDK-004",tblKurallar[kural_id],0)),0))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8">
        <f>IF($A726="","",IFERROR(ROUND(MAX(0,$B726*($D726-1)),2),0))</f>
        <v/>
      </c>
      <c r="H726" s="38">
        <f>IF($A726="","",IFERROR(ROUND($G726*INDEX(tblKurallar[deger_2025],MATCH("YDK-002",tblKurallar[kural_id],0)),2),0))</f>
        <v/>
      </c>
      <c r="I726" s="38">
        <f>IF($A726="","",IFERROR($G726-$G726*INDEX(tblKurallar[deger_2025],MATCH("YDK-004",tblKurallar[kural_id],0)),0))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8">
        <f>IF($A727="","",IFERROR(ROUND(MAX(0,$B727*($D727-1)),2),0))</f>
        <v/>
      </c>
      <c r="H727" s="38">
        <f>IF($A727="","",IFERROR(ROUND($G727*INDEX(tblKurallar[deger_2025],MATCH("YDK-002",tblKurallar[kural_id],0)),2),0))</f>
        <v/>
      </c>
      <c r="I727" s="38">
        <f>IF($A727="","",IFERROR($G727-$G727*INDEX(tblKurallar[deger_2025],MATCH("YDK-004",tblKurallar[kural_id],0)),0))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8">
        <f>IF($A728="","",IFERROR(ROUND(MAX(0,$B728*($D728-1)),2),0))</f>
        <v/>
      </c>
      <c r="H728" s="38">
        <f>IF($A728="","",IFERROR(ROUND($G728*INDEX(tblKurallar[deger_2025],MATCH("YDK-002",tblKurallar[kural_id],0)),2),0))</f>
        <v/>
      </c>
      <c r="I728" s="38">
        <f>IF($A728="","",IFERROR($G728-$G728*INDEX(tblKurallar[deger_2025],MATCH("YDK-004",tblKurallar[kural_id],0)),0))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8">
        <f>IF($A729="","",IFERROR(ROUND(MAX(0,$B729*($D729-1)),2),0))</f>
        <v/>
      </c>
      <c r="H729" s="38">
        <f>IF($A729="","",IFERROR(ROUND($G729*INDEX(tblKurallar[deger_2025],MATCH("YDK-002",tblKurallar[kural_id],0)),2),0))</f>
        <v/>
      </c>
      <c r="I729" s="38">
        <f>IF($A729="","",IFERROR($G729-$G729*INDEX(tblKurallar[deger_2025],MATCH("YDK-004",tblKurallar[kural_id],0)),0))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8">
        <f>IF($A730="","",IFERROR(ROUND(MAX(0,$B730*($D730-1)),2),0))</f>
        <v/>
      </c>
      <c r="H730" s="38">
        <f>IF($A730="","",IFERROR(ROUND($G730*INDEX(tblKurallar[deger_2025],MATCH("YDK-002",tblKurallar[kural_id],0)),2),0))</f>
        <v/>
      </c>
      <c r="I730" s="38">
        <f>IF($A730="","",IFERROR($G730-$G730*INDEX(tblKurallar[deger_2025],MATCH("YDK-004",tblKurallar[kural_id],0)),0))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8">
        <f>IF($A731="","",IFERROR(ROUND(MAX(0,$B731*($D731-1)),2),0))</f>
        <v/>
      </c>
      <c r="H731" s="38">
        <f>IF($A731="","",IFERROR(ROUND($G731*INDEX(tblKurallar[deger_2025],MATCH("YDK-002",tblKurallar[kural_id],0)),2),0))</f>
        <v/>
      </c>
      <c r="I731" s="38">
        <f>IF($A731="","",IFERROR($G731-$G731*INDEX(tblKurallar[deger_2025],MATCH("YDK-004",tblKurallar[kural_id],0)),0))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8">
        <f>IF($A732="","",IFERROR(ROUND(MAX(0,$B732*($D732-1)),2),0))</f>
        <v/>
      </c>
      <c r="H732" s="38">
        <f>IF($A732="","",IFERROR(ROUND($G732*INDEX(tblKurallar[deger_2025],MATCH("YDK-002",tblKurallar[kural_id],0)),2),0))</f>
        <v/>
      </c>
      <c r="I732" s="38">
        <f>IF($A732="","",IFERROR($G732-$G732*INDEX(tblKurallar[deger_2025],MATCH("YDK-004",tblKurallar[kural_id],0)),0))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8">
        <f>IF($A733="","",IFERROR(ROUND(MAX(0,$B733*($D733-1)),2),0))</f>
        <v/>
      </c>
      <c r="H733" s="38">
        <f>IF($A733="","",IFERROR(ROUND($G733*INDEX(tblKurallar[deger_2025],MATCH("YDK-002",tblKurallar[kural_id],0)),2),0))</f>
        <v/>
      </c>
      <c r="I733" s="38">
        <f>IF($A733="","",IFERROR($G733-$G733*INDEX(tblKurallar[deger_2025],MATCH("YDK-004",tblKurallar[kural_id],0)),0))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8">
        <f>IF($A734="","",IFERROR(ROUND(MAX(0,$B734*($D734-1)),2),0))</f>
        <v/>
      </c>
      <c r="H734" s="38">
        <f>IF($A734="","",IFERROR(ROUND($G734*INDEX(tblKurallar[deger_2025],MATCH("YDK-002",tblKurallar[kural_id],0)),2),0))</f>
        <v/>
      </c>
      <c r="I734" s="38">
        <f>IF($A734="","",IFERROR($G734-$G734*INDEX(tblKurallar[deger_2025],MATCH("YDK-004",tblKurallar[kural_id],0)),0))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8">
        <f>IF($A735="","",IFERROR(ROUND(MAX(0,$B735*($D735-1)),2),0))</f>
        <v/>
      </c>
      <c r="H735" s="38">
        <f>IF($A735="","",IFERROR(ROUND($G735*INDEX(tblKurallar[deger_2025],MATCH("YDK-002",tblKurallar[kural_id],0)),2),0))</f>
        <v/>
      </c>
      <c r="I735" s="38">
        <f>IF($A735="","",IFERROR($G735-$G735*INDEX(tblKurallar[deger_2025],MATCH("YDK-004",tblKurallar[kural_id],0)),0))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8">
        <f>IF($A736="","",IFERROR(ROUND(MAX(0,$B736*($D736-1)),2),0))</f>
        <v/>
      </c>
      <c r="H736" s="38">
        <f>IF($A736="","",IFERROR(ROUND($G736*INDEX(tblKurallar[deger_2025],MATCH("YDK-002",tblKurallar[kural_id],0)),2),0))</f>
        <v/>
      </c>
      <c r="I736" s="38">
        <f>IF($A736="","",IFERROR($G736-$G736*INDEX(tblKurallar[deger_2025],MATCH("YDK-004",tblKurallar[kural_id],0)),0))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8">
        <f>IF($A737="","",IFERROR(ROUND(MAX(0,$B737*($D737-1)),2),0))</f>
        <v/>
      </c>
      <c r="H737" s="38">
        <f>IF($A737="","",IFERROR(ROUND($G737*INDEX(tblKurallar[deger_2025],MATCH("YDK-002",tblKurallar[kural_id],0)),2),0))</f>
        <v/>
      </c>
      <c r="I737" s="38">
        <f>IF($A737="","",IFERROR($G737-$G737*INDEX(tblKurallar[deger_2025],MATCH("YDK-004",tblKurallar[kural_id],0)),0))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8">
        <f>IF($A738="","",IFERROR(ROUND(MAX(0,$B738*($D738-1)),2),0))</f>
        <v/>
      </c>
      <c r="H738" s="38">
        <f>IF($A738="","",IFERROR(ROUND($G738*INDEX(tblKurallar[deger_2025],MATCH("YDK-002",tblKurallar[kural_id],0)),2),0))</f>
        <v/>
      </c>
      <c r="I738" s="38">
        <f>IF($A738="","",IFERROR($G738-$G738*INDEX(tblKurallar[deger_2025],MATCH("YDK-004",tblKurallar[kural_id],0)),0))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8">
        <f>IF($A739="","",IFERROR(ROUND(MAX(0,$B739*($D739-1)),2),0))</f>
        <v/>
      </c>
      <c r="H739" s="38">
        <f>IF($A739="","",IFERROR(ROUND($G739*INDEX(tblKurallar[deger_2025],MATCH("YDK-002",tblKurallar[kural_id],0)),2),0))</f>
        <v/>
      </c>
      <c r="I739" s="38">
        <f>IF($A739="","",IFERROR($G739-$G739*INDEX(tblKurallar[deger_2025],MATCH("YDK-004",tblKurallar[kural_id],0)),0))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8">
        <f>IF($A740="","",IFERROR(ROUND(MAX(0,$B740*($D740-1)),2),0))</f>
        <v/>
      </c>
      <c r="H740" s="38">
        <f>IF($A740="","",IFERROR(ROUND($G740*INDEX(tblKurallar[deger_2025],MATCH("YDK-002",tblKurallar[kural_id],0)),2),0))</f>
        <v/>
      </c>
      <c r="I740" s="38">
        <f>IF($A740="","",IFERROR($G740-$G740*INDEX(tblKurallar[deger_2025],MATCH("YDK-004",tblKurallar[kural_id],0)),0))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8">
        <f>IF($A741="","",IFERROR(ROUND(MAX(0,$B741*($D741-1)),2),0))</f>
        <v/>
      </c>
      <c r="H741" s="38">
        <f>IF($A741="","",IFERROR(ROUND($G741*INDEX(tblKurallar[deger_2025],MATCH("YDK-002",tblKurallar[kural_id],0)),2),0))</f>
        <v/>
      </c>
      <c r="I741" s="38">
        <f>IF($A741="","",IFERROR($G741-$G741*INDEX(tblKurallar[deger_2025],MATCH("YDK-004",tblKurallar[kural_id],0)),0))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8">
        <f>IF($A742="","",IFERROR(ROUND(MAX(0,$B742*($D742-1)),2),0))</f>
        <v/>
      </c>
      <c r="H742" s="38">
        <f>IF($A742="","",IFERROR(ROUND($G742*INDEX(tblKurallar[deger_2025],MATCH("YDK-002",tblKurallar[kural_id],0)),2),0))</f>
        <v/>
      </c>
      <c r="I742" s="38">
        <f>IF($A742="","",IFERROR($G742-$G742*INDEX(tblKurallar[deger_2025],MATCH("YDK-004",tblKurallar[kural_id],0)),0))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8">
        <f>IF($A743="","",IFERROR(ROUND(MAX(0,$B743*($D743-1)),2),0))</f>
        <v/>
      </c>
      <c r="H743" s="38">
        <f>IF($A743="","",IFERROR(ROUND($G743*INDEX(tblKurallar[deger_2025],MATCH("YDK-002",tblKurallar[kural_id],0)),2),0))</f>
        <v/>
      </c>
      <c r="I743" s="38">
        <f>IF($A743="","",IFERROR($G743-$G743*INDEX(tblKurallar[deger_2025],MATCH("YDK-004",tblKurallar[kural_id],0)),0))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8">
        <f>IF($A744="","",IFERROR(ROUND(MAX(0,$B744*($D744-1)),2),0))</f>
        <v/>
      </c>
      <c r="H744" s="38">
        <f>IF($A744="","",IFERROR(ROUND($G744*INDEX(tblKurallar[deger_2025],MATCH("YDK-002",tblKurallar[kural_id],0)),2),0))</f>
        <v/>
      </c>
      <c r="I744" s="38">
        <f>IF($A744="","",IFERROR($G744-$G744*INDEX(tblKurallar[deger_2025],MATCH("YDK-004",tblKurallar[kural_id],0)),0))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8">
        <f>IF($A745="","",IFERROR(ROUND(MAX(0,$B745*($D745-1)),2),0))</f>
        <v/>
      </c>
      <c r="H745" s="38">
        <f>IF($A745="","",IFERROR(ROUND($G745*INDEX(tblKurallar[deger_2025],MATCH("YDK-002",tblKurallar[kural_id],0)),2),0))</f>
        <v/>
      </c>
      <c r="I745" s="38">
        <f>IF($A745="","",IFERROR($G745-$G745*INDEX(tblKurallar[deger_2025],MATCH("YDK-004",tblKurallar[kural_id],0)),0))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8">
        <f>IF($A746="","",IFERROR(ROUND(MAX(0,$B746*($D746-1)),2),0))</f>
        <v/>
      </c>
      <c r="H746" s="38">
        <f>IF($A746="","",IFERROR(ROUND($G746*INDEX(tblKurallar[deger_2025],MATCH("YDK-002",tblKurallar[kural_id],0)),2),0))</f>
        <v/>
      </c>
      <c r="I746" s="38">
        <f>IF($A746="","",IFERROR($G746-$G746*INDEX(tblKurallar[deger_2025],MATCH("YDK-004",tblKurallar[kural_id],0)),0))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8">
        <f>IF($A747="","",IFERROR(ROUND(MAX(0,$B747*($D747-1)),2),0))</f>
        <v/>
      </c>
      <c r="H747" s="38">
        <f>IF($A747="","",IFERROR(ROUND($G747*INDEX(tblKurallar[deger_2025],MATCH("YDK-002",tblKurallar[kural_id],0)),2),0))</f>
        <v/>
      </c>
      <c r="I747" s="38">
        <f>IF($A747="","",IFERROR($G747-$G747*INDEX(tblKurallar[deger_2025],MATCH("YDK-004",tblKurallar[kural_id],0)),0))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8">
        <f>IF($A748="","",IFERROR(ROUND(MAX(0,$B748*($D748-1)),2),0))</f>
        <v/>
      </c>
      <c r="H748" s="38">
        <f>IF($A748="","",IFERROR(ROUND($G748*INDEX(tblKurallar[deger_2025],MATCH("YDK-002",tblKurallar[kural_id],0)),2),0))</f>
        <v/>
      </c>
      <c r="I748" s="38">
        <f>IF($A748="","",IFERROR($G748-$G748*INDEX(tblKurallar[deger_2025],MATCH("YDK-004",tblKurallar[kural_id],0)),0))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8">
        <f>IF($A749="","",IFERROR(ROUND(MAX(0,$B749*($D749-1)),2),0))</f>
        <v/>
      </c>
      <c r="H749" s="38">
        <f>IF($A749="","",IFERROR(ROUND($G749*INDEX(tblKurallar[deger_2025],MATCH("YDK-002",tblKurallar[kural_id],0)),2),0))</f>
        <v/>
      </c>
      <c r="I749" s="38">
        <f>IF($A749="","",IFERROR($G749-$G749*INDEX(tblKurallar[deger_2025],MATCH("YDK-004",tblKurallar[kural_id],0)),0))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8">
        <f>IF($A750="","",IFERROR(ROUND(MAX(0,$B750*($D750-1)),2),0))</f>
        <v/>
      </c>
      <c r="H750" s="38">
        <f>IF($A750="","",IFERROR(ROUND($G750*INDEX(tblKurallar[deger_2025],MATCH("YDK-002",tblKurallar[kural_id],0)),2),0))</f>
        <v/>
      </c>
      <c r="I750" s="38">
        <f>IF($A750="","",IFERROR($G750-$G750*INDEX(tblKurallar[deger_2025],MATCH("YDK-004",tblKurallar[kural_id],0)),0))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8">
        <f>IF($A751="","",IFERROR(ROUND(MAX(0,$B751*($D751-1)),2),0))</f>
        <v/>
      </c>
      <c r="H751" s="38">
        <f>IF($A751="","",IFERROR(ROUND($G751*INDEX(tblKurallar[deger_2025],MATCH("YDK-002",tblKurallar[kural_id],0)),2),0))</f>
        <v/>
      </c>
      <c r="I751" s="38">
        <f>IF($A751="","",IFERROR($G751-$G751*INDEX(tblKurallar[deger_2025],MATCH("YDK-004",tblKurallar[kural_id],0)),0))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8">
        <f>IF($A752="","",IFERROR(ROUND(MAX(0,$B752*($D752-1)),2),0))</f>
        <v/>
      </c>
      <c r="H752" s="38">
        <f>IF($A752="","",IFERROR(ROUND($G752*INDEX(tblKurallar[deger_2025],MATCH("YDK-002",tblKurallar[kural_id],0)),2),0))</f>
        <v/>
      </c>
      <c r="I752" s="38">
        <f>IF($A752="","",IFERROR($G752-$G752*INDEX(tblKurallar[deger_2025],MATCH("YDK-004",tblKurallar[kural_id],0)),0))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8">
        <f>IF($A753="","",IFERROR(ROUND(MAX(0,$B753*($D753-1)),2),0))</f>
        <v/>
      </c>
      <c r="H753" s="38">
        <f>IF($A753="","",IFERROR(ROUND($G753*INDEX(tblKurallar[deger_2025],MATCH("YDK-002",tblKurallar[kural_id],0)),2),0))</f>
        <v/>
      </c>
      <c r="I753" s="38">
        <f>IF($A753="","",IFERROR($G753-$G753*INDEX(tblKurallar[deger_2025],MATCH("YDK-004",tblKurallar[kural_id],0)),0))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8">
        <f>IF($A754="","",IFERROR(ROUND(MAX(0,$B754*($D754-1)),2),0))</f>
        <v/>
      </c>
      <c r="H754" s="38">
        <f>IF($A754="","",IFERROR(ROUND($G754*INDEX(tblKurallar[deger_2025],MATCH("YDK-002",tblKurallar[kural_id],0)),2),0))</f>
        <v/>
      </c>
      <c r="I754" s="38">
        <f>IF($A754="","",IFERROR($G754-$G754*INDEX(tblKurallar[deger_2025],MATCH("YDK-004",tblKurallar[kural_id],0)),0))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8">
        <f>IF($A755="","",IFERROR(ROUND(MAX(0,$B755*($D755-1)),2),0))</f>
        <v/>
      </c>
      <c r="H755" s="38">
        <f>IF($A755="","",IFERROR(ROUND($G755*INDEX(tblKurallar[deger_2025],MATCH("YDK-002",tblKurallar[kural_id],0)),2),0))</f>
        <v/>
      </c>
      <c r="I755" s="38">
        <f>IF($A755="","",IFERROR($G755-$G755*INDEX(tblKurallar[deger_2025],MATCH("YDK-004",tblKurallar[kural_id],0)),0))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8">
        <f>IF($A756="","",IFERROR(ROUND(MAX(0,$B756*($D756-1)),2),0))</f>
        <v/>
      </c>
      <c r="H756" s="38">
        <f>IF($A756="","",IFERROR(ROUND($G756*INDEX(tblKurallar[deger_2025],MATCH("YDK-002",tblKurallar[kural_id],0)),2),0))</f>
        <v/>
      </c>
      <c r="I756" s="38">
        <f>IF($A756="","",IFERROR($G756-$G756*INDEX(tblKurallar[deger_2025],MATCH("YDK-004",tblKurallar[kural_id],0)),0))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8">
        <f>IF($A757="","",IFERROR(ROUND(MAX(0,$B757*($D757-1)),2),0))</f>
        <v/>
      </c>
      <c r="H757" s="38">
        <f>IF($A757="","",IFERROR(ROUND($G757*INDEX(tblKurallar[deger_2025],MATCH("YDK-002",tblKurallar[kural_id],0)),2),0))</f>
        <v/>
      </c>
      <c r="I757" s="38">
        <f>IF($A757="","",IFERROR($G757-$G757*INDEX(tblKurallar[deger_2025],MATCH("YDK-004",tblKurallar[kural_id],0)),0))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8">
        <f>IF($A758="","",IFERROR(ROUND(MAX(0,$B758*($D758-1)),2),0))</f>
        <v/>
      </c>
      <c r="H758" s="38">
        <f>IF($A758="","",IFERROR(ROUND($G758*INDEX(tblKurallar[deger_2025],MATCH("YDK-002",tblKurallar[kural_id],0)),2),0))</f>
        <v/>
      </c>
      <c r="I758" s="38">
        <f>IF($A758="","",IFERROR($G758-$G758*INDEX(tblKurallar[deger_2025],MATCH("YDK-004",tblKurallar[kural_id],0)),0))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8">
        <f>IF($A759="","",IFERROR(ROUND(MAX(0,$B759*($D759-1)),2),0))</f>
        <v/>
      </c>
      <c r="H759" s="38">
        <f>IF($A759="","",IFERROR(ROUND($G759*INDEX(tblKurallar[deger_2025],MATCH("YDK-002",tblKurallar[kural_id],0)),2),0))</f>
        <v/>
      </c>
      <c r="I759" s="38">
        <f>IF($A759="","",IFERROR($G759-$G759*INDEX(tblKurallar[deger_2025],MATCH("YDK-004",tblKurallar[kural_id],0)),0))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8">
        <f>IF($A760="","",IFERROR(ROUND(MAX(0,$B760*($D760-1)),2),0))</f>
        <v/>
      </c>
      <c r="H760" s="38">
        <f>IF($A760="","",IFERROR(ROUND($G760*INDEX(tblKurallar[deger_2025],MATCH("YDK-002",tblKurallar[kural_id],0)),2),0))</f>
        <v/>
      </c>
      <c r="I760" s="38">
        <f>IF($A760="","",IFERROR($G760-$G760*INDEX(tblKurallar[deger_2025],MATCH("YDK-004",tblKurallar[kural_id],0)),0))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8">
        <f>IF($A761="","",IFERROR(ROUND(MAX(0,$B761*($D761-1)),2),0))</f>
        <v/>
      </c>
      <c r="H761" s="38">
        <f>IF($A761="","",IFERROR(ROUND($G761*INDEX(tblKurallar[deger_2025],MATCH("YDK-002",tblKurallar[kural_id],0)),2),0))</f>
        <v/>
      </c>
      <c r="I761" s="38">
        <f>IF($A761="","",IFERROR($G761-$G761*INDEX(tblKurallar[deger_2025],MATCH("YDK-004",tblKurallar[kural_id],0)),0))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8">
        <f>IF($A762="","",IFERROR(ROUND(MAX(0,$B762*($D762-1)),2),0))</f>
        <v/>
      </c>
      <c r="H762" s="38">
        <f>IF($A762="","",IFERROR(ROUND($G762*INDEX(tblKurallar[deger_2025],MATCH("YDK-002",tblKurallar[kural_id],0)),2),0))</f>
        <v/>
      </c>
      <c r="I762" s="38">
        <f>IF($A762="","",IFERROR($G762-$G762*INDEX(tblKurallar[deger_2025],MATCH("YDK-004",tblKurallar[kural_id],0)),0))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8">
        <f>IF($A763="","",IFERROR(ROUND(MAX(0,$B763*($D763-1)),2),0))</f>
        <v/>
      </c>
      <c r="H763" s="38">
        <f>IF($A763="","",IFERROR(ROUND($G763*INDEX(tblKurallar[deger_2025],MATCH("YDK-002",tblKurallar[kural_id],0)),2),0))</f>
        <v/>
      </c>
      <c r="I763" s="38">
        <f>IF($A763="","",IFERROR($G763-$G763*INDEX(tblKurallar[deger_2025],MATCH("YDK-004",tblKurallar[kural_id],0)),0))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8">
        <f>IF($A764="","",IFERROR(ROUND(MAX(0,$B764*($D764-1)),2),0))</f>
        <v/>
      </c>
      <c r="H764" s="38">
        <f>IF($A764="","",IFERROR(ROUND($G764*INDEX(tblKurallar[deger_2025],MATCH("YDK-002",tblKurallar[kural_id],0)),2),0))</f>
        <v/>
      </c>
      <c r="I764" s="38">
        <f>IF($A764="","",IFERROR($G764-$G764*INDEX(tblKurallar[deger_2025],MATCH("YDK-004",tblKurallar[kural_id],0)),0))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8">
        <f>IF($A765="","",IFERROR(ROUND(MAX(0,$B765*($D765-1)),2),0))</f>
        <v/>
      </c>
      <c r="H765" s="38">
        <f>IF($A765="","",IFERROR(ROUND($G765*INDEX(tblKurallar[deger_2025],MATCH("YDK-002",tblKurallar[kural_id],0)),2),0))</f>
        <v/>
      </c>
      <c r="I765" s="38">
        <f>IF($A765="","",IFERROR($G765-$G765*INDEX(tblKurallar[deger_2025],MATCH("YDK-004",tblKurallar[kural_id],0)),0))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8">
        <f>IF($A766="","",IFERROR(ROUND(MAX(0,$B766*($D766-1)),2),0))</f>
        <v/>
      </c>
      <c r="H766" s="38">
        <f>IF($A766="","",IFERROR(ROUND($G766*INDEX(tblKurallar[deger_2025],MATCH("YDK-002",tblKurallar[kural_id],0)),2),0))</f>
        <v/>
      </c>
      <c r="I766" s="38">
        <f>IF($A766="","",IFERROR($G766-$G766*INDEX(tblKurallar[deger_2025],MATCH("YDK-004",tblKurallar[kural_id],0)),0))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8">
        <f>IF($A767="","",IFERROR(ROUND(MAX(0,$B767*($D767-1)),2),0))</f>
        <v/>
      </c>
      <c r="H767" s="38">
        <f>IF($A767="","",IFERROR(ROUND($G767*INDEX(tblKurallar[deger_2025],MATCH("YDK-002",tblKurallar[kural_id],0)),2),0))</f>
        <v/>
      </c>
      <c r="I767" s="38">
        <f>IF($A767="","",IFERROR($G767-$G767*INDEX(tblKurallar[deger_2025],MATCH("YDK-004",tblKurallar[kural_id],0)),0))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8">
        <f>IF($A768="","",IFERROR(ROUND(MAX(0,$B768*($D768-1)),2),0))</f>
        <v/>
      </c>
      <c r="H768" s="38">
        <f>IF($A768="","",IFERROR(ROUND($G768*INDEX(tblKurallar[deger_2025],MATCH("YDK-002",tblKurallar[kural_id],0)),2),0))</f>
        <v/>
      </c>
      <c r="I768" s="38">
        <f>IF($A768="","",IFERROR($G768-$G768*INDEX(tblKurallar[deger_2025],MATCH("YDK-004",tblKurallar[kural_id],0)),0))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8">
        <f>IF($A769="","",IFERROR(ROUND(MAX(0,$B769*($D769-1)),2),0))</f>
        <v/>
      </c>
      <c r="H769" s="38">
        <f>IF($A769="","",IFERROR(ROUND($G769*INDEX(tblKurallar[deger_2025],MATCH("YDK-002",tblKurallar[kural_id],0)),2),0))</f>
        <v/>
      </c>
      <c r="I769" s="38">
        <f>IF($A769="","",IFERROR($G769-$G769*INDEX(tblKurallar[deger_2025],MATCH("YDK-004",tblKurallar[kural_id],0)),0))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8">
        <f>IF($A770="","",IFERROR(ROUND(MAX(0,$B770*($D770-1)),2),0))</f>
        <v/>
      </c>
      <c r="H770" s="38">
        <f>IF($A770="","",IFERROR(ROUND($G770*INDEX(tblKurallar[deger_2025],MATCH("YDK-002",tblKurallar[kural_id],0)),2),0))</f>
        <v/>
      </c>
      <c r="I770" s="38">
        <f>IF($A770="","",IFERROR($G770-$G770*INDEX(tblKurallar[deger_2025],MATCH("YDK-004",tblKurallar[kural_id],0)),0))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8">
        <f>IF($A771="","",IFERROR(ROUND(MAX(0,$B771*($D771-1)),2),0))</f>
        <v/>
      </c>
      <c r="H771" s="38">
        <f>IF($A771="","",IFERROR(ROUND($G771*INDEX(tblKurallar[deger_2025],MATCH("YDK-002",tblKurallar[kural_id],0)),2),0))</f>
        <v/>
      </c>
      <c r="I771" s="38">
        <f>IF($A771="","",IFERROR($G771-$G771*INDEX(tblKurallar[deger_2025],MATCH("YDK-004",tblKurallar[kural_id],0)),0))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8">
        <f>IF($A772="","",IFERROR(ROUND(MAX(0,$B772*($D772-1)),2),0))</f>
        <v/>
      </c>
      <c r="H772" s="38">
        <f>IF($A772="","",IFERROR(ROUND($G772*INDEX(tblKurallar[deger_2025],MATCH("YDK-002",tblKurallar[kural_id],0)),2),0))</f>
        <v/>
      </c>
      <c r="I772" s="38">
        <f>IF($A772="","",IFERROR($G772-$G772*INDEX(tblKurallar[deger_2025],MATCH("YDK-004",tblKurallar[kural_id],0)),0))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8">
        <f>IF($A773="","",IFERROR(ROUND(MAX(0,$B773*($D773-1)),2),0))</f>
        <v/>
      </c>
      <c r="H773" s="38">
        <f>IF($A773="","",IFERROR(ROUND($G773*INDEX(tblKurallar[deger_2025],MATCH("YDK-002",tblKurallar[kural_id],0)),2),0))</f>
        <v/>
      </c>
      <c r="I773" s="38">
        <f>IF($A773="","",IFERROR($G773-$G773*INDEX(tblKurallar[deger_2025],MATCH("YDK-004",tblKurallar[kural_id],0)),0))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8">
        <f>IF($A774="","",IFERROR(ROUND(MAX(0,$B774*($D774-1)),2),0))</f>
        <v/>
      </c>
      <c r="H774" s="38">
        <f>IF($A774="","",IFERROR(ROUND($G774*INDEX(tblKurallar[deger_2025],MATCH("YDK-002",tblKurallar[kural_id],0)),2),0))</f>
        <v/>
      </c>
      <c r="I774" s="38">
        <f>IF($A774="","",IFERROR($G774-$G774*INDEX(tblKurallar[deger_2025],MATCH("YDK-004",tblKurallar[kural_id],0)),0))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8">
        <f>IF($A775="","",IFERROR(ROUND(MAX(0,$B775*($D775-1)),2),0))</f>
        <v/>
      </c>
      <c r="H775" s="38">
        <f>IF($A775="","",IFERROR(ROUND($G775*INDEX(tblKurallar[deger_2025],MATCH("YDK-002",tblKurallar[kural_id],0)),2),0))</f>
        <v/>
      </c>
      <c r="I775" s="38">
        <f>IF($A775="","",IFERROR($G775-$G775*INDEX(tblKurallar[deger_2025],MATCH("YDK-004",tblKurallar[kural_id],0)),0))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8">
        <f>IF($A776="","",IFERROR(ROUND(MAX(0,$B776*($D776-1)),2),0))</f>
        <v/>
      </c>
      <c r="H776" s="38">
        <f>IF($A776="","",IFERROR(ROUND($G776*INDEX(tblKurallar[deger_2025],MATCH("YDK-002",tblKurallar[kural_id],0)),2),0))</f>
        <v/>
      </c>
      <c r="I776" s="38">
        <f>IF($A776="","",IFERROR($G776-$G776*INDEX(tblKurallar[deger_2025],MATCH("YDK-004",tblKurallar[kural_id],0)),0))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8">
        <f>IF($A777="","",IFERROR(ROUND(MAX(0,$B777*($D777-1)),2),0))</f>
        <v/>
      </c>
      <c r="H777" s="38">
        <f>IF($A777="","",IFERROR(ROUND($G777*INDEX(tblKurallar[deger_2025],MATCH("YDK-002",tblKurallar[kural_id],0)),2),0))</f>
        <v/>
      </c>
      <c r="I777" s="38">
        <f>IF($A777="","",IFERROR($G777-$G777*INDEX(tblKurallar[deger_2025],MATCH("YDK-004",tblKurallar[kural_id],0)),0))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8">
        <f>IF($A778="","",IFERROR(ROUND(MAX(0,$B778*($D778-1)),2),0))</f>
        <v/>
      </c>
      <c r="H778" s="38">
        <f>IF($A778="","",IFERROR(ROUND($G778*INDEX(tblKurallar[deger_2025],MATCH("YDK-002",tblKurallar[kural_id],0)),2),0))</f>
        <v/>
      </c>
      <c r="I778" s="38">
        <f>IF($A778="","",IFERROR($G778-$G778*INDEX(tblKurallar[deger_2025],MATCH("YDK-004",tblKurallar[kural_id],0)),0))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8">
        <f>IF($A779="","",IFERROR(ROUND(MAX(0,$B779*($D779-1)),2),0))</f>
        <v/>
      </c>
      <c r="H779" s="38">
        <f>IF($A779="","",IFERROR(ROUND($G779*INDEX(tblKurallar[deger_2025],MATCH("YDK-002",tblKurallar[kural_id],0)),2),0))</f>
        <v/>
      </c>
      <c r="I779" s="38">
        <f>IF($A779="","",IFERROR($G779-$G779*INDEX(tblKurallar[deger_2025],MATCH("YDK-004",tblKurallar[kural_id],0)),0))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8">
        <f>IF($A780="","",IFERROR(ROUND(MAX(0,$B780*($D780-1)),2),0))</f>
        <v/>
      </c>
      <c r="H780" s="38">
        <f>IF($A780="","",IFERROR(ROUND($G780*INDEX(tblKurallar[deger_2025],MATCH("YDK-002",tblKurallar[kural_id],0)),2),0))</f>
        <v/>
      </c>
      <c r="I780" s="38">
        <f>IF($A780="","",IFERROR($G780-$G780*INDEX(tblKurallar[deger_2025],MATCH("YDK-004",tblKurallar[kural_id],0)),0))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8">
        <f>IF($A781="","",IFERROR(ROUND(MAX(0,$B781*($D781-1)),2),0))</f>
        <v/>
      </c>
      <c r="H781" s="38">
        <f>IF($A781="","",IFERROR(ROUND($G781*INDEX(tblKurallar[deger_2025],MATCH("YDK-002",tblKurallar[kural_id],0)),2),0))</f>
        <v/>
      </c>
      <c r="I781" s="38">
        <f>IF($A781="","",IFERROR($G781-$G781*INDEX(tblKurallar[deger_2025],MATCH("YDK-004",tblKurallar[kural_id],0)),0))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8">
        <f>IF($A782="","",IFERROR(ROUND(MAX(0,$B782*($D782-1)),2),0))</f>
        <v/>
      </c>
      <c r="H782" s="38">
        <f>IF($A782="","",IFERROR(ROUND($G782*INDEX(tblKurallar[deger_2025],MATCH("YDK-002",tblKurallar[kural_id],0)),2),0))</f>
        <v/>
      </c>
      <c r="I782" s="38">
        <f>IF($A782="","",IFERROR($G782-$G782*INDEX(tblKurallar[deger_2025],MATCH("YDK-004",tblKurallar[kural_id],0)),0))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8">
        <f>IF($A783="","",IFERROR(ROUND(MAX(0,$B783*($D783-1)),2),0))</f>
        <v/>
      </c>
      <c r="H783" s="38">
        <f>IF($A783="","",IFERROR(ROUND($G783*INDEX(tblKurallar[deger_2025],MATCH("YDK-002",tblKurallar[kural_id],0)),2),0))</f>
        <v/>
      </c>
      <c r="I783" s="38">
        <f>IF($A783="","",IFERROR($G783-$G783*INDEX(tblKurallar[deger_2025],MATCH("YDK-004",tblKurallar[kural_id],0)),0))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8">
        <f>IF($A784="","",IFERROR(ROUND(MAX(0,$B784*($D784-1)),2),0))</f>
        <v/>
      </c>
      <c r="H784" s="38">
        <f>IF($A784="","",IFERROR(ROUND($G784*INDEX(tblKurallar[deger_2025],MATCH("YDK-002",tblKurallar[kural_id],0)),2),0))</f>
        <v/>
      </c>
      <c r="I784" s="38">
        <f>IF($A784="","",IFERROR($G784-$G784*INDEX(tblKurallar[deger_2025],MATCH("YDK-004",tblKurallar[kural_id],0)),0))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8">
        <f>IF($A785="","",IFERROR(ROUND(MAX(0,$B785*($D785-1)),2),0))</f>
        <v/>
      </c>
      <c r="H785" s="38">
        <f>IF($A785="","",IFERROR(ROUND($G785*INDEX(tblKurallar[deger_2025],MATCH("YDK-002",tblKurallar[kural_id],0)),2),0))</f>
        <v/>
      </c>
      <c r="I785" s="38">
        <f>IF($A785="","",IFERROR($G785-$G785*INDEX(tblKurallar[deger_2025],MATCH("YDK-004",tblKurallar[kural_id],0)),0))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8">
        <f>IF($A786="","",IFERROR(ROUND(MAX(0,$B786*($D786-1)),2),0))</f>
        <v/>
      </c>
      <c r="H786" s="38">
        <f>IF($A786="","",IFERROR(ROUND($G786*INDEX(tblKurallar[deger_2025],MATCH("YDK-002",tblKurallar[kural_id],0)),2),0))</f>
        <v/>
      </c>
      <c r="I786" s="38">
        <f>IF($A786="","",IFERROR($G786-$G786*INDEX(tblKurallar[deger_2025],MATCH("YDK-004",tblKurallar[kural_id],0)),0))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8">
        <f>IF($A787="","",IFERROR(ROUND(MAX(0,$B787*($D787-1)),2),0))</f>
        <v/>
      </c>
      <c r="H787" s="38">
        <f>IF($A787="","",IFERROR(ROUND($G787*INDEX(tblKurallar[deger_2025],MATCH("YDK-002",tblKurallar[kural_id],0)),2),0))</f>
        <v/>
      </c>
      <c r="I787" s="38">
        <f>IF($A787="","",IFERROR($G787-$G787*INDEX(tblKurallar[deger_2025],MATCH("YDK-004",tblKurallar[kural_id],0)),0))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8">
        <f>IF($A788="","",IFERROR(ROUND(MAX(0,$B788*($D788-1)),2),0))</f>
        <v/>
      </c>
      <c r="H788" s="38">
        <f>IF($A788="","",IFERROR(ROUND($G788*INDEX(tblKurallar[deger_2025],MATCH("YDK-002",tblKurallar[kural_id],0)),2),0))</f>
        <v/>
      </c>
      <c r="I788" s="38">
        <f>IF($A788="","",IFERROR($G788-$G788*INDEX(tblKurallar[deger_2025],MATCH("YDK-004",tblKurallar[kural_id],0)),0))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8">
        <f>IF($A789="","",IFERROR(ROUND(MAX(0,$B789*($D789-1)),2),0))</f>
        <v/>
      </c>
      <c r="H789" s="38">
        <f>IF($A789="","",IFERROR(ROUND($G789*INDEX(tblKurallar[deger_2025],MATCH("YDK-002",tblKurallar[kural_id],0)),2),0))</f>
        <v/>
      </c>
      <c r="I789" s="38">
        <f>IF($A789="","",IFERROR($G789-$G789*INDEX(tblKurallar[deger_2025],MATCH("YDK-004",tblKurallar[kural_id],0)),0))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8">
        <f>IF($A790="","",IFERROR(ROUND(MAX(0,$B790*($D790-1)),2),0))</f>
        <v/>
      </c>
      <c r="H790" s="38">
        <f>IF($A790="","",IFERROR(ROUND($G790*INDEX(tblKurallar[deger_2025],MATCH("YDK-002",tblKurallar[kural_id],0)),2),0))</f>
        <v/>
      </c>
      <c r="I790" s="38">
        <f>IF($A790="","",IFERROR($G790-$G790*INDEX(tblKurallar[deger_2025],MATCH("YDK-004",tblKurallar[kural_id],0)),0))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8">
        <f>IF($A791="","",IFERROR(ROUND(MAX(0,$B791*($D791-1)),2),0))</f>
        <v/>
      </c>
      <c r="H791" s="38">
        <f>IF($A791="","",IFERROR(ROUND($G791*INDEX(tblKurallar[deger_2025],MATCH("YDK-002",tblKurallar[kural_id],0)),2),0))</f>
        <v/>
      </c>
      <c r="I791" s="38">
        <f>IF($A791="","",IFERROR($G791-$G791*INDEX(tblKurallar[deger_2025],MATCH("YDK-004",tblKurallar[kural_id],0)),0))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8">
        <f>IF($A792="","",IFERROR(ROUND(MAX(0,$B792*($D792-1)),2),0))</f>
        <v/>
      </c>
      <c r="H792" s="38">
        <f>IF($A792="","",IFERROR(ROUND($G792*INDEX(tblKurallar[deger_2025],MATCH("YDK-002",tblKurallar[kural_id],0)),2),0))</f>
        <v/>
      </c>
      <c r="I792" s="38">
        <f>IF($A792="","",IFERROR($G792-$G792*INDEX(tblKurallar[deger_2025],MATCH("YDK-004",tblKurallar[kural_id],0)),0))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8">
        <f>IF($A793="","",IFERROR(ROUND(MAX(0,$B793*($D793-1)),2),0))</f>
        <v/>
      </c>
      <c r="H793" s="38">
        <f>IF($A793="","",IFERROR(ROUND($G793*INDEX(tblKurallar[deger_2025],MATCH("YDK-002",tblKurallar[kural_id],0)),2),0))</f>
        <v/>
      </c>
      <c r="I793" s="38">
        <f>IF($A793="","",IFERROR($G793-$G793*INDEX(tblKurallar[deger_2025],MATCH("YDK-004",tblKurallar[kural_id],0)),0))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8">
        <f>IF($A794="","",IFERROR(ROUND(MAX(0,$B794*($D794-1)),2),0))</f>
        <v/>
      </c>
      <c r="H794" s="38">
        <f>IF($A794="","",IFERROR(ROUND($G794*INDEX(tblKurallar[deger_2025],MATCH("YDK-002",tblKurallar[kural_id],0)),2),0))</f>
        <v/>
      </c>
      <c r="I794" s="38">
        <f>IF($A794="","",IFERROR($G794-$G794*INDEX(tblKurallar[deger_2025],MATCH("YDK-004",tblKurallar[kural_id],0)),0))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8">
        <f>IF($A795="","",IFERROR(ROUND(MAX(0,$B795*($D795-1)),2),0))</f>
        <v/>
      </c>
      <c r="H795" s="38">
        <f>IF($A795="","",IFERROR(ROUND($G795*INDEX(tblKurallar[deger_2025],MATCH("YDK-002",tblKurallar[kural_id],0)),2),0))</f>
        <v/>
      </c>
      <c r="I795" s="38">
        <f>IF($A795="","",IFERROR($G795-$G795*INDEX(tblKurallar[deger_2025],MATCH("YDK-004",tblKurallar[kural_id],0)),0))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8">
        <f>IF($A796="","",IFERROR(ROUND(MAX(0,$B796*($D796-1)),2),0))</f>
        <v/>
      </c>
      <c r="H796" s="38">
        <f>IF($A796="","",IFERROR(ROUND($G796*INDEX(tblKurallar[deger_2025],MATCH("YDK-002",tblKurallar[kural_id],0)),2),0))</f>
        <v/>
      </c>
      <c r="I796" s="38">
        <f>IF($A796="","",IFERROR($G796-$G796*INDEX(tblKurallar[deger_2025],MATCH("YDK-004",tblKurallar[kural_id],0)),0))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8">
        <f>IF($A797="","",IFERROR(ROUND(MAX(0,$B797*($D797-1)),2),0))</f>
        <v/>
      </c>
      <c r="H797" s="38">
        <f>IF($A797="","",IFERROR(ROUND($G797*INDEX(tblKurallar[deger_2025],MATCH("YDK-002",tblKurallar[kural_id],0)),2),0))</f>
        <v/>
      </c>
      <c r="I797" s="38">
        <f>IF($A797="","",IFERROR($G797-$G797*INDEX(tblKurallar[deger_2025],MATCH("YDK-004",tblKurallar[kural_id],0)),0))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8">
        <f>IF($A798="","",IFERROR(ROUND(MAX(0,$B798*($D798-1)),2),0))</f>
        <v/>
      </c>
      <c r="H798" s="38">
        <f>IF($A798="","",IFERROR(ROUND($G798*INDEX(tblKurallar[deger_2025],MATCH("YDK-002",tblKurallar[kural_id],0)),2),0))</f>
        <v/>
      </c>
      <c r="I798" s="38">
        <f>IF($A798="","",IFERROR($G798-$G798*INDEX(tblKurallar[deger_2025],MATCH("YDK-004",tblKurallar[kural_id],0)),0))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8">
        <f>IF($A799="","",IFERROR(ROUND(MAX(0,$B799*($D799-1)),2),0))</f>
        <v/>
      </c>
      <c r="H799" s="38">
        <f>IF($A799="","",IFERROR(ROUND($G799*INDEX(tblKurallar[deger_2025],MATCH("YDK-002",tblKurallar[kural_id],0)),2),0))</f>
        <v/>
      </c>
      <c r="I799" s="38">
        <f>IF($A799="","",IFERROR($G799-$G799*INDEX(tblKurallar[deger_2025],MATCH("YDK-004",tblKurallar[kural_id],0)),0))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8">
        <f>IF($A800="","",IFERROR(ROUND(MAX(0,$B800*($D800-1)),2),0))</f>
        <v/>
      </c>
      <c r="H800" s="38">
        <f>IF($A800="","",IFERROR(ROUND($G800*INDEX(tblKurallar[deger_2025],MATCH("YDK-002",tblKurallar[kural_id],0)),2),0))</f>
        <v/>
      </c>
      <c r="I800" s="38">
        <f>IF($A800="","",IFERROR($G800-$G800*INDEX(tblKurallar[deger_2025],MATCH("YDK-004",tblKurallar[kural_id],0)),0))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8">
        <f>IF($A801="","",IFERROR(ROUND(MAX(0,$B801*($D801-1)),2),0))</f>
        <v/>
      </c>
      <c r="H801" s="38">
        <f>IF($A801="","",IFERROR(ROUND($G801*INDEX(tblKurallar[deger_2025],MATCH("YDK-002",tblKurallar[kural_id],0)),2),0))</f>
        <v/>
      </c>
      <c r="I801" s="38">
        <f>IF($A801="","",IFERROR($G801-$G801*INDEX(tblKurallar[deger_2025],MATCH("YDK-004",tblKurallar[kural_id],0)),0))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8">
        <f>IF($A802="","",IFERROR(ROUND(MAX(0,$B802*($D802-1)),2),0))</f>
        <v/>
      </c>
      <c r="H802" s="38">
        <f>IF($A802="","",IFERROR(ROUND($G802*INDEX(tblKurallar[deger_2025],MATCH("YDK-002",tblKurallar[kural_id],0)),2),0))</f>
        <v/>
      </c>
      <c r="I802" s="38">
        <f>IF($A802="","",IFERROR($G802-$G802*INDEX(tblKurallar[deger_2025],MATCH("YDK-004",tblKurallar[kural_id],0)),0))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8">
        <f>IF($A803="","",IFERROR(ROUND(MAX(0,$B803*($D803-1)),2),0))</f>
        <v/>
      </c>
      <c r="H803" s="38">
        <f>IF($A803="","",IFERROR(ROUND($G803*INDEX(tblKurallar[deger_2025],MATCH("YDK-002",tblKurallar[kural_id],0)),2),0))</f>
        <v/>
      </c>
      <c r="I803" s="38">
        <f>IF($A803="","",IFERROR($G803-$G803*INDEX(tblKurallar[deger_2025],MATCH("YDK-004",tblKurallar[kural_id],0)),0))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8">
        <f>IF($A804="","",IFERROR(ROUND(MAX(0,$B804*($D804-1)),2),0))</f>
        <v/>
      </c>
      <c r="H804" s="38">
        <f>IF($A804="","",IFERROR(ROUND($G804*INDEX(tblKurallar[deger_2025],MATCH("YDK-002",tblKurallar[kural_id],0)),2),0))</f>
        <v/>
      </c>
      <c r="I804" s="38">
        <f>IF($A804="","",IFERROR($G804-$G804*INDEX(tblKurallar[deger_2025],MATCH("YDK-004",tblKurallar[kural_id],0)),0))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8">
        <f>IF($A805="","",IFERROR(ROUND(MAX(0,$B805*($D805-1)),2),0))</f>
        <v/>
      </c>
      <c r="H805" s="38">
        <f>IF($A805="","",IFERROR(ROUND($G805*INDEX(tblKurallar[deger_2025],MATCH("YDK-002",tblKurallar[kural_id],0)),2),0))</f>
        <v/>
      </c>
      <c r="I805" s="38">
        <f>IF($A805="","",IFERROR($G805-$G805*INDEX(tblKurallar[deger_2025],MATCH("YDK-004",tblKurallar[kural_id],0)),0))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8">
        <f>IF($A806="","",IFERROR(ROUND(MAX(0,$B806*($D806-1)),2),0))</f>
        <v/>
      </c>
      <c r="H806" s="38">
        <f>IF($A806="","",IFERROR(ROUND($G806*INDEX(tblKurallar[deger_2025],MATCH("YDK-002",tblKurallar[kural_id],0)),2),0))</f>
        <v/>
      </c>
      <c r="I806" s="38">
        <f>IF($A806="","",IFERROR($G806-$G806*INDEX(tblKurallar[deger_2025],MATCH("YDK-004",tblKurallar[kural_id],0)),0))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8">
        <f>IF($A807="","",IFERROR(ROUND(MAX(0,$B807*($D807-1)),2),0))</f>
        <v/>
      </c>
      <c r="H807" s="38">
        <f>IF($A807="","",IFERROR(ROUND($G807*INDEX(tblKurallar[deger_2025],MATCH("YDK-002",tblKurallar[kural_id],0)),2),0))</f>
        <v/>
      </c>
      <c r="I807" s="38">
        <f>IF($A807="","",IFERROR($G807-$G807*INDEX(tblKurallar[deger_2025],MATCH("YDK-004",tblKurallar[kural_id],0)),0))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8">
        <f>IF($A808="","",IFERROR(ROUND(MAX(0,$B808*($D808-1)),2),0))</f>
        <v/>
      </c>
      <c r="H808" s="38">
        <f>IF($A808="","",IFERROR(ROUND($G808*INDEX(tblKurallar[deger_2025],MATCH("YDK-002",tblKurallar[kural_id],0)),2),0))</f>
        <v/>
      </c>
      <c r="I808" s="38">
        <f>IF($A808="","",IFERROR($G808-$G808*INDEX(tblKurallar[deger_2025],MATCH("YDK-004",tblKurallar[kural_id],0)),0))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8">
        <f>IF($A809="","",IFERROR(ROUND(MAX(0,$B809*($D809-1)),2),0))</f>
        <v/>
      </c>
      <c r="H809" s="38">
        <f>IF($A809="","",IFERROR(ROUND($G809*INDEX(tblKurallar[deger_2025],MATCH("YDK-002",tblKurallar[kural_id],0)),2),0))</f>
        <v/>
      </c>
      <c r="I809" s="38">
        <f>IF($A809="","",IFERROR($G809-$G809*INDEX(tblKurallar[deger_2025],MATCH("YDK-004",tblKurallar[kural_id],0)),0))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8">
        <f>IF($A810="","",IFERROR(ROUND(MAX(0,$B810*($D810-1)),2),0))</f>
        <v/>
      </c>
      <c r="H810" s="38">
        <f>IF($A810="","",IFERROR(ROUND($G810*INDEX(tblKurallar[deger_2025],MATCH("YDK-002",tblKurallar[kural_id],0)),2),0))</f>
        <v/>
      </c>
      <c r="I810" s="38">
        <f>IF($A810="","",IFERROR($G810-$G810*INDEX(tblKurallar[deger_2025],MATCH("YDK-004",tblKurallar[kural_id],0)),0))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8">
        <f>IF($A811="","",IFERROR(ROUND(MAX(0,$B811*($D811-1)),2),0))</f>
        <v/>
      </c>
      <c r="H811" s="38">
        <f>IF($A811="","",IFERROR(ROUND($G811*INDEX(tblKurallar[deger_2025],MATCH("YDK-002",tblKurallar[kural_id],0)),2),0))</f>
        <v/>
      </c>
      <c r="I811" s="38">
        <f>IF($A811="","",IFERROR($G811-$G811*INDEX(tblKurallar[deger_2025],MATCH("YDK-004",tblKurallar[kural_id],0)),0))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8">
        <f>IF($A812="","",IFERROR(ROUND(MAX(0,$B812*($D812-1)),2),0))</f>
        <v/>
      </c>
      <c r="H812" s="38">
        <f>IF($A812="","",IFERROR(ROUND($G812*INDEX(tblKurallar[deger_2025],MATCH("YDK-002",tblKurallar[kural_id],0)),2),0))</f>
        <v/>
      </c>
      <c r="I812" s="38">
        <f>IF($A812="","",IFERROR($G812-$G812*INDEX(tblKurallar[deger_2025],MATCH("YDK-004",tblKurallar[kural_id],0)),0))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8">
        <f>IF($A813="","",IFERROR(ROUND(MAX(0,$B813*($D813-1)),2),0))</f>
        <v/>
      </c>
      <c r="H813" s="38">
        <f>IF($A813="","",IFERROR(ROUND($G813*INDEX(tblKurallar[deger_2025],MATCH("YDK-002",tblKurallar[kural_id],0)),2),0))</f>
        <v/>
      </c>
      <c r="I813" s="38">
        <f>IF($A813="","",IFERROR($G813-$G813*INDEX(tblKurallar[deger_2025],MATCH("YDK-004",tblKurallar[kural_id],0)),0))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8">
        <f>IF($A814="","",IFERROR(ROUND(MAX(0,$B814*($D814-1)),2),0))</f>
        <v/>
      </c>
      <c r="H814" s="38">
        <f>IF($A814="","",IFERROR(ROUND($G814*INDEX(tblKurallar[deger_2025],MATCH("YDK-002",tblKurallar[kural_id],0)),2),0))</f>
        <v/>
      </c>
      <c r="I814" s="38">
        <f>IF($A814="","",IFERROR($G814-$G814*INDEX(tblKurallar[deger_2025],MATCH("YDK-004",tblKurallar[kural_id],0)),0))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8">
        <f>IF($A815="","",IFERROR(ROUND(MAX(0,$B815*($D815-1)),2),0))</f>
        <v/>
      </c>
      <c r="H815" s="38">
        <f>IF($A815="","",IFERROR(ROUND($G815*INDEX(tblKurallar[deger_2025],MATCH("YDK-002",tblKurallar[kural_id],0)),2),0))</f>
        <v/>
      </c>
      <c r="I815" s="38">
        <f>IF($A815="","",IFERROR($G815-$G815*INDEX(tblKurallar[deger_2025],MATCH("YDK-004",tblKurallar[kural_id],0)),0))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8">
        <f>IF($A816="","",IFERROR(ROUND(MAX(0,$B816*($D816-1)),2),0))</f>
        <v/>
      </c>
      <c r="H816" s="38">
        <f>IF($A816="","",IFERROR(ROUND($G816*INDEX(tblKurallar[deger_2025],MATCH("YDK-002",tblKurallar[kural_id],0)),2),0))</f>
        <v/>
      </c>
      <c r="I816" s="38">
        <f>IF($A816="","",IFERROR($G816-$G816*INDEX(tblKurallar[deger_2025],MATCH("YDK-004",tblKurallar[kural_id],0)),0))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8">
        <f>IF($A817="","",IFERROR(ROUND(MAX(0,$B817*($D817-1)),2),0))</f>
        <v/>
      </c>
      <c r="H817" s="38">
        <f>IF($A817="","",IFERROR(ROUND($G817*INDEX(tblKurallar[deger_2025],MATCH("YDK-002",tblKurallar[kural_id],0)),2),0))</f>
        <v/>
      </c>
      <c r="I817" s="38">
        <f>IF($A817="","",IFERROR($G817-$G817*INDEX(tblKurallar[deger_2025],MATCH("YDK-004",tblKurallar[kural_id],0)),0))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8">
        <f>IF($A818="","",IFERROR(ROUND(MAX(0,$B818*($D818-1)),2),0))</f>
        <v/>
      </c>
      <c r="H818" s="38">
        <f>IF($A818="","",IFERROR(ROUND($G818*INDEX(tblKurallar[deger_2025],MATCH("YDK-002",tblKurallar[kural_id],0)),2),0))</f>
        <v/>
      </c>
      <c r="I818" s="38">
        <f>IF($A818="","",IFERROR($G818-$G818*INDEX(tblKurallar[deger_2025],MATCH("YDK-004",tblKurallar[kural_id],0)),0))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8">
        <f>IF($A819="","",IFERROR(ROUND(MAX(0,$B819*($D819-1)),2),0))</f>
        <v/>
      </c>
      <c r="H819" s="38">
        <f>IF($A819="","",IFERROR(ROUND($G819*INDEX(tblKurallar[deger_2025],MATCH("YDK-002",tblKurallar[kural_id],0)),2),0))</f>
        <v/>
      </c>
      <c r="I819" s="38">
        <f>IF($A819="","",IFERROR($G819-$G819*INDEX(tblKurallar[deger_2025],MATCH("YDK-004",tblKurallar[kural_id],0)),0))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8">
        <f>IF($A820="","",IFERROR(ROUND(MAX(0,$B820*($D820-1)),2),0))</f>
        <v/>
      </c>
      <c r="H820" s="38">
        <f>IF($A820="","",IFERROR(ROUND($G820*INDEX(tblKurallar[deger_2025],MATCH("YDK-002",tblKurallar[kural_id],0)),2),0))</f>
        <v/>
      </c>
      <c r="I820" s="38">
        <f>IF($A820="","",IFERROR($G820-$G820*INDEX(tblKurallar[deger_2025],MATCH("YDK-004",tblKurallar[kural_id],0)),0))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8">
        <f>IF($A821="","",IFERROR(ROUND(MAX(0,$B821*($D821-1)),2),0))</f>
        <v/>
      </c>
      <c r="H821" s="38">
        <f>IF($A821="","",IFERROR(ROUND($G821*INDEX(tblKurallar[deger_2025],MATCH("YDK-002",tblKurallar[kural_id],0)),2),0))</f>
        <v/>
      </c>
      <c r="I821" s="38">
        <f>IF($A821="","",IFERROR($G821-$G821*INDEX(tblKurallar[deger_2025],MATCH("YDK-004",tblKurallar[kural_id],0)),0))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8">
        <f>IF($A822="","",IFERROR(ROUND(MAX(0,$B822*($D822-1)),2),0))</f>
        <v/>
      </c>
      <c r="H822" s="38">
        <f>IF($A822="","",IFERROR(ROUND($G822*INDEX(tblKurallar[deger_2025],MATCH("YDK-002",tblKurallar[kural_id],0)),2),0))</f>
        <v/>
      </c>
      <c r="I822" s="38">
        <f>IF($A822="","",IFERROR($G822-$G822*INDEX(tblKurallar[deger_2025],MATCH("YDK-004",tblKurallar[kural_id],0)),0))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8">
        <f>IF($A823="","",IFERROR(ROUND(MAX(0,$B823*($D823-1)),2),0))</f>
        <v/>
      </c>
      <c r="H823" s="38">
        <f>IF($A823="","",IFERROR(ROUND($G823*INDEX(tblKurallar[deger_2025],MATCH("YDK-002",tblKurallar[kural_id],0)),2),0))</f>
        <v/>
      </c>
      <c r="I823" s="38">
        <f>IF($A823="","",IFERROR($G823-$G823*INDEX(tblKurallar[deger_2025],MATCH("YDK-004",tblKurallar[kural_id],0)),0))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8">
        <f>IF($A824="","",IFERROR(ROUND(MAX(0,$B824*($D824-1)),2),0))</f>
        <v/>
      </c>
      <c r="H824" s="38">
        <f>IF($A824="","",IFERROR(ROUND($G824*INDEX(tblKurallar[deger_2025],MATCH("YDK-002",tblKurallar[kural_id],0)),2),0))</f>
        <v/>
      </c>
      <c r="I824" s="38">
        <f>IF($A824="","",IFERROR($G824-$G824*INDEX(tblKurallar[deger_2025],MATCH("YDK-004",tblKurallar[kural_id],0)),0))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8">
        <f>IF($A825="","",IFERROR(ROUND(MAX(0,$B825*($D825-1)),2),0))</f>
        <v/>
      </c>
      <c r="H825" s="38">
        <f>IF($A825="","",IFERROR(ROUND($G825*INDEX(tblKurallar[deger_2025],MATCH("YDK-002",tblKurallar[kural_id],0)),2),0))</f>
        <v/>
      </c>
      <c r="I825" s="38">
        <f>IF($A825="","",IFERROR($G825-$G825*INDEX(tblKurallar[deger_2025],MATCH("YDK-004",tblKurallar[kural_id],0)),0))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8">
        <f>IF($A826="","",IFERROR(ROUND(MAX(0,$B826*($D826-1)),2),0))</f>
        <v/>
      </c>
      <c r="H826" s="38">
        <f>IF($A826="","",IFERROR(ROUND($G826*INDEX(tblKurallar[deger_2025],MATCH("YDK-002",tblKurallar[kural_id],0)),2),0))</f>
        <v/>
      </c>
      <c r="I826" s="38">
        <f>IF($A826="","",IFERROR($G826-$G826*INDEX(tblKurallar[deger_2025],MATCH("YDK-004",tblKurallar[kural_id],0)),0))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8">
        <f>IF($A827="","",IFERROR(ROUND(MAX(0,$B827*($D827-1)),2),0))</f>
        <v/>
      </c>
      <c r="H827" s="38">
        <f>IF($A827="","",IFERROR(ROUND($G827*INDEX(tblKurallar[deger_2025],MATCH("YDK-002",tblKurallar[kural_id],0)),2),0))</f>
        <v/>
      </c>
      <c r="I827" s="38">
        <f>IF($A827="","",IFERROR($G827-$G827*INDEX(tblKurallar[deger_2025],MATCH("YDK-004",tblKurallar[kural_id],0)),0))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8">
        <f>IF($A828="","",IFERROR(ROUND(MAX(0,$B828*($D828-1)),2),0))</f>
        <v/>
      </c>
      <c r="H828" s="38">
        <f>IF($A828="","",IFERROR(ROUND($G828*INDEX(tblKurallar[deger_2025],MATCH("YDK-002",tblKurallar[kural_id],0)),2),0))</f>
        <v/>
      </c>
      <c r="I828" s="38">
        <f>IF($A828="","",IFERROR($G828-$G828*INDEX(tblKurallar[deger_2025],MATCH("YDK-004",tblKurallar[kural_id],0)),0))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8">
        <f>IF($A829="","",IFERROR(ROUND(MAX(0,$B829*($D829-1)),2),0))</f>
        <v/>
      </c>
      <c r="H829" s="38">
        <f>IF($A829="","",IFERROR(ROUND($G829*INDEX(tblKurallar[deger_2025],MATCH("YDK-002",tblKurallar[kural_id],0)),2),0))</f>
        <v/>
      </c>
      <c r="I829" s="38">
        <f>IF($A829="","",IFERROR($G829-$G829*INDEX(tblKurallar[deger_2025],MATCH("YDK-004",tblKurallar[kural_id],0)),0))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8">
        <f>IF($A830="","",IFERROR(ROUND(MAX(0,$B830*($D830-1)),2),0))</f>
        <v/>
      </c>
      <c r="H830" s="38">
        <f>IF($A830="","",IFERROR(ROUND($G830*INDEX(tblKurallar[deger_2025],MATCH("YDK-002",tblKurallar[kural_id],0)),2),0))</f>
        <v/>
      </c>
      <c r="I830" s="38">
        <f>IF($A830="","",IFERROR($G830-$G830*INDEX(tblKurallar[deger_2025],MATCH("YDK-004",tblKurallar[kural_id],0)),0))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8">
        <f>IF($A831="","",IFERROR(ROUND(MAX(0,$B831*($D831-1)),2),0))</f>
        <v/>
      </c>
      <c r="H831" s="38">
        <f>IF($A831="","",IFERROR(ROUND($G831*INDEX(tblKurallar[deger_2025],MATCH("YDK-002",tblKurallar[kural_id],0)),2),0))</f>
        <v/>
      </c>
      <c r="I831" s="38">
        <f>IF($A831="","",IFERROR($G831-$G831*INDEX(tblKurallar[deger_2025],MATCH("YDK-004",tblKurallar[kural_id],0)),0))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8">
        <f>IF($A832="","",IFERROR(ROUND(MAX(0,$B832*($D832-1)),2),0))</f>
        <v/>
      </c>
      <c r="H832" s="38">
        <f>IF($A832="","",IFERROR(ROUND($G832*INDEX(tblKurallar[deger_2025],MATCH("YDK-002",tblKurallar[kural_id],0)),2),0))</f>
        <v/>
      </c>
      <c r="I832" s="38">
        <f>IF($A832="","",IFERROR($G832-$G832*INDEX(tblKurallar[deger_2025],MATCH("YDK-004",tblKurallar[kural_id],0)),0))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8">
        <f>IF($A833="","",IFERROR(ROUND(MAX(0,$B833*($D833-1)),2),0))</f>
        <v/>
      </c>
      <c r="H833" s="38">
        <f>IF($A833="","",IFERROR(ROUND($G833*INDEX(tblKurallar[deger_2025],MATCH("YDK-002",tblKurallar[kural_id],0)),2),0))</f>
        <v/>
      </c>
      <c r="I833" s="38">
        <f>IF($A833="","",IFERROR($G833-$G833*INDEX(tblKurallar[deger_2025],MATCH("YDK-004",tblKurallar[kural_id],0)),0))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8">
        <f>IF($A834="","",IFERROR(ROUND(MAX(0,$B834*($D834-1)),2),0))</f>
        <v/>
      </c>
      <c r="H834" s="38">
        <f>IF($A834="","",IFERROR(ROUND($G834*INDEX(tblKurallar[deger_2025],MATCH("YDK-002",tblKurallar[kural_id],0)),2),0))</f>
        <v/>
      </c>
      <c r="I834" s="38">
        <f>IF($A834="","",IFERROR($G834-$G834*INDEX(tblKurallar[deger_2025],MATCH("YDK-004",tblKurallar[kural_id],0)),0))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8">
        <f>IF($A835="","",IFERROR(ROUND(MAX(0,$B835*($D835-1)),2),0))</f>
        <v/>
      </c>
      <c r="H835" s="38">
        <f>IF($A835="","",IFERROR(ROUND($G835*INDEX(tblKurallar[deger_2025],MATCH("YDK-002",tblKurallar[kural_id],0)),2),0))</f>
        <v/>
      </c>
      <c r="I835" s="38">
        <f>IF($A835="","",IFERROR($G835-$G835*INDEX(tblKurallar[deger_2025],MATCH("YDK-004",tblKurallar[kural_id],0)),0))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8">
        <f>IF($A836="","",IFERROR(ROUND(MAX(0,$B836*($D836-1)),2),0))</f>
        <v/>
      </c>
      <c r="H836" s="38">
        <f>IF($A836="","",IFERROR(ROUND($G836*INDEX(tblKurallar[deger_2025],MATCH("YDK-002",tblKurallar[kural_id],0)),2),0))</f>
        <v/>
      </c>
      <c r="I836" s="38">
        <f>IF($A836="","",IFERROR($G836-$G836*INDEX(tblKurallar[deger_2025],MATCH("YDK-004",tblKurallar[kural_id],0)),0))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8">
        <f>IF($A837="","",IFERROR(ROUND(MAX(0,$B837*($D837-1)),2),0))</f>
        <v/>
      </c>
      <c r="H837" s="38">
        <f>IF($A837="","",IFERROR(ROUND($G837*INDEX(tblKurallar[deger_2025],MATCH("YDK-002",tblKurallar[kural_id],0)),2),0))</f>
        <v/>
      </c>
      <c r="I837" s="38">
        <f>IF($A837="","",IFERROR($G837-$G837*INDEX(tblKurallar[deger_2025],MATCH("YDK-004",tblKurallar[kural_id],0)),0))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8">
        <f>IF($A838="","",IFERROR(ROUND(MAX(0,$B838*($D838-1)),2),0))</f>
        <v/>
      </c>
      <c r="H838" s="38">
        <f>IF($A838="","",IFERROR(ROUND($G838*INDEX(tblKurallar[deger_2025],MATCH("YDK-002",tblKurallar[kural_id],0)),2),0))</f>
        <v/>
      </c>
      <c r="I838" s="38">
        <f>IF($A838="","",IFERROR($G838-$G838*INDEX(tblKurallar[deger_2025],MATCH("YDK-004",tblKurallar[kural_id],0)),0))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8">
        <f>IF($A839="","",IFERROR(ROUND(MAX(0,$B839*($D839-1)),2),0))</f>
        <v/>
      </c>
      <c r="H839" s="38">
        <f>IF($A839="","",IFERROR(ROUND($G839*INDEX(tblKurallar[deger_2025],MATCH("YDK-002",tblKurallar[kural_id],0)),2),0))</f>
        <v/>
      </c>
      <c r="I839" s="38">
        <f>IF($A839="","",IFERROR($G839-$G839*INDEX(tblKurallar[deger_2025],MATCH("YDK-004",tblKurallar[kural_id],0)),0))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8">
        <f>IF($A840="","",IFERROR(ROUND(MAX(0,$B840*($D840-1)),2),0))</f>
        <v/>
      </c>
      <c r="H840" s="38">
        <f>IF($A840="","",IFERROR(ROUND($G840*INDEX(tblKurallar[deger_2025],MATCH("YDK-002",tblKurallar[kural_id],0)),2),0))</f>
        <v/>
      </c>
      <c r="I840" s="38">
        <f>IF($A840="","",IFERROR($G840-$G840*INDEX(tblKurallar[deger_2025],MATCH("YDK-004",tblKurallar[kural_id],0)),0))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8">
        <f>IF($A841="","",IFERROR(ROUND(MAX(0,$B841*($D841-1)),2),0))</f>
        <v/>
      </c>
      <c r="H841" s="38">
        <f>IF($A841="","",IFERROR(ROUND($G841*INDEX(tblKurallar[deger_2025],MATCH("YDK-002",tblKurallar[kural_id],0)),2),0))</f>
        <v/>
      </c>
      <c r="I841" s="38">
        <f>IF($A841="","",IFERROR($G841-$G841*INDEX(tblKurallar[deger_2025],MATCH("YDK-004",tblKurallar[kural_id],0)),0))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8">
        <f>IF($A842="","",IFERROR(ROUND(MAX(0,$B842*($D842-1)),2),0))</f>
        <v/>
      </c>
      <c r="H842" s="38">
        <f>IF($A842="","",IFERROR(ROUND($G842*INDEX(tblKurallar[deger_2025],MATCH("YDK-002",tblKurallar[kural_id],0)),2),0))</f>
        <v/>
      </c>
      <c r="I842" s="38">
        <f>IF($A842="","",IFERROR($G842-$G842*INDEX(tblKurallar[deger_2025],MATCH("YDK-004",tblKurallar[kural_id],0)),0))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8">
        <f>IF($A843="","",IFERROR(ROUND(MAX(0,$B843*($D843-1)),2),0))</f>
        <v/>
      </c>
      <c r="H843" s="38">
        <f>IF($A843="","",IFERROR(ROUND($G843*INDEX(tblKurallar[deger_2025],MATCH("YDK-002",tblKurallar[kural_id],0)),2),0))</f>
        <v/>
      </c>
      <c r="I843" s="38">
        <f>IF($A843="","",IFERROR($G843-$G843*INDEX(tblKurallar[deger_2025],MATCH("YDK-004",tblKurallar[kural_id],0)),0))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8">
        <f>IF($A844="","",IFERROR(ROUND(MAX(0,$B844*($D844-1)),2),0))</f>
        <v/>
      </c>
      <c r="H844" s="38">
        <f>IF($A844="","",IFERROR(ROUND($G844*INDEX(tblKurallar[deger_2025],MATCH("YDK-002",tblKurallar[kural_id],0)),2),0))</f>
        <v/>
      </c>
      <c r="I844" s="38">
        <f>IF($A844="","",IFERROR($G844-$G844*INDEX(tblKurallar[deger_2025],MATCH("YDK-004",tblKurallar[kural_id],0)),0))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8">
        <f>IF($A845="","",IFERROR(ROUND(MAX(0,$B845*($D845-1)),2),0))</f>
        <v/>
      </c>
      <c r="H845" s="38">
        <f>IF($A845="","",IFERROR(ROUND($G845*INDEX(tblKurallar[deger_2025],MATCH("YDK-002",tblKurallar[kural_id],0)),2),0))</f>
        <v/>
      </c>
      <c r="I845" s="38">
        <f>IF($A845="","",IFERROR($G845-$G845*INDEX(tblKurallar[deger_2025],MATCH("YDK-004",tblKurallar[kural_id],0)),0))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8">
        <f>IF($A846="","",IFERROR(ROUND(MAX(0,$B846*($D846-1)),2),0))</f>
        <v/>
      </c>
      <c r="H846" s="38">
        <f>IF($A846="","",IFERROR(ROUND($G846*INDEX(tblKurallar[deger_2025],MATCH("YDK-002",tblKurallar[kural_id],0)),2),0))</f>
        <v/>
      </c>
      <c r="I846" s="38">
        <f>IF($A846="","",IFERROR($G846-$G846*INDEX(tblKurallar[deger_2025],MATCH("YDK-004",tblKurallar[kural_id],0)),0))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8">
        <f>IF($A847="","",IFERROR(ROUND(MAX(0,$B847*($D847-1)),2),0))</f>
        <v/>
      </c>
      <c r="H847" s="38">
        <f>IF($A847="","",IFERROR(ROUND($G847*INDEX(tblKurallar[deger_2025],MATCH("YDK-002",tblKurallar[kural_id],0)),2),0))</f>
        <v/>
      </c>
      <c r="I847" s="38">
        <f>IF($A847="","",IFERROR($G847-$G847*INDEX(tblKurallar[deger_2025],MATCH("YDK-004",tblKurallar[kural_id],0)),0))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8">
        <f>IF($A848="","",IFERROR(ROUND(MAX(0,$B848*($D848-1)),2),0))</f>
        <v/>
      </c>
      <c r="H848" s="38">
        <f>IF($A848="","",IFERROR(ROUND($G848*INDEX(tblKurallar[deger_2025],MATCH("YDK-002",tblKurallar[kural_id],0)),2),0))</f>
        <v/>
      </c>
      <c r="I848" s="38">
        <f>IF($A848="","",IFERROR($G848-$G848*INDEX(tblKurallar[deger_2025],MATCH("YDK-004",tblKurallar[kural_id],0)),0))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8">
        <f>IF($A849="","",IFERROR(ROUND(MAX(0,$B849*($D849-1)),2),0))</f>
        <v/>
      </c>
      <c r="H849" s="38">
        <f>IF($A849="","",IFERROR(ROUND($G849*INDEX(tblKurallar[deger_2025],MATCH("YDK-002",tblKurallar[kural_id],0)),2),0))</f>
        <v/>
      </c>
      <c r="I849" s="38">
        <f>IF($A849="","",IFERROR($G849-$G849*INDEX(tblKurallar[deger_2025],MATCH("YDK-004",tblKurallar[kural_id],0)),0))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8">
        <f>IF($A850="","",IFERROR(ROUND(MAX(0,$B850*($D850-1)),2),0))</f>
        <v/>
      </c>
      <c r="H850" s="38">
        <f>IF($A850="","",IFERROR(ROUND($G850*INDEX(tblKurallar[deger_2025],MATCH("YDK-002",tblKurallar[kural_id],0)),2),0))</f>
        <v/>
      </c>
      <c r="I850" s="38">
        <f>IF($A850="","",IFERROR($G850-$G850*INDEX(tblKurallar[deger_2025],MATCH("YDK-004",tblKurallar[kural_id],0)),0))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8">
        <f>IF($A851="","",IFERROR(ROUND(MAX(0,$B851*($D851-1)),2),0))</f>
        <v/>
      </c>
      <c r="H851" s="38">
        <f>IF($A851="","",IFERROR(ROUND($G851*INDEX(tblKurallar[deger_2025],MATCH("YDK-002",tblKurallar[kural_id],0)),2),0))</f>
        <v/>
      </c>
      <c r="I851" s="38">
        <f>IF($A851="","",IFERROR($G851-$G851*INDEX(tblKurallar[deger_2025],MATCH("YDK-004",tblKurallar[kural_id],0)),0))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8">
        <f>IF($A852="","",IFERROR(ROUND(MAX(0,$B852*($D852-1)),2),0))</f>
        <v/>
      </c>
      <c r="H852" s="38">
        <f>IF($A852="","",IFERROR(ROUND($G852*INDEX(tblKurallar[deger_2025],MATCH("YDK-002",tblKurallar[kural_id],0)),2),0))</f>
        <v/>
      </c>
      <c r="I852" s="38">
        <f>IF($A852="","",IFERROR($G852-$G852*INDEX(tblKurallar[deger_2025],MATCH("YDK-004",tblKurallar[kural_id],0)),0))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8">
        <f>IF($A853="","",IFERROR(ROUND(MAX(0,$B853*($D853-1)),2),0))</f>
        <v/>
      </c>
      <c r="H853" s="38">
        <f>IF($A853="","",IFERROR(ROUND($G853*INDEX(tblKurallar[deger_2025],MATCH("YDK-002",tblKurallar[kural_id],0)),2),0))</f>
        <v/>
      </c>
      <c r="I853" s="38">
        <f>IF($A853="","",IFERROR($G853-$G853*INDEX(tblKurallar[deger_2025],MATCH("YDK-004",tblKurallar[kural_id],0)),0))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8">
        <f>IF($A854="","",IFERROR(ROUND(MAX(0,$B854*($D854-1)),2),0))</f>
        <v/>
      </c>
      <c r="H854" s="38">
        <f>IF($A854="","",IFERROR(ROUND($G854*INDEX(tblKurallar[deger_2025],MATCH("YDK-002",tblKurallar[kural_id],0)),2),0))</f>
        <v/>
      </c>
      <c r="I854" s="38">
        <f>IF($A854="","",IFERROR($G854-$G854*INDEX(tblKurallar[deger_2025],MATCH("YDK-004",tblKurallar[kural_id],0)),0))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8">
        <f>IF($A855="","",IFERROR(ROUND(MAX(0,$B855*($D855-1)),2),0))</f>
        <v/>
      </c>
      <c r="H855" s="38">
        <f>IF($A855="","",IFERROR(ROUND($G855*INDEX(tblKurallar[deger_2025],MATCH("YDK-002",tblKurallar[kural_id],0)),2),0))</f>
        <v/>
      </c>
      <c r="I855" s="38">
        <f>IF($A855="","",IFERROR($G855-$G855*INDEX(tblKurallar[deger_2025],MATCH("YDK-004",tblKurallar[kural_id],0)),0))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8">
        <f>IF($A856="","",IFERROR(ROUND(MAX(0,$B856*($D856-1)),2),0))</f>
        <v/>
      </c>
      <c r="H856" s="38">
        <f>IF($A856="","",IFERROR(ROUND($G856*INDEX(tblKurallar[deger_2025],MATCH("YDK-002",tblKurallar[kural_id],0)),2),0))</f>
        <v/>
      </c>
      <c r="I856" s="38">
        <f>IF($A856="","",IFERROR($G856-$G856*INDEX(tblKurallar[deger_2025],MATCH("YDK-004",tblKurallar[kural_id],0)),0))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8">
        <f>IF($A857="","",IFERROR(ROUND(MAX(0,$B857*($D857-1)),2),0))</f>
        <v/>
      </c>
      <c r="H857" s="38">
        <f>IF($A857="","",IFERROR(ROUND($G857*INDEX(tblKurallar[deger_2025],MATCH("YDK-002",tblKurallar[kural_id],0)),2),0))</f>
        <v/>
      </c>
      <c r="I857" s="38">
        <f>IF($A857="","",IFERROR($G857-$G857*INDEX(tblKurallar[deger_2025],MATCH("YDK-004",tblKurallar[kural_id],0)),0))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8">
        <f>IF($A858="","",IFERROR(ROUND(MAX(0,$B858*($D858-1)),2),0))</f>
        <v/>
      </c>
      <c r="H858" s="38">
        <f>IF($A858="","",IFERROR(ROUND($G858*INDEX(tblKurallar[deger_2025],MATCH("YDK-002",tblKurallar[kural_id],0)),2),0))</f>
        <v/>
      </c>
      <c r="I858" s="38">
        <f>IF($A858="","",IFERROR($G858-$G858*INDEX(tblKurallar[deger_2025],MATCH("YDK-004",tblKurallar[kural_id],0)),0))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8">
        <f>IF($A859="","",IFERROR(ROUND(MAX(0,$B859*($D859-1)),2),0))</f>
        <v/>
      </c>
      <c r="H859" s="38">
        <f>IF($A859="","",IFERROR(ROUND($G859*INDEX(tblKurallar[deger_2025],MATCH("YDK-002",tblKurallar[kural_id],0)),2),0))</f>
        <v/>
      </c>
      <c r="I859" s="38">
        <f>IF($A859="","",IFERROR($G859-$G859*INDEX(tblKurallar[deger_2025],MATCH("YDK-004",tblKurallar[kural_id],0)),0))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8">
        <f>IF($A860="","",IFERROR(ROUND(MAX(0,$B860*($D860-1)),2),0))</f>
        <v/>
      </c>
      <c r="H860" s="38">
        <f>IF($A860="","",IFERROR(ROUND($G860*INDEX(tblKurallar[deger_2025],MATCH("YDK-002",tblKurallar[kural_id],0)),2),0))</f>
        <v/>
      </c>
      <c r="I860" s="38">
        <f>IF($A860="","",IFERROR($G860-$G860*INDEX(tblKurallar[deger_2025],MATCH("YDK-004",tblKurallar[kural_id],0)),0))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8">
        <f>IF($A861="","",IFERROR(ROUND(MAX(0,$B861*($D861-1)),2),0))</f>
        <v/>
      </c>
      <c r="H861" s="38">
        <f>IF($A861="","",IFERROR(ROUND($G861*INDEX(tblKurallar[deger_2025],MATCH("YDK-002",tblKurallar[kural_id],0)),2),0))</f>
        <v/>
      </c>
      <c r="I861" s="38">
        <f>IF($A861="","",IFERROR($G861-$G861*INDEX(tblKurallar[deger_2025],MATCH("YDK-004",tblKurallar[kural_id],0)),0))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8">
        <f>IF($A862="","",IFERROR(ROUND(MAX(0,$B862*($D862-1)),2),0))</f>
        <v/>
      </c>
      <c r="H862" s="38">
        <f>IF($A862="","",IFERROR(ROUND($G862*INDEX(tblKurallar[deger_2025],MATCH("YDK-002",tblKurallar[kural_id],0)),2),0))</f>
        <v/>
      </c>
      <c r="I862" s="38">
        <f>IF($A862="","",IFERROR($G862-$G862*INDEX(tblKurallar[deger_2025],MATCH("YDK-004",tblKurallar[kural_id],0)),0))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8">
        <f>IF($A863="","",IFERROR(ROUND(MAX(0,$B863*($D863-1)),2),0))</f>
        <v/>
      </c>
      <c r="H863" s="38">
        <f>IF($A863="","",IFERROR(ROUND($G863*INDEX(tblKurallar[deger_2025],MATCH("YDK-002",tblKurallar[kural_id],0)),2),0))</f>
        <v/>
      </c>
      <c r="I863" s="38">
        <f>IF($A863="","",IFERROR($G863-$G863*INDEX(tblKurallar[deger_2025],MATCH("YDK-004",tblKurallar[kural_id],0)),0))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8">
        <f>IF($A864="","",IFERROR(ROUND(MAX(0,$B864*($D864-1)),2),0))</f>
        <v/>
      </c>
      <c r="H864" s="38">
        <f>IF($A864="","",IFERROR(ROUND($G864*INDEX(tblKurallar[deger_2025],MATCH("YDK-002",tblKurallar[kural_id],0)),2),0))</f>
        <v/>
      </c>
      <c r="I864" s="38">
        <f>IF($A864="","",IFERROR($G864-$G864*INDEX(tblKurallar[deger_2025],MATCH("YDK-004",tblKurallar[kural_id],0)),0))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8">
        <f>IF($A865="","",IFERROR(ROUND(MAX(0,$B865*($D865-1)),2),0))</f>
        <v/>
      </c>
      <c r="H865" s="38">
        <f>IF($A865="","",IFERROR(ROUND($G865*INDEX(tblKurallar[deger_2025],MATCH("YDK-002",tblKurallar[kural_id],0)),2),0))</f>
        <v/>
      </c>
      <c r="I865" s="38">
        <f>IF($A865="","",IFERROR($G865-$G865*INDEX(tblKurallar[deger_2025],MATCH("YDK-004",tblKurallar[kural_id],0)),0))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8">
        <f>IF($A866="","",IFERROR(ROUND(MAX(0,$B866*($D866-1)),2),0))</f>
        <v/>
      </c>
      <c r="H866" s="38">
        <f>IF($A866="","",IFERROR(ROUND($G866*INDEX(tblKurallar[deger_2025],MATCH("YDK-002",tblKurallar[kural_id],0)),2),0))</f>
        <v/>
      </c>
      <c r="I866" s="38">
        <f>IF($A866="","",IFERROR($G866-$G866*INDEX(tblKurallar[deger_2025],MATCH("YDK-004",tblKurallar[kural_id],0)),0))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8">
        <f>IF($A867="","",IFERROR(ROUND(MAX(0,$B867*($D867-1)),2),0))</f>
        <v/>
      </c>
      <c r="H867" s="38">
        <f>IF($A867="","",IFERROR(ROUND($G867*INDEX(tblKurallar[deger_2025],MATCH("YDK-002",tblKurallar[kural_id],0)),2),0))</f>
        <v/>
      </c>
      <c r="I867" s="38">
        <f>IF($A867="","",IFERROR($G867-$G867*INDEX(tblKurallar[deger_2025],MATCH("YDK-004",tblKurallar[kural_id],0)),0))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8">
        <f>IF($A868="","",IFERROR(ROUND(MAX(0,$B868*($D868-1)),2),0))</f>
        <v/>
      </c>
      <c r="H868" s="38">
        <f>IF($A868="","",IFERROR(ROUND($G868*INDEX(tblKurallar[deger_2025],MATCH("YDK-002",tblKurallar[kural_id],0)),2),0))</f>
        <v/>
      </c>
      <c r="I868" s="38">
        <f>IF($A868="","",IFERROR($G868-$G868*INDEX(tblKurallar[deger_2025],MATCH("YDK-004",tblKurallar[kural_id],0)),0))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8">
        <f>IF($A869="","",IFERROR(ROUND(MAX(0,$B869*($D869-1)),2),0))</f>
        <v/>
      </c>
      <c r="H869" s="38">
        <f>IF($A869="","",IFERROR(ROUND($G869*INDEX(tblKurallar[deger_2025],MATCH("YDK-002",tblKurallar[kural_id],0)),2),0))</f>
        <v/>
      </c>
      <c r="I869" s="38">
        <f>IF($A869="","",IFERROR($G869-$G869*INDEX(tblKurallar[deger_2025],MATCH("YDK-004",tblKurallar[kural_id],0)),0))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8">
        <f>IF($A870="","",IFERROR(ROUND(MAX(0,$B870*($D870-1)),2),0))</f>
        <v/>
      </c>
      <c r="H870" s="38">
        <f>IF($A870="","",IFERROR(ROUND($G870*INDEX(tblKurallar[deger_2025],MATCH("YDK-002",tblKurallar[kural_id],0)),2),0))</f>
        <v/>
      </c>
      <c r="I870" s="38">
        <f>IF($A870="","",IFERROR($G870-$G870*INDEX(tblKurallar[deger_2025],MATCH("YDK-004",tblKurallar[kural_id],0)),0))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8">
        <f>IF($A871="","",IFERROR(ROUND(MAX(0,$B871*($D871-1)),2),0))</f>
        <v/>
      </c>
      <c r="H871" s="38">
        <f>IF($A871="","",IFERROR(ROUND($G871*INDEX(tblKurallar[deger_2025],MATCH("YDK-002",tblKurallar[kural_id],0)),2),0))</f>
        <v/>
      </c>
      <c r="I871" s="38">
        <f>IF($A871="","",IFERROR($G871-$G871*INDEX(tblKurallar[deger_2025],MATCH("YDK-004",tblKurallar[kural_id],0)),0))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8">
        <f>IF($A872="","",IFERROR(ROUND(MAX(0,$B872*($D872-1)),2),0))</f>
        <v/>
      </c>
      <c r="H872" s="38">
        <f>IF($A872="","",IFERROR(ROUND($G872*INDEX(tblKurallar[deger_2025],MATCH("YDK-002",tblKurallar[kural_id],0)),2),0))</f>
        <v/>
      </c>
      <c r="I872" s="38">
        <f>IF($A872="","",IFERROR($G872-$G872*INDEX(tblKurallar[deger_2025],MATCH("YDK-004",tblKurallar[kural_id],0)),0))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8">
        <f>IF($A873="","",IFERROR(ROUND(MAX(0,$B873*($D873-1)),2),0))</f>
        <v/>
      </c>
      <c r="H873" s="38">
        <f>IF($A873="","",IFERROR(ROUND($G873*INDEX(tblKurallar[deger_2025],MATCH("YDK-002",tblKurallar[kural_id],0)),2),0))</f>
        <v/>
      </c>
      <c r="I873" s="38">
        <f>IF($A873="","",IFERROR($G873-$G873*INDEX(tblKurallar[deger_2025],MATCH("YDK-004",tblKurallar[kural_id],0)),0))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8">
        <f>IF($A874="","",IFERROR(ROUND(MAX(0,$B874*($D874-1)),2),0))</f>
        <v/>
      </c>
      <c r="H874" s="38">
        <f>IF($A874="","",IFERROR(ROUND($G874*INDEX(tblKurallar[deger_2025],MATCH("YDK-002",tblKurallar[kural_id],0)),2),0))</f>
        <v/>
      </c>
      <c r="I874" s="38">
        <f>IF($A874="","",IFERROR($G874-$G874*INDEX(tblKurallar[deger_2025],MATCH("YDK-004",tblKurallar[kural_id],0)),0))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8">
        <f>IF($A875="","",IFERROR(ROUND(MAX(0,$B875*($D875-1)),2),0))</f>
        <v/>
      </c>
      <c r="H875" s="38">
        <f>IF($A875="","",IFERROR(ROUND($G875*INDEX(tblKurallar[deger_2025],MATCH("YDK-002",tblKurallar[kural_id],0)),2),0))</f>
        <v/>
      </c>
      <c r="I875" s="38">
        <f>IF($A875="","",IFERROR($G875-$G875*INDEX(tblKurallar[deger_2025],MATCH("YDK-004",tblKurallar[kural_id],0)),0))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8">
        <f>IF($A876="","",IFERROR(ROUND(MAX(0,$B876*($D876-1)),2),0))</f>
        <v/>
      </c>
      <c r="H876" s="38">
        <f>IF($A876="","",IFERROR(ROUND($G876*INDEX(tblKurallar[deger_2025],MATCH("YDK-002",tblKurallar[kural_id],0)),2),0))</f>
        <v/>
      </c>
      <c r="I876" s="38">
        <f>IF($A876="","",IFERROR($G876-$G876*INDEX(tblKurallar[deger_2025],MATCH("YDK-004",tblKurallar[kural_id],0)),0))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8">
        <f>IF($A877="","",IFERROR(ROUND(MAX(0,$B877*($D877-1)),2),0))</f>
        <v/>
      </c>
      <c r="H877" s="38">
        <f>IF($A877="","",IFERROR(ROUND($G877*INDEX(tblKurallar[deger_2025],MATCH("YDK-002",tblKurallar[kural_id],0)),2),0))</f>
        <v/>
      </c>
      <c r="I877" s="38">
        <f>IF($A877="","",IFERROR($G877-$G877*INDEX(tblKurallar[deger_2025],MATCH("YDK-004",tblKurallar[kural_id],0)),0))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8">
        <f>IF($A878="","",IFERROR(ROUND(MAX(0,$B878*($D878-1)),2),0))</f>
        <v/>
      </c>
      <c r="H878" s="38">
        <f>IF($A878="","",IFERROR(ROUND($G878*INDEX(tblKurallar[deger_2025],MATCH("YDK-002",tblKurallar[kural_id],0)),2),0))</f>
        <v/>
      </c>
      <c r="I878" s="38">
        <f>IF($A878="","",IFERROR($G878-$G878*INDEX(tblKurallar[deger_2025],MATCH("YDK-004",tblKurallar[kural_id],0)),0))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8">
        <f>IF($A879="","",IFERROR(ROUND(MAX(0,$B879*($D879-1)),2),0))</f>
        <v/>
      </c>
      <c r="H879" s="38">
        <f>IF($A879="","",IFERROR(ROUND($G879*INDEX(tblKurallar[deger_2025],MATCH("YDK-002",tblKurallar[kural_id],0)),2),0))</f>
        <v/>
      </c>
      <c r="I879" s="38">
        <f>IF($A879="","",IFERROR($G879-$G879*INDEX(tblKurallar[deger_2025],MATCH("YDK-004",tblKurallar[kural_id],0)),0))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8">
        <f>IF($A880="","",IFERROR(ROUND(MAX(0,$B880*($D880-1)),2),0))</f>
        <v/>
      </c>
      <c r="H880" s="38">
        <f>IF($A880="","",IFERROR(ROUND($G880*INDEX(tblKurallar[deger_2025],MATCH("YDK-002",tblKurallar[kural_id],0)),2),0))</f>
        <v/>
      </c>
      <c r="I880" s="38">
        <f>IF($A880="","",IFERROR($G880-$G880*INDEX(tblKurallar[deger_2025],MATCH("YDK-004",tblKurallar[kural_id],0)),0))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8">
        <f>IF($A881="","",IFERROR(ROUND(MAX(0,$B881*($D881-1)),2),0))</f>
        <v/>
      </c>
      <c r="H881" s="38">
        <f>IF($A881="","",IFERROR(ROUND($G881*INDEX(tblKurallar[deger_2025],MATCH("YDK-002",tblKurallar[kural_id],0)),2),0))</f>
        <v/>
      </c>
      <c r="I881" s="38">
        <f>IF($A881="","",IFERROR($G881-$G881*INDEX(tblKurallar[deger_2025],MATCH("YDK-004",tblKurallar[kural_id],0)),0))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8">
        <f>IF($A882="","",IFERROR(ROUND(MAX(0,$B882*($D882-1)),2),0))</f>
        <v/>
      </c>
      <c r="H882" s="38">
        <f>IF($A882="","",IFERROR(ROUND($G882*INDEX(tblKurallar[deger_2025],MATCH("YDK-002",tblKurallar[kural_id],0)),2),0))</f>
        <v/>
      </c>
      <c r="I882" s="38">
        <f>IF($A882="","",IFERROR($G882-$G882*INDEX(tblKurallar[deger_2025],MATCH("YDK-004",tblKurallar[kural_id],0)),0))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8">
        <f>IF($A883="","",IFERROR(ROUND(MAX(0,$B883*($D883-1)),2),0))</f>
        <v/>
      </c>
      <c r="H883" s="38">
        <f>IF($A883="","",IFERROR(ROUND($G883*INDEX(tblKurallar[deger_2025],MATCH("YDK-002",tblKurallar[kural_id],0)),2),0))</f>
        <v/>
      </c>
      <c r="I883" s="38">
        <f>IF($A883="","",IFERROR($G883-$G883*INDEX(tblKurallar[deger_2025],MATCH("YDK-004",tblKurallar[kural_id],0)),0))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8">
        <f>IF($A884="","",IFERROR(ROUND(MAX(0,$B884*($D884-1)),2),0))</f>
        <v/>
      </c>
      <c r="H884" s="38">
        <f>IF($A884="","",IFERROR(ROUND($G884*INDEX(tblKurallar[deger_2025],MATCH("YDK-002",tblKurallar[kural_id],0)),2),0))</f>
        <v/>
      </c>
      <c r="I884" s="38">
        <f>IF($A884="","",IFERROR($G884-$G884*INDEX(tblKurallar[deger_2025],MATCH("YDK-004",tblKurallar[kural_id],0)),0))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8">
        <f>IF($A885="","",IFERROR(ROUND(MAX(0,$B885*($D885-1)),2),0))</f>
        <v/>
      </c>
      <c r="H885" s="38">
        <f>IF($A885="","",IFERROR(ROUND($G885*INDEX(tblKurallar[deger_2025],MATCH("YDK-002",tblKurallar[kural_id],0)),2),0))</f>
        <v/>
      </c>
      <c r="I885" s="38">
        <f>IF($A885="","",IFERROR($G885-$G885*INDEX(tblKurallar[deger_2025],MATCH("YDK-004",tblKurallar[kural_id],0)),0))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8">
        <f>IF($A886="","",IFERROR(ROUND(MAX(0,$B886*($D886-1)),2),0))</f>
        <v/>
      </c>
      <c r="H886" s="38">
        <f>IF($A886="","",IFERROR(ROUND($G886*INDEX(tblKurallar[deger_2025],MATCH("YDK-002",tblKurallar[kural_id],0)),2),0))</f>
        <v/>
      </c>
      <c r="I886" s="38">
        <f>IF($A886="","",IFERROR($G886-$G886*INDEX(tblKurallar[deger_2025],MATCH("YDK-004",tblKurallar[kural_id],0)),0))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8">
        <f>IF($A887="","",IFERROR(ROUND(MAX(0,$B887*($D887-1)),2),0))</f>
        <v/>
      </c>
      <c r="H887" s="38">
        <f>IF($A887="","",IFERROR(ROUND($G887*INDEX(tblKurallar[deger_2025],MATCH("YDK-002",tblKurallar[kural_id],0)),2),0))</f>
        <v/>
      </c>
      <c r="I887" s="38">
        <f>IF($A887="","",IFERROR($G887-$G887*INDEX(tblKurallar[deger_2025],MATCH("YDK-004",tblKurallar[kural_id],0)),0))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8">
        <f>IF($A888="","",IFERROR(ROUND(MAX(0,$B888*($D888-1)),2),0))</f>
        <v/>
      </c>
      <c r="H888" s="38">
        <f>IF($A888="","",IFERROR(ROUND($G888*INDEX(tblKurallar[deger_2025],MATCH("YDK-002",tblKurallar[kural_id],0)),2),0))</f>
        <v/>
      </c>
      <c r="I888" s="38">
        <f>IF($A888="","",IFERROR($G888-$G888*INDEX(tblKurallar[deger_2025],MATCH("YDK-004",tblKurallar[kural_id],0)),0))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8">
        <f>IF($A889="","",IFERROR(ROUND(MAX(0,$B889*($D889-1)),2),0))</f>
        <v/>
      </c>
      <c r="H889" s="38">
        <f>IF($A889="","",IFERROR(ROUND($G889*INDEX(tblKurallar[deger_2025],MATCH("YDK-002",tblKurallar[kural_id],0)),2),0))</f>
        <v/>
      </c>
      <c r="I889" s="38">
        <f>IF($A889="","",IFERROR($G889-$G889*INDEX(tblKurallar[deger_2025],MATCH("YDK-004",tblKurallar[kural_id],0)),0))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8">
        <f>IF($A890="","",IFERROR(ROUND(MAX(0,$B890*($D890-1)),2),0))</f>
        <v/>
      </c>
      <c r="H890" s="38">
        <f>IF($A890="","",IFERROR(ROUND($G890*INDEX(tblKurallar[deger_2025],MATCH("YDK-002",tblKurallar[kural_id],0)),2),0))</f>
        <v/>
      </c>
      <c r="I890" s="38">
        <f>IF($A890="","",IFERROR($G890-$G890*INDEX(tblKurallar[deger_2025],MATCH("YDK-004",tblKurallar[kural_id],0)),0))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8">
        <f>IF($A891="","",IFERROR(ROUND(MAX(0,$B891*($D891-1)),2),0))</f>
        <v/>
      </c>
      <c r="H891" s="38">
        <f>IF($A891="","",IFERROR(ROUND($G891*INDEX(tblKurallar[deger_2025],MATCH("YDK-002",tblKurallar[kural_id],0)),2),0))</f>
        <v/>
      </c>
      <c r="I891" s="38">
        <f>IF($A891="","",IFERROR($G891-$G891*INDEX(tblKurallar[deger_2025],MATCH("YDK-004",tblKurallar[kural_id],0)),0))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8">
        <f>IF($A892="","",IFERROR(ROUND(MAX(0,$B892*($D892-1)),2),0))</f>
        <v/>
      </c>
      <c r="H892" s="38">
        <f>IF($A892="","",IFERROR(ROUND($G892*INDEX(tblKurallar[deger_2025],MATCH("YDK-002",tblKurallar[kural_id],0)),2),0))</f>
        <v/>
      </c>
      <c r="I892" s="38">
        <f>IF($A892="","",IFERROR($G892-$G892*INDEX(tblKurallar[deger_2025],MATCH("YDK-004",tblKurallar[kural_id],0)),0))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8">
        <f>IF($A893="","",IFERROR(ROUND(MAX(0,$B893*($D893-1)),2),0))</f>
        <v/>
      </c>
      <c r="H893" s="38">
        <f>IF($A893="","",IFERROR(ROUND($G893*INDEX(tblKurallar[deger_2025],MATCH("YDK-002",tblKurallar[kural_id],0)),2),0))</f>
        <v/>
      </c>
      <c r="I893" s="38">
        <f>IF($A893="","",IFERROR($G893-$G893*INDEX(tblKurallar[deger_2025],MATCH("YDK-004",tblKurallar[kural_id],0)),0))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8">
        <f>IF($A894="","",IFERROR(ROUND(MAX(0,$B894*($D894-1)),2),0))</f>
        <v/>
      </c>
      <c r="H894" s="38">
        <f>IF($A894="","",IFERROR(ROUND($G894*INDEX(tblKurallar[deger_2025],MATCH("YDK-002",tblKurallar[kural_id],0)),2),0))</f>
        <v/>
      </c>
      <c r="I894" s="38">
        <f>IF($A894="","",IFERROR($G894-$G894*INDEX(tblKurallar[deger_2025],MATCH("YDK-004",tblKurallar[kural_id],0)),0))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8">
        <f>IF($A895="","",IFERROR(ROUND(MAX(0,$B895*($D895-1)),2),0))</f>
        <v/>
      </c>
      <c r="H895" s="38">
        <f>IF($A895="","",IFERROR(ROUND($G895*INDEX(tblKurallar[deger_2025],MATCH("YDK-002",tblKurallar[kural_id],0)),2),0))</f>
        <v/>
      </c>
      <c r="I895" s="38">
        <f>IF($A895="","",IFERROR($G895-$G895*INDEX(tblKurallar[deger_2025],MATCH("YDK-004",tblKurallar[kural_id],0)),0))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8">
        <f>IF($A896="","",IFERROR(ROUND(MAX(0,$B896*($D896-1)),2),0))</f>
        <v/>
      </c>
      <c r="H896" s="38">
        <f>IF($A896="","",IFERROR(ROUND($G896*INDEX(tblKurallar[deger_2025],MATCH("YDK-002",tblKurallar[kural_id],0)),2),0))</f>
        <v/>
      </c>
      <c r="I896" s="38">
        <f>IF($A896="","",IFERROR($G896-$G896*INDEX(tblKurallar[deger_2025],MATCH("YDK-004",tblKurallar[kural_id],0)),0))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8">
        <f>IF($A897="","",IFERROR(ROUND(MAX(0,$B897*($D897-1)),2),0))</f>
        <v/>
      </c>
      <c r="H897" s="38">
        <f>IF($A897="","",IFERROR(ROUND($G897*INDEX(tblKurallar[deger_2025],MATCH("YDK-002",tblKurallar[kural_id],0)),2),0))</f>
        <v/>
      </c>
      <c r="I897" s="38">
        <f>IF($A897="","",IFERROR($G897-$G897*INDEX(tblKurallar[deger_2025],MATCH("YDK-004",tblKurallar[kural_id],0)),0))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8">
        <f>IF($A898="","",IFERROR(ROUND(MAX(0,$B898*($D898-1)),2),0))</f>
        <v/>
      </c>
      <c r="H898" s="38">
        <f>IF($A898="","",IFERROR(ROUND($G898*INDEX(tblKurallar[deger_2025],MATCH("YDK-002",tblKurallar[kural_id],0)),2),0))</f>
        <v/>
      </c>
      <c r="I898" s="38">
        <f>IF($A898="","",IFERROR($G898-$G898*INDEX(tblKurallar[deger_2025],MATCH("YDK-004",tblKurallar[kural_id],0)),0))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8">
        <f>IF($A899="","",IFERROR(ROUND(MAX(0,$B899*($D899-1)),2),0))</f>
        <v/>
      </c>
      <c r="H899" s="38">
        <f>IF($A899="","",IFERROR(ROUND($G899*INDEX(tblKurallar[deger_2025],MATCH("YDK-002",tblKurallar[kural_id],0)),2),0))</f>
        <v/>
      </c>
      <c r="I899" s="38">
        <f>IF($A899="","",IFERROR($G899-$G899*INDEX(tblKurallar[deger_2025],MATCH("YDK-004",tblKurallar[kural_id],0)),0))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8">
        <f>IF($A900="","",IFERROR(ROUND(MAX(0,$B900*($D900-1)),2),0))</f>
        <v/>
      </c>
      <c r="H900" s="38">
        <f>IF($A900="","",IFERROR(ROUND($G900*INDEX(tblKurallar[deger_2025],MATCH("YDK-002",tblKurallar[kural_id],0)),2),0))</f>
        <v/>
      </c>
      <c r="I900" s="38">
        <f>IF($A900="","",IFERROR($G900-$G900*INDEX(tblKurallar[deger_2025],MATCH("YDK-004",tblKurallar[kural_id],0)),0))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8">
        <f>IF($A901="","",IFERROR(ROUND(MAX(0,$B901*($D901-1)),2),0))</f>
        <v/>
      </c>
      <c r="H901" s="38">
        <f>IF($A901="","",IFERROR(ROUND($G901*INDEX(tblKurallar[deger_2025],MATCH("YDK-002",tblKurallar[kural_id],0)),2),0))</f>
        <v/>
      </c>
      <c r="I901" s="38">
        <f>IF($A901="","",IFERROR($G901-$G901*INDEX(tblKurallar[deger_2025],MATCH("YDK-004",tblKurallar[kural_id],0)),0))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8">
        <f>IF($A902="","",IFERROR(ROUND(MAX(0,$B902*($D902-1)),2),0))</f>
        <v/>
      </c>
      <c r="H902" s="38">
        <f>IF($A902="","",IFERROR(ROUND($G902*INDEX(tblKurallar[deger_2025],MATCH("YDK-002",tblKurallar[kural_id],0)),2),0))</f>
        <v/>
      </c>
      <c r="I902" s="38">
        <f>IF($A902="","",IFERROR($G902-$G902*INDEX(tblKurallar[deger_2025],MATCH("YDK-004",tblKurallar[kural_id],0)),0))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8">
        <f>IF($A903="","",IFERROR(ROUND(MAX(0,$B903*($D903-1)),2),0))</f>
        <v/>
      </c>
      <c r="H903" s="38">
        <f>IF($A903="","",IFERROR(ROUND($G903*INDEX(tblKurallar[deger_2025],MATCH("YDK-002",tblKurallar[kural_id],0)),2),0))</f>
        <v/>
      </c>
      <c r="I903" s="38">
        <f>IF($A903="","",IFERROR($G903-$G903*INDEX(tblKurallar[deger_2025],MATCH("YDK-004",tblKurallar[kural_id],0)),0))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8">
        <f>IF($A904="","",IFERROR(ROUND(MAX(0,$B904*($D904-1)),2),0))</f>
        <v/>
      </c>
      <c r="H904" s="38">
        <f>IF($A904="","",IFERROR(ROUND($G904*INDEX(tblKurallar[deger_2025],MATCH("YDK-002",tblKurallar[kural_id],0)),2),0))</f>
        <v/>
      </c>
      <c r="I904" s="38">
        <f>IF($A904="","",IFERROR($G904-$G904*INDEX(tblKurallar[deger_2025],MATCH("YDK-004",tblKurallar[kural_id],0)),0))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8">
        <f>IF($A905="","",IFERROR(ROUND(MAX(0,$B905*($D905-1)),2),0))</f>
        <v/>
      </c>
      <c r="H905" s="38">
        <f>IF($A905="","",IFERROR(ROUND($G905*INDEX(tblKurallar[deger_2025],MATCH("YDK-002",tblKurallar[kural_id],0)),2),0))</f>
        <v/>
      </c>
      <c r="I905" s="38">
        <f>IF($A905="","",IFERROR($G905-$G905*INDEX(tblKurallar[deger_2025],MATCH("YDK-004",tblKurallar[kural_id],0)),0))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8">
        <f>IF($A906="","",IFERROR(ROUND(MAX(0,$B906*($D906-1)),2),0))</f>
        <v/>
      </c>
      <c r="H906" s="38">
        <f>IF($A906="","",IFERROR(ROUND($G906*INDEX(tblKurallar[deger_2025],MATCH("YDK-002",tblKurallar[kural_id],0)),2),0))</f>
        <v/>
      </c>
      <c r="I906" s="38">
        <f>IF($A906="","",IFERROR($G906-$G906*INDEX(tblKurallar[deger_2025],MATCH("YDK-004",tblKurallar[kural_id],0)),0))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8">
        <f>IF($A907="","",IFERROR(ROUND(MAX(0,$B907*($D907-1)),2),0))</f>
        <v/>
      </c>
      <c r="H907" s="38">
        <f>IF($A907="","",IFERROR(ROUND($G907*INDEX(tblKurallar[deger_2025],MATCH("YDK-002",tblKurallar[kural_id],0)),2),0))</f>
        <v/>
      </c>
      <c r="I907" s="38">
        <f>IF($A907="","",IFERROR($G907-$G907*INDEX(tblKurallar[deger_2025],MATCH("YDK-004",tblKurallar[kural_id],0)),0))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8">
        <f>IF($A908="","",IFERROR(ROUND(MAX(0,$B908*($D908-1)),2),0))</f>
        <v/>
      </c>
      <c r="H908" s="38">
        <f>IF($A908="","",IFERROR(ROUND($G908*INDEX(tblKurallar[deger_2025],MATCH("YDK-002",tblKurallar[kural_id],0)),2),0))</f>
        <v/>
      </c>
      <c r="I908" s="38">
        <f>IF($A908="","",IFERROR($G908-$G908*INDEX(tblKurallar[deger_2025],MATCH("YDK-004",tblKurallar[kural_id],0)),0))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8">
        <f>IF($A909="","",IFERROR(ROUND(MAX(0,$B909*($D909-1)),2),0))</f>
        <v/>
      </c>
      <c r="H909" s="38">
        <f>IF($A909="","",IFERROR(ROUND($G909*INDEX(tblKurallar[deger_2025],MATCH("YDK-002",tblKurallar[kural_id],0)),2),0))</f>
        <v/>
      </c>
      <c r="I909" s="38">
        <f>IF($A909="","",IFERROR($G909-$G909*INDEX(tblKurallar[deger_2025],MATCH("YDK-004",tblKurallar[kural_id],0)),0))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8">
        <f>IF($A910="","",IFERROR(ROUND(MAX(0,$B910*($D910-1)),2),0))</f>
        <v/>
      </c>
      <c r="H910" s="38">
        <f>IF($A910="","",IFERROR(ROUND($G910*INDEX(tblKurallar[deger_2025],MATCH("YDK-002",tblKurallar[kural_id],0)),2),0))</f>
        <v/>
      </c>
      <c r="I910" s="38">
        <f>IF($A910="","",IFERROR($G910-$G910*INDEX(tblKurallar[deger_2025],MATCH("YDK-004",tblKurallar[kural_id],0)),0))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8">
        <f>IF($A911="","",IFERROR(ROUND(MAX(0,$B911*($D911-1)),2),0))</f>
        <v/>
      </c>
      <c r="H911" s="38">
        <f>IF($A911="","",IFERROR(ROUND($G911*INDEX(tblKurallar[deger_2025],MATCH("YDK-002",tblKurallar[kural_id],0)),2),0))</f>
        <v/>
      </c>
      <c r="I911" s="38">
        <f>IF($A911="","",IFERROR($G911-$G911*INDEX(tblKurallar[deger_2025],MATCH("YDK-004",tblKurallar[kural_id],0)),0))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8">
        <f>IF($A912="","",IFERROR(ROUND(MAX(0,$B912*($D912-1)),2),0))</f>
        <v/>
      </c>
      <c r="H912" s="38">
        <f>IF($A912="","",IFERROR(ROUND($G912*INDEX(tblKurallar[deger_2025],MATCH("YDK-002",tblKurallar[kural_id],0)),2),0))</f>
        <v/>
      </c>
      <c r="I912" s="38">
        <f>IF($A912="","",IFERROR($G912-$G912*INDEX(tblKurallar[deger_2025],MATCH("YDK-004",tblKurallar[kural_id],0)),0))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8">
        <f>IF($A913="","",IFERROR(ROUND(MAX(0,$B913*($D913-1)),2),0))</f>
        <v/>
      </c>
      <c r="H913" s="38">
        <f>IF($A913="","",IFERROR(ROUND($G913*INDEX(tblKurallar[deger_2025],MATCH("YDK-002",tblKurallar[kural_id],0)),2),0))</f>
        <v/>
      </c>
      <c r="I913" s="38">
        <f>IF($A913="","",IFERROR($G913-$G913*INDEX(tblKurallar[deger_2025],MATCH("YDK-004",tblKurallar[kural_id],0)),0))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8">
        <f>IF($A914="","",IFERROR(ROUND(MAX(0,$B914*($D914-1)),2),0))</f>
        <v/>
      </c>
      <c r="H914" s="38">
        <f>IF($A914="","",IFERROR(ROUND($G914*INDEX(tblKurallar[deger_2025],MATCH("YDK-002",tblKurallar[kural_id],0)),2),0))</f>
        <v/>
      </c>
      <c r="I914" s="38">
        <f>IF($A914="","",IFERROR($G914-$G914*INDEX(tblKurallar[deger_2025],MATCH("YDK-004",tblKurallar[kural_id],0)),0))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8">
        <f>IF($A915="","",IFERROR(ROUND(MAX(0,$B915*($D915-1)),2),0))</f>
        <v/>
      </c>
      <c r="H915" s="38">
        <f>IF($A915="","",IFERROR(ROUND($G915*INDEX(tblKurallar[deger_2025],MATCH("YDK-002",tblKurallar[kural_id],0)),2),0))</f>
        <v/>
      </c>
      <c r="I915" s="38">
        <f>IF($A915="","",IFERROR($G915-$G915*INDEX(tblKurallar[deger_2025],MATCH("YDK-004",tblKurallar[kural_id],0)),0))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8">
        <f>IF($A916="","",IFERROR(ROUND(MAX(0,$B916*($D916-1)),2),0))</f>
        <v/>
      </c>
      <c r="H916" s="38">
        <f>IF($A916="","",IFERROR(ROUND($G916*INDEX(tblKurallar[deger_2025],MATCH("YDK-002",tblKurallar[kural_id],0)),2),0))</f>
        <v/>
      </c>
      <c r="I916" s="38">
        <f>IF($A916="","",IFERROR($G916-$G916*INDEX(tblKurallar[deger_2025],MATCH("YDK-004",tblKurallar[kural_id],0)),0))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8">
        <f>IF($A917="","",IFERROR(ROUND(MAX(0,$B917*($D917-1)),2),0))</f>
        <v/>
      </c>
      <c r="H917" s="38">
        <f>IF($A917="","",IFERROR(ROUND($G917*INDEX(tblKurallar[deger_2025],MATCH("YDK-002",tblKurallar[kural_id],0)),2),0))</f>
        <v/>
      </c>
      <c r="I917" s="38">
        <f>IF($A917="","",IFERROR($G917-$G917*INDEX(tblKurallar[deger_2025],MATCH("YDK-004",tblKurallar[kural_id],0)),0))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8">
        <f>IF($A918="","",IFERROR(ROUND(MAX(0,$B918*($D918-1)),2),0))</f>
        <v/>
      </c>
      <c r="H918" s="38">
        <f>IF($A918="","",IFERROR(ROUND($G918*INDEX(tblKurallar[deger_2025],MATCH("YDK-002",tblKurallar[kural_id],0)),2),0))</f>
        <v/>
      </c>
      <c r="I918" s="38">
        <f>IF($A918="","",IFERROR($G918-$G918*INDEX(tblKurallar[deger_2025],MATCH("YDK-004",tblKurallar[kural_id],0)),0))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8">
        <f>IF($A919="","",IFERROR(ROUND(MAX(0,$B919*($D919-1)),2),0))</f>
        <v/>
      </c>
      <c r="H919" s="38">
        <f>IF($A919="","",IFERROR(ROUND($G919*INDEX(tblKurallar[deger_2025],MATCH("YDK-002",tblKurallar[kural_id],0)),2),0))</f>
        <v/>
      </c>
      <c r="I919" s="38">
        <f>IF($A919="","",IFERROR($G919-$G919*INDEX(tblKurallar[deger_2025],MATCH("YDK-004",tblKurallar[kural_id],0)),0))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8">
        <f>IF($A920="","",IFERROR(ROUND(MAX(0,$B920*($D920-1)),2),0))</f>
        <v/>
      </c>
      <c r="H920" s="38">
        <f>IF($A920="","",IFERROR(ROUND($G920*INDEX(tblKurallar[deger_2025],MATCH("YDK-002",tblKurallar[kural_id],0)),2),0))</f>
        <v/>
      </c>
      <c r="I920" s="38">
        <f>IF($A920="","",IFERROR($G920-$G920*INDEX(tblKurallar[deger_2025],MATCH("YDK-004",tblKurallar[kural_id],0)),0))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8">
        <f>IF($A921="","",IFERROR(ROUND(MAX(0,$B921*($D921-1)),2),0))</f>
        <v/>
      </c>
      <c r="H921" s="38">
        <f>IF($A921="","",IFERROR(ROUND($G921*INDEX(tblKurallar[deger_2025],MATCH("YDK-002",tblKurallar[kural_id],0)),2),0))</f>
        <v/>
      </c>
      <c r="I921" s="38">
        <f>IF($A921="","",IFERROR($G921-$G921*INDEX(tblKurallar[deger_2025],MATCH("YDK-004",tblKurallar[kural_id],0)),0))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8">
        <f>IF($A922="","",IFERROR(ROUND(MAX(0,$B922*($D922-1)),2),0))</f>
        <v/>
      </c>
      <c r="H922" s="38">
        <f>IF($A922="","",IFERROR(ROUND($G922*INDEX(tblKurallar[deger_2025],MATCH("YDK-002",tblKurallar[kural_id],0)),2),0))</f>
        <v/>
      </c>
      <c r="I922" s="38">
        <f>IF($A922="","",IFERROR($G922-$G922*INDEX(tblKurallar[deger_2025],MATCH("YDK-004",tblKurallar[kural_id],0)),0))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8">
        <f>IF($A923="","",IFERROR(ROUND(MAX(0,$B923*($D923-1)),2),0))</f>
        <v/>
      </c>
      <c r="H923" s="38">
        <f>IF($A923="","",IFERROR(ROUND($G923*INDEX(tblKurallar[deger_2025],MATCH("YDK-002",tblKurallar[kural_id],0)),2),0))</f>
        <v/>
      </c>
      <c r="I923" s="38">
        <f>IF($A923="","",IFERROR($G923-$G923*INDEX(tblKurallar[deger_2025],MATCH("YDK-004",tblKurallar[kural_id],0)),0))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8">
        <f>IF($A924="","",IFERROR(ROUND(MAX(0,$B924*($D924-1)),2),0))</f>
        <v/>
      </c>
      <c r="H924" s="38">
        <f>IF($A924="","",IFERROR(ROUND($G924*INDEX(tblKurallar[deger_2025],MATCH("YDK-002",tblKurallar[kural_id],0)),2),0))</f>
        <v/>
      </c>
      <c r="I924" s="38">
        <f>IF($A924="","",IFERROR($G924-$G924*INDEX(tblKurallar[deger_2025],MATCH("YDK-004",tblKurallar[kural_id],0)),0))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8">
        <f>IF($A925="","",IFERROR(ROUND(MAX(0,$B925*($D925-1)),2),0))</f>
        <v/>
      </c>
      <c r="H925" s="38">
        <f>IF($A925="","",IFERROR(ROUND($G925*INDEX(tblKurallar[deger_2025],MATCH("YDK-002",tblKurallar[kural_id],0)),2),0))</f>
        <v/>
      </c>
      <c r="I925" s="38">
        <f>IF($A925="","",IFERROR($G925-$G925*INDEX(tblKurallar[deger_2025],MATCH("YDK-004",tblKurallar[kural_id],0)),0))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8">
        <f>IF($A926="","",IFERROR(ROUND(MAX(0,$B926*($D926-1)),2),0))</f>
        <v/>
      </c>
      <c r="H926" s="38">
        <f>IF($A926="","",IFERROR(ROUND($G926*INDEX(tblKurallar[deger_2025],MATCH("YDK-002",tblKurallar[kural_id],0)),2),0))</f>
        <v/>
      </c>
      <c r="I926" s="38">
        <f>IF($A926="","",IFERROR($G926-$G926*INDEX(tblKurallar[deger_2025],MATCH("YDK-004",tblKurallar[kural_id],0)),0))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8">
        <f>IF($A927="","",IFERROR(ROUND(MAX(0,$B927*($D927-1)),2),0))</f>
        <v/>
      </c>
      <c r="H927" s="38">
        <f>IF($A927="","",IFERROR(ROUND($G927*INDEX(tblKurallar[deger_2025],MATCH("YDK-002",tblKurallar[kural_id],0)),2),0))</f>
        <v/>
      </c>
      <c r="I927" s="38">
        <f>IF($A927="","",IFERROR($G927-$G927*INDEX(tblKurallar[deger_2025],MATCH("YDK-004",tblKurallar[kural_id],0)),0))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8">
        <f>IF($A928="","",IFERROR(ROUND(MAX(0,$B928*($D928-1)),2),0))</f>
        <v/>
      </c>
      <c r="H928" s="38">
        <f>IF($A928="","",IFERROR(ROUND($G928*INDEX(tblKurallar[deger_2025],MATCH("YDK-002",tblKurallar[kural_id],0)),2),0))</f>
        <v/>
      </c>
      <c r="I928" s="38">
        <f>IF($A928="","",IFERROR($G928-$G928*INDEX(tblKurallar[deger_2025],MATCH("YDK-004",tblKurallar[kural_id],0)),0))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8">
        <f>IF($A929="","",IFERROR(ROUND(MAX(0,$B929*($D929-1)),2),0))</f>
        <v/>
      </c>
      <c r="H929" s="38">
        <f>IF($A929="","",IFERROR(ROUND($G929*INDEX(tblKurallar[deger_2025],MATCH("YDK-002",tblKurallar[kural_id],0)),2),0))</f>
        <v/>
      </c>
      <c r="I929" s="38">
        <f>IF($A929="","",IFERROR($G929-$G929*INDEX(tblKurallar[deger_2025],MATCH("YDK-004",tblKurallar[kural_id],0)),0))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8">
        <f>IF($A930="","",IFERROR(ROUND(MAX(0,$B930*($D930-1)),2),0))</f>
        <v/>
      </c>
      <c r="H930" s="38">
        <f>IF($A930="","",IFERROR(ROUND($G930*INDEX(tblKurallar[deger_2025],MATCH("YDK-002",tblKurallar[kural_id],0)),2),0))</f>
        <v/>
      </c>
      <c r="I930" s="38">
        <f>IF($A930="","",IFERROR($G930-$G930*INDEX(tblKurallar[deger_2025],MATCH("YDK-004",tblKurallar[kural_id],0)),0))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8">
        <f>IF($A931="","",IFERROR(ROUND(MAX(0,$B931*($D931-1)),2),0))</f>
        <v/>
      </c>
      <c r="H931" s="38">
        <f>IF($A931="","",IFERROR(ROUND($G931*INDEX(tblKurallar[deger_2025],MATCH("YDK-002",tblKurallar[kural_id],0)),2),0))</f>
        <v/>
      </c>
      <c r="I931" s="38">
        <f>IF($A931="","",IFERROR($G931-$G931*INDEX(tblKurallar[deger_2025],MATCH("YDK-004",tblKurallar[kural_id],0)),0))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8">
        <f>IF($A932="","",IFERROR(ROUND(MAX(0,$B932*($D932-1)),2),0))</f>
        <v/>
      </c>
      <c r="H932" s="38">
        <f>IF($A932="","",IFERROR(ROUND($G932*INDEX(tblKurallar[deger_2025],MATCH("YDK-002",tblKurallar[kural_id],0)),2),0))</f>
        <v/>
      </c>
      <c r="I932" s="38">
        <f>IF($A932="","",IFERROR($G932-$G932*INDEX(tblKurallar[deger_2025],MATCH("YDK-004",tblKurallar[kural_id],0)),0))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8">
        <f>IF($A933="","",IFERROR(ROUND(MAX(0,$B933*($D933-1)),2),0))</f>
        <v/>
      </c>
      <c r="H933" s="38">
        <f>IF($A933="","",IFERROR(ROUND($G933*INDEX(tblKurallar[deger_2025],MATCH("YDK-002",tblKurallar[kural_id],0)),2),0))</f>
        <v/>
      </c>
      <c r="I933" s="38">
        <f>IF($A933="","",IFERROR($G933-$G933*INDEX(tblKurallar[deger_2025],MATCH("YDK-004",tblKurallar[kural_id],0)),0))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8">
        <f>IF($A934="","",IFERROR(ROUND(MAX(0,$B934*($D934-1)),2),0))</f>
        <v/>
      </c>
      <c r="H934" s="38">
        <f>IF($A934="","",IFERROR(ROUND($G934*INDEX(tblKurallar[deger_2025],MATCH("YDK-002",tblKurallar[kural_id],0)),2),0))</f>
        <v/>
      </c>
      <c r="I934" s="38">
        <f>IF($A934="","",IFERROR($G934-$G934*INDEX(tblKurallar[deger_2025],MATCH("YDK-004",tblKurallar[kural_id],0)),0))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8">
        <f>IF($A935="","",IFERROR(ROUND(MAX(0,$B935*($D935-1)),2),0))</f>
        <v/>
      </c>
      <c r="H935" s="38">
        <f>IF($A935="","",IFERROR(ROUND($G935*INDEX(tblKurallar[deger_2025],MATCH("YDK-002",tblKurallar[kural_id],0)),2),0))</f>
        <v/>
      </c>
      <c r="I935" s="38">
        <f>IF($A935="","",IFERROR($G935-$G935*INDEX(tblKurallar[deger_2025],MATCH("YDK-004",tblKurallar[kural_id],0)),0))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8">
        <f>IF($A936="","",IFERROR(ROUND(MAX(0,$B936*($D936-1)),2),0))</f>
        <v/>
      </c>
      <c r="H936" s="38">
        <f>IF($A936="","",IFERROR(ROUND($G936*INDEX(tblKurallar[deger_2025],MATCH("YDK-002",tblKurallar[kural_id],0)),2),0))</f>
        <v/>
      </c>
      <c r="I936" s="38">
        <f>IF($A936="","",IFERROR($G936-$G936*INDEX(tblKurallar[deger_2025],MATCH("YDK-004",tblKurallar[kural_id],0)),0))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8">
        <f>IF($A937="","",IFERROR(ROUND(MAX(0,$B937*($D937-1)),2),0))</f>
        <v/>
      </c>
      <c r="H937" s="38">
        <f>IF($A937="","",IFERROR(ROUND($G937*INDEX(tblKurallar[deger_2025],MATCH("YDK-002",tblKurallar[kural_id],0)),2),0))</f>
        <v/>
      </c>
      <c r="I937" s="38">
        <f>IF($A937="","",IFERROR($G937-$G937*INDEX(tblKurallar[deger_2025],MATCH("YDK-004",tblKurallar[kural_id],0)),0))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8">
        <f>IF($A938="","",IFERROR(ROUND(MAX(0,$B938*($D938-1)),2),0))</f>
        <v/>
      </c>
      <c r="H938" s="38">
        <f>IF($A938="","",IFERROR(ROUND($G938*INDEX(tblKurallar[deger_2025],MATCH("YDK-002",tblKurallar[kural_id],0)),2),0))</f>
        <v/>
      </c>
      <c r="I938" s="38">
        <f>IF($A938="","",IFERROR($G938-$G938*INDEX(tblKurallar[deger_2025],MATCH("YDK-004",tblKurallar[kural_id],0)),0))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8">
        <f>IF($A939="","",IFERROR(ROUND(MAX(0,$B939*($D939-1)),2),0))</f>
        <v/>
      </c>
      <c r="H939" s="38">
        <f>IF($A939="","",IFERROR(ROUND($G939*INDEX(tblKurallar[deger_2025],MATCH("YDK-002",tblKurallar[kural_id],0)),2),0))</f>
        <v/>
      </c>
      <c r="I939" s="38">
        <f>IF($A939="","",IFERROR($G939-$G939*INDEX(tblKurallar[deger_2025],MATCH("YDK-004",tblKurallar[kural_id],0)),0))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8">
        <f>IF($A940="","",IFERROR(ROUND(MAX(0,$B940*($D940-1)),2),0))</f>
        <v/>
      </c>
      <c r="H940" s="38">
        <f>IF($A940="","",IFERROR(ROUND($G940*INDEX(tblKurallar[deger_2025],MATCH("YDK-002",tblKurallar[kural_id],0)),2),0))</f>
        <v/>
      </c>
      <c r="I940" s="38">
        <f>IF($A940="","",IFERROR($G940-$G940*INDEX(tblKurallar[deger_2025],MATCH("YDK-004",tblKurallar[kural_id],0)),0))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8">
        <f>IF($A941="","",IFERROR(ROUND(MAX(0,$B941*($D941-1)),2),0))</f>
        <v/>
      </c>
      <c r="H941" s="38">
        <f>IF($A941="","",IFERROR(ROUND($G941*INDEX(tblKurallar[deger_2025],MATCH("YDK-002",tblKurallar[kural_id],0)),2),0))</f>
        <v/>
      </c>
      <c r="I941" s="38">
        <f>IF($A941="","",IFERROR($G941-$G941*INDEX(tblKurallar[deger_2025],MATCH("YDK-004",tblKurallar[kural_id],0)),0))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8">
        <f>IF($A942="","",IFERROR(ROUND(MAX(0,$B942*($D942-1)),2),0))</f>
        <v/>
      </c>
      <c r="H942" s="38">
        <f>IF($A942="","",IFERROR(ROUND($G942*INDEX(tblKurallar[deger_2025],MATCH("YDK-002",tblKurallar[kural_id],0)),2),0))</f>
        <v/>
      </c>
      <c r="I942" s="38">
        <f>IF($A942="","",IFERROR($G942-$G942*INDEX(tblKurallar[deger_2025],MATCH("YDK-004",tblKurallar[kural_id],0)),0))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8">
        <f>IF($A943="","",IFERROR(ROUND(MAX(0,$B943*($D943-1)),2),0))</f>
        <v/>
      </c>
      <c r="H943" s="38">
        <f>IF($A943="","",IFERROR(ROUND($G943*INDEX(tblKurallar[deger_2025],MATCH("YDK-002",tblKurallar[kural_id],0)),2),0))</f>
        <v/>
      </c>
      <c r="I943" s="38">
        <f>IF($A943="","",IFERROR($G943-$G943*INDEX(tblKurallar[deger_2025],MATCH("YDK-004",tblKurallar[kural_id],0)),0))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8">
        <f>IF($A944="","",IFERROR(ROUND(MAX(0,$B944*($D944-1)),2),0))</f>
        <v/>
      </c>
      <c r="H944" s="38">
        <f>IF($A944="","",IFERROR(ROUND($G944*INDEX(tblKurallar[deger_2025],MATCH("YDK-002",tblKurallar[kural_id],0)),2),0))</f>
        <v/>
      </c>
      <c r="I944" s="38">
        <f>IF($A944="","",IFERROR($G944-$G944*INDEX(tblKurallar[deger_2025],MATCH("YDK-004",tblKurallar[kural_id],0)),0))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8">
        <f>IF($A945="","",IFERROR(ROUND(MAX(0,$B945*($D945-1)),2),0))</f>
        <v/>
      </c>
      <c r="H945" s="38">
        <f>IF($A945="","",IFERROR(ROUND($G945*INDEX(tblKurallar[deger_2025],MATCH("YDK-002",tblKurallar[kural_id],0)),2),0))</f>
        <v/>
      </c>
      <c r="I945" s="38">
        <f>IF($A945="","",IFERROR($G945-$G945*INDEX(tblKurallar[deger_2025],MATCH("YDK-004",tblKurallar[kural_id],0)),0))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8">
        <f>IF($A946="","",IFERROR(ROUND(MAX(0,$B946*($D946-1)),2),0))</f>
        <v/>
      </c>
      <c r="H946" s="38">
        <f>IF($A946="","",IFERROR(ROUND($G946*INDEX(tblKurallar[deger_2025],MATCH("YDK-002",tblKurallar[kural_id],0)),2),0))</f>
        <v/>
      </c>
      <c r="I946" s="38">
        <f>IF($A946="","",IFERROR($G946-$G946*INDEX(tblKurallar[deger_2025],MATCH("YDK-004",tblKurallar[kural_id],0)),0))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8">
        <f>IF($A947="","",IFERROR(ROUND(MAX(0,$B947*($D947-1)),2),0))</f>
        <v/>
      </c>
      <c r="H947" s="38">
        <f>IF($A947="","",IFERROR(ROUND($G947*INDEX(tblKurallar[deger_2025],MATCH("YDK-002",tblKurallar[kural_id],0)),2),0))</f>
        <v/>
      </c>
      <c r="I947" s="38">
        <f>IF($A947="","",IFERROR($G947-$G947*INDEX(tblKurallar[deger_2025],MATCH("YDK-004",tblKurallar[kural_id],0)),0))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8">
        <f>IF($A948="","",IFERROR(ROUND(MAX(0,$B948*($D948-1)),2),0))</f>
        <v/>
      </c>
      <c r="H948" s="38">
        <f>IF($A948="","",IFERROR(ROUND($G948*INDEX(tblKurallar[deger_2025],MATCH("YDK-002",tblKurallar[kural_id],0)),2),0))</f>
        <v/>
      </c>
      <c r="I948" s="38">
        <f>IF($A948="","",IFERROR($G948-$G948*INDEX(tblKurallar[deger_2025],MATCH("YDK-004",tblKurallar[kural_id],0)),0))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8">
        <f>IF($A949="","",IFERROR(ROUND(MAX(0,$B949*($D949-1)),2),0))</f>
        <v/>
      </c>
      <c r="H949" s="38">
        <f>IF($A949="","",IFERROR(ROUND($G949*INDEX(tblKurallar[deger_2025],MATCH("YDK-002",tblKurallar[kural_id],0)),2),0))</f>
        <v/>
      </c>
      <c r="I949" s="38">
        <f>IF($A949="","",IFERROR($G949-$G949*INDEX(tblKurallar[deger_2025],MATCH("YDK-004",tblKurallar[kural_id],0)),0))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8">
        <f>IF($A950="","",IFERROR(ROUND(MAX(0,$B950*($D950-1)),2),0))</f>
        <v/>
      </c>
      <c r="H950" s="38">
        <f>IF($A950="","",IFERROR(ROUND($G950*INDEX(tblKurallar[deger_2025],MATCH("YDK-002",tblKurallar[kural_id],0)),2),0))</f>
        <v/>
      </c>
      <c r="I950" s="38">
        <f>IF($A950="","",IFERROR($G950-$G950*INDEX(tblKurallar[deger_2025],MATCH("YDK-004",tblKurallar[kural_id],0)),0))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8">
        <f>IF($A951="","",IFERROR(ROUND(MAX(0,$B951*($D951-1)),2),0))</f>
        <v/>
      </c>
      <c r="H951" s="38">
        <f>IF($A951="","",IFERROR(ROUND($G951*INDEX(tblKurallar[deger_2025],MATCH("YDK-002",tblKurallar[kural_id],0)),2),0))</f>
        <v/>
      </c>
      <c r="I951" s="38">
        <f>IF($A951="","",IFERROR($G951-$G951*INDEX(tblKurallar[deger_2025],MATCH("YDK-004",tblKurallar[kural_id],0)),0))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8">
        <f>IF($A952="","",IFERROR(ROUND(MAX(0,$B952*($D952-1)),2),0))</f>
        <v/>
      </c>
      <c r="H952" s="38">
        <f>IF($A952="","",IFERROR(ROUND($G952*INDEX(tblKurallar[deger_2025],MATCH("YDK-002",tblKurallar[kural_id],0)),2),0))</f>
        <v/>
      </c>
      <c r="I952" s="38">
        <f>IF($A952="","",IFERROR($G952-$G952*INDEX(tblKurallar[deger_2025],MATCH("YDK-004",tblKurallar[kural_id],0)),0))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8">
        <f>IF($A953="","",IFERROR(ROUND(MAX(0,$B953*($D953-1)),2),0))</f>
        <v/>
      </c>
      <c r="H953" s="38">
        <f>IF($A953="","",IFERROR(ROUND($G953*INDEX(tblKurallar[deger_2025],MATCH("YDK-002",tblKurallar[kural_id],0)),2),0))</f>
        <v/>
      </c>
      <c r="I953" s="38">
        <f>IF($A953="","",IFERROR($G953-$G953*INDEX(tblKurallar[deger_2025],MATCH("YDK-004",tblKurallar[kural_id],0)),0))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8">
        <f>IF($A954="","",IFERROR(ROUND(MAX(0,$B954*($D954-1)),2),0))</f>
        <v/>
      </c>
      <c r="H954" s="38">
        <f>IF($A954="","",IFERROR(ROUND($G954*INDEX(tblKurallar[deger_2025],MATCH("YDK-002",tblKurallar[kural_id],0)),2),0))</f>
        <v/>
      </c>
      <c r="I954" s="38">
        <f>IF($A954="","",IFERROR($G954-$G954*INDEX(tblKurallar[deger_2025],MATCH("YDK-004",tblKurallar[kural_id],0)),0))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8">
        <f>IF($A955="","",IFERROR(ROUND(MAX(0,$B955*($D955-1)),2),0))</f>
        <v/>
      </c>
      <c r="H955" s="38">
        <f>IF($A955="","",IFERROR(ROUND($G955*INDEX(tblKurallar[deger_2025],MATCH("YDK-002",tblKurallar[kural_id],0)),2),0))</f>
        <v/>
      </c>
      <c r="I955" s="38">
        <f>IF($A955="","",IFERROR($G955-$G955*INDEX(tblKurallar[deger_2025],MATCH("YDK-004",tblKurallar[kural_id],0)),0))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8">
        <f>IF($A956="","",IFERROR(ROUND(MAX(0,$B956*($D956-1)),2),0))</f>
        <v/>
      </c>
      <c r="H956" s="38">
        <f>IF($A956="","",IFERROR(ROUND($G956*INDEX(tblKurallar[deger_2025],MATCH("YDK-002",tblKurallar[kural_id],0)),2),0))</f>
        <v/>
      </c>
      <c r="I956" s="38">
        <f>IF($A956="","",IFERROR($G956-$G956*INDEX(tblKurallar[deger_2025],MATCH("YDK-004",tblKurallar[kural_id],0)),0))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8">
        <f>IF($A957="","",IFERROR(ROUND(MAX(0,$B957*($D957-1)),2),0))</f>
        <v/>
      </c>
      <c r="H957" s="38">
        <f>IF($A957="","",IFERROR(ROUND($G957*INDEX(tblKurallar[deger_2025],MATCH("YDK-002",tblKurallar[kural_id],0)),2),0))</f>
        <v/>
      </c>
      <c r="I957" s="38">
        <f>IF($A957="","",IFERROR($G957-$G957*INDEX(tblKurallar[deger_2025],MATCH("YDK-004",tblKurallar[kural_id],0)),0))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8">
        <f>IF($A958="","",IFERROR(ROUND(MAX(0,$B958*($D958-1)),2),0))</f>
        <v/>
      </c>
      <c r="H958" s="38">
        <f>IF($A958="","",IFERROR(ROUND($G958*INDEX(tblKurallar[deger_2025],MATCH("YDK-002",tblKurallar[kural_id],0)),2),0))</f>
        <v/>
      </c>
      <c r="I958" s="38">
        <f>IF($A958="","",IFERROR($G958-$G958*INDEX(tblKurallar[deger_2025],MATCH("YDK-004",tblKurallar[kural_id],0)),0))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8">
        <f>IF($A959="","",IFERROR(ROUND(MAX(0,$B959*($D959-1)),2),0))</f>
        <v/>
      </c>
      <c r="H959" s="38">
        <f>IF($A959="","",IFERROR(ROUND($G959*INDEX(tblKurallar[deger_2025],MATCH("YDK-002",tblKurallar[kural_id],0)),2),0))</f>
        <v/>
      </c>
      <c r="I959" s="38">
        <f>IF($A959="","",IFERROR($G959-$G959*INDEX(tblKurallar[deger_2025],MATCH("YDK-004",tblKurallar[kural_id],0)),0))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8">
        <f>IF($A960="","",IFERROR(ROUND(MAX(0,$B960*($D960-1)),2),0))</f>
        <v/>
      </c>
      <c r="H960" s="38">
        <f>IF($A960="","",IFERROR(ROUND($G960*INDEX(tblKurallar[deger_2025],MATCH("YDK-002",tblKurallar[kural_id],0)),2),0))</f>
        <v/>
      </c>
      <c r="I960" s="38">
        <f>IF($A960="","",IFERROR($G960-$G960*INDEX(tblKurallar[deger_2025],MATCH("YDK-004",tblKurallar[kural_id],0)),0))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8">
        <f>IF($A961="","",IFERROR(ROUND(MAX(0,$B961*($D961-1)),2),0))</f>
        <v/>
      </c>
      <c r="H961" s="38">
        <f>IF($A961="","",IFERROR(ROUND($G961*INDEX(tblKurallar[deger_2025],MATCH("YDK-002",tblKurallar[kural_id],0)),2),0))</f>
        <v/>
      </c>
      <c r="I961" s="38">
        <f>IF($A961="","",IFERROR($G961-$G961*INDEX(tblKurallar[deger_2025],MATCH("YDK-004",tblKurallar[kural_id],0)),0))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8">
        <f>IF($A962="","",IFERROR(ROUND(MAX(0,$B962*($D962-1)),2),0))</f>
        <v/>
      </c>
      <c r="H962" s="38">
        <f>IF($A962="","",IFERROR(ROUND($G962*INDEX(tblKurallar[deger_2025],MATCH("YDK-002",tblKurallar[kural_id],0)),2),0))</f>
        <v/>
      </c>
      <c r="I962" s="38">
        <f>IF($A962="","",IFERROR($G962-$G962*INDEX(tblKurallar[deger_2025],MATCH("YDK-004",tblKurallar[kural_id],0)),0))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8">
        <f>IF($A963="","",IFERROR(ROUND(MAX(0,$B963*($D963-1)),2),0))</f>
        <v/>
      </c>
      <c r="H963" s="38">
        <f>IF($A963="","",IFERROR(ROUND($G963*INDEX(tblKurallar[deger_2025],MATCH("YDK-002",tblKurallar[kural_id],0)),2),0))</f>
        <v/>
      </c>
      <c r="I963" s="38">
        <f>IF($A963="","",IFERROR($G963-$G963*INDEX(tblKurallar[deger_2025],MATCH("YDK-004",tblKurallar[kural_id],0)),0))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8">
        <f>IF($A964="","",IFERROR(ROUND(MAX(0,$B964*($D964-1)),2),0))</f>
        <v/>
      </c>
      <c r="H964" s="38">
        <f>IF($A964="","",IFERROR(ROUND($G964*INDEX(tblKurallar[deger_2025],MATCH("YDK-002",tblKurallar[kural_id],0)),2),0))</f>
        <v/>
      </c>
      <c r="I964" s="38">
        <f>IF($A964="","",IFERROR($G964-$G964*INDEX(tblKurallar[deger_2025],MATCH("YDK-004",tblKurallar[kural_id],0)),0))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8">
        <f>IF($A965="","",IFERROR(ROUND(MAX(0,$B965*($D965-1)),2),0))</f>
        <v/>
      </c>
      <c r="H965" s="38">
        <f>IF($A965="","",IFERROR(ROUND($G965*INDEX(tblKurallar[deger_2025],MATCH("YDK-002",tblKurallar[kural_id],0)),2),0))</f>
        <v/>
      </c>
      <c r="I965" s="38">
        <f>IF($A965="","",IFERROR($G965-$G965*INDEX(tblKurallar[deger_2025],MATCH("YDK-004",tblKurallar[kural_id],0)),0))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8">
        <f>IF($A966="","",IFERROR(ROUND(MAX(0,$B966*($D966-1)),2),0))</f>
        <v/>
      </c>
      <c r="H966" s="38">
        <f>IF($A966="","",IFERROR(ROUND($G966*INDEX(tblKurallar[deger_2025],MATCH("YDK-002",tblKurallar[kural_id],0)),2),0))</f>
        <v/>
      </c>
      <c r="I966" s="38">
        <f>IF($A966="","",IFERROR($G966-$G966*INDEX(tblKurallar[deger_2025],MATCH("YDK-004",tblKurallar[kural_id],0)),0))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8">
        <f>IF($A967="","",IFERROR(ROUND(MAX(0,$B967*($D967-1)),2),0))</f>
        <v/>
      </c>
      <c r="H967" s="38">
        <f>IF($A967="","",IFERROR(ROUND($G967*INDEX(tblKurallar[deger_2025],MATCH("YDK-002",tblKurallar[kural_id],0)),2),0))</f>
        <v/>
      </c>
      <c r="I967" s="38">
        <f>IF($A967="","",IFERROR($G967-$G967*INDEX(tblKurallar[deger_2025],MATCH("YDK-004",tblKurallar[kural_id],0)),0))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8">
        <f>IF($A968="","",IFERROR(ROUND(MAX(0,$B968*($D968-1)),2),0))</f>
        <v/>
      </c>
      <c r="H968" s="38">
        <f>IF($A968="","",IFERROR(ROUND($G968*INDEX(tblKurallar[deger_2025],MATCH("YDK-002",tblKurallar[kural_id],0)),2),0))</f>
        <v/>
      </c>
      <c r="I968" s="38">
        <f>IF($A968="","",IFERROR($G968-$G968*INDEX(tblKurallar[deger_2025],MATCH("YDK-004",tblKurallar[kural_id],0)),0))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8">
        <f>IF($A969="","",IFERROR(ROUND(MAX(0,$B969*($D969-1)),2),0))</f>
        <v/>
      </c>
      <c r="H969" s="38">
        <f>IF($A969="","",IFERROR(ROUND($G969*INDEX(tblKurallar[deger_2025],MATCH("YDK-002",tblKurallar[kural_id],0)),2),0))</f>
        <v/>
      </c>
      <c r="I969" s="38">
        <f>IF($A969="","",IFERROR($G969-$G969*INDEX(tblKurallar[deger_2025],MATCH("YDK-004",tblKurallar[kural_id],0)),0))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8">
        <f>IF($A970="","",IFERROR(ROUND(MAX(0,$B970*($D970-1)),2),0))</f>
        <v/>
      </c>
      <c r="H970" s="38">
        <f>IF($A970="","",IFERROR(ROUND($G970*INDEX(tblKurallar[deger_2025],MATCH("YDK-002",tblKurallar[kural_id],0)),2),0))</f>
        <v/>
      </c>
      <c r="I970" s="38">
        <f>IF($A970="","",IFERROR($G970-$G970*INDEX(tblKurallar[deger_2025],MATCH("YDK-004",tblKurallar[kural_id],0)),0))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8">
        <f>IF($A971="","",IFERROR(ROUND(MAX(0,$B971*($D971-1)),2),0))</f>
        <v/>
      </c>
      <c r="H971" s="38">
        <f>IF($A971="","",IFERROR(ROUND($G971*INDEX(tblKurallar[deger_2025],MATCH("YDK-002",tblKurallar[kural_id],0)),2),0))</f>
        <v/>
      </c>
      <c r="I971" s="38">
        <f>IF($A971="","",IFERROR($G971-$G971*INDEX(tblKurallar[deger_2025],MATCH("YDK-004",tblKurallar[kural_id],0)),0))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8">
        <f>IF($A972="","",IFERROR(ROUND(MAX(0,$B972*($D972-1)),2),0))</f>
        <v/>
      </c>
      <c r="H972" s="38">
        <f>IF($A972="","",IFERROR(ROUND($G972*INDEX(tblKurallar[deger_2025],MATCH("YDK-002",tblKurallar[kural_id],0)),2),0))</f>
        <v/>
      </c>
      <c r="I972" s="38">
        <f>IF($A972="","",IFERROR($G972-$G972*INDEX(tblKurallar[deger_2025],MATCH("YDK-004",tblKurallar[kural_id],0)),0))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8">
        <f>IF($A973="","",IFERROR(ROUND(MAX(0,$B973*($D973-1)),2),0))</f>
        <v/>
      </c>
      <c r="H973" s="38">
        <f>IF($A973="","",IFERROR(ROUND($G973*INDEX(tblKurallar[deger_2025],MATCH("YDK-002",tblKurallar[kural_id],0)),2),0))</f>
        <v/>
      </c>
      <c r="I973" s="38">
        <f>IF($A973="","",IFERROR($G973-$G973*INDEX(tblKurallar[deger_2025],MATCH("YDK-004",tblKurallar[kural_id],0)),0))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8">
        <f>IF($A974="","",IFERROR(ROUND(MAX(0,$B974*($D974-1)),2),0))</f>
        <v/>
      </c>
      <c r="H974" s="38">
        <f>IF($A974="","",IFERROR(ROUND($G974*INDEX(tblKurallar[deger_2025],MATCH("YDK-002",tblKurallar[kural_id],0)),2),0))</f>
        <v/>
      </c>
      <c r="I974" s="38">
        <f>IF($A974="","",IFERROR($G974-$G974*INDEX(tblKurallar[deger_2025],MATCH("YDK-004",tblKurallar[kural_id],0)),0))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8">
        <f>IF($A975="","",IFERROR(ROUND(MAX(0,$B975*($D975-1)),2),0))</f>
        <v/>
      </c>
      <c r="H975" s="38">
        <f>IF($A975="","",IFERROR(ROUND($G975*INDEX(tblKurallar[deger_2025],MATCH("YDK-002",tblKurallar[kural_id],0)),2),0))</f>
        <v/>
      </c>
      <c r="I975" s="38">
        <f>IF($A975="","",IFERROR($G975-$G975*INDEX(tblKurallar[deger_2025],MATCH("YDK-004",tblKurallar[kural_id],0)),0))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8">
        <f>IF($A976="","",IFERROR(ROUND(MAX(0,$B976*($D976-1)),2),0))</f>
        <v/>
      </c>
      <c r="H976" s="38">
        <f>IF($A976="","",IFERROR(ROUND($G976*INDEX(tblKurallar[deger_2025],MATCH("YDK-002",tblKurallar[kural_id],0)),2),0))</f>
        <v/>
      </c>
      <c r="I976" s="38">
        <f>IF($A976="","",IFERROR($G976-$G976*INDEX(tblKurallar[deger_2025],MATCH("YDK-004",tblKurallar[kural_id],0)),0))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8">
        <f>IF($A977="","",IFERROR(ROUND(MAX(0,$B977*($D977-1)),2),0))</f>
        <v/>
      </c>
      <c r="H977" s="38">
        <f>IF($A977="","",IFERROR(ROUND($G977*INDEX(tblKurallar[deger_2025],MATCH("YDK-002",tblKurallar[kural_id],0)),2),0))</f>
        <v/>
      </c>
      <c r="I977" s="38">
        <f>IF($A977="","",IFERROR($G977-$G977*INDEX(tblKurallar[deger_2025],MATCH("YDK-004",tblKurallar[kural_id],0)),0))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8">
        <f>IF($A978="","",IFERROR(ROUND(MAX(0,$B978*($D978-1)),2),0))</f>
        <v/>
      </c>
      <c r="H978" s="38">
        <f>IF($A978="","",IFERROR(ROUND($G978*INDEX(tblKurallar[deger_2025],MATCH("YDK-002",tblKurallar[kural_id],0)),2),0))</f>
        <v/>
      </c>
      <c r="I978" s="38">
        <f>IF($A978="","",IFERROR($G978-$G978*INDEX(tblKurallar[deger_2025],MATCH("YDK-004",tblKurallar[kural_id],0)),0))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8">
        <f>IF($A979="","",IFERROR(ROUND(MAX(0,$B979*($D979-1)),2),0))</f>
        <v/>
      </c>
      <c r="H979" s="38">
        <f>IF($A979="","",IFERROR(ROUND($G979*INDEX(tblKurallar[deger_2025],MATCH("YDK-002",tblKurallar[kural_id],0)),2),0))</f>
        <v/>
      </c>
      <c r="I979" s="38">
        <f>IF($A979="","",IFERROR($G979-$G979*INDEX(tblKurallar[deger_2025],MATCH("YDK-004",tblKurallar[kural_id],0)),0))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8">
        <f>IF($A980="","",IFERROR(ROUND(MAX(0,$B980*($D980-1)),2),0))</f>
        <v/>
      </c>
      <c r="H980" s="38">
        <f>IF($A980="","",IFERROR(ROUND($G980*INDEX(tblKurallar[deger_2025],MATCH("YDK-002",tblKurallar[kural_id],0)),2),0))</f>
        <v/>
      </c>
      <c r="I980" s="38">
        <f>IF($A980="","",IFERROR($G980-$G980*INDEX(tblKurallar[deger_2025],MATCH("YDK-004",tblKurallar[kural_id],0)),0))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8">
        <f>IF($A981="","",IFERROR(ROUND(MAX(0,$B981*($D981-1)),2),0))</f>
        <v/>
      </c>
      <c r="H981" s="38">
        <f>IF($A981="","",IFERROR(ROUND($G981*INDEX(tblKurallar[deger_2025],MATCH("YDK-002",tblKurallar[kural_id],0)),2),0))</f>
        <v/>
      </c>
      <c r="I981" s="38">
        <f>IF($A981="","",IFERROR($G981-$G981*INDEX(tblKurallar[deger_2025],MATCH("YDK-004",tblKurallar[kural_id],0)),0))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8">
        <f>IF($A982="","",IFERROR(ROUND(MAX(0,$B982*($D982-1)),2),0))</f>
        <v/>
      </c>
      <c r="H982" s="38">
        <f>IF($A982="","",IFERROR(ROUND($G982*INDEX(tblKurallar[deger_2025],MATCH("YDK-002",tblKurallar[kural_id],0)),2),0))</f>
        <v/>
      </c>
      <c r="I982" s="38">
        <f>IF($A982="","",IFERROR($G982-$G982*INDEX(tblKurallar[deger_2025],MATCH("YDK-004",tblKurallar[kural_id],0)),0))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8">
        <f>IF($A983="","",IFERROR(ROUND(MAX(0,$B983*($D983-1)),2),0))</f>
        <v/>
      </c>
      <c r="H983" s="38">
        <f>IF($A983="","",IFERROR(ROUND($G983*INDEX(tblKurallar[deger_2025],MATCH("YDK-002",tblKurallar[kural_id],0)),2),0))</f>
        <v/>
      </c>
      <c r="I983" s="38">
        <f>IF($A983="","",IFERROR($G983-$G983*INDEX(tblKurallar[deger_2025],MATCH("YDK-004",tblKurallar[kural_id],0)),0))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8">
        <f>IF($A984="","",IFERROR(ROUND(MAX(0,$B984*($D984-1)),2),0))</f>
        <v/>
      </c>
      <c r="H984" s="38">
        <f>IF($A984="","",IFERROR(ROUND($G984*INDEX(tblKurallar[deger_2025],MATCH("YDK-002",tblKurallar[kural_id],0)),2),0))</f>
        <v/>
      </c>
      <c r="I984" s="38">
        <f>IF($A984="","",IFERROR($G984-$G984*INDEX(tblKurallar[deger_2025],MATCH("YDK-004",tblKurallar[kural_id],0)),0))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8">
        <f>IF($A985="","",IFERROR(ROUND(MAX(0,$B985*($D985-1)),2),0))</f>
        <v/>
      </c>
      <c r="H985" s="38">
        <f>IF($A985="","",IFERROR(ROUND($G985*INDEX(tblKurallar[deger_2025],MATCH("YDK-002",tblKurallar[kural_id],0)),2),0))</f>
        <v/>
      </c>
      <c r="I985" s="38">
        <f>IF($A985="","",IFERROR($G985-$G985*INDEX(tblKurallar[deger_2025],MATCH("YDK-004",tblKurallar[kural_id],0)),0))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8">
        <f>IF($A986="","",IFERROR(ROUND(MAX(0,$B986*($D986-1)),2),0))</f>
        <v/>
      </c>
      <c r="H986" s="38">
        <f>IF($A986="","",IFERROR(ROUND($G986*INDEX(tblKurallar[deger_2025],MATCH("YDK-002",tblKurallar[kural_id],0)),2),0))</f>
        <v/>
      </c>
      <c r="I986" s="38">
        <f>IF($A986="","",IFERROR($G986-$G986*INDEX(tblKurallar[deger_2025],MATCH("YDK-004",tblKurallar[kural_id],0)),0))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8">
        <f>IF($A987="","",IFERROR(ROUND(MAX(0,$B987*($D987-1)),2),0))</f>
        <v/>
      </c>
      <c r="H987" s="38">
        <f>IF($A987="","",IFERROR(ROUND($G987*INDEX(tblKurallar[deger_2025],MATCH("YDK-002",tblKurallar[kural_id],0)),2),0))</f>
        <v/>
      </c>
      <c r="I987" s="38">
        <f>IF($A987="","",IFERROR($G987-$G987*INDEX(tblKurallar[deger_2025],MATCH("YDK-004",tblKurallar[kural_id],0)),0))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8">
        <f>IF($A988="","",IFERROR(ROUND(MAX(0,$B988*($D988-1)),2),0))</f>
        <v/>
      </c>
      <c r="H988" s="38">
        <f>IF($A988="","",IFERROR(ROUND($G988*INDEX(tblKurallar[deger_2025],MATCH("YDK-002",tblKurallar[kural_id],0)),2),0))</f>
        <v/>
      </c>
      <c r="I988" s="38">
        <f>IF($A988="","",IFERROR($G988-$G988*INDEX(tblKurallar[deger_2025],MATCH("YDK-004",tblKurallar[kural_id],0)),0))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8">
        <f>IF($A989="","",IFERROR(ROUND(MAX(0,$B989*($D989-1)),2),0))</f>
        <v/>
      </c>
      <c r="H989" s="38">
        <f>IF($A989="","",IFERROR(ROUND($G989*INDEX(tblKurallar[deger_2025],MATCH("YDK-002",tblKurallar[kural_id],0)),2),0))</f>
        <v/>
      </c>
      <c r="I989" s="38">
        <f>IF($A989="","",IFERROR($G989-$G989*INDEX(tblKurallar[deger_2025],MATCH("YDK-004",tblKurallar[kural_id],0)),0))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8">
        <f>IF($A990="","",IFERROR(ROUND(MAX(0,$B990*($D990-1)),2),0))</f>
        <v/>
      </c>
      <c r="H990" s="38">
        <f>IF($A990="","",IFERROR(ROUND($G990*INDEX(tblKurallar[deger_2025],MATCH("YDK-002",tblKurallar[kural_id],0)),2),0))</f>
        <v/>
      </c>
      <c r="I990" s="38">
        <f>IF($A990="","",IFERROR($G990-$G990*INDEX(tblKurallar[deger_2025],MATCH("YDK-004",tblKurallar[kural_id],0)),0))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8">
        <f>IF($A991="","",IFERROR(ROUND(MAX(0,$B991*($D991-1)),2),0))</f>
        <v/>
      </c>
      <c r="H991" s="38">
        <f>IF($A991="","",IFERROR(ROUND($G991*INDEX(tblKurallar[deger_2025],MATCH("YDK-002",tblKurallar[kural_id],0)),2),0))</f>
        <v/>
      </c>
      <c r="I991" s="38">
        <f>IF($A991="","",IFERROR($G991-$G991*INDEX(tblKurallar[deger_2025],MATCH("YDK-004",tblKurallar[kural_id],0)),0))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8">
        <f>IF($A992="","",IFERROR(ROUND(MAX(0,$B992*($D992-1)),2),0))</f>
        <v/>
      </c>
      <c r="H992" s="38">
        <f>IF($A992="","",IFERROR(ROUND($G992*INDEX(tblKurallar[deger_2025],MATCH("YDK-002",tblKurallar[kural_id],0)),2),0))</f>
        <v/>
      </c>
      <c r="I992" s="38">
        <f>IF($A992="","",IFERROR($G992-$G992*INDEX(tblKurallar[deger_2025],MATCH("YDK-004",tblKurallar[kural_id],0)),0))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8">
        <f>IF($A993="","",IFERROR(ROUND(MAX(0,$B993*($D993-1)),2),0))</f>
        <v/>
      </c>
      <c r="H993" s="38">
        <f>IF($A993="","",IFERROR(ROUND($G993*INDEX(tblKurallar[deger_2025],MATCH("YDK-002",tblKurallar[kural_id],0)),2),0))</f>
        <v/>
      </c>
      <c r="I993" s="38">
        <f>IF($A993="","",IFERROR($G993-$G993*INDEX(tblKurallar[deger_2025],MATCH("YDK-004",tblKurallar[kural_id],0)),0))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8">
        <f>IF($A994="","",IFERROR(ROUND(MAX(0,$B994*($D994-1)),2),0))</f>
        <v/>
      </c>
      <c r="H994" s="38">
        <f>IF($A994="","",IFERROR(ROUND($G994*INDEX(tblKurallar[deger_2025],MATCH("YDK-002",tblKurallar[kural_id],0)),2),0))</f>
        <v/>
      </c>
      <c r="I994" s="38">
        <f>IF($A994="","",IFERROR($G994-$G994*INDEX(tblKurallar[deger_2025],MATCH("YDK-004",tblKurallar[kural_id],0)),0))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8">
        <f>IF($A995="","",IFERROR(ROUND(MAX(0,$B995*($D995-1)),2),0))</f>
        <v/>
      </c>
      <c r="H995" s="38">
        <f>IF($A995="","",IFERROR(ROUND($G995*INDEX(tblKurallar[deger_2025],MATCH("YDK-002",tblKurallar[kural_id],0)),2),0))</f>
        <v/>
      </c>
      <c r="I995" s="38">
        <f>IF($A995="","",IFERROR($G995-$G995*INDEX(tblKurallar[deger_2025],MATCH("YDK-004",tblKurallar[kural_id],0)),0))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8">
        <f>IF($A996="","",IFERROR(ROUND(MAX(0,$B996*($D996-1)),2),0))</f>
        <v/>
      </c>
      <c r="H996" s="38">
        <f>IF($A996="","",IFERROR(ROUND($G996*INDEX(tblKurallar[deger_2025],MATCH("YDK-002",tblKurallar[kural_id],0)),2),0))</f>
        <v/>
      </c>
      <c r="I996" s="38">
        <f>IF($A996="","",IFERROR($G996-$G996*INDEX(tblKurallar[deger_2025],MATCH("YDK-004",tblKurallar[kural_id],0)),0))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8">
        <f>IF($A997="","",IFERROR(ROUND(MAX(0,$B997*($D997-1)),2),0))</f>
        <v/>
      </c>
      <c r="H997" s="38">
        <f>IF($A997="","",IFERROR(ROUND($G997*INDEX(tblKurallar[deger_2025],MATCH("YDK-002",tblKurallar[kural_id],0)),2),0))</f>
        <v/>
      </c>
      <c r="I997" s="38">
        <f>IF($A997="","",IFERROR($G997-$G997*INDEX(tblKurallar[deger_2025],MATCH("YDK-004",tblKurallar[kural_id],0)),0))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8">
        <f>IF($A998="","",IFERROR(ROUND(MAX(0,$B998*($D998-1)),2),0))</f>
        <v/>
      </c>
      <c r="H998" s="38">
        <f>IF($A998="","",IFERROR(ROUND($G998*INDEX(tblKurallar[deger_2025],MATCH("YDK-002",tblKurallar[kural_id],0)),2),0))</f>
        <v/>
      </c>
      <c r="I998" s="38">
        <f>IF($A998="","",IFERROR($G998-$G998*INDEX(tblKurallar[deger_2025],MATCH("YDK-004",tblKurallar[kural_id],0)),0))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8">
        <f>IF($A999="","",IFERROR(ROUND(MAX(0,$B999*($D999-1)),2),0))</f>
        <v/>
      </c>
      <c r="H999" s="38">
        <f>IF($A999="","",IFERROR(ROUND($G999*INDEX(tblKurallar[deger_2025],MATCH("YDK-002",tblKurallar[kural_id],0)),2),0))</f>
        <v/>
      </c>
      <c r="I999" s="38">
        <f>IF($A999="","",IFERROR($G999-$G999*INDEX(tblKurallar[deger_2025],MATCH("YDK-004",tblKurallar[kural_id],0)),0))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8">
        <f>IF($A1000="","",IFERROR(ROUND(MAX(0,$B1000*($D1000-1)),2),0))</f>
        <v/>
      </c>
      <c r="H1000" s="38">
        <f>IF($A1000="","",IFERROR(ROUND($G1000*INDEX(tblKurallar[deger_2025],MATCH("YDK-002",tblKurallar[kural_id],0)),2),0))</f>
        <v/>
      </c>
      <c r="I1000" s="38">
        <f>IF($A1000="","",IFERROR($G1000-$G1000*INDEX(tblKurallar[deger_2025],MATCH("YDK-004",tblKurallar[kural_id],0)),0))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8">
        <f>IF($A1001="","",IFERROR(ROUND(MAX(0,$B1001*($D1001-1)),2),0))</f>
        <v/>
      </c>
      <c r="H1001" s="38">
        <f>IF($A1001="","",IFERROR(ROUND($G1001*INDEX(tblKurallar[deger_2025],MATCH("YDK-002",tblKurallar[kural_id],0)),2),0))</f>
        <v/>
      </c>
      <c r="I1001" s="38">
        <f>IF($A1001="","",IFERROR($G1001-$G1001*INDEX(tblKurallar[deger_2025],MATCH("YDK-004",tblKurallar[kural_id],0)),0))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8">
        <f>IF($A1002="","",IFERROR(ROUND(MAX(0,$B1002*($D1002-1)),2),0))</f>
        <v/>
      </c>
      <c r="H1002" s="38">
        <f>IF($A1002="","",IFERROR(ROUND($G1002*INDEX(tblKurallar[deger_2025],MATCH("YDK-002",tblKurallar[kural_id],0)),2),0))</f>
        <v/>
      </c>
      <c r="I1002" s="38">
        <f>IF($A1002="","",IFERROR($G1002-$G1002*INDEX(tblKurallar[deger_2025],MATCH("YDK-004",tblKurallar[kural_id],0)),0))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8">
        <f>IF($A1003="","",IFERROR(ROUND(MAX(0,$B1003*($D1003-1)),2),0))</f>
        <v/>
      </c>
      <c r="H1003" s="38">
        <f>IF($A1003="","",IFERROR(ROUND($G1003*INDEX(tblKurallar[deger_2025],MATCH("YDK-002",tblKurallar[kural_id],0)),2),0))</f>
        <v/>
      </c>
      <c r="I1003" s="38">
        <f>IF($A1003="","",IFERROR($G1003-$G1003*INDEX(tblKurallar[deger_2025],MATCH("YDK-004",tblKurallar[kural_id],0)),0))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8">
        <f>IF($A1004="","",IFERROR(ROUND(MAX(0,$B1004*($D1004-1)),2),0))</f>
        <v/>
      </c>
      <c r="H1004" s="38">
        <f>IF($A1004="","",IFERROR(ROUND($G1004*INDEX(tblKurallar[deger_2025],MATCH("YDK-002",tblKurallar[kural_id],0)),2),0))</f>
        <v/>
      </c>
      <c r="I1004" s="38">
        <f>IF($A1004="","",IFERROR($G1004-$G1004*INDEX(tblKurallar[deger_2025],MATCH("YDK-004",tblKurallar[kural_id],0)),0))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G6:G20">
    <cfRule type="cellIs" priority="5" operator="lessThan" dxfId="5">
      <formula>0</formula>
    </cfRule>
    <cfRule type="cellIs" priority="8" operator="greaterThan" dxfId="3">
      <formula>0</formula>
    </cfRule>
  </conditionalFormatting>
  <conditionalFormatting sqref="H6:H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</conditionalFormatting>
  <dataValidations count="4">
    <dataValidation sqref="B6:B1004" showDropDown="0" showInputMessage="1" showErrorMessage="1" allowBlank="1" errorTitle="Geçersiz" error="0 ile 1e12 arasında." promptTitle="Maliyet" prompt="Maliye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irikmiş" prompt="Birikmiş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1 ile 10." promptTitle="Endeks" prompt="1-10 çarpan." type="decimal" errorStyle="stop" operator="between">
      <formula1>1</formula1>
      <formula2>10</formula2>
    </dataValidation>
    <dataValidation sqref="F6:F1004" showDropDown="0" showInputMessage="1" showErrorMessage="1" allowBlank="1" errorTitle="Geçersiz" error="A veya B." promptTitle="Öncelik" prompt="A veya B." type="list" errorStyle="stop">
      <formula1>ListeYorumAB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Yeniden Değerleme Komuta Merkezi (298/Ç + Geç.32)</t>
        </is>
      </c>
    </row>
    <row r="3">
      <c r="A3" s="10" t="inlineStr">
        <is>
          <t>Doğrulama listeleri</t>
        </is>
      </c>
    </row>
    <row r="5">
      <c r="A5" s="55" t="inlineStr">
        <is>
          <t>Yıllar</t>
        </is>
      </c>
      <c r="C5" s="55" t="inlineStr">
        <is>
          <t>Öncelik A/B</t>
        </is>
      </c>
      <c r="E5" s="55" t="inlineStr">
        <is>
          <t>Evet/Hayır</t>
        </is>
      </c>
    </row>
    <row r="6">
      <c r="A6" s="66" t="n">
        <v>2025</v>
      </c>
      <c r="C6" s="64" t="inlineStr">
        <is>
          <t>A</t>
        </is>
      </c>
      <c r="E6" s="64" t="inlineStr">
        <is>
          <t>Evet</t>
        </is>
      </c>
    </row>
    <row r="7">
      <c r="A7" s="66" t="n">
        <v>2026</v>
      </c>
      <c r="C7" s="64" t="inlineStr">
        <is>
          <t>B</t>
        </is>
      </c>
      <c r="E7" s="64" t="inlineStr">
        <is>
          <t>Hayır</t>
        </is>
      </c>
    </row>
    <row r="8">
      <c r="A8" s="66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Yeniden Değerleme Komuta Merkezi (298/Ç + Geç.32)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7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ydk_tolerans</t>
        </is>
      </c>
      <c r="B8" s="69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ydk_farkEsik</t>
        </is>
      </c>
      <c r="B9" s="69" t="n">
        <v>100000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ydk_senaryoIyi</t>
        </is>
      </c>
      <c r="B10" s="45" t="n">
        <v>0.9</v>
      </c>
      <c r="C10" s="7" t="inlineStr">
        <is>
          <t>çarpan</t>
        </is>
      </c>
      <c r="D10" s="7" t="inlineStr">
        <is>
          <t>İyimser maliyet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ydk_senaryoKotu</t>
        </is>
      </c>
      <c r="B11" s="45" t="n">
        <v>1.1</v>
      </c>
      <c r="C11" s="7" t="inlineStr">
        <is>
          <t>çarpan</t>
        </is>
      </c>
      <c r="D11" s="7" t="inlineStr">
        <is>
          <t>Kötümser maliyet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ydk_oranArtisPuan</t>
        </is>
      </c>
      <c r="B12" s="46" t="n">
        <v>0.01</v>
      </c>
      <c r="C12" s="7" t="inlineStr">
        <is>
          <t>oran</t>
        </is>
      </c>
      <c r="D12" s="7" t="inlineStr">
        <is>
          <t>M-SEN fon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ydk_tahminAlt</t>
        </is>
      </c>
      <c r="B13" s="45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ydk_tahminUst</t>
        </is>
      </c>
      <c r="B14" s="45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ydk_tornadoMaliyet</t>
        </is>
      </c>
      <c r="B15" s="45" t="n">
        <v>1.05</v>
      </c>
      <c r="C15" s="7" t="inlineStr">
        <is>
          <t>çarpan</t>
        </is>
      </c>
      <c r="D15" s="7" t="inlineStr">
        <is>
          <t>Tornado maliyet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ydk_tornadoEndeks</t>
        </is>
      </c>
      <c r="B16" s="45" t="n">
        <v>1.05</v>
      </c>
      <c r="C16" s="7" t="inlineStr">
        <is>
          <t>çarpan</t>
        </is>
      </c>
      <c r="D16" s="7" t="inlineStr">
        <is>
          <t>Tornado endeks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ydk_tasarrufCarpan</t>
        </is>
      </c>
      <c r="B17" s="45" t="n">
        <v>0.5</v>
      </c>
      <c r="C17" s="7" t="inlineStr">
        <is>
          <t>çarpan</t>
        </is>
      </c>
      <c r="D17" s="7" t="inlineStr">
        <is>
          <t>Vergi tasarrufu ağırlığı</t>
        </is>
      </c>
      <c r="E17" s="7" t="inlineStr">
        <is>
          <t>Belirsizlik A/B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ydk_yuzdelikOran</t>
        </is>
      </c>
      <c r="B18" s="46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ydk_parmakIzi</t>
        </is>
      </c>
      <c r="B19" s="70" t="inlineStr">
        <is>
          <t>a4536d7d170c04fa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dosya_surumu</t>
        </is>
      </c>
      <c r="B20" s="70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ydk_girisBeklenen</t>
        </is>
      </c>
      <c r="B21" s="47" t="n">
        <v>8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ydk_riskDusuk</t>
        </is>
      </c>
      <c r="B22" s="47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ydk_riskOrta</t>
        </is>
      </c>
      <c r="B23" s="47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ydk_riskYuksek</t>
        </is>
      </c>
      <c r="B24" s="47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ydk_kararEsik</t>
        </is>
      </c>
      <c r="B25" s="69" t="n">
        <v>25000</v>
      </c>
      <c r="C25" s="7" t="inlineStr">
        <is>
          <t>TL</t>
        </is>
      </c>
      <c r="D25" s="7" t="inlineStr">
        <is>
          <t>GO/REVIEW fayda fark eşiği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ydk_yilTaban</t>
        </is>
      </c>
      <c r="B26" s="47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ydk_yuvarMax</t>
        </is>
      </c>
      <c r="B27" s="47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vaka_maliyet_1</t>
        </is>
      </c>
      <c r="B28" s="69" t="n">
        <v>1000000</v>
      </c>
      <c r="C28" s="7" t="inlineStr">
        <is>
          <t>TL</t>
        </is>
      </c>
      <c r="D28" s="7" t="inlineStr">
        <is>
          <t>Vaka1 maliyet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vaka_endeks_1</t>
        </is>
      </c>
      <c r="B29" s="45" t="n">
        <v>1.45</v>
      </c>
      <c r="C29" s="7" t="inlineStr">
        <is>
          <t>çarpan</t>
        </is>
      </c>
      <c r="D29" s="7" t="inlineStr">
        <is>
          <t>Vaka1 endeks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vaka_maliyet_2</t>
        </is>
      </c>
      <c r="B30" s="69" t="n">
        <v>2000000</v>
      </c>
      <c r="C30" s="7" t="inlineStr">
        <is>
          <t>TL</t>
        </is>
      </c>
      <c r="D30" s="7" t="inlineStr">
        <is>
          <t>Vaka2 maliyet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vaka_endeks_2</t>
        </is>
      </c>
      <c r="B31" s="45" t="n">
        <v>1.2</v>
      </c>
      <c r="C31" s="7" t="inlineStr">
        <is>
          <t>çarpan</t>
        </is>
      </c>
      <c r="D31" s="7" t="inlineStr">
        <is>
          <t>Vaka2 endeks</t>
        </is>
      </c>
      <c r="E31" s="7" t="inlineStr">
        <is>
          <t>Tebliğ örneği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vaka_maliyet_3</t>
        </is>
      </c>
      <c r="B32" s="69" t="n">
        <v>500000</v>
      </c>
      <c r="C32" s="7" t="inlineStr">
        <is>
          <t>TL</t>
        </is>
      </c>
      <c r="D32" s="7" t="inlineStr">
        <is>
          <t>Vaka3 maliyet</t>
        </is>
      </c>
      <c r="E32" s="7" t="inlineStr">
        <is>
          <t>Tebliğ örneği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vaka_endeks_3</t>
        </is>
      </c>
      <c r="B33" s="45" t="n">
        <v>1.1</v>
      </c>
      <c r="C33" s="7" t="inlineStr">
        <is>
          <t>çarpan</t>
        </is>
      </c>
      <c r="D33" s="7" t="inlineStr">
        <is>
          <t>Vaka3 endeks</t>
        </is>
      </c>
      <c r="E33" s="7" t="inlineStr">
        <is>
          <t>Tebliğ örneği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5">
      <c r="B35" s="71" t="inlineStr">
        <is>
          <t>Parametre satırları yukarıda; ad tanımları B kolonuna bağlı.</t>
        </is>
      </c>
    </row>
    <row r="37">
      <c r="B3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Yeniden Değerleme Komuta Merkezi (298/Ç + Geç.32)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GO · 298/Ç UYGUN — 298/Ç net faydası Geç.32 üstünde (eşik dışı).</t>
        </is>
      </c>
    </row>
    <row r="7">
      <c r="A7" s="6" t="inlineStr">
        <is>
          <t>• GO · GEÇ.32 UYGUN — Geç.32 net faydası (özkaynak+vergi) 298/Ç üstünde.</t>
        </is>
      </c>
    </row>
    <row r="8">
      <c r="A8" s="6" t="inlineStr">
        <is>
          <t>• REVIEW · DİKKAT — iki yol arasındaki fark eşik içinde; öncelik yorumunu gözden geçirin.</t>
        </is>
      </c>
    </row>
    <row r="9">
      <c r="A9" s="6" t="inlineStr">
        <is>
          <t>• YENİDEN DEĞERLEME YOK — endeks artışı/fark sıfır.</t>
        </is>
      </c>
    </row>
    <row r="11">
      <c r="A11" s="72" t="inlineStr">
        <is>
          <t>Belirsizlik beyanları (M05)</t>
        </is>
      </c>
    </row>
    <row r="12">
      <c r="A12" s="12" t="inlineStr">
        <is>
          <t>Bu nokta mevzuatta tartışmalıdır; dosya yorum A ve yorum B sonucunu yan yana gösterir: gec32_vs_298c_oncelik</t>
        </is>
      </c>
    </row>
    <row r="14">
      <c r="A14" s="10" t="inlineStr">
        <is>
          <t>Yorum A</t>
        </is>
      </c>
      <c r="B14" s="6" t="inlineStr">
        <is>
          <t>298/Ç yolu öncelikli değerlendirilir. Fon yükü düşük; özkaynak artışı ana ölçüttür. Bu nokta mevzuatta tartışmalıdır; sonuç yorum B ile yan yana okunmalıdır.</t>
        </is>
      </c>
    </row>
    <row r="15">
      <c r="A15" s="10" t="inlineStr">
        <is>
          <t>Yorum B</t>
        </is>
      </c>
      <c r="B15" s="6" t="inlineStr">
        <is>
          <t>Geçici 32 yolu öncelikli değerlendirilir. Fon vergisi nakit çıkışıdır; ek amortisman vergi tasarrufu net faydaya eklenir. Dosya her iki yorumun sonucunu MOTOR'da üretir.</t>
        </is>
      </c>
    </row>
    <row r="17">
      <c r="A17" s="10" t="inlineStr">
        <is>
          <t>Kullanım sırası</t>
        </is>
      </c>
    </row>
    <row r="18">
      <c r="A18" s="6" t="inlineStr">
        <is>
          <t>GIRDI → KURALLAR (gerekirse) → MOTOR (inceleme) → SENARYO → VAKALAR → PANO → KANIT_RAPORU → AYARLAR.</t>
        </is>
      </c>
    </row>
    <row r="20">
      <c r="A20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7:T7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2026-08-10T21:38:16Z</dcterms:created>
  <dcterms:modified xmlns:dcterms="http://purl.org/dc/terms/" xmlns:xsi="http://www.w3.org/2001/XMLSchema-instance" xsi:type="dcterms:W3CDTF">2026-09-25T15:13:30Z</dcterms:modified>
</cp:coreProperties>
</file>