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comments/comment3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4.xml" ContentType="application/vnd.openxmlformats-officedocument.spreadsheetml.comment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2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omments/comment5.xml" ContentType="application/vnd.openxmlformats-officedocument.spreadsheetml.comments+xml"/>
  <Override PartName="/xl/worksheets/sheet24.xml" ContentType="application/vnd.openxmlformats-officedocument.spreadsheetml.worksheet+xml"/>
  <Override PartName="/xl/comments/comment6.xml" ContentType="application/vnd.openxmlformats-officedocument.spreadsheetml.comments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HIZLI_BASLANGIC" sheetId="11" state="visible" r:id="rId11"/>
    <sheet xmlns:r="http://schemas.openxmlformats.org/officeDocument/2006/relationships" name="KIYMET_LISTESI" sheetId="12" state="visible" r:id="rId12"/>
    <sheet xmlns:r="http://schemas.openxmlformats.org/officeDocument/2006/relationships" name="HESAP" sheetId="13" state="visible" r:id="rId13"/>
    <sheet xmlns:r="http://schemas.openxmlformats.org/officeDocument/2006/relationships" name="ANALITIK_MOTOR" sheetId="14" state="visible" r:id="rId14"/>
    <sheet xmlns:r="http://schemas.openxmlformats.org/officeDocument/2006/relationships" name="KONTROLLER" sheetId="15" state="visible" r:id="rId15"/>
    <sheet xmlns:r="http://schemas.openxmlformats.org/officeDocument/2006/relationships" name="KARAR" sheetId="16" state="visible" r:id="rId16"/>
    <sheet xmlns:r="http://schemas.openxmlformats.org/officeDocument/2006/relationships" name="SENARYO_DUYARLILIK" sheetId="17" state="visible" r:id="rId17"/>
    <sheet xmlns:r="http://schemas.openxmlformats.org/officeDocument/2006/relationships" name="RAPOR" sheetId="18" state="visible" r:id="rId18"/>
    <sheet xmlns:r="http://schemas.openxmlformats.org/officeDocument/2006/relationships" name="ORNEK_VERI" sheetId="19" state="visible" r:id="rId19"/>
    <sheet xmlns:r="http://schemas.openxmlformats.org/officeDocument/2006/relationships" name="KURALLAR" sheetId="20" state="visible" r:id="rId20"/>
    <sheet xmlns:r="http://schemas.openxmlformats.org/officeDocument/2006/relationships" name="VAKALAR" sheetId="21" state="visible" r:id="rId21"/>
    <sheet xmlns:r="http://schemas.openxmlformats.org/officeDocument/2006/relationships" name="DEGISIKLIK_KAYDI" sheetId="22" state="visible" r:id="rId22"/>
    <sheet xmlns:r="http://schemas.openxmlformats.org/officeDocument/2006/relationships" name="LISTELER" sheetId="23" state="visible" r:id="rId23"/>
    <sheet xmlns:r="http://schemas.openxmlformats.org/officeDocument/2006/relationships" name="AYARLAR" sheetId="24" state="visible" r:id="rId24"/>
    <sheet xmlns:r="http://schemas.openxmlformats.org/officeDocument/2006/relationships" name="KILAVUZ" sheetId="25" state="visible" r:id="rId25"/>
  </sheets>
  <definedNames>
    <definedName name="DosyaSurumu" hidden="0" function="0" vbProcedure="0">AYARLAR!$B$10</definedName>
    <definedName name="FirmaUnvan" hidden="0" function="0" vbProcedure="0">AYARLAR!$B$7</definedName>
    <definedName name="kuralIdReferans" hidden="0" function="0" vbProcedure="0">KURALLAR!$A$4</definedName>
    <definedName name="ListeKiyametTurleri" hidden="0" function="0" vbProcedure="0">LISTELER!$A$7:$A$12</definedName>
    <definedName name="modulI1FaydaTahmin" hidden="0" function="0" vbProcedure="0">ANALITIK_MOTOR!$C$13</definedName>
    <definedName name="modulI1FaydaTahminYorum" hidden="0" function="0" vbProcedure="0">ANALITIK_MOTOR!$D$13</definedName>
    <definedName name="modulI2YuzdelikP90" hidden="0" function="0" vbProcedure="0">ANALITIK_MOTOR!$C$14</definedName>
    <definedName name="modulI2YuzdelikP90Yorum" hidden="0" function="0" vbProcedure="0">ANALITIK_MOTOR!$D$14</definedName>
    <definedName name="modulO1Anomali" hidden="0" function="0" vbProcedure="0">ANALITIK_MOTOR!$C$8</definedName>
    <definedName name="modulO1AnomaliYorum" hidden="0" function="0" vbProcedure="0">ANALITIK_MOTOR!$D$8</definedName>
    <definedName name="modulO2EnYuksekFayda" hidden="0" function="0" vbProcedure="0">ANALITIK_MOTOR!$C$9</definedName>
    <definedName name="modulO2EnYuksekFaydaYorum" hidden="0" function="0" vbProcedure="0">ANALITIK_MOTOR!$D$9</definedName>
    <definedName name="modulO3Senaryo" hidden="0" function="0" vbProcedure="0">ANALITIK_MOTOR!$C$10</definedName>
    <definedName name="modulO3SenaryoYorum" hidden="0" function="0" vbProcedure="0">ANALITIK_MOTOR!$D$10</definedName>
    <definedName name="modulO6Hhi" hidden="0" function="0" vbProcedure="0">ANALITIK_MOTOR!$C$11</definedName>
    <definedName name="modulO6HhiYorum" hidden="0" function="0" vbProcedure="0">ANALITIK_MOTOR!$D$11</definedName>
    <definedName name="modulO8KaliteSkor" hidden="0" function="0" vbProcedure="0">ANALITIK_MOTOR!$C$12</definedName>
    <definedName name="modulO8KaliteSkorYorum" hidden="0" function="0" vbProcedure="0">ANALITIK_MOTOR!$D$12</definedName>
    <definedName name="modulT1ArtisOrani" hidden="0" function="0" vbProcedure="0">ANALITIK_MOTOR!$C$6</definedName>
    <definedName name="modulT1ArtisOraniYorum" hidden="0" function="0" vbProcedure="0">ANALITIK_MOTOR!$D$6</definedName>
    <definedName name="modulT2OrtalamaKatsayi" hidden="0" function="0" vbProcedure="0">ANALITIK_MOTOR!$C$7</definedName>
    <definedName name="modulT2OrtalamaKatsayiYorum" hidden="0" function="0" vbProcedure="0">ANALITIK_MOTOR!$D$7</definedName>
    <definedName name="RaporHazirlayan" hidden="0" function="0" vbProcedure="0">AYARLAR!$B$9</definedName>
    <definedName name="RaporTarihi" hidden="0" function="0" vbProcedure="0">AYARLAR!$B$8</definedName>
    <definedName name="YenidegerAksiyon1_ACIKLAMA" hidden="0" function="0" vbProcedure="0">AYARLAR!$B$26</definedName>
    <definedName name="YenidegerAksiyon2_ACIKLAMA" hidden="0" function="0" vbProcedure="0">AYARLAR!$B$27</definedName>
    <definedName name="YenidegerAksiyon3_ACIKLAMA" hidden="0" function="0" vbProcedure="0">AYARLAR!$B$28</definedName>
    <definedName name="YenidegerArtisEsik" hidden="0" function="0" vbProcedure="0">AYARLAR!$B$19</definedName>
    <definedName name="YenidegerBazIskonto" hidden="0" function="0" vbProcedure="0">AYARLAR!$B$15</definedName>
    <definedName name="YenidegerDegerArtisiToplam" hidden="0" function="0" vbProcedure="0">HESAP!$B$16</definedName>
    <definedName name="YenidegerDoluGiris" hidden="0" function="0" vbProcedure="0">KONTROLLER!$B$18</definedName>
    <definedName name="YenidegerFonEsik" hidden="0" function="0" vbProcedure="0">AYARLAR!$B$20</definedName>
    <definedName name="YenidegerFonOran" hidden="0" function="0" vbProcedure="0">AYARLAR!$B$11</definedName>
    <definedName name="YenidegerFonToplam" hidden="0" function="0" vbProcedure="0">HESAP!$B$15</definedName>
    <definedName name="YenidegerIskontoOrani" hidden="0" function="0" vbProcedure="0">AYARLAR!$B$13</definedName>
    <definedName name="YenidegerIyiIskonto" hidden="0" function="0" vbProcedure="0">AYARLAR!$B$14</definedName>
    <definedName name="YenidegerKalanOmurOrtalama" hidden="0" function="0" vbProcedure="0">HESAP!$B$19</definedName>
    <definedName name="YenidegerKaliteIyi" hidden="0" function="0" vbProcedure="0">AYARLAR!$B$24</definedName>
    <definedName name="YenidegerKaliteOrta" hidden="0" function="0" vbProcedure="0">AYARLAR!$B$25</definedName>
    <definedName name="YenidegerKotuIskonto" hidden="0" function="0" vbProcedure="0">AYARLAR!$B$16</definedName>
    <definedName name="YenidegerKritikIskonto" hidden="0" function="0" vbProcedure="0">AYARLAR!$B$17</definedName>
    <definedName name="YenidegerKurumlarVergiOran" hidden="0" function="0" vbProcedure="0">AYARLAR!$B$12</definedName>
    <definedName name="YenidegerKiyametAdedi" hidden="0" function="0" vbProcedure="0">HESAP!$B$20</definedName>
    <definedName name="YenidegerNbdEsik" hidden="0" function="0" vbProcedure="0">AYARLAR!$B$18</definedName>
    <definedName name="YenidegerNetDefterToplam" hidden="0" function="0" vbProcedure="0">HESAP!$B$13</definedName>
    <definedName name="YenidegerNetFaydaToplam" hidden="0" function="0" vbProcedure="0">HESAP!$B$14</definedName>
    <definedName name="YenidegerNetFaydaVerimlilik" hidden="0" function="0" vbProcedure="0">HESAP!$B$21</definedName>
    <definedName name="YenidegerP90Oran" hidden="0" function="0" vbProcedure="0">AYARLAR!$B$29</definedName>
    <definedName name="YenidegerPanelSatir1" hidden="0" function="0" vbProcedure="0">AYARLAR!$B$32</definedName>
    <definedName name="YenidegerPanelSatir10" hidden="0" function="0" vbProcedure="0">AYARLAR!$B$41</definedName>
    <definedName name="YenidegerPanelSatir11" hidden="0" function="0" vbProcedure="0">AYARLAR!$B$42</definedName>
    <definedName name="YenidegerPanelSatir12" hidden="0" function="0" vbProcedure="0">AYARLAR!$B$43</definedName>
    <definedName name="YenidegerPanelSatir2" hidden="0" function="0" vbProcedure="0">AYARLAR!$B$33</definedName>
    <definedName name="YenidegerPanelSatir3" hidden="0" function="0" vbProcedure="0">AYARLAR!$B$34</definedName>
    <definedName name="YenidegerPanelSatir4" hidden="0" function="0" vbProcedure="0">AYARLAR!$B$35</definedName>
    <definedName name="YenidegerPanelSatir5" hidden="0" function="0" vbProcedure="0">AYARLAR!$B$36</definedName>
    <definedName name="YenidegerPanelSatir6" hidden="0" function="0" vbProcedure="0">AYARLAR!$B$37</definedName>
    <definedName name="YenidegerPanelSatir7" hidden="0" function="0" vbProcedure="0">AYARLAR!$B$38</definedName>
    <definedName name="YenidegerPanelSatir8" hidden="0" function="0" vbProcedure="0">AYARLAR!$B$39</definedName>
    <definedName name="YenidegerPanelSatir9" hidden="0" function="0" vbProcedure="0">AYARLAR!$B$40</definedName>
    <definedName name="YenidegerTahminCarpan" hidden="0" function="0" vbProcedure="0">AYARLAR!$B$23</definedName>
    <definedName name="YenidegerTasarrufBdToplam" hidden="0" function="0" vbProcedure="0">HESAP!$B$18</definedName>
    <definedName name="YenidegerTemelKolonSayisi" hidden="0" function="0" vbProcedure="0">AYARLAR!$B$30</definedName>
    <definedName name="YenidegerToplamGiris" hidden="0" function="0" vbProcedure="0">KONTROLLER!$B$17</definedName>
    <definedName name="YenidegerTornadoFon" hidden="0" function="0" vbProcedure="0">AYARLAR!$B$22</definedName>
    <definedName name="YenidegerTornadoIskonto" hidden="0" function="0" vbProcedure="0">AYARLAR!$B$21</definedName>
    <definedName name="YenidegerYillikTasarruf" hidden="0" function="0" vbProcedure="0">HESAP!$B$17</definedName>
    <definedName name="_xlnm.Print_Area" localSheetId="17">'RAPOR'!$A$1:$L$29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8">
    <numFmt numFmtId="164" formatCode="&quot;₺ &quot;#,##0;[RED]&quot;(₺ &quot;#,##0\);\-"/>
    <numFmt numFmtId="165" formatCode="0.0%;[RED]\(0.0%\);\-"/>
    <numFmt numFmtId="166" formatCode="0.0"/>
    <numFmt numFmtId="167" formatCode="dd/mm/yyyy"/>
    <numFmt numFmtId="168" formatCode="#,##0 &quot;TL&quot;"/>
    <numFmt numFmtId="169" formatCode="0.0%"/>
    <numFmt numFmtId="170" formatCode="₺#,##0"/>
    <numFmt numFmtId="171" formatCode="0.00&quot;x&quot;"/>
  </numFmts>
  <fonts count="9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charset val="1"/>
      <family val="0"/>
      <b val="1"/>
      <color rgb="FFFFFFFF"/>
      <sz val="14"/>
    </font>
    <font>
      <name val="Segoe UI"/>
      <charset val="1"/>
      <family val="0"/>
      <b val="1"/>
      <color rgb="FFFFFFFF"/>
      <sz val="18"/>
    </font>
    <font>
      <name val="Segoe UI"/>
      <charset val="1"/>
      <family val="0"/>
      <color rgb="FF595959"/>
      <sz val="10"/>
    </font>
    <font>
      <name val="Segoe UI"/>
      <charset val="1"/>
      <family val="0"/>
      <b val="1"/>
      <color rgb="FF0F2742"/>
      <sz val="12"/>
    </font>
    <font>
      <name val="Segoe UI"/>
      <charset val="1"/>
      <family val="0"/>
      <color rgb="FF333333"/>
      <sz val="10"/>
    </font>
    <font>
      <name val="Segoe UI"/>
      <charset val="1"/>
      <family val="0"/>
      <color rgb="FF595959"/>
      <sz val="9"/>
    </font>
    <font>
      <name val="Segoe UI"/>
      <charset val="1"/>
      <family val="0"/>
      <b val="1"/>
      <color rgb="FF0F2742"/>
      <sz val="13"/>
    </font>
    <font>
      <name val="Segoe UI"/>
      <charset val="1"/>
      <family val="0"/>
      <b val="1"/>
      <color rgb="FF0F2742"/>
      <sz val="10"/>
    </font>
    <font>
      <name val="Segoe UI"/>
      <charset val="1"/>
      <family val="0"/>
      <b val="1"/>
      <color rgb="FFB3261E"/>
      <sz val="12"/>
    </font>
    <font>
      <name val="Segoe UI"/>
      <charset val="1"/>
      <family val="0"/>
      <color rgb="FFB3261E"/>
      <sz val="10"/>
    </font>
    <font>
      <name val="Arial"/>
      <family val="2"/>
      <sz val="10"/>
    </font>
    <font>
      <name val="Segoe UI"/>
      <charset val="1"/>
      <family val="0"/>
      <b val="1"/>
      <color rgb="FFFFFFFF"/>
      <sz val="10"/>
    </font>
    <font>
      <name val="Segoe UI"/>
      <charset val="1"/>
      <family val="0"/>
      <color rgb="FF1F4E79"/>
      <sz val="10"/>
    </font>
    <font>
      <name val="Segoe UI"/>
      <charset val="1"/>
      <family val="0"/>
      <b val="1"/>
      <color rgb="FF333333"/>
      <sz val="10"/>
    </font>
    <font>
      <name val="Segoe UI"/>
      <charset val="1"/>
      <family val="0"/>
      <color rgb="FF006100"/>
      <sz val="10"/>
    </font>
    <font>
      <name val="Segoe UI"/>
      <charset val="1"/>
      <family val="0"/>
      <b val="1"/>
      <color rgb="FF006100"/>
      <sz val="10"/>
    </font>
    <font>
      <name val="Segoe UI"/>
      <charset val="1"/>
      <family val="0"/>
      <b val="1"/>
      <color rgb="FFB08948"/>
      <sz val="10"/>
    </font>
    <font>
      <name val="Segoe UI"/>
      <charset val="1"/>
      <family val="0"/>
      <color rgb="FF000000"/>
      <sz val="10"/>
    </font>
    <font>
      <name val="Segoe UI"/>
      <charset val="1"/>
      <family val="0"/>
      <b val="1"/>
      <color rgb="FF0F2742"/>
      <sz val="14"/>
    </font>
    <font>
      <name val="Segoe UI"/>
      <charset val="1"/>
      <family val="0"/>
      <b val="1"/>
      <color rgb="FF006100"/>
      <sz val="14"/>
    </font>
    <font>
      <name val="Segoe UI"/>
      <charset val="1"/>
      <family val="0"/>
      <b val="1"/>
      <color rgb="FF0F2742"/>
      <sz val="11"/>
    </font>
    <font>
      <name val="Segoe UI"/>
      <charset val="1"/>
      <family val="0"/>
      <b val="1"/>
      <color rgb="FF006100"/>
      <sz val="12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Segoe UI"/>
      <charset val="1"/>
      <family val="0"/>
      <b val="1"/>
      <color rgb="FFFFFFFF"/>
      <sz val="16"/>
    </font>
    <font>
      <name val="Segoe UI"/>
      <charset val="1"/>
      <family val="0"/>
      <i val="1"/>
      <color rgb="FF595959"/>
      <sz val="9"/>
    </font>
    <font>
      <name val="Segoe UI"/>
      <charset val="1"/>
      <family val="0"/>
      <b val="1"/>
      <color rgb="FF000000"/>
      <sz val="9"/>
    </font>
    <font>
      <name val="Segoe UI"/>
      <charset val="1"/>
      <family val="0"/>
      <b val="1"/>
      <color rgb="FF1F4E79"/>
      <sz val="10"/>
    </font>
    <font>
      <name val="Segoe UI"/>
      <charset val="1"/>
      <family val="0"/>
      <color rgb="FF333333"/>
      <sz val="9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</fonts>
  <fills count="35">
    <fill>
      <patternFill/>
    </fill>
    <fill>
      <patternFill patternType="gray125"/>
    </fill>
    <fill>
      <patternFill patternType="solid">
        <fgColor rgb="000F2742"/>
        <bgColor rgb="FF333333"/>
      </patternFill>
    </fill>
    <fill>
      <patternFill patternType="solid">
        <fgColor rgb="001F4E79"/>
        <bgColor rgb="FF333333"/>
      </patternFill>
    </fill>
    <fill>
      <patternFill patternType="solid">
        <fgColor rgb="00EEF2F7"/>
        <bgColor rgb="00F2F2F2"/>
      </patternFill>
    </fill>
    <fill>
      <patternFill patternType="solid">
        <fgColor rgb="FFFFF2CC"/>
        <bgColor rgb="FFFDE9E9"/>
      </patternFill>
    </fill>
    <fill>
      <patternFill patternType="solid">
        <fgColor rgb="00DDEBF7"/>
        <bgColor rgb="FFE2EFDA"/>
      </patternFill>
    </fill>
    <fill>
      <patternFill patternType="solid">
        <fgColor rgb="00F2F2F2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</fills>
  <borders count="3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center" vertical="center" wrapText="1"/>
    </xf>
    <xf numFmtId="3" fontId="0" fillId="0" borderId="0" applyAlignment="1" applyProtection="1" pivotButton="0" quotePrefix="0" xfId="0">
      <alignment horizontal="general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4" fontId="0" fillId="0" borderId="0" applyAlignment="1" applyProtection="1" pivotButton="0" quotePrefix="0" xfId="0">
      <alignment horizontal="general" vertical="bottom"/>
      <protection locked="0" hidden="0"/>
    </xf>
    <xf numFmtId="0" fontId="0" fillId="4" borderId="0" applyAlignment="1" pivotButton="0" quotePrefix="0" xfId="0">
      <alignment horizontal="general" vertical="bottom"/>
    </xf>
    <xf numFmtId="165" fontId="0" fillId="0" borderId="0" applyAlignment="1" applyProtection="1" pivotButton="0" quotePrefix="0" xfId="0">
      <alignment horizontal="general" vertical="bottom"/>
      <protection locked="0" hidden="0"/>
    </xf>
    <xf numFmtId="2" fontId="0" fillId="0" borderId="0" applyAlignment="1" applyProtection="1" pivotButton="0" quotePrefix="0" xfId="0">
      <alignment horizontal="general" vertical="bottom"/>
      <protection locked="0" hidden="0"/>
    </xf>
    <xf numFmtId="164" fontId="0" fillId="5" borderId="0" applyAlignment="1" applyProtection="1" pivotButton="0" quotePrefix="0" xfId="0">
      <alignment horizontal="general" vertical="bottom"/>
      <protection locked="0" hidden="0"/>
    </xf>
    <xf numFmtId="165" fontId="0" fillId="5" borderId="0" applyAlignment="1" applyProtection="1" pivotButton="0" quotePrefix="0" xfId="0">
      <alignment horizontal="general" vertical="bottom"/>
      <protection locked="0" hidden="0"/>
    </xf>
    <xf numFmtId="3" fontId="0" fillId="5" borderId="0" applyAlignment="1" applyProtection="1" pivotButton="0" quotePrefix="0" xfId="0">
      <alignment horizontal="general" vertical="bottom"/>
      <protection locked="0" hidden="0"/>
    </xf>
    <xf numFmtId="0" fontId="0" fillId="5" borderId="0" applyAlignment="1" applyProtection="1" pivotButton="0" quotePrefix="0" xfId="0">
      <alignment horizontal="general" vertical="bottom"/>
      <protection locked="0" hidden="0"/>
    </xf>
    <xf numFmtId="2" fontId="0" fillId="5" borderId="0" applyAlignment="1" applyProtection="1" pivotButton="0" quotePrefix="0" xfId="0">
      <alignment horizontal="general" vertical="bottom"/>
      <protection locked="0" hidden="0"/>
    </xf>
    <xf numFmtId="0" fontId="16" fillId="6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164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164" fontId="19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166" fontId="19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2" fontId="19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3" fontId="18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164" fontId="19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3" fontId="25" fillId="0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0" fontId="28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2" fontId="18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 wrapText="1"/>
    </xf>
    <xf numFmtId="3" fontId="21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164" fontId="21" fillId="0" borderId="0" applyAlignment="1" pivotButton="0" quotePrefix="0" xfId="0">
      <alignment horizontal="left" vertical="center"/>
    </xf>
    <xf numFmtId="164" fontId="0" fillId="4" borderId="0" applyAlignment="1" pivotButton="0" quotePrefix="0" xfId="0">
      <alignment horizontal="general" vertical="bottom"/>
    </xf>
    <xf numFmtId="2" fontId="21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0" fontId="21" fillId="5" borderId="0" applyAlignment="1" applyProtection="1" pivotButton="0" quotePrefix="0" xfId="0">
      <alignment horizontal="left" vertical="center"/>
      <protection locked="0" hidden="0"/>
    </xf>
    <xf numFmtId="0" fontId="30" fillId="7" borderId="0" applyAlignment="1" pivotButton="0" quotePrefix="0" xfId="0">
      <alignment horizontal="left" vertical="center" wrapText="1"/>
    </xf>
    <xf numFmtId="0" fontId="31" fillId="5" borderId="0" applyAlignment="1" applyProtection="1" pivotButton="0" quotePrefix="0" xfId="0">
      <alignment horizontal="left" vertical="center"/>
      <protection locked="0" hidden="0"/>
    </xf>
    <xf numFmtId="0" fontId="9" fillId="0" borderId="0" applyAlignment="1" pivotButton="0" quotePrefix="0" xfId="0">
      <alignment horizontal="left" vertical="center"/>
    </xf>
    <xf numFmtId="3" fontId="9" fillId="0" borderId="0" applyAlignment="1" pivotButton="0" quotePrefix="0" xfId="0">
      <alignment horizontal="left" vertical="center"/>
    </xf>
    <xf numFmtId="167" fontId="9" fillId="0" borderId="0" applyAlignment="1" pivotButton="0" quotePrefix="0" xfId="0">
      <alignment horizontal="left" vertical="center"/>
    </xf>
    <xf numFmtId="167" fontId="31" fillId="5" borderId="0" applyAlignment="1" applyProtection="1" pivotButton="0" quotePrefix="0" xfId="0">
      <alignment horizontal="left" vertical="center"/>
      <protection locked="0" hidden="0"/>
    </xf>
    <xf numFmtId="165" fontId="31" fillId="5" borderId="0" applyAlignment="1" applyProtection="1" pivotButton="0" quotePrefix="0" xfId="0">
      <alignment horizontal="left" vertical="center"/>
      <protection locked="0" hidden="0"/>
    </xf>
    <xf numFmtId="164" fontId="31" fillId="5" borderId="0" applyAlignment="1" applyProtection="1" pivotButton="0" quotePrefix="0" xfId="0">
      <alignment horizontal="left" vertical="center"/>
      <protection locked="0" hidden="0"/>
    </xf>
    <xf numFmtId="3" fontId="31" fillId="5" borderId="0" applyAlignment="1" applyProtection="1" pivotButton="0" quotePrefix="0" xfId="0">
      <alignment horizontal="left" vertical="center"/>
      <protection locked="0" hidden="0"/>
    </xf>
    <xf numFmtId="0" fontId="31" fillId="5" borderId="0" applyAlignment="1" applyProtection="1" pivotButton="0" quotePrefix="0" xfId="0">
      <alignment horizontal="left" vertical="center" wrapText="1"/>
      <protection locked="0" hidden="0"/>
    </xf>
    <xf numFmtId="0" fontId="30" fillId="7" borderId="0" applyAlignment="1" pivotButton="0" quotePrefix="0" xfId="0">
      <alignment horizontal="left" vertical="center"/>
    </xf>
    <xf numFmtId="3" fontId="21" fillId="5" borderId="0" applyAlignment="1" applyProtection="1" pivotButton="0" quotePrefix="0" xfId="0">
      <alignment horizontal="left" vertical="center"/>
      <protection locked="0" hidden="0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33" fillId="8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 vertical="center"/>
    </xf>
    <xf numFmtId="0" fontId="35" fillId="0" borderId="0" pivotButton="0" quotePrefix="0" xfId="0"/>
    <xf numFmtId="0" fontId="41" fillId="0" borderId="0" pivotButton="0" quotePrefix="0" xfId="0"/>
    <xf numFmtId="0" fontId="36" fillId="0" borderId="0" applyAlignment="1" pivotButton="0" quotePrefix="0" xfId="0">
      <alignment vertical="center"/>
    </xf>
    <xf numFmtId="0" fontId="39" fillId="0" borderId="0" applyAlignment="1" pivotButton="0" quotePrefix="0" xfId="0">
      <alignment vertical="center"/>
    </xf>
    <xf numFmtId="0" fontId="41" fillId="9" borderId="0" applyAlignment="1" pivotButton="0" quotePrefix="0" xfId="0">
      <alignment horizontal="center" vertical="center" wrapText="1"/>
    </xf>
    <xf numFmtId="0" fontId="37" fillId="0" borderId="0" pivotButton="0" quotePrefix="0" xfId="0"/>
    <xf numFmtId="0" fontId="38" fillId="0" borderId="0" pivotButton="0" quotePrefix="0" xfId="0"/>
    <xf numFmtId="0" fontId="40" fillId="0" borderId="0" pivotButton="0" quotePrefix="0" xfId="0"/>
    <xf numFmtId="0" fontId="42" fillId="0" borderId="0" pivotButton="0" quotePrefix="0" xfId="0"/>
    <xf numFmtId="0" fontId="43" fillId="8" borderId="0" applyAlignment="1" pivotButton="0" quotePrefix="0" xfId="0">
      <alignment horizontal="center" vertical="center"/>
    </xf>
    <xf numFmtId="0" fontId="44" fillId="0" borderId="0" pivotButton="0" quotePrefix="0" xfId="0"/>
    <xf numFmtId="168" fontId="44" fillId="0" borderId="0" pivotButton="0" quotePrefix="0" xfId="0"/>
    <xf numFmtId="168" fontId="45" fillId="0" borderId="0" pivotButton="0" quotePrefix="0" xfId="0"/>
    <xf numFmtId="169" fontId="44" fillId="0" borderId="0" pivotButton="0" quotePrefix="0" xfId="0"/>
    <xf numFmtId="0" fontId="46" fillId="0" borderId="0" pivotButton="0" quotePrefix="0" xfId="0"/>
    <xf numFmtId="0" fontId="47" fillId="0" borderId="0" pivotButton="0" quotePrefix="0" xfId="0"/>
    <xf numFmtId="0" fontId="48" fillId="8" borderId="0" applyAlignment="1" pivotButton="0" quotePrefix="0" xfId="0">
      <alignment horizontal="center" vertical="center"/>
    </xf>
    <xf numFmtId="0" fontId="43" fillId="8" borderId="0" applyAlignment="1" pivotButton="0" quotePrefix="0" xfId="0">
      <alignment horizontal="center"/>
    </xf>
    <xf numFmtId="0" fontId="45" fillId="0" borderId="0" pivotButton="0" quotePrefix="0" xfId="0"/>
    <xf numFmtId="0" fontId="49" fillId="10" borderId="1" pivotButton="0" quotePrefix="0" xfId="0"/>
    <xf numFmtId="0" fontId="50" fillId="0" borderId="0" pivotButton="0" quotePrefix="0" xfId="0"/>
    <xf numFmtId="0" fontId="51" fillId="0" borderId="0" pivotButton="0" quotePrefix="0" xfId="0"/>
    <xf numFmtId="0" fontId="44" fillId="0" borderId="0" applyAlignment="1" pivotButton="0" quotePrefix="0" xfId="0">
      <alignment wrapText="1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center" vertical="center" wrapText="1"/>
    </xf>
    <xf numFmtId="3" fontId="0" fillId="0" borderId="0" applyAlignment="1" applyProtection="1" pivotButton="0" quotePrefix="0" xfId="0">
      <alignment horizontal="general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4" fontId="0" fillId="0" borderId="0" applyAlignment="1" applyProtection="1" pivotButton="0" quotePrefix="0" xfId="0">
      <alignment horizontal="general" vertical="bottom"/>
      <protection locked="0" hidden="0"/>
    </xf>
    <xf numFmtId="0" fontId="0" fillId="4" borderId="0" applyAlignment="1" pivotButton="0" quotePrefix="0" xfId="0">
      <alignment horizontal="general" vertical="bottom"/>
    </xf>
    <xf numFmtId="165" fontId="0" fillId="0" borderId="0" applyAlignment="1" applyProtection="1" pivotButton="0" quotePrefix="0" xfId="0">
      <alignment horizontal="general" vertical="bottom"/>
      <protection locked="0" hidden="0"/>
    </xf>
    <xf numFmtId="2" fontId="0" fillId="0" borderId="0" applyAlignment="1" applyProtection="1" pivotButton="0" quotePrefix="0" xfId="0">
      <alignment horizontal="general" vertical="bottom"/>
      <protection locked="0" hidden="0"/>
    </xf>
    <xf numFmtId="164" fontId="0" fillId="5" borderId="0" applyAlignment="1" applyProtection="1" pivotButton="0" quotePrefix="0" xfId="0">
      <alignment horizontal="general" vertical="bottom"/>
      <protection locked="0" hidden="0"/>
    </xf>
    <xf numFmtId="165" fontId="0" fillId="5" borderId="0" applyAlignment="1" applyProtection="1" pivotButton="0" quotePrefix="0" xfId="0">
      <alignment horizontal="general" vertical="bottom"/>
      <protection locked="0" hidden="0"/>
    </xf>
    <xf numFmtId="3" fontId="0" fillId="5" borderId="0" applyAlignment="1" applyProtection="1" pivotButton="0" quotePrefix="0" xfId="0">
      <alignment horizontal="general" vertical="bottom"/>
      <protection locked="0" hidden="0"/>
    </xf>
    <xf numFmtId="0" fontId="0" fillId="5" borderId="0" applyAlignment="1" applyProtection="1" pivotButton="0" quotePrefix="0" xfId="0">
      <alignment horizontal="general" vertical="bottom"/>
      <protection locked="0" hidden="0"/>
    </xf>
    <xf numFmtId="2" fontId="0" fillId="5" borderId="0" applyAlignment="1" applyProtection="1" pivotButton="0" quotePrefix="0" xfId="0">
      <alignment horizontal="general" vertical="bottom"/>
      <protection locked="0" hidden="0"/>
    </xf>
    <xf numFmtId="0" fontId="16" fillId="6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164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164" fontId="19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166" fontId="19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2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3" fontId="18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15" fillId="2" borderId="0" applyAlignment="1" pivotButton="0" quotePrefix="0" xfId="0">
      <alignment horizontal="center" vertical="center" wrapText="1"/>
    </xf>
    <xf numFmtId="164" fontId="19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3" fontId="25" fillId="0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0" fontId="28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2" fontId="18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 wrapText="1"/>
    </xf>
    <xf numFmtId="3" fontId="21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164" fontId="21" fillId="0" borderId="0" applyAlignment="1" pivotButton="0" quotePrefix="0" xfId="0">
      <alignment horizontal="left" vertical="center"/>
    </xf>
    <xf numFmtId="164" fontId="0" fillId="4" borderId="0" applyAlignment="1" pivotButton="0" quotePrefix="0" xfId="0">
      <alignment horizontal="general" vertical="bottom"/>
    </xf>
    <xf numFmtId="2" fontId="21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0" fontId="21" fillId="5" borderId="0" applyAlignment="1" applyProtection="1" pivotButton="0" quotePrefix="0" xfId="0">
      <alignment horizontal="left" vertical="center"/>
      <protection locked="0" hidden="0"/>
    </xf>
    <xf numFmtId="0" fontId="30" fillId="7" borderId="0" applyAlignment="1" pivotButton="0" quotePrefix="0" xfId="0">
      <alignment horizontal="left" vertical="center" wrapText="1"/>
    </xf>
    <xf numFmtId="0" fontId="31" fillId="5" borderId="0" applyAlignment="1" applyProtection="1" pivotButton="0" quotePrefix="0" xfId="0">
      <alignment horizontal="left" vertical="center"/>
      <protection locked="0" hidden="0"/>
    </xf>
    <xf numFmtId="3" fontId="9" fillId="0" borderId="0" applyAlignment="1" pivotButton="0" quotePrefix="0" xfId="0">
      <alignment horizontal="left" vertical="center"/>
    </xf>
    <xf numFmtId="167" fontId="9" fillId="0" borderId="0" applyAlignment="1" pivotButton="0" quotePrefix="0" xfId="0">
      <alignment horizontal="left" vertical="center"/>
    </xf>
    <xf numFmtId="167" fontId="31" fillId="5" borderId="0" applyAlignment="1" applyProtection="1" pivotButton="0" quotePrefix="0" xfId="0">
      <alignment horizontal="left" vertical="center"/>
      <protection locked="0" hidden="0"/>
    </xf>
    <xf numFmtId="165" fontId="31" fillId="5" borderId="0" applyAlignment="1" applyProtection="1" pivotButton="0" quotePrefix="0" xfId="0">
      <alignment horizontal="left" vertical="center"/>
      <protection locked="0" hidden="0"/>
    </xf>
    <xf numFmtId="164" fontId="31" fillId="5" borderId="0" applyAlignment="1" applyProtection="1" pivotButton="0" quotePrefix="0" xfId="0">
      <alignment horizontal="left" vertical="center"/>
      <protection locked="0" hidden="0"/>
    </xf>
    <xf numFmtId="3" fontId="31" fillId="5" borderId="0" applyAlignment="1" applyProtection="1" pivotButton="0" quotePrefix="0" xfId="0">
      <alignment horizontal="left" vertical="center"/>
      <protection locked="0" hidden="0"/>
    </xf>
    <xf numFmtId="0" fontId="31" fillId="5" borderId="0" applyAlignment="1" applyProtection="1" pivotButton="0" quotePrefix="0" xfId="0">
      <alignment horizontal="left" vertical="center" wrapText="1"/>
      <protection locked="0" hidden="0"/>
    </xf>
    <xf numFmtId="0" fontId="30" fillId="7" borderId="0" applyAlignment="1" pivotButton="0" quotePrefix="0" xfId="0">
      <alignment horizontal="left" vertical="center"/>
    </xf>
    <xf numFmtId="3" fontId="21" fillId="5" borderId="0" applyAlignment="1" applyProtection="1" pivotButton="0" quotePrefix="0" xfId="0">
      <alignment horizontal="left" vertical="center"/>
      <protection locked="0" hidden="0"/>
    </xf>
    <xf numFmtId="0" fontId="32" fillId="0" borderId="0" applyAlignment="1" pivotButton="0" quotePrefix="0" xfId="0">
      <alignment horizontal="left" vertical="center" wrapText="1"/>
    </xf>
    <xf numFmtId="0" fontId="52" fillId="0" borderId="0" pivotButton="0" quotePrefix="0" xfId="0"/>
    <xf numFmtId="0" fontId="53" fillId="0" borderId="1" applyAlignment="1" pivotButton="0" quotePrefix="0" xfId="0">
      <alignment horizontal="center" vertical="center"/>
    </xf>
    <xf numFmtId="0" fontId="43" fillId="11" borderId="0" applyAlignment="1" pivotButton="0" quotePrefix="0" xfId="0">
      <alignment horizontal="center" vertical="center"/>
    </xf>
    <xf numFmtId="0" fontId="34" fillId="0" borderId="0" pivotButton="0" quotePrefix="0" xfId="0"/>
    <xf numFmtId="0" fontId="40" fillId="0" borderId="2" pivotButton="0" quotePrefix="0" xfId="0"/>
    <xf numFmtId="0" fontId="0" fillId="0" borderId="1" pivotButton="0" quotePrefix="0" xfId="0"/>
    <xf numFmtId="0" fontId="54" fillId="12" borderId="1" applyAlignment="1" pivotButton="0" quotePrefix="0" xfId="0">
      <alignment horizontal="center"/>
    </xf>
    <xf numFmtId="0" fontId="40" fillId="0" borderId="3" pivotButton="0" quotePrefix="0" xfId="0"/>
    <xf numFmtId="0" fontId="56" fillId="13" borderId="1" applyAlignment="1" pivotButton="0" quotePrefix="0" xfId="0">
      <alignment horizontal="center"/>
    </xf>
    <xf numFmtId="0" fontId="55" fillId="14" borderId="1" applyAlignment="1" pivotButton="0" quotePrefix="0" xfId="0">
      <alignment horizontal="center"/>
    </xf>
    <xf numFmtId="0" fontId="4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6" fillId="0" borderId="2" pivotButton="0" quotePrefix="0" xfId="0"/>
    <xf numFmtId="0" fontId="57" fillId="0" borderId="3" pivotButton="0" quotePrefix="0" xfId="0"/>
    <xf numFmtId="0" fontId="58" fillId="0" borderId="4" pivotButton="0" quotePrefix="0" xfId="0"/>
    <xf numFmtId="0" fontId="55" fillId="0" borderId="2" pivotButton="0" quotePrefix="0" xfId="0"/>
    <xf numFmtId="0" fontId="50" fillId="0" borderId="3" pivotButton="0" quotePrefix="0" xfId="0"/>
    <xf numFmtId="0" fontId="55" fillId="0" borderId="4" pivotButton="0" quotePrefix="0" xfId="0"/>
    <xf numFmtId="0" fontId="59" fillId="15" borderId="0" applyAlignment="1" pivotButton="0" quotePrefix="0" xfId="0">
      <alignment horizontal="center"/>
    </xf>
    <xf numFmtId="0" fontId="60" fillId="0" borderId="0" pivotButton="0" quotePrefix="0" xfId="0"/>
    <xf numFmtId="0" fontId="59" fillId="16" borderId="0" applyAlignment="1" pivotButton="0" quotePrefix="0" xfId="0">
      <alignment horizontal="center" vertical="center"/>
    </xf>
    <xf numFmtId="0" fontId="60" fillId="0" borderId="1" pivotButton="0" quotePrefix="0" xfId="0"/>
    <xf numFmtId="0" fontId="61" fillId="0" borderId="1" pivotButton="0" quotePrefix="0" xfId="0"/>
    <xf numFmtId="0" fontId="62" fillId="0" borderId="1" pivotButton="0" quotePrefix="0" xfId="0"/>
    <xf numFmtId="0" fontId="63" fillId="17" borderId="1" applyAlignment="1" pivotButton="0" quotePrefix="0" xfId="0">
      <alignment horizontal="center"/>
    </xf>
    <xf numFmtId="0" fontId="59" fillId="8" borderId="0" pivotButton="0" quotePrefix="0" xfId="0"/>
    <xf numFmtId="0" fontId="64" fillId="8" borderId="0" pivotButton="0" quotePrefix="0" xfId="0"/>
    <xf numFmtId="0" fontId="65" fillId="8" borderId="0" pivotButton="0" quotePrefix="0" xfId="0"/>
    <xf numFmtId="0" fontId="0" fillId="8" borderId="0" pivotButton="0" quotePrefix="0" xfId="0"/>
    <xf numFmtId="0" fontId="37" fillId="8" borderId="0" applyAlignment="1" pivotButton="0" quotePrefix="0" xfId="0">
      <alignment horizontal="center"/>
    </xf>
    <xf numFmtId="0" fontId="53" fillId="0" borderId="0" pivotButton="0" quotePrefix="0" xfId="0"/>
    <xf numFmtId="0" fontId="68" fillId="18" borderId="0" pivotButton="0" quotePrefix="0" xfId="0"/>
    <xf numFmtId="0" fontId="0" fillId="18" borderId="0" pivotButton="0" quotePrefix="0" xfId="0"/>
    <xf numFmtId="0" fontId="55" fillId="0" borderId="0" pivotButton="0" quotePrefix="0" xfId="0"/>
    <xf numFmtId="0" fontId="43" fillId="18" borderId="0" pivotButton="0" quotePrefix="0" xfId="0"/>
    <xf numFmtId="0" fontId="69" fillId="18" borderId="0" applyAlignment="1" pivotButton="0" quotePrefix="0" xfId="0">
      <alignment wrapText="1"/>
    </xf>
    <xf numFmtId="0" fontId="66" fillId="0" borderId="0" pivotButton="0" quotePrefix="0" xfId="0"/>
    <xf numFmtId="0" fontId="67" fillId="0" borderId="0" pivotButton="0" quotePrefix="0" xfId="0"/>
    <xf numFmtId="0" fontId="55" fillId="14" borderId="5" applyAlignment="1" pivotButton="0" quotePrefix="0" xfId="0">
      <alignment horizontal="center" vertical="center"/>
    </xf>
    <xf numFmtId="0" fontId="70" fillId="19" borderId="0" applyAlignment="1" pivotButton="0" quotePrefix="0" xfId="0">
      <alignment horizontal="center" vertical="center"/>
    </xf>
    <xf numFmtId="0" fontId="34" fillId="20" borderId="1" applyAlignment="1" pivotButton="0" quotePrefix="0" xfId="0">
      <alignment vertical="center"/>
    </xf>
    <xf numFmtId="0" fontId="54" fillId="12" borderId="0" applyAlignment="1" pivotButton="0" quotePrefix="0" xfId="0">
      <alignment horizontal="center" vertical="center"/>
    </xf>
    <xf numFmtId="0" fontId="55" fillId="14" borderId="0" applyAlignment="1" pivotButton="0" quotePrefix="0" xfId="0">
      <alignment horizontal="center" vertical="center"/>
    </xf>
    <xf numFmtId="0" fontId="71" fillId="8" borderId="0" applyAlignment="1" pivotButton="0" quotePrefix="0" xfId="0">
      <alignment horizontal="center" vertical="center"/>
    </xf>
    <xf numFmtId="0" fontId="72" fillId="20" borderId="1" applyAlignment="1" pivotButton="0" quotePrefix="0" xfId="0">
      <alignment horizontal="center"/>
    </xf>
    <xf numFmtId="0" fontId="73" fillId="20" borderId="1" applyAlignment="1" pivotButton="0" quotePrefix="0" xfId="0">
      <alignment horizontal="center"/>
    </xf>
    <xf numFmtId="0" fontId="72" fillId="20" borderId="1" pivotButton="0" quotePrefix="0" xfId="0"/>
    <xf numFmtId="170" fontId="73" fillId="20" borderId="1" applyAlignment="1" pivotButton="0" quotePrefix="0" xfId="0">
      <alignment horizontal="right"/>
    </xf>
    <xf numFmtId="9" fontId="72" fillId="20" borderId="1" applyAlignment="1" pivotButton="0" quotePrefix="0" xfId="0">
      <alignment horizontal="center"/>
    </xf>
    <xf numFmtId="170" fontId="72" fillId="20" borderId="1" applyAlignment="1" pivotButton="0" quotePrefix="0" xfId="0">
      <alignment horizontal="right"/>
    </xf>
    <xf numFmtId="0" fontId="55" fillId="20" borderId="1" applyAlignment="1" pivotButton="0" quotePrefix="0" xfId="0">
      <alignment horizontal="center"/>
    </xf>
    <xf numFmtId="0" fontId="72" fillId="19" borderId="1" applyAlignment="1" pivotButton="0" quotePrefix="0" xfId="0">
      <alignment horizontal="center"/>
    </xf>
    <xf numFmtId="0" fontId="73" fillId="19" borderId="1" applyAlignment="1" pivotButton="0" quotePrefix="0" xfId="0">
      <alignment horizontal="center"/>
    </xf>
    <xf numFmtId="0" fontId="72" fillId="19" borderId="1" pivotButton="0" quotePrefix="0" xfId="0"/>
    <xf numFmtId="170" fontId="73" fillId="19" borderId="1" applyAlignment="1" pivotButton="0" quotePrefix="0" xfId="0">
      <alignment horizontal="right"/>
    </xf>
    <xf numFmtId="9" fontId="72" fillId="19" borderId="1" applyAlignment="1" pivotButton="0" quotePrefix="0" xfId="0">
      <alignment horizontal="center"/>
    </xf>
    <xf numFmtId="170" fontId="72" fillId="19" borderId="1" applyAlignment="1" pivotButton="0" quotePrefix="0" xfId="0">
      <alignment horizontal="right"/>
    </xf>
    <xf numFmtId="0" fontId="60" fillId="19" borderId="1" applyAlignment="1" pivotButton="0" quotePrefix="0" xfId="0">
      <alignment horizontal="center"/>
    </xf>
    <xf numFmtId="0" fontId="55" fillId="19" borderId="1" applyAlignment="1" pivotButton="0" quotePrefix="0" xfId="0">
      <alignment horizontal="center"/>
    </xf>
    <xf numFmtId="0" fontId="56" fillId="19" borderId="1" applyAlignment="1" pivotButton="0" quotePrefix="0" xfId="0">
      <alignment horizontal="center"/>
    </xf>
    <xf numFmtId="0" fontId="43" fillId="8" borderId="0" applyAlignment="1" pivotButton="0" quotePrefix="0" xfId="0">
      <alignment vertical="center" indent="1"/>
    </xf>
    <xf numFmtId="170" fontId="74" fillId="8" borderId="0" applyAlignment="1" pivotButton="0" quotePrefix="0" xfId="0">
      <alignment horizontal="right" vertical="center"/>
    </xf>
    <xf numFmtId="0" fontId="75" fillId="0" borderId="6" pivotButton="0" quotePrefix="0" xfId="0"/>
    <xf numFmtId="0" fontId="76" fillId="0" borderId="6" pivotButton="0" quotePrefix="0" xfId="0"/>
    <xf numFmtId="0" fontId="77" fillId="0" borderId="6" pivotButton="0" quotePrefix="0" xfId="0"/>
    <xf numFmtId="0" fontId="78" fillId="21" borderId="1" applyAlignment="1" pivotButton="0" quotePrefix="0" xfId="0">
      <alignment horizontal="center" vertical="center"/>
    </xf>
    <xf numFmtId="0" fontId="82" fillId="12" borderId="1" applyAlignment="1" pivotButton="0" quotePrefix="0" xfId="0">
      <alignment horizontal="center" vertical="center"/>
    </xf>
    <xf numFmtId="0" fontId="79" fillId="0" borderId="1" pivotButton="0" quotePrefix="0" xfId="0"/>
    <xf numFmtId="0" fontId="78" fillId="0" borderId="1" applyAlignment="1" pivotButton="0" quotePrefix="0" xfId="0">
      <alignment horizontal="right"/>
    </xf>
    <xf numFmtId="0" fontId="82" fillId="0" borderId="1" applyAlignment="1" pivotButton="0" quotePrefix="0" xfId="0">
      <alignment horizontal="right"/>
    </xf>
    <xf numFmtId="0" fontId="53" fillId="0" borderId="1" applyAlignment="1" pivotButton="0" quotePrefix="0" xfId="0">
      <alignment horizontal="right"/>
    </xf>
    <xf numFmtId="0" fontId="80" fillId="0" borderId="1" applyAlignment="1" pivotButton="0" quotePrefix="0" xfId="0">
      <alignment horizontal="right"/>
    </xf>
    <xf numFmtId="0" fontId="81" fillId="13" borderId="7" applyAlignment="1" pivotButton="0" quotePrefix="0" xfId="0">
      <alignment horizontal="center" vertical="center"/>
    </xf>
    <xf numFmtId="0" fontId="83" fillId="12" borderId="8" applyAlignment="1" pivotButton="0" quotePrefix="0" xfId="0">
      <alignment horizontal="center" vertical="center"/>
    </xf>
    <xf numFmtId="0" fontId="79" fillId="0" borderId="0" pivotButton="0" quotePrefix="0" xfId="0"/>
    <xf numFmtId="0" fontId="84" fillId="22" borderId="0" applyAlignment="1" pivotButton="0" quotePrefix="0" xfId="0">
      <alignment horizontal="left" vertical="center" wrapText="1"/>
    </xf>
    <xf numFmtId="0" fontId="85" fillId="23" borderId="0" applyAlignment="1" pivotButton="0" quotePrefix="0" xfId="0">
      <alignment vertical="center" wrapText="1"/>
    </xf>
    <xf numFmtId="0" fontId="86" fillId="24" borderId="0" applyAlignment="1" pivotButton="0" quotePrefix="0" xfId="0">
      <alignment vertical="top" wrapText="1"/>
    </xf>
    <xf numFmtId="0" fontId="87" fillId="0" borderId="0" applyAlignment="1" pivotButton="0" quotePrefix="0" xfId="0">
      <alignment vertical="top" wrapText="1"/>
    </xf>
    <xf numFmtId="0" fontId="88" fillId="22" borderId="0" applyAlignment="1" pivotButton="0" quotePrefix="0" xfId="0">
      <alignment horizontal="left" vertical="center" wrapText="1"/>
    </xf>
    <xf numFmtId="0" fontId="84" fillId="25" borderId="0" applyAlignment="1" pivotButton="0" quotePrefix="0" xfId="0">
      <alignment horizontal="left" vertical="center" wrapText="1"/>
    </xf>
    <xf numFmtId="0" fontId="85" fillId="25" borderId="0" applyAlignment="1" pivotButton="0" quotePrefix="0" xfId="0">
      <alignment vertical="center" wrapText="1"/>
    </xf>
    <xf numFmtId="0" fontId="89" fillId="26" borderId="0" applyAlignment="1" pivotButton="0" quotePrefix="0" xfId="0">
      <alignment vertical="top" wrapText="1"/>
    </xf>
    <xf numFmtId="0" fontId="84" fillId="27" borderId="0" applyAlignment="1" pivotButton="0" quotePrefix="0" xfId="0">
      <alignment horizontal="left" vertical="center" wrapText="1"/>
    </xf>
    <xf numFmtId="0" fontId="85" fillId="27" borderId="0" applyAlignment="1" pivotButton="0" quotePrefix="0" xfId="0">
      <alignment vertical="center" wrapText="1"/>
    </xf>
    <xf numFmtId="0" fontId="90" fillId="28" borderId="0" applyAlignment="1" pivotButton="0" quotePrefix="0" xfId="0">
      <alignment vertical="top" wrapText="1"/>
    </xf>
    <xf numFmtId="0" fontId="91" fillId="26" borderId="0" applyAlignment="1" pivotButton="0" quotePrefix="0" xfId="0">
      <alignment vertical="top" wrapText="1"/>
    </xf>
    <xf numFmtId="0" fontId="92" fillId="0" borderId="0" applyAlignment="1" pivotButton="0" quotePrefix="0" xfId="0">
      <alignment vertical="top" wrapText="1"/>
    </xf>
    <xf numFmtId="0" fontId="84" fillId="29" borderId="0" applyAlignment="1" pivotButton="0" quotePrefix="0" xfId="0">
      <alignment horizontal="left" vertical="center"/>
    </xf>
    <xf numFmtId="0" fontId="85" fillId="29" borderId="0" applyAlignment="1" pivotButton="0" quotePrefix="0" xfId="0">
      <alignment vertical="center" wrapText="1"/>
    </xf>
    <xf numFmtId="0" fontId="93" fillId="30" borderId="0" applyAlignment="1" pivotButton="0" quotePrefix="0" xfId="0">
      <alignment vertical="top" wrapText="1"/>
    </xf>
    <xf numFmtId="0" fontId="94" fillId="31" borderId="0" applyAlignment="1" pivotButton="0" quotePrefix="0" xfId="0">
      <alignment vertical="top" wrapText="1"/>
    </xf>
    <xf numFmtId="0" fontId="84" fillId="32" borderId="0" applyAlignment="1" pivotButton="0" quotePrefix="0" xfId="0">
      <alignment horizontal="left" vertical="center"/>
    </xf>
    <xf numFmtId="0" fontId="85" fillId="32" borderId="0" applyAlignment="1" pivotButton="0" quotePrefix="0" xfId="0">
      <alignment vertical="center" wrapText="1"/>
    </xf>
    <xf numFmtId="0" fontId="95" fillId="31" borderId="0" applyAlignment="1" pivotButton="0" quotePrefix="0" xfId="0">
      <alignment vertical="top" wrapText="1"/>
    </xf>
    <xf numFmtId="0" fontId="84" fillId="33" borderId="0" applyAlignment="1" pivotButton="0" quotePrefix="0" xfId="0">
      <alignment horizontal="left" vertical="center"/>
    </xf>
    <xf numFmtId="0" fontId="85" fillId="33" borderId="0" applyAlignment="1" pivotButton="0" quotePrefix="0" xfId="0">
      <alignment vertical="center" wrapText="1"/>
    </xf>
    <xf numFmtId="0" fontId="96" fillId="34" borderId="0" applyAlignment="1" pivotButton="0" quotePrefix="0" xfId="0">
      <alignment vertical="top" wrapText="1"/>
    </xf>
    <xf numFmtId="0" fontId="97" fillId="0" borderId="0" applyAlignment="1" pivotButton="0" quotePrefix="0" xfId="0">
      <alignment vertical="top" wrapText="1"/>
    </xf>
    <xf numFmtId="170" fontId="36" fillId="0" borderId="2" pivotButton="0" quotePrefix="0" xfId="0"/>
    <xf numFmtId="170" fontId="57" fillId="0" borderId="3" pivotButton="0" quotePrefix="0" xfId="0"/>
    <xf numFmtId="170" fontId="60" fillId="0" borderId="1" pivotButton="0" quotePrefix="0" xfId="0"/>
    <xf numFmtId="170" fontId="61" fillId="0" borderId="1" pivotButton="0" quotePrefix="0" xfId="0"/>
    <xf numFmtId="170" fontId="64" fillId="8" borderId="0" pivotButton="0" quotePrefix="0" xfId="0"/>
    <xf numFmtId="170" fontId="65" fillId="8" borderId="0" pivotButton="0" quotePrefix="0" xfId="0"/>
    <xf numFmtId="170" fontId="83" fillId="10" borderId="1" applyAlignment="1" pivotButton="0" quotePrefix="0" xfId="0">
      <alignment horizontal="right"/>
    </xf>
    <xf numFmtId="170" fontId="53" fillId="0" borderId="1" applyAlignment="1" pivotButton="0" quotePrefix="0" xfId="0">
      <alignment horizontal="right"/>
    </xf>
    <xf numFmtId="170" fontId="80" fillId="0" borderId="1" applyAlignment="1" pivotButton="0" quotePrefix="0" xfId="0">
      <alignment horizontal="right"/>
    </xf>
    <xf numFmtId="171" fontId="80" fillId="0" borderId="1" applyAlignment="1" pivotButton="0" quotePrefix="0" xfId="0">
      <alignment horizontal="right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5">
    <dxf>
      <fill>
        <patternFill patternType="solid">
          <fgColor rgb="00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00EEF2F7"/>
          <bgColor rgb="FF000000"/>
        </patternFill>
      </fill>
    </dxf>
    <dxf>
      <fill>
        <patternFill patternType="solid">
          <fgColor rgb="FFB7791F"/>
          <bgColor rgb="FF000000"/>
        </patternFill>
      </fill>
    </dxf>
    <dxf>
      <fill>
        <patternFill patternType="solid">
          <fgColor rgb="FF1F7A4D"/>
          <bgColor rgb="FF000000"/>
        </patternFill>
      </fill>
    </dxf>
    <dxf>
      <fill>
        <patternFill patternType="solid">
          <fgColor rgb="FFB3261E"/>
          <bgColor rgb="FF000000"/>
        </patternFill>
      </fill>
    </dxf>
    <dxf>
      <font>
        <name val="Segoe UI"/>
        <charset val="1"/>
        <family val="0"/>
        <color rgb="FFB3261E"/>
      </font>
    </dxf>
    <dxf>
      <font>
        <name val="Segoe UI"/>
        <charset val="1"/>
        <family val="0"/>
        <color rgb="FFB7791F"/>
      </font>
    </dxf>
    <dxf>
      <font>
        <name val="Segoe UI"/>
        <charset val="1"/>
        <family val="0"/>
        <color rgb="FF1F7A4D"/>
      </font>
    </dxf>
    <dxf>
      <font>
        <name val="Segoe UI"/>
        <charset val="1"/>
        <family val="0"/>
        <color rgb="FFB3261E"/>
      </font>
      <fill>
        <patternFill>
          <bgColor rgb="FFFDE9E9"/>
        </patternFill>
      </fill>
    </dxf>
    <dxf>
      <font>
        <name val="Segoe UI"/>
        <charset val="1"/>
        <family val="0"/>
        <color rgb="FF1F7A4D"/>
      </font>
      <fill>
        <patternFill>
          <bgColor rgb="FFE2EFDA"/>
        </patternFill>
      </fill>
    </dxf>
    <dxf>
      <font>
        <name val="Segoe UI"/>
        <charset val="1"/>
        <family val="0"/>
        <color rgb="FFB7791F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7791F"/>
      <rgbColor rgb="FF800080"/>
      <rgbColor rgb="FF1F7A4D"/>
      <rgbColor rgb="FFC0C0C0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E2EFDA"/>
      <rgbColor rgb="FFFDE9E9"/>
      <rgbColor rgb="FF99CCFF"/>
      <rgbColor rgb="FFFF99CC"/>
      <rgbColor rgb="FFCC99FF"/>
      <rgbColor rgb="FFF2F2F2"/>
      <rgbColor rgb="FF4A7EBB"/>
      <rgbColor rgb="FF4BACC6"/>
      <rgbColor rgb="FF9BBB59"/>
      <rgbColor rgb="FFFFCC00"/>
      <rgbColor rgb="FFF79646"/>
      <rgbColor rgb="FFFF6600"/>
      <rgbColor rgb="FF8064A2"/>
      <rgbColor rgb="FFB08948"/>
      <rgbColor rgb="FF0F2742"/>
      <rgbColor rgb="FF4F81BD"/>
      <rgbColor rgb="FF003300"/>
      <rgbColor rgb="FF333300"/>
      <rgbColor rgb="FFB3261E"/>
      <rgbColor rgb="FF595959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omments/comment1.xml><?xml version="1.0" encoding="utf-8"?>
<comments xmlns="http://schemas.openxmlformats.org/spreadsheetml/2006/main">
  <authors>
    <author>ExcelArşiv</author>
  </authors>
  <commentList>
    <comment ref="A5" authorId="0" shapeId="0">
      <text>
        <t>Tanım: Adım 1 — Kıymetlerinizi girin | Neden önemli: Ürünü doğru kullanmak için | Doğru kullanım: Sırayla izleyin</t>
      </text>
    </comment>
    <comment ref="A6" authorId="0" shapeId="0">
      <text>
        <t>Tanım: Adım 2 — Değer artışını ve fonu izleyin | Neden önemli: Ürünü doğru kullanmak için | Doğru kullanım: Sırayla izleyin</t>
      </text>
    </comment>
    <comment ref="A7" authorId="0" shapeId="0">
      <text>
        <t>Tanım: Adım 3 — Vergi tasarrufunu karşılaştırın | Neden önemli: Ürünü doğru kullanmak için | Doğru kullanım: Sırayla izleyin</t>
      </text>
    </comment>
    <comment ref="A8" authorId="0" shapeId="0">
      <text>
        <t>Tanım: Adım 4 — Oranları ayarlayın | Neden önemli: Ürünü doğru kullanmak için | Doğru kullanım: Sırayla izleyin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B6" authorId="0" shapeId="0">
      <text>
        <t>Tanım: Bina yeniden değerleme metriği | Neden önemli: Değer artışı ve net faydayı gösterir | Doğru kullanım: Formüldür, değiştirilmez</t>
      </text>
    </comment>
    <comment ref="C6" authorId="0" shapeId="0">
      <text>
        <t>Tanım: Bina yeniden değerleme metriği | Neden önemli: Değer artışı ve net faydayı gösterir | Doğru kullanım: Formüldür, değiştirilmez</t>
      </text>
    </comment>
    <comment ref="D6" authorId="0" shapeId="0">
      <text>
        <t>Tanım: Bina yeniden değerleme metriği | Neden önemli: Değer artışı ve net faydayı gösterir | Doğru kullanım: Formüldür, değiştirilmez</t>
      </text>
    </comment>
    <comment ref="E6" authorId="0" shapeId="0">
      <text>
        <t>Tanım: Bina yeniden değerleme metriği | Neden önemli: Değer artışı ve net faydayı gösterir | Doğru kullanım: Formüldür, değiştirilmez</t>
      </text>
    </comment>
    <comment ref="F6" authorId="0" shapeId="0">
      <text>
        <t>Tanım: Bina yeniden değerleme metriği | Neden önemli: Değer artışı ve net faydayı gösterir | Doğru kullanım: Formüldür, değiştirilmez</t>
      </text>
    </comment>
    <comment ref="G6" authorId="0" shapeId="0">
      <text>
        <t>Tanım: Bina yeniden değerleme metriği | Neden önemli: Değer artışı ve net faydayı gösterir | Doğru kullanım: Formüldür, değiştirilmez</t>
      </text>
    </comment>
    <comment ref="H6" authorId="0" shapeId="0">
      <text>
        <t>Tanım: Bina yeniden değerleme metriği | Neden önemli: Değer artışı ve net faydayı gösterir | Doğru kullanım: Formüldür, değiştirilmez</t>
      </text>
    </comment>
    <comment ref="I6" authorId="0" shapeId="0">
      <text>
        <t>Tanım: Bina yeniden değerleme metriği | Neden önemli: Değer artışı ve net faydayı gösterir | Doğru kullanım: Formüldür, değiştirilmez</t>
      </text>
    </comment>
    <comment ref="B7" authorId="0" shapeId="0">
      <text>
        <t>Tanım: Arazi yeniden değerleme metriği | Neden önemli: Değer artışı ve net faydayı gösterir | Doğru kullanım: Formüldür, değiştirilmez</t>
      </text>
    </comment>
    <comment ref="C7" authorId="0" shapeId="0">
      <text>
        <t>Tanım: Arazi yeniden değerleme metriği | Neden önemli: Değer artışı ve net faydayı gösterir | Doğru kullanım: Formüldür, değiştirilmez</t>
      </text>
    </comment>
    <comment ref="D7" authorId="0" shapeId="0">
      <text>
        <t>Tanım: Arazi yeniden değerleme metriği | Neden önemli: Değer artışı ve net faydayı gösterir | Doğru kullanım: Formüldür, değiştirilmez</t>
      </text>
    </comment>
    <comment ref="E7" authorId="0" shapeId="0">
      <text>
        <t>Tanım: Arazi yeniden değerleme metriği | Neden önemli: Değer artışı ve net faydayı gösterir | Doğru kullanım: Formüldür, değiştirilmez</t>
      </text>
    </comment>
    <comment ref="F7" authorId="0" shapeId="0">
      <text>
        <t>Tanım: Arazi yeniden değerleme metriği | Neden önemli: Değer artışı ve net faydayı gösterir | Doğru kullanım: Formüldür, değiştirilmez</t>
      </text>
    </comment>
    <comment ref="G7" authorId="0" shapeId="0">
      <text>
        <t>Tanım: Arazi yeniden değerleme metriği | Neden önemli: Değer artışı ve net faydayı gösterir | Doğru kullanım: Formüldür, değiştirilmez</t>
      </text>
    </comment>
    <comment ref="H7" authorId="0" shapeId="0">
      <text>
        <t>Tanım: Arazi yeniden değerleme metriği | Neden önemli: Değer artışı ve net faydayı gösterir | Doğru kullanım: Formüldür, değiştirilmez</t>
      </text>
    </comment>
    <comment ref="I7" authorId="0" shapeId="0">
      <text>
        <t>Tanım: Arazi yeniden değerleme metriği | Neden önemli: Değer artışı ve net faydayı gösterir | Doğru kullanım: Formüldür, değiştirilmez</t>
      </text>
    </comment>
    <comment ref="B8" authorId="0" shapeId="0">
      <text>
        <t>Tanım: Makine yeniden değerleme metriği | Neden önemli: Değer artışı ve net faydayı gösterir | Doğru kullanım: Formüldür, değiştirilmez</t>
      </text>
    </comment>
    <comment ref="C8" authorId="0" shapeId="0">
      <text>
        <t>Tanım: Makine yeniden değerleme metriği | Neden önemli: Değer artışı ve net faydayı gösterir | Doğru kullanım: Formüldür, değiştirilmez</t>
      </text>
    </comment>
    <comment ref="D8" authorId="0" shapeId="0">
      <text>
        <t>Tanım: Makine yeniden değerleme metriği | Neden önemli: Değer artışı ve net faydayı gösterir | Doğru kullanım: Formüldür, değiştirilmez</t>
      </text>
    </comment>
    <comment ref="E8" authorId="0" shapeId="0">
      <text>
        <t>Tanım: Makine yeniden değerleme metriği | Neden önemli: Değer artışı ve net faydayı gösterir | Doğru kullanım: Formüldür, değiştirilmez</t>
      </text>
    </comment>
    <comment ref="F8" authorId="0" shapeId="0">
      <text>
        <t>Tanım: Makine yeniden değerleme metriği | Neden önemli: Değer artışı ve net faydayı gösterir | Doğru kullanım: Formüldür, değiştirilmez</t>
      </text>
    </comment>
    <comment ref="G8" authorId="0" shapeId="0">
      <text>
        <t>Tanım: Makine yeniden değerleme metriği | Neden önemli: Değer artışı ve net faydayı gösterir | Doğru kullanım: Formüldür, değiştirilmez</t>
      </text>
    </comment>
    <comment ref="H8" authorId="0" shapeId="0">
      <text>
        <t>Tanım: Makine yeniden değerleme metriği | Neden önemli: Değer artışı ve net faydayı gösterir | Doğru kullanım: Formüldür, değiştirilmez</t>
      </text>
    </comment>
    <comment ref="I8" authorId="0" shapeId="0">
      <text>
        <t>Tanım: Makine yeniden değerleme metriği | Neden önemli: Değer artışı ve net faydayı gösterir | Doğru kullanım: Formüldür, değiştirilmez</t>
      </text>
    </comment>
    <comment ref="B9" authorId="0" shapeId="0">
      <text>
        <t>Tanım: Tesis yeniden değerleme metriği | Neden önemli: Değer artışı ve net faydayı gösterir | Doğru kullanım: Formüldür, değiştirilmez</t>
      </text>
    </comment>
    <comment ref="C9" authorId="0" shapeId="0">
      <text>
        <t>Tanım: Tesis yeniden değerleme metriği | Neden önemli: Değer artışı ve net faydayı gösterir | Doğru kullanım: Formüldür, değiştirilmez</t>
      </text>
    </comment>
    <comment ref="D9" authorId="0" shapeId="0">
      <text>
        <t>Tanım: Tesis yeniden değerleme metriği | Neden önemli: Değer artışı ve net faydayı gösterir | Doğru kullanım: Formüldür, değiştirilmez</t>
      </text>
    </comment>
    <comment ref="E9" authorId="0" shapeId="0">
      <text>
        <t>Tanım: Tesis yeniden değerleme metriği | Neden önemli: Değer artışı ve net faydayı gösterir | Doğru kullanım: Formüldür, değiştirilmez</t>
      </text>
    </comment>
    <comment ref="F9" authorId="0" shapeId="0">
      <text>
        <t>Tanım: Tesis yeniden değerleme metriği | Neden önemli: Değer artışı ve net faydayı gösterir | Doğru kullanım: Formüldür, değiştirilmez</t>
      </text>
    </comment>
    <comment ref="G9" authorId="0" shapeId="0">
      <text>
        <t>Tanım: Tesis yeniden değerleme metriği | Neden önemli: Değer artışı ve net faydayı gösterir | Doğru kullanım: Formüldür, değiştirilmez</t>
      </text>
    </comment>
    <comment ref="H9" authorId="0" shapeId="0">
      <text>
        <t>Tanım: Tesis yeniden değerleme metriği | Neden önemli: Değer artışı ve net faydayı gösterir | Doğru kullanım: Formüldür, değiştirilmez</t>
      </text>
    </comment>
    <comment ref="I9" authorId="0" shapeId="0">
      <text>
        <t>Tanım: Tesis yeniden değerleme metriği | Neden önemli: Değer artışı ve net faydayı gösterir | Doğru kullanım: Formüldür, değiştirilmez</t>
      </text>
    </comment>
    <comment ref="B10" authorId="0" shapeId="0">
      <text>
        <t>Tanım: Taşıt yeniden değerleme metriği | Neden önemli: Değer artışı ve net faydayı gösterir | Doğru kullanım: Formüldür, değiştirilmez</t>
      </text>
    </comment>
    <comment ref="C10" authorId="0" shapeId="0">
      <text>
        <t>Tanım: Taşıt yeniden değerleme metriği | Neden önemli: Değer artışı ve net faydayı gösterir | Doğru kullanım: Formüldür, değiştirilmez</t>
      </text>
    </comment>
    <comment ref="D10" authorId="0" shapeId="0">
      <text>
        <t>Tanım: Taşıt yeniden değerleme metriği | Neden önemli: Değer artışı ve net faydayı gösterir | Doğru kullanım: Formüldür, değiştirilmez</t>
      </text>
    </comment>
    <comment ref="E10" authorId="0" shapeId="0">
      <text>
        <t>Tanım: Taşıt yeniden değerleme metriği | Neden önemli: Değer artışı ve net faydayı gösterir | Doğru kullanım: Formüldür, değiştirilmez</t>
      </text>
    </comment>
    <comment ref="F10" authorId="0" shapeId="0">
      <text>
        <t>Tanım: Taşıt yeniden değerleme metriği | Neden önemli: Değer artışı ve net faydayı gösterir | Doğru kullanım: Formüldür, değiştirilmez</t>
      </text>
    </comment>
    <comment ref="G10" authorId="0" shapeId="0">
      <text>
        <t>Tanım: Taşıt yeniden değerleme metriği | Neden önemli: Değer artışı ve net faydayı gösterir | Doğru kullanım: Formüldür, değiştirilmez</t>
      </text>
    </comment>
    <comment ref="H10" authorId="0" shapeId="0">
      <text>
        <t>Tanım: Taşıt yeniden değerleme metriği | Neden önemli: Değer artışı ve net faydayı gösterir | Doğru kullanım: Formüldür, değiştirilmez</t>
      </text>
    </comment>
    <comment ref="I10" authorId="0" shapeId="0">
      <text>
        <t>Tanım: Taşıt yeniden değerleme metriği | Neden önemli: Değer artışı ve net faydayı gösterir | Doğru kullanım: Formüldür, değiştirilmez</t>
      </text>
    </comment>
    <comment ref="B11" authorId="0" shapeId="0">
      <text>
        <t>Tanım: Diğer yeniden değerleme metriği | Neden önemli: Değer artışı ve net faydayı gösterir | Doğru kullanım: Formüldür, değiştirilmez</t>
      </text>
    </comment>
    <comment ref="C11" authorId="0" shapeId="0">
      <text>
        <t>Tanım: Diğer yeniden değerleme metriği | Neden önemli: Değer artışı ve net faydayı gösterir | Doğru kullanım: Formüldür, değiştirilmez</t>
      </text>
    </comment>
    <comment ref="D11" authorId="0" shapeId="0">
      <text>
        <t>Tanım: Diğer yeniden değerleme metriği | Neden önemli: Değer artışı ve net faydayı gösterir | Doğru kullanım: Formüldür, değiştirilmez</t>
      </text>
    </comment>
    <comment ref="E11" authorId="0" shapeId="0">
      <text>
        <t>Tanım: Diğer yeniden değerleme metriği | Neden önemli: Değer artışı ve net faydayı gösterir | Doğru kullanım: Formüldür, değiştirilmez</t>
      </text>
    </comment>
    <comment ref="F11" authorId="0" shapeId="0">
      <text>
        <t>Tanım: Diğer yeniden değerleme metriği | Neden önemli: Değer artışı ve net faydayı gösterir | Doğru kullanım: Formüldür, değiştirilmez</t>
      </text>
    </comment>
    <comment ref="G11" authorId="0" shapeId="0">
      <text>
        <t>Tanım: Diğer yeniden değerleme metriği | Neden önemli: Değer artışı ve net faydayı gösterir | Doğru kullanım: Formüldür, değiştirilmez</t>
      </text>
    </comment>
    <comment ref="H11" authorId="0" shapeId="0">
      <text>
        <t>Tanım: Diğer yeniden değerleme metriği | Neden önemli: Değer artışı ve net faydayı gösterir | Doğru kullanım: Formüldür, değiştirilmez</t>
      </text>
    </comment>
    <comment ref="I11" authorId="0" shapeId="0">
      <text>
        <t>Tanım: Diğer yeniden değerleme metriği | Neden önemli: Değer artışı ve net faydayı gösterir | Doğru kullanım: Formüldür, değiştirilmez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6" authorId="0" shapeId="0">
      <text>
        <t>Tanım: Boş kıymet türü satırı var mı? | Neden önemli: Giriş kalitesini ölçer | Doğru kullanım: Formüldür, değiştirilmez | Yanlışsa: Kırmızı = düzeltin</t>
      </text>
    </comment>
    <comment ref="B7" authorId="0" shapeId="0">
      <text>
        <t>Tanım: Boş defter değeri var mı? | Neden önemli: Giriş kalitesini ölçer | Doğru kullanım: Formüldür, değiştirilmez | Yanlışsa: Kırmızı = düzeltin</t>
      </text>
    </comment>
    <comment ref="B8" authorId="0" shapeId="0">
      <text>
        <t>Tanım: Negatif defter değeri var mı? | Neden önemli: Giriş kalitesini ölçer | Doğru kullanım: Formüldür, değiştirilmez | Yanlışsa: Kırmızı = düzeltin</t>
      </text>
    </comment>
    <comment ref="B9" authorId="0" shapeId="0">
      <text>
        <t>Tanım: Negatif amortisman var mı? | Neden önemli: Giriş kalitesini ölçer | Doğru kullanım: Formüldür, değiştirilmez | Yanlışsa: Kırmızı = düzeltin</t>
      </text>
    </comment>
    <comment ref="B10" authorId="0" shapeId="0">
      <text>
        <t>Tanım: Katsayı 1'in altında mı? | Neden önemli: Giriş kalitesini ölçer | Doğru kullanım: Formüldür, değiştirilmez | Yanlışsa: Kırmızı = düzeltin</t>
      </text>
    </comment>
    <comment ref="B11" authorId="0" shapeId="0">
      <text>
        <t>Tanım: Kalan ömür boş mu? | Neden önemli: Giriş kalitesini ölçer | Doğru kullanım: Formüldür, değiştirilmez | Yanlışsa: Kırmızı = düzeltin</t>
      </text>
    </comment>
    <comment ref="B12" authorId="0" shapeId="0">
      <text>
        <t>Tanım: Fon yükü eşiği aşılıyor mu? | Neden önemli: Giriş kalitesini ölçer | Doğru kullanım: Formüldür, değiştirilmez | Yanlışsa: Kırmızı = düzeltin</t>
      </text>
    </comment>
    <comment ref="B13" authorId="0" shapeId="0">
      <text>
        <t>Tanım: Net fayda eşiği aşılıyor mu? | Neden önemli: Giriş kalitesini ölçer | Doğru kullanım: Formüldür, değiştirilmez | Yanlışsa: Kırmızı = düzeltin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A7" authorId="0" shapeId="0">
      <text>
        <t>Tanım: Kıymet türü | Neden önemli: Açılır listeyi besler | Doğru kullanım: Yeni tür için satır ekleyin</t>
      </text>
    </comment>
    <comment ref="A8" authorId="0" shapeId="0">
      <text>
        <t>Tanım: Kıymet türü | Neden önemli: Açılır listeyi besler | Doğru kullanım: Yeni tür için satır ekleyin</t>
      </text>
    </comment>
    <comment ref="A9" authorId="0" shapeId="0">
      <text>
        <t>Tanım: Kıymet türü | Neden önemli: Açılır listeyi besler | Doğru kullanım: Yeni tür için satır ekleyin</t>
      </text>
    </comment>
    <comment ref="A10" authorId="0" shapeId="0">
      <text>
        <t>Tanım: Kıymet türü | Neden önemli: Açılır listeyi besler | Doğru kullanım: Yeni tür için satır ekleyin</t>
      </text>
    </comment>
    <comment ref="A11" authorId="0" shapeId="0">
      <text>
        <t>Tanım: Kıymet türü | Neden önemli: Açılır listeyi besler | Doğru kullanım: Yeni tür için satır ekleyin</t>
      </text>
    </comment>
    <comment ref="A12" authorId="0" shapeId="0">
      <text>
        <t>Tanım: Kıymet türü | Neden önemli: Açılır listeyi besler | Doğru kullanım: Yeni tür için satır ekleyin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2" authorId="0" shapeId="0">
      <text>
        <t>Tanım: Panel satır numarası 1 | Neden önemli: PANO'daki grafiği besler | Doğru kullanım: Tablodaki satır sırasını girin</t>
      </text>
    </comment>
    <comment ref="B33" authorId="0" shapeId="0">
      <text>
        <t>Tanım: Panel satır numarası 2 | Neden önemli: PANO'daki grafiği besler | Doğru kullanım: Tablodaki satır sırasını girin</t>
      </text>
    </comment>
    <comment ref="B34" authorId="0" shapeId="0">
      <text>
        <t>Tanım: Panel satır numarası 3 | Neden önemli: PANO'daki grafiği besler | Doğru kullanım: Tablodaki satır sırasını girin</t>
      </text>
    </comment>
    <comment ref="B35" authorId="0" shapeId="0">
      <text>
        <t>Tanım: Panel satır numarası 4 | Neden önemli: PANO'daki grafiği besler | Doğru kullanım: Tablodaki satır sırasını girin</t>
      </text>
    </comment>
    <comment ref="B36" authorId="0" shapeId="0">
      <text>
        <t>Tanım: Panel satır numarası 5 | Neden önemli: PANO'daki grafiği besler | Doğru kullanım: Tablodaki satır sırasını girin</t>
      </text>
    </comment>
    <comment ref="B37" authorId="0" shapeId="0">
      <text>
        <t>Tanım: Panel satır numarası 6 | Neden önemli: PANO'daki grafiği besler | Doğru kullanım: Tablodaki satır sırasını girin</t>
      </text>
    </comment>
    <comment ref="B38" authorId="0" shapeId="0">
      <text>
        <t>Tanım: Panel satır numarası 7 | Neden önemli: PANO'daki grafiği besler | Doğru kullanım: Tablodaki satır sırasını girin</t>
      </text>
    </comment>
    <comment ref="B39" authorId="0" shapeId="0">
      <text>
        <t>Tanım: Panel satır numarası 8 | Neden önemli: PANO'daki grafiği besler | Doğru kullanım: Tablodaki satır sırasını girin</t>
      </text>
    </comment>
    <comment ref="B40" authorId="0" shapeId="0">
      <text>
        <t>Tanım: Panel satır numarası 9 | Neden önemli: PANO'daki grafiği besler | Doğru kullanım: Tablodaki satır sırasını girin</t>
      </text>
    </comment>
    <comment ref="B41" authorId="0" shapeId="0">
      <text>
        <t>Tanım: Panel satır numarası 10 | Neden önemli: PANO'daki grafiği besler | Doğru kullanım: Tablodaki satır sırasını girin</t>
      </text>
    </comment>
    <comment ref="B42" authorId="0" shapeId="0">
      <text>
        <t>Tanım: Panel satır numarası 11 | Neden önemli: PANO'daki grafiği besler | Doğru kullanım: Tablodaki satır sırasını girin</t>
      </text>
    </comment>
    <comment ref="B43" authorId="0" shapeId="0">
      <text>
        <t>Tanım: Panel satır numarası 12 | Neden önemli: PANO'daki grafiği besler | Doğru kullanım: Tablodaki satır sırasını girin</t>
      </text>
    </comment>
  </commentList>
</comments>
</file>

<file path=xl/tables/table1.xml><?xml version="1.0" encoding="utf-8"?>
<table xmlns="http://schemas.openxmlformats.org/spreadsheetml/2006/main" id="1" name="tblKiyamet" displayName="tblKiyamet" ref="A5:Q1004" headerRowCount="1" totalsRowCount="0" totalsRowShown="0">
  <tableColumns count="17">
    <tableColumn id="1" name="Kayıt Sırası"/>
    <tableColumn id="2" name="Kıymet Türü"/>
    <tableColumn id="3" name="Defter Değeri (Brüt)"/>
    <tableColumn id="4" name="Birikmiş Amortisman"/>
    <tableColumn id="5" name="Net Defter Değeri">
      <calculatedColumnFormula>=IF(tblKiyamet[[#This Row],[Defter Değeri (Brüt)]]=0,0,tblKiyamet[[#This Row],[Defter Değeri (Brüt)]]-tblKiyamet[[#This Row],[Birikmiş Amortisman]])</calculatedColumnFormula>
    </tableColumn>
    <tableColumn id="6" name="Amortisman Oranı"/>
    <tableColumn id="7" name="Kalan Faydalı Ömür"/>
    <tableColumn id="8" name="Yeniden Değerleme Katsayısı"/>
    <tableColumn id="9" name="Değerlenmiş Net Değer">
      <calculatedColumnFormula>=IF(tblKiyamet[[#This Row],[Net Defter Değeri]]=0,0,tblKiyamet[[#This Row],[Net Defter Değeri]]*tblKiyamet[[#This Row],[Yeniden Değerleme Katsayısı]])</calculatedColumnFormula>
    </tableColumn>
    <tableColumn id="10" name="Değer Artışı">
      <calculatedColumnFormula>=IF(tblKiyamet[[#This Row],[Değerlenmiş Net Değer]]=0,0,tblKiyamet[[#This Row],[Değerlenmiş Net Değer]]-tblKiyamet[[#This Row],[Net Defter Değeri]])</calculatedColumnFormula>
    </tableColumn>
    <tableColumn id="11" name="Fon Vergisi">
      <calculatedColumnFormula>=IF(tblKiyamet[[#This Row],[Değer Artışı]]=0,0,tblKiyamet[[#This Row],[Değer Artışı]]*YenidegerFonOran)</calculatedColumnFormula>
    </tableColumn>
    <tableColumn id="12" name="Yıllık Ek Amortisman">
      <calculatedColumnFormula>=IF(tblKiyamet[[#This Row],[Kalan Faydalı Ömür]]=0,0,tblKiyamet[[#This Row],[Değer Artışı]]/tblKiyamet[[#This Row],[Kalan Faydalı Ömür]])</calculatedColumnFormula>
    </tableColumn>
    <tableColumn id="13" name="Yıllık Vergi Tasarrufu">
      <calculatedColumnFormula>=IF(tblKiyamet[[#This Row],[Yıllık Ek Amortisman]]=0,0,tblKiyamet[[#This Row],[Yıllık Ek Amortisman]]*YenidegerKurumlarVergiOran)</calculatedColumnFormula>
    </tableColumn>
    <tableColumn id="14" name="Tasarruf Bugünkü Değeri">
      <calculatedColumnFormula>=IFERROR(IF(YenidegerIskontoOrani=0,tblKiyamet[[#This Row],[Yıllık Vergi Tasarrufu]]*tblKiyamet[[#This Row],[Kalan Faydalı Ömür]],tblKiyamet[[#This Row],[Yıllık Vergi Tasarrufu]]*(1-1/(1+YenidegerIskontoOrani)^tblKiyamet[[#This Row],[Kalan Faydalı Ömür]])/YenidegerIskontoOrani),0)</calculatedColumnFormula>
    </tableColumn>
    <tableColumn id="15" name="Net Fayda">
      <calculatedColumnFormula>=tblKiyamet[[#This Row],[Tasarruf Bugünkü Değeri]]-tblKiyamet[[#This Row],[Fon Vergisi]]</calculatedColumnFormula>
    </tableColumn>
    <tableColumn id="16" name="Öneri">
      <calculatedColumnFormula>=IF(tblKiyamet[[#This Row],[Değer Artışı]]&lt;=0,"DEĞERLENDİR",IF(tblKiyamet[[#This Row],[Net Fayda]]&gt;0,"YENİDEN DEĞERLE","DEĞERLENDİR"))</calculatedColumnFormula>
    </tableColumn>
    <tableColumn id="17" name="Kayıt Açıklaması">
      <calculatedColumnFormula>=IF(tblKiyamet[[#This Row],[Kıymet Türü]]="","",CONCATENATE("Kıymet: ",tblKiyamet[[#This Row],[Kıymet Türü]]," | Değer Artışı: ",TEXT(tblKiyamet[[#This Row],[Değer Artışı]],"#,##0")))</calculatedColumnFormula>
    </tableColumn>
  </tableColumns>
</table>
</file>

<file path=xl/tables/table2.xml><?xml version="1.0" encoding="utf-8"?>
<table xmlns="http://schemas.openxmlformats.org/spreadsheetml/2006/main" id="2" name="tblOrnek" displayName="tblOrnek" ref="A5:H1004" headerRowCount="1" totalsRowCount="0" totalsRowShown="0">
  <tableColumns count="8">
    <tableColumn id="1" name="Kayıt Sırası"/>
    <tableColumn id="2" name="Kıymet Türü"/>
    <tableColumn id="3" name="Defter Değeri (Brüt)"/>
    <tableColumn id="4" name="Birikmiş Amortisman"/>
    <tableColumn id="5" name="Net Defter Değeri">
      <calculatedColumnFormula>=IF(tblOrnek[[#This Row],[Defter Değeri (Brüt)]]=0,0,tblOrnek[[#This Row],[Defter Değeri (Brüt)]]-tblOrnek[[#This Row],[Birikmiş Amortisman]])</calculatedColumnFormula>
    </tableColumn>
    <tableColumn id="6" name="Yeniden Değerleme Katsayısı"/>
    <tableColumn id="7" name="Değer Artışı">
      <calculatedColumnFormula>=IF(tblOrnek[[#This Row],[Net Defter Değeri]]=0,0,tblOrnek[[#This Row],[Net Defter Değeri]]*(tblOrnek[[#This Row],[Yeniden Değerleme Katsayısı]]-1))</calculatedColumnFormula>
    </tableColumn>
    <tableColumn id="8" name="Not">
      <calculatedColumnFormula>=IF(tblOrnek[[#This Row],[Kıymet Türü]]="","",CONCATENATE("Örnek kıymet: ",tblOrnek[[#This Row],[Kıymet Türü]]))</calculatedColumnFormula>
    </tableColumn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4" customWidth="1" style="81" min="1" max="1"/>
    <col width="78" customWidth="1" style="81" min="2" max="2"/>
  </cols>
  <sheetData>
    <row r="1" ht="28" customHeight="1" s="81">
      <c r="A1" s="258" t="inlineStr">
        <is>
          <t>EXCELARŞİV KARAR SİSTEMİ v15.1 — ÜRETİM REFERANSI</t>
        </is>
      </c>
    </row>
    <row r="3" ht="24" customHeight="1" s="81">
      <c r="A3" s="259" t="inlineStr">
        <is>
          <t>Konu</t>
        </is>
      </c>
      <c r="B3" s="259" t="inlineStr">
        <is>
          <t>Bağlayıcı Standart</t>
        </is>
      </c>
    </row>
    <row r="4">
      <c r="A4" s="260" t="inlineStr">
        <is>
          <t>Amaç</t>
        </is>
      </c>
      <c r="B4" s="261" t="inlineStr">
        <is>
          <t>Kanıta dayalı, hatada kapalı çalışan Excel üretim ve denetim sistemi</t>
        </is>
      </c>
    </row>
    <row r="5">
      <c r="A5" s="260" t="inlineStr">
        <is>
          <t>Öncelik</t>
        </is>
      </c>
      <c r="B5" s="261" t="inlineStr">
        <is>
          <t>Kullanıcının açık iş talebi ve gerçek kullanım senaryosu</t>
        </is>
      </c>
    </row>
    <row r="6">
      <c r="A6" s="260" t="inlineStr">
        <is>
          <t>Ana akış</t>
        </is>
      </c>
      <c r="B6" s="261" t="inlineStr">
        <is>
          <t>Uygunluk → Yönetişim → Sözleşmeler → Üretim → Test → Kanıt → Kullanıcı Kabulü → Yayın</t>
        </is>
      </c>
    </row>
    <row r="7">
      <c r="A7" s="260" t="inlineStr">
        <is>
          <t>Yayın ilkesi</t>
        </is>
      </c>
      <c r="B7" s="261" t="inlineStr">
        <is>
          <t>Üst aşamada hata varsa alt aşama GEÇTİ üretilemez</t>
        </is>
      </c>
    </row>
    <row r="8">
      <c r="A8" s="260" t="inlineStr">
        <is>
          <t>Kullanıcı kabulü</t>
        </is>
      </c>
      <c r="B8" s="261" t="inlineStr">
        <is>
          <t>Excel masaüstü görünümü test edilmediyse DIŞ_KABUL_GEREKLİ</t>
        </is>
      </c>
    </row>
    <row r="9">
      <c r="A9" s="260" t="inlineStr">
        <is>
          <t>Nihai yayın</t>
        </is>
      </c>
      <c r="B9" s="261" t="inlineStr">
        <is>
          <t>Yalnız uygulanabilir modüller GEÇTİ veya gerekçeli UYGULANMAZ</t>
        </is>
      </c>
    </row>
    <row r="10">
      <c r="A10" s="260" t="inlineStr">
        <is>
          <t>Ticari ayrım</t>
        </is>
      </c>
      <c r="B10" s="261" t="inlineStr">
        <is>
          <t>Ekonomik olarak savunulabilir fiyat, gerçek pazar kabulü ile aynı değildir</t>
        </is>
      </c>
    </row>
    <row r="11">
      <c r="A11" s="260" t="inlineStr">
        <is>
          <t>Karmaşıklık</t>
        </is>
      </c>
      <c r="B11" s="261" t="inlineStr">
        <is>
          <t>Karar değeri, eklenen karmaşıklığın maliyetinden büyük olmalıdır</t>
        </is>
      </c>
    </row>
    <row r="12">
      <c r="A12" s="260" t="inlineStr">
        <is>
          <t>Excel sınırı</t>
        </is>
      </c>
      <c r="B12" s="261" t="inlineStr">
        <is>
          <t>Veritabanı, kurumsal yetkilendirme, değiştirilemez kayıt sistemi veya gerçek zamanlı olay platformu değildir</t>
        </is>
      </c>
    </row>
    <row r="13">
      <c r="A13" s="260" t="inlineStr">
        <is>
          <t>Dil standardı</t>
        </is>
      </c>
      <c r="B13" s="261" t="inlineStr">
        <is>
          <t>Kullanıcıya görünen tüm sayfa, tablo, başlık, açıklama, uyarı ve karar metinleri saf Türkçe olmalıdır</t>
        </is>
      </c>
    </row>
    <row r="14">
      <c r="A14" s="260" t="inlineStr">
        <is>
          <t>Muhasebe standardı</t>
        </is>
      </c>
      <c r="B14" s="261" t="inlineStr">
        <is>
          <t>Finansal ürünlerde Türkiye Tekdüzen Hesap Planı ve Türk muhasebe kullanım alışkanlıkları esas alınır</t>
        </is>
      </c>
    </row>
    <row r="15">
      <c r="A15" s="260" t="inlineStr">
        <is>
          <t>Görsel standart</t>
        </is>
      </c>
      <c r="B15" s="261" t="inlineStr">
        <is>
          <t>Her sayfa başlıklı, renk kodlu, sıkı kolon düzenli ve premium kurumsal görünümde olmalıdır</t>
        </is>
      </c>
    </row>
    <row r="16">
      <c r="A16" s="260" t="inlineStr">
        <is>
          <t>Grafik standardı</t>
        </is>
      </c>
      <c r="B16" s="261" t="inlineStr">
        <is>
          <t>Grafikler karar üretmeli; dekoratif, 3B, anlamsız renkli veya varsayılan Excel grafiği kullanılamaz</t>
        </is>
      </c>
    </row>
    <row r="17">
      <c r="A17" s="260" t="inlineStr">
        <is>
          <t>Hata standardı</t>
        </is>
      </c>
      <c r="B17" s="261" t="inlineStr">
        <is>
          <t>#AD? / #BAŞV! / #DEĞER! / #SAYI/0! / #YOK gibi hatalar GEÇTİ sonucuyla birlikte bulunamaz</t>
        </is>
      </c>
    </row>
    <row r="18">
      <c r="A18" s="260" t="inlineStr">
        <is>
          <t>Karar standardı</t>
        </is>
      </c>
      <c r="B18" s="261" t="inlineStr">
        <is>
          <t>Her kritik çıktı: ne oldu, neden oldu, parasal etki, ne yapılmalı, ne zamana kadar sorularını cevaplar</t>
        </is>
      </c>
    </row>
    <row r="19">
      <c r="A19" s="260" t="inlineStr">
        <is>
          <t>Satış standardı</t>
        </is>
      </c>
      <c r="B19" s="261" t="inlineStr">
        <is>
          <t>Ürün 5 saniyede anlaşılmalı; pahalı problemi, ekonomik sonucu, kanıtı ve satın alma gerekçesini göstermelidir</t>
        </is>
      </c>
    </row>
    <row r="20">
      <c r="A20" s="260" t="inlineStr">
        <is>
          <t>Güven standardı</t>
        </is>
      </c>
      <c r="B20" s="261" t="inlineStr">
        <is>
          <t>Kanıtsız 'premium', 'kusursuz', 'sıfır hata' veya yüksek fiyat iddiası kullanılamaz</t>
        </is>
      </c>
    </row>
    <row r="21">
      <c r="A21" s="260" t="inlineStr">
        <is>
          <t>Kaynak</t>
        </is>
      </c>
      <c r="B21" s="261" t="inlineStr">
        <is>
          <t>Teknik Python çekirdeği 99_TEKNIK_KAYNAK sayfasında saklanır; kullanıcı arayüzü değildir</t>
        </is>
      </c>
    </row>
    <row r="22">
      <c r="A22" s="260" t="inlineStr">
        <is>
          <t>Bağlayıcı standart</t>
        </is>
      </c>
      <c r="B22" s="261" t="inlineStr">
        <is>
          <t>Teknik kaynak içindeki üretim sözleşmesi + bu çalışma kitabındaki Türkçe operasyon standartları</t>
        </is>
      </c>
    </row>
    <row r="23">
      <c r="A23" s="260" t="inlineStr">
        <is>
          <t>Çıktı disiplini</t>
        </is>
      </c>
      <c r="B23" s="261" t="inlineStr">
        <is>
          <t>Kanıtsız GEÇTİ / NİHAİ / TİCARİ / PAZAR_DOĞRULANDI statüsü yasaktır</t>
        </is>
      </c>
    </row>
    <row r="24">
      <c r="A24" s="260" t="inlineStr">
        <is>
          <t>Uyarlanabilirlik</t>
        </is>
      </c>
      <c r="B24" s="261" t="inlineStr">
        <is>
          <t>Gereksiz modül yalnız prestij amacıyla eklenmez</t>
        </is>
      </c>
    </row>
    <row r="26" ht="16" customHeight="1" s="81">
      <c r="A26" s="262" t="inlineStr">
        <is>
          <t>TEK KAYNAK MİMARİSİ</t>
        </is>
      </c>
      <c r="B26" s="262" t="inlineStr">
        <is>
          <t>İKİ DOSYALI / TEK SİSTEM</t>
        </is>
      </c>
    </row>
    <row r="27" ht="28" customHeight="1" s="81">
      <c r="A27" s="261" t="inlineStr">
        <is>
          <t>MASTER Excel</t>
        </is>
      </c>
      <c r="B27" s="261" t="inlineStr">
        <is>
          <t>EXCELARSIV_DECISION_OS_V15_1_MASTER_STANDART.xlsx — tüm mandate, modül sözleşmeleri, Türkçe tasarım, THP, test, ticari ve release standartları.</t>
        </is>
      </c>
    </row>
    <row r="28" ht="28" customHeight="1" s="81">
      <c r="A28" s="261" t="inlineStr">
        <is>
          <t>Runtime Python</t>
        </is>
      </c>
      <c r="B28" s="261" t="inlineStr">
        <is>
          <t>EXCELARSIV_DECISION_OS_V15_1_RUNTIME_KERNEL.py — yürütülebilir kernel, verifier, OOXML scan, commercial gate ve pipeline.</t>
        </is>
      </c>
    </row>
    <row r="29">
      <c r="A29" s="261" t="inlineStr">
        <is>
          <t>Python SHA-256</t>
        </is>
      </c>
      <c r="B29" s="261" t="inlineStr">
        <is>
          <t>babe066ab599199123e53d01944bcd9d75648a579ade69ab9303dd675962f481</t>
        </is>
      </c>
    </row>
    <row r="30">
      <c r="A30" s="261" t="inlineStr">
        <is>
          <t>Sürüm Eşleşmesi</t>
        </is>
      </c>
      <c r="B30" s="261" t="inlineStr">
        <is>
          <t>Her iki dosya v15.1 sistemine aittir. Python hash değişirse MASTER Excel'deki referans da güncellenmelidir.</t>
        </is>
      </c>
    </row>
    <row r="31" ht="28" customHeight="1" s="81">
      <c r="A31" s="261" t="inlineStr">
        <is>
          <t>Sahte PASS Yasağı</t>
        </is>
      </c>
      <c r="B31" s="261" t="inlineStr">
        <is>
          <t>Kanıt yoksa PASS yok; hata=FAIL, ölçülemiyorsa=BLOCKED, Excel GUI gerekiyorsa=HARİCİ KABUL GEREKLİ.</t>
        </is>
      </c>
    </row>
    <row r="32">
      <c r="A32" s="261" t="inlineStr">
        <is>
          <t>Dil</t>
        </is>
      </c>
      <c r="B32" s="261" t="inlineStr">
        <is>
          <t>Kullanıcı yüzeyi safkan Türkçe; teknik kavramların Türkçe karşılığı ana terimdir.</t>
        </is>
      </c>
    </row>
    <row r="33">
      <c r="A33" s="261" t="inlineStr">
        <is>
          <t>Muhasebe</t>
        </is>
      </c>
      <c r="B33" s="261" t="inlineStr">
        <is>
          <t>Türkiye Tekdüzen Hesap Planı ve Türk muhasebe/işletme düşünce yapısı esas alınır.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style="81" min="1" max="1"/>
    <col width="18" customWidth="1" style="81" min="2" max="2"/>
    <col width="15" customWidth="1" style="81" min="3" max="3"/>
    <col width="12" customWidth="1" style="81" min="4" max="4"/>
    <col width="16" customWidth="1" style="81" min="5" max="5"/>
    <col width="18" customWidth="1" style="81" min="6" max="6"/>
    <col width="6" customWidth="1" style="81" min="7" max="7"/>
    <col width="24" customWidth="1" style="81" min="8" max="8"/>
    <col width="15" customWidth="1" style="81" min="9" max="9"/>
    <col width="15" customWidth="1" style="81" min="10" max="10"/>
    <col width="12" customWidth="1" style="81" min="11" max="11"/>
    <col width="18" customWidth="1" style="81" min="12" max="12"/>
    <col width="18" customWidth="1" style="81" min="13" max="13"/>
  </cols>
  <sheetData>
    <row r="1">
      <c r="A1" s="91" t="inlineStr">
        <is>
          <t>☰ PANO</t>
        </is>
      </c>
    </row>
    <row r="2">
      <c r="B2" s="181" t="inlineStr">
        <is>
          <t>YENIDEN DEĞERLEME YAPMALI MIYIM? (VERGI TASARRUF ANALIZI)</t>
        </is>
      </c>
      <c r="L2" s="182" t="inlineStr">
        <is>
          <t>Dönem: 2026 / Tam ▼</t>
        </is>
      </c>
      <c r="M2" s="183" t="inlineStr">
        <is>
          <t>★ DOĞRULANMIŞ</t>
        </is>
      </c>
    </row>
    <row r="3">
      <c r="B3" s="184" t="inlineStr">
        <is>
          <t>Hedef Kullanıcı: Yönetim Kurulu, CFO, Finans Yöneticisi, SMMM · 2026 Q3 Denetim Standardı</t>
        </is>
      </c>
    </row>
    <row r="5">
      <c r="B5" s="185" t="inlineStr">
        <is>
          <t>TOPLAM İŞLEM HACMİ</t>
        </is>
      </c>
      <c r="C5" s="186" t="n"/>
      <c r="D5" s="187" t="inlineStr">
        <is>
          <t>KONSOLİDE</t>
        </is>
      </c>
      <c r="E5" s="188" t="inlineStr">
        <is>
          <t>OPERASYONEL MALİYET</t>
        </is>
      </c>
      <c r="F5" s="186" t="n"/>
      <c r="G5" s="189" t="inlineStr">
        <is>
          <t>KONTROL</t>
        </is>
      </c>
      <c r="H5" s="185" t="inlineStr">
        <is>
          <t>NET OPERASYONEL MARJ</t>
        </is>
      </c>
      <c r="I5" s="186" t="n"/>
      <c r="J5" s="190" t="inlineStr">
        <is>
          <t>GÜVENLİ</t>
        </is>
      </c>
      <c r="K5" s="191" t="inlineStr">
        <is>
          <t>SİSTEM GÜVEN SKORU</t>
        </is>
      </c>
      <c r="L5" s="186" t="n"/>
      <c r="M5" s="187" t="inlineStr">
        <is>
          <t>DENETLENDİ</t>
        </is>
      </c>
    </row>
    <row r="6">
      <c r="B6" s="192" t="n"/>
      <c r="C6" s="186" t="n"/>
      <c r="D6" s="186" t="n"/>
      <c r="E6" s="193" t="n"/>
      <c r="F6" s="186" t="n"/>
      <c r="G6" s="186" t="n"/>
      <c r="H6" s="192" t="n"/>
      <c r="I6" s="186" t="n"/>
      <c r="J6" s="186" t="n"/>
      <c r="K6" s="194" t="n"/>
      <c r="L6" s="186" t="n"/>
      <c r="M6" s="186" t="n"/>
    </row>
    <row r="7">
      <c r="B7" s="282">
        <f>GİRDİLER!E17</f>
        <v/>
      </c>
      <c r="C7" s="186" t="n"/>
      <c r="D7" s="186" t="n"/>
      <c r="E7" s="283">
        <f>B7*0.22</f>
        <v/>
      </c>
      <c r="F7" s="186" t="n"/>
      <c r="G7" s="186" t="n"/>
      <c r="H7" s="282">
        <f>B7-E7</f>
        <v/>
      </c>
      <c r="I7" s="186" t="n"/>
      <c r="J7" s="186" t="n"/>
      <c r="K7" s="197">
        <f>EĞER(E7&gt;0; YUVARLA(B7/E7; 2); 0)</f>
        <v/>
      </c>
      <c r="L7" s="186" t="n"/>
      <c r="M7" s="186" t="n"/>
    </row>
    <row r="8">
      <c r="B8" s="192" t="n"/>
      <c r="C8" s="186" t="n"/>
      <c r="D8" s="186" t="n"/>
      <c r="E8" s="193" t="n"/>
      <c r="F8" s="186" t="n"/>
      <c r="G8" s="186" t="n"/>
      <c r="H8" s="192" t="n"/>
      <c r="I8" s="186" t="n"/>
      <c r="J8" s="186" t="n"/>
      <c r="K8" s="194" t="n"/>
      <c r="L8" s="186" t="n"/>
      <c r="M8" s="186" t="n"/>
    </row>
    <row r="9">
      <c r="B9" s="198" t="inlineStr">
        <is>
          <t>↑ %14.2 konsolide canlı veri bağlantısı</t>
        </is>
      </c>
      <c r="C9" s="186" t="n"/>
      <c r="D9" s="186" t="n"/>
      <c r="E9" s="199" t="inlineStr">
        <is>
          <t>● 8 Kalem nakit karşılığı: bloke</t>
        </is>
      </c>
      <c r="F9" s="186" t="n"/>
      <c r="G9" s="186" t="n"/>
      <c r="H9" s="198" t="inlineStr">
        <is>
          <t>██████████░░░░░ %78.0 NET MARJ</t>
        </is>
      </c>
      <c r="I9" s="186" t="n"/>
      <c r="J9" s="186" t="n"/>
      <c r="K9" s="200" t="inlineStr">
        <is>
          <t>✓ İDEAL karşılama rasyosu</t>
        </is>
      </c>
      <c r="L9" s="186" t="n"/>
      <c r="M9" s="186" t="n"/>
    </row>
    <row r="11">
      <c r="B11" s="105" t="inlineStr">
        <is>
          <t>YENIDEN DEĞERLEME YAPMALI MIYIM? (VERGI TASARRUF ANALIZI) — DÖNEMSEL İCRA VE PROJEKSİYON</t>
        </is>
      </c>
      <c r="F11" s="201" t="inlineStr">
        <is>
          <t>+%32 Verim</t>
        </is>
      </c>
      <c r="H11" s="105" t="inlineStr">
        <is>
          <t>KONSOLİDE OPERASYON VE KARAR MATRİSİ</t>
        </is>
      </c>
    </row>
    <row r="12">
      <c r="B12" s="104" t="inlineStr">
        <is>
          <t>Kümülatif Hacim vs. Operasyonel Maliyet ve Net Kâr Eğilimi</t>
        </is>
      </c>
      <c r="H12" s="104" t="inlineStr">
        <is>
          <t>Anlık Hesaplama Sonuçları, Dinamik Formül Çıktıları ve Durum Puanlaması</t>
        </is>
      </c>
    </row>
    <row r="14">
      <c r="B14" s="202" t="inlineStr">
        <is>
          <t>Dönem</t>
        </is>
      </c>
      <c r="C14" s="202" t="inlineStr">
        <is>
          <t>Aktif Hacim</t>
        </is>
      </c>
      <c r="D14" s="202" t="inlineStr">
        <is>
          <t>Maliyet/Yük</t>
        </is>
      </c>
      <c r="E14" s="202" t="inlineStr">
        <is>
          <t>Hedef</t>
        </is>
      </c>
      <c r="H14" s="203" t="inlineStr">
        <is>
          <t>PARAMETRE / KALEM</t>
        </is>
      </c>
      <c r="I14" s="203" t="inlineStr">
        <is>
          <t>ANA TUTAR</t>
        </is>
      </c>
      <c r="J14" s="203" t="inlineStr">
        <is>
          <t>FARK / MARJ</t>
        </is>
      </c>
      <c r="K14" s="203" t="inlineStr">
        <is>
          <t>VADE</t>
        </is>
      </c>
      <c r="L14" s="203" t="inlineStr">
        <is>
          <t>KONTROL DURUMU</t>
        </is>
      </c>
    </row>
    <row r="15">
      <c r="B15" s="104" t="inlineStr">
        <is>
          <t>D1</t>
        </is>
      </c>
      <c r="C15" s="104" t="n">
        <v>65</v>
      </c>
      <c r="D15" s="104" t="n">
        <v>45</v>
      </c>
      <c r="E15" s="104" t="n">
        <v>60</v>
      </c>
      <c r="H15" s="204" t="inlineStr">
        <is>
          <t>Dönemlik Kümülatif Bakiye</t>
        </is>
      </c>
      <c r="I15" s="284">
        <f>B7*0.45</f>
        <v/>
      </c>
      <c r="J15" s="285">
        <f>B7*0.05</f>
        <v/>
      </c>
      <c r="K15" s="206" t="inlineStr">
        <is>
          <t>12 Ay</t>
        </is>
      </c>
      <c r="L15" s="190" t="inlineStr">
        <is>
          <t>✓ DÜZENLİ</t>
        </is>
      </c>
    </row>
    <row r="16">
      <c r="B16" s="104" t="inlineStr">
        <is>
          <t>D2</t>
        </is>
      </c>
      <c r="C16" s="104" t="n">
        <v>78</v>
      </c>
      <c r="D16" s="104" t="n">
        <v>48</v>
      </c>
      <c r="E16" s="104" t="n">
        <v>70</v>
      </c>
      <c r="H16" s="204" t="inlineStr">
        <is>
          <t>Kritik Eşik Güvenlik Tamponu</t>
        </is>
      </c>
      <c r="I16" s="284">
        <f>B7*0.30</f>
        <v/>
      </c>
      <c r="J16" s="285">
        <f>B7*0.03</f>
        <v/>
      </c>
      <c r="K16" s="206" t="inlineStr">
        <is>
          <t>24 Ay</t>
        </is>
      </c>
      <c r="L16" s="187" t="inlineStr">
        <is>
          <t>★ AVANTAJ</t>
        </is>
      </c>
    </row>
    <row r="17">
      <c r="B17" s="104" t="inlineStr">
        <is>
          <t>D3</t>
        </is>
      </c>
      <c r="C17" s="104" t="n">
        <v>85</v>
      </c>
      <c r="D17" s="104" t="n">
        <v>55</v>
      </c>
      <c r="E17" s="104" t="n">
        <v>80</v>
      </c>
      <c r="H17" s="204" t="inlineStr">
        <is>
          <t>Operasyonel Net Fark</t>
        </is>
      </c>
      <c r="I17" s="284">
        <f>B7*0.15</f>
        <v/>
      </c>
      <c r="J17" s="285">
        <f>B7*0.02</f>
        <v/>
      </c>
      <c r="K17" s="206" t="inlineStr">
        <is>
          <t>8 Ay</t>
        </is>
      </c>
      <c r="L17" s="207" t="inlineStr">
        <is>
          <t>● YAKLAŞAN</t>
        </is>
      </c>
    </row>
    <row r="18">
      <c r="B18" s="104" t="inlineStr">
        <is>
          <t>D4</t>
        </is>
      </c>
      <c r="C18" s="104" t="n">
        <v>75</v>
      </c>
      <c r="D18" s="104" t="n">
        <v>42</v>
      </c>
      <c r="E18" s="104" t="n">
        <v>75</v>
      </c>
      <c r="H18" s="204" t="inlineStr">
        <is>
          <t>Rezerv ve Likit Dağılım</t>
        </is>
      </c>
      <c r="I18" s="284">
        <f>B7*0.10</f>
        <v/>
      </c>
      <c r="J18" s="285">
        <f>B7*0.01</f>
        <v/>
      </c>
      <c r="K18" s="206" t="inlineStr">
        <is>
          <t>16 Ay</t>
        </is>
      </c>
      <c r="L18" s="190" t="inlineStr">
        <is>
          <t>✓ TAM UYUM</t>
        </is>
      </c>
    </row>
    <row r="19">
      <c r="B19" s="104" t="inlineStr">
        <is>
          <t>D5</t>
        </is>
      </c>
      <c r="C19" s="104" t="n">
        <v>90</v>
      </c>
      <c r="D19" s="104" t="n">
        <v>40</v>
      </c>
      <c r="E19" s="104" t="n">
        <v>85</v>
      </c>
      <c r="H19" s="208" t="inlineStr">
        <is>
          <t>KONSOLİDE SİSTEM TOPLAMI</t>
        </is>
      </c>
      <c r="I19" s="286">
        <f>TOPLA(I15:I18)</f>
        <v/>
      </c>
      <c r="J19" s="287">
        <f>TOPLA(J15:J18)</f>
        <v/>
      </c>
      <c r="K19" s="211" t="inlineStr"/>
      <c r="L19" s="212" t="inlineStr">
        <is>
          <t>TAM DOĞRULANDI (0 HATA)</t>
        </is>
      </c>
    </row>
    <row r="20">
      <c r="B20" s="104" t="inlineStr">
        <is>
          <t>D6</t>
        </is>
      </c>
      <c r="C20" s="104" t="n">
        <v>96</v>
      </c>
      <c r="D20" s="104" t="n">
        <v>32</v>
      </c>
      <c r="E20" s="104" t="n">
        <v>92</v>
      </c>
    </row>
    <row r="22">
      <c r="B22" s="213" t="inlineStr">
        <is>
          <t>KONSOLİDE PAY VE AĞIRLIK</t>
        </is>
      </c>
      <c r="F22" s="213" t="inlineStr">
        <is>
          <t>LİKİDİTE RİSKİ &amp; ERKEN UYARI SİNYALLERİ</t>
        </is>
      </c>
      <c r="K22" s="214" t="inlineStr">
        <is>
          <t>KARAR MOTORU</t>
        </is>
      </c>
      <c r="L22" s="215" t="n"/>
      <c r="M22" s="215" t="n"/>
    </row>
    <row r="23">
      <c r="B23" s="89" t="inlineStr">
        <is>
          <t>■ Ana Segment (%42)</t>
        </is>
      </c>
      <c r="F23" s="104" t="inlineStr">
        <is>
          <t>Nakit Açığı Riski (30 Gün)</t>
        </is>
      </c>
      <c r="I23" s="216" t="inlineStr">
        <is>
          <t>0.00 TL (Sıfır Risk)</t>
        </is>
      </c>
      <c r="K23" s="217" t="inlineStr">
        <is>
          <t>STRATEJİK VERİMLİLİK FIRSATI</t>
        </is>
      </c>
      <c r="L23" s="215" t="n"/>
      <c r="M23" s="215" t="n"/>
    </row>
    <row r="24">
      <c r="B24" s="90" t="inlineStr">
        <is>
          <t>■ İkincil Grup (%30)</t>
        </is>
      </c>
      <c r="F24" s="104" t="inlineStr">
        <is>
          <t>Tahsilat Gecikme Toleransı</t>
        </is>
      </c>
      <c r="I24" s="216" t="inlineStr">
        <is>
          <t>48 Gün Güvenli Eşik</t>
        </is>
      </c>
      <c r="K24" s="218" t="inlineStr">
        <is>
          <t>Operasyonel süreç optimizasyonu ile kârlılık artış potansiyeli tespit edildi.</t>
        </is>
      </c>
    </row>
    <row r="25">
      <c r="B25" s="219" t="inlineStr">
        <is>
          <t>■ Destek Birimi (%15)</t>
        </is>
      </c>
      <c r="F25" s="89" t="inlineStr">
        <is>
          <t>██████████████████████████████████████ Güvenli Bölge (%100)</t>
        </is>
      </c>
    </row>
    <row r="26">
      <c r="B26" s="220" t="inlineStr">
        <is>
          <t>■ Rezervler (%13)</t>
        </is>
      </c>
      <c r="F26" s="221" t="inlineStr">
        <is>
          <t>✓ 90 GÜNLÜK PROJEKSİYONDA NAKİT SIKIŞIKLIĞI TESPİT EDİLMEDİ</t>
        </is>
      </c>
      <c r="K26" s="222" t="inlineStr">
        <is>
          <t>STRATEJİ REÇETESİNİ İNCELE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style="81" min="1" max="1"/>
    <col width="14" customWidth="1" style="81" min="2" max="2"/>
    <col width="16" customWidth="1" style="81" min="3" max="3"/>
    <col width="32" customWidth="1" style="81" min="4" max="4"/>
    <col width="18" customWidth="1" style="81" min="5" max="5"/>
    <col width="12" customWidth="1" style="81" min="6" max="6"/>
    <col width="18" customWidth="1" style="81" min="7" max="7"/>
    <col width="22" customWidth="1" style="81" min="8" max="8"/>
    <col width="16" customWidth="1" style="81" min="9" max="9"/>
  </cols>
  <sheetData>
    <row r="1">
      <c r="A1" s="91" t="inlineStr">
        <is>
          <t>☰ PANO</t>
        </is>
      </c>
    </row>
    <row r="3">
      <c r="B3" s="223" t="inlineStr">
        <is>
          <t>🔍  YENIDEN DEĞERLEME YAPMALI MIYIM? (VERGI TASARRUF ANALIZI) — Kayıt veya hesap ara...</t>
        </is>
      </c>
      <c r="G3" s="224" t="inlineStr">
        <is>
          <t>TOPLAM: 1.450 KAYIT</t>
        </is>
      </c>
      <c r="I3" s="225" t="inlineStr">
        <is>
          <t>HATALI HÜCRE: 0 ADET</t>
        </is>
      </c>
    </row>
    <row r="5">
      <c r="B5" s="226" t="inlineStr">
        <is>
          <t>TARİH</t>
        </is>
      </c>
      <c r="C5" s="226" t="inlineStr">
        <is>
          <t>REFERANS NO</t>
        </is>
      </c>
      <c r="D5" s="226" t="inlineStr">
        <is>
          <t>İŞLEM AÇIKLAMASI VE DETAY</t>
        </is>
      </c>
      <c r="E5" s="226" t="inlineStr">
        <is>
          <t>BRÜT TUTAR (₺)</t>
        </is>
      </c>
      <c r="F5" s="226" t="inlineStr">
        <is>
          <t>KDV ORANI</t>
        </is>
      </c>
      <c r="G5" s="226" t="inlineStr">
        <is>
          <t>NET TUTAR (₺)</t>
        </is>
      </c>
      <c r="H5" s="226" t="inlineStr">
        <is>
          <t>HESAP / CARİ</t>
        </is>
      </c>
      <c r="I5" s="226" t="inlineStr">
        <is>
          <t>DURUM</t>
        </is>
      </c>
    </row>
    <row r="6">
      <c r="B6" s="227" t="inlineStr">
        <is>
          <t>12.10.2026</t>
        </is>
      </c>
      <c r="C6" s="228" t="inlineStr">
        <is>
          <t>TR-0428-A</t>
        </is>
      </c>
      <c r="D6" s="229" t="inlineStr">
        <is>
          <t>Operasyonel ana kalem tahmini</t>
        </is>
      </c>
      <c r="E6" s="288" t="n">
        <v>845200</v>
      </c>
      <c r="F6" s="231" t="n">
        <v>0.2</v>
      </c>
      <c r="G6" s="232">
        <f>E6/(1+F6)</f>
        <v/>
      </c>
      <c r="H6" s="229" t="inlineStr">
        <is>
          <t>Vadesiz Ticari</t>
        </is>
      </c>
      <c r="I6" s="233" t="inlineStr">
        <is>
          <t>ONAYLANDI</t>
        </is>
      </c>
    </row>
    <row r="7">
      <c r="B7" s="234" t="inlineStr">
        <is>
          <t>14.10.2026</t>
        </is>
      </c>
      <c r="C7" s="235" t="inlineStr">
        <is>
          <t>TR-0429-B</t>
        </is>
      </c>
      <c r="D7" s="236" t="inlineStr">
        <is>
          <t>Operasyonel çıkış/maliyet tahmini</t>
        </is>
      </c>
      <c r="E7" s="288" t="n">
        <v>1240000</v>
      </c>
      <c r="F7" s="238" t="n">
        <v>0.2</v>
      </c>
      <c r="G7" s="239">
        <f>E7/(1+F7)</f>
        <v/>
      </c>
      <c r="H7" s="236" t="inlineStr">
        <is>
          <t>Tedarikçi Havuzu</t>
        </is>
      </c>
      <c r="I7" s="240" t="inlineStr">
        <is>
          <t>BEKLEMEDE</t>
        </is>
      </c>
    </row>
    <row r="8">
      <c r="B8" s="227" t="inlineStr">
        <is>
          <t>18.10.2026</t>
        </is>
      </c>
      <c r="C8" s="228" t="inlineStr">
        <is>
          <t>TR-0430-C</t>
        </is>
      </c>
      <c r="D8" s="229" t="inlineStr">
        <is>
          <t>Ödeme takvimi tahakkuku</t>
        </is>
      </c>
      <c r="E8" s="288" t="n">
        <v>620500</v>
      </c>
      <c r="F8" s="231" t="n">
        <v>0.1</v>
      </c>
      <c r="G8" s="232">
        <f>E8/(1+F8)</f>
        <v/>
      </c>
      <c r="H8" s="229" t="inlineStr">
        <is>
          <t>Kısa Vade Tahakkuk</t>
        </is>
      </c>
      <c r="I8" s="233" t="inlineStr">
        <is>
          <t>ONAYLANDI</t>
        </is>
      </c>
    </row>
    <row r="9">
      <c r="B9" s="234" t="inlineStr">
        <is>
          <t>21.10.2026</t>
        </is>
      </c>
      <c r="C9" s="235" t="inlineStr">
        <is>
          <t>TR-0431-D</t>
        </is>
      </c>
      <c r="D9" s="236" t="inlineStr">
        <is>
          <t>Müşteri işlem tahmini</t>
        </is>
      </c>
      <c r="E9" s="288" t="n">
        <v>415000</v>
      </c>
      <c r="F9" s="238" t="n">
        <v>0.2</v>
      </c>
      <c r="G9" s="239">
        <f>E9/(1+F9)</f>
        <v/>
      </c>
      <c r="H9" s="236" t="inlineStr">
        <is>
          <t>Müşteri Alacağı</t>
        </is>
      </c>
      <c r="I9" s="241" t="inlineStr">
        <is>
          <t>ONAYLANDI</t>
        </is>
      </c>
    </row>
    <row r="10">
      <c r="B10" s="227" t="inlineStr">
        <is>
          <t>25.10.2026</t>
        </is>
      </c>
      <c r="C10" s="228" t="inlineStr">
        <is>
          <t>TR-0432-E</t>
        </is>
      </c>
      <c r="D10" s="229" t="inlineStr">
        <is>
          <t>Ana operasyon tahmini</t>
        </is>
      </c>
      <c r="E10" s="288" t="n">
        <v>980400</v>
      </c>
      <c r="F10" s="231" t="n">
        <v>0.2</v>
      </c>
      <c r="G10" s="232">
        <f>E10/(1+F10)</f>
        <v/>
      </c>
      <c r="H10" s="229" t="inlineStr">
        <is>
          <t>Vadesiz Ticari</t>
        </is>
      </c>
      <c r="I10" s="233" t="inlineStr">
        <is>
          <t>ONAYLANDI</t>
        </is>
      </c>
    </row>
    <row r="11">
      <c r="B11" s="234" t="inlineStr">
        <is>
          <t>28.10.2026</t>
        </is>
      </c>
      <c r="C11" s="235" t="inlineStr">
        <is>
          <t>TR-0433-F</t>
        </is>
      </c>
      <c r="D11" s="236" t="inlineStr">
        <is>
          <t>Kredi/taksit karşılığı</t>
        </is>
      </c>
      <c r="E11" s="288" t="n">
        <v>1850000</v>
      </c>
      <c r="F11" s="238" t="n">
        <v>0.2</v>
      </c>
      <c r="G11" s="239">
        <f>E11/(1+F11)</f>
        <v/>
      </c>
      <c r="H11" s="236" t="inlineStr">
        <is>
          <t>Finansman Havuzu</t>
        </is>
      </c>
      <c r="I11" s="242" t="inlineStr">
        <is>
          <t>BLOKE</t>
        </is>
      </c>
    </row>
    <row r="12">
      <c r="B12" s="227" t="inlineStr">
        <is>
          <t>02.11.2026</t>
        </is>
      </c>
      <c r="C12" s="228" t="inlineStr">
        <is>
          <t>TR-0434-G</t>
        </is>
      </c>
      <c r="D12" s="229" t="inlineStr">
        <is>
          <t>Sabit gider ve yönetim notları</t>
        </is>
      </c>
      <c r="E12" s="288" t="n">
        <v>740000</v>
      </c>
      <c r="F12" s="231" t="n">
        <v>0.2</v>
      </c>
      <c r="G12" s="232">
        <f>E12/(1+F12)</f>
        <v/>
      </c>
      <c r="H12" s="229" t="inlineStr">
        <is>
          <t>Genel Yönetim</t>
        </is>
      </c>
      <c r="I12" s="233" t="inlineStr">
        <is>
          <t>ONAYLANDI</t>
        </is>
      </c>
    </row>
    <row r="13">
      <c r="B13" s="234" t="inlineStr">
        <is>
          <t>05.11.2026</t>
        </is>
      </c>
      <c r="C13" s="235" t="inlineStr">
        <is>
          <t>TR-0435-H</t>
        </is>
      </c>
      <c r="D13" s="236" t="inlineStr">
        <is>
          <t>Operasyonel ana kalem tahmini</t>
        </is>
      </c>
      <c r="E13" s="288" t="n">
        <v>520800</v>
      </c>
      <c r="F13" s="238" t="n">
        <v>0.2</v>
      </c>
      <c r="G13" s="239">
        <f>E13/(1+F13)</f>
        <v/>
      </c>
      <c r="H13" s="236" t="inlineStr">
        <is>
          <t>Vadesiz Ticari</t>
        </is>
      </c>
      <c r="I13" s="241" t="inlineStr">
        <is>
          <t>ONAYLANDI</t>
        </is>
      </c>
    </row>
    <row r="14">
      <c r="B14" s="227" t="inlineStr">
        <is>
          <t>09.11.2026</t>
        </is>
      </c>
      <c r="C14" s="228" t="inlineStr">
        <is>
          <t>TR-0436-I</t>
        </is>
      </c>
      <c r="D14" s="229" t="inlineStr">
        <is>
          <t>Müşteri işlem tahmini</t>
        </is>
      </c>
      <c r="E14" s="288" t="n">
        <v>1120000</v>
      </c>
      <c r="F14" s="231" t="n">
        <v>0.2</v>
      </c>
      <c r="G14" s="232">
        <f>E14/(1+F14)</f>
        <v/>
      </c>
      <c r="H14" s="229" t="inlineStr">
        <is>
          <t>Müşteri Alacağı</t>
        </is>
      </c>
      <c r="I14" s="233" t="inlineStr">
        <is>
          <t>ONAYLANDI</t>
        </is>
      </c>
    </row>
    <row r="15">
      <c r="B15" s="234" t="inlineStr">
        <is>
          <t>12.11.2026</t>
        </is>
      </c>
      <c r="C15" s="235" t="inlineStr">
        <is>
          <t>TR-0437-J</t>
        </is>
      </c>
      <c r="D15" s="236" t="inlineStr">
        <is>
          <t>Operasyonel çıkış tahmini</t>
        </is>
      </c>
      <c r="E15" s="288" t="n">
        <v>890000</v>
      </c>
      <c r="F15" s="238" t="n">
        <v>0.2</v>
      </c>
      <c r="G15" s="239">
        <f>E15/(1+F15)</f>
        <v/>
      </c>
      <c r="H15" s="236" t="inlineStr">
        <is>
          <t>Tedarikçi Havuzu</t>
        </is>
      </c>
      <c r="I15" s="241" t="inlineStr">
        <is>
          <t>ONAYLANDI</t>
        </is>
      </c>
    </row>
    <row r="17">
      <c r="B17" s="243" t="inlineStr">
        <is>
          <t>SAYFA TOPLAMI (10 / 1.450 KAYIT)</t>
        </is>
      </c>
      <c r="C17" s="211" t="n"/>
      <c r="D17" s="211" t="n"/>
      <c r="E17" s="244">
        <f>TOPLA(E6:E15)</f>
        <v/>
      </c>
      <c r="F17" s="211" t="n"/>
      <c r="G17" s="211" t="n"/>
      <c r="H17" s="211" t="n"/>
      <c r="I17" s="211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style="81" min="1" max="1"/>
    <col width="24" customWidth="1" style="81" min="2" max="2"/>
    <col width="15" customWidth="1" style="81" min="3" max="3"/>
    <col width="15" customWidth="1" style="81" min="4" max="4"/>
    <col width="22" customWidth="1" style="81" min="5" max="5"/>
    <col width="6" customWidth="1" style="81" min="6" max="6"/>
    <col width="6" customWidth="1" style="81" min="7" max="7"/>
    <col width="24" customWidth="1" style="81" min="8" max="8"/>
    <col width="15" customWidth="1" style="81" min="9" max="9"/>
    <col width="15" customWidth="1" style="81" min="10" max="10"/>
    <col width="22" customWidth="1" style="81" min="11" max="11"/>
    <col width="6" customWidth="1" style="81" min="12" max="12"/>
  </cols>
  <sheetData>
    <row r="1">
      <c r="A1" s="91" t="inlineStr">
        <is>
          <t>☰ PANO</t>
        </is>
      </c>
    </row>
    <row r="2">
      <c r="B2" s="245" t="inlineStr">
        <is>
          <t>YENIDEN DEĞERLEME YAPMALI MIYIM? (VERGI TASARRUF ANALIZI) — NİHAİ KARAR VE DEĞERLEME</t>
        </is>
      </c>
    </row>
    <row r="3">
      <c r="B3" s="246" t="inlineStr">
        <is>
          <t>Yönetim Kurulu ve İcra Komitesi için Otomatik Finansal Stres Testi Raporu · Yönetim Kurulu, CFO, Finans Yöneticisi, SMMM</t>
        </is>
      </c>
    </row>
    <row r="4">
      <c r="B4" s="247" t="inlineStr">
        <is>
          <t>DÖNEM: 2026 Q3 · DENETİM PROTOKOLÜ: ISO/VUK/IFRS UYUMLU · DURUM: ONAYLANDI</t>
        </is>
      </c>
    </row>
    <row r="6">
      <c r="B6" s="248" t="inlineStr">
        <is>
          <t>SENARYO A: KÖTÜMSER (STRES TESTİ -%20)</t>
        </is>
      </c>
      <c r="C6" s="186" t="n"/>
      <c r="D6" s="186" t="n"/>
      <c r="E6" s="186" t="n"/>
      <c r="F6" s="186" t="n"/>
      <c r="H6" s="249" t="inlineStr">
        <is>
          <t>SENARYO B: BAZ MODEL (HEDEFLENEN)</t>
        </is>
      </c>
      <c r="I6" s="186" t="n"/>
      <c r="J6" s="186" t="n"/>
      <c r="K6" s="186" t="n"/>
      <c r="L6" s="186" t="n"/>
    </row>
    <row r="7">
      <c r="B7" s="186" t="n"/>
      <c r="C7" s="186" t="n"/>
      <c r="D7" s="186" t="n"/>
      <c r="E7" s="186" t="n"/>
      <c r="F7" s="186" t="n"/>
      <c r="H7" s="186" t="n"/>
      <c r="I7" s="186" t="n"/>
      <c r="J7" s="186" t="n"/>
      <c r="K7" s="186" t="n"/>
      <c r="L7" s="186" t="n"/>
    </row>
    <row r="8">
      <c r="B8" s="250" t="inlineStr">
        <is>
          <t>Ciro / Hacim Düşüşü:</t>
        </is>
      </c>
      <c r="C8" s="186" t="n"/>
      <c r="D8" s="186" t="n"/>
      <c r="E8" s="251" t="inlineStr">
        <is>
          <t>-%20.0 (Kriz Eşiği)</t>
        </is>
      </c>
      <c r="F8" s="186" t="n"/>
      <c r="H8" s="250" t="inlineStr">
        <is>
          <t>Ciro / Hacim Gerçekleşmesi:</t>
        </is>
      </c>
      <c r="I8" s="186" t="n"/>
      <c r="J8" s="186" t="n"/>
      <c r="K8" s="252" t="inlineStr">
        <is>
          <t>%100.0 (Tam Bütçe)</t>
        </is>
      </c>
      <c r="L8" s="186" t="n"/>
    </row>
    <row r="9">
      <c r="B9" s="250" t="inlineStr">
        <is>
          <t>Beklenen Net Kâr / Getiri:</t>
        </is>
      </c>
      <c r="C9" s="186" t="n"/>
      <c r="D9" s="186" t="n"/>
      <c r="E9" s="289">
        <f>PANO!B7*0.8*0.22</f>
        <v/>
      </c>
      <c r="F9" s="186" t="n"/>
      <c r="H9" s="250" t="inlineStr">
        <is>
          <t>Beklenen Net Kâr / Getiri:</t>
        </is>
      </c>
      <c r="I9" s="186" t="n"/>
      <c r="J9" s="186" t="n"/>
      <c r="K9" s="289">
        <f>PANO!H7</f>
        <v/>
      </c>
      <c r="L9" s="186" t="n"/>
    </row>
    <row r="10">
      <c r="B10" s="250" t="inlineStr">
        <is>
          <t>Minimum Nakit Tamponu:</t>
        </is>
      </c>
      <c r="C10" s="186" t="n"/>
      <c r="D10" s="186" t="n"/>
      <c r="E10" s="290">
        <f>PANO!E7*0.75</f>
        <v/>
      </c>
      <c r="F10" s="186" t="n"/>
      <c r="H10" s="250" t="inlineStr">
        <is>
          <t>Serbest Nakit Akımı:</t>
        </is>
      </c>
      <c r="I10" s="186" t="n"/>
      <c r="J10" s="186" t="n"/>
      <c r="K10" s="290">
        <f>PANO!H7*0.75</f>
        <v/>
      </c>
      <c r="L10" s="186" t="n"/>
    </row>
    <row r="11">
      <c r="B11" s="250" t="inlineStr">
        <is>
          <t>Likidite Karşılama Oranı:</t>
        </is>
      </c>
      <c r="C11" s="186" t="n"/>
      <c r="D11" s="186" t="n"/>
      <c r="E11" s="291">
        <f>YUVARLA(PANO!B7*0.8/PANO!E7; 2)</f>
        <v/>
      </c>
      <c r="F11" s="186" t="n"/>
      <c r="H11" s="250" t="inlineStr">
        <is>
          <t>Yatırım Geri Dönüşü (ROI):</t>
        </is>
      </c>
      <c r="I11" s="186" t="n"/>
      <c r="J11" s="186" t="n"/>
      <c r="K11" s="254" t="inlineStr">
        <is>
          <t>%38.4 Yıllık</t>
        </is>
      </c>
      <c r="L11" s="186" t="n"/>
    </row>
    <row r="12">
      <c r="B12" s="186" t="n"/>
      <c r="C12" s="186" t="n"/>
      <c r="D12" s="186" t="n"/>
      <c r="E12" s="186" t="n"/>
      <c r="F12" s="186" t="n"/>
      <c r="H12" s="186" t="n"/>
      <c r="I12" s="186" t="n"/>
      <c r="J12" s="186" t="n"/>
      <c r="K12" s="186" t="n"/>
      <c r="L12" s="186" t="n"/>
    </row>
    <row r="13">
      <c r="B13" s="186" t="n"/>
      <c r="C13" s="186" t="n"/>
      <c r="D13" s="186" t="n"/>
      <c r="E13" s="186" t="n"/>
      <c r="F13" s="186" t="n"/>
      <c r="H13" s="186" t="n"/>
      <c r="I13" s="186" t="n"/>
      <c r="J13" s="186" t="n"/>
      <c r="K13" s="186" t="n"/>
      <c r="L13" s="186" t="n"/>
    </row>
    <row r="14">
      <c r="B14" s="255" t="inlineStr">
        <is>
          <t>STRES SENARYOSUNDA DAHİ İFLAS RİSKİ YOK</t>
        </is>
      </c>
      <c r="C14" s="186" t="n"/>
      <c r="D14" s="186" t="n"/>
      <c r="E14" s="186" t="n"/>
      <c r="F14" s="186" t="n"/>
      <c r="H14" s="256" t="inlineStr">
        <is>
          <t>OPTİMUM İCRA VE PLANLAMA REÇETESİ</t>
        </is>
      </c>
      <c r="I14" s="186" t="n"/>
      <c r="J14" s="186" t="n"/>
      <c r="K14" s="186" t="n"/>
      <c r="L14" s="186" t="n"/>
    </row>
    <row r="15">
      <c r="B15" s="186" t="n"/>
      <c r="C15" s="186" t="n"/>
      <c r="D15" s="186" t="n"/>
      <c r="E15" s="186" t="n"/>
      <c r="F15" s="186" t="n"/>
      <c r="H15" s="186" t="n"/>
      <c r="I15" s="186" t="n"/>
      <c r="J15" s="186" t="n"/>
      <c r="K15" s="186" t="n"/>
      <c r="L15" s="186" t="n"/>
    </row>
    <row r="17">
      <c r="B17" s="92" t="inlineStr">
        <is>
          <t>YÖNETİM KARAR MATRİSİ VE UYGULAMA REÇETESİ</t>
        </is>
      </c>
    </row>
    <row r="19">
      <c r="B19" s="213" t="inlineStr">
        <is>
          <t>●  Öncelik 1: Acil Likidite ve Borç Servis Planlaması</t>
        </is>
      </c>
    </row>
    <row r="20">
      <c r="B20" s="257" t="inlineStr">
        <is>
          <t xml:space="preserve">   Sistemde hesaplanan vade günlerine sadık kalınarak nakit blokajı 3 gün önceden hazır edilmelidir.</t>
        </is>
      </c>
    </row>
    <row r="21">
      <c r="B21" s="213" t="inlineStr">
        <is>
          <t>●  Öncelik 2: Formül Doğrulama ve Çapraz Sağlama</t>
        </is>
      </c>
    </row>
    <row r="22">
      <c r="B22" s="257" t="inlineStr">
        <is>
          <t xml:space="preserve">   Tüm hücreler kilitli formül korumasında olup girdi sayfalarında sıfır döngüsel başvuru (circular ref) garantilidir.</t>
        </is>
      </c>
    </row>
    <row r="23">
      <c r="B23" s="213" t="inlineStr">
        <is>
          <t>●  Öncelik 3: Resmi Mevzuat ve Vergi Kalkanı Entegrasyonu</t>
        </is>
      </c>
    </row>
    <row r="24">
      <c r="B24" s="257" t="inlineStr">
        <is>
          <t xml:space="preserve">   2026 güncel vergi dilimleri, amortisman ve SGK teşvik parametreleri tam otomatik yansıtılmaktadır.</t>
        </is>
      </c>
    </row>
    <row r="25">
      <c r="B25" s="213" t="inlineStr">
        <is>
          <t>●  Öncelik 4: Yönetici İmzası ve Rapor Paylaşımı</t>
        </is>
      </c>
    </row>
    <row r="26">
      <c r="B26" s="257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8" customWidth="1" style="81" min="1" max="1"/>
    <col width="24" customWidth="1" style="81" min="2" max="2"/>
    <col width="22" customWidth="1" style="81" min="3" max="3"/>
    <col width="27" customWidth="1" style="81" min="4" max="4"/>
    <col width="29" customWidth="1" style="81" min="5" max="5"/>
    <col width="20" customWidth="1" style="81" min="6" max="6"/>
    <col width="21" customWidth="1" style="81" min="7" max="7"/>
  </cols>
  <sheetData>
    <row r="1" ht="28" customHeight="1" s="81">
      <c r="A1" s="263" t="inlineStr">
        <is>
          <t>YÜRÜTME ÇEKİRDEĞİ — ZORUNLU ÜRETİM SIRASI</t>
        </is>
      </c>
    </row>
    <row r="3" ht="24" customHeight="1" s="81">
      <c r="A3" s="264" t="inlineStr">
        <is>
          <t>Adım</t>
        </is>
      </c>
      <c r="B3" s="264" t="inlineStr">
        <is>
          <t>Modül</t>
        </is>
      </c>
      <c r="C3" s="264" t="inlineStr">
        <is>
          <t>Tetikleyici</t>
        </is>
      </c>
      <c r="D3" s="264" t="inlineStr">
        <is>
          <t>Zorunlu Kanıt</t>
        </is>
      </c>
      <c r="E3" s="264" t="inlineStr">
        <is>
          <t>GEÇTİ Kuralı</t>
        </is>
      </c>
      <c r="F3" s="264" t="inlineStr">
        <is>
          <t>Hata Durumu</t>
        </is>
      </c>
      <c r="G3" s="264" t="inlineStr">
        <is>
          <t>Sonraki Aşama</t>
        </is>
      </c>
    </row>
    <row r="4">
      <c r="A4" s="265" t="n">
        <v>1</v>
      </c>
      <c r="B4" s="261" t="inlineStr">
        <is>
          <t>Excel Uygunluğu</t>
        </is>
      </c>
      <c r="C4" s="261" t="inlineStr">
        <is>
          <t>Her yeni model</t>
        </is>
      </c>
      <c r="D4" s="261" t="inlineStr">
        <is>
          <t>UYGUNLUK_KARARI</t>
        </is>
      </c>
      <c r="E4" s="261" t="inlineStr">
        <is>
          <t>Excel'in rolü açık</t>
        </is>
      </c>
      <c r="F4" s="261" t="inlineStr">
        <is>
          <t>HATA / BLOKE</t>
        </is>
      </c>
      <c r="G4" s="261" t="inlineStr">
        <is>
          <t>Yönetişim</t>
        </is>
      </c>
    </row>
    <row r="5">
      <c r="A5" s="265" t="n">
        <v>2</v>
      </c>
      <c r="B5" s="261" t="inlineStr">
        <is>
          <t>Yönetişim</t>
        </is>
      </c>
      <c r="C5" s="261" t="inlineStr">
        <is>
          <t>Her model</t>
        </is>
      </c>
      <c r="D5" s="261" t="inlineStr">
        <is>
          <t>Risk seviyesi + etki girdileri</t>
        </is>
      </c>
      <c r="E5" s="261" t="inlineStr">
        <is>
          <t>Seviye hesaplandı</t>
        </is>
      </c>
      <c r="F5" s="261" t="inlineStr">
        <is>
          <t>BLOKE</t>
        </is>
      </c>
      <c r="G5" s="261" t="inlineStr">
        <is>
          <t>Sözleşmeler</t>
        </is>
      </c>
    </row>
    <row r="6">
      <c r="A6" s="265" t="n">
        <v>3</v>
      </c>
      <c r="B6" s="261" t="inlineStr">
        <is>
          <t>Türk Muhasebe Eşlemesi</t>
        </is>
      </c>
      <c r="C6" s="261" t="inlineStr">
        <is>
          <t>Finansal model</t>
        </is>
      </c>
      <c r="D6" s="261" t="inlineStr">
        <is>
          <t>THP hesap eşleme tablosu</t>
        </is>
      </c>
      <c r="E6" s="261" t="inlineStr">
        <is>
          <t>Kritik satırlar THP ile uyumlu</t>
        </is>
      </c>
      <c r="F6" s="261" t="inlineStr">
        <is>
          <t>HATA</t>
        </is>
      </c>
      <c r="G6" s="261" t="inlineStr">
        <is>
          <t>Sözleşmeler</t>
        </is>
      </c>
    </row>
    <row r="7">
      <c r="A7" s="265" t="n">
        <v>4</v>
      </c>
      <c r="B7" s="261" t="inlineStr">
        <is>
          <t>Veri ve Anlam Sözleşmeleri</t>
        </is>
      </c>
      <c r="C7" s="261" t="inlineStr">
        <is>
          <t>Girdi/KPI varsa</t>
        </is>
      </c>
      <c r="D7" s="261" t="inlineStr">
        <is>
          <t>Veri + KPI sözleşmeleri</t>
        </is>
      </c>
      <c r="E7" s="261" t="inlineStr">
        <is>
          <t>Kapsam %100</t>
        </is>
      </c>
      <c r="F7" s="261" t="inlineStr">
        <is>
          <t>HATA</t>
        </is>
      </c>
      <c r="G7" s="261" t="inlineStr">
        <is>
          <t>Üretim</t>
        </is>
      </c>
    </row>
    <row r="8">
      <c r="A8" s="265" t="n">
        <v>5</v>
      </c>
      <c r="B8" s="261" t="inlineStr">
        <is>
          <t>Üretim</t>
        </is>
      </c>
      <c r="C8" s="261" t="inlineStr">
        <is>
          <t>Sözleşmeler GEÇTİ</t>
        </is>
      </c>
      <c r="D8" s="261" t="inlineStr">
        <is>
          <t>Çalışan Excel</t>
        </is>
      </c>
      <c r="E8" s="261" t="inlineStr">
        <is>
          <t>Tek gerçek kaynak korunmuş</t>
        </is>
      </c>
      <c r="F8" s="261" t="inlineStr">
        <is>
          <t>HATA</t>
        </is>
      </c>
      <c r="G8" s="261" t="inlineStr">
        <is>
          <t>Testler</t>
        </is>
      </c>
    </row>
    <row r="9" ht="28" customHeight="1" s="81">
      <c r="A9" s="265" t="n">
        <v>6</v>
      </c>
      <c r="B9" s="261" t="inlineStr">
        <is>
          <t>Görsel/Kullanım Katmanı</t>
        </is>
      </c>
      <c r="C9" s="261" t="inlineStr">
        <is>
          <t>Motor hazır</t>
        </is>
      </c>
      <c r="D9" s="261" t="inlineStr">
        <is>
          <t>Başlıklar + renk + grafik + yönlendirme</t>
        </is>
      </c>
      <c r="E9" s="261" t="inlineStr">
        <is>
          <t>Tüm kullanıcı sayfaları standarda uygun</t>
        </is>
      </c>
      <c r="F9" s="261" t="inlineStr">
        <is>
          <t>HATA</t>
        </is>
      </c>
      <c r="G9" s="261" t="inlineStr">
        <is>
          <t>Testler</t>
        </is>
      </c>
    </row>
    <row r="10" ht="28" customHeight="1" s="81">
      <c r="A10" s="265" t="n">
        <v>7</v>
      </c>
      <c r="B10" s="261" t="inlineStr">
        <is>
          <t>Testler</t>
        </is>
      </c>
      <c r="C10" s="261" t="inlineStr">
        <is>
          <t>Üretim tamam</t>
        </is>
      </c>
      <c r="D10" s="261" t="inlineStr">
        <is>
          <t>Formül/OOXML/kimlik/oracle/golden/metamorfik</t>
        </is>
      </c>
      <c r="E10" s="261" t="inlineStr">
        <is>
          <t>Uygulanabilir hard gate'ler GEÇTİ</t>
        </is>
      </c>
      <c r="F10" s="261" t="inlineStr">
        <is>
          <t>HATA</t>
        </is>
      </c>
      <c r="G10" s="261" t="inlineStr">
        <is>
          <t>Kanıt</t>
        </is>
      </c>
    </row>
    <row r="11">
      <c r="A11" s="265" t="n">
        <v>8</v>
      </c>
      <c r="B11" s="261" t="inlineStr">
        <is>
          <t>Hata-Kontrol Tutarlılığı</t>
        </is>
      </c>
      <c r="C11" s="261" t="inlineStr">
        <is>
          <t>Test sonucu var</t>
        </is>
      </c>
      <c r="D11" s="261" t="inlineStr">
        <is>
          <t>Hata taraması + kontrol sonuçları</t>
        </is>
      </c>
      <c r="E11" s="261" t="inlineStr">
        <is>
          <t>Formül hatası varken GEÇTİ yok</t>
        </is>
      </c>
      <c r="F11" s="261" t="inlineStr">
        <is>
          <t>HATA</t>
        </is>
      </c>
      <c r="G11" s="261" t="inlineStr">
        <is>
          <t>Kanıt</t>
        </is>
      </c>
    </row>
    <row r="12">
      <c r="A12" s="265" t="n">
        <v>9</v>
      </c>
      <c r="B12" s="261" t="inlineStr">
        <is>
          <t>Kanıt</t>
        </is>
      </c>
      <c r="C12" s="261" t="inlineStr">
        <is>
          <t>Test sonucu var</t>
        </is>
      </c>
      <c r="D12" s="261" t="inlineStr">
        <is>
          <t>Makine okunur artefakt + özet</t>
        </is>
      </c>
      <c r="E12" s="261" t="inlineStr">
        <is>
          <t>Kanıt fiziksel ve tutarlı</t>
        </is>
      </c>
      <c r="F12" s="261" t="inlineStr">
        <is>
          <t>HATA</t>
        </is>
      </c>
      <c r="G12" s="261" t="inlineStr">
        <is>
          <t>Kullanıcı Kabulü</t>
        </is>
      </c>
    </row>
    <row r="13">
      <c r="A13" s="265" t="n">
        <v>10</v>
      </c>
      <c r="B13" s="261" t="inlineStr">
        <is>
          <t>Kullanıcı Kabulü</t>
        </is>
      </c>
      <c r="C13" s="261" t="inlineStr">
        <is>
          <t>Kritik görevler</t>
        </is>
      </c>
      <c r="D13" s="261" t="inlineStr">
        <is>
          <t>Gerçek ekran davranışı</t>
        </is>
      </c>
      <c r="E13" s="261" t="inlineStr">
        <is>
          <t>Kritik görevler %100</t>
        </is>
      </c>
      <c r="F13" s="261" t="inlineStr">
        <is>
          <t>DIŞ_KABUL_GEREKLİ</t>
        </is>
      </c>
      <c r="G13" s="261" t="inlineStr">
        <is>
          <t>Ticari</t>
        </is>
      </c>
    </row>
    <row r="14">
      <c r="A14" s="265" t="n">
        <v>11</v>
      </c>
      <c r="B14" s="261" t="inlineStr">
        <is>
          <t>Ticari Değer</t>
        </is>
      </c>
      <c r="C14" s="261" t="inlineStr">
        <is>
          <t>Ürün satılacaksa</t>
        </is>
      </c>
      <c r="D14" s="261" t="inlineStr">
        <is>
          <t>ROI + demo + kanıt paketi</t>
        </is>
      </c>
      <c r="E14" s="261" t="inlineStr">
        <is>
          <t>Ekonomik değer kanıtlı</t>
        </is>
      </c>
      <c r="F14" s="261" t="inlineStr">
        <is>
          <t>UYARI / HATA</t>
        </is>
      </c>
      <c r="G14" s="261" t="inlineStr">
        <is>
          <t>Pazar Doğrulama</t>
        </is>
      </c>
    </row>
    <row r="15">
      <c r="A15" s="265" t="n">
        <v>12</v>
      </c>
      <c r="B15" s="261" t="inlineStr">
        <is>
          <t>Pazar Doğrulama</t>
        </is>
      </c>
      <c r="C15" s="261" t="inlineStr">
        <is>
          <t>Pazar iddiası varsa</t>
        </is>
      </c>
      <c r="D15" s="261" t="inlineStr">
        <is>
          <t>Ücretli satış/pilot/fiyat kabul kanıtı</t>
        </is>
      </c>
      <c r="E15" s="261" t="inlineStr">
        <is>
          <t>Gerçek fiyat kabul kanıtı</t>
        </is>
      </c>
      <c r="F15" s="261" t="inlineStr">
        <is>
          <t>UYGULANMAZ / HATA</t>
        </is>
      </c>
      <c r="G15" s="261" t="inlineStr">
        <is>
          <t>Yayın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12" customWidth="1" style="81" min="1" max="1"/>
    <col width="52" customWidth="1" style="81" min="2" max="2"/>
    <col width="34" customWidth="1" style="81" min="3" max="3"/>
    <col width="16" customWidth="1" style="81" min="4" max="4"/>
  </cols>
  <sheetData>
    <row r="1" ht="28" customHeight="1" s="81">
      <c r="A1" s="266" t="inlineStr">
        <is>
          <t>NİHAİ KONTROL LİSTESİ — KANITSIZ GEÇİŞ YOK</t>
        </is>
      </c>
    </row>
    <row r="3" ht="24" customHeight="1" s="81">
      <c r="A3" s="267" t="inlineStr">
        <is>
          <t>Kontrol No</t>
        </is>
      </c>
      <c r="B3" s="267" t="inlineStr">
        <is>
          <t>Kontrol</t>
        </is>
      </c>
      <c r="C3" s="267" t="inlineStr">
        <is>
          <t>Beklenen</t>
        </is>
      </c>
      <c r="D3" s="267" t="inlineStr">
        <is>
          <t>Zorunlu Kapı?</t>
        </is>
      </c>
      <c r="E3" s="267" t="inlineStr">
        <is>
          <t>Sonuç</t>
        </is>
      </c>
    </row>
    <row r="4">
      <c r="A4" s="268" t="inlineStr">
        <is>
          <t>K01</t>
        </is>
      </c>
      <c r="B4" s="261" t="inlineStr">
        <is>
          <t>Kullanıcının açık talebi öncelikli mi?</t>
        </is>
      </c>
      <c r="C4" s="261" t="inlineStr">
        <is>
          <t>Evet</t>
        </is>
      </c>
      <c r="D4" s="261" t="inlineStr">
        <is>
          <t>EVET</t>
        </is>
      </c>
    </row>
    <row r="5">
      <c r="A5" s="268" t="inlineStr">
        <is>
          <t>K02</t>
        </is>
      </c>
      <c r="B5" s="261" t="inlineStr">
        <is>
          <t>Mevcut yapı, formüller ve tek gerçek kaynak korunuyor mu?</t>
        </is>
      </c>
      <c r="C5" s="261" t="inlineStr">
        <is>
          <t>Evet, değişiklik gerekçeli</t>
        </is>
      </c>
      <c r="D5" s="261" t="inlineStr">
        <is>
          <t>EVET</t>
        </is>
      </c>
    </row>
    <row r="6">
      <c r="A6" s="268" t="inlineStr">
        <is>
          <t>K03</t>
        </is>
      </c>
      <c r="B6" s="261" t="inlineStr">
        <is>
          <t>Üst aşama HATA ise alt aşama GEÇTİ engelleniyor mu?</t>
        </is>
      </c>
      <c r="C6" s="261" t="inlineStr">
        <is>
          <t>Evet</t>
        </is>
      </c>
      <c r="D6" s="261" t="inlineStr">
        <is>
          <t>EVET</t>
        </is>
      </c>
    </row>
    <row r="7">
      <c r="A7" s="268" t="inlineStr">
        <is>
          <t>K04</t>
        </is>
      </c>
      <c r="B7" s="261" t="inlineStr">
        <is>
          <t>Kanıt fiziksel çıktı ve içerik doğrulaması içeriyor mu?</t>
        </is>
      </c>
      <c r="C7" s="261" t="inlineStr">
        <is>
          <t>Evet</t>
        </is>
      </c>
      <c r="D7" s="261" t="inlineStr">
        <is>
          <t>EVET</t>
        </is>
      </c>
    </row>
    <row r="8">
      <c r="A8" s="268" t="inlineStr">
        <is>
          <t>K05</t>
        </is>
      </c>
      <c r="B8" s="261" t="inlineStr">
        <is>
          <t>Excel GUI erişimi olmadan kullanıcı görünümü GEÇTİ yazılıyor mu?</t>
        </is>
      </c>
      <c r="C8" s="261" t="inlineStr">
        <is>
          <t>Hayır</t>
        </is>
      </c>
      <c r="D8" s="261" t="inlineStr">
        <is>
          <t>EVET</t>
        </is>
      </c>
    </row>
    <row r="9">
      <c r="A9" s="268" t="inlineStr">
        <is>
          <t>K06</t>
        </is>
      </c>
      <c r="B9" s="261" t="inlineStr">
        <is>
          <t>NİHAİ yalnız GEÇTİ / gerekçeli UYGULANMAZ ile mi?</t>
        </is>
      </c>
      <c r="C9" s="261" t="inlineStr">
        <is>
          <t>Evet</t>
        </is>
      </c>
      <c r="D9" s="261" t="inlineStr">
        <is>
          <t>EVET</t>
        </is>
      </c>
    </row>
    <row r="10">
      <c r="A10" s="268" t="inlineStr">
        <is>
          <t>K07</t>
        </is>
      </c>
      <c r="B10" s="261" t="inlineStr">
        <is>
          <t>Ekonomik fiyat savunusu pazar doğrulamasından ayrılmış mı?</t>
        </is>
      </c>
      <c r="C10" s="261" t="inlineStr">
        <is>
          <t>Evet</t>
        </is>
      </c>
      <c r="D10" s="261" t="inlineStr">
        <is>
          <t>EVET</t>
        </is>
      </c>
    </row>
    <row r="11">
      <c r="A11" s="268" t="inlineStr">
        <is>
          <t>K08</t>
        </is>
      </c>
      <c r="B11" s="261" t="inlineStr">
        <is>
          <t>Prestij için gereksiz modül var mı?</t>
        </is>
      </c>
      <c r="C11" s="261" t="inlineStr">
        <is>
          <t>Hayır</t>
        </is>
      </c>
      <c r="D11" s="261" t="inlineStr">
        <is>
          <t>HAYIR</t>
        </is>
      </c>
    </row>
    <row r="12">
      <c r="A12" s="268" t="inlineStr">
        <is>
          <t>K09</t>
        </is>
      </c>
      <c r="B12" s="261" t="inlineStr">
        <is>
          <t>Excel sınırları açık mı?</t>
        </is>
      </c>
      <c r="C12" s="261" t="inlineStr">
        <is>
          <t>Evet</t>
        </is>
      </c>
      <c r="D12" s="261" t="inlineStr">
        <is>
          <t>EVET</t>
        </is>
      </c>
    </row>
    <row r="13">
      <c r="A13" s="268" t="inlineStr">
        <is>
          <t>K10</t>
        </is>
      </c>
      <c r="B13" s="261" t="inlineStr">
        <is>
          <t>Teknik kaynak korunuyor mu?</t>
        </is>
      </c>
      <c r="C13" s="261" t="inlineStr">
        <is>
          <t>Evet</t>
        </is>
      </c>
      <c r="D13" s="261" t="inlineStr">
        <is>
          <t>EVET</t>
        </is>
      </c>
    </row>
    <row r="14">
      <c r="A14" s="268" t="inlineStr">
        <is>
          <t>K11</t>
        </is>
      </c>
      <c r="B14" s="261" t="inlineStr">
        <is>
          <t>Kullanıcıya görünen tüm metinler Türkçe mi?</t>
        </is>
      </c>
      <c r="C14" s="261" t="inlineStr">
        <is>
          <t>Evet</t>
        </is>
      </c>
      <c r="D14" s="261" t="inlineStr">
        <is>
          <t>EVET</t>
        </is>
      </c>
    </row>
    <row r="15">
      <c r="A15" s="268" t="inlineStr">
        <is>
          <t>K12</t>
        </is>
      </c>
      <c r="B15" s="261" t="inlineStr">
        <is>
          <t>Her kullanıcı sayfasında üst başlık var mı?</t>
        </is>
      </c>
      <c r="C15" s="261" t="inlineStr">
        <is>
          <t>Evet</t>
        </is>
      </c>
      <c r="D15" s="261" t="inlineStr">
        <is>
          <t>EVET</t>
        </is>
      </c>
    </row>
    <row r="16">
      <c r="A16" s="268" t="inlineStr">
        <is>
          <t>K13</t>
        </is>
      </c>
      <c r="B16" s="261" t="inlineStr">
        <is>
          <t>Sayfalar arasında tutarlı renk sistemi var mı?</t>
        </is>
      </c>
      <c r="C16" s="261" t="inlineStr">
        <is>
          <t>Evet</t>
        </is>
      </c>
      <c r="D16" s="261" t="inlineStr">
        <is>
          <t>EVET</t>
        </is>
      </c>
    </row>
    <row r="17">
      <c r="A17" s="268" t="inlineStr">
        <is>
          <t>K14</t>
        </is>
      </c>
      <c r="B17" s="261" t="inlineStr">
        <is>
          <t>Alt sayfa sekmeleri işlevine göre renklendirilmiş mi?</t>
        </is>
      </c>
      <c r="C17" s="261" t="inlineStr">
        <is>
          <t>Evet</t>
        </is>
      </c>
      <c r="D17" s="261" t="inlineStr">
        <is>
          <t>EVET</t>
        </is>
      </c>
    </row>
    <row r="18">
      <c r="A18" s="268" t="inlineStr">
        <is>
          <t>K15</t>
        </is>
      </c>
      <c r="B18" s="261" t="inlineStr">
        <is>
          <t>İçerik blokları arasında gereksiz boş kolon var mı?</t>
        </is>
      </c>
      <c r="C18" s="261" t="inlineStr">
        <is>
          <t>Hayır</t>
        </is>
      </c>
      <c r="D18" s="261" t="inlineStr">
        <is>
          <t>EVET</t>
        </is>
      </c>
    </row>
    <row r="19">
      <c r="A19" s="268" t="inlineStr">
        <is>
          <t>K16</t>
        </is>
      </c>
      <c r="B19" s="261" t="inlineStr">
        <is>
          <t>Grafikler premium ve karar odaklı mı?</t>
        </is>
      </c>
      <c r="C19" s="261" t="inlineStr">
        <is>
          <t>Evet</t>
        </is>
      </c>
      <c r="D19" s="261" t="inlineStr">
        <is>
          <t>EVET</t>
        </is>
      </c>
    </row>
    <row r="20">
      <c r="A20" s="268" t="inlineStr">
        <is>
          <t>K17</t>
        </is>
      </c>
      <c r="B20" s="261" t="inlineStr">
        <is>
          <t>Varsayılan Excel grafiği / 3B / dekoratif grafik var mı?</t>
        </is>
      </c>
      <c r="C20" s="261" t="inlineStr">
        <is>
          <t>Hayır</t>
        </is>
      </c>
      <c r="D20" s="261" t="inlineStr">
        <is>
          <t>EVET</t>
        </is>
      </c>
    </row>
    <row r="21">
      <c r="A21" s="268" t="inlineStr">
        <is>
          <t>K18</t>
        </is>
      </c>
      <c r="B21" s="261" t="inlineStr">
        <is>
          <t>Finansal ürün Türkiye Tekdüzen Hesap Planı ile eşleşiyor mu?</t>
        </is>
      </c>
      <c r="C21" s="261" t="inlineStr">
        <is>
          <t>Evet</t>
        </is>
      </c>
      <c r="D21" s="261" t="inlineStr">
        <is>
          <t>EVET</t>
        </is>
      </c>
    </row>
    <row r="22">
      <c r="A22" s="268" t="inlineStr">
        <is>
          <t>K19</t>
        </is>
      </c>
      <c r="B22" s="261" t="inlineStr">
        <is>
          <t>Muhasebe satır adları Türkiye kullanımına uygun mu?</t>
        </is>
      </c>
      <c r="C22" s="261" t="inlineStr">
        <is>
          <t>Evet</t>
        </is>
      </c>
      <c r="D22" s="261" t="inlineStr">
        <is>
          <t>EVET</t>
        </is>
      </c>
    </row>
    <row r="23">
      <c r="A23" s="268" t="inlineStr">
        <is>
          <t>K20</t>
        </is>
      </c>
      <c r="B23" s="261" t="inlineStr">
        <is>
          <t>Formül hatası varken herhangi bir kontrol GEÇTİ gösteriyor mu?</t>
        </is>
      </c>
      <c r="C23" s="261" t="inlineStr">
        <is>
          <t>Hayır</t>
        </is>
      </c>
      <c r="D23" s="261" t="inlineStr">
        <is>
          <t>EVET</t>
        </is>
      </c>
    </row>
    <row r="24">
      <c r="A24" s="268" t="inlineStr">
        <is>
          <t>K21</t>
        </is>
      </c>
      <c r="B24" s="261" t="inlineStr">
        <is>
          <t>Karar Motoru boş veya yalnız başlık düzeyinde mi?</t>
        </is>
      </c>
      <c r="C24" s="261" t="inlineStr">
        <is>
          <t>Hayır</t>
        </is>
      </c>
      <c r="D24" s="261" t="inlineStr">
        <is>
          <t>EVET</t>
        </is>
      </c>
    </row>
    <row r="25">
      <c r="A25" s="268" t="inlineStr">
        <is>
          <t>K22</t>
        </is>
      </c>
      <c r="B25" s="261" t="inlineStr">
        <is>
          <t>Senaryo/Stres modülü gerçekten sonuç değiştiriyor mu?</t>
        </is>
      </c>
      <c r="C25" s="261" t="inlineStr">
        <is>
          <t>Evet</t>
        </is>
      </c>
      <c r="D25" s="261" t="inlineStr">
        <is>
          <t>EVET</t>
        </is>
      </c>
    </row>
    <row r="26">
      <c r="A26" s="268" t="inlineStr">
        <is>
          <t>K23</t>
        </is>
      </c>
      <c r="B26" s="261" t="inlineStr">
        <is>
          <t>Oracle/bağımsız doğrulama gerçek veri üretiyor mu?</t>
        </is>
      </c>
      <c r="C26" s="261" t="inlineStr">
        <is>
          <t>Evet veya gerekçeli UYGULANMAZ</t>
        </is>
      </c>
      <c r="D26" s="261" t="inlineStr">
        <is>
          <t>EVET</t>
        </is>
      </c>
    </row>
    <row r="27">
      <c r="A27" s="268" t="inlineStr">
        <is>
          <t>K24</t>
        </is>
      </c>
      <c r="B27" s="261" t="inlineStr">
        <is>
          <t>Yönetici ekranı 5 saniyede sorunu ve aksiyonu anlatıyor mu?</t>
        </is>
      </c>
      <c r="C27" s="261" t="inlineStr">
        <is>
          <t>Evet</t>
        </is>
      </c>
      <c r="D27" s="261" t="inlineStr">
        <is>
          <t>EVET</t>
        </is>
      </c>
    </row>
    <row r="28">
      <c r="A28" s="268" t="inlineStr">
        <is>
          <t>K25</t>
        </is>
      </c>
      <c r="B28" s="261" t="inlineStr">
        <is>
          <t>Her kritik kararın parasal etkisi ve önerilen aksiyonu var mı?</t>
        </is>
      </c>
      <c r="C28" s="261" t="inlineStr">
        <is>
          <t>Evet</t>
        </is>
      </c>
      <c r="D28" s="261" t="inlineStr">
        <is>
          <t>EVET</t>
        </is>
      </c>
    </row>
    <row r="29">
      <c r="A29" s="268" t="inlineStr">
        <is>
          <t>K26</t>
        </is>
      </c>
      <c r="B29" s="261" t="inlineStr">
        <is>
          <t>Ürün sayfası/ürün içi demo satın alma gerekçesini kanıtlıyor mu?</t>
        </is>
      </c>
      <c r="C29" s="261" t="inlineStr">
        <is>
          <t>Evet</t>
        </is>
      </c>
      <c r="D29" s="261" t="inlineStr">
        <is>
          <t>EVET</t>
        </is>
      </c>
    </row>
    <row r="30" ht="30" customHeight="1" s="81">
      <c r="A30" s="269" t="inlineStr">
        <is>
          <t>K27</t>
        </is>
      </c>
      <c r="B30" s="270" t="inlineStr">
        <is>
          <t>Buton görünümü verilen tüm alanlar gerçekten tıklanabilir ve doğru hedefe gidiyor mu?</t>
        </is>
      </c>
      <c r="C30" s="270" t="inlineStr">
        <is>
          <t>Evet</t>
        </is>
      </c>
      <c r="D30" s="261" t="inlineStr">
        <is>
          <t>EVET</t>
        </is>
      </c>
    </row>
    <row r="31" ht="30" customHeight="1" s="81">
      <c r="A31" s="269" t="inlineStr">
        <is>
          <t>K28</t>
        </is>
      </c>
      <c r="B31" s="270" t="inlineStr">
        <is>
          <t>Tüm görünür kullanıcı sheet tabları kurumsal kategori rengi taşıyor mu?</t>
        </is>
      </c>
      <c r="C31" s="270" t="inlineStr">
        <is>
          <t>Evet</t>
        </is>
      </c>
      <c r="D31" s="261" t="inlineStr">
        <is>
          <t>EVET</t>
        </is>
      </c>
    </row>
    <row r="32" ht="16" customHeight="1" s="81">
      <c r="A32" s="269" t="inlineStr">
        <is>
          <t>K29</t>
        </is>
      </c>
      <c r="B32" s="270" t="inlineStr">
        <is>
          <t>Sheet sırası tanımlı kullanıcı iş akışıyla birebir aynı mı?</t>
        </is>
      </c>
      <c r="C32" s="270" t="inlineStr">
        <is>
          <t>Evet</t>
        </is>
      </c>
      <c r="D32" s="261" t="inlineStr">
        <is>
          <t>EVET</t>
        </is>
      </c>
    </row>
    <row r="33" ht="30" customHeight="1" s="81">
      <c r="A33" s="269" t="inlineStr">
        <is>
          <t>K30</t>
        </is>
      </c>
      <c r="B33" s="270" t="inlineStr">
        <is>
          <t>Kurumsal renk paleti tutarlı mı; rastgele/gökkuşağı renk kullanımı var mı?</t>
        </is>
      </c>
      <c r="C33" s="270" t="inlineStr">
        <is>
          <t>Evet / Hayır</t>
        </is>
      </c>
      <c r="D33" s="261" t="inlineStr">
        <is>
          <t>EVET</t>
        </is>
      </c>
    </row>
    <row r="34" ht="30" customHeight="1" s="81">
      <c r="A34" s="269" t="inlineStr">
        <is>
          <t>K31</t>
        </is>
      </c>
      <c r="B34" s="270" t="inlineStr">
        <is>
          <t>Premium vitrin, altyapı kadar güçlü ve satış fiyatını destekleyecek seviyede mi?</t>
        </is>
      </c>
      <c r="C34" s="270" t="inlineStr">
        <is>
          <t>Evet</t>
        </is>
      </c>
      <c r="D34" s="261" t="inlineStr">
        <is>
          <t>EVET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0" customWidth="1" style="81" min="1" max="1"/>
    <col width="36" customWidth="1" style="81" min="2" max="2"/>
    <col width="48" customWidth="1" style="81" min="3" max="3"/>
    <col width="34" customWidth="1" style="81" min="4" max="4"/>
    <col width="30" customWidth="1" style="81" min="5" max="5"/>
    <col width="16" customWidth="1" style="81" min="6" max="6"/>
  </cols>
  <sheetData>
    <row r="1" ht="28" customHeight="1" s="81">
      <c r="A1" s="271" t="inlineStr">
        <is>
          <t>GÖRSEL TASARIM VE PREMIUM EXCEL STANDARDI</t>
        </is>
      </c>
    </row>
    <row r="3" ht="24" customHeight="1" s="81">
      <c r="A3" s="272" t="inlineStr">
        <is>
          <t>Alan</t>
        </is>
      </c>
      <c r="B3" s="272" t="inlineStr">
        <is>
          <t>Zorunlu Kural</t>
        </is>
      </c>
      <c r="C3" s="272" t="inlineStr">
        <is>
          <t>Uygulama</t>
        </is>
      </c>
      <c r="D3" s="272" t="inlineStr">
        <is>
          <t>Yasak</t>
        </is>
      </c>
      <c r="E3" s="272" t="inlineStr">
        <is>
          <t>Kontrol</t>
        </is>
      </c>
      <c r="F3" s="272" t="inlineStr">
        <is>
          <t>Durum</t>
        </is>
      </c>
    </row>
    <row r="4" ht="28" customHeight="1" s="81">
      <c r="A4" s="273" t="inlineStr">
        <is>
          <t>Sayfa başlığı</t>
        </is>
      </c>
      <c r="B4" s="261" t="inlineStr">
        <is>
          <t>Her kullanıcı sayfasının en üstünde tek ve açık sayfa başlığı</t>
        </is>
      </c>
      <c r="C4" s="261" t="inlineStr">
        <is>
          <t>A1'den başlayan koyu lacivert başlık bandı</t>
        </is>
      </c>
      <c r="D4" s="261" t="inlineStr">
        <is>
          <t>Başlıksız sayfa</t>
        </is>
      </c>
      <c r="E4" s="261" t="inlineStr">
        <is>
          <t>Başlık kapsama = %100</t>
        </is>
      </c>
      <c r="F4" s="274" t="inlineStr">
        <is>
          <t>ZORUNLU</t>
        </is>
      </c>
    </row>
    <row r="5" ht="28" customHeight="1" s="81">
      <c r="A5" s="273" t="inlineStr">
        <is>
          <t>Sekme renkleri</t>
        </is>
      </c>
      <c r="B5" s="261" t="inlineStr">
        <is>
          <t>Sayfalar işlevine göre renk kodlanır</t>
        </is>
      </c>
      <c r="C5" s="261" t="inlineStr">
        <is>
          <t>Girdi=mavi, hesap=gri, rapor=lacivert, kontrol=kırmızı, kılavuz=altın</t>
        </is>
      </c>
      <c r="D5" s="261" t="inlineStr">
        <is>
          <t>Rastgele renk</t>
        </is>
      </c>
      <c r="E5" s="261" t="inlineStr">
        <is>
          <t>Renk semantiği tutarlı</t>
        </is>
      </c>
      <c r="F5" s="274" t="inlineStr">
        <is>
          <t>ZORUNLU</t>
        </is>
      </c>
    </row>
    <row r="6" ht="28" customHeight="1" s="81">
      <c r="A6" s="273" t="inlineStr">
        <is>
          <t>Kolon düzeni</t>
        </is>
      </c>
      <c r="B6" s="261" t="inlineStr">
        <is>
          <t>Veri blokları bitişik kolonlarda ilerler</t>
        </is>
      </c>
      <c r="C6" s="261" t="inlineStr">
        <is>
          <t>Gereksiz boş kolon bırakma; yalnız gerçek bölüm ayrımı varsa kontrollü boşluk</t>
        </is>
      </c>
      <c r="D6" s="261" t="inlineStr">
        <is>
          <t>A:C veri, D boş, E:F veri gibi parçalı yapı</t>
        </is>
      </c>
      <c r="E6" s="261" t="inlineStr">
        <is>
          <t>Boş kolon taraması</t>
        </is>
      </c>
      <c r="F6" s="274" t="inlineStr">
        <is>
          <t>ZORUNLU</t>
        </is>
      </c>
    </row>
    <row r="7" ht="16" customHeight="1" s="81">
      <c r="A7" s="273" t="inlineStr">
        <is>
          <t>Girdi hücreleri</t>
        </is>
      </c>
      <c r="B7" s="261" t="inlineStr">
        <is>
          <t>Kullanıcının değiştireceği alan açıkça görünür</t>
        </is>
      </c>
      <c r="C7" s="261" t="inlineStr">
        <is>
          <t>Açık sarı dolgu + mavi yazı</t>
        </is>
      </c>
      <c r="D7" s="261" t="inlineStr">
        <is>
          <t>Formülle aynı görünüm</t>
        </is>
      </c>
      <c r="E7" s="261" t="inlineStr">
        <is>
          <t>Girdi/formül ayrımı</t>
        </is>
      </c>
      <c r="F7" s="274" t="inlineStr">
        <is>
          <t>ZORUNLU</t>
        </is>
      </c>
    </row>
    <row r="8" ht="16" customHeight="1" s="81">
      <c r="A8" s="273" t="inlineStr">
        <is>
          <t>Formüller</t>
        </is>
      </c>
      <c r="B8" s="261" t="inlineStr">
        <is>
          <t>Hesap hücreleri kullanıcı girdisinden ayrılır</t>
        </is>
      </c>
      <c r="C8" s="261" t="inlineStr">
        <is>
          <t>Siyah yazı; sayfalar arası bağlantı yeşil yazı</t>
        </is>
      </c>
      <c r="D8" s="261" t="inlineStr">
        <is>
          <t>Hard-code gizleme</t>
        </is>
      </c>
      <c r="E8" s="261" t="inlineStr">
        <is>
          <t>Formül sınıfı kontrolü</t>
        </is>
      </c>
      <c r="F8" s="274" t="inlineStr">
        <is>
          <t>ZORUNLU</t>
        </is>
      </c>
    </row>
    <row r="9" ht="16" customHeight="1" s="81">
      <c r="A9" s="273" t="inlineStr">
        <is>
          <t>Grafik sayısı</t>
        </is>
      </c>
      <c r="B9" s="261" t="inlineStr">
        <is>
          <t>Yönetici ekranında en fazla 3 ana karar grafiği</t>
        </is>
      </c>
      <c r="C9" s="261" t="inlineStr">
        <is>
          <t>Trend, karşılaştırma, köprü/dağılım; iş kararına bağlı</t>
        </is>
      </c>
      <c r="D9" s="261" t="inlineStr">
        <is>
          <t>Grafik kalabalığı</t>
        </is>
      </c>
      <c r="E9" s="261" t="inlineStr">
        <is>
          <t>Grafik başına karar sorusu</t>
        </is>
      </c>
      <c r="F9" s="274" t="inlineStr">
        <is>
          <t>ZORUNLU</t>
        </is>
      </c>
    </row>
    <row r="10" ht="16" customHeight="1" s="81">
      <c r="A10" s="273" t="inlineStr">
        <is>
          <t>Grafik stili</t>
        </is>
      </c>
      <c r="B10" s="261" t="inlineStr">
        <is>
          <t>Kurumsal ve yüksek okunabilirlik</t>
        </is>
      </c>
      <c r="C10" s="261" t="inlineStr">
        <is>
          <t>Beyaz zemin, ince gridline, tek vurgu rengi, açık birim/başlık</t>
        </is>
      </c>
      <c r="D10" s="261" t="inlineStr">
        <is>
          <t>3B, gölge, neon, gökkuşağı renkleri</t>
        </is>
      </c>
      <c r="E10" s="261" t="inlineStr">
        <is>
          <t>Görsel inceleme</t>
        </is>
      </c>
      <c r="F10" s="274" t="inlineStr">
        <is>
          <t>ZORUNLU</t>
        </is>
      </c>
    </row>
    <row r="11" ht="16" customHeight="1" s="81">
      <c r="A11" s="273" t="inlineStr">
        <is>
          <t>Grafik başlığı</t>
        </is>
      </c>
      <c r="B11" s="261" t="inlineStr">
        <is>
          <t>Grafik 'neyi' değil 'ne anlama geldiğini' söyler</t>
        </is>
      </c>
      <c r="C11" s="261" t="inlineStr">
        <is>
          <t>Örn: 'Nakit 2028'de kritik eşiğin altına iniyor'</t>
        </is>
      </c>
      <c r="D11" s="261" t="inlineStr">
        <is>
          <t>'Nakit Grafiği' gibi anlamsız başlık</t>
        </is>
      </c>
      <c r="E11" s="261" t="inlineStr">
        <is>
          <t>Başlık karar testi</t>
        </is>
      </c>
      <c r="F11" s="274" t="inlineStr">
        <is>
          <t>ZORUNLU</t>
        </is>
      </c>
    </row>
    <row r="12" ht="16" customHeight="1" s="81">
      <c r="A12" s="273" t="inlineStr">
        <is>
          <t>Birimler</t>
        </is>
      </c>
      <c r="B12" s="261" t="inlineStr">
        <is>
          <t>Tüm finansal görsellerde birim açık</t>
        </is>
      </c>
      <c r="C12" s="261" t="inlineStr">
        <is>
          <t>TL, bin TL, milyon TL, %, gün, x</t>
        </is>
      </c>
      <c r="D12" s="261" t="inlineStr">
        <is>
          <t>Birim belirsizliği</t>
        </is>
      </c>
      <c r="E12" s="261" t="inlineStr">
        <is>
          <t>Birim kapsama %100</t>
        </is>
      </c>
      <c r="F12" s="274" t="inlineStr">
        <is>
          <t>ZORUNLU</t>
        </is>
      </c>
    </row>
    <row r="13" ht="16" customHeight="1" s="81">
      <c r="A13" s="273" t="inlineStr">
        <is>
          <t>Sıfır/negatif</t>
        </is>
      </c>
      <c r="B13" s="261" t="inlineStr">
        <is>
          <t>Finansal format standardı</t>
        </is>
      </c>
      <c r="C13" s="261" t="inlineStr">
        <is>
          <t>Sıfır='-', negatif kırmızı parantez</t>
        </is>
      </c>
      <c r="D13" s="261" t="inlineStr">
        <is>
          <t>-500 veya 0,00 kalabalığı</t>
        </is>
      </c>
      <c r="E13" s="261" t="inlineStr">
        <is>
          <t>Format kontrolü</t>
        </is>
      </c>
      <c r="F13" s="274" t="inlineStr">
        <is>
          <t>ZORUNLU</t>
        </is>
      </c>
    </row>
    <row r="14" ht="16" customHeight="1" s="81">
      <c r="A14" s="273" t="inlineStr">
        <is>
          <t>Yazı tipi</t>
        </is>
      </c>
      <c r="B14" s="261" t="inlineStr">
        <is>
          <t>Tek aile</t>
        </is>
      </c>
      <c r="C14" s="261" t="inlineStr">
        <is>
          <t>Aptos veya Segoe UI</t>
        </is>
      </c>
      <c r="D14" s="261" t="inlineStr">
        <is>
          <t>Karışık font</t>
        </is>
      </c>
      <c r="E14" s="261" t="inlineStr">
        <is>
          <t>Tek font kontrolü</t>
        </is>
      </c>
      <c r="F14" s="274" t="inlineStr">
        <is>
          <t>ZORUNLU</t>
        </is>
      </c>
    </row>
    <row r="15" ht="16" customHeight="1" s="81">
      <c r="A15" s="273" t="inlineStr">
        <is>
          <t>Izgara</t>
        </is>
      </c>
      <c r="B15" s="261" t="inlineStr">
        <is>
          <t>Kullanıcı sayfalarında kapalı</t>
        </is>
      </c>
      <c r="C15" s="261" t="inlineStr">
        <is>
          <t>Bölüm çizgileri ve kart sınırlarıyla düzen</t>
        </is>
      </c>
      <c r="D15" s="261" t="inlineStr">
        <is>
          <t>Excel varsayılan gridline</t>
        </is>
      </c>
      <c r="E15" s="261" t="inlineStr">
        <is>
          <t>Gridline kontrolü</t>
        </is>
      </c>
      <c r="F15" s="274" t="inlineStr">
        <is>
          <t>ZORUNLU</t>
        </is>
      </c>
    </row>
    <row r="16" ht="16" customHeight="1" s="81">
      <c r="A16" s="273" t="inlineStr">
        <is>
          <t>Boş durum</t>
        </is>
      </c>
      <c r="B16" s="261" t="inlineStr">
        <is>
          <t>Veri yokken temiz ve anlaşılır</t>
        </is>
      </c>
      <c r="C16" s="261" t="inlineStr">
        <is>
          <t>'Henüz veri yok' / 'Girdi bekleniyor'</t>
        </is>
      </c>
      <c r="D16" s="261" t="inlineStr">
        <is>
          <t>0 yığını / hata kodu</t>
        </is>
      </c>
      <c r="E16" s="261" t="inlineStr">
        <is>
          <t>Boş veri testi</t>
        </is>
      </c>
      <c r="F16" s="274" t="inlineStr">
        <is>
          <t>ZORUNLU</t>
        </is>
      </c>
    </row>
    <row r="17" ht="28" customHeight="1" s="81">
      <c r="A17" s="273" t="inlineStr">
        <is>
          <t>Başlangıç deneyimi</t>
        </is>
      </c>
      <c r="B17" s="261" t="inlineStr">
        <is>
          <t>İlk 5 saniyede ne gireceği ve neye bakacağı anlaşılır</t>
        </is>
      </c>
      <c r="C17" s="261" t="inlineStr">
        <is>
          <t>Girdi → durum → aksiyon akışı</t>
        </is>
      </c>
      <c r="D17" s="261" t="inlineStr">
        <is>
          <t>Kılavuz aramaya zorlama</t>
        </is>
      </c>
      <c r="E17" s="261" t="inlineStr">
        <is>
          <t>5 saniye testi</t>
        </is>
      </c>
      <c r="F17" s="274" t="inlineStr">
        <is>
          <t>ZORUNLU</t>
        </is>
      </c>
    </row>
    <row r="18" ht="30" customHeight="1" s="81">
      <c r="A18" s="269" t="inlineStr">
        <is>
          <t>Buton standardı</t>
        </is>
      </c>
      <c r="B18" s="270" t="inlineStr">
        <is>
          <t>Buton görünümü verilen her alan gerçek işlev taşır</t>
        </is>
      </c>
      <c r="C18" s="270" t="inlineStr">
        <is>
          <t>Sayfa içi HYPERLINK / gerçek aksiyon; tıklanınca hedefe gider</t>
        </is>
      </c>
      <c r="D18" s="270" t="inlineStr">
        <is>
          <t>İşlevsiz dekoratif buton / sahte navigasyon</t>
        </is>
      </c>
      <c r="E18" s="270" t="inlineStr">
        <is>
          <t>Butonların %100'ü tıklanabilir ve hedefi doğru</t>
        </is>
      </c>
      <c r="F18" s="274" t="inlineStr">
        <is>
          <t>ZORUNLU</t>
        </is>
      </c>
    </row>
    <row r="19" ht="32" customHeight="1" s="81">
      <c r="A19" s="269" t="inlineStr">
        <is>
          <t>Native sayfa sekmesi rengi</t>
        </is>
      </c>
      <c r="B19" s="270" t="inlineStr">
        <is>
          <t>Excel alt sheet tabları kurumsal paletle renklendirilir</t>
        </is>
      </c>
      <c r="C19" s="270" t="inlineStr">
        <is>
          <t>Başlangıç/özet=lacivert; girdiler=mavi; hesap/finans=teal; karar/kontrol=burgundy; doküman=gri</t>
        </is>
      </c>
      <c r="D19" s="270" t="inlineStr">
        <is>
          <t>Renksiz sekmeler veya rastgele/gökkuşağı renkleri</t>
        </is>
      </c>
      <c r="E19" s="270" t="inlineStr">
        <is>
          <t>Tüm görünür kullanıcı sheet tabları renkli</t>
        </is>
      </c>
      <c r="F19" s="274" t="inlineStr">
        <is>
          <t>ZORUNLU</t>
        </is>
      </c>
    </row>
    <row r="20" ht="60" customHeight="1" s="81">
      <c r="A20" s="269" t="inlineStr">
        <is>
          <t>İş akışı sıralaması</t>
        </is>
      </c>
      <c r="B20" s="270" t="inlineStr">
        <is>
          <t>Sayfalar kullanıcının çalışma sırasına göre fiziksel olarak dizilir</t>
        </is>
      </c>
      <c r="C20" s="270" t="inlineStr">
        <is>
          <t>Başlangıç → Yönetici Özeti → Varsayımlar → Tarihsel Giriş → THP → Hesap Motorları → 3 Finansal Tablo → Senaryo → Karar → Kontrol → Kılavuz/Meta/Oracle/Değer</t>
        </is>
      </c>
      <c r="D20" s="270" t="inlineStr">
        <is>
          <t>Teknik oluşturma sırasına göre dağınık sheet dizilimi</t>
        </is>
      </c>
      <c r="E20" s="270" t="inlineStr">
        <is>
          <t>Sheet order = tanımlı workflow</t>
        </is>
      </c>
      <c r="F20" s="274" t="inlineStr">
        <is>
          <t>ZORUNLU</t>
        </is>
      </c>
    </row>
    <row r="21" ht="30" customHeight="1" s="81">
      <c r="A21" s="269" t="inlineStr">
        <is>
          <t>Kurumsal renk paleti</t>
        </is>
      </c>
      <c r="B21" s="270" t="inlineStr">
        <is>
          <t>Sekme, başlık, buton ve vurgu renkleri tek kurumsal paletten gelir</t>
        </is>
      </c>
      <c r="C21" s="270" t="inlineStr">
        <is>
          <t>Lacivert + mavi + teal + kontrollü burgundy/gri; kategori semantiği sabit</t>
        </is>
      </c>
      <c r="D21" s="270" t="inlineStr">
        <is>
          <t>Neon, rastgele yüksek doygunluk, her sayfada farklı bağımsız renk</t>
        </is>
      </c>
      <c r="E21" s="270" t="inlineStr">
        <is>
          <t>Palette token kontrolü</t>
        </is>
      </c>
      <c r="F21" s="274" t="inlineStr">
        <is>
          <t>ZORUNLU</t>
        </is>
      </c>
    </row>
    <row r="22" ht="45" customHeight="1" s="81">
      <c r="A22" s="269" t="inlineStr">
        <is>
          <t>Premium vitrin</t>
        </is>
      </c>
      <c r="B22" s="270" t="inlineStr">
        <is>
          <t>Görsel kalite ürün değerinin zorunlu parçasıdır</t>
        </is>
      </c>
      <c r="C22" s="270" t="inlineStr">
        <is>
          <t>Kaliteli grafik, gerçek KPI kartı, finansal hiyerarşi, tab rengi, fonksiyonel navigasyon</t>
        </is>
      </c>
      <c r="D22" s="270" t="inlineStr">
        <is>
          <t>Sadece doğru hesap yapıp çıplak/varsayılan Excel görünümü bırakmak</t>
        </is>
      </c>
      <c r="E22" s="270" t="inlineStr">
        <is>
          <t>Görsel release incelemesi</t>
        </is>
      </c>
      <c r="F22" s="274" t="inlineStr">
        <is>
          <t>ZORUNLU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style="81" min="1" max="1"/>
    <col width="40" customWidth="1" style="81" min="2" max="2"/>
    <col width="50" customWidth="1" style="81" min="3" max="3"/>
    <col width="30" customWidth="1" style="81" min="4" max="4"/>
    <col width="28" customWidth="1" style="81" min="5" max="5"/>
    <col width="26" customWidth="1" style="81" min="6" max="6"/>
  </cols>
  <sheetData>
    <row r="1" ht="28" customHeight="1" s="81">
      <c r="A1" s="275" t="inlineStr">
        <is>
          <t>TÜRKİYE MUHASEBE VE TEKDÜZEN HESAP PLANI STANDARDI</t>
        </is>
      </c>
    </row>
    <row r="3" ht="24" customHeight="1" s="81">
      <c r="A3" s="276" t="inlineStr">
        <is>
          <t>Konu</t>
        </is>
      </c>
      <c r="B3" s="276" t="inlineStr">
        <is>
          <t>Zorunlu Standart</t>
        </is>
      </c>
      <c r="C3" s="276" t="inlineStr">
        <is>
          <t>Örnek Türkçe Ad</t>
        </is>
      </c>
      <c r="D3" s="276" t="inlineStr">
        <is>
          <t>THP / Mantık</t>
        </is>
      </c>
      <c r="E3" s="276" t="inlineStr">
        <is>
          <t>Hata Riski</t>
        </is>
      </c>
      <c r="F3" s="276" t="inlineStr">
        <is>
          <t>Kontrol</t>
        </is>
      </c>
    </row>
    <row r="4">
      <c r="A4" s="277" t="inlineStr">
        <is>
          <t>Dil</t>
        </is>
      </c>
      <c r="B4" s="261" t="inlineStr">
        <is>
          <t>Kullanıcıya görünen finansal terimler Türkçe</t>
        </is>
      </c>
      <c r="C4" s="261" t="inlineStr">
        <is>
          <t>Hasılat, Satışların Maliyeti, Brüt Kâr, Faaliyet Giderleri</t>
        </is>
      </c>
      <c r="D4" s="261" t="inlineStr">
        <is>
          <t>Türk işletme kullanımına uygun</t>
        </is>
      </c>
      <c r="E4" s="261" t="inlineStr">
        <is>
          <t>İngilizce jargon</t>
        </is>
      </c>
      <c r="F4" s="261" t="inlineStr">
        <is>
          <t>Terminoloji taraması</t>
        </is>
      </c>
    </row>
    <row r="5" ht="28" customHeight="1" s="81">
      <c r="A5" s="277" t="inlineStr">
        <is>
          <t>Gelir Tablosu</t>
        </is>
      </c>
      <c r="B5" s="261" t="inlineStr">
        <is>
          <t>Türk sunum sırası kullanılır</t>
        </is>
      </c>
      <c r="C5" s="261" t="inlineStr">
        <is>
          <t>Net Satışlar → Satışların Maliyeti → Brüt Kâr → Faaliyet Giderleri → Faaliyet Kârı</t>
        </is>
      </c>
      <c r="D5" s="261" t="inlineStr">
        <is>
          <t>600/610/611; 620-623; 63x</t>
        </is>
      </c>
      <c r="E5" s="261" t="inlineStr">
        <is>
          <t>Yanlış sınıflama</t>
        </is>
      </c>
      <c r="F5" s="261" t="inlineStr">
        <is>
          <t>Hesap eşleme</t>
        </is>
      </c>
    </row>
    <row r="6" ht="28" customHeight="1" s="81">
      <c r="A6" s="277" t="inlineStr">
        <is>
          <t>Bilanço</t>
        </is>
      </c>
      <c r="B6" s="261" t="inlineStr">
        <is>
          <t>Dönen/Duran Varlık ve Kısa/Uzun Vadeli Yükümlülük ayrımı</t>
        </is>
      </c>
      <c r="C6" s="261" t="inlineStr">
        <is>
          <t>Hazır Değerler, Ticari Alacaklar, Stoklar, Mali Borçlar</t>
        </is>
      </c>
      <c r="D6" s="261" t="inlineStr">
        <is>
          <t>1xx / 2xx / 3xx / 4xx / 5xx</t>
        </is>
      </c>
      <c r="E6" s="261" t="inlineStr">
        <is>
          <t>Vade sınıfı hatası</t>
        </is>
      </c>
      <c r="F6" s="261" t="inlineStr">
        <is>
          <t>Bilanço eşitliği</t>
        </is>
      </c>
    </row>
    <row r="7">
      <c r="A7" s="277" t="inlineStr">
        <is>
          <t>Nakit Akışı</t>
        </is>
      </c>
      <c r="B7" s="261" t="inlineStr">
        <is>
          <t>İşletme/Yatırım/Finansman nakit akışları ayrılır</t>
        </is>
      </c>
      <c r="C7" s="261" t="inlineStr">
        <is>
          <t>Faaliyetlerden Nakit, Yatırım Harcamaları, Finansman Nakit Akışı</t>
        </is>
      </c>
      <c r="D7" s="261" t="inlineStr">
        <is>
          <t>Dolaylı/doğrudan yöntem açık seçilir</t>
        </is>
      </c>
      <c r="E7" s="261" t="inlineStr">
        <is>
          <t>Kâr = nakit sanılması</t>
        </is>
      </c>
      <c r="F7" s="261" t="inlineStr">
        <is>
          <t>Nakit devri</t>
        </is>
      </c>
    </row>
    <row r="8">
      <c r="A8" s="277" t="inlineStr">
        <is>
          <t>Ticari Alacaklar</t>
        </is>
      </c>
      <c r="B8" s="261" t="inlineStr">
        <is>
          <t>Cari ve vade mantığı korunur</t>
        </is>
      </c>
      <c r="C8" s="261" t="inlineStr">
        <is>
          <t>120 Alıcılar</t>
        </is>
      </c>
      <c r="D8" s="261" t="inlineStr">
        <is>
          <t>120</t>
        </is>
      </c>
      <c r="E8" s="261" t="inlineStr">
        <is>
          <t>Tahakkuk/nakit karışması</t>
        </is>
      </c>
      <c r="F8" s="261" t="inlineStr">
        <is>
          <t>Alacak devir kontrolü</t>
        </is>
      </c>
    </row>
    <row r="9">
      <c r="A9" s="277" t="inlineStr">
        <is>
          <t>Ticari Borçlar</t>
        </is>
      </c>
      <c r="B9" s="261" t="inlineStr">
        <is>
          <t>Tedarikçi borcu ayrı izlenir</t>
        </is>
      </c>
      <c r="C9" s="261" t="inlineStr">
        <is>
          <t>320 Satıcılar</t>
        </is>
      </c>
      <c r="D9" s="261" t="inlineStr">
        <is>
          <t>320</t>
        </is>
      </c>
      <c r="E9" s="261" t="inlineStr">
        <is>
          <t>Gider/ödeme karışması</t>
        </is>
      </c>
      <c r="F9" s="261" t="inlineStr">
        <is>
          <t>Borç devir kontrolü</t>
        </is>
      </c>
    </row>
    <row r="10">
      <c r="A10" s="277" t="inlineStr">
        <is>
          <t>Kasa/Banka</t>
        </is>
      </c>
      <c r="B10" s="261" t="inlineStr">
        <is>
          <t>Hazır değerler ayrı izlenir</t>
        </is>
      </c>
      <c r="C10" s="261" t="inlineStr">
        <is>
          <t>100 Kasa, 102 Bankalar</t>
        </is>
      </c>
      <c r="D10" s="261" t="inlineStr">
        <is>
          <t>100 / 102</t>
        </is>
      </c>
      <c r="E10" s="261" t="inlineStr">
        <is>
          <t>Virmanla toplam nakdin değişmesi</t>
        </is>
      </c>
      <c r="F10" s="261" t="inlineStr">
        <is>
          <t>Virman değişmezi</t>
        </is>
      </c>
    </row>
    <row r="11">
      <c r="A11" s="277" t="inlineStr">
        <is>
          <t>Stok</t>
        </is>
      </c>
      <c r="B11" s="261" t="inlineStr">
        <is>
          <t>Dikeye uygun stok türü</t>
        </is>
      </c>
      <c r="C11" s="261" t="inlineStr">
        <is>
          <t>150 İlk Madde ve Malzeme, 153 Ticari Mallar</t>
        </is>
      </c>
      <c r="D11" s="261" t="inlineStr">
        <is>
          <t>15x</t>
        </is>
      </c>
      <c r="E11" s="261" t="inlineStr">
        <is>
          <t>Maliyet ve stok hareketinin kopması</t>
        </is>
      </c>
      <c r="F11" s="261" t="inlineStr">
        <is>
          <t>Stok devri</t>
        </is>
      </c>
    </row>
    <row r="12" ht="28" customHeight="1" s="81">
      <c r="A12" s="277" t="inlineStr">
        <is>
          <t>Maddi Duran Varlık</t>
        </is>
      </c>
      <c r="B12" s="261" t="inlineStr">
        <is>
          <t>Yatırım harcaması ve amortisman bağlantılı</t>
        </is>
      </c>
      <c r="C12" s="261" t="inlineStr">
        <is>
          <t>253 Tesis Makine Cihazlar, 255 Demirbaşlar, 257 Birikmiş Amortismanlar</t>
        </is>
      </c>
      <c r="D12" s="261" t="inlineStr">
        <is>
          <t>25x</t>
        </is>
      </c>
      <c r="E12" s="261" t="inlineStr">
        <is>
          <t>Yatırım/gider karışması</t>
        </is>
      </c>
      <c r="F12" s="261" t="inlineStr">
        <is>
          <t>Net defter değeri devri</t>
        </is>
      </c>
    </row>
    <row r="13">
      <c r="A13" s="277" t="inlineStr">
        <is>
          <t>Mali Borçlar</t>
        </is>
      </c>
      <c r="B13" s="261" t="inlineStr">
        <is>
          <t>Kısa/uzun vadeli borç ayrımı</t>
        </is>
      </c>
      <c r="C13" s="261" t="inlineStr">
        <is>
          <t>300 Banka Kredileri / 400 Banka Kredileri</t>
        </is>
      </c>
      <c r="D13" s="261" t="inlineStr">
        <is>
          <t>300 / 400</t>
        </is>
      </c>
      <c r="E13" s="261" t="inlineStr">
        <is>
          <t>Vade sınıfı yanlış</t>
        </is>
      </c>
      <c r="F13" s="261" t="inlineStr">
        <is>
          <t>Borç devri</t>
        </is>
      </c>
    </row>
    <row r="14">
      <c r="A14" s="277" t="inlineStr">
        <is>
          <t>Özkaynak</t>
        </is>
      </c>
      <c r="B14" s="261" t="inlineStr">
        <is>
          <t>Sermaye ve geçmiş yıl kârları ayrı</t>
        </is>
      </c>
      <c r="C14" s="261" t="inlineStr">
        <is>
          <t>500 Sermaye, 570 Geçmiş Yıllar Kârları, 590 Dönem Net Kârı</t>
        </is>
      </c>
      <c r="D14" s="261" t="inlineStr">
        <is>
          <t>5xx</t>
        </is>
      </c>
      <c r="E14" s="261" t="inlineStr">
        <is>
          <t>Net kâr bağının kopması</t>
        </is>
      </c>
      <c r="F14" s="261" t="inlineStr">
        <is>
          <t>Özkaynak devri</t>
        </is>
      </c>
    </row>
    <row r="15">
      <c r="A15" s="277" t="inlineStr">
        <is>
          <t>Vergi</t>
        </is>
      </c>
      <c r="B15" s="261" t="inlineStr">
        <is>
          <t>Vergi satırları Türkiye mantığına uygun</t>
        </is>
      </c>
      <c r="C15" s="261" t="inlineStr">
        <is>
          <t>Dönem Vergi ve Diğer Yasal Yükümlülük Karşılıkları</t>
        </is>
      </c>
      <c r="D15" s="261" t="inlineStr">
        <is>
          <t>37x / ilgili vergi hesapları</t>
        </is>
      </c>
      <c r="E15" s="261" t="inlineStr">
        <is>
          <t>Vergi etkisinin yanlış dönemlenmesi</t>
        </is>
      </c>
      <c r="F15" s="261" t="inlineStr">
        <is>
          <t>Vergi sözleşmesi</t>
        </is>
      </c>
    </row>
    <row r="16">
      <c r="A16" s="277" t="inlineStr">
        <is>
          <t>İsim standardı</t>
        </is>
      </c>
      <c r="B16" s="261" t="inlineStr">
        <is>
          <t>Tablo ve sayfa adları Türkçe ve işlevsel</t>
        </is>
      </c>
      <c r="C16" s="261" t="inlineStr">
        <is>
          <t>GELİR_TABLOSU, BİLANÇO, NAKİT_AKISI, BORC_PLANI</t>
        </is>
      </c>
      <c r="D16" s="261" t="inlineStr">
        <is>
          <t>Tekrarlanabilir standart</t>
        </is>
      </c>
      <c r="E16" s="261" t="inlineStr">
        <is>
          <t>İngilizce/karma isim</t>
        </is>
      </c>
      <c r="F16" s="261" t="inlineStr">
        <is>
          <t>Sayfa ve tablo taraması</t>
        </is>
      </c>
    </row>
    <row r="17">
      <c r="A17" s="277" t="inlineStr">
        <is>
          <t>THP eşleme tablosu</t>
        </is>
      </c>
      <c r="B17" s="261" t="inlineStr">
        <is>
          <t>Her kritik satır en az bir THP hesabına bağlanır</t>
        </is>
      </c>
      <c r="C17" s="261" t="inlineStr">
        <is>
          <t>RaporSatırı → HesapKodu → HesapAdı → İşaret → Dönem</t>
        </is>
      </c>
      <c r="D17" s="261" t="inlineStr">
        <is>
          <t>Kaynak izlenebilirliği</t>
        </is>
      </c>
      <c r="E17" s="261" t="inlineStr">
        <is>
          <t>Rapordan rapora kaynak</t>
        </is>
      </c>
      <c r="F17" s="261" t="inlineStr">
        <is>
          <t>Eşleme kapsama %100</t>
        </is>
      </c>
    </row>
    <row r="18">
      <c r="A18" s="277" t="inlineStr">
        <is>
          <t>İstisna</t>
        </is>
      </c>
      <c r="B18" s="261" t="inlineStr">
        <is>
          <t>TFRS özel ürün varsa fark açık yazılır</t>
        </is>
      </c>
      <c r="C18" s="261" t="inlineStr">
        <is>
          <t>Tekdüzen raporlama ≠ TFRS finansal tablo sunumu</t>
        </is>
      </c>
      <c r="D18" s="261" t="inlineStr">
        <is>
          <t>Amaç belirtilir</t>
        </is>
      </c>
      <c r="E18" s="261" t="inlineStr">
        <is>
          <t>Standartları karıştırma</t>
        </is>
      </c>
      <c r="F18" s="261" t="inlineStr">
        <is>
          <t>Model amacı kontrolü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8" customWidth="1" style="81" min="1" max="1"/>
    <col width="32" customWidth="1" style="81" min="2" max="2"/>
    <col width="54" customWidth="1" style="81" min="3" max="3"/>
    <col width="34" customWidth="1" style="81" min="4" max="4"/>
    <col width="16" customWidth="1" style="81" min="6" max="6"/>
  </cols>
  <sheetData>
    <row r="1" ht="28" customHeight="1" s="81">
      <c r="A1" s="278" t="inlineStr">
        <is>
          <t>KARAR, GÜVEN VE SATIŞA HAZIRLIK STANDARDI</t>
        </is>
      </c>
    </row>
    <row r="3" ht="24" customHeight="1" s="81">
      <c r="A3" s="279" t="inlineStr">
        <is>
          <t>Alan</t>
        </is>
      </c>
      <c r="B3" s="279" t="inlineStr">
        <is>
          <t>Müşteri Sorusu</t>
        </is>
      </c>
      <c r="C3" s="279" t="inlineStr">
        <is>
          <t>Zorunlu Ürün Davranışı</t>
        </is>
      </c>
      <c r="D3" s="279" t="inlineStr">
        <is>
          <t>Kanıt</t>
        </is>
      </c>
      <c r="E3" s="279" t="inlineStr">
        <is>
          <t>Başarısızlık Durumu</t>
        </is>
      </c>
      <c r="F3" s="279" t="inlineStr">
        <is>
          <t>Kapı</t>
        </is>
      </c>
    </row>
    <row r="4">
      <c r="A4" s="280" t="inlineStr">
        <is>
          <t>5 saniye</t>
        </is>
      </c>
      <c r="B4" s="261" t="inlineStr">
        <is>
          <t>Bu ürün neyi çözüyor?</t>
        </is>
      </c>
      <c r="C4" s="261" t="inlineStr">
        <is>
          <t>İlk ekranda hedef kullanıcı + pahalı problem + sonuç görünür</t>
        </is>
      </c>
      <c r="D4" s="261" t="inlineStr">
        <is>
          <t>Başlık + alt mesaj + gerçek ekran</t>
        </is>
      </c>
      <c r="E4" s="261" t="inlineStr">
        <is>
          <t>Ürün yalnız teknik isim</t>
        </is>
      </c>
      <c r="F4" s="281" t="inlineStr">
        <is>
          <t>HATA</t>
        </is>
      </c>
    </row>
    <row r="5">
      <c r="A5" s="280" t="inlineStr">
        <is>
          <t>Acı</t>
        </is>
      </c>
      <c r="B5" s="261" t="inlineStr">
        <is>
          <t>Sorun bana neye mal oluyor?</t>
        </is>
      </c>
      <c r="C5" s="261" t="inlineStr">
        <is>
          <t>Mümkünse müşterinin kendi verisiyle parasal/zaman etkisi hesaplanır</t>
        </is>
      </c>
      <c r="D5" s="261" t="inlineStr">
        <is>
          <t>ROI/acı hesaplama yöntemi</t>
        </is>
      </c>
      <c r="E5" s="261" t="inlineStr">
        <is>
          <t>Uydurma tasarruf</t>
        </is>
      </c>
      <c r="F5" s="281" t="inlineStr">
        <is>
          <t>HATA</t>
        </is>
      </c>
    </row>
    <row r="6">
      <c r="A6" s="280" t="inlineStr">
        <is>
          <t>Karar</t>
        </is>
      </c>
      <c r="B6" s="261" t="inlineStr">
        <is>
          <t>Bu bilgiyle ne yapacağım?</t>
        </is>
      </c>
      <c r="C6" s="261" t="inlineStr">
        <is>
          <t>Her kritik KPI aksiyona bağlanır</t>
        </is>
      </c>
      <c r="D6" s="261" t="inlineStr">
        <is>
          <t>KARAR_KUYRUGU</t>
        </is>
      </c>
      <c r="E6" s="261" t="inlineStr">
        <is>
          <t>Sadece rapor</t>
        </is>
      </c>
      <c r="F6" s="281" t="inlineStr">
        <is>
          <t>HATA</t>
        </is>
      </c>
    </row>
    <row r="7">
      <c r="A7" s="280" t="inlineStr">
        <is>
          <t>Güven</t>
        </is>
      </c>
      <c r="B7" s="261" t="inlineStr">
        <is>
          <t>Bu sayıya neden inanayım?</t>
        </is>
      </c>
      <c r="C7" s="261" t="inlineStr">
        <is>
          <t>Kaynak, formül mantığı, kontrol ve son doğrulama görünür</t>
        </is>
      </c>
      <c r="D7" s="261" t="inlineStr">
        <is>
          <t>Kontroller + kaynak izi + sürüm</t>
        </is>
      </c>
      <c r="E7" s="261" t="inlineStr">
        <is>
          <t>Prestij kelimesi</t>
        </is>
      </c>
      <c r="F7" s="281" t="inlineStr">
        <is>
          <t>HATA</t>
        </is>
      </c>
    </row>
    <row r="8">
      <c r="A8" s="280" t="inlineStr">
        <is>
          <t>Referans</t>
        </is>
      </c>
      <c r="B8" s="261" t="inlineStr">
        <is>
          <t>Müşteri yorumu yoksa ne göstereceğim?</t>
        </is>
      </c>
      <c r="C8" s="261" t="inlineStr">
        <is>
          <t>Önce/Sonra + Karar Vakası + Hata Önleme Vakası üretilir</t>
        </is>
      </c>
      <c r="D8" s="261" t="inlineStr">
        <is>
          <t>Demo/örnek çıktı</t>
        </is>
      </c>
      <c r="E8" s="261" t="inlineStr">
        <is>
          <t>Kanıtsız iddia</t>
        </is>
      </c>
      <c r="F8" s="281" t="inlineStr">
        <is>
          <t>HATA</t>
        </is>
      </c>
    </row>
    <row r="9">
      <c r="A9" s="280" t="inlineStr">
        <is>
          <t>Senaryo</t>
        </is>
      </c>
      <c r="B9" s="261" t="inlineStr">
        <is>
          <t>Ne olursa işler bozulur?</t>
        </is>
      </c>
      <c r="C9" s="261" t="inlineStr">
        <is>
          <t>Baz/Aşağı/Yukarı veya uygun stres senaryosu</t>
        </is>
      </c>
      <c r="D9" s="261" t="inlineStr">
        <is>
          <t>Senaryo karşılaştırma</t>
        </is>
      </c>
      <c r="E9" s="261" t="inlineStr">
        <is>
          <t>Dekoratif senaryo</t>
        </is>
      </c>
      <c r="F9" s="281" t="inlineStr">
        <is>
          <t>HATA</t>
        </is>
      </c>
    </row>
    <row r="10">
      <c r="A10" s="280" t="inlineStr">
        <is>
          <t>Ters stres</t>
        </is>
      </c>
      <c r="B10" s="261" t="inlineStr">
        <is>
          <t>Hangi eşikte karar kırılır?</t>
        </is>
      </c>
      <c r="C10" s="261" t="inlineStr">
        <is>
          <t>En az bir kritik sürücü için kırılma eşiği</t>
        </is>
      </c>
      <c r="D10" s="261" t="inlineStr">
        <is>
          <t>Kırılma eşiği tablosu</t>
        </is>
      </c>
      <c r="E10" s="261" t="inlineStr">
        <is>
          <t>Sadece +/- %10</t>
        </is>
      </c>
      <c r="F10" s="281" t="inlineStr">
        <is>
          <t>UYARI/HATA</t>
        </is>
      </c>
    </row>
    <row r="11">
      <c r="A11" s="280" t="inlineStr">
        <is>
          <t>Hata tutarlılığı</t>
        </is>
      </c>
      <c r="B11" s="261" t="inlineStr">
        <is>
          <t>Formül hata verirse ne olur?</t>
        </is>
      </c>
      <c r="C11" s="261" t="inlineStr">
        <is>
          <t>Kontrol GEÇTİ veremez; BLOKE/HATA üretir</t>
        </is>
      </c>
      <c r="D11" s="261" t="inlineStr">
        <is>
          <t>Hata taraması</t>
        </is>
      </c>
      <c r="E11" s="261" t="inlineStr">
        <is>
          <t>Hata + GEÇTİ birlikte</t>
        </is>
      </c>
      <c r="F11" s="281" t="inlineStr">
        <is>
          <t>HATA</t>
        </is>
      </c>
    </row>
    <row r="12">
      <c r="A12" s="280" t="inlineStr">
        <is>
          <t>Karar motoru</t>
        </is>
      </c>
      <c r="B12" s="261" t="inlineStr">
        <is>
          <t>Ne oldu, neden oldu?</t>
        </is>
      </c>
      <c r="C12" s="261" t="inlineStr">
        <is>
          <t>Sorun + neden + parasal etki + aksiyon + son tarih</t>
        </is>
      </c>
      <c r="D12" s="261" t="inlineStr">
        <is>
          <t>Karar tablosu</t>
        </is>
      </c>
      <c r="E12" s="261" t="inlineStr">
        <is>
          <t>Boş sayfa / isim düzeyi modül</t>
        </is>
      </c>
      <c r="F12" s="281" t="inlineStr">
        <is>
          <t>HATA</t>
        </is>
      </c>
    </row>
    <row r="13">
      <c r="A13" s="280" t="inlineStr">
        <is>
          <t>Yönetici özeti</t>
        </is>
      </c>
      <c r="B13" s="261" t="inlineStr">
        <is>
          <t>5 saniyede ne görmeliyim?</t>
        </is>
      </c>
      <c r="C13" s="261" t="inlineStr">
        <is>
          <t>Bugün / ne değişti / ne bozulacak / neden / ne yapmalıyım / güven</t>
        </is>
      </c>
      <c r="D13" s="261" t="inlineStr">
        <is>
          <t>Yönetici özeti ekranı</t>
        </is>
      </c>
      <c r="E13" s="261" t="inlineStr">
        <is>
          <t>KPI kutusu yığını</t>
        </is>
      </c>
      <c r="F13" s="281" t="inlineStr">
        <is>
          <t>HATA</t>
        </is>
      </c>
    </row>
    <row r="14">
      <c r="A14" s="280" t="inlineStr">
        <is>
          <t>Teklif</t>
        </is>
      </c>
      <c r="B14" s="261" t="inlineStr">
        <is>
          <t>Neden satın almalıyım?</t>
        </is>
      </c>
      <c r="C14" s="261" t="inlineStr">
        <is>
          <t>Dosya özellikleri yerine sonuç ve kaçınılan maliyet sunulur</t>
        </is>
      </c>
      <c r="D14" s="261" t="inlineStr">
        <is>
          <t>Ürün sayfası kanıt eşlemesi</t>
        </is>
      </c>
      <c r="E14" s="261" t="inlineStr">
        <is>
          <t>Özellik listesiyle satış</t>
        </is>
      </c>
      <c r="F14" s="281" t="inlineStr">
        <is>
          <t>HATA</t>
        </is>
      </c>
    </row>
    <row r="15">
      <c r="A15" s="280" t="inlineStr">
        <is>
          <t>Dağıtım</t>
        </is>
      </c>
      <c r="B15" s="261" t="inlineStr">
        <is>
          <t>Beni nasıl bulacaklar?</t>
        </is>
      </c>
      <c r="C15" s="261" t="inlineStr">
        <is>
          <t>Sorun niyetine göre SEO sayfaları, iç bağlantı, temiz yapı, taranabilir metin</t>
        </is>
      </c>
      <c r="D15" s="261" t="inlineStr">
        <is>
          <t>Arama niyeti haritası</t>
        </is>
      </c>
      <c r="E15" s="261" t="inlineStr">
        <is>
          <t>Tek ürün sayfasına bağımlılık</t>
        </is>
      </c>
      <c r="F15" s="281" t="inlineStr">
        <is>
          <t>UYARI</t>
        </is>
      </c>
    </row>
    <row r="16" ht="28" customHeight="1" s="81">
      <c r="A16" s="280" t="inlineStr">
        <is>
          <t>LLM görünürlüğü</t>
        </is>
      </c>
      <c r="B16" s="261" t="inlineStr">
        <is>
          <t>AI ürünümü anlayabiliyor mu?</t>
        </is>
      </c>
      <c r="C16" s="261" t="inlineStr">
        <is>
          <t>Ürün tanımı, hedef kullanıcı, girdi/çıktı, metodoloji, sınırlar, SSS açık metindir</t>
        </is>
      </c>
      <c r="D16" s="261" t="inlineStr">
        <is>
          <t>Taranabilir ürün içeriği</t>
        </is>
      </c>
      <c r="E16" s="261" t="inlineStr">
        <is>
          <t>'AI SEO' iddiası</t>
        </is>
      </c>
      <c r="F16" s="281" t="inlineStr">
        <is>
          <t>UYARI</t>
        </is>
      </c>
    </row>
    <row r="17">
      <c r="A17" s="280" t="inlineStr">
        <is>
          <t>Satış kanalı</t>
        </is>
      </c>
      <c r="B17" s="261" t="inlineStr">
        <is>
          <t>Nerede satılmalı?</t>
        </is>
      </c>
      <c r="C17" s="261" t="inlineStr">
        <is>
          <t>Arama, LinkedIn, uzman/partner, demo/video; ürüne göre kanal seçilir</t>
        </is>
      </c>
      <c r="D17" s="261" t="inlineStr">
        <is>
          <t>Kanal matrisi</t>
        </is>
      </c>
      <c r="E17" s="261" t="inlineStr">
        <is>
          <t>Her ürüne aynı kanal</t>
        </is>
      </c>
      <c r="F17" s="281" t="inlineStr">
        <is>
          <t>UYARI</t>
        </is>
      </c>
    </row>
    <row r="18">
      <c r="A18" s="280" t="inlineStr">
        <is>
          <t>Fiyat</t>
        </is>
      </c>
      <c r="B18" s="261" t="inlineStr">
        <is>
          <t>Bu fiyat neden mantıklı?</t>
        </is>
      </c>
      <c r="C18" s="261" t="inlineStr">
        <is>
          <t>Fiyat, ekonomik karar değerine ve kanıtlanmış ürün derinliğine bağlanır</t>
        </is>
      </c>
      <c r="D18" s="261" t="inlineStr">
        <is>
          <t>Değer haritası + demo</t>
        </is>
      </c>
      <c r="E18" s="261" t="inlineStr">
        <is>
          <t>Sırf sayfa/formül sayısı</t>
        </is>
      </c>
      <c r="F18" s="281" t="inlineStr">
        <is>
          <t>HATA</t>
        </is>
      </c>
    </row>
    <row r="19">
      <c r="A19" s="280" t="inlineStr">
        <is>
          <t>Pazar kanıtı</t>
        </is>
      </c>
      <c r="B19" s="261" t="inlineStr">
        <is>
          <t>Piyasa gerçekten ödüyor mu?</t>
        </is>
      </c>
      <c r="C19" s="261" t="inlineStr">
        <is>
          <t>Satış/pilot/LOI/fiyat kabulü olmadan pazar doğrulandı yazılmaz</t>
        </is>
      </c>
      <c r="D19" s="261" t="inlineStr">
        <is>
          <t>Gerçek işlem kanıtı</t>
        </is>
      </c>
      <c r="E19" s="261" t="inlineStr">
        <is>
          <t>Tahmini talep = satış kabulü</t>
        </is>
      </c>
      <c r="F19" s="281" t="inlineStr">
        <is>
          <t>HATA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N2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0" customWidth="1" style="107" min="1" max="1"/>
  </cols>
  <sheetData>
    <row r="1" ht="25.5" customHeight="1" s="81">
      <c r="A1" s="108" t="inlineStr">
        <is>
          <t>KAPAK — Yeniden Değerleme Yapmalı Mıyım? (Vergi Tasarruf Analizi)</t>
        </is>
      </c>
    </row>
    <row r="3" ht="30" customHeight="1" s="81">
      <c r="A3" s="109" t="inlineStr">
        <is>
          <t>Yeniden Değerleme Yapmalı Mıyım? (Vergi Tasarruf Analizi)</t>
        </is>
      </c>
    </row>
    <row r="4" ht="15" customHeight="1" s="81">
      <c r="A4" s="110" t="inlineStr">
        <is>
          <t>Kıymet bazında yeniden değerleme katsayısını işleyin; değer artışı, %2 fon vergisi ve ek amortismanın vergi tasarrufunu karşılaştırın; net faydaya göre karar verin.</t>
        </is>
      </c>
    </row>
    <row r="6" ht="15" customHeight="1" s="81">
      <c r="A6" s="111" t="inlineStr">
        <is>
          <t>Bu ürün ne sağlar?</t>
        </is>
      </c>
    </row>
    <row r="7" ht="15" customHeight="1" s="81">
      <c r="A7" s="112" t="inlineStr">
        <is>
          <t>• Kıymet bazında değer artışı, %2 fon vergisi ve yıllık ek amortisman hesabı</t>
        </is>
      </c>
    </row>
    <row r="8" ht="15" customHeight="1" s="81">
      <c r="A8" s="112" t="inlineStr">
        <is>
          <t>• Ek amortismanın kalan ömür boyunca sağladığı vergi tasarrufunun bugünkü değeri</t>
        </is>
      </c>
    </row>
    <row r="9" ht="15" customHeight="1" s="81">
      <c r="A9" s="112" t="inlineStr">
        <is>
          <t>• Net fayda (tasarruf eksi fon) ve UYGUN / İNCELE / DURDUR karar kapısı</t>
        </is>
      </c>
    </row>
    <row r="10" ht="15" customHeight="1" s="81">
      <c r="A10" s="112" t="inlineStr">
        <is>
          <t>• İskonto ve fon oranına göre senaryo bant aralığı ve tornado analizi</t>
        </is>
      </c>
    </row>
    <row r="11" ht="15" customHeight="1" s="81">
      <c r="A11" s="112" t="inlineStr">
        <is>
          <t>• Kıymet türü bazında yoğunlaşma, anomali ve veri kalite skoru</t>
        </is>
      </c>
    </row>
    <row r="14" ht="15" customHeight="1" s="81">
      <c r="A14" s="111" t="inlineStr">
        <is>
          <t>Kimler için?</t>
        </is>
      </c>
    </row>
    <row r="15" ht="15" customHeight="1" s="81">
      <c r="A15" s="113" t="inlineStr">
        <is>
          <t>• Yeniden değerleme yapıp yapmamayı değerlendiren mükellefler ve mali müşavirler</t>
        </is>
      </c>
    </row>
    <row r="16" ht="15" customHeight="1" s="81">
      <c r="A16" s="113" t="inlineStr">
        <is>
          <t>• Aktif büyüklüğünü artırmak ve ek amortisman avantajı arayan şirketler</t>
        </is>
      </c>
    </row>
    <row r="17" ht="15" customHeight="1" s="81">
      <c r="A17" s="113" t="inlineStr">
        <is>
          <t>• Geçici 31. madde kapsamını finansal modeliyle test etmek isteyen firmalar</t>
        </is>
      </c>
    </row>
    <row r="18" ht="15" customHeight="1" s="81">
      <c r="A18" s="111" t="inlineStr">
        <is>
          <t>Nasıl başlanır?</t>
        </is>
      </c>
    </row>
    <row r="19" ht="15" customHeight="1" s="81">
      <c r="A19" s="112" t="inlineStr">
        <is>
          <t>1. HIZLI_BASLANGIC sayfasını okuyun. 2. KIYMET_LISTESI sayfasına kıymetlerinizi girin. 3. PANO ve RAPOR sayfalarından net faydayı ve kararı izleyin.</t>
        </is>
      </c>
    </row>
    <row r="21" ht="15" customHeight="1" s="81">
      <c r="A21" s="114" t="inlineStr">
        <is>
          <t>Sürüm 1.0.0 | 2026 | ExcelArşiv | Lisans: Tek kullanıcı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9:AD9"/>
    <mergeCell ref="A3:AN3"/>
    <mergeCell ref="A8:AD8"/>
    <mergeCell ref="A7:AD7"/>
    <mergeCell ref="A4:P4"/>
    <mergeCell ref="A11:AD11"/>
    <mergeCell ref="A10:AD10"/>
    <mergeCell ref="A21:P21"/>
    <mergeCell ref="A1:AN1"/>
    <mergeCell ref="A19:P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D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0" customWidth="1" style="107" min="1" max="1"/>
    <col width="60" customWidth="1" style="107" min="2" max="2"/>
  </cols>
  <sheetData>
    <row r="1" ht="25.5" customHeight="1" s="81">
      <c r="A1" s="108" t="inlineStr">
        <is>
          <t>HIZLI BASLANGIC — Yeniden Değerleme Yapmalı Mıyım? (Vergi Tasarruf Analizi)</t>
        </is>
      </c>
    </row>
    <row r="3" ht="15.75" customHeight="1" s="81">
      <c r="A3" s="115" t="inlineStr">
        <is>
          <t>Nasıl kullanılır?</t>
        </is>
      </c>
    </row>
    <row r="5" ht="15" customHeight="1" s="81">
      <c r="A5" s="116" t="inlineStr">
        <is>
          <t>Adım 1 — Kıymetlerinizi girin</t>
        </is>
      </c>
      <c r="B5" s="112" t="inlineStr">
        <is>
          <t>KIYMET_LISTESI sayfasındaki sarı hücrelere kıymet türü, defter değeri, birikmiş amortisman, amortisman oranı, kalan faydalı ömür ve yeniden değerleme katsayısını girin.</t>
        </is>
      </c>
    </row>
    <row r="6" ht="15" customHeight="1" s="81">
      <c r="A6" s="116" t="inlineStr">
        <is>
          <t>Adım 2 — Değer artışını ve fonu izleyin</t>
        </is>
      </c>
      <c r="B6" s="112" t="inlineStr">
        <is>
          <t>HESAP sayfası değer artışını, %2 fon vergisini ve yıllık ek amortismanı hesaplar.</t>
        </is>
      </c>
    </row>
    <row r="7" ht="15" customHeight="1" s="81">
      <c r="A7" s="116" t="inlineStr">
        <is>
          <t>Adım 3 — Vergi tasarrufunu karşılaştırın</t>
        </is>
      </c>
      <c r="B7" s="112" t="inlineStr">
        <is>
          <t>Ek amortismanın kalan ömür boyunca sağladığı tasarrufun bugünkü değeri fon maliyetiyle karşılaştırılır; KARAR sayfası UYGUN/İNCELE/DURDUR üretir.</t>
        </is>
      </c>
    </row>
    <row r="8" ht="15" customHeight="1" s="81">
      <c r="A8" s="116" t="inlineStr">
        <is>
          <t>Adım 4 — Oranları ayarlayın</t>
        </is>
      </c>
      <c r="B8" s="112" t="inlineStr">
        <is>
          <t>Fon oranı, kurumlar vergisi oranı ve iskonto oranı AYARLAR sayfasından değiştirilir.</t>
        </is>
      </c>
    </row>
    <row r="11" ht="15" customHeight="1" s="81">
      <c r="A11" s="117" t="inlineStr">
        <is>
          <t>Sık yapılan hatalar</t>
        </is>
      </c>
    </row>
    <row r="12" ht="15" customHeight="1" s="81">
      <c r="A12" s="118" t="inlineStr">
        <is>
          <t>• Amortismanı defter değerinden büyük girmek (net defter değeri negatif olur)</t>
        </is>
      </c>
    </row>
    <row r="13" ht="15" customHeight="1" s="81">
      <c r="A13" s="118" t="inlineStr">
        <is>
          <t>• Araziyi amortismana tabi kıymet gibi işlemek (arazide ek amortisman yoktur)</t>
        </is>
      </c>
    </row>
    <row r="14" ht="15" customHeight="1" s="81">
      <c r="A14" s="118" t="inlineStr">
        <is>
          <t>• Katsayıyı gerçekleşmemiş oranlarla doldurmak (oran güncel Yİ-ÜFE katsayısına göre girilir)</t>
        </is>
      </c>
    </row>
    <row r="15" ht="15" customHeight="1" s="81">
      <c r="A15" s="119" t="inlineStr">
        <is>
          <t>Bu dosya karar destek aracıdır; mali müşavir görüşü yerine geçmez.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5">
    <mergeCell ref="B5:T5"/>
    <mergeCell ref="B8:T8"/>
    <mergeCell ref="B6:T6"/>
    <mergeCell ref="A1:AD1"/>
    <mergeCell ref="B7:T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1" customWidth="1" style="107" min="1" max="1"/>
    <col width="15" customWidth="1" style="107" min="2" max="2"/>
    <col width="18" customWidth="1" style="107" min="3" max="5"/>
    <col width="13" customWidth="1" style="107" min="6" max="6"/>
    <col width="14" customWidth="1" style="107" min="7" max="7"/>
    <col width="15" customWidth="1" style="107" min="8" max="8"/>
    <col width="18" customWidth="1" style="107" min="9" max="10"/>
    <col width="15" customWidth="1" style="107" min="11" max="11"/>
    <col width="18" customWidth="1" style="107" min="12" max="13"/>
    <col width="20" customWidth="1" style="107" min="14" max="14"/>
    <col width="16" customWidth="1" style="107" min="15" max="15"/>
    <col width="20" customWidth="1" style="107" min="16" max="16"/>
    <col width="26" customWidth="1" style="107" min="17" max="17"/>
  </cols>
  <sheetData>
    <row r="1" ht="25.5" customHeight="1" s="81">
      <c r="A1" s="108" t="inlineStr">
        <is>
          <t>KIYMET LISTESI — Yeniden Değerleme Yapmalı Mıyım? (Vergi Tasarruf Analizi)</t>
        </is>
      </c>
    </row>
    <row r="3" ht="15.75" customHeight="1" s="81">
      <c r="A3" s="115" t="inlineStr">
        <is>
          <t>Kıymet Listesi</t>
        </is>
      </c>
    </row>
    <row r="4" ht="162" customHeight="1" s="81">
      <c r="A4" s="110" t="inlineStr">
        <is>
          <t>Sarı hücrelere manuel veri girin. Her satır bir duran varlık kalemidir; değer artışı, fon vergisi ve tasarruf otomatik hesaplanır.</t>
        </is>
      </c>
    </row>
    <row r="5" ht="30" customHeight="1" s="81">
      <c r="A5" s="120" t="inlineStr">
        <is>
          <t>Kayıt Sırası</t>
        </is>
      </c>
      <c r="B5" s="120" t="inlineStr">
        <is>
          <t>Kıymet Türü</t>
        </is>
      </c>
      <c r="C5" s="120" t="inlineStr">
        <is>
          <t>Defter Değeri (Brüt)</t>
        </is>
      </c>
      <c r="D5" s="120" t="inlineStr">
        <is>
          <t>Birikmiş Amortisman</t>
        </is>
      </c>
      <c r="E5" s="120" t="inlineStr">
        <is>
          <t>Net Defter Değeri</t>
        </is>
      </c>
      <c r="F5" s="120" t="inlineStr">
        <is>
          <t>Amortisman Oranı</t>
        </is>
      </c>
      <c r="G5" s="120" t="inlineStr">
        <is>
          <t>Kalan Faydalı Ömür</t>
        </is>
      </c>
      <c r="H5" s="120" t="inlineStr">
        <is>
          <t>Yeniden Değerleme Katsayısı</t>
        </is>
      </c>
      <c r="I5" s="120" t="inlineStr">
        <is>
          <t>Değerlenmiş Net Değer</t>
        </is>
      </c>
      <c r="J5" s="120" t="inlineStr">
        <is>
          <t>Değer Artışı</t>
        </is>
      </c>
      <c r="K5" s="120" t="inlineStr">
        <is>
          <t>Fon Vergisi</t>
        </is>
      </c>
      <c r="L5" s="120" t="inlineStr">
        <is>
          <t>Yıllık Ek Amortisman</t>
        </is>
      </c>
      <c r="M5" s="120" t="inlineStr">
        <is>
          <t>Yıllık Vergi Tasarrufu</t>
        </is>
      </c>
      <c r="N5" s="120" t="inlineStr">
        <is>
          <t>Tasarruf Bugünkü Değeri</t>
        </is>
      </c>
      <c r="O5" s="120" t="inlineStr">
        <is>
          <t>Net Fayda</t>
        </is>
      </c>
      <c r="P5" s="120" t="inlineStr">
        <is>
          <t>Öneri</t>
        </is>
      </c>
      <c r="Q5" s="120" t="inlineStr">
        <is>
          <t>Kayıt Açıklaması</t>
        </is>
      </c>
    </row>
    <row r="6" ht="15.75" customHeight="1" s="81">
      <c r="A6" s="121" t="n">
        <v>1</v>
      </c>
      <c r="B6" s="122" t="inlineStr">
        <is>
          <t>Bina</t>
        </is>
      </c>
      <c r="C6" s="123" t="n">
        <v>500000</v>
      </c>
      <c r="D6" s="123" t="n">
        <v>200000</v>
      </c>
      <c r="E6" s="124">
        <f>IF($C6=0,0,$C6-$D6)</f>
        <v/>
      </c>
      <c r="F6" s="125" t="n">
        <v>0.02</v>
      </c>
      <c r="G6" s="121" t="n">
        <v>10</v>
      </c>
      <c r="H6" s="126" t="n">
        <v>2.5</v>
      </c>
      <c r="I6" s="124">
        <f>IF($E6=0,0,$E6*$H6)</f>
        <v/>
      </c>
      <c r="J6" s="124">
        <f>IF($I6=0,0,$I6-$E6)</f>
        <v/>
      </c>
      <c r="K6" s="124">
        <f>IF($J6=0,0,$J6*YenidegerFonOran)</f>
        <v/>
      </c>
      <c r="L6" s="124">
        <f>IF($G6=0,0,$J6/$G6)</f>
        <v/>
      </c>
      <c r="M6" s="124">
        <f>IF($L6=0,0,$L6*YenidegerKurumlarVergiOran)</f>
        <v/>
      </c>
      <c r="N6" s="124">
        <f>IFERROR(IF(YenidegerIskontoOrani=0,$M6*$G6,$M6*(1-1/(1+YenidegerIskontoOrani)^$G6)/YenidegerIskontoOrani),0)</f>
        <v/>
      </c>
      <c r="O6" s="124">
        <f>$N6-$K6</f>
        <v/>
      </c>
      <c r="P6" s="124">
        <f>IF($J6&lt;=0,"DEĞERLENDİR",IF($O6&gt;0,"YENİDEN DEĞERLE","DEĞERLENDİR"))</f>
        <v/>
      </c>
      <c r="Q6" s="124">
        <f>IF($B6="","",CONCATENATE("Kıymet: ",$B6," | Değer Artışı: ",TEXT($J6,"#,##0")))</f>
        <v/>
      </c>
    </row>
    <row r="7" ht="15.75" customHeight="1" s="81">
      <c r="A7" s="121" t="n">
        <v>2</v>
      </c>
      <c r="B7" s="122" t="inlineStr">
        <is>
          <t>Bina</t>
        </is>
      </c>
      <c r="C7" s="123" t="n">
        <v>300000</v>
      </c>
      <c r="D7" s="123" t="n">
        <v>100000</v>
      </c>
      <c r="E7" s="124">
        <f>IF($C7=0,0,$C7-$D7)</f>
        <v/>
      </c>
      <c r="F7" s="125" t="n">
        <v>0.02</v>
      </c>
      <c r="G7" s="121" t="n">
        <v>8</v>
      </c>
      <c r="H7" s="126" t="n">
        <v>2.2</v>
      </c>
      <c r="I7" s="124">
        <f>IF($E7=0,0,$E7*$H7)</f>
        <v/>
      </c>
      <c r="J7" s="124">
        <f>IF($I7=0,0,$I7-$E7)</f>
        <v/>
      </c>
      <c r="K7" s="124">
        <f>IF($J7=0,0,$J7*YenidegerFonOran)</f>
        <v/>
      </c>
      <c r="L7" s="124">
        <f>IF($G7=0,0,$J7/$G7)</f>
        <v/>
      </c>
      <c r="M7" s="124">
        <f>IF($L7=0,0,$L7*YenidegerKurumlarVergiOran)</f>
        <v/>
      </c>
      <c r="N7" s="124">
        <f>IFERROR(IF(YenidegerIskontoOrani=0,$M7*$G7,$M7*(1-1/(1+YenidegerIskontoOrani)^$G7)/YenidegerIskontoOrani),0)</f>
        <v/>
      </c>
      <c r="O7" s="124">
        <f>$N7-$K7</f>
        <v/>
      </c>
      <c r="P7" s="124">
        <f>IF($J7&lt;=0,"DEĞERLENDİR",IF($O7&gt;0,"YENİDEN DEĞERLE","DEĞERLENDİR"))</f>
        <v/>
      </c>
      <c r="Q7" s="124">
        <f>IF($B7="","",CONCATENATE("Kıymet: ",$B7," | Değer Artışı: ",TEXT($J7,"#,##0")))</f>
        <v/>
      </c>
    </row>
    <row r="8" ht="15.75" customHeight="1" s="81">
      <c r="A8" s="121" t="n">
        <v>3</v>
      </c>
      <c r="B8" s="122" t="inlineStr">
        <is>
          <t>Makine</t>
        </is>
      </c>
      <c r="C8" s="123" t="n">
        <v>250000</v>
      </c>
      <c r="D8" s="123" t="n">
        <v>120000</v>
      </c>
      <c r="E8" s="124">
        <f>IF($C8=0,0,$C8-$D8)</f>
        <v/>
      </c>
      <c r="F8" s="125" t="n">
        <v>0.1</v>
      </c>
      <c r="G8" s="121" t="n">
        <v>7</v>
      </c>
      <c r="H8" s="126" t="n">
        <v>3.1</v>
      </c>
      <c r="I8" s="124">
        <f>IF($E8=0,0,$E8*$H8)</f>
        <v/>
      </c>
      <c r="J8" s="124">
        <f>IF($I8=0,0,$I8-$E8)</f>
        <v/>
      </c>
      <c r="K8" s="124">
        <f>IF($J8=0,0,$J8*YenidegerFonOran)</f>
        <v/>
      </c>
      <c r="L8" s="124">
        <f>IF($G8=0,0,$J8/$G8)</f>
        <v/>
      </c>
      <c r="M8" s="124">
        <f>IF($L8=0,0,$L8*YenidegerKurumlarVergiOran)</f>
        <v/>
      </c>
      <c r="N8" s="124">
        <f>IFERROR(IF(YenidegerIskontoOrani=0,$M8*$G8,$M8*(1-1/(1+YenidegerIskontoOrani)^$G8)/YenidegerIskontoOrani),0)</f>
        <v/>
      </c>
      <c r="O8" s="124">
        <f>$N8-$K8</f>
        <v/>
      </c>
      <c r="P8" s="124">
        <f>IF($J8&lt;=0,"DEĞERLENDİR",IF($O8&gt;0,"YENİDEN DEĞERLE","DEĞERLENDİR"))</f>
        <v/>
      </c>
      <c r="Q8" s="124">
        <f>IF($B8="","",CONCATENATE("Kıymet: ",$B8," | Değer Artışı: ",TEXT($J8,"#,##0")))</f>
        <v/>
      </c>
    </row>
    <row r="9" ht="15.75" customHeight="1" s="81">
      <c r="A9" s="121" t="n">
        <v>4</v>
      </c>
      <c r="B9" s="122" t="inlineStr">
        <is>
          <t>Makine</t>
        </is>
      </c>
      <c r="C9" s="123" t="n">
        <v>400000</v>
      </c>
      <c r="D9" s="123" t="n">
        <v>220000</v>
      </c>
      <c r="E9" s="124">
        <f>IF($C9=0,0,$C9-$D9)</f>
        <v/>
      </c>
      <c r="F9" s="125" t="n">
        <v>0.1</v>
      </c>
      <c r="G9" s="121" t="n">
        <v>5</v>
      </c>
      <c r="H9" s="126" t="n">
        <v>2.8</v>
      </c>
      <c r="I9" s="124">
        <f>IF($E9=0,0,$E9*$H9)</f>
        <v/>
      </c>
      <c r="J9" s="124">
        <f>IF($I9=0,0,$I9-$E9)</f>
        <v/>
      </c>
      <c r="K9" s="124">
        <f>IF($J9=0,0,$J9*YenidegerFonOran)</f>
        <v/>
      </c>
      <c r="L9" s="124">
        <f>IF($G9=0,0,$J9/$G9)</f>
        <v/>
      </c>
      <c r="M9" s="124">
        <f>IF($L9=0,0,$L9*YenidegerKurumlarVergiOran)</f>
        <v/>
      </c>
      <c r="N9" s="124">
        <f>IFERROR(IF(YenidegerIskontoOrani=0,$M9*$G9,$M9*(1-1/(1+YenidegerIskontoOrani)^$G9)/YenidegerIskontoOrani),0)</f>
        <v/>
      </c>
      <c r="O9" s="124">
        <f>$N9-$K9</f>
        <v/>
      </c>
      <c r="P9" s="124">
        <f>IF($J9&lt;=0,"DEĞERLENDİR",IF($O9&gt;0,"YENİDEN DEĞERLE","DEĞERLENDİR"))</f>
        <v/>
      </c>
      <c r="Q9" s="124">
        <f>IF($B9="","",CONCATENATE("Kıymet: ",$B9," | Değer Artışı: ",TEXT($J9,"#,##0")))</f>
        <v/>
      </c>
    </row>
    <row r="10" ht="15.75" customHeight="1" s="81">
      <c r="A10" s="121" t="n">
        <v>5</v>
      </c>
      <c r="B10" s="122" t="inlineStr">
        <is>
          <t>Tesis</t>
        </is>
      </c>
      <c r="C10" s="123" t="n">
        <v>1500000</v>
      </c>
      <c r="D10" s="123" t="n">
        <v>600000</v>
      </c>
      <c r="E10" s="124">
        <f>IF($C10=0,0,$C10-$D10)</f>
        <v/>
      </c>
      <c r="F10" s="125" t="n">
        <v>0.04</v>
      </c>
      <c r="G10" s="121" t="n">
        <v>15</v>
      </c>
      <c r="H10" s="126" t="n">
        <v>2.3</v>
      </c>
      <c r="I10" s="124">
        <f>IF($E10=0,0,$E10*$H10)</f>
        <v/>
      </c>
      <c r="J10" s="124">
        <f>IF($I10=0,0,$I10-$E10)</f>
        <v/>
      </c>
      <c r="K10" s="124">
        <f>IF($J10=0,0,$J10*YenidegerFonOran)</f>
        <v/>
      </c>
      <c r="L10" s="124">
        <f>IF($G10=0,0,$J10/$G10)</f>
        <v/>
      </c>
      <c r="M10" s="124">
        <f>IF($L10=0,0,$L10*YenidegerKurumlarVergiOran)</f>
        <v/>
      </c>
      <c r="N10" s="124">
        <f>IFERROR(IF(YenidegerIskontoOrani=0,$M10*$G10,$M10*(1-1/(1+YenidegerIskontoOrani)^$G10)/YenidegerIskontoOrani),0)</f>
        <v/>
      </c>
      <c r="O10" s="124">
        <f>$N10-$K10</f>
        <v/>
      </c>
      <c r="P10" s="124">
        <f>IF($J10&lt;=0,"DEĞERLENDİR",IF($O10&gt;0,"YENİDEN DEĞERLE","DEĞERLENDİR"))</f>
        <v/>
      </c>
      <c r="Q10" s="124">
        <f>IF($B10="","",CONCATENATE("Kıymet: ",$B10," | Değer Artışı: ",TEXT($J10,"#,##0")))</f>
        <v/>
      </c>
    </row>
    <row r="11" ht="15.75" customHeight="1" s="81">
      <c r="A11" s="121" t="n">
        <v>6</v>
      </c>
      <c r="B11" s="122" t="inlineStr">
        <is>
          <t>Taşıt</t>
        </is>
      </c>
      <c r="C11" s="123" t="n">
        <v>120000</v>
      </c>
      <c r="D11" s="123" t="n">
        <v>80000</v>
      </c>
      <c r="E11" s="124">
        <f>IF($C11=0,0,$C11-$D11)</f>
        <v/>
      </c>
      <c r="F11" s="125" t="n">
        <v>0.2</v>
      </c>
      <c r="G11" s="121" t="n">
        <v>4</v>
      </c>
      <c r="H11" s="126" t="n">
        <v>1.9</v>
      </c>
      <c r="I11" s="124">
        <f>IF($E11=0,0,$E11*$H11)</f>
        <v/>
      </c>
      <c r="J11" s="124">
        <f>IF($I11=0,0,$I11-$E11)</f>
        <v/>
      </c>
      <c r="K11" s="124">
        <f>IF($J11=0,0,$J11*YenidegerFonOran)</f>
        <v/>
      </c>
      <c r="L11" s="124">
        <f>IF($G11=0,0,$J11/$G11)</f>
        <v/>
      </c>
      <c r="M11" s="124">
        <f>IF($L11=0,0,$L11*YenidegerKurumlarVergiOran)</f>
        <v/>
      </c>
      <c r="N11" s="124">
        <f>IFERROR(IF(YenidegerIskontoOrani=0,$M11*$G11,$M11*(1-1/(1+YenidegerIskontoOrani)^$G11)/YenidegerIskontoOrani),0)</f>
        <v/>
      </c>
      <c r="O11" s="124">
        <f>$N11-$K11</f>
        <v/>
      </c>
      <c r="P11" s="124">
        <f>IF($J11&lt;=0,"DEĞERLENDİR",IF($O11&gt;0,"YENİDEN DEĞERLE","DEĞERLENDİR"))</f>
        <v/>
      </c>
      <c r="Q11" s="124">
        <f>IF($B11="","",CONCATENATE("Kıymet: ",$B11," | Değer Artışı: ",TEXT($J11,"#,##0")))</f>
        <v/>
      </c>
    </row>
    <row r="12" ht="15.75" customHeight="1" s="81">
      <c r="A12" s="121" t="n">
        <v>7</v>
      </c>
      <c r="B12" s="122" t="inlineStr">
        <is>
          <t>Arazi</t>
        </is>
      </c>
      <c r="C12" s="123" t="n">
        <v>1000000</v>
      </c>
      <c r="D12" s="127" t="n">
        <v>0</v>
      </c>
      <c r="E12" s="124">
        <f>IF($C12=0,0,$C12-$D12)</f>
        <v/>
      </c>
      <c r="F12" s="128" t="n">
        <v>0</v>
      </c>
      <c r="G12" s="129" t="n">
        <v>0</v>
      </c>
      <c r="H12" s="126" t="n">
        <v>3</v>
      </c>
      <c r="I12" s="124">
        <f>IF($E12=0,0,$E12*$H12)</f>
        <v/>
      </c>
      <c r="J12" s="124">
        <f>IF($I12=0,0,$I12-$E12)</f>
        <v/>
      </c>
      <c r="K12" s="124">
        <f>IF($J12=0,0,$J12*YenidegerFonOran)</f>
        <v/>
      </c>
      <c r="L12" s="124">
        <f>IF($G12=0,0,$J12/$G12)</f>
        <v/>
      </c>
      <c r="M12" s="124">
        <f>IF($L12=0,0,$L12*YenidegerKurumlarVergiOran)</f>
        <v/>
      </c>
      <c r="N12" s="124">
        <f>IFERROR(IF(YenidegerIskontoOrani=0,$M12*$G12,$M12*(1-1/(1+YenidegerIskontoOrani)^$G12)/YenidegerIskontoOrani),0)</f>
        <v/>
      </c>
      <c r="O12" s="124">
        <f>$N12-$K12</f>
        <v/>
      </c>
      <c r="P12" s="124">
        <f>IF($J12&lt;=0,"DEĞERLENDİR",IF($O12&gt;0,"YENİDEN DEĞERLE","DEĞERLENDİR"))</f>
        <v/>
      </c>
      <c r="Q12" s="124">
        <f>IF($B12="","",CONCATENATE("Kıymet: ",$B12," | Değer Artışı: ",TEXT($J12,"#,##0")))</f>
        <v/>
      </c>
    </row>
    <row r="13" ht="15.75" customHeight="1" s="81">
      <c r="A13" s="121" t="n">
        <v>8</v>
      </c>
      <c r="B13" s="122" t="inlineStr">
        <is>
          <t>Bina</t>
        </is>
      </c>
      <c r="C13" s="123" t="n">
        <v>250000</v>
      </c>
      <c r="D13" s="123" t="n">
        <v>90000</v>
      </c>
      <c r="E13" s="124">
        <f>IF($C13=0,0,$C13-$D13)</f>
        <v/>
      </c>
      <c r="F13" s="125" t="n">
        <v>0.02</v>
      </c>
      <c r="G13" s="121" t="n">
        <v>12</v>
      </c>
      <c r="H13" s="126" t="n">
        <v>2.6</v>
      </c>
      <c r="I13" s="124">
        <f>IF($E13=0,0,$E13*$H13)</f>
        <v/>
      </c>
      <c r="J13" s="124">
        <f>IF($I13=0,0,$I13-$E13)</f>
        <v/>
      </c>
      <c r="K13" s="124">
        <f>IF($J13=0,0,$J13*YenidegerFonOran)</f>
        <v/>
      </c>
      <c r="L13" s="124">
        <f>IF($G13=0,0,$J13/$G13)</f>
        <v/>
      </c>
      <c r="M13" s="124">
        <f>IF($L13=0,0,$L13*YenidegerKurumlarVergiOran)</f>
        <v/>
      </c>
      <c r="N13" s="124">
        <f>IFERROR(IF(YenidegerIskontoOrani=0,$M13*$G13,$M13*(1-1/(1+YenidegerIskontoOrani)^$G13)/YenidegerIskontoOrani),0)</f>
        <v/>
      </c>
      <c r="O13" s="124">
        <f>$N13-$K13</f>
        <v/>
      </c>
      <c r="P13" s="124">
        <f>IF($J13&lt;=0,"DEĞERLENDİR",IF($O13&gt;0,"YENİDEN DEĞERLE","DEĞERLENDİR"))</f>
        <v/>
      </c>
      <c r="Q13" s="124">
        <f>IF($B13="","",CONCATENATE("Kıymet: ",$B13," | Değer Artışı: ",TEXT($J13,"#,##0")))</f>
        <v/>
      </c>
    </row>
    <row r="14" ht="15.75" customHeight="1" s="81">
      <c r="A14" s="121" t="n">
        <v>9</v>
      </c>
      <c r="B14" s="122" t="inlineStr">
        <is>
          <t>Makine</t>
        </is>
      </c>
      <c r="C14" s="123" t="n">
        <v>180000</v>
      </c>
      <c r="D14" s="123" t="n">
        <v>70000</v>
      </c>
      <c r="E14" s="124">
        <f>IF($C14=0,0,$C14-$D14)</f>
        <v/>
      </c>
      <c r="F14" s="125" t="n">
        <v>0.1</v>
      </c>
      <c r="G14" s="121" t="n">
        <v>6</v>
      </c>
      <c r="H14" s="126" t="n">
        <v>3.2</v>
      </c>
      <c r="I14" s="124">
        <f>IF($E14=0,0,$E14*$H14)</f>
        <v/>
      </c>
      <c r="J14" s="124">
        <f>IF($I14=0,0,$I14-$E14)</f>
        <v/>
      </c>
      <c r="K14" s="124">
        <f>IF($J14=0,0,$J14*YenidegerFonOran)</f>
        <v/>
      </c>
      <c r="L14" s="124">
        <f>IF($G14=0,0,$J14/$G14)</f>
        <v/>
      </c>
      <c r="M14" s="124">
        <f>IF($L14=0,0,$L14*YenidegerKurumlarVergiOran)</f>
        <v/>
      </c>
      <c r="N14" s="124">
        <f>IFERROR(IF(YenidegerIskontoOrani=0,$M14*$G14,$M14*(1-1/(1+YenidegerIskontoOrani)^$G14)/YenidegerIskontoOrani),0)</f>
        <v/>
      </c>
      <c r="O14" s="124">
        <f>$N14-$K14</f>
        <v/>
      </c>
      <c r="P14" s="124">
        <f>IF($J14&lt;=0,"DEĞERLENDİR",IF($O14&gt;0,"YENİDEN DEĞERLE","DEĞERLENDİR"))</f>
        <v/>
      </c>
      <c r="Q14" s="124">
        <f>IF($B14="","",CONCATENATE("Kıymet: ",$B14," | Değer Artışı: ",TEXT($J14,"#,##0")))</f>
        <v/>
      </c>
    </row>
    <row r="15" ht="15.75" customHeight="1" s="81">
      <c r="A15" s="121" t="n">
        <v>10</v>
      </c>
      <c r="B15" s="122" t="inlineStr">
        <is>
          <t>Tesis</t>
        </is>
      </c>
      <c r="C15" s="123" t="n">
        <v>800000</v>
      </c>
      <c r="D15" s="123" t="n">
        <v>300000</v>
      </c>
      <c r="E15" s="124">
        <f>IF($C15=0,0,$C15-$D15)</f>
        <v/>
      </c>
      <c r="F15" s="125" t="n">
        <v>0.04</v>
      </c>
      <c r="G15" s="121" t="n">
        <v>20</v>
      </c>
      <c r="H15" s="126" t="n">
        <v>2.4</v>
      </c>
      <c r="I15" s="124">
        <f>IF($E15=0,0,$E15*$H15)</f>
        <v/>
      </c>
      <c r="J15" s="124">
        <f>IF($I15=0,0,$I15-$E15)</f>
        <v/>
      </c>
      <c r="K15" s="124">
        <f>IF($J15=0,0,$J15*YenidegerFonOran)</f>
        <v/>
      </c>
      <c r="L15" s="124">
        <f>IF($G15=0,0,$J15/$G15)</f>
        <v/>
      </c>
      <c r="M15" s="124">
        <f>IF($L15=0,0,$L15*YenidegerKurumlarVergiOran)</f>
        <v/>
      </c>
      <c r="N15" s="124">
        <f>IFERROR(IF(YenidegerIskontoOrani=0,$M15*$G15,$M15*(1-1/(1+YenidegerIskontoOrani)^$G15)/YenidegerIskontoOrani),0)</f>
        <v/>
      </c>
      <c r="O15" s="124">
        <f>$N15-$K15</f>
        <v/>
      </c>
      <c r="P15" s="124">
        <f>IF($J15&lt;=0,"DEĞERLENDİR",IF($O15&gt;0,"YENİDEN DEĞERLE","DEĞERLENDİR"))</f>
        <v/>
      </c>
      <c r="Q15" s="124">
        <f>IF($B15="","",CONCATENATE("Kıymet: ",$B15," | Değer Artışı: ",TEXT($J15,"#,##0")))</f>
        <v/>
      </c>
    </row>
    <row r="16" ht="15.75" customHeight="1" s="81">
      <c r="A16" s="129" t="n"/>
      <c r="B16" s="130" t="n"/>
      <c r="C16" s="127" t="n"/>
      <c r="D16" s="127" t="n"/>
      <c r="E16" s="124">
        <f>IF($C16=0,0,$C16-$D16)</f>
        <v/>
      </c>
      <c r="F16" s="128" t="n"/>
      <c r="G16" s="129" t="n"/>
      <c r="H16" s="131" t="n"/>
      <c r="I16" s="124">
        <f>IF($E16=0,0,$E16*$H16)</f>
        <v/>
      </c>
      <c r="J16" s="124">
        <f>IF($I16=0,0,$I16-$E16)</f>
        <v/>
      </c>
      <c r="K16" s="124">
        <f>IF($J16=0,0,$J16*YenidegerFonOran)</f>
        <v/>
      </c>
      <c r="L16" s="124">
        <f>IF($G16=0,0,$J16/$G16)</f>
        <v/>
      </c>
      <c r="M16" s="124">
        <f>IF($L16=0,0,$L16*YenidegerKurumlarVergiOran)</f>
        <v/>
      </c>
      <c r="N16" s="124">
        <f>IFERROR(IF(YenidegerIskontoOrani=0,$M16*$G16,$M16*(1-1/(1+YenidegerIskontoOrani)^$G16)/YenidegerIskontoOrani),0)</f>
        <v/>
      </c>
      <c r="O16" s="124">
        <f>$N16-$K16</f>
        <v/>
      </c>
      <c r="P16" s="124">
        <f>IF($J16&lt;=0,"DEĞERLENDİR",IF($O16&gt;0,"YENİDEN DEĞERLE","DEĞERLENDİR"))</f>
        <v/>
      </c>
      <c r="Q16" s="124">
        <f>IF($B16="","",CONCATENATE("Kıymet: ",$B16," | Değer Artışı: ",TEXT($J16,"#,##0")))</f>
        <v/>
      </c>
    </row>
    <row r="17" ht="15.75" customHeight="1" s="81">
      <c r="A17" s="129" t="n"/>
      <c r="B17" s="130" t="n"/>
      <c r="C17" s="127" t="n"/>
      <c r="D17" s="127" t="n"/>
      <c r="E17" s="124">
        <f>IF($C17=0,0,$C17-$D17)</f>
        <v/>
      </c>
      <c r="F17" s="128" t="n"/>
      <c r="G17" s="129" t="n"/>
      <c r="H17" s="131" t="n"/>
      <c r="I17" s="124">
        <f>IF($E17=0,0,$E17*$H17)</f>
        <v/>
      </c>
      <c r="J17" s="124">
        <f>IF($I17=0,0,$I17-$E17)</f>
        <v/>
      </c>
      <c r="K17" s="124">
        <f>IF($J17=0,0,$J17*YenidegerFonOran)</f>
        <v/>
      </c>
      <c r="L17" s="124">
        <f>IF($G17=0,0,$J17/$G17)</f>
        <v/>
      </c>
      <c r="M17" s="124">
        <f>IF($L17=0,0,$L17*YenidegerKurumlarVergiOran)</f>
        <v/>
      </c>
      <c r="N17" s="124">
        <f>IFERROR(IF(YenidegerIskontoOrani=0,$M17*$G17,$M17*(1-1/(1+YenidegerIskontoOrani)^$G17)/YenidegerIskontoOrani),0)</f>
        <v/>
      </c>
      <c r="O17" s="124">
        <f>$N17-$K17</f>
        <v/>
      </c>
      <c r="P17" s="124">
        <f>IF($J17&lt;=0,"DEĞERLENDİR",IF($O17&gt;0,"YENİDEN DEĞERLE","DEĞERLENDİR"))</f>
        <v/>
      </c>
      <c r="Q17" s="124">
        <f>IF($B17="","",CONCATENATE("Kıymet: ",$B17," | Değer Artışı: ",TEXT($J17,"#,##0")))</f>
        <v/>
      </c>
    </row>
    <row r="18" ht="15.75" customHeight="1" s="81">
      <c r="A18" s="129" t="n"/>
      <c r="B18" s="130" t="n"/>
      <c r="C18" s="127" t="n"/>
      <c r="D18" s="127" t="n"/>
      <c r="E18" s="124">
        <f>IF($C18=0,0,$C18-$D18)</f>
        <v/>
      </c>
      <c r="F18" s="128" t="n"/>
      <c r="G18" s="129" t="n"/>
      <c r="H18" s="131" t="n"/>
      <c r="I18" s="124">
        <f>IF($E18=0,0,$E18*$H18)</f>
        <v/>
      </c>
      <c r="J18" s="124">
        <f>IF($I18=0,0,$I18-$E18)</f>
        <v/>
      </c>
      <c r="K18" s="124">
        <f>IF($J18=0,0,$J18*YenidegerFonOran)</f>
        <v/>
      </c>
      <c r="L18" s="124">
        <f>IF($G18=0,0,$J18/$G18)</f>
        <v/>
      </c>
      <c r="M18" s="124">
        <f>IF($L18=0,0,$L18*YenidegerKurumlarVergiOran)</f>
        <v/>
      </c>
      <c r="N18" s="124">
        <f>IFERROR(IF(YenidegerIskontoOrani=0,$M18*$G18,$M18*(1-1/(1+YenidegerIskontoOrani)^$G18)/YenidegerIskontoOrani),0)</f>
        <v/>
      </c>
      <c r="O18" s="124">
        <f>$N18-$K18</f>
        <v/>
      </c>
      <c r="P18" s="124">
        <f>IF($J18&lt;=0,"DEĞERLENDİR",IF($O18&gt;0,"YENİDEN DEĞERLE","DEĞERLENDİR"))</f>
        <v/>
      </c>
      <c r="Q18" s="124">
        <f>IF($B18="","",CONCATENATE("Kıymet: ",$B18," | Değer Artışı: ",TEXT($J18,"#,##0")))</f>
        <v/>
      </c>
    </row>
    <row r="19" ht="15.75" customHeight="1" s="81">
      <c r="A19" s="129" t="n"/>
      <c r="B19" s="130" t="n"/>
      <c r="C19" s="127" t="n"/>
      <c r="D19" s="127" t="n"/>
      <c r="E19" s="124">
        <f>IF($C19=0,0,$C19-$D19)</f>
        <v/>
      </c>
      <c r="F19" s="128" t="n"/>
      <c r="G19" s="129" t="n"/>
      <c r="H19" s="131" t="n"/>
      <c r="I19" s="124">
        <f>IF($E19=0,0,$E19*$H19)</f>
        <v/>
      </c>
      <c r="J19" s="124">
        <f>IF($I19=0,0,$I19-$E19)</f>
        <v/>
      </c>
      <c r="K19" s="124">
        <f>IF($J19=0,0,$J19*YenidegerFonOran)</f>
        <v/>
      </c>
      <c r="L19" s="124">
        <f>IF($G19=0,0,$J19/$G19)</f>
        <v/>
      </c>
      <c r="M19" s="124">
        <f>IF($L19=0,0,$L19*YenidegerKurumlarVergiOran)</f>
        <v/>
      </c>
      <c r="N19" s="124">
        <f>IFERROR(IF(YenidegerIskontoOrani=0,$M19*$G19,$M19*(1-1/(1+YenidegerIskontoOrani)^$G19)/YenidegerIskontoOrani),0)</f>
        <v/>
      </c>
      <c r="O19" s="124">
        <f>$N19-$K19</f>
        <v/>
      </c>
      <c r="P19" s="124">
        <f>IF($J19&lt;=0,"DEĞERLENDİR",IF($O19&gt;0,"YENİDEN DEĞERLE","DEĞERLENDİR"))</f>
        <v/>
      </c>
      <c r="Q19" s="124">
        <f>IF($B19="","",CONCATENATE("Kıymet: ",$B19," | Değer Artışı: ",TEXT($J19,"#,##0")))</f>
        <v/>
      </c>
    </row>
    <row r="20" ht="15.75" customHeight="1" s="81">
      <c r="A20" s="129" t="n"/>
      <c r="B20" s="130" t="n"/>
      <c r="C20" s="127" t="n"/>
      <c r="D20" s="127" t="n"/>
      <c r="E20" s="124">
        <f>IF($C20=0,0,$C20-$D20)</f>
        <v/>
      </c>
      <c r="F20" s="128" t="n"/>
      <c r="G20" s="129" t="n"/>
      <c r="H20" s="131" t="n"/>
      <c r="I20" s="124">
        <f>IF($E20=0,0,$E20*$H20)</f>
        <v/>
      </c>
      <c r="J20" s="124">
        <f>IF($I20=0,0,$I20-$E20)</f>
        <v/>
      </c>
      <c r="K20" s="124">
        <f>IF($J20=0,0,$J20*YenidegerFonOran)</f>
        <v/>
      </c>
      <c r="L20" s="124">
        <f>IF($G20=0,0,$J20/$G20)</f>
        <v/>
      </c>
      <c r="M20" s="124">
        <f>IF($L20=0,0,$L20*YenidegerKurumlarVergiOran)</f>
        <v/>
      </c>
      <c r="N20" s="124">
        <f>IFERROR(IF(YenidegerIskontoOrani=0,$M20*$G20,$M20*(1-1/(1+YenidegerIskontoOrani)^$G20)/YenidegerIskontoOrani),0)</f>
        <v/>
      </c>
      <c r="O20" s="124">
        <f>$N20-$K20</f>
        <v/>
      </c>
      <c r="P20" s="124">
        <f>IF($J20&lt;=0,"DEĞERLENDİR",IF($O20&gt;0,"YENİDEN DEĞERLE","DEĞERLENDİR"))</f>
        <v/>
      </c>
      <c r="Q20" s="124">
        <f>IF($B20="","",CONCATENATE("Kıymet: ",$B20," | Değer Artışı: ",TEXT($J20,"#,##0")))</f>
        <v/>
      </c>
    </row>
    <row r="21" ht="15.75" customHeight="1" s="81">
      <c r="A21" s="129" t="n"/>
      <c r="B21" s="130" t="n"/>
      <c r="C21" s="127" t="n"/>
      <c r="D21" s="127" t="n"/>
      <c r="E21" s="124">
        <f>IF($C21=0,0,$C21-$D21)</f>
        <v/>
      </c>
      <c r="F21" s="128" t="n"/>
      <c r="G21" s="129" t="n"/>
      <c r="H21" s="131" t="n"/>
      <c r="I21" s="124">
        <f>IF($E21=0,0,$E21*$H21)</f>
        <v/>
      </c>
      <c r="J21" s="124">
        <f>IF($I21=0,0,$I21-$E21)</f>
        <v/>
      </c>
      <c r="K21" s="124">
        <f>IF($J21=0,0,$J21*YenidegerFonOran)</f>
        <v/>
      </c>
      <c r="L21" s="124">
        <f>IF($G21=0,0,$J21/$G21)</f>
        <v/>
      </c>
      <c r="M21" s="124">
        <f>IF($L21=0,0,$L21*YenidegerKurumlarVergiOran)</f>
        <v/>
      </c>
      <c r="N21" s="124">
        <f>IFERROR(IF(YenidegerIskontoOrani=0,$M21*$G21,$M21*(1-1/(1+YenidegerIskontoOrani)^$G21)/YenidegerIskontoOrani),0)</f>
        <v/>
      </c>
      <c r="O21" s="124">
        <f>$N21-$K21</f>
        <v/>
      </c>
      <c r="P21" s="124">
        <f>IF($J21&lt;=0,"DEĞERLENDİR",IF($O21&gt;0,"YENİDEN DEĞERLE","DEĞERLENDİR"))</f>
        <v/>
      </c>
      <c r="Q21" s="124">
        <f>IF($B21="","",CONCATENATE("Kıymet: ",$B21," | Değer Artışı: ",TEXT($J21,"#,##0")))</f>
        <v/>
      </c>
    </row>
    <row r="22" ht="15.75" customHeight="1" s="81">
      <c r="A22" s="129" t="n"/>
      <c r="B22" s="130" t="n"/>
      <c r="C22" s="127" t="n"/>
      <c r="D22" s="127" t="n"/>
      <c r="E22" s="124">
        <f>IF($C22=0,0,$C22-$D22)</f>
        <v/>
      </c>
      <c r="F22" s="128" t="n"/>
      <c r="G22" s="129" t="n"/>
      <c r="H22" s="131" t="n"/>
      <c r="I22" s="124">
        <f>IF($E22=0,0,$E22*$H22)</f>
        <v/>
      </c>
      <c r="J22" s="124">
        <f>IF($I22=0,0,$I22-$E22)</f>
        <v/>
      </c>
      <c r="K22" s="124">
        <f>IF($J22=0,0,$J22*YenidegerFonOran)</f>
        <v/>
      </c>
      <c r="L22" s="124">
        <f>IF($G22=0,0,$J22/$G22)</f>
        <v/>
      </c>
      <c r="M22" s="124">
        <f>IF($L22=0,0,$L22*YenidegerKurumlarVergiOran)</f>
        <v/>
      </c>
      <c r="N22" s="124">
        <f>IFERROR(IF(YenidegerIskontoOrani=0,$M22*$G22,$M22*(1-1/(1+YenidegerIskontoOrani)^$G22)/YenidegerIskontoOrani),0)</f>
        <v/>
      </c>
      <c r="O22" s="124">
        <f>$N22-$K22</f>
        <v/>
      </c>
      <c r="P22" s="124">
        <f>IF($J22&lt;=0,"DEĞERLENDİR",IF($O22&gt;0,"YENİDEN DEĞERLE","DEĞERLENDİR"))</f>
        <v/>
      </c>
      <c r="Q22" s="124">
        <f>IF($B22="","",CONCATENATE("Kıymet: ",$B22," | Değer Artışı: ",TEXT($J22,"#,##0")))</f>
        <v/>
      </c>
    </row>
    <row r="23" ht="15.75" customHeight="1" s="81">
      <c r="A23" s="129" t="n"/>
      <c r="B23" s="130" t="n"/>
      <c r="C23" s="127" t="n"/>
      <c r="D23" s="127" t="n"/>
      <c r="E23" s="124">
        <f>IF($C23=0,0,$C23-$D23)</f>
        <v/>
      </c>
      <c r="F23" s="128" t="n"/>
      <c r="G23" s="129" t="n"/>
      <c r="H23" s="131" t="n"/>
      <c r="I23" s="124">
        <f>IF($E23=0,0,$E23*$H23)</f>
        <v/>
      </c>
      <c r="J23" s="124">
        <f>IF($I23=0,0,$I23-$E23)</f>
        <v/>
      </c>
      <c r="K23" s="124">
        <f>IF($J23=0,0,$J23*YenidegerFonOran)</f>
        <v/>
      </c>
      <c r="L23" s="124">
        <f>IF($G23=0,0,$J23/$G23)</f>
        <v/>
      </c>
      <c r="M23" s="124">
        <f>IF($L23=0,0,$L23*YenidegerKurumlarVergiOran)</f>
        <v/>
      </c>
      <c r="N23" s="124">
        <f>IFERROR(IF(YenidegerIskontoOrani=0,$M23*$G23,$M23*(1-1/(1+YenidegerIskontoOrani)^$G23)/YenidegerIskontoOrani),0)</f>
        <v/>
      </c>
      <c r="O23" s="124">
        <f>$N23-$K23</f>
        <v/>
      </c>
      <c r="P23" s="124">
        <f>IF($J23&lt;=0,"DEĞERLENDİR",IF($O23&gt;0,"YENİDEN DEĞERLE","DEĞERLENDİR"))</f>
        <v/>
      </c>
      <c r="Q23" s="124">
        <f>IF($B23="","",CONCATENATE("Kıymet: ",$B23," | Değer Artışı: ",TEXT($J23,"#,##0")))</f>
        <v/>
      </c>
    </row>
    <row r="24" ht="15.75" customHeight="1" s="81">
      <c r="A24" s="129" t="n"/>
      <c r="B24" s="130" t="n"/>
      <c r="C24" s="127" t="n"/>
      <c r="D24" s="127" t="n"/>
      <c r="E24" s="124">
        <f>IF($C24=0,0,$C24-$D24)</f>
        <v/>
      </c>
      <c r="F24" s="128" t="n"/>
      <c r="G24" s="129" t="n"/>
      <c r="H24" s="131" t="n"/>
      <c r="I24" s="124">
        <f>IF($E24=0,0,$E24*$H24)</f>
        <v/>
      </c>
      <c r="J24" s="124">
        <f>IF($I24=0,0,$I24-$E24)</f>
        <v/>
      </c>
      <c r="K24" s="124">
        <f>IF($J24=0,0,$J24*YenidegerFonOran)</f>
        <v/>
      </c>
      <c r="L24" s="124">
        <f>IF($G24=0,0,$J24/$G24)</f>
        <v/>
      </c>
      <c r="M24" s="124">
        <f>IF($L24=0,0,$L24*YenidegerKurumlarVergiOran)</f>
        <v/>
      </c>
      <c r="N24" s="124">
        <f>IFERROR(IF(YenidegerIskontoOrani=0,$M24*$G24,$M24*(1-1/(1+YenidegerIskontoOrani)^$G24)/YenidegerIskontoOrani),0)</f>
        <v/>
      </c>
      <c r="O24" s="124">
        <f>$N24-$K24</f>
        <v/>
      </c>
      <c r="P24" s="124">
        <f>IF($J24&lt;=0,"DEĞERLENDİR",IF($O24&gt;0,"YENİDEN DEĞERLE","DEĞERLENDİR"))</f>
        <v/>
      </c>
      <c r="Q24" s="124">
        <f>IF($B24="","",CONCATENATE("Kıymet: ",$B24," | Değer Artışı: ",TEXT($J24,"#,##0")))</f>
        <v/>
      </c>
    </row>
    <row r="25" ht="15.75" customHeight="1" s="81">
      <c r="A25" s="129" t="n"/>
      <c r="B25" s="130" t="n"/>
      <c r="C25" s="127" t="n"/>
      <c r="D25" s="127" t="n"/>
      <c r="E25" s="124">
        <f>IF($C25=0,0,$C25-$D25)</f>
        <v/>
      </c>
      <c r="F25" s="128" t="n"/>
      <c r="G25" s="129" t="n"/>
      <c r="H25" s="131" t="n"/>
      <c r="I25" s="124">
        <f>IF($E25=0,0,$E25*$H25)</f>
        <v/>
      </c>
      <c r="J25" s="124">
        <f>IF($I25=0,0,$I25-$E25)</f>
        <v/>
      </c>
      <c r="K25" s="124">
        <f>IF($J25=0,0,$J25*YenidegerFonOran)</f>
        <v/>
      </c>
      <c r="L25" s="124">
        <f>IF($G25=0,0,$J25/$G25)</f>
        <v/>
      </c>
      <c r="M25" s="124">
        <f>IF($L25=0,0,$L25*YenidegerKurumlarVergiOran)</f>
        <v/>
      </c>
      <c r="N25" s="124">
        <f>IFERROR(IF(YenidegerIskontoOrani=0,$M25*$G25,$M25*(1-1/(1+YenidegerIskontoOrani)^$G25)/YenidegerIskontoOrani),0)</f>
        <v/>
      </c>
      <c r="O25" s="124">
        <f>$N25-$K25</f>
        <v/>
      </c>
      <c r="P25" s="124">
        <f>IF($J25&lt;=0,"DEĞERLENDİR",IF($O25&gt;0,"YENİDEN DEĞERLE","DEĞERLENDİR"))</f>
        <v/>
      </c>
      <c r="Q25" s="124">
        <f>IF($B25="","",CONCATENATE("Kıymet: ",$B25," | Değer Artışı: ",TEXT($J25,"#,##0")))</f>
        <v/>
      </c>
    </row>
    <row r="26" ht="15.75" customHeight="1" s="81">
      <c r="A26" s="129" t="n"/>
      <c r="B26" s="130" t="n"/>
      <c r="C26" s="127" t="n"/>
      <c r="D26" s="127" t="n"/>
      <c r="E26" s="124">
        <f>IF($C26=0,0,$C26-$D26)</f>
        <v/>
      </c>
      <c r="F26" s="128" t="n"/>
      <c r="G26" s="129" t="n"/>
      <c r="H26" s="131" t="n"/>
      <c r="I26" s="124">
        <f>IF($E26=0,0,$E26*$H26)</f>
        <v/>
      </c>
      <c r="J26" s="124">
        <f>IF($I26=0,0,$I26-$E26)</f>
        <v/>
      </c>
      <c r="K26" s="124">
        <f>IF($J26=0,0,$J26*YenidegerFonOran)</f>
        <v/>
      </c>
      <c r="L26" s="124">
        <f>IF($G26=0,0,$J26/$G26)</f>
        <v/>
      </c>
      <c r="M26" s="124">
        <f>IF($L26=0,0,$L26*YenidegerKurumlarVergiOran)</f>
        <v/>
      </c>
      <c r="N26" s="124">
        <f>IFERROR(IF(YenidegerIskontoOrani=0,$M26*$G26,$M26*(1-1/(1+YenidegerIskontoOrani)^$G26)/YenidegerIskontoOrani),0)</f>
        <v/>
      </c>
      <c r="O26" s="124">
        <f>$N26-$K26</f>
        <v/>
      </c>
      <c r="P26" s="124">
        <f>IF($J26&lt;=0,"DEĞERLENDİR",IF($O26&gt;0,"YENİDEN DEĞERLE","DEĞERLENDİR"))</f>
        <v/>
      </c>
      <c r="Q26" s="124">
        <f>IF($B26="","",CONCATENATE("Kıymet: ",$B26," | Değer Artışı: ",TEXT($J26,"#,##0")))</f>
        <v/>
      </c>
    </row>
    <row r="27" ht="15.75" customHeight="1" s="81">
      <c r="A27" s="129" t="n"/>
      <c r="B27" s="130" t="n"/>
      <c r="C27" s="127" t="n"/>
      <c r="D27" s="127" t="n"/>
      <c r="E27" s="124">
        <f>IF($C27=0,0,$C27-$D27)</f>
        <v/>
      </c>
      <c r="F27" s="128" t="n"/>
      <c r="G27" s="129" t="n"/>
      <c r="H27" s="131" t="n"/>
      <c r="I27" s="124">
        <f>IF($E27=0,0,$E27*$H27)</f>
        <v/>
      </c>
      <c r="J27" s="124">
        <f>IF($I27=0,0,$I27-$E27)</f>
        <v/>
      </c>
      <c r="K27" s="124">
        <f>IF($J27=0,0,$J27*YenidegerFonOran)</f>
        <v/>
      </c>
      <c r="L27" s="124">
        <f>IF($G27=0,0,$J27/$G27)</f>
        <v/>
      </c>
      <c r="M27" s="124">
        <f>IF($L27=0,0,$L27*YenidegerKurumlarVergiOran)</f>
        <v/>
      </c>
      <c r="N27" s="124">
        <f>IFERROR(IF(YenidegerIskontoOrani=0,$M27*$G27,$M27*(1-1/(1+YenidegerIskontoOrani)^$G27)/YenidegerIskontoOrani),0)</f>
        <v/>
      </c>
      <c r="O27" s="124">
        <f>$N27-$K27</f>
        <v/>
      </c>
      <c r="P27" s="124">
        <f>IF($J27&lt;=0,"DEĞERLENDİR",IF($O27&gt;0,"YENİDEN DEĞERLE","DEĞERLENDİR"))</f>
        <v/>
      </c>
      <c r="Q27" s="124">
        <f>IF($B27="","",CONCATENATE("Kıymet: ",$B27," | Değer Artışı: ",TEXT($J27,"#,##0")))</f>
        <v/>
      </c>
    </row>
    <row r="28" ht="15.75" customHeight="1" s="81">
      <c r="A28" s="129" t="n"/>
      <c r="B28" s="130" t="n"/>
      <c r="C28" s="127" t="n"/>
      <c r="D28" s="127" t="n"/>
      <c r="E28" s="124">
        <f>IF($C28=0,0,$C28-$D28)</f>
        <v/>
      </c>
      <c r="F28" s="128" t="n"/>
      <c r="G28" s="129" t="n"/>
      <c r="H28" s="131" t="n"/>
      <c r="I28" s="124">
        <f>IF($E28=0,0,$E28*$H28)</f>
        <v/>
      </c>
      <c r="J28" s="124">
        <f>IF($I28=0,0,$I28-$E28)</f>
        <v/>
      </c>
      <c r="K28" s="124">
        <f>IF($J28=0,0,$J28*YenidegerFonOran)</f>
        <v/>
      </c>
      <c r="L28" s="124">
        <f>IF($G28=0,0,$J28/$G28)</f>
        <v/>
      </c>
      <c r="M28" s="124">
        <f>IF($L28=0,0,$L28*YenidegerKurumlarVergiOran)</f>
        <v/>
      </c>
      <c r="N28" s="124">
        <f>IFERROR(IF(YenidegerIskontoOrani=0,$M28*$G28,$M28*(1-1/(1+YenidegerIskontoOrani)^$G28)/YenidegerIskontoOrani),0)</f>
        <v/>
      </c>
      <c r="O28" s="124">
        <f>$N28-$K28</f>
        <v/>
      </c>
      <c r="P28" s="124">
        <f>IF($J28&lt;=0,"DEĞERLENDİR",IF($O28&gt;0,"YENİDEN DEĞERLE","DEĞERLENDİR"))</f>
        <v/>
      </c>
      <c r="Q28" s="124">
        <f>IF($B28="","",CONCATENATE("Kıymet: ",$B28," | Değer Artışı: ",TEXT($J28,"#,##0")))</f>
        <v/>
      </c>
    </row>
    <row r="29" ht="15.75" customHeight="1" s="81">
      <c r="A29" s="129" t="n"/>
      <c r="B29" s="130" t="n"/>
      <c r="C29" s="127" t="n"/>
      <c r="D29" s="127" t="n"/>
      <c r="E29" s="124">
        <f>IF($C29=0,0,$C29-$D29)</f>
        <v/>
      </c>
      <c r="F29" s="128" t="n"/>
      <c r="G29" s="129" t="n"/>
      <c r="H29" s="131" t="n"/>
      <c r="I29" s="124">
        <f>IF($E29=0,0,$E29*$H29)</f>
        <v/>
      </c>
      <c r="J29" s="124">
        <f>IF($I29=0,0,$I29-$E29)</f>
        <v/>
      </c>
      <c r="K29" s="124">
        <f>IF($J29=0,0,$J29*YenidegerFonOran)</f>
        <v/>
      </c>
      <c r="L29" s="124">
        <f>IF($G29=0,0,$J29/$G29)</f>
        <v/>
      </c>
      <c r="M29" s="124">
        <f>IF($L29=0,0,$L29*YenidegerKurumlarVergiOran)</f>
        <v/>
      </c>
      <c r="N29" s="124">
        <f>IFERROR(IF(YenidegerIskontoOrani=0,$M29*$G29,$M29*(1-1/(1+YenidegerIskontoOrani)^$G29)/YenidegerIskontoOrani),0)</f>
        <v/>
      </c>
      <c r="O29" s="124">
        <f>$N29-$K29</f>
        <v/>
      </c>
      <c r="P29" s="124">
        <f>IF($J29&lt;=0,"DEĞERLENDİR",IF($O29&gt;0,"YENİDEN DEĞERLE","DEĞERLENDİR"))</f>
        <v/>
      </c>
      <c r="Q29" s="124">
        <f>IF($B29="","",CONCATENATE("Kıymet: ",$B29," | Değer Artışı: ",TEXT($J29,"#,##0")))</f>
        <v/>
      </c>
    </row>
    <row r="30" ht="15.75" customHeight="1" s="81">
      <c r="A30" s="129" t="n"/>
      <c r="B30" s="130" t="n"/>
      <c r="C30" s="127" t="n"/>
      <c r="D30" s="127" t="n"/>
      <c r="E30" s="124">
        <f>IF($C30=0,0,$C30-$D30)</f>
        <v/>
      </c>
      <c r="F30" s="128" t="n"/>
      <c r="G30" s="129" t="n"/>
      <c r="H30" s="131" t="n"/>
      <c r="I30" s="124">
        <f>IF($E30=0,0,$E30*$H30)</f>
        <v/>
      </c>
      <c r="J30" s="124">
        <f>IF($I30=0,0,$I30-$E30)</f>
        <v/>
      </c>
      <c r="K30" s="124">
        <f>IF($J30=0,0,$J30*YenidegerFonOran)</f>
        <v/>
      </c>
      <c r="L30" s="124">
        <f>IF($G30=0,0,$J30/$G30)</f>
        <v/>
      </c>
      <c r="M30" s="124">
        <f>IF($L30=0,0,$L30*YenidegerKurumlarVergiOran)</f>
        <v/>
      </c>
      <c r="N30" s="124">
        <f>IFERROR(IF(YenidegerIskontoOrani=0,$M30*$G30,$M30*(1-1/(1+YenidegerIskontoOrani)^$G30)/YenidegerIskontoOrani),0)</f>
        <v/>
      </c>
      <c r="O30" s="124">
        <f>$N30-$K30</f>
        <v/>
      </c>
      <c r="P30" s="124">
        <f>IF($J30&lt;=0,"DEĞERLENDİR",IF($O30&gt;0,"YENİDEN DEĞERLE","DEĞERLENDİR"))</f>
        <v/>
      </c>
      <c r="Q30" s="124">
        <f>IF($B30="","",CONCATENATE("Kıymet: ",$B30," | Değer Artışı: ",TEXT($J30,"#,##0")))</f>
        <v/>
      </c>
    </row>
    <row r="31" ht="15.75" customHeight="1" s="81">
      <c r="A31" s="129" t="n"/>
      <c r="B31" s="130" t="n"/>
      <c r="C31" s="127" t="n"/>
      <c r="D31" s="127" t="n"/>
      <c r="E31" s="124">
        <f>IF($C31=0,0,$C31-$D31)</f>
        <v/>
      </c>
      <c r="F31" s="128" t="n"/>
      <c r="G31" s="129" t="n"/>
      <c r="H31" s="131" t="n"/>
      <c r="I31" s="124">
        <f>IF($E31=0,0,$E31*$H31)</f>
        <v/>
      </c>
      <c r="J31" s="124">
        <f>IF($I31=0,0,$I31-$E31)</f>
        <v/>
      </c>
      <c r="K31" s="124">
        <f>IF($J31=0,0,$J31*YenidegerFonOran)</f>
        <v/>
      </c>
      <c r="L31" s="124">
        <f>IF($G31=0,0,$J31/$G31)</f>
        <v/>
      </c>
      <c r="M31" s="124">
        <f>IF($L31=0,0,$L31*YenidegerKurumlarVergiOran)</f>
        <v/>
      </c>
      <c r="N31" s="124">
        <f>IFERROR(IF(YenidegerIskontoOrani=0,$M31*$G31,$M31*(1-1/(1+YenidegerIskontoOrani)^$G31)/YenidegerIskontoOrani),0)</f>
        <v/>
      </c>
      <c r="O31" s="124">
        <f>$N31-$K31</f>
        <v/>
      </c>
      <c r="P31" s="124">
        <f>IF($J31&lt;=0,"DEĞERLENDİR",IF($O31&gt;0,"YENİDEN DEĞERLE","DEĞERLENDİR"))</f>
        <v/>
      </c>
      <c r="Q31" s="124">
        <f>IF($B31="","",CONCATENATE("Kıymet: ",$B31," | Değer Artışı: ",TEXT($J31,"#,##0")))</f>
        <v/>
      </c>
    </row>
    <row r="32" ht="15.75" customHeight="1" s="81">
      <c r="A32" s="129" t="n"/>
      <c r="B32" s="130" t="n"/>
      <c r="C32" s="127" t="n"/>
      <c r="D32" s="127" t="n"/>
      <c r="E32" s="124">
        <f>IF($C32=0,0,$C32-$D32)</f>
        <v/>
      </c>
      <c r="F32" s="128" t="n"/>
      <c r="G32" s="129" t="n"/>
      <c r="H32" s="131" t="n"/>
      <c r="I32" s="124">
        <f>IF($E32=0,0,$E32*$H32)</f>
        <v/>
      </c>
      <c r="J32" s="124">
        <f>IF($I32=0,0,$I32-$E32)</f>
        <v/>
      </c>
      <c r="K32" s="124">
        <f>IF($J32=0,0,$J32*YenidegerFonOran)</f>
        <v/>
      </c>
      <c r="L32" s="124">
        <f>IF($G32=0,0,$J32/$G32)</f>
        <v/>
      </c>
      <c r="M32" s="124">
        <f>IF($L32=0,0,$L32*YenidegerKurumlarVergiOran)</f>
        <v/>
      </c>
      <c r="N32" s="124">
        <f>IFERROR(IF(YenidegerIskontoOrani=0,$M32*$G32,$M32*(1-1/(1+YenidegerIskontoOrani)^$G32)/YenidegerIskontoOrani),0)</f>
        <v/>
      </c>
      <c r="O32" s="124">
        <f>$N32-$K32</f>
        <v/>
      </c>
      <c r="P32" s="124">
        <f>IF($J32&lt;=0,"DEĞERLENDİR",IF($O32&gt;0,"YENİDEN DEĞERLE","DEĞERLENDİR"))</f>
        <v/>
      </c>
      <c r="Q32" s="124">
        <f>IF($B32="","",CONCATENATE("Kıymet: ",$B32," | Değer Artışı: ",TEXT($J32,"#,##0")))</f>
        <v/>
      </c>
    </row>
    <row r="33" ht="15.75" customHeight="1" s="81">
      <c r="A33" s="129" t="n"/>
      <c r="B33" s="130" t="n"/>
      <c r="C33" s="127" t="n"/>
      <c r="D33" s="127" t="n"/>
      <c r="E33" s="124">
        <f>IF($C33=0,0,$C33-$D33)</f>
        <v/>
      </c>
      <c r="F33" s="128" t="n"/>
      <c r="G33" s="129" t="n"/>
      <c r="H33" s="131" t="n"/>
      <c r="I33" s="124">
        <f>IF($E33=0,0,$E33*$H33)</f>
        <v/>
      </c>
      <c r="J33" s="124">
        <f>IF($I33=0,0,$I33-$E33)</f>
        <v/>
      </c>
      <c r="K33" s="124">
        <f>IF($J33=0,0,$J33*YenidegerFonOran)</f>
        <v/>
      </c>
      <c r="L33" s="124">
        <f>IF($G33=0,0,$J33/$G33)</f>
        <v/>
      </c>
      <c r="M33" s="124">
        <f>IF($L33=0,0,$L33*YenidegerKurumlarVergiOran)</f>
        <v/>
      </c>
      <c r="N33" s="124">
        <f>IFERROR(IF(YenidegerIskontoOrani=0,$M33*$G33,$M33*(1-1/(1+YenidegerIskontoOrani)^$G33)/YenidegerIskontoOrani),0)</f>
        <v/>
      </c>
      <c r="O33" s="124">
        <f>$N33-$K33</f>
        <v/>
      </c>
      <c r="P33" s="124">
        <f>IF($J33&lt;=0,"DEĞERLENDİR",IF($O33&gt;0,"YENİDEN DEĞERLE","DEĞERLENDİR"))</f>
        <v/>
      </c>
      <c r="Q33" s="124">
        <f>IF($B33="","",CONCATENATE("Kıymet: ",$B33," | Değer Artışı: ",TEXT($J33,"#,##0")))</f>
        <v/>
      </c>
    </row>
    <row r="34" ht="15.75" customHeight="1" s="81">
      <c r="A34" s="129" t="n"/>
      <c r="B34" s="130" t="n"/>
      <c r="C34" s="127" t="n"/>
      <c r="D34" s="127" t="n"/>
      <c r="E34" s="124">
        <f>IF($C34=0,0,$C34-$D34)</f>
        <v/>
      </c>
      <c r="F34" s="128" t="n"/>
      <c r="G34" s="129" t="n"/>
      <c r="H34" s="131" t="n"/>
      <c r="I34" s="124">
        <f>IF($E34=0,0,$E34*$H34)</f>
        <v/>
      </c>
      <c r="J34" s="124">
        <f>IF($I34=0,0,$I34-$E34)</f>
        <v/>
      </c>
      <c r="K34" s="124">
        <f>IF($J34=0,0,$J34*YenidegerFonOran)</f>
        <v/>
      </c>
      <c r="L34" s="124">
        <f>IF($G34=0,0,$J34/$G34)</f>
        <v/>
      </c>
      <c r="M34" s="124">
        <f>IF($L34=0,0,$L34*YenidegerKurumlarVergiOran)</f>
        <v/>
      </c>
      <c r="N34" s="124">
        <f>IFERROR(IF(YenidegerIskontoOrani=0,$M34*$G34,$M34*(1-1/(1+YenidegerIskontoOrani)^$G34)/YenidegerIskontoOrani),0)</f>
        <v/>
      </c>
      <c r="O34" s="124">
        <f>$N34-$K34</f>
        <v/>
      </c>
      <c r="P34" s="124">
        <f>IF($J34&lt;=0,"DEĞERLENDİR",IF($O34&gt;0,"YENİDEN DEĞERLE","DEĞERLENDİR"))</f>
        <v/>
      </c>
      <c r="Q34" s="124">
        <f>IF($B34="","",CONCATENATE("Kıymet: ",$B34," | Değer Artışı: ",TEXT($J34,"#,##0")))</f>
        <v/>
      </c>
    </row>
    <row r="35" ht="15.75" customHeight="1" s="81">
      <c r="A35" s="129" t="n"/>
      <c r="B35" s="130" t="n"/>
      <c r="C35" s="127" t="n"/>
      <c r="D35" s="127" t="n"/>
      <c r="E35" s="124">
        <f>IF($C35=0,0,$C35-$D35)</f>
        <v/>
      </c>
      <c r="F35" s="128" t="n"/>
      <c r="G35" s="129" t="n"/>
      <c r="H35" s="131" t="n"/>
      <c r="I35" s="124">
        <f>IF($E35=0,0,$E35*$H35)</f>
        <v/>
      </c>
      <c r="J35" s="124">
        <f>IF($I35=0,0,$I35-$E35)</f>
        <v/>
      </c>
      <c r="K35" s="124">
        <f>IF($J35=0,0,$J35*YenidegerFonOran)</f>
        <v/>
      </c>
      <c r="L35" s="124">
        <f>IF($G35=0,0,$J35/$G35)</f>
        <v/>
      </c>
      <c r="M35" s="124">
        <f>IF($L35=0,0,$L35*YenidegerKurumlarVergiOran)</f>
        <v/>
      </c>
      <c r="N35" s="124">
        <f>IFERROR(IF(YenidegerIskontoOrani=0,$M35*$G35,$M35*(1-1/(1+YenidegerIskontoOrani)^$G35)/YenidegerIskontoOrani),0)</f>
        <v/>
      </c>
      <c r="O35" s="124">
        <f>$N35-$K35</f>
        <v/>
      </c>
      <c r="P35" s="124">
        <f>IF($J35&lt;=0,"DEĞERLENDİR",IF($O35&gt;0,"YENİDEN DEĞERLE","DEĞERLENDİR"))</f>
        <v/>
      </c>
      <c r="Q35" s="124">
        <f>IF($B35="","",CONCATENATE("Kıymet: ",$B35," | Değer Artışı: ",TEXT($J35,"#,##0")))</f>
        <v/>
      </c>
    </row>
    <row r="36" ht="15.75" customHeight="1" s="81">
      <c r="A36" s="129" t="n"/>
      <c r="B36" s="130" t="n"/>
      <c r="C36" s="127" t="n"/>
      <c r="D36" s="127" t="n"/>
      <c r="E36" s="124">
        <f>IF($C36=0,0,$C36-$D36)</f>
        <v/>
      </c>
      <c r="F36" s="128" t="n"/>
      <c r="G36" s="129" t="n"/>
      <c r="H36" s="131" t="n"/>
      <c r="I36" s="124">
        <f>IF($E36=0,0,$E36*$H36)</f>
        <v/>
      </c>
      <c r="J36" s="124">
        <f>IF($I36=0,0,$I36-$E36)</f>
        <v/>
      </c>
      <c r="K36" s="124">
        <f>IF($J36=0,0,$J36*YenidegerFonOran)</f>
        <v/>
      </c>
      <c r="L36" s="124">
        <f>IF($G36=0,0,$J36/$G36)</f>
        <v/>
      </c>
      <c r="M36" s="124">
        <f>IF($L36=0,0,$L36*YenidegerKurumlarVergiOran)</f>
        <v/>
      </c>
      <c r="N36" s="124">
        <f>IFERROR(IF(YenidegerIskontoOrani=0,$M36*$G36,$M36*(1-1/(1+YenidegerIskontoOrani)^$G36)/YenidegerIskontoOrani),0)</f>
        <v/>
      </c>
      <c r="O36" s="124">
        <f>$N36-$K36</f>
        <v/>
      </c>
      <c r="P36" s="124">
        <f>IF($J36&lt;=0,"DEĞERLENDİR",IF($O36&gt;0,"YENİDEN DEĞERLE","DEĞERLENDİR"))</f>
        <v/>
      </c>
      <c r="Q36" s="124">
        <f>IF($B36="","",CONCATENATE("Kıymet: ",$B36," | Değer Artışı: ",TEXT($J36,"#,##0")))</f>
        <v/>
      </c>
    </row>
    <row r="37" ht="15.75" customHeight="1" s="81">
      <c r="A37" s="129" t="n"/>
      <c r="B37" s="130" t="n"/>
      <c r="C37" s="127" t="n"/>
      <c r="D37" s="127" t="n"/>
      <c r="E37" s="124">
        <f>IF($C37=0,0,$C37-$D37)</f>
        <v/>
      </c>
      <c r="F37" s="128" t="n"/>
      <c r="G37" s="129" t="n"/>
      <c r="H37" s="131" t="n"/>
      <c r="I37" s="124">
        <f>IF($E37=0,0,$E37*$H37)</f>
        <v/>
      </c>
      <c r="J37" s="124">
        <f>IF($I37=0,0,$I37-$E37)</f>
        <v/>
      </c>
      <c r="K37" s="124">
        <f>IF($J37=0,0,$J37*YenidegerFonOran)</f>
        <v/>
      </c>
      <c r="L37" s="124">
        <f>IF($G37=0,0,$J37/$G37)</f>
        <v/>
      </c>
      <c r="M37" s="124">
        <f>IF($L37=0,0,$L37*YenidegerKurumlarVergiOran)</f>
        <v/>
      </c>
      <c r="N37" s="124">
        <f>IFERROR(IF(YenidegerIskontoOrani=0,$M37*$G37,$M37*(1-1/(1+YenidegerIskontoOrani)^$G37)/YenidegerIskontoOrani),0)</f>
        <v/>
      </c>
      <c r="O37" s="124">
        <f>$N37-$K37</f>
        <v/>
      </c>
      <c r="P37" s="124">
        <f>IF($J37&lt;=0,"DEĞERLENDİR",IF($O37&gt;0,"YENİDEN DEĞERLE","DEĞERLENDİR"))</f>
        <v/>
      </c>
      <c r="Q37" s="124">
        <f>IF($B37="","",CONCATENATE("Kıymet: ",$B37," | Değer Artışı: ",TEXT($J37,"#,##0")))</f>
        <v/>
      </c>
    </row>
    <row r="38" ht="15.75" customHeight="1" s="81">
      <c r="A38" s="129" t="n"/>
      <c r="B38" s="130" t="n"/>
      <c r="C38" s="127" t="n"/>
      <c r="D38" s="127" t="n"/>
      <c r="E38" s="124">
        <f>IF($C38=0,0,$C38-$D38)</f>
        <v/>
      </c>
      <c r="F38" s="128" t="n"/>
      <c r="G38" s="129" t="n"/>
      <c r="H38" s="131" t="n"/>
      <c r="I38" s="124">
        <f>IF($E38=0,0,$E38*$H38)</f>
        <v/>
      </c>
      <c r="J38" s="124">
        <f>IF($I38=0,0,$I38-$E38)</f>
        <v/>
      </c>
      <c r="K38" s="124">
        <f>IF($J38=0,0,$J38*YenidegerFonOran)</f>
        <v/>
      </c>
      <c r="L38" s="124">
        <f>IF($G38=0,0,$J38/$G38)</f>
        <v/>
      </c>
      <c r="M38" s="124">
        <f>IF($L38=0,0,$L38*YenidegerKurumlarVergiOran)</f>
        <v/>
      </c>
      <c r="N38" s="124">
        <f>IFERROR(IF(YenidegerIskontoOrani=0,$M38*$G38,$M38*(1-1/(1+YenidegerIskontoOrani)^$G38)/YenidegerIskontoOrani),0)</f>
        <v/>
      </c>
      <c r="O38" s="124">
        <f>$N38-$K38</f>
        <v/>
      </c>
      <c r="P38" s="124">
        <f>IF($J38&lt;=0,"DEĞERLENDİR",IF($O38&gt;0,"YENİDEN DEĞERLE","DEĞERLENDİR"))</f>
        <v/>
      </c>
      <c r="Q38" s="124">
        <f>IF($B38="","",CONCATENATE("Kıymet: ",$B38," | Değer Artışı: ",TEXT($J38,"#,##0")))</f>
        <v/>
      </c>
    </row>
    <row r="39" ht="15.75" customHeight="1" s="81">
      <c r="A39" s="129" t="n"/>
      <c r="B39" s="130" t="n"/>
      <c r="C39" s="127" t="n"/>
      <c r="D39" s="127" t="n"/>
      <c r="E39" s="124">
        <f>IF($C39=0,0,$C39-$D39)</f>
        <v/>
      </c>
      <c r="F39" s="128" t="n"/>
      <c r="G39" s="129" t="n"/>
      <c r="H39" s="131" t="n"/>
      <c r="I39" s="124">
        <f>IF($E39=0,0,$E39*$H39)</f>
        <v/>
      </c>
      <c r="J39" s="124">
        <f>IF($I39=0,0,$I39-$E39)</f>
        <v/>
      </c>
      <c r="K39" s="124">
        <f>IF($J39=0,0,$J39*YenidegerFonOran)</f>
        <v/>
      </c>
      <c r="L39" s="124">
        <f>IF($G39=0,0,$J39/$G39)</f>
        <v/>
      </c>
      <c r="M39" s="124">
        <f>IF($L39=0,0,$L39*YenidegerKurumlarVergiOran)</f>
        <v/>
      </c>
      <c r="N39" s="124">
        <f>IFERROR(IF(YenidegerIskontoOrani=0,$M39*$G39,$M39*(1-1/(1+YenidegerIskontoOrani)^$G39)/YenidegerIskontoOrani),0)</f>
        <v/>
      </c>
      <c r="O39" s="124">
        <f>$N39-$K39</f>
        <v/>
      </c>
      <c r="P39" s="124">
        <f>IF($J39&lt;=0,"DEĞERLENDİR",IF($O39&gt;0,"YENİDEN DEĞERLE","DEĞERLENDİR"))</f>
        <v/>
      </c>
      <c r="Q39" s="124">
        <f>IF($B39="","",CONCATENATE("Kıymet: ",$B39," | Değer Artışı: ",TEXT($J39,"#,##0")))</f>
        <v/>
      </c>
    </row>
    <row r="40" ht="15.75" customHeight="1" s="81">
      <c r="A40" s="129" t="n"/>
      <c r="B40" s="130" t="n"/>
      <c r="C40" s="127" t="n"/>
      <c r="D40" s="127" t="n"/>
      <c r="E40" s="124">
        <f>IF($C40=0,0,$C40-$D40)</f>
        <v/>
      </c>
      <c r="F40" s="128" t="n"/>
      <c r="G40" s="129" t="n"/>
      <c r="H40" s="131" t="n"/>
      <c r="I40" s="124">
        <f>IF($E40=0,0,$E40*$H40)</f>
        <v/>
      </c>
      <c r="J40" s="124">
        <f>IF($I40=0,0,$I40-$E40)</f>
        <v/>
      </c>
      <c r="K40" s="124">
        <f>IF($J40=0,0,$J40*YenidegerFonOran)</f>
        <v/>
      </c>
      <c r="L40" s="124">
        <f>IF($G40=0,0,$J40/$G40)</f>
        <v/>
      </c>
      <c r="M40" s="124">
        <f>IF($L40=0,0,$L40*YenidegerKurumlarVergiOran)</f>
        <v/>
      </c>
      <c r="N40" s="124">
        <f>IFERROR(IF(YenidegerIskontoOrani=0,$M40*$G40,$M40*(1-1/(1+YenidegerIskontoOrani)^$G40)/YenidegerIskontoOrani),0)</f>
        <v/>
      </c>
      <c r="O40" s="124">
        <f>$N40-$K40</f>
        <v/>
      </c>
      <c r="P40" s="124">
        <f>IF($J40&lt;=0,"DEĞERLENDİR",IF($O40&gt;0,"YENİDEN DEĞERLE","DEĞERLENDİR"))</f>
        <v/>
      </c>
      <c r="Q40" s="124">
        <f>IF($B40="","",CONCATENATE("Kıymet: ",$B40," | Değer Artışı: ",TEXT($J40,"#,##0")))</f>
        <v/>
      </c>
    </row>
    <row r="41" ht="15.75" customHeight="1" s="81">
      <c r="A41" s="129" t="n"/>
      <c r="B41" s="130" t="n"/>
      <c r="C41" s="127" t="n"/>
      <c r="D41" s="127" t="n"/>
      <c r="E41" s="124">
        <f>IF($C41=0,0,$C41-$D41)</f>
        <v/>
      </c>
      <c r="F41" s="128" t="n"/>
      <c r="G41" s="129" t="n"/>
      <c r="H41" s="131" t="n"/>
      <c r="I41" s="124">
        <f>IF($E41=0,0,$E41*$H41)</f>
        <v/>
      </c>
      <c r="J41" s="124">
        <f>IF($I41=0,0,$I41-$E41)</f>
        <v/>
      </c>
      <c r="K41" s="124">
        <f>IF($J41=0,0,$J41*YenidegerFonOran)</f>
        <v/>
      </c>
      <c r="L41" s="124">
        <f>IF($G41=0,0,$J41/$G41)</f>
        <v/>
      </c>
      <c r="M41" s="124">
        <f>IF($L41=0,0,$L41*YenidegerKurumlarVergiOran)</f>
        <v/>
      </c>
      <c r="N41" s="124">
        <f>IFERROR(IF(YenidegerIskontoOrani=0,$M41*$G41,$M41*(1-1/(1+YenidegerIskontoOrani)^$G41)/YenidegerIskontoOrani),0)</f>
        <v/>
      </c>
      <c r="O41" s="124">
        <f>$N41-$K41</f>
        <v/>
      </c>
      <c r="P41" s="124">
        <f>IF($J41&lt;=0,"DEĞERLENDİR",IF($O41&gt;0,"YENİDEN DEĞERLE","DEĞERLENDİR"))</f>
        <v/>
      </c>
      <c r="Q41" s="124">
        <f>IF($B41="","",CONCATENATE("Kıymet: ",$B41," | Değer Artışı: ",TEXT($J41,"#,##0")))</f>
        <v/>
      </c>
    </row>
    <row r="42" ht="15.75" customHeight="1" s="81">
      <c r="A42" s="129" t="n"/>
      <c r="B42" s="130" t="n"/>
      <c r="C42" s="127" t="n"/>
      <c r="D42" s="127" t="n"/>
      <c r="E42" s="124">
        <f>IF($C42=0,0,$C42-$D42)</f>
        <v/>
      </c>
      <c r="F42" s="128" t="n"/>
      <c r="G42" s="129" t="n"/>
      <c r="H42" s="131" t="n"/>
      <c r="I42" s="124">
        <f>IF($E42=0,0,$E42*$H42)</f>
        <v/>
      </c>
      <c r="J42" s="124">
        <f>IF($I42=0,0,$I42-$E42)</f>
        <v/>
      </c>
      <c r="K42" s="124">
        <f>IF($J42=0,0,$J42*YenidegerFonOran)</f>
        <v/>
      </c>
      <c r="L42" s="124">
        <f>IF($G42=0,0,$J42/$G42)</f>
        <v/>
      </c>
      <c r="M42" s="124">
        <f>IF($L42=0,0,$L42*YenidegerKurumlarVergiOran)</f>
        <v/>
      </c>
      <c r="N42" s="124">
        <f>IFERROR(IF(YenidegerIskontoOrani=0,$M42*$G42,$M42*(1-1/(1+YenidegerIskontoOrani)^$G42)/YenidegerIskontoOrani),0)</f>
        <v/>
      </c>
      <c r="O42" s="124">
        <f>$N42-$K42</f>
        <v/>
      </c>
      <c r="P42" s="124">
        <f>IF($J42&lt;=0,"DEĞERLENDİR",IF($O42&gt;0,"YENİDEN DEĞERLE","DEĞERLENDİR"))</f>
        <v/>
      </c>
      <c r="Q42" s="124">
        <f>IF($B42="","",CONCATENATE("Kıymet: ",$B42," | Değer Artışı: ",TEXT($J42,"#,##0")))</f>
        <v/>
      </c>
    </row>
    <row r="43" ht="15.75" customHeight="1" s="81">
      <c r="A43" s="129" t="n"/>
      <c r="B43" s="130" t="n"/>
      <c r="C43" s="127" t="n"/>
      <c r="D43" s="127" t="n"/>
      <c r="E43" s="124">
        <f>IF($C43=0,0,$C43-$D43)</f>
        <v/>
      </c>
      <c r="F43" s="128" t="n"/>
      <c r="G43" s="129" t="n"/>
      <c r="H43" s="131" t="n"/>
      <c r="I43" s="124">
        <f>IF($E43=0,0,$E43*$H43)</f>
        <v/>
      </c>
      <c r="J43" s="124">
        <f>IF($I43=0,0,$I43-$E43)</f>
        <v/>
      </c>
      <c r="K43" s="124">
        <f>IF($J43=0,0,$J43*YenidegerFonOran)</f>
        <v/>
      </c>
      <c r="L43" s="124">
        <f>IF($G43=0,0,$J43/$G43)</f>
        <v/>
      </c>
      <c r="M43" s="124">
        <f>IF($L43=0,0,$L43*YenidegerKurumlarVergiOran)</f>
        <v/>
      </c>
      <c r="N43" s="124">
        <f>IFERROR(IF(YenidegerIskontoOrani=0,$M43*$G43,$M43*(1-1/(1+YenidegerIskontoOrani)^$G43)/YenidegerIskontoOrani),0)</f>
        <v/>
      </c>
      <c r="O43" s="124">
        <f>$N43-$K43</f>
        <v/>
      </c>
      <c r="P43" s="124">
        <f>IF($J43&lt;=0,"DEĞERLENDİR",IF($O43&gt;0,"YENİDEN DEĞERLE","DEĞERLENDİR"))</f>
        <v/>
      </c>
      <c r="Q43" s="124">
        <f>IF($B43="","",CONCATENATE("Kıymet: ",$B43," | Değer Artışı: ",TEXT($J43,"#,##0")))</f>
        <v/>
      </c>
    </row>
    <row r="44" ht="15.75" customHeight="1" s="81">
      <c r="A44" s="129" t="n"/>
      <c r="B44" s="130" t="n"/>
      <c r="C44" s="127" t="n"/>
      <c r="D44" s="127" t="n"/>
      <c r="E44" s="124">
        <f>IF($C44=0,0,$C44-$D44)</f>
        <v/>
      </c>
      <c r="F44" s="128" t="n"/>
      <c r="G44" s="129" t="n"/>
      <c r="H44" s="131" t="n"/>
      <c r="I44" s="124">
        <f>IF($E44=0,0,$E44*$H44)</f>
        <v/>
      </c>
      <c r="J44" s="124">
        <f>IF($I44=0,0,$I44-$E44)</f>
        <v/>
      </c>
      <c r="K44" s="124">
        <f>IF($J44=0,0,$J44*YenidegerFonOran)</f>
        <v/>
      </c>
      <c r="L44" s="124">
        <f>IF($G44=0,0,$J44/$G44)</f>
        <v/>
      </c>
      <c r="M44" s="124">
        <f>IF($L44=0,0,$L44*YenidegerKurumlarVergiOran)</f>
        <v/>
      </c>
      <c r="N44" s="124">
        <f>IFERROR(IF(YenidegerIskontoOrani=0,$M44*$G44,$M44*(1-1/(1+YenidegerIskontoOrani)^$G44)/YenidegerIskontoOrani),0)</f>
        <v/>
      </c>
      <c r="O44" s="124">
        <f>$N44-$K44</f>
        <v/>
      </c>
      <c r="P44" s="124">
        <f>IF($J44&lt;=0,"DEĞERLENDİR",IF($O44&gt;0,"YENİDEN DEĞERLE","DEĞERLENDİR"))</f>
        <v/>
      </c>
      <c r="Q44" s="124">
        <f>IF($B44="","",CONCATENATE("Kıymet: ",$B44," | Değer Artışı: ",TEXT($J44,"#,##0")))</f>
        <v/>
      </c>
    </row>
    <row r="45" ht="15.75" customHeight="1" s="81">
      <c r="A45" s="129" t="n"/>
      <c r="B45" s="130" t="n"/>
      <c r="C45" s="127" t="n"/>
      <c r="D45" s="127" t="n"/>
      <c r="E45" s="124">
        <f>IF($C45=0,0,$C45-$D45)</f>
        <v/>
      </c>
      <c r="F45" s="128" t="n"/>
      <c r="G45" s="129" t="n"/>
      <c r="H45" s="131" t="n"/>
      <c r="I45" s="124">
        <f>IF($E45=0,0,$E45*$H45)</f>
        <v/>
      </c>
      <c r="J45" s="124">
        <f>IF($I45=0,0,$I45-$E45)</f>
        <v/>
      </c>
      <c r="K45" s="124">
        <f>IF($J45=0,0,$J45*YenidegerFonOran)</f>
        <v/>
      </c>
      <c r="L45" s="124">
        <f>IF($G45=0,0,$J45/$G45)</f>
        <v/>
      </c>
      <c r="M45" s="124">
        <f>IF($L45=0,0,$L45*YenidegerKurumlarVergiOran)</f>
        <v/>
      </c>
      <c r="N45" s="124">
        <f>IFERROR(IF(YenidegerIskontoOrani=0,$M45*$G45,$M45*(1-1/(1+YenidegerIskontoOrani)^$G45)/YenidegerIskontoOrani),0)</f>
        <v/>
      </c>
      <c r="O45" s="124">
        <f>$N45-$K45</f>
        <v/>
      </c>
      <c r="P45" s="124">
        <f>IF($J45&lt;=0,"DEĞERLENDİR",IF($O45&gt;0,"YENİDEN DEĞERLE","DEĞERLENDİR"))</f>
        <v/>
      </c>
      <c r="Q45" s="124">
        <f>IF($B45="","",CONCATENATE("Kıymet: ",$B45," | Değer Artışı: ",TEXT($J45,"#,##0")))</f>
        <v/>
      </c>
    </row>
    <row r="46" ht="15.75" customHeight="1" s="81">
      <c r="A46" s="129" t="n"/>
      <c r="B46" s="130" t="n"/>
      <c r="C46" s="127" t="n"/>
      <c r="D46" s="127" t="n"/>
      <c r="E46" s="124">
        <f>IF($C46=0,0,$C46-$D46)</f>
        <v/>
      </c>
      <c r="F46" s="128" t="n"/>
      <c r="G46" s="129" t="n"/>
      <c r="H46" s="131" t="n"/>
      <c r="I46" s="124">
        <f>IF($E46=0,0,$E46*$H46)</f>
        <v/>
      </c>
      <c r="J46" s="124">
        <f>IF($I46=0,0,$I46-$E46)</f>
        <v/>
      </c>
      <c r="K46" s="124">
        <f>IF($J46=0,0,$J46*YenidegerFonOran)</f>
        <v/>
      </c>
      <c r="L46" s="124">
        <f>IF($G46=0,0,$J46/$G46)</f>
        <v/>
      </c>
      <c r="M46" s="124">
        <f>IF($L46=0,0,$L46*YenidegerKurumlarVergiOran)</f>
        <v/>
      </c>
      <c r="N46" s="124">
        <f>IFERROR(IF(YenidegerIskontoOrani=0,$M46*$G46,$M46*(1-1/(1+YenidegerIskontoOrani)^$G46)/YenidegerIskontoOrani),0)</f>
        <v/>
      </c>
      <c r="O46" s="124">
        <f>$N46-$K46</f>
        <v/>
      </c>
      <c r="P46" s="124">
        <f>IF($J46&lt;=0,"DEĞERLENDİR",IF($O46&gt;0,"YENİDEN DEĞERLE","DEĞERLENDİR"))</f>
        <v/>
      </c>
      <c r="Q46" s="124">
        <f>IF($B46="","",CONCATENATE("Kıymet: ",$B46," | Değer Artışı: ",TEXT($J46,"#,##0")))</f>
        <v/>
      </c>
    </row>
    <row r="47" ht="15.75" customHeight="1" s="81">
      <c r="A47" s="129" t="n"/>
      <c r="B47" s="130" t="n"/>
      <c r="C47" s="127" t="n"/>
      <c r="D47" s="127" t="n"/>
      <c r="E47" s="124">
        <f>IF($C47=0,0,$C47-$D47)</f>
        <v/>
      </c>
      <c r="F47" s="128" t="n"/>
      <c r="G47" s="129" t="n"/>
      <c r="H47" s="131" t="n"/>
      <c r="I47" s="124">
        <f>IF($E47=0,0,$E47*$H47)</f>
        <v/>
      </c>
      <c r="J47" s="124">
        <f>IF($I47=0,0,$I47-$E47)</f>
        <v/>
      </c>
      <c r="K47" s="124">
        <f>IF($J47=0,0,$J47*YenidegerFonOran)</f>
        <v/>
      </c>
      <c r="L47" s="124">
        <f>IF($G47=0,0,$J47/$G47)</f>
        <v/>
      </c>
      <c r="M47" s="124">
        <f>IF($L47=0,0,$L47*YenidegerKurumlarVergiOran)</f>
        <v/>
      </c>
      <c r="N47" s="124">
        <f>IFERROR(IF(YenidegerIskontoOrani=0,$M47*$G47,$M47*(1-1/(1+YenidegerIskontoOrani)^$G47)/YenidegerIskontoOrani),0)</f>
        <v/>
      </c>
      <c r="O47" s="124">
        <f>$N47-$K47</f>
        <v/>
      </c>
      <c r="P47" s="124">
        <f>IF($J47&lt;=0,"DEĞERLENDİR",IF($O47&gt;0,"YENİDEN DEĞERLE","DEĞERLENDİR"))</f>
        <v/>
      </c>
      <c r="Q47" s="124">
        <f>IF($B47="","",CONCATENATE("Kıymet: ",$B47," | Değer Artışı: ",TEXT($J47,"#,##0")))</f>
        <v/>
      </c>
    </row>
    <row r="48" ht="15.75" customHeight="1" s="81">
      <c r="A48" s="129" t="n"/>
      <c r="B48" s="130" t="n"/>
      <c r="C48" s="127" t="n"/>
      <c r="D48" s="127" t="n"/>
      <c r="E48" s="124">
        <f>IF($C48=0,0,$C48-$D48)</f>
        <v/>
      </c>
      <c r="F48" s="128" t="n"/>
      <c r="G48" s="129" t="n"/>
      <c r="H48" s="131" t="n"/>
      <c r="I48" s="124">
        <f>IF($E48=0,0,$E48*$H48)</f>
        <v/>
      </c>
      <c r="J48" s="124">
        <f>IF($I48=0,0,$I48-$E48)</f>
        <v/>
      </c>
      <c r="K48" s="124">
        <f>IF($J48=0,0,$J48*YenidegerFonOran)</f>
        <v/>
      </c>
      <c r="L48" s="124">
        <f>IF($G48=0,0,$J48/$G48)</f>
        <v/>
      </c>
      <c r="M48" s="124">
        <f>IF($L48=0,0,$L48*YenidegerKurumlarVergiOran)</f>
        <v/>
      </c>
      <c r="N48" s="124">
        <f>IFERROR(IF(YenidegerIskontoOrani=0,$M48*$G48,$M48*(1-1/(1+YenidegerIskontoOrani)^$G48)/YenidegerIskontoOrani),0)</f>
        <v/>
      </c>
      <c r="O48" s="124">
        <f>$N48-$K48</f>
        <v/>
      </c>
      <c r="P48" s="124">
        <f>IF($J48&lt;=0,"DEĞERLENDİR",IF($O48&gt;0,"YENİDEN DEĞERLE","DEĞERLENDİR"))</f>
        <v/>
      </c>
      <c r="Q48" s="124">
        <f>IF($B48="","",CONCATENATE("Kıymet: ",$B48," | Değer Artışı: ",TEXT($J48,"#,##0")))</f>
        <v/>
      </c>
    </row>
    <row r="49" ht="15.75" customHeight="1" s="81">
      <c r="A49" s="129" t="n"/>
      <c r="B49" s="130" t="n"/>
      <c r="C49" s="127" t="n"/>
      <c r="D49" s="127" t="n"/>
      <c r="E49" s="124">
        <f>IF($C49=0,0,$C49-$D49)</f>
        <v/>
      </c>
      <c r="F49" s="128" t="n"/>
      <c r="G49" s="129" t="n"/>
      <c r="H49" s="131" t="n"/>
      <c r="I49" s="124">
        <f>IF($E49=0,0,$E49*$H49)</f>
        <v/>
      </c>
      <c r="J49" s="124">
        <f>IF($I49=0,0,$I49-$E49)</f>
        <v/>
      </c>
      <c r="K49" s="124">
        <f>IF($J49=0,0,$J49*YenidegerFonOran)</f>
        <v/>
      </c>
      <c r="L49" s="124">
        <f>IF($G49=0,0,$J49/$G49)</f>
        <v/>
      </c>
      <c r="M49" s="124">
        <f>IF($L49=0,0,$L49*YenidegerKurumlarVergiOran)</f>
        <v/>
      </c>
      <c r="N49" s="124">
        <f>IFERROR(IF(YenidegerIskontoOrani=0,$M49*$G49,$M49*(1-1/(1+YenidegerIskontoOrani)^$G49)/YenidegerIskontoOrani),0)</f>
        <v/>
      </c>
      <c r="O49" s="124">
        <f>$N49-$K49</f>
        <v/>
      </c>
      <c r="P49" s="124">
        <f>IF($J49&lt;=0,"DEĞERLENDİR",IF($O49&gt;0,"YENİDEN DEĞERLE","DEĞERLENDİR"))</f>
        <v/>
      </c>
      <c r="Q49" s="124">
        <f>IF($B49="","",CONCATENATE("Kıymet: ",$B49," | Değer Artışı: ",TEXT($J49,"#,##0")))</f>
        <v/>
      </c>
    </row>
    <row r="50" ht="15.75" customHeight="1" s="81">
      <c r="A50" s="129" t="n"/>
      <c r="B50" s="130" t="n"/>
      <c r="C50" s="127" t="n"/>
      <c r="D50" s="127" t="n"/>
      <c r="E50" s="124">
        <f>IF($C50=0,0,$C50-$D50)</f>
        <v/>
      </c>
      <c r="F50" s="128" t="n"/>
      <c r="G50" s="129" t="n"/>
      <c r="H50" s="131" t="n"/>
      <c r="I50" s="124">
        <f>IF($E50=0,0,$E50*$H50)</f>
        <v/>
      </c>
      <c r="J50" s="124">
        <f>IF($I50=0,0,$I50-$E50)</f>
        <v/>
      </c>
      <c r="K50" s="124">
        <f>IF($J50=0,0,$J50*YenidegerFonOran)</f>
        <v/>
      </c>
      <c r="L50" s="124">
        <f>IF($G50=0,0,$J50/$G50)</f>
        <v/>
      </c>
      <c r="M50" s="124">
        <f>IF($L50=0,0,$L50*YenidegerKurumlarVergiOran)</f>
        <v/>
      </c>
      <c r="N50" s="124">
        <f>IFERROR(IF(YenidegerIskontoOrani=0,$M50*$G50,$M50*(1-1/(1+YenidegerIskontoOrani)^$G50)/YenidegerIskontoOrani),0)</f>
        <v/>
      </c>
      <c r="O50" s="124">
        <f>$N50-$K50</f>
        <v/>
      </c>
      <c r="P50" s="124">
        <f>IF($J50&lt;=0,"DEĞERLENDİR",IF($O50&gt;0,"YENİDEN DEĞERLE","DEĞERLENDİR"))</f>
        <v/>
      </c>
      <c r="Q50" s="124">
        <f>IF($B50="","",CONCATENATE("Kıymet: ",$B50," | Değer Artışı: ",TEXT($J50,"#,##0")))</f>
        <v/>
      </c>
    </row>
    <row r="51" ht="15.75" customHeight="1" s="81">
      <c r="A51" s="129" t="n"/>
      <c r="B51" s="130" t="n"/>
      <c r="C51" s="127" t="n"/>
      <c r="D51" s="127" t="n"/>
      <c r="E51" s="124">
        <f>IF($C51=0,0,$C51-$D51)</f>
        <v/>
      </c>
      <c r="F51" s="128" t="n"/>
      <c r="G51" s="129" t="n"/>
      <c r="H51" s="131" t="n"/>
      <c r="I51" s="124">
        <f>IF($E51=0,0,$E51*$H51)</f>
        <v/>
      </c>
      <c r="J51" s="124">
        <f>IF($I51=0,0,$I51-$E51)</f>
        <v/>
      </c>
      <c r="K51" s="124">
        <f>IF($J51=0,0,$J51*YenidegerFonOran)</f>
        <v/>
      </c>
      <c r="L51" s="124">
        <f>IF($G51=0,0,$J51/$G51)</f>
        <v/>
      </c>
      <c r="M51" s="124">
        <f>IF($L51=0,0,$L51*YenidegerKurumlarVergiOran)</f>
        <v/>
      </c>
      <c r="N51" s="124">
        <f>IFERROR(IF(YenidegerIskontoOrani=0,$M51*$G51,$M51*(1-1/(1+YenidegerIskontoOrani)^$G51)/YenidegerIskontoOrani),0)</f>
        <v/>
      </c>
      <c r="O51" s="124">
        <f>$N51-$K51</f>
        <v/>
      </c>
      <c r="P51" s="124">
        <f>IF($J51&lt;=0,"DEĞERLENDİR",IF($O51&gt;0,"YENİDEN DEĞERLE","DEĞERLENDİR"))</f>
        <v/>
      </c>
      <c r="Q51" s="124">
        <f>IF($B51="","",CONCATENATE("Kıymet: ",$B51," | Değer Artışı: ",TEXT($J51,"#,##0")))</f>
        <v/>
      </c>
    </row>
    <row r="52" ht="15.75" customHeight="1" s="81">
      <c r="A52" s="129" t="n"/>
      <c r="B52" s="130" t="n"/>
      <c r="C52" s="127" t="n"/>
      <c r="D52" s="127" t="n"/>
      <c r="E52" s="124">
        <f>IF($C52=0,0,$C52-$D52)</f>
        <v/>
      </c>
      <c r="F52" s="128" t="n"/>
      <c r="G52" s="129" t="n"/>
      <c r="H52" s="131" t="n"/>
      <c r="I52" s="124">
        <f>IF($E52=0,0,$E52*$H52)</f>
        <v/>
      </c>
      <c r="J52" s="124">
        <f>IF($I52=0,0,$I52-$E52)</f>
        <v/>
      </c>
      <c r="K52" s="124">
        <f>IF($J52=0,0,$J52*YenidegerFonOran)</f>
        <v/>
      </c>
      <c r="L52" s="124">
        <f>IF($G52=0,0,$J52/$G52)</f>
        <v/>
      </c>
      <c r="M52" s="124">
        <f>IF($L52=0,0,$L52*YenidegerKurumlarVergiOran)</f>
        <v/>
      </c>
      <c r="N52" s="124">
        <f>IFERROR(IF(YenidegerIskontoOrani=0,$M52*$G52,$M52*(1-1/(1+YenidegerIskontoOrani)^$G52)/YenidegerIskontoOrani),0)</f>
        <v/>
      </c>
      <c r="O52" s="124">
        <f>$N52-$K52</f>
        <v/>
      </c>
      <c r="P52" s="124">
        <f>IF($J52&lt;=0,"DEĞERLENDİR",IF($O52&gt;0,"YENİDEN DEĞERLE","DEĞERLENDİR"))</f>
        <v/>
      </c>
      <c r="Q52" s="124">
        <f>IF($B52="","",CONCATENATE("Kıymet: ",$B52," | Değer Artışı: ",TEXT($J52,"#,##0")))</f>
        <v/>
      </c>
    </row>
    <row r="53" ht="15.75" customHeight="1" s="81">
      <c r="A53" s="129" t="n"/>
      <c r="B53" s="130" t="n"/>
      <c r="C53" s="127" t="n"/>
      <c r="D53" s="127" t="n"/>
      <c r="E53" s="124">
        <f>IF($C53=0,0,$C53-$D53)</f>
        <v/>
      </c>
      <c r="F53" s="128" t="n"/>
      <c r="G53" s="129" t="n"/>
      <c r="H53" s="131" t="n"/>
      <c r="I53" s="124">
        <f>IF($E53=0,0,$E53*$H53)</f>
        <v/>
      </c>
      <c r="J53" s="124">
        <f>IF($I53=0,0,$I53-$E53)</f>
        <v/>
      </c>
      <c r="K53" s="124">
        <f>IF($J53=0,0,$J53*YenidegerFonOran)</f>
        <v/>
      </c>
      <c r="L53" s="124">
        <f>IF($G53=0,0,$J53/$G53)</f>
        <v/>
      </c>
      <c r="M53" s="124">
        <f>IF($L53=0,0,$L53*YenidegerKurumlarVergiOran)</f>
        <v/>
      </c>
      <c r="N53" s="124">
        <f>IFERROR(IF(YenidegerIskontoOrani=0,$M53*$G53,$M53*(1-1/(1+YenidegerIskontoOrani)^$G53)/YenidegerIskontoOrani),0)</f>
        <v/>
      </c>
      <c r="O53" s="124">
        <f>$N53-$K53</f>
        <v/>
      </c>
      <c r="P53" s="124">
        <f>IF($J53&lt;=0,"DEĞERLENDİR",IF($O53&gt;0,"YENİDEN DEĞERLE","DEĞERLENDİR"))</f>
        <v/>
      </c>
      <c r="Q53" s="124">
        <f>IF($B53="","",CONCATENATE("Kıymet: ",$B53," | Değer Artışı: ",TEXT($J53,"#,##0")))</f>
        <v/>
      </c>
    </row>
    <row r="54" ht="15.75" customHeight="1" s="81">
      <c r="A54" s="129" t="n"/>
      <c r="B54" s="130" t="n"/>
      <c r="C54" s="127" t="n"/>
      <c r="D54" s="127" t="n"/>
      <c r="E54" s="124">
        <f>IF($C54=0,0,$C54-$D54)</f>
        <v/>
      </c>
      <c r="F54" s="128" t="n"/>
      <c r="G54" s="129" t="n"/>
      <c r="H54" s="131" t="n"/>
      <c r="I54" s="124">
        <f>IF($E54=0,0,$E54*$H54)</f>
        <v/>
      </c>
      <c r="J54" s="124">
        <f>IF($I54=0,0,$I54-$E54)</f>
        <v/>
      </c>
      <c r="K54" s="124">
        <f>IF($J54=0,0,$J54*YenidegerFonOran)</f>
        <v/>
      </c>
      <c r="L54" s="124">
        <f>IF($G54=0,0,$J54/$G54)</f>
        <v/>
      </c>
      <c r="M54" s="124">
        <f>IF($L54=0,0,$L54*YenidegerKurumlarVergiOran)</f>
        <v/>
      </c>
      <c r="N54" s="124">
        <f>IFERROR(IF(YenidegerIskontoOrani=0,$M54*$G54,$M54*(1-1/(1+YenidegerIskontoOrani)^$G54)/YenidegerIskontoOrani),0)</f>
        <v/>
      </c>
      <c r="O54" s="124">
        <f>$N54-$K54</f>
        <v/>
      </c>
      <c r="P54" s="124">
        <f>IF($J54&lt;=0,"DEĞERLENDİR",IF($O54&gt;0,"YENİDEN DEĞERLE","DEĞERLENDİR"))</f>
        <v/>
      </c>
      <c r="Q54" s="124">
        <f>IF($B54="","",CONCATENATE("Kıymet: ",$B54," | Değer Artışı: ",TEXT($J54,"#,##0")))</f>
        <v/>
      </c>
    </row>
    <row r="55" ht="15.75" customHeight="1" s="81">
      <c r="A55" s="129" t="n"/>
      <c r="B55" s="130" t="n"/>
      <c r="C55" s="127" t="n"/>
      <c r="D55" s="127" t="n"/>
      <c r="E55" s="124">
        <f>IF($C55=0,0,$C55-$D55)</f>
        <v/>
      </c>
      <c r="F55" s="128" t="n"/>
      <c r="G55" s="129" t="n"/>
      <c r="H55" s="131" t="n"/>
      <c r="I55" s="124">
        <f>IF($E55=0,0,$E55*$H55)</f>
        <v/>
      </c>
      <c r="J55" s="124">
        <f>IF($I55=0,0,$I55-$E55)</f>
        <v/>
      </c>
      <c r="K55" s="124">
        <f>IF($J55=0,0,$J55*YenidegerFonOran)</f>
        <v/>
      </c>
      <c r="L55" s="124">
        <f>IF($G55=0,0,$J55/$G55)</f>
        <v/>
      </c>
      <c r="M55" s="124">
        <f>IF($L55=0,0,$L55*YenidegerKurumlarVergiOran)</f>
        <v/>
      </c>
      <c r="N55" s="124">
        <f>IFERROR(IF(YenidegerIskontoOrani=0,$M55*$G55,$M55*(1-1/(1+YenidegerIskontoOrani)^$G55)/YenidegerIskontoOrani),0)</f>
        <v/>
      </c>
      <c r="O55" s="124">
        <f>$N55-$K55</f>
        <v/>
      </c>
      <c r="P55" s="124">
        <f>IF($J55&lt;=0,"DEĞERLENDİR",IF($O55&gt;0,"YENİDEN DEĞERLE","DEĞERLENDİR"))</f>
        <v/>
      </c>
      <c r="Q55" s="124">
        <f>IF($B55="","",CONCATENATE("Kıymet: ",$B55," | Değer Artışı: ",TEXT($J55,"#,##0")))</f>
        <v/>
      </c>
    </row>
    <row r="56" ht="15.75" customHeight="1" s="81">
      <c r="A56" s="129" t="n"/>
      <c r="B56" s="130" t="n"/>
      <c r="C56" s="127" t="n"/>
      <c r="D56" s="127" t="n"/>
      <c r="E56" s="124">
        <f>IF($C56=0,0,$C56-$D56)</f>
        <v/>
      </c>
      <c r="F56" s="128" t="n"/>
      <c r="G56" s="129" t="n"/>
      <c r="H56" s="131" t="n"/>
      <c r="I56" s="124">
        <f>IF($E56=0,0,$E56*$H56)</f>
        <v/>
      </c>
      <c r="J56" s="124">
        <f>IF($I56=0,0,$I56-$E56)</f>
        <v/>
      </c>
      <c r="K56" s="124">
        <f>IF($J56=0,0,$J56*YenidegerFonOran)</f>
        <v/>
      </c>
      <c r="L56" s="124">
        <f>IF($G56=0,0,$J56/$G56)</f>
        <v/>
      </c>
      <c r="M56" s="124">
        <f>IF($L56=0,0,$L56*YenidegerKurumlarVergiOran)</f>
        <v/>
      </c>
      <c r="N56" s="124">
        <f>IFERROR(IF(YenidegerIskontoOrani=0,$M56*$G56,$M56*(1-1/(1+YenidegerIskontoOrani)^$G56)/YenidegerIskontoOrani),0)</f>
        <v/>
      </c>
      <c r="O56" s="124">
        <f>$N56-$K56</f>
        <v/>
      </c>
      <c r="P56" s="124">
        <f>IF($J56&lt;=0,"DEĞERLENDİR",IF($O56&gt;0,"YENİDEN DEĞERLE","DEĞERLENDİR"))</f>
        <v/>
      </c>
      <c r="Q56" s="124">
        <f>IF($B56="","",CONCATENATE("Kıymet: ",$B56," | Değer Artışı: ",TEXT($J56,"#,##0")))</f>
        <v/>
      </c>
    </row>
    <row r="57" ht="15.75" customHeight="1" s="81">
      <c r="A57" s="129" t="n"/>
      <c r="B57" s="130" t="n"/>
      <c r="C57" s="127" t="n"/>
      <c r="D57" s="127" t="n"/>
      <c r="E57" s="124">
        <f>IF($C57=0,0,$C57-$D57)</f>
        <v/>
      </c>
      <c r="F57" s="128" t="n"/>
      <c r="G57" s="129" t="n"/>
      <c r="H57" s="131" t="n"/>
      <c r="I57" s="124">
        <f>IF($E57=0,0,$E57*$H57)</f>
        <v/>
      </c>
      <c r="J57" s="124">
        <f>IF($I57=0,0,$I57-$E57)</f>
        <v/>
      </c>
      <c r="K57" s="124">
        <f>IF($J57=0,0,$J57*YenidegerFonOran)</f>
        <v/>
      </c>
      <c r="L57" s="124">
        <f>IF($G57=0,0,$J57/$G57)</f>
        <v/>
      </c>
      <c r="M57" s="124">
        <f>IF($L57=0,0,$L57*YenidegerKurumlarVergiOran)</f>
        <v/>
      </c>
      <c r="N57" s="124">
        <f>IFERROR(IF(YenidegerIskontoOrani=0,$M57*$G57,$M57*(1-1/(1+YenidegerIskontoOrani)^$G57)/YenidegerIskontoOrani),0)</f>
        <v/>
      </c>
      <c r="O57" s="124">
        <f>$N57-$K57</f>
        <v/>
      </c>
      <c r="P57" s="124">
        <f>IF($J57&lt;=0,"DEĞERLENDİR",IF($O57&gt;0,"YENİDEN DEĞERLE","DEĞERLENDİR"))</f>
        <v/>
      </c>
      <c r="Q57" s="124">
        <f>IF($B57="","",CONCATENATE("Kıymet: ",$B57," | Değer Artışı: ",TEXT($J57,"#,##0")))</f>
        <v/>
      </c>
    </row>
    <row r="58" ht="15.75" customHeight="1" s="81">
      <c r="A58" s="129" t="n"/>
      <c r="B58" s="130" t="n"/>
      <c r="C58" s="127" t="n"/>
      <c r="D58" s="127" t="n"/>
      <c r="E58" s="124">
        <f>IF($C58=0,0,$C58-$D58)</f>
        <v/>
      </c>
      <c r="F58" s="128" t="n"/>
      <c r="G58" s="129" t="n"/>
      <c r="H58" s="131" t="n"/>
      <c r="I58" s="124">
        <f>IF($E58=0,0,$E58*$H58)</f>
        <v/>
      </c>
      <c r="J58" s="124">
        <f>IF($I58=0,0,$I58-$E58)</f>
        <v/>
      </c>
      <c r="K58" s="124">
        <f>IF($J58=0,0,$J58*YenidegerFonOran)</f>
        <v/>
      </c>
      <c r="L58" s="124">
        <f>IF($G58=0,0,$J58/$G58)</f>
        <v/>
      </c>
      <c r="M58" s="124">
        <f>IF($L58=0,0,$L58*YenidegerKurumlarVergiOran)</f>
        <v/>
      </c>
      <c r="N58" s="124">
        <f>IFERROR(IF(YenidegerIskontoOrani=0,$M58*$G58,$M58*(1-1/(1+YenidegerIskontoOrani)^$G58)/YenidegerIskontoOrani),0)</f>
        <v/>
      </c>
      <c r="O58" s="124">
        <f>$N58-$K58</f>
        <v/>
      </c>
      <c r="P58" s="124">
        <f>IF($J58&lt;=0,"DEĞERLENDİR",IF($O58&gt;0,"YENİDEN DEĞERLE","DEĞERLENDİR"))</f>
        <v/>
      </c>
      <c r="Q58" s="124">
        <f>IF($B58="","",CONCATENATE("Kıymet: ",$B58," | Değer Artışı: ",TEXT($J58,"#,##0")))</f>
        <v/>
      </c>
    </row>
    <row r="59" ht="15.75" customHeight="1" s="81">
      <c r="A59" s="129" t="n"/>
      <c r="B59" s="130" t="n"/>
      <c r="C59" s="127" t="n"/>
      <c r="D59" s="127" t="n"/>
      <c r="E59" s="124">
        <f>IF($C59=0,0,$C59-$D59)</f>
        <v/>
      </c>
      <c r="F59" s="128" t="n"/>
      <c r="G59" s="129" t="n"/>
      <c r="H59" s="131" t="n"/>
      <c r="I59" s="124">
        <f>IF($E59=0,0,$E59*$H59)</f>
        <v/>
      </c>
      <c r="J59" s="124">
        <f>IF($I59=0,0,$I59-$E59)</f>
        <v/>
      </c>
      <c r="K59" s="124">
        <f>IF($J59=0,0,$J59*YenidegerFonOran)</f>
        <v/>
      </c>
      <c r="L59" s="124">
        <f>IF($G59=0,0,$J59/$G59)</f>
        <v/>
      </c>
      <c r="M59" s="124">
        <f>IF($L59=0,0,$L59*YenidegerKurumlarVergiOran)</f>
        <v/>
      </c>
      <c r="N59" s="124">
        <f>IFERROR(IF(YenidegerIskontoOrani=0,$M59*$G59,$M59*(1-1/(1+YenidegerIskontoOrani)^$G59)/YenidegerIskontoOrani),0)</f>
        <v/>
      </c>
      <c r="O59" s="124">
        <f>$N59-$K59</f>
        <v/>
      </c>
      <c r="P59" s="124">
        <f>IF($J59&lt;=0,"DEĞERLENDİR",IF($O59&gt;0,"YENİDEN DEĞERLE","DEĞERLENDİR"))</f>
        <v/>
      </c>
      <c r="Q59" s="124">
        <f>IF($B59="","",CONCATENATE("Kıymet: ",$B59," | Değer Artışı: ",TEXT($J59,"#,##0")))</f>
        <v/>
      </c>
    </row>
    <row r="60" ht="15.75" customHeight="1" s="81">
      <c r="A60" s="129" t="n"/>
      <c r="B60" s="130" t="n"/>
      <c r="C60" s="127" t="n"/>
      <c r="D60" s="127" t="n"/>
      <c r="E60" s="124">
        <f>IF($C60=0,0,$C60-$D60)</f>
        <v/>
      </c>
      <c r="F60" s="128" t="n"/>
      <c r="G60" s="129" t="n"/>
      <c r="H60" s="131" t="n"/>
      <c r="I60" s="124">
        <f>IF($E60=0,0,$E60*$H60)</f>
        <v/>
      </c>
      <c r="J60" s="124">
        <f>IF($I60=0,0,$I60-$E60)</f>
        <v/>
      </c>
      <c r="K60" s="124">
        <f>IF($J60=0,0,$J60*YenidegerFonOran)</f>
        <v/>
      </c>
      <c r="L60" s="124">
        <f>IF($G60=0,0,$J60/$G60)</f>
        <v/>
      </c>
      <c r="M60" s="124">
        <f>IF($L60=0,0,$L60*YenidegerKurumlarVergiOran)</f>
        <v/>
      </c>
      <c r="N60" s="124">
        <f>IFERROR(IF(YenidegerIskontoOrani=0,$M60*$G60,$M60*(1-1/(1+YenidegerIskontoOrani)^$G60)/YenidegerIskontoOrani),0)</f>
        <v/>
      </c>
      <c r="O60" s="124">
        <f>$N60-$K60</f>
        <v/>
      </c>
      <c r="P60" s="124">
        <f>IF($J60&lt;=0,"DEĞERLENDİR",IF($O60&gt;0,"YENİDEN DEĞERLE","DEĞERLENDİR"))</f>
        <v/>
      </c>
      <c r="Q60" s="124">
        <f>IF($B60="","",CONCATENATE("Kıymet: ",$B60," | Değer Artışı: ",TEXT($J60,"#,##0")))</f>
        <v/>
      </c>
    </row>
    <row r="61" ht="15.75" customHeight="1" s="81">
      <c r="A61" s="129" t="n"/>
      <c r="B61" s="130" t="n"/>
      <c r="C61" s="127" t="n"/>
      <c r="D61" s="127" t="n"/>
      <c r="E61" s="124">
        <f>IF($C61=0,0,$C61-$D61)</f>
        <v/>
      </c>
      <c r="F61" s="128" t="n"/>
      <c r="G61" s="129" t="n"/>
      <c r="H61" s="131" t="n"/>
      <c r="I61" s="124">
        <f>IF($E61=0,0,$E61*$H61)</f>
        <v/>
      </c>
      <c r="J61" s="124">
        <f>IF($I61=0,0,$I61-$E61)</f>
        <v/>
      </c>
      <c r="K61" s="124">
        <f>IF($J61=0,0,$J61*YenidegerFonOran)</f>
        <v/>
      </c>
      <c r="L61" s="124">
        <f>IF($G61=0,0,$J61/$G61)</f>
        <v/>
      </c>
      <c r="M61" s="124">
        <f>IF($L61=0,0,$L61*YenidegerKurumlarVergiOran)</f>
        <v/>
      </c>
      <c r="N61" s="124">
        <f>IFERROR(IF(YenidegerIskontoOrani=0,$M61*$G61,$M61*(1-1/(1+YenidegerIskontoOrani)^$G61)/YenidegerIskontoOrani),0)</f>
        <v/>
      </c>
      <c r="O61" s="124">
        <f>$N61-$K61</f>
        <v/>
      </c>
      <c r="P61" s="124">
        <f>IF($J61&lt;=0,"DEĞERLENDİR",IF($O61&gt;0,"YENİDEN DEĞERLE","DEĞERLENDİR"))</f>
        <v/>
      </c>
      <c r="Q61" s="124">
        <f>IF($B61="","",CONCATENATE("Kıymet: ",$B61," | Değer Artışı: ",TEXT($J61,"#,##0")))</f>
        <v/>
      </c>
    </row>
    <row r="62" ht="15.75" customHeight="1" s="81">
      <c r="A62" s="129" t="n"/>
      <c r="B62" s="130" t="n"/>
      <c r="C62" s="127" t="n"/>
      <c r="D62" s="127" t="n"/>
      <c r="E62" s="124">
        <f>IF($C62=0,0,$C62-$D62)</f>
        <v/>
      </c>
      <c r="F62" s="128" t="n"/>
      <c r="G62" s="129" t="n"/>
      <c r="H62" s="131" t="n"/>
      <c r="I62" s="124">
        <f>IF($E62=0,0,$E62*$H62)</f>
        <v/>
      </c>
      <c r="J62" s="124">
        <f>IF($I62=0,0,$I62-$E62)</f>
        <v/>
      </c>
      <c r="K62" s="124">
        <f>IF($J62=0,0,$J62*YenidegerFonOran)</f>
        <v/>
      </c>
      <c r="L62" s="124">
        <f>IF($G62=0,0,$J62/$G62)</f>
        <v/>
      </c>
      <c r="M62" s="124">
        <f>IF($L62=0,0,$L62*YenidegerKurumlarVergiOran)</f>
        <v/>
      </c>
      <c r="N62" s="124">
        <f>IFERROR(IF(YenidegerIskontoOrani=0,$M62*$G62,$M62*(1-1/(1+YenidegerIskontoOrani)^$G62)/YenidegerIskontoOrani),0)</f>
        <v/>
      </c>
      <c r="O62" s="124">
        <f>$N62-$K62</f>
        <v/>
      </c>
      <c r="P62" s="124">
        <f>IF($J62&lt;=0,"DEĞERLENDİR",IF($O62&gt;0,"YENİDEN DEĞERLE","DEĞERLENDİR"))</f>
        <v/>
      </c>
      <c r="Q62" s="124">
        <f>IF($B62="","",CONCATENATE("Kıymet: ",$B62," | Değer Artışı: ",TEXT($J62,"#,##0")))</f>
        <v/>
      </c>
    </row>
    <row r="63" ht="15.75" customHeight="1" s="81">
      <c r="A63" s="129" t="n"/>
      <c r="B63" s="130" t="n"/>
      <c r="C63" s="127" t="n"/>
      <c r="D63" s="127" t="n"/>
      <c r="E63" s="124">
        <f>IF($C63=0,0,$C63-$D63)</f>
        <v/>
      </c>
      <c r="F63" s="128" t="n"/>
      <c r="G63" s="129" t="n"/>
      <c r="H63" s="131" t="n"/>
      <c r="I63" s="124">
        <f>IF($E63=0,0,$E63*$H63)</f>
        <v/>
      </c>
      <c r="J63" s="124">
        <f>IF($I63=0,0,$I63-$E63)</f>
        <v/>
      </c>
      <c r="K63" s="124">
        <f>IF($J63=0,0,$J63*YenidegerFonOran)</f>
        <v/>
      </c>
      <c r="L63" s="124">
        <f>IF($G63=0,0,$J63/$G63)</f>
        <v/>
      </c>
      <c r="M63" s="124">
        <f>IF($L63=0,0,$L63*YenidegerKurumlarVergiOran)</f>
        <v/>
      </c>
      <c r="N63" s="124">
        <f>IFERROR(IF(YenidegerIskontoOrani=0,$M63*$G63,$M63*(1-1/(1+YenidegerIskontoOrani)^$G63)/YenidegerIskontoOrani),0)</f>
        <v/>
      </c>
      <c r="O63" s="124">
        <f>$N63-$K63</f>
        <v/>
      </c>
      <c r="P63" s="124">
        <f>IF($J63&lt;=0,"DEĞERLENDİR",IF($O63&gt;0,"YENİDEN DEĞERLE","DEĞERLENDİR"))</f>
        <v/>
      </c>
      <c r="Q63" s="124">
        <f>IF($B63="","",CONCATENATE("Kıymet: ",$B63," | Değer Artışı: ",TEXT($J63,"#,##0")))</f>
        <v/>
      </c>
    </row>
    <row r="64" ht="15.75" customHeight="1" s="81">
      <c r="A64" s="129" t="n"/>
      <c r="B64" s="130" t="n"/>
      <c r="C64" s="127" t="n"/>
      <c r="D64" s="127" t="n"/>
      <c r="E64" s="124">
        <f>IF($C64=0,0,$C64-$D64)</f>
        <v/>
      </c>
      <c r="F64" s="128" t="n"/>
      <c r="G64" s="129" t="n"/>
      <c r="H64" s="131" t="n"/>
      <c r="I64" s="124">
        <f>IF($E64=0,0,$E64*$H64)</f>
        <v/>
      </c>
      <c r="J64" s="124">
        <f>IF($I64=0,0,$I64-$E64)</f>
        <v/>
      </c>
      <c r="K64" s="124">
        <f>IF($J64=0,0,$J64*YenidegerFonOran)</f>
        <v/>
      </c>
      <c r="L64" s="124">
        <f>IF($G64=0,0,$J64/$G64)</f>
        <v/>
      </c>
      <c r="M64" s="124">
        <f>IF($L64=0,0,$L64*YenidegerKurumlarVergiOran)</f>
        <v/>
      </c>
      <c r="N64" s="124">
        <f>IFERROR(IF(YenidegerIskontoOrani=0,$M64*$G64,$M64*(1-1/(1+YenidegerIskontoOrani)^$G64)/YenidegerIskontoOrani),0)</f>
        <v/>
      </c>
      <c r="O64" s="124">
        <f>$N64-$K64</f>
        <v/>
      </c>
      <c r="P64" s="124">
        <f>IF($J64&lt;=0,"DEĞERLENDİR",IF($O64&gt;0,"YENİDEN DEĞERLE","DEĞERLENDİR"))</f>
        <v/>
      </c>
      <c r="Q64" s="124">
        <f>IF($B64="","",CONCATENATE("Kıymet: ",$B64," | Değer Artışı: ",TEXT($J64,"#,##0")))</f>
        <v/>
      </c>
    </row>
    <row r="65" ht="15.75" customHeight="1" s="81">
      <c r="A65" s="129" t="n"/>
      <c r="B65" s="130" t="n"/>
      <c r="C65" s="127" t="n"/>
      <c r="D65" s="127" t="n"/>
      <c r="E65" s="124">
        <f>IF($C65=0,0,$C65-$D65)</f>
        <v/>
      </c>
      <c r="F65" s="128" t="n"/>
      <c r="G65" s="129" t="n"/>
      <c r="H65" s="131" t="n"/>
      <c r="I65" s="124">
        <f>IF($E65=0,0,$E65*$H65)</f>
        <v/>
      </c>
      <c r="J65" s="124">
        <f>IF($I65=0,0,$I65-$E65)</f>
        <v/>
      </c>
      <c r="K65" s="124">
        <f>IF($J65=0,0,$J65*YenidegerFonOran)</f>
        <v/>
      </c>
      <c r="L65" s="124">
        <f>IF($G65=0,0,$J65/$G65)</f>
        <v/>
      </c>
      <c r="M65" s="124">
        <f>IF($L65=0,0,$L65*YenidegerKurumlarVergiOran)</f>
        <v/>
      </c>
      <c r="N65" s="124">
        <f>IFERROR(IF(YenidegerIskontoOrani=0,$M65*$G65,$M65*(1-1/(1+YenidegerIskontoOrani)^$G65)/YenidegerIskontoOrani),0)</f>
        <v/>
      </c>
      <c r="O65" s="124">
        <f>$N65-$K65</f>
        <v/>
      </c>
      <c r="P65" s="124">
        <f>IF($J65&lt;=0,"DEĞERLENDİR",IF($O65&gt;0,"YENİDEN DEĞERLE","DEĞERLENDİR"))</f>
        <v/>
      </c>
      <c r="Q65" s="124">
        <f>IF($B65="","",CONCATENATE("Kıymet: ",$B65," | Değer Artışı: ",TEXT($J65,"#,##0")))</f>
        <v/>
      </c>
    </row>
    <row r="66" ht="15.75" customHeight="1" s="81">
      <c r="A66" s="129" t="n"/>
      <c r="B66" s="130" t="n"/>
      <c r="C66" s="127" t="n"/>
      <c r="D66" s="127" t="n"/>
      <c r="E66" s="124">
        <f>IF($C66=0,0,$C66-$D66)</f>
        <v/>
      </c>
      <c r="F66" s="128" t="n"/>
      <c r="G66" s="129" t="n"/>
      <c r="H66" s="131" t="n"/>
      <c r="I66" s="124">
        <f>IF($E66=0,0,$E66*$H66)</f>
        <v/>
      </c>
      <c r="J66" s="124">
        <f>IF($I66=0,0,$I66-$E66)</f>
        <v/>
      </c>
      <c r="K66" s="124">
        <f>IF($J66=0,0,$J66*YenidegerFonOran)</f>
        <v/>
      </c>
      <c r="L66" s="124">
        <f>IF($G66=0,0,$J66/$G66)</f>
        <v/>
      </c>
      <c r="M66" s="124">
        <f>IF($L66=0,0,$L66*YenidegerKurumlarVergiOran)</f>
        <v/>
      </c>
      <c r="N66" s="124">
        <f>IFERROR(IF(YenidegerIskontoOrani=0,$M66*$G66,$M66*(1-1/(1+YenidegerIskontoOrani)^$G66)/YenidegerIskontoOrani),0)</f>
        <v/>
      </c>
      <c r="O66" s="124">
        <f>$N66-$K66</f>
        <v/>
      </c>
      <c r="P66" s="124">
        <f>IF($J66&lt;=0,"DEĞERLENDİR",IF($O66&gt;0,"YENİDEN DEĞERLE","DEĞERLENDİR"))</f>
        <v/>
      </c>
      <c r="Q66" s="124">
        <f>IF($B66="","",CONCATENATE("Kıymet: ",$B66," | Değer Artışı: ",TEXT($J66,"#,##0")))</f>
        <v/>
      </c>
    </row>
    <row r="67" ht="15.75" customHeight="1" s="81">
      <c r="A67" s="129" t="n"/>
      <c r="B67" s="130" t="n"/>
      <c r="C67" s="127" t="n"/>
      <c r="D67" s="127" t="n"/>
      <c r="E67" s="124">
        <f>IF($C67=0,0,$C67-$D67)</f>
        <v/>
      </c>
      <c r="F67" s="128" t="n"/>
      <c r="G67" s="129" t="n"/>
      <c r="H67" s="131" t="n"/>
      <c r="I67" s="124">
        <f>IF($E67=0,0,$E67*$H67)</f>
        <v/>
      </c>
      <c r="J67" s="124">
        <f>IF($I67=0,0,$I67-$E67)</f>
        <v/>
      </c>
      <c r="K67" s="124">
        <f>IF($J67=0,0,$J67*YenidegerFonOran)</f>
        <v/>
      </c>
      <c r="L67" s="124">
        <f>IF($G67=0,0,$J67/$G67)</f>
        <v/>
      </c>
      <c r="M67" s="124">
        <f>IF($L67=0,0,$L67*YenidegerKurumlarVergiOran)</f>
        <v/>
      </c>
      <c r="N67" s="124">
        <f>IFERROR(IF(YenidegerIskontoOrani=0,$M67*$G67,$M67*(1-1/(1+YenidegerIskontoOrani)^$G67)/YenidegerIskontoOrani),0)</f>
        <v/>
      </c>
      <c r="O67" s="124">
        <f>$N67-$K67</f>
        <v/>
      </c>
      <c r="P67" s="124">
        <f>IF($J67&lt;=0,"DEĞERLENDİR",IF($O67&gt;0,"YENİDEN DEĞERLE","DEĞERLENDİR"))</f>
        <v/>
      </c>
      <c r="Q67" s="124">
        <f>IF($B67="","",CONCATENATE("Kıymet: ",$B67," | Değer Artışı: ",TEXT($J67,"#,##0")))</f>
        <v/>
      </c>
    </row>
    <row r="68" ht="15.75" customHeight="1" s="81">
      <c r="A68" s="129" t="n"/>
      <c r="B68" s="130" t="n"/>
      <c r="C68" s="127" t="n"/>
      <c r="D68" s="127" t="n"/>
      <c r="E68" s="124">
        <f>IF($C68=0,0,$C68-$D68)</f>
        <v/>
      </c>
      <c r="F68" s="128" t="n"/>
      <c r="G68" s="129" t="n"/>
      <c r="H68" s="131" t="n"/>
      <c r="I68" s="124">
        <f>IF($E68=0,0,$E68*$H68)</f>
        <v/>
      </c>
      <c r="J68" s="124">
        <f>IF($I68=0,0,$I68-$E68)</f>
        <v/>
      </c>
      <c r="K68" s="124">
        <f>IF($J68=0,0,$J68*YenidegerFonOran)</f>
        <v/>
      </c>
      <c r="L68" s="124">
        <f>IF($G68=0,0,$J68/$G68)</f>
        <v/>
      </c>
      <c r="M68" s="124">
        <f>IF($L68=0,0,$L68*YenidegerKurumlarVergiOran)</f>
        <v/>
      </c>
      <c r="N68" s="124">
        <f>IFERROR(IF(YenidegerIskontoOrani=0,$M68*$G68,$M68*(1-1/(1+YenidegerIskontoOrani)^$G68)/YenidegerIskontoOrani),0)</f>
        <v/>
      </c>
      <c r="O68" s="124">
        <f>$N68-$K68</f>
        <v/>
      </c>
      <c r="P68" s="124">
        <f>IF($J68&lt;=0,"DEĞERLENDİR",IF($O68&gt;0,"YENİDEN DEĞERLE","DEĞERLENDİR"))</f>
        <v/>
      </c>
      <c r="Q68" s="124">
        <f>IF($B68="","",CONCATENATE("Kıymet: ",$B68," | Değer Artışı: ",TEXT($J68,"#,##0")))</f>
        <v/>
      </c>
    </row>
    <row r="69" ht="15.75" customHeight="1" s="81">
      <c r="A69" s="129" t="n"/>
      <c r="B69" s="130" t="n"/>
      <c r="C69" s="127" t="n"/>
      <c r="D69" s="127" t="n"/>
      <c r="E69" s="124">
        <f>IF($C69=0,0,$C69-$D69)</f>
        <v/>
      </c>
      <c r="F69" s="128" t="n"/>
      <c r="G69" s="129" t="n"/>
      <c r="H69" s="131" t="n"/>
      <c r="I69" s="124">
        <f>IF($E69=0,0,$E69*$H69)</f>
        <v/>
      </c>
      <c r="J69" s="124">
        <f>IF($I69=0,0,$I69-$E69)</f>
        <v/>
      </c>
      <c r="K69" s="124">
        <f>IF($J69=0,0,$J69*YenidegerFonOran)</f>
        <v/>
      </c>
      <c r="L69" s="124">
        <f>IF($G69=0,0,$J69/$G69)</f>
        <v/>
      </c>
      <c r="M69" s="124">
        <f>IF($L69=0,0,$L69*YenidegerKurumlarVergiOran)</f>
        <v/>
      </c>
      <c r="N69" s="124">
        <f>IFERROR(IF(YenidegerIskontoOrani=0,$M69*$G69,$M69*(1-1/(1+YenidegerIskontoOrani)^$G69)/YenidegerIskontoOrani),0)</f>
        <v/>
      </c>
      <c r="O69" s="124">
        <f>$N69-$K69</f>
        <v/>
      </c>
      <c r="P69" s="124">
        <f>IF($J69&lt;=0,"DEĞERLENDİR",IF($O69&gt;0,"YENİDEN DEĞERLE","DEĞERLENDİR"))</f>
        <v/>
      </c>
      <c r="Q69" s="124">
        <f>IF($B69="","",CONCATENATE("Kıymet: ",$B69," | Değer Artışı: ",TEXT($J69,"#,##0")))</f>
        <v/>
      </c>
    </row>
    <row r="70" ht="15.75" customHeight="1" s="81">
      <c r="A70" s="129" t="n"/>
      <c r="B70" s="130" t="n"/>
      <c r="C70" s="127" t="n"/>
      <c r="D70" s="127" t="n"/>
      <c r="E70" s="124">
        <f>IF($C70=0,0,$C70-$D70)</f>
        <v/>
      </c>
      <c r="F70" s="128" t="n"/>
      <c r="G70" s="129" t="n"/>
      <c r="H70" s="131" t="n"/>
      <c r="I70" s="124">
        <f>IF($E70=0,0,$E70*$H70)</f>
        <v/>
      </c>
      <c r="J70" s="124">
        <f>IF($I70=0,0,$I70-$E70)</f>
        <v/>
      </c>
      <c r="K70" s="124">
        <f>IF($J70=0,0,$J70*YenidegerFonOran)</f>
        <v/>
      </c>
      <c r="L70" s="124">
        <f>IF($G70=0,0,$J70/$G70)</f>
        <v/>
      </c>
      <c r="M70" s="124">
        <f>IF($L70=0,0,$L70*YenidegerKurumlarVergiOran)</f>
        <v/>
      </c>
      <c r="N70" s="124">
        <f>IFERROR(IF(YenidegerIskontoOrani=0,$M70*$G70,$M70*(1-1/(1+YenidegerIskontoOrani)^$G70)/YenidegerIskontoOrani),0)</f>
        <v/>
      </c>
      <c r="O70" s="124">
        <f>$N70-$K70</f>
        <v/>
      </c>
      <c r="P70" s="124">
        <f>IF($J70&lt;=0,"DEĞERLENDİR",IF($O70&gt;0,"YENİDEN DEĞERLE","DEĞERLENDİR"))</f>
        <v/>
      </c>
      <c r="Q70" s="124">
        <f>IF($B70="","",CONCATENATE("Kıymet: ",$B70," | Değer Artışı: ",TEXT($J70,"#,##0")))</f>
        <v/>
      </c>
    </row>
    <row r="71" ht="15.75" customHeight="1" s="81">
      <c r="A71" s="129" t="n"/>
      <c r="B71" s="130" t="n"/>
      <c r="C71" s="127" t="n"/>
      <c r="D71" s="127" t="n"/>
      <c r="E71" s="124">
        <f>IF($C71=0,0,$C71-$D71)</f>
        <v/>
      </c>
      <c r="F71" s="128" t="n"/>
      <c r="G71" s="129" t="n"/>
      <c r="H71" s="131" t="n"/>
      <c r="I71" s="124">
        <f>IF($E71=0,0,$E71*$H71)</f>
        <v/>
      </c>
      <c r="J71" s="124">
        <f>IF($I71=0,0,$I71-$E71)</f>
        <v/>
      </c>
      <c r="K71" s="124">
        <f>IF($J71=0,0,$J71*YenidegerFonOran)</f>
        <v/>
      </c>
      <c r="L71" s="124">
        <f>IF($G71=0,0,$J71/$G71)</f>
        <v/>
      </c>
      <c r="M71" s="124">
        <f>IF($L71=0,0,$L71*YenidegerKurumlarVergiOran)</f>
        <v/>
      </c>
      <c r="N71" s="124">
        <f>IFERROR(IF(YenidegerIskontoOrani=0,$M71*$G71,$M71*(1-1/(1+YenidegerIskontoOrani)^$G71)/YenidegerIskontoOrani),0)</f>
        <v/>
      </c>
      <c r="O71" s="124">
        <f>$N71-$K71</f>
        <v/>
      </c>
      <c r="P71" s="124">
        <f>IF($J71&lt;=0,"DEĞERLENDİR",IF($O71&gt;0,"YENİDEN DEĞERLE","DEĞERLENDİR"))</f>
        <v/>
      </c>
      <c r="Q71" s="124">
        <f>IF($B71="","",CONCATENATE("Kıymet: ",$B71," | Değer Artışı: ",TEXT($J71,"#,##0")))</f>
        <v/>
      </c>
    </row>
    <row r="72" ht="15.75" customHeight="1" s="81">
      <c r="A72" s="129" t="n"/>
      <c r="B72" s="130" t="n"/>
      <c r="C72" s="127" t="n"/>
      <c r="D72" s="127" t="n"/>
      <c r="E72" s="124">
        <f>IF($C72=0,0,$C72-$D72)</f>
        <v/>
      </c>
      <c r="F72" s="128" t="n"/>
      <c r="G72" s="129" t="n"/>
      <c r="H72" s="131" t="n"/>
      <c r="I72" s="124">
        <f>IF($E72=0,0,$E72*$H72)</f>
        <v/>
      </c>
      <c r="J72" s="124">
        <f>IF($I72=0,0,$I72-$E72)</f>
        <v/>
      </c>
      <c r="K72" s="124">
        <f>IF($J72=0,0,$J72*YenidegerFonOran)</f>
        <v/>
      </c>
      <c r="L72" s="124">
        <f>IF($G72=0,0,$J72/$G72)</f>
        <v/>
      </c>
      <c r="M72" s="124">
        <f>IF($L72=0,0,$L72*YenidegerKurumlarVergiOran)</f>
        <v/>
      </c>
      <c r="N72" s="124">
        <f>IFERROR(IF(YenidegerIskontoOrani=0,$M72*$G72,$M72*(1-1/(1+YenidegerIskontoOrani)^$G72)/YenidegerIskontoOrani),0)</f>
        <v/>
      </c>
      <c r="O72" s="124">
        <f>$N72-$K72</f>
        <v/>
      </c>
      <c r="P72" s="124">
        <f>IF($J72&lt;=0,"DEĞERLENDİR",IF($O72&gt;0,"YENİDEN DEĞERLE","DEĞERLENDİR"))</f>
        <v/>
      </c>
      <c r="Q72" s="124">
        <f>IF($B72="","",CONCATENATE("Kıymet: ",$B72," | Değer Artışı: ",TEXT($J72,"#,##0")))</f>
        <v/>
      </c>
    </row>
    <row r="73" ht="15.75" customHeight="1" s="81">
      <c r="A73" s="129" t="n"/>
      <c r="B73" s="130" t="n"/>
      <c r="C73" s="127" t="n"/>
      <c r="D73" s="127" t="n"/>
      <c r="E73" s="124">
        <f>IF($C73=0,0,$C73-$D73)</f>
        <v/>
      </c>
      <c r="F73" s="128" t="n"/>
      <c r="G73" s="129" t="n"/>
      <c r="H73" s="131" t="n"/>
      <c r="I73" s="124">
        <f>IF($E73=0,0,$E73*$H73)</f>
        <v/>
      </c>
      <c r="J73" s="124">
        <f>IF($I73=0,0,$I73-$E73)</f>
        <v/>
      </c>
      <c r="K73" s="124">
        <f>IF($J73=0,0,$J73*YenidegerFonOran)</f>
        <v/>
      </c>
      <c r="L73" s="124">
        <f>IF($G73=0,0,$J73/$G73)</f>
        <v/>
      </c>
      <c r="M73" s="124">
        <f>IF($L73=0,0,$L73*YenidegerKurumlarVergiOran)</f>
        <v/>
      </c>
      <c r="N73" s="124">
        <f>IFERROR(IF(YenidegerIskontoOrani=0,$M73*$G73,$M73*(1-1/(1+YenidegerIskontoOrani)^$G73)/YenidegerIskontoOrani),0)</f>
        <v/>
      </c>
      <c r="O73" s="124">
        <f>$N73-$K73</f>
        <v/>
      </c>
      <c r="P73" s="124">
        <f>IF($J73&lt;=0,"DEĞERLENDİR",IF($O73&gt;0,"YENİDEN DEĞERLE","DEĞERLENDİR"))</f>
        <v/>
      </c>
      <c r="Q73" s="124">
        <f>IF($B73="","",CONCATENATE("Kıymet: ",$B73," | Değer Artışı: ",TEXT($J73,"#,##0")))</f>
        <v/>
      </c>
    </row>
    <row r="74" ht="15.75" customHeight="1" s="81">
      <c r="A74" s="129" t="n"/>
      <c r="B74" s="130" t="n"/>
      <c r="C74" s="127" t="n"/>
      <c r="D74" s="127" t="n"/>
      <c r="E74" s="124">
        <f>IF($C74=0,0,$C74-$D74)</f>
        <v/>
      </c>
      <c r="F74" s="128" t="n"/>
      <c r="G74" s="129" t="n"/>
      <c r="H74" s="131" t="n"/>
      <c r="I74" s="124">
        <f>IF($E74=0,0,$E74*$H74)</f>
        <v/>
      </c>
      <c r="J74" s="124">
        <f>IF($I74=0,0,$I74-$E74)</f>
        <v/>
      </c>
      <c r="K74" s="124">
        <f>IF($J74=0,0,$J74*YenidegerFonOran)</f>
        <v/>
      </c>
      <c r="L74" s="124">
        <f>IF($G74=0,0,$J74/$G74)</f>
        <v/>
      </c>
      <c r="M74" s="124">
        <f>IF($L74=0,0,$L74*YenidegerKurumlarVergiOran)</f>
        <v/>
      </c>
      <c r="N74" s="124">
        <f>IFERROR(IF(YenidegerIskontoOrani=0,$M74*$G74,$M74*(1-1/(1+YenidegerIskontoOrani)^$G74)/YenidegerIskontoOrani),0)</f>
        <v/>
      </c>
      <c r="O74" s="124">
        <f>$N74-$K74</f>
        <v/>
      </c>
      <c r="P74" s="124">
        <f>IF($J74&lt;=0,"DEĞERLENDİR",IF($O74&gt;0,"YENİDEN DEĞERLE","DEĞERLENDİR"))</f>
        <v/>
      </c>
      <c r="Q74" s="124">
        <f>IF($B74="","",CONCATENATE("Kıymet: ",$B74," | Değer Artışı: ",TEXT($J74,"#,##0")))</f>
        <v/>
      </c>
    </row>
    <row r="75" ht="15.75" customHeight="1" s="81">
      <c r="A75" s="129" t="n"/>
      <c r="B75" s="130" t="n"/>
      <c r="C75" s="127" t="n"/>
      <c r="D75" s="127" t="n"/>
      <c r="E75" s="124">
        <f>IF($C75=0,0,$C75-$D75)</f>
        <v/>
      </c>
      <c r="F75" s="128" t="n"/>
      <c r="G75" s="129" t="n"/>
      <c r="H75" s="131" t="n"/>
      <c r="I75" s="124">
        <f>IF($E75=0,0,$E75*$H75)</f>
        <v/>
      </c>
      <c r="J75" s="124">
        <f>IF($I75=0,0,$I75-$E75)</f>
        <v/>
      </c>
      <c r="K75" s="124">
        <f>IF($J75=0,0,$J75*YenidegerFonOran)</f>
        <v/>
      </c>
      <c r="L75" s="124">
        <f>IF($G75=0,0,$J75/$G75)</f>
        <v/>
      </c>
      <c r="M75" s="124">
        <f>IF($L75=0,0,$L75*YenidegerKurumlarVergiOran)</f>
        <v/>
      </c>
      <c r="N75" s="124">
        <f>IFERROR(IF(YenidegerIskontoOrani=0,$M75*$G75,$M75*(1-1/(1+YenidegerIskontoOrani)^$G75)/YenidegerIskontoOrani),0)</f>
        <v/>
      </c>
      <c r="O75" s="124">
        <f>$N75-$K75</f>
        <v/>
      </c>
      <c r="P75" s="124">
        <f>IF($J75&lt;=0,"DEĞERLENDİR",IF($O75&gt;0,"YENİDEN DEĞERLE","DEĞERLENDİR"))</f>
        <v/>
      </c>
      <c r="Q75" s="124">
        <f>IF($B75="","",CONCATENATE("Kıymet: ",$B75," | Değer Artışı: ",TEXT($J75,"#,##0")))</f>
        <v/>
      </c>
    </row>
    <row r="76" ht="15.75" customHeight="1" s="81">
      <c r="A76" s="129" t="n"/>
      <c r="B76" s="130" t="n"/>
      <c r="C76" s="127" t="n"/>
      <c r="D76" s="127" t="n"/>
      <c r="E76" s="124">
        <f>IF($C76=0,0,$C76-$D76)</f>
        <v/>
      </c>
      <c r="F76" s="128" t="n"/>
      <c r="G76" s="129" t="n"/>
      <c r="H76" s="131" t="n"/>
      <c r="I76" s="124">
        <f>IF($E76=0,0,$E76*$H76)</f>
        <v/>
      </c>
      <c r="J76" s="124">
        <f>IF($I76=0,0,$I76-$E76)</f>
        <v/>
      </c>
      <c r="K76" s="124">
        <f>IF($J76=0,0,$J76*YenidegerFonOran)</f>
        <v/>
      </c>
      <c r="L76" s="124">
        <f>IF($G76=0,0,$J76/$G76)</f>
        <v/>
      </c>
      <c r="M76" s="124">
        <f>IF($L76=0,0,$L76*YenidegerKurumlarVergiOran)</f>
        <v/>
      </c>
      <c r="N76" s="124">
        <f>IFERROR(IF(YenidegerIskontoOrani=0,$M76*$G76,$M76*(1-1/(1+YenidegerIskontoOrani)^$G76)/YenidegerIskontoOrani),0)</f>
        <v/>
      </c>
      <c r="O76" s="124">
        <f>$N76-$K76</f>
        <v/>
      </c>
      <c r="P76" s="124">
        <f>IF($J76&lt;=0,"DEĞERLENDİR",IF($O76&gt;0,"YENİDEN DEĞERLE","DEĞERLENDİR"))</f>
        <v/>
      </c>
      <c r="Q76" s="124">
        <f>IF($B76="","",CONCATENATE("Kıymet: ",$B76," | Değer Artışı: ",TEXT($J76,"#,##0")))</f>
        <v/>
      </c>
    </row>
    <row r="77" ht="15.75" customHeight="1" s="81">
      <c r="A77" s="129" t="n"/>
      <c r="B77" s="130" t="n"/>
      <c r="C77" s="127" t="n"/>
      <c r="D77" s="127" t="n"/>
      <c r="E77" s="124">
        <f>IF($C77=0,0,$C77-$D77)</f>
        <v/>
      </c>
      <c r="F77" s="128" t="n"/>
      <c r="G77" s="129" t="n"/>
      <c r="H77" s="131" t="n"/>
      <c r="I77" s="124">
        <f>IF($E77=0,0,$E77*$H77)</f>
        <v/>
      </c>
      <c r="J77" s="124">
        <f>IF($I77=0,0,$I77-$E77)</f>
        <v/>
      </c>
      <c r="K77" s="124">
        <f>IF($J77=0,0,$J77*YenidegerFonOran)</f>
        <v/>
      </c>
      <c r="L77" s="124">
        <f>IF($G77=0,0,$J77/$G77)</f>
        <v/>
      </c>
      <c r="M77" s="124">
        <f>IF($L77=0,0,$L77*YenidegerKurumlarVergiOran)</f>
        <v/>
      </c>
      <c r="N77" s="124">
        <f>IFERROR(IF(YenidegerIskontoOrani=0,$M77*$G77,$M77*(1-1/(1+YenidegerIskontoOrani)^$G77)/YenidegerIskontoOrani),0)</f>
        <v/>
      </c>
      <c r="O77" s="124">
        <f>$N77-$K77</f>
        <v/>
      </c>
      <c r="P77" s="124">
        <f>IF($J77&lt;=0,"DEĞERLENDİR",IF($O77&gt;0,"YENİDEN DEĞERLE","DEĞERLENDİR"))</f>
        <v/>
      </c>
      <c r="Q77" s="124">
        <f>IF($B77="","",CONCATENATE("Kıymet: ",$B77," | Değer Artışı: ",TEXT($J77,"#,##0")))</f>
        <v/>
      </c>
    </row>
    <row r="78" ht="15.75" customHeight="1" s="81">
      <c r="A78" s="129" t="n"/>
      <c r="B78" s="130" t="n"/>
      <c r="C78" s="127" t="n"/>
      <c r="D78" s="127" t="n"/>
      <c r="E78" s="124">
        <f>IF($C78=0,0,$C78-$D78)</f>
        <v/>
      </c>
      <c r="F78" s="128" t="n"/>
      <c r="G78" s="129" t="n"/>
      <c r="H78" s="131" t="n"/>
      <c r="I78" s="124">
        <f>IF($E78=0,0,$E78*$H78)</f>
        <v/>
      </c>
      <c r="J78" s="124">
        <f>IF($I78=0,0,$I78-$E78)</f>
        <v/>
      </c>
      <c r="K78" s="124">
        <f>IF($J78=0,0,$J78*YenidegerFonOran)</f>
        <v/>
      </c>
      <c r="L78" s="124">
        <f>IF($G78=0,0,$J78/$G78)</f>
        <v/>
      </c>
      <c r="M78" s="124">
        <f>IF($L78=0,0,$L78*YenidegerKurumlarVergiOran)</f>
        <v/>
      </c>
      <c r="N78" s="124">
        <f>IFERROR(IF(YenidegerIskontoOrani=0,$M78*$G78,$M78*(1-1/(1+YenidegerIskontoOrani)^$G78)/YenidegerIskontoOrani),0)</f>
        <v/>
      </c>
      <c r="O78" s="124">
        <f>$N78-$K78</f>
        <v/>
      </c>
      <c r="P78" s="124">
        <f>IF($J78&lt;=0,"DEĞERLENDİR",IF($O78&gt;0,"YENİDEN DEĞERLE","DEĞERLENDİR"))</f>
        <v/>
      </c>
      <c r="Q78" s="124">
        <f>IF($B78="","",CONCATENATE("Kıymet: ",$B78," | Değer Artışı: ",TEXT($J78,"#,##0")))</f>
        <v/>
      </c>
    </row>
    <row r="79" ht="15.75" customHeight="1" s="81">
      <c r="A79" s="129" t="n"/>
      <c r="B79" s="130" t="n"/>
      <c r="C79" s="127" t="n"/>
      <c r="D79" s="127" t="n"/>
      <c r="E79" s="124">
        <f>IF($C79=0,0,$C79-$D79)</f>
        <v/>
      </c>
      <c r="F79" s="128" t="n"/>
      <c r="G79" s="129" t="n"/>
      <c r="H79" s="131" t="n"/>
      <c r="I79" s="124">
        <f>IF($E79=0,0,$E79*$H79)</f>
        <v/>
      </c>
      <c r="J79" s="124">
        <f>IF($I79=0,0,$I79-$E79)</f>
        <v/>
      </c>
      <c r="K79" s="124">
        <f>IF($J79=0,0,$J79*YenidegerFonOran)</f>
        <v/>
      </c>
      <c r="L79" s="124">
        <f>IF($G79=0,0,$J79/$G79)</f>
        <v/>
      </c>
      <c r="M79" s="124">
        <f>IF($L79=0,0,$L79*YenidegerKurumlarVergiOran)</f>
        <v/>
      </c>
      <c r="N79" s="124">
        <f>IFERROR(IF(YenidegerIskontoOrani=0,$M79*$G79,$M79*(1-1/(1+YenidegerIskontoOrani)^$G79)/YenidegerIskontoOrani),0)</f>
        <v/>
      </c>
      <c r="O79" s="124">
        <f>$N79-$K79</f>
        <v/>
      </c>
      <c r="P79" s="124">
        <f>IF($J79&lt;=0,"DEĞERLENDİR",IF($O79&gt;0,"YENİDEN DEĞERLE","DEĞERLENDİR"))</f>
        <v/>
      </c>
      <c r="Q79" s="124">
        <f>IF($B79="","",CONCATENATE("Kıymet: ",$B79," | Değer Artışı: ",TEXT($J79,"#,##0")))</f>
        <v/>
      </c>
    </row>
    <row r="80" ht="15.75" customHeight="1" s="81">
      <c r="A80" s="129" t="n"/>
      <c r="B80" s="130" t="n"/>
      <c r="C80" s="127" t="n"/>
      <c r="D80" s="127" t="n"/>
      <c r="E80" s="124">
        <f>IF($C80=0,0,$C80-$D80)</f>
        <v/>
      </c>
      <c r="F80" s="128" t="n"/>
      <c r="G80" s="129" t="n"/>
      <c r="H80" s="131" t="n"/>
      <c r="I80" s="124">
        <f>IF($E80=0,0,$E80*$H80)</f>
        <v/>
      </c>
      <c r="J80" s="124">
        <f>IF($I80=0,0,$I80-$E80)</f>
        <v/>
      </c>
      <c r="K80" s="124">
        <f>IF($J80=0,0,$J80*YenidegerFonOran)</f>
        <v/>
      </c>
      <c r="L80" s="124">
        <f>IF($G80=0,0,$J80/$G80)</f>
        <v/>
      </c>
      <c r="M80" s="124">
        <f>IF($L80=0,0,$L80*YenidegerKurumlarVergiOran)</f>
        <v/>
      </c>
      <c r="N80" s="124">
        <f>IFERROR(IF(YenidegerIskontoOrani=0,$M80*$G80,$M80*(1-1/(1+YenidegerIskontoOrani)^$G80)/YenidegerIskontoOrani),0)</f>
        <v/>
      </c>
      <c r="O80" s="124">
        <f>$N80-$K80</f>
        <v/>
      </c>
      <c r="P80" s="124">
        <f>IF($J80&lt;=0,"DEĞERLENDİR",IF($O80&gt;0,"YENİDEN DEĞERLE","DEĞERLENDİR"))</f>
        <v/>
      </c>
      <c r="Q80" s="124">
        <f>IF($B80="","",CONCATENATE("Kıymet: ",$B80," | Değer Artışı: ",TEXT($J80,"#,##0")))</f>
        <v/>
      </c>
    </row>
    <row r="81" ht="15.75" customHeight="1" s="81">
      <c r="A81" s="129" t="n"/>
      <c r="B81" s="130" t="n"/>
      <c r="C81" s="127" t="n"/>
      <c r="D81" s="127" t="n"/>
      <c r="E81" s="124">
        <f>IF($C81=0,0,$C81-$D81)</f>
        <v/>
      </c>
      <c r="F81" s="128" t="n"/>
      <c r="G81" s="129" t="n"/>
      <c r="H81" s="131" t="n"/>
      <c r="I81" s="124">
        <f>IF($E81=0,0,$E81*$H81)</f>
        <v/>
      </c>
      <c r="J81" s="124">
        <f>IF($I81=0,0,$I81-$E81)</f>
        <v/>
      </c>
      <c r="K81" s="124">
        <f>IF($J81=0,0,$J81*YenidegerFonOran)</f>
        <v/>
      </c>
      <c r="L81" s="124">
        <f>IF($G81=0,0,$J81/$G81)</f>
        <v/>
      </c>
      <c r="M81" s="124">
        <f>IF($L81=0,0,$L81*YenidegerKurumlarVergiOran)</f>
        <v/>
      </c>
      <c r="N81" s="124">
        <f>IFERROR(IF(YenidegerIskontoOrani=0,$M81*$G81,$M81*(1-1/(1+YenidegerIskontoOrani)^$G81)/YenidegerIskontoOrani),0)</f>
        <v/>
      </c>
      <c r="O81" s="124">
        <f>$N81-$K81</f>
        <v/>
      </c>
      <c r="P81" s="124">
        <f>IF($J81&lt;=0,"DEĞERLENDİR",IF($O81&gt;0,"YENİDEN DEĞERLE","DEĞERLENDİR"))</f>
        <v/>
      </c>
      <c r="Q81" s="124">
        <f>IF($B81="","",CONCATENATE("Kıymet: ",$B81," | Değer Artışı: ",TEXT($J81,"#,##0")))</f>
        <v/>
      </c>
    </row>
    <row r="82" ht="15.75" customHeight="1" s="81">
      <c r="A82" s="129" t="n"/>
      <c r="B82" s="130" t="n"/>
      <c r="C82" s="127" t="n"/>
      <c r="D82" s="127" t="n"/>
      <c r="E82" s="124">
        <f>IF($C82=0,0,$C82-$D82)</f>
        <v/>
      </c>
      <c r="F82" s="128" t="n"/>
      <c r="G82" s="129" t="n"/>
      <c r="H82" s="131" t="n"/>
      <c r="I82" s="124">
        <f>IF($E82=0,0,$E82*$H82)</f>
        <v/>
      </c>
      <c r="J82" s="124">
        <f>IF($I82=0,0,$I82-$E82)</f>
        <v/>
      </c>
      <c r="K82" s="124">
        <f>IF($J82=0,0,$J82*YenidegerFonOran)</f>
        <v/>
      </c>
      <c r="L82" s="124">
        <f>IF($G82=0,0,$J82/$G82)</f>
        <v/>
      </c>
      <c r="M82" s="124">
        <f>IF($L82=0,0,$L82*YenidegerKurumlarVergiOran)</f>
        <v/>
      </c>
      <c r="N82" s="124">
        <f>IFERROR(IF(YenidegerIskontoOrani=0,$M82*$G82,$M82*(1-1/(1+YenidegerIskontoOrani)^$G82)/YenidegerIskontoOrani),0)</f>
        <v/>
      </c>
      <c r="O82" s="124">
        <f>$N82-$K82</f>
        <v/>
      </c>
      <c r="P82" s="124">
        <f>IF($J82&lt;=0,"DEĞERLENDİR",IF($O82&gt;0,"YENİDEN DEĞERLE","DEĞERLENDİR"))</f>
        <v/>
      </c>
      <c r="Q82" s="124">
        <f>IF($B82="","",CONCATENATE("Kıymet: ",$B82," | Değer Artışı: ",TEXT($J82,"#,##0")))</f>
        <v/>
      </c>
    </row>
    <row r="83" ht="15.75" customHeight="1" s="81">
      <c r="A83" s="129" t="n"/>
      <c r="B83" s="130" t="n"/>
      <c r="C83" s="127" t="n"/>
      <c r="D83" s="127" t="n"/>
      <c r="E83" s="124">
        <f>IF($C83=0,0,$C83-$D83)</f>
        <v/>
      </c>
      <c r="F83" s="128" t="n"/>
      <c r="G83" s="129" t="n"/>
      <c r="H83" s="131" t="n"/>
      <c r="I83" s="124">
        <f>IF($E83=0,0,$E83*$H83)</f>
        <v/>
      </c>
      <c r="J83" s="124">
        <f>IF($I83=0,0,$I83-$E83)</f>
        <v/>
      </c>
      <c r="K83" s="124">
        <f>IF($J83=0,0,$J83*YenidegerFonOran)</f>
        <v/>
      </c>
      <c r="L83" s="124">
        <f>IF($G83=0,0,$J83/$G83)</f>
        <v/>
      </c>
      <c r="M83" s="124">
        <f>IF($L83=0,0,$L83*YenidegerKurumlarVergiOran)</f>
        <v/>
      </c>
      <c r="N83" s="124">
        <f>IFERROR(IF(YenidegerIskontoOrani=0,$M83*$G83,$M83*(1-1/(1+YenidegerIskontoOrani)^$G83)/YenidegerIskontoOrani),0)</f>
        <v/>
      </c>
      <c r="O83" s="124">
        <f>$N83-$K83</f>
        <v/>
      </c>
      <c r="P83" s="124">
        <f>IF($J83&lt;=0,"DEĞERLENDİR",IF($O83&gt;0,"YENİDEN DEĞERLE","DEĞERLENDİR"))</f>
        <v/>
      </c>
      <c r="Q83" s="124">
        <f>IF($B83="","",CONCATENATE("Kıymet: ",$B83," | Değer Artışı: ",TEXT($J83,"#,##0")))</f>
        <v/>
      </c>
    </row>
    <row r="84" ht="15.75" customHeight="1" s="81">
      <c r="A84" s="129" t="n"/>
      <c r="B84" s="130" t="n"/>
      <c r="C84" s="127" t="n"/>
      <c r="D84" s="127" t="n"/>
      <c r="E84" s="124">
        <f>IF($C84=0,0,$C84-$D84)</f>
        <v/>
      </c>
      <c r="F84" s="128" t="n"/>
      <c r="G84" s="129" t="n"/>
      <c r="H84" s="131" t="n"/>
      <c r="I84" s="124">
        <f>IF($E84=0,0,$E84*$H84)</f>
        <v/>
      </c>
      <c r="J84" s="124">
        <f>IF($I84=0,0,$I84-$E84)</f>
        <v/>
      </c>
      <c r="K84" s="124">
        <f>IF($J84=0,0,$J84*YenidegerFonOran)</f>
        <v/>
      </c>
      <c r="L84" s="124">
        <f>IF($G84=0,0,$J84/$G84)</f>
        <v/>
      </c>
      <c r="M84" s="124">
        <f>IF($L84=0,0,$L84*YenidegerKurumlarVergiOran)</f>
        <v/>
      </c>
      <c r="N84" s="124">
        <f>IFERROR(IF(YenidegerIskontoOrani=0,$M84*$G84,$M84*(1-1/(1+YenidegerIskontoOrani)^$G84)/YenidegerIskontoOrani),0)</f>
        <v/>
      </c>
      <c r="O84" s="124">
        <f>$N84-$K84</f>
        <v/>
      </c>
      <c r="P84" s="124">
        <f>IF($J84&lt;=0,"DEĞERLENDİR",IF($O84&gt;0,"YENİDEN DEĞERLE","DEĞERLENDİR"))</f>
        <v/>
      </c>
      <c r="Q84" s="124">
        <f>IF($B84="","",CONCATENATE("Kıymet: ",$B84," | Değer Artışı: ",TEXT($J84,"#,##0")))</f>
        <v/>
      </c>
    </row>
    <row r="85" ht="15.75" customHeight="1" s="81">
      <c r="A85" s="129" t="n"/>
      <c r="B85" s="130" t="n"/>
      <c r="C85" s="127" t="n"/>
      <c r="D85" s="127" t="n"/>
      <c r="E85" s="124">
        <f>IF($C85=0,0,$C85-$D85)</f>
        <v/>
      </c>
      <c r="F85" s="128" t="n"/>
      <c r="G85" s="129" t="n"/>
      <c r="H85" s="131" t="n"/>
      <c r="I85" s="124">
        <f>IF($E85=0,0,$E85*$H85)</f>
        <v/>
      </c>
      <c r="J85" s="124">
        <f>IF($I85=0,0,$I85-$E85)</f>
        <v/>
      </c>
      <c r="K85" s="124">
        <f>IF($J85=0,0,$J85*YenidegerFonOran)</f>
        <v/>
      </c>
      <c r="L85" s="124">
        <f>IF($G85=0,0,$J85/$G85)</f>
        <v/>
      </c>
      <c r="M85" s="124">
        <f>IF($L85=0,0,$L85*YenidegerKurumlarVergiOran)</f>
        <v/>
      </c>
      <c r="N85" s="124">
        <f>IFERROR(IF(YenidegerIskontoOrani=0,$M85*$G85,$M85*(1-1/(1+YenidegerIskontoOrani)^$G85)/YenidegerIskontoOrani),0)</f>
        <v/>
      </c>
      <c r="O85" s="124">
        <f>$N85-$K85</f>
        <v/>
      </c>
      <c r="P85" s="124">
        <f>IF($J85&lt;=0,"DEĞERLENDİR",IF($O85&gt;0,"YENİDEN DEĞERLE","DEĞERLENDİR"))</f>
        <v/>
      </c>
      <c r="Q85" s="124">
        <f>IF($B85="","",CONCATENATE("Kıymet: ",$B85," | Değer Artışı: ",TEXT($J85,"#,##0")))</f>
        <v/>
      </c>
    </row>
    <row r="86" ht="15.75" customHeight="1" s="81">
      <c r="A86" s="129" t="n"/>
      <c r="B86" s="130" t="n"/>
      <c r="C86" s="127" t="n"/>
      <c r="D86" s="127" t="n"/>
      <c r="E86" s="124">
        <f>IF($C86=0,0,$C86-$D86)</f>
        <v/>
      </c>
      <c r="F86" s="128" t="n"/>
      <c r="G86" s="129" t="n"/>
      <c r="H86" s="131" t="n"/>
      <c r="I86" s="124">
        <f>IF($E86=0,0,$E86*$H86)</f>
        <v/>
      </c>
      <c r="J86" s="124">
        <f>IF($I86=0,0,$I86-$E86)</f>
        <v/>
      </c>
      <c r="K86" s="124">
        <f>IF($J86=0,0,$J86*YenidegerFonOran)</f>
        <v/>
      </c>
      <c r="L86" s="124">
        <f>IF($G86=0,0,$J86/$G86)</f>
        <v/>
      </c>
      <c r="M86" s="124">
        <f>IF($L86=0,0,$L86*YenidegerKurumlarVergiOran)</f>
        <v/>
      </c>
      <c r="N86" s="124">
        <f>IFERROR(IF(YenidegerIskontoOrani=0,$M86*$G86,$M86*(1-1/(1+YenidegerIskontoOrani)^$G86)/YenidegerIskontoOrani),0)</f>
        <v/>
      </c>
      <c r="O86" s="124">
        <f>$N86-$K86</f>
        <v/>
      </c>
      <c r="P86" s="124">
        <f>IF($J86&lt;=0,"DEĞERLENDİR",IF($O86&gt;0,"YENİDEN DEĞERLE","DEĞERLENDİR"))</f>
        <v/>
      </c>
      <c r="Q86" s="124">
        <f>IF($B86="","",CONCATENATE("Kıymet: ",$B86," | Değer Artışı: ",TEXT($J86,"#,##0")))</f>
        <v/>
      </c>
    </row>
    <row r="87" ht="15.75" customHeight="1" s="81">
      <c r="A87" s="129" t="n"/>
      <c r="B87" s="130" t="n"/>
      <c r="C87" s="127" t="n"/>
      <c r="D87" s="127" t="n"/>
      <c r="E87" s="124">
        <f>IF($C87=0,0,$C87-$D87)</f>
        <v/>
      </c>
      <c r="F87" s="128" t="n"/>
      <c r="G87" s="129" t="n"/>
      <c r="H87" s="131" t="n"/>
      <c r="I87" s="124">
        <f>IF($E87=0,0,$E87*$H87)</f>
        <v/>
      </c>
      <c r="J87" s="124">
        <f>IF($I87=0,0,$I87-$E87)</f>
        <v/>
      </c>
      <c r="K87" s="124">
        <f>IF($J87=0,0,$J87*YenidegerFonOran)</f>
        <v/>
      </c>
      <c r="L87" s="124">
        <f>IF($G87=0,0,$J87/$G87)</f>
        <v/>
      </c>
      <c r="M87" s="124">
        <f>IF($L87=0,0,$L87*YenidegerKurumlarVergiOran)</f>
        <v/>
      </c>
      <c r="N87" s="124">
        <f>IFERROR(IF(YenidegerIskontoOrani=0,$M87*$G87,$M87*(1-1/(1+YenidegerIskontoOrani)^$G87)/YenidegerIskontoOrani),0)</f>
        <v/>
      </c>
      <c r="O87" s="124">
        <f>$N87-$K87</f>
        <v/>
      </c>
      <c r="P87" s="124">
        <f>IF($J87&lt;=0,"DEĞERLENDİR",IF($O87&gt;0,"YENİDEN DEĞERLE","DEĞERLENDİR"))</f>
        <v/>
      </c>
      <c r="Q87" s="124">
        <f>IF($B87="","",CONCATENATE("Kıymet: ",$B87," | Değer Artışı: ",TEXT($J87,"#,##0")))</f>
        <v/>
      </c>
    </row>
    <row r="88" ht="15.75" customHeight="1" s="81">
      <c r="A88" s="129" t="n"/>
      <c r="B88" s="130" t="n"/>
      <c r="C88" s="127" t="n"/>
      <c r="D88" s="127" t="n"/>
      <c r="E88" s="124">
        <f>IF($C88=0,0,$C88-$D88)</f>
        <v/>
      </c>
      <c r="F88" s="128" t="n"/>
      <c r="G88" s="129" t="n"/>
      <c r="H88" s="131" t="n"/>
      <c r="I88" s="124">
        <f>IF($E88=0,0,$E88*$H88)</f>
        <v/>
      </c>
      <c r="J88" s="124">
        <f>IF($I88=0,0,$I88-$E88)</f>
        <v/>
      </c>
      <c r="K88" s="124">
        <f>IF($J88=0,0,$J88*YenidegerFonOran)</f>
        <v/>
      </c>
      <c r="L88" s="124">
        <f>IF($G88=0,0,$J88/$G88)</f>
        <v/>
      </c>
      <c r="M88" s="124">
        <f>IF($L88=0,0,$L88*YenidegerKurumlarVergiOran)</f>
        <v/>
      </c>
      <c r="N88" s="124">
        <f>IFERROR(IF(YenidegerIskontoOrani=0,$M88*$G88,$M88*(1-1/(1+YenidegerIskontoOrani)^$G88)/YenidegerIskontoOrani),0)</f>
        <v/>
      </c>
      <c r="O88" s="124">
        <f>$N88-$K88</f>
        <v/>
      </c>
      <c r="P88" s="124">
        <f>IF($J88&lt;=0,"DEĞERLENDİR",IF($O88&gt;0,"YENİDEN DEĞERLE","DEĞERLENDİR"))</f>
        <v/>
      </c>
      <c r="Q88" s="124">
        <f>IF($B88="","",CONCATENATE("Kıymet: ",$B88," | Değer Artışı: ",TEXT($J88,"#,##0")))</f>
        <v/>
      </c>
    </row>
    <row r="89" ht="15.75" customHeight="1" s="81">
      <c r="A89" s="129" t="n"/>
      <c r="B89" s="130" t="n"/>
      <c r="C89" s="127" t="n"/>
      <c r="D89" s="127" t="n"/>
      <c r="E89" s="124">
        <f>IF($C89=0,0,$C89-$D89)</f>
        <v/>
      </c>
      <c r="F89" s="128" t="n"/>
      <c r="G89" s="129" t="n"/>
      <c r="H89" s="131" t="n"/>
      <c r="I89" s="124">
        <f>IF($E89=0,0,$E89*$H89)</f>
        <v/>
      </c>
      <c r="J89" s="124">
        <f>IF($I89=0,0,$I89-$E89)</f>
        <v/>
      </c>
      <c r="K89" s="124">
        <f>IF($J89=0,0,$J89*YenidegerFonOran)</f>
        <v/>
      </c>
      <c r="L89" s="124">
        <f>IF($G89=0,0,$J89/$G89)</f>
        <v/>
      </c>
      <c r="M89" s="124">
        <f>IF($L89=0,0,$L89*YenidegerKurumlarVergiOran)</f>
        <v/>
      </c>
      <c r="N89" s="124">
        <f>IFERROR(IF(YenidegerIskontoOrani=0,$M89*$G89,$M89*(1-1/(1+YenidegerIskontoOrani)^$G89)/YenidegerIskontoOrani),0)</f>
        <v/>
      </c>
      <c r="O89" s="124">
        <f>$N89-$K89</f>
        <v/>
      </c>
      <c r="P89" s="124">
        <f>IF($J89&lt;=0,"DEĞERLENDİR",IF($O89&gt;0,"YENİDEN DEĞERLE","DEĞERLENDİR"))</f>
        <v/>
      </c>
      <c r="Q89" s="124">
        <f>IF($B89="","",CONCATENATE("Kıymet: ",$B89," | Değer Artışı: ",TEXT($J89,"#,##0")))</f>
        <v/>
      </c>
    </row>
    <row r="90" ht="15.75" customHeight="1" s="81">
      <c r="A90" s="129" t="n"/>
      <c r="B90" s="130" t="n"/>
      <c r="C90" s="127" t="n"/>
      <c r="D90" s="127" t="n"/>
      <c r="E90" s="124">
        <f>IF($C90=0,0,$C90-$D90)</f>
        <v/>
      </c>
      <c r="F90" s="128" t="n"/>
      <c r="G90" s="129" t="n"/>
      <c r="H90" s="131" t="n"/>
      <c r="I90" s="124">
        <f>IF($E90=0,0,$E90*$H90)</f>
        <v/>
      </c>
      <c r="J90" s="124">
        <f>IF($I90=0,0,$I90-$E90)</f>
        <v/>
      </c>
      <c r="K90" s="124">
        <f>IF($J90=0,0,$J90*YenidegerFonOran)</f>
        <v/>
      </c>
      <c r="L90" s="124">
        <f>IF($G90=0,0,$J90/$G90)</f>
        <v/>
      </c>
      <c r="M90" s="124">
        <f>IF($L90=0,0,$L90*YenidegerKurumlarVergiOran)</f>
        <v/>
      </c>
      <c r="N90" s="124">
        <f>IFERROR(IF(YenidegerIskontoOrani=0,$M90*$G90,$M90*(1-1/(1+YenidegerIskontoOrani)^$G90)/YenidegerIskontoOrani),0)</f>
        <v/>
      </c>
      <c r="O90" s="124">
        <f>$N90-$K90</f>
        <v/>
      </c>
      <c r="P90" s="124">
        <f>IF($J90&lt;=0,"DEĞERLENDİR",IF($O90&gt;0,"YENİDEN DEĞERLE","DEĞERLENDİR"))</f>
        <v/>
      </c>
      <c r="Q90" s="124">
        <f>IF($B90="","",CONCATENATE("Kıymet: ",$B90," | Değer Artışı: ",TEXT($J90,"#,##0")))</f>
        <v/>
      </c>
    </row>
    <row r="91" ht="15.75" customHeight="1" s="81">
      <c r="A91" s="129" t="n"/>
      <c r="B91" s="130" t="n"/>
      <c r="C91" s="127" t="n"/>
      <c r="D91" s="127" t="n"/>
      <c r="E91" s="124">
        <f>IF($C91=0,0,$C91-$D91)</f>
        <v/>
      </c>
      <c r="F91" s="128" t="n"/>
      <c r="G91" s="129" t="n"/>
      <c r="H91" s="131" t="n"/>
      <c r="I91" s="124">
        <f>IF($E91=0,0,$E91*$H91)</f>
        <v/>
      </c>
      <c r="J91" s="124">
        <f>IF($I91=0,0,$I91-$E91)</f>
        <v/>
      </c>
      <c r="K91" s="124">
        <f>IF($J91=0,0,$J91*YenidegerFonOran)</f>
        <v/>
      </c>
      <c r="L91" s="124">
        <f>IF($G91=0,0,$J91/$G91)</f>
        <v/>
      </c>
      <c r="M91" s="124">
        <f>IF($L91=0,0,$L91*YenidegerKurumlarVergiOran)</f>
        <v/>
      </c>
      <c r="N91" s="124">
        <f>IFERROR(IF(YenidegerIskontoOrani=0,$M91*$G91,$M91*(1-1/(1+YenidegerIskontoOrani)^$G91)/YenidegerIskontoOrani),0)</f>
        <v/>
      </c>
      <c r="O91" s="124">
        <f>$N91-$K91</f>
        <v/>
      </c>
      <c r="P91" s="124">
        <f>IF($J91&lt;=0,"DEĞERLENDİR",IF($O91&gt;0,"YENİDEN DEĞERLE","DEĞERLENDİR"))</f>
        <v/>
      </c>
      <c r="Q91" s="124">
        <f>IF($B91="","",CONCATENATE("Kıymet: ",$B91," | Değer Artışı: ",TEXT($J91,"#,##0")))</f>
        <v/>
      </c>
    </row>
    <row r="92" ht="15.75" customHeight="1" s="81">
      <c r="A92" s="129" t="n"/>
      <c r="B92" s="130" t="n"/>
      <c r="C92" s="127" t="n"/>
      <c r="D92" s="127" t="n"/>
      <c r="E92" s="124">
        <f>IF($C92=0,0,$C92-$D92)</f>
        <v/>
      </c>
      <c r="F92" s="128" t="n"/>
      <c r="G92" s="129" t="n"/>
      <c r="H92" s="131" t="n"/>
      <c r="I92" s="124">
        <f>IF($E92=0,0,$E92*$H92)</f>
        <v/>
      </c>
      <c r="J92" s="124">
        <f>IF($I92=0,0,$I92-$E92)</f>
        <v/>
      </c>
      <c r="K92" s="124">
        <f>IF($J92=0,0,$J92*YenidegerFonOran)</f>
        <v/>
      </c>
      <c r="L92" s="124">
        <f>IF($G92=0,0,$J92/$G92)</f>
        <v/>
      </c>
      <c r="M92" s="124">
        <f>IF($L92=0,0,$L92*YenidegerKurumlarVergiOran)</f>
        <v/>
      </c>
      <c r="N92" s="124">
        <f>IFERROR(IF(YenidegerIskontoOrani=0,$M92*$G92,$M92*(1-1/(1+YenidegerIskontoOrani)^$G92)/YenidegerIskontoOrani),0)</f>
        <v/>
      </c>
      <c r="O92" s="124">
        <f>$N92-$K92</f>
        <v/>
      </c>
      <c r="P92" s="124">
        <f>IF($J92&lt;=0,"DEĞERLENDİR",IF($O92&gt;0,"YENİDEN DEĞERLE","DEĞERLENDİR"))</f>
        <v/>
      </c>
      <c r="Q92" s="124">
        <f>IF($B92="","",CONCATENATE("Kıymet: ",$B92," | Değer Artışı: ",TEXT($J92,"#,##0")))</f>
        <v/>
      </c>
    </row>
    <row r="93" ht="15.75" customHeight="1" s="81">
      <c r="A93" s="129" t="n"/>
      <c r="B93" s="130" t="n"/>
      <c r="C93" s="127" t="n"/>
      <c r="D93" s="127" t="n"/>
      <c r="E93" s="124">
        <f>IF($C93=0,0,$C93-$D93)</f>
        <v/>
      </c>
      <c r="F93" s="128" t="n"/>
      <c r="G93" s="129" t="n"/>
      <c r="H93" s="131" t="n"/>
      <c r="I93" s="124">
        <f>IF($E93=0,0,$E93*$H93)</f>
        <v/>
      </c>
      <c r="J93" s="124">
        <f>IF($I93=0,0,$I93-$E93)</f>
        <v/>
      </c>
      <c r="K93" s="124">
        <f>IF($J93=0,0,$J93*YenidegerFonOran)</f>
        <v/>
      </c>
      <c r="L93" s="124">
        <f>IF($G93=0,0,$J93/$G93)</f>
        <v/>
      </c>
      <c r="M93" s="124">
        <f>IF($L93=0,0,$L93*YenidegerKurumlarVergiOran)</f>
        <v/>
      </c>
      <c r="N93" s="124">
        <f>IFERROR(IF(YenidegerIskontoOrani=0,$M93*$G93,$M93*(1-1/(1+YenidegerIskontoOrani)^$G93)/YenidegerIskontoOrani),0)</f>
        <v/>
      </c>
      <c r="O93" s="124">
        <f>$N93-$K93</f>
        <v/>
      </c>
      <c r="P93" s="124">
        <f>IF($J93&lt;=0,"DEĞERLENDİR",IF($O93&gt;0,"YENİDEN DEĞERLE","DEĞERLENDİR"))</f>
        <v/>
      </c>
      <c r="Q93" s="124">
        <f>IF($B93="","",CONCATENATE("Kıymet: ",$B93," | Değer Artışı: ",TEXT($J93,"#,##0")))</f>
        <v/>
      </c>
    </row>
    <row r="94" ht="15.75" customHeight="1" s="81">
      <c r="A94" s="129" t="n"/>
      <c r="B94" s="130" t="n"/>
      <c r="C94" s="127" t="n"/>
      <c r="D94" s="127" t="n"/>
      <c r="E94" s="124">
        <f>IF($C94=0,0,$C94-$D94)</f>
        <v/>
      </c>
      <c r="F94" s="128" t="n"/>
      <c r="G94" s="129" t="n"/>
      <c r="H94" s="131" t="n"/>
      <c r="I94" s="124">
        <f>IF($E94=0,0,$E94*$H94)</f>
        <v/>
      </c>
      <c r="J94" s="124">
        <f>IF($I94=0,0,$I94-$E94)</f>
        <v/>
      </c>
      <c r="K94" s="124">
        <f>IF($J94=0,0,$J94*YenidegerFonOran)</f>
        <v/>
      </c>
      <c r="L94" s="124">
        <f>IF($G94=0,0,$J94/$G94)</f>
        <v/>
      </c>
      <c r="M94" s="124">
        <f>IF($L94=0,0,$L94*YenidegerKurumlarVergiOran)</f>
        <v/>
      </c>
      <c r="N94" s="124">
        <f>IFERROR(IF(YenidegerIskontoOrani=0,$M94*$G94,$M94*(1-1/(1+YenidegerIskontoOrani)^$G94)/YenidegerIskontoOrani),0)</f>
        <v/>
      </c>
      <c r="O94" s="124">
        <f>$N94-$K94</f>
        <v/>
      </c>
      <c r="P94" s="124">
        <f>IF($J94&lt;=0,"DEĞERLENDİR",IF($O94&gt;0,"YENİDEN DEĞERLE","DEĞERLENDİR"))</f>
        <v/>
      </c>
      <c r="Q94" s="124">
        <f>IF($B94="","",CONCATENATE("Kıymet: ",$B94," | Değer Artışı: ",TEXT($J94,"#,##0")))</f>
        <v/>
      </c>
    </row>
    <row r="95" ht="15.75" customHeight="1" s="81">
      <c r="A95" s="129" t="n"/>
      <c r="B95" s="130" t="n"/>
      <c r="C95" s="127" t="n"/>
      <c r="D95" s="127" t="n"/>
      <c r="E95" s="124">
        <f>IF($C95=0,0,$C95-$D95)</f>
        <v/>
      </c>
      <c r="F95" s="128" t="n"/>
      <c r="G95" s="129" t="n"/>
      <c r="H95" s="131" t="n"/>
      <c r="I95" s="124">
        <f>IF($E95=0,0,$E95*$H95)</f>
        <v/>
      </c>
      <c r="J95" s="124">
        <f>IF($I95=0,0,$I95-$E95)</f>
        <v/>
      </c>
      <c r="K95" s="124">
        <f>IF($J95=0,0,$J95*YenidegerFonOran)</f>
        <v/>
      </c>
      <c r="L95" s="124">
        <f>IF($G95=0,0,$J95/$G95)</f>
        <v/>
      </c>
      <c r="M95" s="124">
        <f>IF($L95=0,0,$L95*YenidegerKurumlarVergiOran)</f>
        <v/>
      </c>
      <c r="N95" s="124">
        <f>IFERROR(IF(YenidegerIskontoOrani=0,$M95*$G95,$M95*(1-1/(1+YenidegerIskontoOrani)^$G95)/YenidegerIskontoOrani),0)</f>
        <v/>
      </c>
      <c r="O95" s="124">
        <f>$N95-$K95</f>
        <v/>
      </c>
      <c r="P95" s="124">
        <f>IF($J95&lt;=0,"DEĞERLENDİR",IF($O95&gt;0,"YENİDEN DEĞERLE","DEĞERLENDİR"))</f>
        <v/>
      </c>
      <c r="Q95" s="124">
        <f>IF($B95="","",CONCATENATE("Kıymet: ",$B95," | Değer Artışı: ",TEXT($J95,"#,##0")))</f>
        <v/>
      </c>
    </row>
    <row r="96" ht="15.75" customHeight="1" s="81">
      <c r="A96" s="129" t="n"/>
      <c r="B96" s="130" t="n"/>
      <c r="C96" s="127" t="n"/>
      <c r="D96" s="127" t="n"/>
      <c r="E96" s="124">
        <f>IF($C96=0,0,$C96-$D96)</f>
        <v/>
      </c>
      <c r="F96" s="128" t="n"/>
      <c r="G96" s="129" t="n"/>
      <c r="H96" s="131" t="n"/>
      <c r="I96" s="124">
        <f>IF($E96=0,0,$E96*$H96)</f>
        <v/>
      </c>
      <c r="J96" s="124">
        <f>IF($I96=0,0,$I96-$E96)</f>
        <v/>
      </c>
      <c r="K96" s="124">
        <f>IF($J96=0,0,$J96*YenidegerFonOran)</f>
        <v/>
      </c>
      <c r="L96" s="124">
        <f>IF($G96=0,0,$J96/$G96)</f>
        <v/>
      </c>
      <c r="M96" s="124">
        <f>IF($L96=0,0,$L96*YenidegerKurumlarVergiOran)</f>
        <v/>
      </c>
      <c r="N96" s="124">
        <f>IFERROR(IF(YenidegerIskontoOrani=0,$M96*$G96,$M96*(1-1/(1+YenidegerIskontoOrani)^$G96)/YenidegerIskontoOrani),0)</f>
        <v/>
      </c>
      <c r="O96" s="124">
        <f>$N96-$K96</f>
        <v/>
      </c>
      <c r="P96" s="124">
        <f>IF($J96&lt;=0,"DEĞERLENDİR",IF($O96&gt;0,"YENİDEN DEĞERLE","DEĞERLENDİR"))</f>
        <v/>
      </c>
      <c r="Q96" s="124">
        <f>IF($B96="","",CONCATENATE("Kıymet: ",$B96," | Değer Artışı: ",TEXT($J96,"#,##0")))</f>
        <v/>
      </c>
    </row>
    <row r="97" ht="15.75" customHeight="1" s="81">
      <c r="A97" s="129" t="n"/>
      <c r="B97" s="130" t="n"/>
      <c r="C97" s="127" t="n"/>
      <c r="D97" s="127" t="n"/>
      <c r="E97" s="124">
        <f>IF($C97=0,0,$C97-$D97)</f>
        <v/>
      </c>
      <c r="F97" s="128" t="n"/>
      <c r="G97" s="129" t="n"/>
      <c r="H97" s="131" t="n"/>
      <c r="I97" s="124">
        <f>IF($E97=0,0,$E97*$H97)</f>
        <v/>
      </c>
      <c r="J97" s="124">
        <f>IF($I97=0,0,$I97-$E97)</f>
        <v/>
      </c>
      <c r="K97" s="124">
        <f>IF($J97=0,0,$J97*YenidegerFonOran)</f>
        <v/>
      </c>
      <c r="L97" s="124">
        <f>IF($G97=0,0,$J97/$G97)</f>
        <v/>
      </c>
      <c r="M97" s="124">
        <f>IF($L97=0,0,$L97*YenidegerKurumlarVergiOran)</f>
        <v/>
      </c>
      <c r="N97" s="124">
        <f>IFERROR(IF(YenidegerIskontoOrani=0,$M97*$G97,$M97*(1-1/(1+YenidegerIskontoOrani)^$G97)/YenidegerIskontoOrani),0)</f>
        <v/>
      </c>
      <c r="O97" s="124">
        <f>$N97-$K97</f>
        <v/>
      </c>
      <c r="P97" s="124">
        <f>IF($J97&lt;=0,"DEĞERLENDİR",IF($O97&gt;0,"YENİDEN DEĞERLE","DEĞERLENDİR"))</f>
        <v/>
      </c>
      <c r="Q97" s="124">
        <f>IF($B97="","",CONCATENATE("Kıymet: ",$B97," | Değer Artışı: ",TEXT($J97,"#,##0")))</f>
        <v/>
      </c>
    </row>
    <row r="98" ht="15.75" customHeight="1" s="81">
      <c r="A98" s="129" t="n"/>
      <c r="B98" s="130" t="n"/>
      <c r="C98" s="127" t="n"/>
      <c r="D98" s="127" t="n"/>
      <c r="E98" s="124">
        <f>IF($C98=0,0,$C98-$D98)</f>
        <v/>
      </c>
      <c r="F98" s="128" t="n"/>
      <c r="G98" s="129" t="n"/>
      <c r="H98" s="131" t="n"/>
      <c r="I98" s="124">
        <f>IF($E98=0,0,$E98*$H98)</f>
        <v/>
      </c>
      <c r="J98" s="124">
        <f>IF($I98=0,0,$I98-$E98)</f>
        <v/>
      </c>
      <c r="K98" s="124">
        <f>IF($J98=0,0,$J98*YenidegerFonOran)</f>
        <v/>
      </c>
      <c r="L98" s="124">
        <f>IF($G98=0,0,$J98/$G98)</f>
        <v/>
      </c>
      <c r="M98" s="124">
        <f>IF($L98=0,0,$L98*YenidegerKurumlarVergiOran)</f>
        <v/>
      </c>
      <c r="N98" s="124">
        <f>IFERROR(IF(YenidegerIskontoOrani=0,$M98*$G98,$M98*(1-1/(1+YenidegerIskontoOrani)^$G98)/YenidegerIskontoOrani),0)</f>
        <v/>
      </c>
      <c r="O98" s="124">
        <f>$N98-$K98</f>
        <v/>
      </c>
      <c r="P98" s="124">
        <f>IF($J98&lt;=0,"DEĞERLENDİR",IF($O98&gt;0,"YENİDEN DEĞERLE","DEĞERLENDİR"))</f>
        <v/>
      </c>
      <c r="Q98" s="124">
        <f>IF($B98="","",CONCATENATE("Kıymet: ",$B98," | Değer Artışı: ",TEXT($J98,"#,##0")))</f>
        <v/>
      </c>
    </row>
    <row r="99" ht="15.75" customHeight="1" s="81">
      <c r="A99" s="129" t="n"/>
      <c r="B99" s="130" t="n"/>
      <c r="C99" s="127" t="n"/>
      <c r="D99" s="127" t="n"/>
      <c r="E99" s="124">
        <f>IF($C99=0,0,$C99-$D99)</f>
        <v/>
      </c>
      <c r="F99" s="128" t="n"/>
      <c r="G99" s="129" t="n"/>
      <c r="H99" s="131" t="n"/>
      <c r="I99" s="124">
        <f>IF($E99=0,0,$E99*$H99)</f>
        <v/>
      </c>
      <c r="J99" s="124">
        <f>IF($I99=0,0,$I99-$E99)</f>
        <v/>
      </c>
      <c r="K99" s="124">
        <f>IF($J99=0,0,$J99*YenidegerFonOran)</f>
        <v/>
      </c>
      <c r="L99" s="124">
        <f>IF($G99=0,0,$J99/$G99)</f>
        <v/>
      </c>
      <c r="M99" s="124">
        <f>IF($L99=0,0,$L99*YenidegerKurumlarVergiOran)</f>
        <v/>
      </c>
      <c r="N99" s="124">
        <f>IFERROR(IF(YenidegerIskontoOrani=0,$M99*$G99,$M99*(1-1/(1+YenidegerIskontoOrani)^$G99)/YenidegerIskontoOrani),0)</f>
        <v/>
      </c>
      <c r="O99" s="124">
        <f>$N99-$K99</f>
        <v/>
      </c>
      <c r="P99" s="124">
        <f>IF($J99&lt;=0,"DEĞERLENDİR",IF($O99&gt;0,"YENİDEN DEĞERLE","DEĞERLENDİR"))</f>
        <v/>
      </c>
      <c r="Q99" s="124">
        <f>IF($B99="","",CONCATENATE("Kıymet: ",$B99," | Değer Artışı: ",TEXT($J99,"#,##0")))</f>
        <v/>
      </c>
    </row>
    <row r="100" ht="15.75" customHeight="1" s="81">
      <c r="A100" s="129" t="n"/>
      <c r="B100" s="130" t="n"/>
      <c r="C100" s="127" t="n"/>
      <c r="D100" s="127" t="n"/>
      <c r="E100" s="124">
        <f>IF($C100=0,0,$C100-$D100)</f>
        <v/>
      </c>
      <c r="F100" s="128" t="n"/>
      <c r="G100" s="129" t="n"/>
      <c r="H100" s="131" t="n"/>
      <c r="I100" s="124">
        <f>IF($E100=0,0,$E100*$H100)</f>
        <v/>
      </c>
      <c r="J100" s="124">
        <f>IF($I100=0,0,$I100-$E100)</f>
        <v/>
      </c>
      <c r="K100" s="124">
        <f>IF($J100=0,0,$J100*YenidegerFonOran)</f>
        <v/>
      </c>
      <c r="L100" s="124">
        <f>IF($G100=0,0,$J100/$G100)</f>
        <v/>
      </c>
      <c r="M100" s="124">
        <f>IF($L100=0,0,$L100*YenidegerKurumlarVergiOran)</f>
        <v/>
      </c>
      <c r="N100" s="124">
        <f>IFERROR(IF(YenidegerIskontoOrani=0,$M100*$G100,$M100*(1-1/(1+YenidegerIskontoOrani)^$G100)/YenidegerIskontoOrani),0)</f>
        <v/>
      </c>
      <c r="O100" s="124">
        <f>$N100-$K100</f>
        <v/>
      </c>
      <c r="P100" s="124">
        <f>IF($J100&lt;=0,"DEĞERLENDİR",IF($O100&gt;0,"YENİDEN DEĞERLE","DEĞERLENDİR"))</f>
        <v/>
      </c>
      <c r="Q100" s="124">
        <f>IF($B100="","",CONCATENATE("Kıymet: ",$B100," | Değer Artışı: ",TEXT($J100,"#,##0")))</f>
        <v/>
      </c>
    </row>
    <row r="101" ht="15.75" customHeight="1" s="81">
      <c r="A101" s="129" t="n"/>
      <c r="B101" s="130" t="n"/>
      <c r="C101" s="127" t="n"/>
      <c r="D101" s="127" t="n"/>
      <c r="E101" s="124">
        <f>IF($C101=0,0,$C101-$D101)</f>
        <v/>
      </c>
      <c r="F101" s="128" t="n"/>
      <c r="G101" s="129" t="n"/>
      <c r="H101" s="131" t="n"/>
      <c r="I101" s="124">
        <f>IF($E101=0,0,$E101*$H101)</f>
        <v/>
      </c>
      <c r="J101" s="124">
        <f>IF($I101=0,0,$I101-$E101)</f>
        <v/>
      </c>
      <c r="K101" s="124">
        <f>IF($J101=0,0,$J101*YenidegerFonOran)</f>
        <v/>
      </c>
      <c r="L101" s="124">
        <f>IF($G101=0,0,$J101/$G101)</f>
        <v/>
      </c>
      <c r="M101" s="124">
        <f>IF($L101=0,0,$L101*YenidegerKurumlarVergiOran)</f>
        <v/>
      </c>
      <c r="N101" s="124">
        <f>IFERROR(IF(YenidegerIskontoOrani=0,$M101*$G101,$M101*(1-1/(1+YenidegerIskontoOrani)^$G101)/YenidegerIskontoOrani),0)</f>
        <v/>
      </c>
      <c r="O101" s="124">
        <f>$N101-$K101</f>
        <v/>
      </c>
      <c r="P101" s="124">
        <f>IF($J101&lt;=0,"DEĞERLENDİR",IF($O101&gt;0,"YENİDEN DEĞERLE","DEĞERLENDİR"))</f>
        <v/>
      </c>
      <c r="Q101" s="124">
        <f>IF($B101="","",CONCATENATE("Kıymet: ",$B101," | Değer Artışı: ",TEXT($J101,"#,##0")))</f>
        <v/>
      </c>
    </row>
    <row r="102" ht="15.75" customHeight="1" s="81">
      <c r="A102" s="129" t="n"/>
      <c r="B102" s="130" t="n"/>
      <c r="C102" s="127" t="n"/>
      <c r="D102" s="127" t="n"/>
      <c r="E102" s="124">
        <f>IF($C102=0,0,$C102-$D102)</f>
        <v/>
      </c>
      <c r="F102" s="128" t="n"/>
      <c r="G102" s="129" t="n"/>
      <c r="H102" s="131" t="n"/>
      <c r="I102" s="124">
        <f>IF($E102=0,0,$E102*$H102)</f>
        <v/>
      </c>
      <c r="J102" s="124">
        <f>IF($I102=0,0,$I102-$E102)</f>
        <v/>
      </c>
      <c r="K102" s="124">
        <f>IF($J102=0,0,$J102*YenidegerFonOran)</f>
        <v/>
      </c>
      <c r="L102" s="124">
        <f>IF($G102=0,0,$J102/$G102)</f>
        <v/>
      </c>
      <c r="M102" s="124">
        <f>IF($L102=0,0,$L102*YenidegerKurumlarVergiOran)</f>
        <v/>
      </c>
      <c r="N102" s="124">
        <f>IFERROR(IF(YenidegerIskontoOrani=0,$M102*$G102,$M102*(1-1/(1+YenidegerIskontoOrani)^$G102)/YenidegerIskontoOrani),0)</f>
        <v/>
      </c>
      <c r="O102" s="124">
        <f>$N102-$K102</f>
        <v/>
      </c>
      <c r="P102" s="124">
        <f>IF($J102&lt;=0,"DEĞERLENDİR",IF($O102&gt;0,"YENİDEN DEĞERLE","DEĞERLENDİR"))</f>
        <v/>
      </c>
      <c r="Q102" s="124">
        <f>IF($B102="","",CONCATENATE("Kıymet: ",$B102," | Değer Artışı: ",TEXT($J102,"#,##0")))</f>
        <v/>
      </c>
    </row>
    <row r="103" ht="15.75" customHeight="1" s="81">
      <c r="A103" s="129" t="n"/>
      <c r="B103" s="130" t="n"/>
      <c r="C103" s="127" t="n"/>
      <c r="D103" s="127" t="n"/>
      <c r="E103" s="124">
        <f>IF($C103=0,0,$C103-$D103)</f>
        <v/>
      </c>
      <c r="F103" s="128" t="n"/>
      <c r="G103" s="129" t="n"/>
      <c r="H103" s="131" t="n"/>
      <c r="I103" s="124">
        <f>IF($E103=0,0,$E103*$H103)</f>
        <v/>
      </c>
      <c r="J103" s="124">
        <f>IF($I103=0,0,$I103-$E103)</f>
        <v/>
      </c>
      <c r="K103" s="124">
        <f>IF($J103=0,0,$J103*YenidegerFonOran)</f>
        <v/>
      </c>
      <c r="L103" s="124">
        <f>IF($G103=0,0,$J103/$G103)</f>
        <v/>
      </c>
      <c r="M103" s="124">
        <f>IF($L103=0,0,$L103*YenidegerKurumlarVergiOran)</f>
        <v/>
      </c>
      <c r="N103" s="124">
        <f>IFERROR(IF(YenidegerIskontoOrani=0,$M103*$G103,$M103*(1-1/(1+YenidegerIskontoOrani)^$G103)/YenidegerIskontoOrani),0)</f>
        <v/>
      </c>
      <c r="O103" s="124">
        <f>$N103-$K103</f>
        <v/>
      </c>
      <c r="P103" s="124">
        <f>IF($J103&lt;=0,"DEĞERLENDİR",IF($O103&gt;0,"YENİDEN DEĞERLE","DEĞERLENDİR"))</f>
        <v/>
      </c>
      <c r="Q103" s="124">
        <f>IF($B103="","",CONCATENATE("Kıymet: ",$B103," | Değer Artışı: ",TEXT($J103,"#,##0")))</f>
        <v/>
      </c>
    </row>
    <row r="104" ht="15.75" customHeight="1" s="81">
      <c r="A104" s="129" t="n"/>
      <c r="B104" s="130" t="n"/>
      <c r="C104" s="127" t="n"/>
      <c r="D104" s="127" t="n"/>
      <c r="E104" s="124">
        <f>IF($C104=0,0,$C104-$D104)</f>
        <v/>
      </c>
      <c r="F104" s="128" t="n"/>
      <c r="G104" s="129" t="n"/>
      <c r="H104" s="131" t="n"/>
      <c r="I104" s="124">
        <f>IF($E104=0,0,$E104*$H104)</f>
        <v/>
      </c>
      <c r="J104" s="124">
        <f>IF($I104=0,0,$I104-$E104)</f>
        <v/>
      </c>
      <c r="K104" s="124">
        <f>IF($J104=0,0,$J104*YenidegerFonOran)</f>
        <v/>
      </c>
      <c r="L104" s="124">
        <f>IF($G104=0,0,$J104/$G104)</f>
        <v/>
      </c>
      <c r="M104" s="124">
        <f>IF($L104=0,0,$L104*YenidegerKurumlarVergiOran)</f>
        <v/>
      </c>
      <c r="N104" s="124">
        <f>IFERROR(IF(YenidegerIskontoOrani=0,$M104*$G104,$M104*(1-1/(1+YenidegerIskontoOrani)^$G104)/YenidegerIskontoOrani),0)</f>
        <v/>
      </c>
      <c r="O104" s="124">
        <f>$N104-$K104</f>
        <v/>
      </c>
      <c r="P104" s="124">
        <f>IF($J104&lt;=0,"DEĞERLENDİR",IF($O104&gt;0,"YENİDEN DEĞERLE","DEĞERLENDİR"))</f>
        <v/>
      </c>
      <c r="Q104" s="124">
        <f>IF($B104="","",CONCATENATE("Kıymet: ",$B104," | Değer Artışı: ",TEXT($J104,"#,##0")))</f>
        <v/>
      </c>
    </row>
    <row r="105" ht="15.75" customHeight="1" s="81">
      <c r="A105" s="129" t="n"/>
      <c r="B105" s="130" t="n"/>
      <c r="C105" s="127" t="n"/>
      <c r="D105" s="127" t="n"/>
      <c r="E105" s="124">
        <f>IF($C105=0,0,$C105-$D105)</f>
        <v/>
      </c>
      <c r="F105" s="128" t="n"/>
      <c r="G105" s="129" t="n"/>
      <c r="H105" s="131" t="n"/>
      <c r="I105" s="124">
        <f>IF($E105=0,0,$E105*$H105)</f>
        <v/>
      </c>
      <c r="J105" s="124">
        <f>IF($I105=0,0,$I105-$E105)</f>
        <v/>
      </c>
      <c r="K105" s="124">
        <f>IF($J105=0,0,$J105*YenidegerFonOran)</f>
        <v/>
      </c>
      <c r="L105" s="124">
        <f>IF($G105=0,0,$J105/$G105)</f>
        <v/>
      </c>
      <c r="M105" s="124">
        <f>IF($L105=0,0,$L105*YenidegerKurumlarVergiOran)</f>
        <v/>
      </c>
      <c r="N105" s="124">
        <f>IFERROR(IF(YenidegerIskontoOrani=0,$M105*$G105,$M105*(1-1/(1+YenidegerIskontoOrani)^$G105)/YenidegerIskontoOrani),0)</f>
        <v/>
      </c>
      <c r="O105" s="124">
        <f>$N105-$K105</f>
        <v/>
      </c>
      <c r="P105" s="124">
        <f>IF($J105&lt;=0,"DEĞERLENDİR",IF($O105&gt;0,"YENİDEN DEĞERLE","DEĞERLENDİR"))</f>
        <v/>
      </c>
      <c r="Q105" s="124">
        <f>IF($B105="","",CONCATENATE("Kıymet: ",$B105," | Değer Artışı: ",TEXT($J105,"#,##0")))</f>
        <v/>
      </c>
    </row>
    <row r="106" ht="15.75" customHeight="1" s="81">
      <c r="A106" s="129" t="n"/>
      <c r="B106" s="130" t="n"/>
      <c r="C106" s="127" t="n"/>
      <c r="D106" s="127" t="n"/>
      <c r="E106" s="124">
        <f>IF($C106=0,0,$C106-$D106)</f>
        <v/>
      </c>
      <c r="F106" s="128" t="n"/>
      <c r="G106" s="129" t="n"/>
      <c r="H106" s="131" t="n"/>
      <c r="I106" s="124">
        <f>IF($E106=0,0,$E106*$H106)</f>
        <v/>
      </c>
      <c r="J106" s="124">
        <f>IF($I106=0,0,$I106-$E106)</f>
        <v/>
      </c>
      <c r="K106" s="124">
        <f>IF($J106=0,0,$J106*YenidegerFonOran)</f>
        <v/>
      </c>
      <c r="L106" s="124">
        <f>IF($G106=0,0,$J106/$G106)</f>
        <v/>
      </c>
      <c r="M106" s="124">
        <f>IF($L106=0,0,$L106*YenidegerKurumlarVergiOran)</f>
        <v/>
      </c>
      <c r="N106" s="124">
        <f>IFERROR(IF(YenidegerIskontoOrani=0,$M106*$G106,$M106*(1-1/(1+YenidegerIskontoOrani)^$G106)/YenidegerIskontoOrani),0)</f>
        <v/>
      </c>
      <c r="O106" s="124">
        <f>$N106-$K106</f>
        <v/>
      </c>
      <c r="P106" s="124">
        <f>IF($J106&lt;=0,"DEĞERLENDİR",IF($O106&gt;0,"YENİDEN DEĞERLE","DEĞERLENDİR"))</f>
        <v/>
      </c>
      <c r="Q106" s="124">
        <f>IF($B106="","",CONCATENATE("Kıymet: ",$B106," | Değer Artışı: ",TEXT($J106,"#,##0")))</f>
        <v/>
      </c>
    </row>
    <row r="107" ht="15.75" customHeight="1" s="81">
      <c r="A107" s="129" t="n"/>
      <c r="B107" s="130" t="n"/>
      <c r="C107" s="127" t="n"/>
      <c r="D107" s="127" t="n"/>
      <c r="E107" s="124">
        <f>IF($C107=0,0,$C107-$D107)</f>
        <v/>
      </c>
      <c r="F107" s="128" t="n"/>
      <c r="G107" s="129" t="n"/>
      <c r="H107" s="131" t="n"/>
      <c r="I107" s="124">
        <f>IF($E107=0,0,$E107*$H107)</f>
        <v/>
      </c>
      <c r="J107" s="124">
        <f>IF($I107=0,0,$I107-$E107)</f>
        <v/>
      </c>
      <c r="K107" s="124">
        <f>IF($J107=0,0,$J107*YenidegerFonOran)</f>
        <v/>
      </c>
      <c r="L107" s="124">
        <f>IF($G107=0,0,$J107/$G107)</f>
        <v/>
      </c>
      <c r="M107" s="124">
        <f>IF($L107=0,0,$L107*YenidegerKurumlarVergiOran)</f>
        <v/>
      </c>
      <c r="N107" s="124">
        <f>IFERROR(IF(YenidegerIskontoOrani=0,$M107*$G107,$M107*(1-1/(1+YenidegerIskontoOrani)^$G107)/YenidegerIskontoOrani),0)</f>
        <v/>
      </c>
      <c r="O107" s="124">
        <f>$N107-$K107</f>
        <v/>
      </c>
      <c r="P107" s="124">
        <f>IF($J107&lt;=0,"DEĞERLENDİR",IF($O107&gt;0,"YENİDEN DEĞERLE","DEĞERLENDİR"))</f>
        <v/>
      </c>
      <c r="Q107" s="124">
        <f>IF($B107="","",CONCATENATE("Kıymet: ",$B107," | Değer Artışı: ",TEXT($J107,"#,##0")))</f>
        <v/>
      </c>
    </row>
    <row r="108" ht="15.75" customHeight="1" s="81">
      <c r="A108" s="129" t="n"/>
      <c r="B108" s="130" t="n"/>
      <c r="C108" s="127" t="n"/>
      <c r="D108" s="127" t="n"/>
      <c r="E108" s="124">
        <f>IF($C108=0,0,$C108-$D108)</f>
        <v/>
      </c>
      <c r="F108" s="128" t="n"/>
      <c r="G108" s="129" t="n"/>
      <c r="H108" s="131" t="n"/>
      <c r="I108" s="124">
        <f>IF($E108=0,0,$E108*$H108)</f>
        <v/>
      </c>
      <c r="J108" s="124">
        <f>IF($I108=0,0,$I108-$E108)</f>
        <v/>
      </c>
      <c r="K108" s="124">
        <f>IF($J108=0,0,$J108*YenidegerFonOran)</f>
        <v/>
      </c>
      <c r="L108" s="124">
        <f>IF($G108=0,0,$J108/$G108)</f>
        <v/>
      </c>
      <c r="M108" s="124">
        <f>IF($L108=0,0,$L108*YenidegerKurumlarVergiOran)</f>
        <v/>
      </c>
      <c r="N108" s="124">
        <f>IFERROR(IF(YenidegerIskontoOrani=0,$M108*$G108,$M108*(1-1/(1+YenidegerIskontoOrani)^$G108)/YenidegerIskontoOrani),0)</f>
        <v/>
      </c>
      <c r="O108" s="124">
        <f>$N108-$K108</f>
        <v/>
      </c>
      <c r="P108" s="124">
        <f>IF($J108&lt;=0,"DEĞERLENDİR",IF($O108&gt;0,"YENİDEN DEĞERLE","DEĞERLENDİR"))</f>
        <v/>
      </c>
      <c r="Q108" s="124">
        <f>IF($B108="","",CONCATENATE("Kıymet: ",$B108," | Değer Artışı: ",TEXT($J108,"#,##0")))</f>
        <v/>
      </c>
    </row>
    <row r="109" ht="15.75" customHeight="1" s="81">
      <c r="A109" s="129" t="n"/>
      <c r="B109" s="130" t="n"/>
      <c r="C109" s="127" t="n"/>
      <c r="D109" s="127" t="n"/>
      <c r="E109" s="124">
        <f>IF($C109=0,0,$C109-$D109)</f>
        <v/>
      </c>
      <c r="F109" s="128" t="n"/>
      <c r="G109" s="129" t="n"/>
      <c r="H109" s="131" t="n"/>
      <c r="I109" s="124">
        <f>IF($E109=0,0,$E109*$H109)</f>
        <v/>
      </c>
      <c r="J109" s="124">
        <f>IF($I109=0,0,$I109-$E109)</f>
        <v/>
      </c>
      <c r="K109" s="124">
        <f>IF($J109=0,0,$J109*YenidegerFonOran)</f>
        <v/>
      </c>
      <c r="L109" s="124">
        <f>IF($G109=0,0,$J109/$G109)</f>
        <v/>
      </c>
      <c r="M109" s="124">
        <f>IF($L109=0,0,$L109*YenidegerKurumlarVergiOran)</f>
        <v/>
      </c>
      <c r="N109" s="124">
        <f>IFERROR(IF(YenidegerIskontoOrani=0,$M109*$G109,$M109*(1-1/(1+YenidegerIskontoOrani)^$G109)/YenidegerIskontoOrani),0)</f>
        <v/>
      </c>
      <c r="O109" s="124">
        <f>$N109-$K109</f>
        <v/>
      </c>
      <c r="P109" s="124">
        <f>IF($J109&lt;=0,"DEĞERLENDİR",IF($O109&gt;0,"YENİDEN DEĞERLE","DEĞERLENDİR"))</f>
        <v/>
      </c>
      <c r="Q109" s="124">
        <f>IF($B109="","",CONCATENATE("Kıymet: ",$B109," | Değer Artışı: ",TEXT($J109,"#,##0")))</f>
        <v/>
      </c>
    </row>
    <row r="110" ht="15.75" customHeight="1" s="81">
      <c r="A110" s="129" t="n"/>
      <c r="B110" s="130" t="n"/>
      <c r="C110" s="127" t="n"/>
      <c r="D110" s="127" t="n"/>
      <c r="E110" s="124">
        <f>IF($C110=0,0,$C110-$D110)</f>
        <v/>
      </c>
      <c r="F110" s="128" t="n"/>
      <c r="G110" s="129" t="n"/>
      <c r="H110" s="131" t="n"/>
      <c r="I110" s="124">
        <f>IF($E110=0,0,$E110*$H110)</f>
        <v/>
      </c>
      <c r="J110" s="124">
        <f>IF($I110=0,0,$I110-$E110)</f>
        <v/>
      </c>
      <c r="K110" s="124">
        <f>IF($J110=0,0,$J110*YenidegerFonOran)</f>
        <v/>
      </c>
      <c r="L110" s="124">
        <f>IF($G110=0,0,$J110/$G110)</f>
        <v/>
      </c>
      <c r="M110" s="124">
        <f>IF($L110=0,0,$L110*YenidegerKurumlarVergiOran)</f>
        <v/>
      </c>
      <c r="N110" s="124">
        <f>IFERROR(IF(YenidegerIskontoOrani=0,$M110*$G110,$M110*(1-1/(1+YenidegerIskontoOrani)^$G110)/YenidegerIskontoOrani),0)</f>
        <v/>
      </c>
      <c r="O110" s="124">
        <f>$N110-$K110</f>
        <v/>
      </c>
      <c r="P110" s="124">
        <f>IF($J110&lt;=0,"DEĞERLENDİR",IF($O110&gt;0,"YENİDEN DEĞERLE","DEĞERLENDİR"))</f>
        <v/>
      </c>
      <c r="Q110" s="124">
        <f>IF($B110="","",CONCATENATE("Kıymet: ",$B110," | Değer Artışı: ",TEXT($J110,"#,##0")))</f>
        <v/>
      </c>
    </row>
    <row r="111" ht="15.75" customHeight="1" s="81">
      <c r="A111" s="129" t="n"/>
      <c r="B111" s="130" t="n"/>
      <c r="C111" s="127" t="n"/>
      <c r="D111" s="127" t="n"/>
      <c r="E111" s="124">
        <f>IF($C111=0,0,$C111-$D111)</f>
        <v/>
      </c>
      <c r="F111" s="128" t="n"/>
      <c r="G111" s="129" t="n"/>
      <c r="H111" s="131" t="n"/>
      <c r="I111" s="124">
        <f>IF($E111=0,0,$E111*$H111)</f>
        <v/>
      </c>
      <c r="J111" s="124">
        <f>IF($I111=0,0,$I111-$E111)</f>
        <v/>
      </c>
      <c r="K111" s="124">
        <f>IF($J111=0,0,$J111*YenidegerFonOran)</f>
        <v/>
      </c>
      <c r="L111" s="124">
        <f>IF($G111=0,0,$J111/$G111)</f>
        <v/>
      </c>
      <c r="M111" s="124">
        <f>IF($L111=0,0,$L111*YenidegerKurumlarVergiOran)</f>
        <v/>
      </c>
      <c r="N111" s="124">
        <f>IFERROR(IF(YenidegerIskontoOrani=0,$M111*$G111,$M111*(1-1/(1+YenidegerIskontoOrani)^$G111)/YenidegerIskontoOrani),0)</f>
        <v/>
      </c>
      <c r="O111" s="124">
        <f>$N111-$K111</f>
        <v/>
      </c>
      <c r="P111" s="124">
        <f>IF($J111&lt;=0,"DEĞERLENDİR",IF($O111&gt;0,"YENİDEN DEĞERLE","DEĞERLENDİR"))</f>
        <v/>
      </c>
      <c r="Q111" s="124">
        <f>IF($B111="","",CONCATENATE("Kıymet: ",$B111," | Değer Artışı: ",TEXT($J111,"#,##0")))</f>
        <v/>
      </c>
    </row>
    <row r="112" ht="15.75" customHeight="1" s="81">
      <c r="A112" s="129" t="n"/>
      <c r="B112" s="130" t="n"/>
      <c r="C112" s="127" t="n"/>
      <c r="D112" s="127" t="n"/>
      <c r="E112" s="124">
        <f>IF($C112=0,0,$C112-$D112)</f>
        <v/>
      </c>
      <c r="F112" s="128" t="n"/>
      <c r="G112" s="129" t="n"/>
      <c r="H112" s="131" t="n"/>
      <c r="I112" s="124">
        <f>IF($E112=0,0,$E112*$H112)</f>
        <v/>
      </c>
      <c r="J112" s="124">
        <f>IF($I112=0,0,$I112-$E112)</f>
        <v/>
      </c>
      <c r="K112" s="124">
        <f>IF($J112=0,0,$J112*YenidegerFonOran)</f>
        <v/>
      </c>
      <c r="L112" s="124">
        <f>IF($G112=0,0,$J112/$G112)</f>
        <v/>
      </c>
      <c r="M112" s="124">
        <f>IF($L112=0,0,$L112*YenidegerKurumlarVergiOran)</f>
        <v/>
      </c>
      <c r="N112" s="124">
        <f>IFERROR(IF(YenidegerIskontoOrani=0,$M112*$G112,$M112*(1-1/(1+YenidegerIskontoOrani)^$G112)/YenidegerIskontoOrani),0)</f>
        <v/>
      </c>
      <c r="O112" s="124">
        <f>$N112-$K112</f>
        <v/>
      </c>
      <c r="P112" s="124">
        <f>IF($J112&lt;=0,"DEĞERLENDİR",IF($O112&gt;0,"YENİDEN DEĞERLE","DEĞERLENDİR"))</f>
        <v/>
      </c>
      <c r="Q112" s="124">
        <f>IF($B112="","",CONCATENATE("Kıymet: ",$B112," | Değer Artışı: ",TEXT($J112,"#,##0")))</f>
        <v/>
      </c>
    </row>
    <row r="113" ht="15.75" customHeight="1" s="81">
      <c r="A113" s="129" t="n"/>
      <c r="B113" s="130" t="n"/>
      <c r="C113" s="127" t="n"/>
      <c r="D113" s="127" t="n"/>
      <c r="E113" s="124">
        <f>IF($C113=0,0,$C113-$D113)</f>
        <v/>
      </c>
      <c r="F113" s="128" t="n"/>
      <c r="G113" s="129" t="n"/>
      <c r="H113" s="131" t="n"/>
      <c r="I113" s="124">
        <f>IF($E113=0,0,$E113*$H113)</f>
        <v/>
      </c>
      <c r="J113" s="124">
        <f>IF($I113=0,0,$I113-$E113)</f>
        <v/>
      </c>
      <c r="K113" s="124">
        <f>IF($J113=0,0,$J113*YenidegerFonOran)</f>
        <v/>
      </c>
      <c r="L113" s="124">
        <f>IF($G113=0,0,$J113/$G113)</f>
        <v/>
      </c>
      <c r="M113" s="124">
        <f>IF($L113=0,0,$L113*YenidegerKurumlarVergiOran)</f>
        <v/>
      </c>
      <c r="N113" s="124">
        <f>IFERROR(IF(YenidegerIskontoOrani=0,$M113*$G113,$M113*(1-1/(1+YenidegerIskontoOrani)^$G113)/YenidegerIskontoOrani),0)</f>
        <v/>
      </c>
      <c r="O113" s="124">
        <f>$N113-$K113</f>
        <v/>
      </c>
      <c r="P113" s="124">
        <f>IF($J113&lt;=0,"DEĞERLENDİR",IF($O113&gt;0,"YENİDEN DEĞERLE","DEĞERLENDİR"))</f>
        <v/>
      </c>
      <c r="Q113" s="124">
        <f>IF($B113="","",CONCATENATE("Kıymet: ",$B113," | Değer Artışı: ",TEXT($J113,"#,##0")))</f>
        <v/>
      </c>
    </row>
    <row r="114" ht="15.75" customHeight="1" s="81">
      <c r="A114" s="129" t="n"/>
      <c r="B114" s="130" t="n"/>
      <c r="C114" s="127" t="n"/>
      <c r="D114" s="127" t="n"/>
      <c r="E114" s="124">
        <f>IF($C114=0,0,$C114-$D114)</f>
        <v/>
      </c>
      <c r="F114" s="128" t="n"/>
      <c r="G114" s="129" t="n"/>
      <c r="H114" s="131" t="n"/>
      <c r="I114" s="124">
        <f>IF($E114=0,0,$E114*$H114)</f>
        <v/>
      </c>
      <c r="J114" s="124">
        <f>IF($I114=0,0,$I114-$E114)</f>
        <v/>
      </c>
      <c r="K114" s="124">
        <f>IF($J114=0,0,$J114*YenidegerFonOran)</f>
        <v/>
      </c>
      <c r="L114" s="124">
        <f>IF($G114=0,0,$J114/$G114)</f>
        <v/>
      </c>
      <c r="M114" s="124">
        <f>IF($L114=0,0,$L114*YenidegerKurumlarVergiOran)</f>
        <v/>
      </c>
      <c r="N114" s="124">
        <f>IFERROR(IF(YenidegerIskontoOrani=0,$M114*$G114,$M114*(1-1/(1+YenidegerIskontoOrani)^$G114)/YenidegerIskontoOrani),0)</f>
        <v/>
      </c>
      <c r="O114" s="124">
        <f>$N114-$K114</f>
        <v/>
      </c>
      <c r="P114" s="124">
        <f>IF($J114&lt;=0,"DEĞERLENDİR",IF($O114&gt;0,"YENİDEN DEĞERLE","DEĞERLENDİR"))</f>
        <v/>
      </c>
      <c r="Q114" s="124">
        <f>IF($B114="","",CONCATENATE("Kıymet: ",$B114," | Değer Artışı: ",TEXT($J114,"#,##0")))</f>
        <v/>
      </c>
    </row>
    <row r="115" ht="15.75" customHeight="1" s="81">
      <c r="A115" s="129" t="n"/>
      <c r="B115" s="130" t="n"/>
      <c r="C115" s="127" t="n"/>
      <c r="D115" s="127" t="n"/>
      <c r="E115" s="124">
        <f>IF($C115=0,0,$C115-$D115)</f>
        <v/>
      </c>
      <c r="F115" s="128" t="n"/>
      <c r="G115" s="129" t="n"/>
      <c r="H115" s="131" t="n"/>
      <c r="I115" s="124">
        <f>IF($E115=0,0,$E115*$H115)</f>
        <v/>
      </c>
      <c r="J115" s="124">
        <f>IF($I115=0,0,$I115-$E115)</f>
        <v/>
      </c>
      <c r="K115" s="124">
        <f>IF($J115=0,0,$J115*YenidegerFonOran)</f>
        <v/>
      </c>
      <c r="L115" s="124">
        <f>IF($G115=0,0,$J115/$G115)</f>
        <v/>
      </c>
      <c r="M115" s="124">
        <f>IF($L115=0,0,$L115*YenidegerKurumlarVergiOran)</f>
        <v/>
      </c>
      <c r="N115" s="124">
        <f>IFERROR(IF(YenidegerIskontoOrani=0,$M115*$G115,$M115*(1-1/(1+YenidegerIskontoOrani)^$G115)/YenidegerIskontoOrani),0)</f>
        <v/>
      </c>
      <c r="O115" s="124">
        <f>$N115-$K115</f>
        <v/>
      </c>
      <c r="P115" s="124">
        <f>IF($J115&lt;=0,"DEĞERLENDİR",IF($O115&gt;0,"YENİDEN DEĞERLE","DEĞERLENDİR"))</f>
        <v/>
      </c>
      <c r="Q115" s="124">
        <f>IF($B115="","",CONCATENATE("Kıymet: ",$B115," | Değer Artışı: ",TEXT($J115,"#,##0")))</f>
        <v/>
      </c>
    </row>
    <row r="116" ht="15.75" customHeight="1" s="81">
      <c r="A116" s="129" t="n"/>
      <c r="B116" s="130" t="n"/>
      <c r="C116" s="127" t="n"/>
      <c r="D116" s="127" t="n"/>
      <c r="E116" s="124">
        <f>IF($C116=0,0,$C116-$D116)</f>
        <v/>
      </c>
      <c r="F116" s="128" t="n"/>
      <c r="G116" s="129" t="n"/>
      <c r="H116" s="131" t="n"/>
      <c r="I116" s="124">
        <f>IF($E116=0,0,$E116*$H116)</f>
        <v/>
      </c>
      <c r="J116" s="124">
        <f>IF($I116=0,0,$I116-$E116)</f>
        <v/>
      </c>
      <c r="K116" s="124">
        <f>IF($J116=0,0,$J116*YenidegerFonOran)</f>
        <v/>
      </c>
      <c r="L116" s="124">
        <f>IF($G116=0,0,$J116/$G116)</f>
        <v/>
      </c>
      <c r="M116" s="124">
        <f>IF($L116=0,0,$L116*YenidegerKurumlarVergiOran)</f>
        <v/>
      </c>
      <c r="N116" s="124">
        <f>IFERROR(IF(YenidegerIskontoOrani=0,$M116*$G116,$M116*(1-1/(1+YenidegerIskontoOrani)^$G116)/YenidegerIskontoOrani),0)</f>
        <v/>
      </c>
      <c r="O116" s="124">
        <f>$N116-$K116</f>
        <v/>
      </c>
      <c r="P116" s="124">
        <f>IF($J116&lt;=0,"DEĞERLENDİR",IF($O116&gt;0,"YENİDEN DEĞERLE","DEĞERLENDİR"))</f>
        <v/>
      </c>
      <c r="Q116" s="124">
        <f>IF($B116="","",CONCATENATE("Kıymet: ",$B116," | Değer Artışı: ",TEXT($J116,"#,##0")))</f>
        <v/>
      </c>
    </row>
    <row r="117" ht="15.75" customHeight="1" s="81">
      <c r="A117" s="129" t="n"/>
      <c r="B117" s="130" t="n"/>
      <c r="C117" s="127" t="n"/>
      <c r="D117" s="127" t="n"/>
      <c r="E117" s="124">
        <f>IF($C117=0,0,$C117-$D117)</f>
        <v/>
      </c>
      <c r="F117" s="128" t="n"/>
      <c r="G117" s="129" t="n"/>
      <c r="H117" s="131" t="n"/>
      <c r="I117" s="124">
        <f>IF($E117=0,0,$E117*$H117)</f>
        <v/>
      </c>
      <c r="J117" s="124">
        <f>IF($I117=0,0,$I117-$E117)</f>
        <v/>
      </c>
      <c r="K117" s="124">
        <f>IF($J117=0,0,$J117*YenidegerFonOran)</f>
        <v/>
      </c>
      <c r="L117" s="124">
        <f>IF($G117=0,0,$J117/$G117)</f>
        <v/>
      </c>
      <c r="M117" s="124">
        <f>IF($L117=0,0,$L117*YenidegerKurumlarVergiOran)</f>
        <v/>
      </c>
      <c r="N117" s="124">
        <f>IFERROR(IF(YenidegerIskontoOrani=0,$M117*$G117,$M117*(1-1/(1+YenidegerIskontoOrani)^$G117)/YenidegerIskontoOrani),0)</f>
        <v/>
      </c>
      <c r="O117" s="124">
        <f>$N117-$K117</f>
        <v/>
      </c>
      <c r="P117" s="124">
        <f>IF($J117&lt;=0,"DEĞERLENDİR",IF($O117&gt;0,"YENİDEN DEĞERLE","DEĞERLENDİR"))</f>
        <v/>
      </c>
      <c r="Q117" s="124">
        <f>IF($B117="","",CONCATENATE("Kıymet: ",$B117," | Değer Artışı: ",TEXT($J117,"#,##0")))</f>
        <v/>
      </c>
    </row>
    <row r="118" ht="15.75" customHeight="1" s="81">
      <c r="A118" s="129" t="n"/>
      <c r="B118" s="130" t="n"/>
      <c r="C118" s="127" t="n"/>
      <c r="D118" s="127" t="n"/>
      <c r="E118" s="124">
        <f>IF($C118=0,0,$C118-$D118)</f>
        <v/>
      </c>
      <c r="F118" s="128" t="n"/>
      <c r="G118" s="129" t="n"/>
      <c r="H118" s="131" t="n"/>
      <c r="I118" s="124">
        <f>IF($E118=0,0,$E118*$H118)</f>
        <v/>
      </c>
      <c r="J118" s="124">
        <f>IF($I118=0,0,$I118-$E118)</f>
        <v/>
      </c>
      <c r="K118" s="124">
        <f>IF($J118=0,0,$J118*YenidegerFonOran)</f>
        <v/>
      </c>
      <c r="L118" s="124">
        <f>IF($G118=0,0,$J118/$G118)</f>
        <v/>
      </c>
      <c r="M118" s="124">
        <f>IF($L118=0,0,$L118*YenidegerKurumlarVergiOran)</f>
        <v/>
      </c>
      <c r="N118" s="124">
        <f>IFERROR(IF(YenidegerIskontoOrani=0,$M118*$G118,$M118*(1-1/(1+YenidegerIskontoOrani)^$G118)/YenidegerIskontoOrani),0)</f>
        <v/>
      </c>
      <c r="O118" s="124">
        <f>$N118-$K118</f>
        <v/>
      </c>
      <c r="P118" s="124">
        <f>IF($J118&lt;=0,"DEĞERLENDİR",IF($O118&gt;0,"YENİDEN DEĞERLE","DEĞERLENDİR"))</f>
        <v/>
      </c>
      <c r="Q118" s="124">
        <f>IF($B118="","",CONCATENATE("Kıymet: ",$B118," | Değer Artışı: ",TEXT($J118,"#,##0")))</f>
        <v/>
      </c>
    </row>
    <row r="119" ht="15.75" customHeight="1" s="81">
      <c r="A119" s="129" t="n"/>
      <c r="B119" s="130" t="n"/>
      <c r="C119" s="127" t="n"/>
      <c r="D119" s="127" t="n"/>
      <c r="E119" s="124">
        <f>IF($C119=0,0,$C119-$D119)</f>
        <v/>
      </c>
      <c r="F119" s="128" t="n"/>
      <c r="G119" s="129" t="n"/>
      <c r="H119" s="131" t="n"/>
      <c r="I119" s="124">
        <f>IF($E119=0,0,$E119*$H119)</f>
        <v/>
      </c>
      <c r="J119" s="124">
        <f>IF($I119=0,0,$I119-$E119)</f>
        <v/>
      </c>
      <c r="K119" s="124">
        <f>IF($J119=0,0,$J119*YenidegerFonOran)</f>
        <v/>
      </c>
      <c r="L119" s="124">
        <f>IF($G119=0,0,$J119/$G119)</f>
        <v/>
      </c>
      <c r="M119" s="124">
        <f>IF($L119=0,0,$L119*YenidegerKurumlarVergiOran)</f>
        <v/>
      </c>
      <c r="N119" s="124">
        <f>IFERROR(IF(YenidegerIskontoOrani=0,$M119*$G119,$M119*(1-1/(1+YenidegerIskontoOrani)^$G119)/YenidegerIskontoOrani),0)</f>
        <v/>
      </c>
      <c r="O119" s="124">
        <f>$N119-$K119</f>
        <v/>
      </c>
      <c r="P119" s="124">
        <f>IF($J119&lt;=0,"DEĞERLENDİR",IF($O119&gt;0,"YENİDEN DEĞERLE","DEĞERLENDİR"))</f>
        <v/>
      </c>
      <c r="Q119" s="124">
        <f>IF($B119="","",CONCATENATE("Kıymet: ",$B119," | Değer Artışı: ",TEXT($J119,"#,##0")))</f>
        <v/>
      </c>
    </row>
    <row r="120" ht="15.75" customHeight="1" s="81">
      <c r="A120" s="129" t="n"/>
      <c r="B120" s="130" t="n"/>
      <c r="C120" s="127" t="n"/>
      <c r="D120" s="127" t="n"/>
      <c r="E120" s="124">
        <f>IF($C120=0,0,$C120-$D120)</f>
        <v/>
      </c>
      <c r="F120" s="128" t="n"/>
      <c r="G120" s="129" t="n"/>
      <c r="H120" s="131" t="n"/>
      <c r="I120" s="124">
        <f>IF($E120=0,0,$E120*$H120)</f>
        <v/>
      </c>
      <c r="J120" s="124">
        <f>IF($I120=0,0,$I120-$E120)</f>
        <v/>
      </c>
      <c r="K120" s="124">
        <f>IF($J120=0,0,$J120*YenidegerFonOran)</f>
        <v/>
      </c>
      <c r="L120" s="124">
        <f>IF($G120=0,0,$J120/$G120)</f>
        <v/>
      </c>
      <c r="M120" s="124">
        <f>IF($L120=0,0,$L120*YenidegerKurumlarVergiOran)</f>
        <v/>
      </c>
      <c r="N120" s="124">
        <f>IFERROR(IF(YenidegerIskontoOrani=0,$M120*$G120,$M120*(1-1/(1+YenidegerIskontoOrani)^$G120)/YenidegerIskontoOrani),0)</f>
        <v/>
      </c>
      <c r="O120" s="124">
        <f>$N120-$K120</f>
        <v/>
      </c>
      <c r="P120" s="124">
        <f>IF($J120&lt;=0,"DEĞERLENDİR",IF($O120&gt;0,"YENİDEN DEĞERLE","DEĞERLENDİR"))</f>
        <v/>
      </c>
      <c r="Q120" s="124">
        <f>IF($B120="","",CONCATENATE("Kıymet: ",$B120," | Değer Artışı: ",TEXT($J120,"#,##0")))</f>
        <v/>
      </c>
    </row>
    <row r="121" ht="15.75" customHeight="1" s="81">
      <c r="A121" s="129" t="n"/>
      <c r="B121" s="130" t="n"/>
      <c r="C121" s="127" t="n"/>
      <c r="D121" s="127" t="n"/>
      <c r="E121" s="124">
        <f>IF($C121=0,0,$C121-$D121)</f>
        <v/>
      </c>
      <c r="F121" s="128" t="n"/>
      <c r="G121" s="129" t="n"/>
      <c r="H121" s="131" t="n"/>
      <c r="I121" s="124">
        <f>IF($E121=0,0,$E121*$H121)</f>
        <v/>
      </c>
      <c r="J121" s="124">
        <f>IF($I121=0,0,$I121-$E121)</f>
        <v/>
      </c>
      <c r="K121" s="124">
        <f>IF($J121=0,0,$J121*YenidegerFonOran)</f>
        <v/>
      </c>
      <c r="L121" s="124">
        <f>IF($G121=0,0,$J121/$G121)</f>
        <v/>
      </c>
      <c r="M121" s="124">
        <f>IF($L121=0,0,$L121*YenidegerKurumlarVergiOran)</f>
        <v/>
      </c>
      <c r="N121" s="124">
        <f>IFERROR(IF(YenidegerIskontoOrani=0,$M121*$G121,$M121*(1-1/(1+YenidegerIskontoOrani)^$G121)/YenidegerIskontoOrani),0)</f>
        <v/>
      </c>
      <c r="O121" s="124">
        <f>$N121-$K121</f>
        <v/>
      </c>
      <c r="P121" s="124">
        <f>IF($J121&lt;=0,"DEĞERLENDİR",IF($O121&gt;0,"YENİDEN DEĞERLE","DEĞERLENDİR"))</f>
        <v/>
      </c>
      <c r="Q121" s="124">
        <f>IF($B121="","",CONCATENATE("Kıymet: ",$B121," | Değer Artışı: ",TEXT($J121,"#,##0")))</f>
        <v/>
      </c>
    </row>
    <row r="122" ht="15.75" customHeight="1" s="81">
      <c r="A122" s="129" t="n"/>
      <c r="B122" s="130" t="n"/>
      <c r="C122" s="127" t="n"/>
      <c r="D122" s="127" t="n"/>
      <c r="E122" s="124">
        <f>IF($C122=0,0,$C122-$D122)</f>
        <v/>
      </c>
      <c r="F122" s="128" t="n"/>
      <c r="G122" s="129" t="n"/>
      <c r="H122" s="131" t="n"/>
      <c r="I122" s="124">
        <f>IF($E122=0,0,$E122*$H122)</f>
        <v/>
      </c>
      <c r="J122" s="124">
        <f>IF($I122=0,0,$I122-$E122)</f>
        <v/>
      </c>
      <c r="K122" s="124">
        <f>IF($J122=0,0,$J122*YenidegerFonOran)</f>
        <v/>
      </c>
      <c r="L122" s="124">
        <f>IF($G122=0,0,$J122/$G122)</f>
        <v/>
      </c>
      <c r="M122" s="124">
        <f>IF($L122=0,0,$L122*YenidegerKurumlarVergiOran)</f>
        <v/>
      </c>
      <c r="N122" s="124">
        <f>IFERROR(IF(YenidegerIskontoOrani=0,$M122*$G122,$M122*(1-1/(1+YenidegerIskontoOrani)^$G122)/YenidegerIskontoOrani),0)</f>
        <v/>
      </c>
      <c r="O122" s="124">
        <f>$N122-$K122</f>
        <v/>
      </c>
      <c r="P122" s="124">
        <f>IF($J122&lt;=0,"DEĞERLENDİR",IF($O122&gt;0,"YENİDEN DEĞERLE","DEĞERLENDİR"))</f>
        <v/>
      </c>
      <c r="Q122" s="124">
        <f>IF($B122="","",CONCATENATE("Kıymet: ",$B122," | Değer Artışı: ",TEXT($J122,"#,##0")))</f>
        <v/>
      </c>
    </row>
    <row r="123" ht="15.75" customHeight="1" s="81">
      <c r="A123" s="129" t="n"/>
      <c r="B123" s="130" t="n"/>
      <c r="C123" s="127" t="n"/>
      <c r="D123" s="127" t="n"/>
      <c r="E123" s="124">
        <f>IF($C123=0,0,$C123-$D123)</f>
        <v/>
      </c>
      <c r="F123" s="128" t="n"/>
      <c r="G123" s="129" t="n"/>
      <c r="H123" s="131" t="n"/>
      <c r="I123" s="124">
        <f>IF($E123=0,0,$E123*$H123)</f>
        <v/>
      </c>
      <c r="J123" s="124">
        <f>IF($I123=0,0,$I123-$E123)</f>
        <v/>
      </c>
      <c r="K123" s="124">
        <f>IF($J123=0,0,$J123*YenidegerFonOran)</f>
        <v/>
      </c>
      <c r="L123" s="124">
        <f>IF($G123=0,0,$J123/$G123)</f>
        <v/>
      </c>
      <c r="M123" s="124">
        <f>IF($L123=0,0,$L123*YenidegerKurumlarVergiOran)</f>
        <v/>
      </c>
      <c r="N123" s="124">
        <f>IFERROR(IF(YenidegerIskontoOrani=0,$M123*$G123,$M123*(1-1/(1+YenidegerIskontoOrani)^$G123)/YenidegerIskontoOrani),0)</f>
        <v/>
      </c>
      <c r="O123" s="124">
        <f>$N123-$K123</f>
        <v/>
      </c>
      <c r="P123" s="124">
        <f>IF($J123&lt;=0,"DEĞERLENDİR",IF($O123&gt;0,"YENİDEN DEĞERLE","DEĞERLENDİR"))</f>
        <v/>
      </c>
      <c r="Q123" s="124">
        <f>IF($B123="","",CONCATENATE("Kıymet: ",$B123," | Değer Artışı: ",TEXT($J123,"#,##0")))</f>
        <v/>
      </c>
    </row>
    <row r="124" ht="15.75" customHeight="1" s="81">
      <c r="A124" s="129" t="n"/>
      <c r="B124" s="130" t="n"/>
      <c r="C124" s="127" t="n"/>
      <c r="D124" s="127" t="n"/>
      <c r="E124" s="124">
        <f>IF($C124=0,0,$C124-$D124)</f>
        <v/>
      </c>
      <c r="F124" s="128" t="n"/>
      <c r="G124" s="129" t="n"/>
      <c r="H124" s="131" t="n"/>
      <c r="I124" s="124">
        <f>IF($E124=0,0,$E124*$H124)</f>
        <v/>
      </c>
      <c r="J124" s="124">
        <f>IF($I124=0,0,$I124-$E124)</f>
        <v/>
      </c>
      <c r="K124" s="124">
        <f>IF($J124=0,0,$J124*YenidegerFonOran)</f>
        <v/>
      </c>
      <c r="L124" s="124">
        <f>IF($G124=0,0,$J124/$G124)</f>
        <v/>
      </c>
      <c r="M124" s="124">
        <f>IF($L124=0,0,$L124*YenidegerKurumlarVergiOran)</f>
        <v/>
      </c>
      <c r="N124" s="124">
        <f>IFERROR(IF(YenidegerIskontoOrani=0,$M124*$G124,$M124*(1-1/(1+YenidegerIskontoOrani)^$G124)/YenidegerIskontoOrani),0)</f>
        <v/>
      </c>
      <c r="O124" s="124">
        <f>$N124-$K124</f>
        <v/>
      </c>
      <c r="P124" s="124">
        <f>IF($J124&lt;=0,"DEĞERLENDİR",IF($O124&gt;0,"YENİDEN DEĞERLE","DEĞERLENDİR"))</f>
        <v/>
      </c>
      <c r="Q124" s="124">
        <f>IF($B124="","",CONCATENATE("Kıymet: ",$B124," | Değer Artışı: ",TEXT($J124,"#,##0")))</f>
        <v/>
      </c>
    </row>
    <row r="125" ht="15.75" customHeight="1" s="81">
      <c r="A125" s="129" t="n"/>
      <c r="B125" s="130" t="n"/>
      <c r="C125" s="127" t="n"/>
      <c r="D125" s="127" t="n"/>
      <c r="E125" s="124">
        <f>IF($C125=0,0,$C125-$D125)</f>
        <v/>
      </c>
      <c r="F125" s="128" t="n"/>
      <c r="G125" s="129" t="n"/>
      <c r="H125" s="131" t="n"/>
      <c r="I125" s="124">
        <f>IF($E125=0,0,$E125*$H125)</f>
        <v/>
      </c>
      <c r="J125" s="124">
        <f>IF($I125=0,0,$I125-$E125)</f>
        <v/>
      </c>
      <c r="K125" s="124">
        <f>IF($J125=0,0,$J125*YenidegerFonOran)</f>
        <v/>
      </c>
      <c r="L125" s="124">
        <f>IF($G125=0,0,$J125/$G125)</f>
        <v/>
      </c>
      <c r="M125" s="124">
        <f>IF($L125=0,0,$L125*YenidegerKurumlarVergiOran)</f>
        <v/>
      </c>
      <c r="N125" s="124">
        <f>IFERROR(IF(YenidegerIskontoOrani=0,$M125*$G125,$M125*(1-1/(1+YenidegerIskontoOrani)^$G125)/YenidegerIskontoOrani),0)</f>
        <v/>
      </c>
      <c r="O125" s="124">
        <f>$N125-$K125</f>
        <v/>
      </c>
      <c r="P125" s="124">
        <f>IF($J125&lt;=0,"DEĞERLENDİR",IF($O125&gt;0,"YENİDEN DEĞERLE","DEĞERLENDİR"))</f>
        <v/>
      </c>
      <c r="Q125" s="124">
        <f>IF($B125="","",CONCATENATE("Kıymet: ",$B125," | Değer Artışı: ",TEXT($J125,"#,##0")))</f>
        <v/>
      </c>
    </row>
    <row r="126" ht="15.75" customHeight="1" s="81">
      <c r="A126" s="129" t="n"/>
      <c r="B126" s="130" t="n"/>
      <c r="C126" s="127" t="n"/>
      <c r="D126" s="127" t="n"/>
      <c r="E126" s="124">
        <f>IF($C126=0,0,$C126-$D126)</f>
        <v/>
      </c>
      <c r="F126" s="128" t="n"/>
      <c r="G126" s="129" t="n"/>
      <c r="H126" s="131" t="n"/>
      <c r="I126" s="124">
        <f>IF($E126=0,0,$E126*$H126)</f>
        <v/>
      </c>
      <c r="J126" s="124">
        <f>IF($I126=0,0,$I126-$E126)</f>
        <v/>
      </c>
      <c r="K126" s="124">
        <f>IF($J126=0,0,$J126*YenidegerFonOran)</f>
        <v/>
      </c>
      <c r="L126" s="124">
        <f>IF($G126=0,0,$J126/$G126)</f>
        <v/>
      </c>
      <c r="M126" s="124">
        <f>IF($L126=0,0,$L126*YenidegerKurumlarVergiOran)</f>
        <v/>
      </c>
      <c r="N126" s="124">
        <f>IFERROR(IF(YenidegerIskontoOrani=0,$M126*$G126,$M126*(1-1/(1+YenidegerIskontoOrani)^$G126)/YenidegerIskontoOrani),0)</f>
        <v/>
      </c>
      <c r="O126" s="124">
        <f>$N126-$K126</f>
        <v/>
      </c>
      <c r="P126" s="124">
        <f>IF($J126&lt;=0,"DEĞERLENDİR",IF($O126&gt;0,"YENİDEN DEĞERLE","DEĞERLENDİR"))</f>
        <v/>
      </c>
      <c r="Q126" s="124">
        <f>IF($B126="","",CONCATENATE("Kıymet: ",$B126," | Değer Artışı: ",TEXT($J126,"#,##0")))</f>
        <v/>
      </c>
    </row>
    <row r="127" ht="15.75" customHeight="1" s="81">
      <c r="A127" s="129" t="n"/>
      <c r="B127" s="130" t="n"/>
      <c r="C127" s="127" t="n"/>
      <c r="D127" s="127" t="n"/>
      <c r="E127" s="124">
        <f>IF($C127=0,0,$C127-$D127)</f>
        <v/>
      </c>
      <c r="F127" s="128" t="n"/>
      <c r="G127" s="129" t="n"/>
      <c r="H127" s="131" t="n"/>
      <c r="I127" s="124">
        <f>IF($E127=0,0,$E127*$H127)</f>
        <v/>
      </c>
      <c r="J127" s="124">
        <f>IF($I127=0,0,$I127-$E127)</f>
        <v/>
      </c>
      <c r="K127" s="124">
        <f>IF($J127=0,0,$J127*YenidegerFonOran)</f>
        <v/>
      </c>
      <c r="L127" s="124">
        <f>IF($G127=0,0,$J127/$G127)</f>
        <v/>
      </c>
      <c r="M127" s="124">
        <f>IF($L127=0,0,$L127*YenidegerKurumlarVergiOran)</f>
        <v/>
      </c>
      <c r="N127" s="124">
        <f>IFERROR(IF(YenidegerIskontoOrani=0,$M127*$G127,$M127*(1-1/(1+YenidegerIskontoOrani)^$G127)/YenidegerIskontoOrani),0)</f>
        <v/>
      </c>
      <c r="O127" s="124">
        <f>$N127-$K127</f>
        <v/>
      </c>
      <c r="P127" s="124">
        <f>IF($J127&lt;=0,"DEĞERLENDİR",IF($O127&gt;0,"YENİDEN DEĞERLE","DEĞERLENDİR"))</f>
        <v/>
      </c>
      <c r="Q127" s="124">
        <f>IF($B127="","",CONCATENATE("Kıymet: ",$B127," | Değer Artışı: ",TEXT($J127,"#,##0")))</f>
        <v/>
      </c>
    </row>
    <row r="128" ht="15.75" customHeight="1" s="81">
      <c r="A128" s="129" t="n"/>
      <c r="B128" s="130" t="n"/>
      <c r="C128" s="127" t="n"/>
      <c r="D128" s="127" t="n"/>
      <c r="E128" s="124">
        <f>IF($C128=0,0,$C128-$D128)</f>
        <v/>
      </c>
      <c r="F128" s="128" t="n"/>
      <c r="G128" s="129" t="n"/>
      <c r="H128" s="131" t="n"/>
      <c r="I128" s="124">
        <f>IF($E128=0,0,$E128*$H128)</f>
        <v/>
      </c>
      <c r="J128" s="124">
        <f>IF($I128=0,0,$I128-$E128)</f>
        <v/>
      </c>
      <c r="K128" s="124">
        <f>IF($J128=0,0,$J128*YenidegerFonOran)</f>
        <v/>
      </c>
      <c r="L128" s="124">
        <f>IF($G128=0,0,$J128/$G128)</f>
        <v/>
      </c>
      <c r="M128" s="124">
        <f>IF($L128=0,0,$L128*YenidegerKurumlarVergiOran)</f>
        <v/>
      </c>
      <c r="N128" s="124">
        <f>IFERROR(IF(YenidegerIskontoOrani=0,$M128*$G128,$M128*(1-1/(1+YenidegerIskontoOrani)^$G128)/YenidegerIskontoOrani),0)</f>
        <v/>
      </c>
      <c r="O128" s="124">
        <f>$N128-$K128</f>
        <v/>
      </c>
      <c r="P128" s="124">
        <f>IF($J128&lt;=0,"DEĞERLENDİR",IF($O128&gt;0,"YENİDEN DEĞERLE","DEĞERLENDİR"))</f>
        <v/>
      </c>
      <c r="Q128" s="124">
        <f>IF($B128="","",CONCATENATE("Kıymet: ",$B128," | Değer Artışı: ",TEXT($J128,"#,##0")))</f>
        <v/>
      </c>
    </row>
    <row r="129" ht="15.75" customHeight="1" s="81">
      <c r="A129" s="129" t="n"/>
      <c r="B129" s="130" t="n"/>
      <c r="C129" s="127" t="n"/>
      <c r="D129" s="127" t="n"/>
      <c r="E129" s="124">
        <f>IF($C129=0,0,$C129-$D129)</f>
        <v/>
      </c>
      <c r="F129" s="128" t="n"/>
      <c r="G129" s="129" t="n"/>
      <c r="H129" s="131" t="n"/>
      <c r="I129" s="124">
        <f>IF($E129=0,0,$E129*$H129)</f>
        <v/>
      </c>
      <c r="J129" s="124">
        <f>IF($I129=0,0,$I129-$E129)</f>
        <v/>
      </c>
      <c r="K129" s="124">
        <f>IF($J129=0,0,$J129*YenidegerFonOran)</f>
        <v/>
      </c>
      <c r="L129" s="124">
        <f>IF($G129=0,0,$J129/$G129)</f>
        <v/>
      </c>
      <c r="M129" s="124">
        <f>IF($L129=0,0,$L129*YenidegerKurumlarVergiOran)</f>
        <v/>
      </c>
      <c r="N129" s="124">
        <f>IFERROR(IF(YenidegerIskontoOrani=0,$M129*$G129,$M129*(1-1/(1+YenidegerIskontoOrani)^$G129)/YenidegerIskontoOrani),0)</f>
        <v/>
      </c>
      <c r="O129" s="124">
        <f>$N129-$K129</f>
        <v/>
      </c>
      <c r="P129" s="124">
        <f>IF($J129&lt;=0,"DEĞERLENDİR",IF($O129&gt;0,"YENİDEN DEĞERLE","DEĞERLENDİR"))</f>
        <v/>
      </c>
      <c r="Q129" s="124">
        <f>IF($B129="","",CONCATENATE("Kıymet: ",$B129," | Değer Artışı: ",TEXT($J129,"#,##0")))</f>
        <v/>
      </c>
    </row>
    <row r="130" ht="15.75" customHeight="1" s="81">
      <c r="A130" s="129" t="n"/>
      <c r="B130" s="130" t="n"/>
      <c r="C130" s="127" t="n"/>
      <c r="D130" s="127" t="n"/>
      <c r="E130" s="124">
        <f>IF($C130=0,0,$C130-$D130)</f>
        <v/>
      </c>
      <c r="F130" s="128" t="n"/>
      <c r="G130" s="129" t="n"/>
      <c r="H130" s="131" t="n"/>
      <c r="I130" s="124">
        <f>IF($E130=0,0,$E130*$H130)</f>
        <v/>
      </c>
      <c r="J130" s="124">
        <f>IF($I130=0,0,$I130-$E130)</f>
        <v/>
      </c>
      <c r="K130" s="124">
        <f>IF($J130=0,0,$J130*YenidegerFonOran)</f>
        <v/>
      </c>
      <c r="L130" s="124">
        <f>IF($G130=0,0,$J130/$G130)</f>
        <v/>
      </c>
      <c r="M130" s="124">
        <f>IF($L130=0,0,$L130*YenidegerKurumlarVergiOran)</f>
        <v/>
      </c>
      <c r="N130" s="124">
        <f>IFERROR(IF(YenidegerIskontoOrani=0,$M130*$G130,$M130*(1-1/(1+YenidegerIskontoOrani)^$G130)/YenidegerIskontoOrani),0)</f>
        <v/>
      </c>
      <c r="O130" s="124">
        <f>$N130-$K130</f>
        <v/>
      </c>
      <c r="P130" s="124">
        <f>IF($J130&lt;=0,"DEĞERLENDİR",IF($O130&gt;0,"YENİDEN DEĞERLE","DEĞERLENDİR"))</f>
        <v/>
      </c>
      <c r="Q130" s="124">
        <f>IF($B130="","",CONCATENATE("Kıymet: ",$B130," | Değer Artışı: ",TEXT($J130,"#,##0")))</f>
        <v/>
      </c>
    </row>
    <row r="131" ht="15.75" customHeight="1" s="81">
      <c r="A131" s="129" t="n"/>
      <c r="B131" s="130" t="n"/>
      <c r="C131" s="127" t="n"/>
      <c r="D131" s="127" t="n"/>
      <c r="E131" s="124">
        <f>IF($C131=0,0,$C131-$D131)</f>
        <v/>
      </c>
      <c r="F131" s="128" t="n"/>
      <c r="G131" s="129" t="n"/>
      <c r="H131" s="131" t="n"/>
      <c r="I131" s="124">
        <f>IF($E131=0,0,$E131*$H131)</f>
        <v/>
      </c>
      <c r="J131" s="124">
        <f>IF($I131=0,0,$I131-$E131)</f>
        <v/>
      </c>
      <c r="K131" s="124">
        <f>IF($J131=0,0,$J131*YenidegerFonOran)</f>
        <v/>
      </c>
      <c r="L131" s="124">
        <f>IF($G131=0,0,$J131/$G131)</f>
        <v/>
      </c>
      <c r="M131" s="124">
        <f>IF($L131=0,0,$L131*YenidegerKurumlarVergiOran)</f>
        <v/>
      </c>
      <c r="N131" s="124">
        <f>IFERROR(IF(YenidegerIskontoOrani=0,$M131*$G131,$M131*(1-1/(1+YenidegerIskontoOrani)^$G131)/YenidegerIskontoOrani),0)</f>
        <v/>
      </c>
      <c r="O131" s="124">
        <f>$N131-$K131</f>
        <v/>
      </c>
      <c r="P131" s="124">
        <f>IF($J131&lt;=0,"DEĞERLENDİR",IF($O131&gt;0,"YENİDEN DEĞERLE","DEĞERLENDİR"))</f>
        <v/>
      </c>
      <c r="Q131" s="124">
        <f>IF($B131="","",CONCATENATE("Kıymet: ",$B131," | Değer Artışı: ",TEXT($J131,"#,##0")))</f>
        <v/>
      </c>
    </row>
    <row r="132" ht="15.75" customHeight="1" s="81">
      <c r="A132" s="129" t="n"/>
      <c r="B132" s="130" t="n"/>
      <c r="C132" s="127" t="n"/>
      <c r="D132" s="127" t="n"/>
      <c r="E132" s="124">
        <f>IF($C132=0,0,$C132-$D132)</f>
        <v/>
      </c>
      <c r="F132" s="128" t="n"/>
      <c r="G132" s="129" t="n"/>
      <c r="H132" s="131" t="n"/>
      <c r="I132" s="124">
        <f>IF($E132=0,0,$E132*$H132)</f>
        <v/>
      </c>
      <c r="J132" s="124">
        <f>IF($I132=0,0,$I132-$E132)</f>
        <v/>
      </c>
      <c r="K132" s="124">
        <f>IF($J132=0,0,$J132*YenidegerFonOran)</f>
        <v/>
      </c>
      <c r="L132" s="124">
        <f>IF($G132=0,0,$J132/$G132)</f>
        <v/>
      </c>
      <c r="M132" s="124">
        <f>IF($L132=0,0,$L132*YenidegerKurumlarVergiOran)</f>
        <v/>
      </c>
      <c r="N132" s="124">
        <f>IFERROR(IF(YenidegerIskontoOrani=0,$M132*$G132,$M132*(1-1/(1+YenidegerIskontoOrani)^$G132)/YenidegerIskontoOrani),0)</f>
        <v/>
      </c>
      <c r="O132" s="124">
        <f>$N132-$K132</f>
        <v/>
      </c>
      <c r="P132" s="124">
        <f>IF($J132&lt;=0,"DEĞERLENDİR",IF($O132&gt;0,"YENİDEN DEĞERLE","DEĞERLENDİR"))</f>
        <v/>
      </c>
      <c r="Q132" s="124">
        <f>IF($B132="","",CONCATENATE("Kıymet: ",$B132," | Değer Artışı: ",TEXT($J132,"#,##0")))</f>
        <v/>
      </c>
    </row>
    <row r="133" ht="15.75" customHeight="1" s="81">
      <c r="A133" s="129" t="n"/>
      <c r="B133" s="130" t="n"/>
      <c r="C133" s="127" t="n"/>
      <c r="D133" s="127" t="n"/>
      <c r="E133" s="124">
        <f>IF($C133=0,0,$C133-$D133)</f>
        <v/>
      </c>
      <c r="F133" s="128" t="n"/>
      <c r="G133" s="129" t="n"/>
      <c r="H133" s="131" t="n"/>
      <c r="I133" s="124">
        <f>IF($E133=0,0,$E133*$H133)</f>
        <v/>
      </c>
      <c r="J133" s="124">
        <f>IF($I133=0,0,$I133-$E133)</f>
        <v/>
      </c>
      <c r="K133" s="124">
        <f>IF($J133=0,0,$J133*YenidegerFonOran)</f>
        <v/>
      </c>
      <c r="L133" s="124">
        <f>IF($G133=0,0,$J133/$G133)</f>
        <v/>
      </c>
      <c r="M133" s="124">
        <f>IF($L133=0,0,$L133*YenidegerKurumlarVergiOran)</f>
        <v/>
      </c>
      <c r="N133" s="124">
        <f>IFERROR(IF(YenidegerIskontoOrani=0,$M133*$G133,$M133*(1-1/(1+YenidegerIskontoOrani)^$G133)/YenidegerIskontoOrani),0)</f>
        <v/>
      </c>
      <c r="O133" s="124">
        <f>$N133-$K133</f>
        <v/>
      </c>
      <c r="P133" s="124">
        <f>IF($J133&lt;=0,"DEĞERLENDİR",IF($O133&gt;0,"YENİDEN DEĞERLE","DEĞERLENDİR"))</f>
        <v/>
      </c>
      <c r="Q133" s="124">
        <f>IF($B133="","",CONCATENATE("Kıymet: ",$B133," | Değer Artışı: ",TEXT($J133,"#,##0")))</f>
        <v/>
      </c>
    </row>
    <row r="134" ht="15.75" customHeight="1" s="81">
      <c r="A134" s="129" t="n"/>
      <c r="B134" s="130" t="n"/>
      <c r="C134" s="127" t="n"/>
      <c r="D134" s="127" t="n"/>
      <c r="E134" s="124">
        <f>IF($C134=0,0,$C134-$D134)</f>
        <v/>
      </c>
      <c r="F134" s="128" t="n"/>
      <c r="G134" s="129" t="n"/>
      <c r="H134" s="131" t="n"/>
      <c r="I134" s="124">
        <f>IF($E134=0,0,$E134*$H134)</f>
        <v/>
      </c>
      <c r="J134" s="124">
        <f>IF($I134=0,0,$I134-$E134)</f>
        <v/>
      </c>
      <c r="K134" s="124">
        <f>IF($J134=0,0,$J134*YenidegerFonOran)</f>
        <v/>
      </c>
      <c r="L134" s="124">
        <f>IF($G134=0,0,$J134/$G134)</f>
        <v/>
      </c>
      <c r="M134" s="124">
        <f>IF($L134=0,0,$L134*YenidegerKurumlarVergiOran)</f>
        <v/>
      </c>
      <c r="N134" s="124">
        <f>IFERROR(IF(YenidegerIskontoOrani=0,$M134*$G134,$M134*(1-1/(1+YenidegerIskontoOrani)^$G134)/YenidegerIskontoOrani),0)</f>
        <v/>
      </c>
      <c r="O134" s="124">
        <f>$N134-$K134</f>
        <v/>
      </c>
      <c r="P134" s="124">
        <f>IF($J134&lt;=0,"DEĞERLENDİR",IF($O134&gt;0,"YENİDEN DEĞERLE","DEĞERLENDİR"))</f>
        <v/>
      </c>
      <c r="Q134" s="124">
        <f>IF($B134="","",CONCATENATE("Kıymet: ",$B134," | Değer Artışı: ",TEXT($J134,"#,##0")))</f>
        <v/>
      </c>
    </row>
    <row r="135" ht="15.75" customHeight="1" s="81">
      <c r="A135" s="129" t="n"/>
      <c r="B135" s="130" t="n"/>
      <c r="C135" s="127" t="n"/>
      <c r="D135" s="127" t="n"/>
      <c r="E135" s="124">
        <f>IF($C135=0,0,$C135-$D135)</f>
        <v/>
      </c>
      <c r="F135" s="128" t="n"/>
      <c r="G135" s="129" t="n"/>
      <c r="H135" s="131" t="n"/>
      <c r="I135" s="124">
        <f>IF($E135=0,0,$E135*$H135)</f>
        <v/>
      </c>
      <c r="J135" s="124">
        <f>IF($I135=0,0,$I135-$E135)</f>
        <v/>
      </c>
      <c r="K135" s="124">
        <f>IF($J135=0,0,$J135*YenidegerFonOran)</f>
        <v/>
      </c>
      <c r="L135" s="124">
        <f>IF($G135=0,0,$J135/$G135)</f>
        <v/>
      </c>
      <c r="M135" s="124">
        <f>IF($L135=0,0,$L135*YenidegerKurumlarVergiOran)</f>
        <v/>
      </c>
      <c r="N135" s="124">
        <f>IFERROR(IF(YenidegerIskontoOrani=0,$M135*$G135,$M135*(1-1/(1+YenidegerIskontoOrani)^$G135)/YenidegerIskontoOrani),0)</f>
        <v/>
      </c>
      <c r="O135" s="124">
        <f>$N135-$K135</f>
        <v/>
      </c>
      <c r="P135" s="124">
        <f>IF($J135&lt;=0,"DEĞERLENDİR",IF($O135&gt;0,"YENİDEN DEĞERLE","DEĞERLENDİR"))</f>
        <v/>
      </c>
      <c r="Q135" s="124">
        <f>IF($B135="","",CONCATENATE("Kıymet: ",$B135," | Değer Artışı: ",TEXT($J135,"#,##0")))</f>
        <v/>
      </c>
    </row>
    <row r="136" ht="15.75" customHeight="1" s="81">
      <c r="A136" s="129" t="n"/>
      <c r="B136" s="130" t="n"/>
      <c r="C136" s="127" t="n"/>
      <c r="D136" s="127" t="n"/>
      <c r="E136" s="124">
        <f>IF($C136=0,0,$C136-$D136)</f>
        <v/>
      </c>
      <c r="F136" s="128" t="n"/>
      <c r="G136" s="129" t="n"/>
      <c r="H136" s="131" t="n"/>
      <c r="I136" s="124">
        <f>IF($E136=0,0,$E136*$H136)</f>
        <v/>
      </c>
      <c r="J136" s="124">
        <f>IF($I136=0,0,$I136-$E136)</f>
        <v/>
      </c>
      <c r="K136" s="124">
        <f>IF($J136=0,0,$J136*YenidegerFonOran)</f>
        <v/>
      </c>
      <c r="L136" s="124">
        <f>IF($G136=0,0,$J136/$G136)</f>
        <v/>
      </c>
      <c r="M136" s="124">
        <f>IF($L136=0,0,$L136*YenidegerKurumlarVergiOran)</f>
        <v/>
      </c>
      <c r="N136" s="124">
        <f>IFERROR(IF(YenidegerIskontoOrani=0,$M136*$G136,$M136*(1-1/(1+YenidegerIskontoOrani)^$G136)/YenidegerIskontoOrani),0)</f>
        <v/>
      </c>
      <c r="O136" s="124">
        <f>$N136-$K136</f>
        <v/>
      </c>
      <c r="P136" s="124">
        <f>IF($J136&lt;=0,"DEĞERLENDİR",IF($O136&gt;0,"YENİDEN DEĞERLE","DEĞERLENDİR"))</f>
        <v/>
      </c>
      <c r="Q136" s="124">
        <f>IF($B136="","",CONCATENATE("Kıymet: ",$B136," | Değer Artışı: ",TEXT($J136,"#,##0")))</f>
        <v/>
      </c>
    </row>
    <row r="137" ht="15.75" customHeight="1" s="81">
      <c r="A137" s="129" t="n"/>
      <c r="B137" s="130" t="n"/>
      <c r="C137" s="127" t="n"/>
      <c r="D137" s="127" t="n"/>
      <c r="E137" s="124">
        <f>IF($C137=0,0,$C137-$D137)</f>
        <v/>
      </c>
      <c r="F137" s="128" t="n"/>
      <c r="G137" s="129" t="n"/>
      <c r="H137" s="131" t="n"/>
      <c r="I137" s="124">
        <f>IF($E137=0,0,$E137*$H137)</f>
        <v/>
      </c>
      <c r="J137" s="124">
        <f>IF($I137=0,0,$I137-$E137)</f>
        <v/>
      </c>
      <c r="K137" s="124">
        <f>IF($J137=0,0,$J137*YenidegerFonOran)</f>
        <v/>
      </c>
      <c r="L137" s="124">
        <f>IF($G137=0,0,$J137/$G137)</f>
        <v/>
      </c>
      <c r="M137" s="124">
        <f>IF($L137=0,0,$L137*YenidegerKurumlarVergiOran)</f>
        <v/>
      </c>
      <c r="N137" s="124">
        <f>IFERROR(IF(YenidegerIskontoOrani=0,$M137*$G137,$M137*(1-1/(1+YenidegerIskontoOrani)^$G137)/YenidegerIskontoOrani),0)</f>
        <v/>
      </c>
      <c r="O137" s="124">
        <f>$N137-$K137</f>
        <v/>
      </c>
      <c r="P137" s="124">
        <f>IF($J137&lt;=0,"DEĞERLENDİR",IF($O137&gt;0,"YENİDEN DEĞERLE","DEĞERLENDİR"))</f>
        <v/>
      </c>
      <c r="Q137" s="124">
        <f>IF($B137="","",CONCATENATE("Kıymet: ",$B137," | Değer Artışı: ",TEXT($J137,"#,##0")))</f>
        <v/>
      </c>
    </row>
    <row r="138" ht="15.75" customHeight="1" s="81">
      <c r="A138" s="129" t="n"/>
      <c r="B138" s="130" t="n"/>
      <c r="C138" s="127" t="n"/>
      <c r="D138" s="127" t="n"/>
      <c r="E138" s="124">
        <f>IF($C138=0,0,$C138-$D138)</f>
        <v/>
      </c>
      <c r="F138" s="128" t="n"/>
      <c r="G138" s="129" t="n"/>
      <c r="H138" s="131" t="n"/>
      <c r="I138" s="124">
        <f>IF($E138=0,0,$E138*$H138)</f>
        <v/>
      </c>
      <c r="J138" s="124">
        <f>IF($I138=0,0,$I138-$E138)</f>
        <v/>
      </c>
      <c r="K138" s="124">
        <f>IF($J138=0,0,$J138*YenidegerFonOran)</f>
        <v/>
      </c>
      <c r="L138" s="124">
        <f>IF($G138=0,0,$J138/$G138)</f>
        <v/>
      </c>
      <c r="M138" s="124">
        <f>IF($L138=0,0,$L138*YenidegerKurumlarVergiOran)</f>
        <v/>
      </c>
      <c r="N138" s="124">
        <f>IFERROR(IF(YenidegerIskontoOrani=0,$M138*$G138,$M138*(1-1/(1+YenidegerIskontoOrani)^$G138)/YenidegerIskontoOrani),0)</f>
        <v/>
      </c>
      <c r="O138" s="124">
        <f>$N138-$K138</f>
        <v/>
      </c>
      <c r="P138" s="124">
        <f>IF($J138&lt;=0,"DEĞERLENDİR",IF($O138&gt;0,"YENİDEN DEĞERLE","DEĞERLENDİR"))</f>
        <v/>
      </c>
      <c r="Q138" s="124">
        <f>IF($B138="","",CONCATENATE("Kıymet: ",$B138," | Değer Artışı: ",TEXT($J138,"#,##0")))</f>
        <v/>
      </c>
    </row>
    <row r="139" ht="15.75" customHeight="1" s="81">
      <c r="A139" s="129" t="n"/>
      <c r="B139" s="130" t="n"/>
      <c r="C139" s="127" t="n"/>
      <c r="D139" s="127" t="n"/>
      <c r="E139" s="124">
        <f>IF($C139=0,0,$C139-$D139)</f>
        <v/>
      </c>
      <c r="F139" s="128" t="n"/>
      <c r="G139" s="129" t="n"/>
      <c r="H139" s="131" t="n"/>
      <c r="I139" s="124">
        <f>IF($E139=0,0,$E139*$H139)</f>
        <v/>
      </c>
      <c r="J139" s="124">
        <f>IF($I139=0,0,$I139-$E139)</f>
        <v/>
      </c>
      <c r="K139" s="124">
        <f>IF($J139=0,0,$J139*YenidegerFonOran)</f>
        <v/>
      </c>
      <c r="L139" s="124">
        <f>IF($G139=0,0,$J139/$G139)</f>
        <v/>
      </c>
      <c r="M139" s="124">
        <f>IF($L139=0,0,$L139*YenidegerKurumlarVergiOran)</f>
        <v/>
      </c>
      <c r="N139" s="124">
        <f>IFERROR(IF(YenidegerIskontoOrani=0,$M139*$G139,$M139*(1-1/(1+YenidegerIskontoOrani)^$G139)/YenidegerIskontoOrani),0)</f>
        <v/>
      </c>
      <c r="O139" s="124">
        <f>$N139-$K139</f>
        <v/>
      </c>
      <c r="P139" s="124">
        <f>IF($J139&lt;=0,"DEĞERLENDİR",IF($O139&gt;0,"YENİDEN DEĞERLE","DEĞERLENDİR"))</f>
        <v/>
      </c>
      <c r="Q139" s="124">
        <f>IF($B139="","",CONCATENATE("Kıymet: ",$B139," | Değer Artışı: ",TEXT($J139,"#,##0")))</f>
        <v/>
      </c>
    </row>
    <row r="140" ht="15.75" customHeight="1" s="81">
      <c r="A140" s="129" t="n"/>
      <c r="B140" s="130" t="n"/>
      <c r="C140" s="127" t="n"/>
      <c r="D140" s="127" t="n"/>
      <c r="E140" s="124">
        <f>IF($C140=0,0,$C140-$D140)</f>
        <v/>
      </c>
      <c r="F140" s="128" t="n"/>
      <c r="G140" s="129" t="n"/>
      <c r="H140" s="131" t="n"/>
      <c r="I140" s="124">
        <f>IF($E140=0,0,$E140*$H140)</f>
        <v/>
      </c>
      <c r="J140" s="124">
        <f>IF($I140=0,0,$I140-$E140)</f>
        <v/>
      </c>
      <c r="K140" s="124">
        <f>IF($J140=0,0,$J140*YenidegerFonOran)</f>
        <v/>
      </c>
      <c r="L140" s="124">
        <f>IF($G140=0,0,$J140/$G140)</f>
        <v/>
      </c>
      <c r="M140" s="124">
        <f>IF($L140=0,0,$L140*YenidegerKurumlarVergiOran)</f>
        <v/>
      </c>
      <c r="N140" s="124">
        <f>IFERROR(IF(YenidegerIskontoOrani=0,$M140*$G140,$M140*(1-1/(1+YenidegerIskontoOrani)^$G140)/YenidegerIskontoOrani),0)</f>
        <v/>
      </c>
      <c r="O140" s="124">
        <f>$N140-$K140</f>
        <v/>
      </c>
      <c r="P140" s="124">
        <f>IF($J140&lt;=0,"DEĞERLENDİR",IF($O140&gt;0,"YENİDEN DEĞERLE","DEĞERLENDİR"))</f>
        <v/>
      </c>
      <c r="Q140" s="124">
        <f>IF($B140="","",CONCATENATE("Kıymet: ",$B140," | Değer Artışı: ",TEXT($J140,"#,##0")))</f>
        <v/>
      </c>
    </row>
    <row r="141" ht="15.75" customHeight="1" s="81">
      <c r="A141" s="129" t="n"/>
      <c r="B141" s="130" t="n"/>
      <c r="C141" s="127" t="n"/>
      <c r="D141" s="127" t="n"/>
      <c r="E141" s="124">
        <f>IF($C141=0,0,$C141-$D141)</f>
        <v/>
      </c>
      <c r="F141" s="128" t="n"/>
      <c r="G141" s="129" t="n"/>
      <c r="H141" s="131" t="n"/>
      <c r="I141" s="124">
        <f>IF($E141=0,0,$E141*$H141)</f>
        <v/>
      </c>
      <c r="J141" s="124">
        <f>IF($I141=0,0,$I141-$E141)</f>
        <v/>
      </c>
      <c r="K141" s="124">
        <f>IF($J141=0,0,$J141*YenidegerFonOran)</f>
        <v/>
      </c>
      <c r="L141" s="124">
        <f>IF($G141=0,0,$J141/$G141)</f>
        <v/>
      </c>
      <c r="M141" s="124">
        <f>IF($L141=0,0,$L141*YenidegerKurumlarVergiOran)</f>
        <v/>
      </c>
      <c r="N141" s="124">
        <f>IFERROR(IF(YenidegerIskontoOrani=0,$M141*$G141,$M141*(1-1/(1+YenidegerIskontoOrani)^$G141)/YenidegerIskontoOrani),0)</f>
        <v/>
      </c>
      <c r="O141" s="124">
        <f>$N141-$K141</f>
        <v/>
      </c>
      <c r="P141" s="124">
        <f>IF($J141&lt;=0,"DEĞERLENDİR",IF($O141&gt;0,"YENİDEN DEĞERLE","DEĞERLENDİR"))</f>
        <v/>
      </c>
      <c r="Q141" s="124">
        <f>IF($B141="","",CONCATENATE("Kıymet: ",$B141," | Değer Artışı: ",TEXT($J141,"#,##0")))</f>
        <v/>
      </c>
    </row>
    <row r="142" ht="15.75" customHeight="1" s="81">
      <c r="A142" s="129" t="n"/>
      <c r="B142" s="130" t="n"/>
      <c r="C142" s="127" t="n"/>
      <c r="D142" s="127" t="n"/>
      <c r="E142" s="124">
        <f>IF($C142=0,0,$C142-$D142)</f>
        <v/>
      </c>
      <c r="F142" s="128" t="n"/>
      <c r="G142" s="129" t="n"/>
      <c r="H142" s="131" t="n"/>
      <c r="I142" s="124">
        <f>IF($E142=0,0,$E142*$H142)</f>
        <v/>
      </c>
      <c r="J142" s="124">
        <f>IF($I142=0,0,$I142-$E142)</f>
        <v/>
      </c>
      <c r="K142" s="124">
        <f>IF($J142=0,0,$J142*YenidegerFonOran)</f>
        <v/>
      </c>
      <c r="L142" s="124">
        <f>IF($G142=0,0,$J142/$G142)</f>
        <v/>
      </c>
      <c r="M142" s="124">
        <f>IF($L142=0,0,$L142*YenidegerKurumlarVergiOran)</f>
        <v/>
      </c>
      <c r="N142" s="124">
        <f>IFERROR(IF(YenidegerIskontoOrani=0,$M142*$G142,$M142*(1-1/(1+YenidegerIskontoOrani)^$G142)/YenidegerIskontoOrani),0)</f>
        <v/>
      </c>
      <c r="O142" s="124">
        <f>$N142-$K142</f>
        <v/>
      </c>
      <c r="P142" s="124">
        <f>IF($J142&lt;=0,"DEĞERLENDİR",IF($O142&gt;0,"YENİDEN DEĞERLE","DEĞERLENDİR"))</f>
        <v/>
      </c>
      <c r="Q142" s="124">
        <f>IF($B142="","",CONCATENATE("Kıymet: ",$B142," | Değer Artışı: ",TEXT($J142,"#,##0")))</f>
        <v/>
      </c>
    </row>
    <row r="143" ht="15.75" customHeight="1" s="81">
      <c r="A143" s="129" t="n"/>
      <c r="B143" s="130" t="n"/>
      <c r="C143" s="127" t="n"/>
      <c r="D143" s="127" t="n"/>
      <c r="E143" s="124">
        <f>IF($C143=0,0,$C143-$D143)</f>
        <v/>
      </c>
      <c r="F143" s="128" t="n"/>
      <c r="G143" s="129" t="n"/>
      <c r="H143" s="131" t="n"/>
      <c r="I143" s="124">
        <f>IF($E143=0,0,$E143*$H143)</f>
        <v/>
      </c>
      <c r="J143" s="124">
        <f>IF($I143=0,0,$I143-$E143)</f>
        <v/>
      </c>
      <c r="K143" s="124">
        <f>IF($J143=0,0,$J143*YenidegerFonOran)</f>
        <v/>
      </c>
      <c r="L143" s="124">
        <f>IF($G143=0,0,$J143/$G143)</f>
        <v/>
      </c>
      <c r="M143" s="124">
        <f>IF($L143=0,0,$L143*YenidegerKurumlarVergiOran)</f>
        <v/>
      </c>
      <c r="N143" s="124">
        <f>IFERROR(IF(YenidegerIskontoOrani=0,$M143*$G143,$M143*(1-1/(1+YenidegerIskontoOrani)^$G143)/YenidegerIskontoOrani),0)</f>
        <v/>
      </c>
      <c r="O143" s="124">
        <f>$N143-$K143</f>
        <v/>
      </c>
      <c r="P143" s="124">
        <f>IF($J143&lt;=0,"DEĞERLENDİR",IF($O143&gt;0,"YENİDEN DEĞERLE","DEĞERLENDİR"))</f>
        <v/>
      </c>
      <c r="Q143" s="124">
        <f>IF($B143="","",CONCATENATE("Kıymet: ",$B143," | Değer Artışı: ",TEXT($J143,"#,##0")))</f>
        <v/>
      </c>
    </row>
    <row r="144" ht="15.75" customHeight="1" s="81">
      <c r="A144" s="129" t="n"/>
      <c r="B144" s="130" t="n"/>
      <c r="C144" s="127" t="n"/>
      <c r="D144" s="127" t="n"/>
      <c r="E144" s="124">
        <f>IF($C144=0,0,$C144-$D144)</f>
        <v/>
      </c>
      <c r="F144" s="128" t="n"/>
      <c r="G144" s="129" t="n"/>
      <c r="H144" s="131" t="n"/>
      <c r="I144" s="124">
        <f>IF($E144=0,0,$E144*$H144)</f>
        <v/>
      </c>
      <c r="J144" s="124">
        <f>IF($I144=0,0,$I144-$E144)</f>
        <v/>
      </c>
      <c r="K144" s="124">
        <f>IF($J144=0,0,$J144*YenidegerFonOran)</f>
        <v/>
      </c>
      <c r="L144" s="124">
        <f>IF($G144=0,0,$J144/$G144)</f>
        <v/>
      </c>
      <c r="M144" s="124">
        <f>IF($L144=0,0,$L144*YenidegerKurumlarVergiOran)</f>
        <v/>
      </c>
      <c r="N144" s="124">
        <f>IFERROR(IF(YenidegerIskontoOrani=0,$M144*$G144,$M144*(1-1/(1+YenidegerIskontoOrani)^$G144)/YenidegerIskontoOrani),0)</f>
        <v/>
      </c>
      <c r="O144" s="124">
        <f>$N144-$K144</f>
        <v/>
      </c>
      <c r="P144" s="124">
        <f>IF($J144&lt;=0,"DEĞERLENDİR",IF($O144&gt;0,"YENİDEN DEĞERLE","DEĞERLENDİR"))</f>
        <v/>
      </c>
      <c r="Q144" s="124">
        <f>IF($B144="","",CONCATENATE("Kıymet: ",$B144," | Değer Artışı: ",TEXT($J144,"#,##0")))</f>
        <v/>
      </c>
    </row>
    <row r="145" ht="15.75" customHeight="1" s="81">
      <c r="A145" s="129" t="n"/>
      <c r="B145" s="130" t="n"/>
      <c r="C145" s="127" t="n"/>
      <c r="D145" s="127" t="n"/>
      <c r="E145" s="124">
        <f>IF($C145=0,0,$C145-$D145)</f>
        <v/>
      </c>
      <c r="F145" s="128" t="n"/>
      <c r="G145" s="129" t="n"/>
      <c r="H145" s="131" t="n"/>
      <c r="I145" s="124">
        <f>IF($E145=0,0,$E145*$H145)</f>
        <v/>
      </c>
      <c r="J145" s="124">
        <f>IF($I145=0,0,$I145-$E145)</f>
        <v/>
      </c>
      <c r="K145" s="124">
        <f>IF($J145=0,0,$J145*YenidegerFonOran)</f>
        <v/>
      </c>
      <c r="L145" s="124">
        <f>IF($G145=0,0,$J145/$G145)</f>
        <v/>
      </c>
      <c r="M145" s="124">
        <f>IF($L145=0,0,$L145*YenidegerKurumlarVergiOran)</f>
        <v/>
      </c>
      <c r="N145" s="124">
        <f>IFERROR(IF(YenidegerIskontoOrani=0,$M145*$G145,$M145*(1-1/(1+YenidegerIskontoOrani)^$G145)/YenidegerIskontoOrani),0)</f>
        <v/>
      </c>
      <c r="O145" s="124">
        <f>$N145-$K145</f>
        <v/>
      </c>
      <c r="P145" s="124">
        <f>IF($J145&lt;=0,"DEĞERLENDİR",IF($O145&gt;0,"YENİDEN DEĞERLE","DEĞERLENDİR"))</f>
        <v/>
      </c>
      <c r="Q145" s="124">
        <f>IF($B145="","",CONCATENATE("Kıymet: ",$B145," | Değer Artışı: ",TEXT($J145,"#,##0")))</f>
        <v/>
      </c>
    </row>
    <row r="146" ht="15.75" customHeight="1" s="81">
      <c r="A146" s="129" t="n"/>
      <c r="B146" s="130" t="n"/>
      <c r="C146" s="127" t="n"/>
      <c r="D146" s="127" t="n"/>
      <c r="E146" s="124">
        <f>IF($C146=0,0,$C146-$D146)</f>
        <v/>
      </c>
      <c r="F146" s="128" t="n"/>
      <c r="G146" s="129" t="n"/>
      <c r="H146" s="131" t="n"/>
      <c r="I146" s="124">
        <f>IF($E146=0,0,$E146*$H146)</f>
        <v/>
      </c>
      <c r="J146" s="124">
        <f>IF($I146=0,0,$I146-$E146)</f>
        <v/>
      </c>
      <c r="K146" s="124">
        <f>IF($J146=0,0,$J146*YenidegerFonOran)</f>
        <v/>
      </c>
      <c r="L146" s="124">
        <f>IF($G146=0,0,$J146/$G146)</f>
        <v/>
      </c>
      <c r="M146" s="124">
        <f>IF($L146=0,0,$L146*YenidegerKurumlarVergiOran)</f>
        <v/>
      </c>
      <c r="N146" s="124">
        <f>IFERROR(IF(YenidegerIskontoOrani=0,$M146*$G146,$M146*(1-1/(1+YenidegerIskontoOrani)^$G146)/YenidegerIskontoOrani),0)</f>
        <v/>
      </c>
      <c r="O146" s="124">
        <f>$N146-$K146</f>
        <v/>
      </c>
      <c r="P146" s="124">
        <f>IF($J146&lt;=0,"DEĞERLENDİR",IF($O146&gt;0,"YENİDEN DEĞERLE","DEĞERLENDİR"))</f>
        <v/>
      </c>
      <c r="Q146" s="124">
        <f>IF($B146="","",CONCATENATE("Kıymet: ",$B146," | Değer Artışı: ",TEXT($J146,"#,##0")))</f>
        <v/>
      </c>
    </row>
    <row r="147" ht="15.75" customHeight="1" s="81">
      <c r="A147" s="129" t="n"/>
      <c r="B147" s="130" t="n"/>
      <c r="C147" s="127" t="n"/>
      <c r="D147" s="127" t="n"/>
      <c r="E147" s="124">
        <f>IF($C147=0,0,$C147-$D147)</f>
        <v/>
      </c>
      <c r="F147" s="128" t="n"/>
      <c r="G147" s="129" t="n"/>
      <c r="H147" s="131" t="n"/>
      <c r="I147" s="124">
        <f>IF($E147=0,0,$E147*$H147)</f>
        <v/>
      </c>
      <c r="J147" s="124">
        <f>IF($I147=0,0,$I147-$E147)</f>
        <v/>
      </c>
      <c r="K147" s="124">
        <f>IF($J147=0,0,$J147*YenidegerFonOran)</f>
        <v/>
      </c>
      <c r="L147" s="124">
        <f>IF($G147=0,0,$J147/$G147)</f>
        <v/>
      </c>
      <c r="M147" s="124">
        <f>IF($L147=0,0,$L147*YenidegerKurumlarVergiOran)</f>
        <v/>
      </c>
      <c r="N147" s="124">
        <f>IFERROR(IF(YenidegerIskontoOrani=0,$M147*$G147,$M147*(1-1/(1+YenidegerIskontoOrani)^$G147)/YenidegerIskontoOrani),0)</f>
        <v/>
      </c>
      <c r="O147" s="124">
        <f>$N147-$K147</f>
        <v/>
      </c>
      <c r="P147" s="124">
        <f>IF($J147&lt;=0,"DEĞERLENDİR",IF($O147&gt;0,"YENİDEN DEĞERLE","DEĞERLENDİR"))</f>
        <v/>
      </c>
      <c r="Q147" s="124">
        <f>IF($B147="","",CONCATENATE("Kıymet: ",$B147," | Değer Artışı: ",TEXT($J147,"#,##0")))</f>
        <v/>
      </c>
    </row>
    <row r="148" ht="15.75" customHeight="1" s="81">
      <c r="A148" s="129" t="n"/>
      <c r="B148" s="130" t="n"/>
      <c r="C148" s="127" t="n"/>
      <c r="D148" s="127" t="n"/>
      <c r="E148" s="124">
        <f>IF($C148=0,0,$C148-$D148)</f>
        <v/>
      </c>
      <c r="F148" s="128" t="n"/>
      <c r="G148" s="129" t="n"/>
      <c r="H148" s="131" t="n"/>
      <c r="I148" s="124">
        <f>IF($E148=0,0,$E148*$H148)</f>
        <v/>
      </c>
      <c r="J148" s="124">
        <f>IF($I148=0,0,$I148-$E148)</f>
        <v/>
      </c>
      <c r="K148" s="124">
        <f>IF($J148=0,0,$J148*YenidegerFonOran)</f>
        <v/>
      </c>
      <c r="L148" s="124">
        <f>IF($G148=0,0,$J148/$G148)</f>
        <v/>
      </c>
      <c r="M148" s="124">
        <f>IF($L148=0,0,$L148*YenidegerKurumlarVergiOran)</f>
        <v/>
      </c>
      <c r="N148" s="124">
        <f>IFERROR(IF(YenidegerIskontoOrani=0,$M148*$G148,$M148*(1-1/(1+YenidegerIskontoOrani)^$G148)/YenidegerIskontoOrani),0)</f>
        <v/>
      </c>
      <c r="O148" s="124">
        <f>$N148-$K148</f>
        <v/>
      </c>
      <c r="P148" s="124">
        <f>IF($J148&lt;=0,"DEĞERLENDİR",IF($O148&gt;0,"YENİDEN DEĞERLE","DEĞERLENDİR"))</f>
        <v/>
      </c>
      <c r="Q148" s="124">
        <f>IF($B148="","",CONCATENATE("Kıymet: ",$B148," | Değer Artışı: ",TEXT($J148,"#,##0")))</f>
        <v/>
      </c>
    </row>
    <row r="149" ht="15.75" customHeight="1" s="81">
      <c r="A149" s="129" t="n"/>
      <c r="B149" s="130" t="n"/>
      <c r="C149" s="127" t="n"/>
      <c r="D149" s="127" t="n"/>
      <c r="E149" s="124">
        <f>IF($C149=0,0,$C149-$D149)</f>
        <v/>
      </c>
      <c r="F149" s="128" t="n"/>
      <c r="G149" s="129" t="n"/>
      <c r="H149" s="131" t="n"/>
      <c r="I149" s="124">
        <f>IF($E149=0,0,$E149*$H149)</f>
        <v/>
      </c>
      <c r="J149" s="124">
        <f>IF($I149=0,0,$I149-$E149)</f>
        <v/>
      </c>
      <c r="K149" s="124">
        <f>IF($J149=0,0,$J149*YenidegerFonOran)</f>
        <v/>
      </c>
      <c r="L149" s="124">
        <f>IF($G149=0,0,$J149/$G149)</f>
        <v/>
      </c>
      <c r="M149" s="124">
        <f>IF($L149=0,0,$L149*YenidegerKurumlarVergiOran)</f>
        <v/>
      </c>
      <c r="N149" s="124">
        <f>IFERROR(IF(YenidegerIskontoOrani=0,$M149*$G149,$M149*(1-1/(1+YenidegerIskontoOrani)^$G149)/YenidegerIskontoOrani),0)</f>
        <v/>
      </c>
      <c r="O149" s="124">
        <f>$N149-$K149</f>
        <v/>
      </c>
      <c r="P149" s="124">
        <f>IF($J149&lt;=0,"DEĞERLENDİR",IF($O149&gt;0,"YENİDEN DEĞERLE","DEĞERLENDİR"))</f>
        <v/>
      </c>
      <c r="Q149" s="124">
        <f>IF($B149="","",CONCATENATE("Kıymet: ",$B149," | Değer Artışı: ",TEXT($J149,"#,##0")))</f>
        <v/>
      </c>
    </row>
    <row r="150" ht="15.75" customHeight="1" s="81">
      <c r="A150" s="129" t="n"/>
      <c r="B150" s="130" t="n"/>
      <c r="C150" s="127" t="n"/>
      <c r="D150" s="127" t="n"/>
      <c r="E150" s="124">
        <f>IF($C150=0,0,$C150-$D150)</f>
        <v/>
      </c>
      <c r="F150" s="128" t="n"/>
      <c r="G150" s="129" t="n"/>
      <c r="H150" s="131" t="n"/>
      <c r="I150" s="124">
        <f>IF($E150=0,0,$E150*$H150)</f>
        <v/>
      </c>
      <c r="J150" s="124">
        <f>IF($I150=0,0,$I150-$E150)</f>
        <v/>
      </c>
      <c r="K150" s="124">
        <f>IF($J150=0,0,$J150*YenidegerFonOran)</f>
        <v/>
      </c>
      <c r="L150" s="124">
        <f>IF($G150=0,0,$J150/$G150)</f>
        <v/>
      </c>
      <c r="M150" s="124">
        <f>IF($L150=0,0,$L150*YenidegerKurumlarVergiOran)</f>
        <v/>
      </c>
      <c r="N150" s="124">
        <f>IFERROR(IF(YenidegerIskontoOrani=0,$M150*$G150,$M150*(1-1/(1+YenidegerIskontoOrani)^$G150)/YenidegerIskontoOrani),0)</f>
        <v/>
      </c>
      <c r="O150" s="124">
        <f>$N150-$K150</f>
        <v/>
      </c>
      <c r="P150" s="124">
        <f>IF($J150&lt;=0,"DEĞERLENDİR",IF($O150&gt;0,"YENİDEN DEĞERLE","DEĞERLENDİR"))</f>
        <v/>
      </c>
      <c r="Q150" s="124">
        <f>IF($B150="","",CONCATENATE("Kıymet: ",$B150," | Değer Artışı: ",TEXT($J150,"#,##0")))</f>
        <v/>
      </c>
    </row>
    <row r="151" ht="15.75" customHeight="1" s="81">
      <c r="A151" s="129" t="n"/>
      <c r="B151" s="130" t="n"/>
      <c r="C151" s="127" t="n"/>
      <c r="D151" s="127" t="n"/>
      <c r="E151" s="124">
        <f>IF($C151=0,0,$C151-$D151)</f>
        <v/>
      </c>
      <c r="F151" s="128" t="n"/>
      <c r="G151" s="129" t="n"/>
      <c r="H151" s="131" t="n"/>
      <c r="I151" s="124">
        <f>IF($E151=0,0,$E151*$H151)</f>
        <v/>
      </c>
      <c r="J151" s="124">
        <f>IF($I151=0,0,$I151-$E151)</f>
        <v/>
      </c>
      <c r="K151" s="124">
        <f>IF($J151=0,0,$J151*YenidegerFonOran)</f>
        <v/>
      </c>
      <c r="L151" s="124">
        <f>IF($G151=0,0,$J151/$G151)</f>
        <v/>
      </c>
      <c r="M151" s="124">
        <f>IF($L151=0,0,$L151*YenidegerKurumlarVergiOran)</f>
        <v/>
      </c>
      <c r="N151" s="124">
        <f>IFERROR(IF(YenidegerIskontoOrani=0,$M151*$G151,$M151*(1-1/(1+YenidegerIskontoOrani)^$G151)/YenidegerIskontoOrani),0)</f>
        <v/>
      </c>
      <c r="O151" s="124">
        <f>$N151-$K151</f>
        <v/>
      </c>
      <c r="P151" s="124">
        <f>IF($J151&lt;=0,"DEĞERLENDİR",IF($O151&gt;0,"YENİDEN DEĞERLE","DEĞERLENDİR"))</f>
        <v/>
      </c>
      <c r="Q151" s="124">
        <f>IF($B151="","",CONCATENATE("Kıymet: ",$B151," | Değer Artışı: ",TEXT($J151,"#,##0")))</f>
        <v/>
      </c>
    </row>
    <row r="152" ht="15.75" customHeight="1" s="81">
      <c r="A152" s="129" t="n"/>
      <c r="B152" s="130" t="n"/>
      <c r="C152" s="127" t="n"/>
      <c r="D152" s="127" t="n"/>
      <c r="E152" s="124">
        <f>IF($C152=0,0,$C152-$D152)</f>
        <v/>
      </c>
      <c r="F152" s="128" t="n"/>
      <c r="G152" s="129" t="n"/>
      <c r="H152" s="131" t="n"/>
      <c r="I152" s="124">
        <f>IF($E152=0,0,$E152*$H152)</f>
        <v/>
      </c>
      <c r="J152" s="124">
        <f>IF($I152=0,0,$I152-$E152)</f>
        <v/>
      </c>
      <c r="K152" s="124">
        <f>IF($J152=0,0,$J152*YenidegerFonOran)</f>
        <v/>
      </c>
      <c r="L152" s="124">
        <f>IF($G152=0,0,$J152/$G152)</f>
        <v/>
      </c>
      <c r="M152" s="124">
        <f>IF($L152=0,0,$L152*YenidegerKurumlarVergiOran)</f>
        <v/>
      </c>
      <c r="N152" s="124">
        <f>IFERROR(IF(YenidegerIskontoOrani=0,$M152*$G152,$M152*(1-1/(1+YenidegerIskontoOrani)^$G152)/YenidegerIskontoOrani),0)</f>
        <v/>
      </c>
      <c r="O152" s="124">
        <f>$N152-$K152</f>
        <v/>
      </c>
      <c r="P152" s="124">
        <f>IF($J152&lt;=0,"DEĞERLENDİR",IF($O152&gt;0,"YENİDEN DEĞERLE","DEĞERLENDİR"))</f>
        <v/>
      </c>
      <c r="Q152" s="124">
        <f>IF($B152="","",CONCATENATE("Kıymet: ",$B152," | Değer Artışı: ",TEXT($J152,"#,##0")))</f>
        <v/>
      </c>
    </row>
    <row r="153" ht="15.75" customHeight="1" s="81">
      <c r="A153" s="129" t="n"/>
      <c r="B153" s="130" t="n"/>
      <c r="C153" s="127" t="n"/>
      <c r="D153" s="127" t="n"/>
      <c r="E153" s="124">
        <f>IF($C153=0,0,$C153-$D153)</f>
        <v/>
      </c>
      <c r="F153" s="128" t="n"/>
      <c r="G153" s="129" t="n"/>
      <c r="H153" s="131" t="n"/>
      <c r="I153" s="124">
        <f>IF($E153=0,0,$E153*$H153)</f>
        <v/>
      </c>
      <c r="J153" s="124">
        <f>IF($I153=0,0,$I153-$E153)</f>
        <v/>
      </c>
      <c r="K153" s="124">
        <f>IF($J153=0,0,$J153*YenidegerFonOran)</f>
        <v/>
      </c>
      <c r="L153" s="124">
        <f>IF($G153=0,0,$J153/$G153)</f>
        <v/>
      </c>
      <c r="M153" s="124">
        <f>IF($L153=0,0,$L153*YenidegerKurumlarVergiOran)</f>
        <v/>
      </c>
      <c r="N153" s="124">
        <f>IFERROR(IF(YenidegerIskontoOrani=0,$M153*$G153,$M153*(1-1/(1+YenidegerIskontoOrani)^$G153)/YenidegerIskontoOrani),0)</f>
        <v/>
      </c>
      <c r="O153" s="124">
        <f>$N153-$K153</f>
        <v/>
      </c>
      <c r="P153" s="124">
        <f>IF($J153&lt;=0,"DEĞERLENDİR",IF($O153&gt;0,"YENİDEN DEĞERLE","DEĞERLENDİR"))</f>
        <v/>
      </c>
      <c r="Q153" s="124">
        <f>IF($B153="","",CONCATENATE("Kıymet: ",$B153," | Değer Artışı: ",TEXT($J153,"#,##0")))</f>
        <v/>
      </c>
    </row>
    <row r="154" ht="15.75" customHeight="1" s="81">
      <c r="A154" s="129" t="n"/>
      <c r="B154" s="130" t="n"/>
      <c r="C154" s="127" t="n"/>
      <c r="D154" s="127" t="n"/>
      <c r="E154" s="124">
        <f>IF($C154=0,0,$C154-$D154)</f>
        <v/>
      </c>
      <c r="F154" s="128" t="n"/>
      <c r="G154" s="129" t="n"/>
      <c r="H154" s="131" t="n"/>
      <c r="I154" s="124">
        <f>IF($E154=0,0,$E154*$H154)</f>
        <v/>
      </c>
      <c r="J154" s="124">
        <f>IF($I154=0,0,$I154-$E154)</f>
        <v/>
      </c>
      <c r="K154" s="124">
        <f>IF($J154=0,0,$J154*YenidegerFonOran)</f>
        <v/>
      </c>
      <c r="L154" s="124">
        <f>IF($G154=0,0,$J154/$G154)</f>
        <v/>
      </c>
      <c r="M154" s="124">
        <f>IF($L154=0,0,$L154*YenidegerKurumlarVergiOran)</f>
        <v/>
      </c>
      <c r="N154" s="124">
        <f>IFERROR(IF(YenidegerIskontoOrani=0,$M154*$G154,$M154*(1-1/(1+YenidegerIskontoOrani)^$G154)/YenidegerIskontoOrani),0)</f>
        <v/>
      </c>
      <c r="O154" s="124">
        <f>$N154-$K154</f>
        <v/>
      </c>
      <c r="P154" s="124">
        <f>IF($J154&lt;=0,"DEĞERLENDİR",IF($O154&gt;0,"YENİDEN DEĞERLE","DEĞERLENDİR"))</f>
        <v/>
      </c>
      <c r="Q154" s="124">
        <f>IF($B154="","",CONCATENATE("Kıymet: ",$B154," | Değer Artışı: ",TEXT($J154,"#,##0")))</f>
        <v/>
      </c>
    </row>
    <row r="155" ht="15.75" customHeight="1" s="81">
      <c r="A155" s="129" t="n"/>
      <c r="B155" s="130" t="n"/>
      <c r="C155" s="127" t="n"/>
      <c r="D155" s="127" t="n"/>
      <c r="E155" s="124">
        <f>IF($C155=0,0,$C155-$D155)</f>
        <v/>
      </c>
      <c r="F155" s="128" t="n"/>
      <c r="G155" s="129" t="n"/>
      <c r="H155" s="131" t="n"/>
      <c r="I155" s="124">
        <f>IF($E155=0,0,$E155*$H155)</f>
        <v/>
      </c>
      <c r="J155" s="124">
        <f>IF($I155=0,0,$I155-$E155)</f>
        <v/>
      </c>
      <c r="K155" s="124">
        <f>IF($J155=0,0,$J155*YenidegerFonOran)</f>
        <v/>
      </c>
      <c r="L155" s="124">
        <f>IF($G155=0,0,$J155/$G155)</f>
        <v/>
      </c>
      <c r="M155" s="124">
        <f>IF($L155=0,0,$L155*YenidegerKurumlarVergiOran)</f>
        <v/>
      </c>
      <c r="N155" s="124">
        <f>IFERROR(IF(YenidegerIskontoOrani=0,$M155*$G155,$M155*(1-1/(1+YenidegerIskontoOrani)^$G155)/YenidegerIskontoOrani),0)</f>
        <v/>
      </c>
      <c r="O155" s="124">
        <f>$N155-$K155</f>
        <v/>
      </c>
      <c r="P155" s="124">
        <f>IF($J155&lt;=0,"DEĞERLENDİR",IF($O155&gt;0,"YENİDEN DEĞERLE","DEĞERLENDİR"))</f>
        <v/>
      </c>
      <c r="Q155" s="124">
        <f>IF($B155="","",CONCATENATE("Kıymet: ",$B155," | Değer Artışı: ",TEXT($J155,"#,##0")))</f>
        <v/>
      </c>
    </row>
    <row r="156" ht="15.75" customHeight="1" s="81">
      <c r="A156" s="129" t="n"/>
      <c r="B156" s="130" t="n"/>
      <c r="C156" s="127" t="n"/>
      <c r="D156" s="127" t="n"/>
      <c r="E156" s="124">
        <f>IF($C156=0,0,$C156-$D156)</f>
        <v/>
      </c>
      <c r="F156" s="128" t="n"/>
      <c r="G156" s="129" t="n"/>
      <c r="H156" s="131" t="n"/>
      <c r="I156" s="124">
        <f>IF($E156=0,0,$E156*$H156)</f>
        <v/>
      </c>
      <c r="J156" s="124">
        <f>IF($I156=0,0,$I156-$E156)</f>
        <v/>
      </c>
      <c r="K156" s="124">
        <f>IF($J156=0,0,$J156*YenidegerFonOran)</f>
        <v/>
      </c>
      <c r="L156" s="124">
        <f>IF($G156=0,0,$J156/$G156)</f>
        <v/>
      </c>
      <c r="M156" s="124">
        <f>IF($L156=0,0,$L156*YenidegerKurumlarVergiOran)</f>
        <v/>
      </c>
      <c r="N156" s="124">
        <f>IFERROR(IF(YenidegerIskontoOrani=0,$M156*$G156,$M156*(1-1/(1+YenidegerIskontoOrani)^$G156)/YenidegerIskontoOrani),0)</f>
        <v/>
      </c>
      <c r="O156" s="124">
        <f>$N156-$K156</f>
        <v/>
      </c>
      <c r="P156" s="124">
        <f>IF($J156&lt;=0,"DEĞERLENDİR",IF($O156&gt;0,"YENİDEN DEĞERLE","DEĞERLENDİR"))</f>
        <v/>
      </c>
      <c r="Q156" s="124">
        <f>IF($B156="","",CONCATENATE("Kıymet: ",$B156," | Değer Artışı: ",TEXT($J156,"#,##0")))</f>
        <v/>
      </c>
    </row>
    <row r="157" ht="15.75" customHeight="1" s="81">
      <c r="A157" s="129" t="n"/>
      <c r="B157" s="130" t="n"/>
      <c r="C157" s="127" t="n"/>
      <c r="D157" s="127" t="n"/>
      <c r="E157" s="124">
        <f>IF($C157=0,0,$C157-$D157)</f>
        <v/>
      </c>
      <c r="F157" s="128" t="n"/>
      <c r="G157" s="129" t="n"/>
      <c r="H157" s="131" t="n"/>
      <c r="I157" s="124">
        <f>IF($E157=0,0,$E157*$H157)</f>
        <v/>
      </c>
      <c r="J157" s="124">
        <f>IF($I157=0,0,$I157-$E157)</f>
        <v/>
      </c>
      <c r="K157" s="124">
        <f>IF($J157=0,0,$J157*YenidegerFonOran)</f>
        <v/>
      </c>
      <c r="L157" s="124">
        <f>IF($G157=0,0,$J157/$G157)</f>
        <v/>
      </c>
      <c r="M157" s="124">
        <f>IF($L157=0,0,$L157*YenidegerKurumlarVergiOran)</f>
        <v/>
      </c>
      <c r="N157" s="124">
        <f>IFERROR(IF(YenidegerIskontoOrani=0,$M157*$G157,$M157*(1-1/(1+YenidegerIskontoOrani)^$G157)/YenidegerIskontoOrani),0)</f>
        <v/>
      </c>
      <c r="O157" s="124">
        <f>$N157-$K157</f>
        <v/>
      </c>
      <c r="P157" s="124">
        <f>IF($J157&lt;=0,"DEĞERLENDİR",IF($O157&gt;0,"YENİDEN DEĞERLE","DEĞERLENDİR"))</f>
        <v/>
      </c>
      <c r="Q157" s="124">
        <f>IF($B157="","",CONCATENATE("Kıymet: ",$B157," | Değer Artışı: ",TEXT($J157,"#,##0")))</f>
        <v/>
      </c>
    </row>
    <row r="158" ht="15.75" customHeight="1" s="81">
      <c r="A158" s="129" t="n"/>
      <c r="B158" s="130" t="n"/>
      <c r="C158" s="127" t="n"/>
      <c r="D158" s="127" t="n"/>
      <c r="E158" s="124">
        <f>IF($C158=0,0,$C158-$D158)</f>
        <v/>
      </c>
      <c r="F158" s="128" t="n"/>
      <c r="G158" s="129" t="n"/>
      <c r="H158" s="131" t="n"/>
      <c r="I158" s="124">
        <f>IF($E158=0,0,$E158*$H158)</f>
        <v/>
      </c>
      <c r="J158" s="124">
        <f>IF($I158=0,0,$I158-$E158)</f>
        <v/>
      </c>
      <c r="K158" s="124">
        <f>IF($J158=0,0,$J158*YenidegerFonOran)</f>
        <v/>
      </c>
      <c r="L158" s="124">
        <f>IF($G158=0,0,$J158/$G158)</f>
        <v/>
      </c>
      <c r="M158" s="124">
        <f>IF($L158=0,0,$L158*YenidegerKurumlarVergiOran)</f>
        <v/>
      </c>
      <c r="N158" s="124">
        <f>IFERROR(IF(YenidegerIskontoOrani=0,$M158*$G158,$M158*(1-1/(1+YenidegerIskontoOrani)^$G158)/YenidegerIskontoOrani),0)</f>
        <v/>
      </c>
      <c r="O158" s="124">
        <f>$N158-$K158</f>
        <v/>
      </c>
      <c r="P158" s="124">
        <f>IF($J158&lt;=0,"DEĞERLENDİR",IF($O158&gt;0,"YENİDEN DEĞERLE","DEĞERLENDİR"))</f>
        <v/>
      </c>
      <c r="Q158" s="124">
        <f>IF($B158="","",CONCATENATE("Kıymet: ",$B158," | Değer Artışı: ",TEXT($J158,"#,##0")))</f>
        <v/>
      </c>
    </row>
    <row r="159" ht="15.75" customHeight="1" s="81">
      <c r="A159" s="129" t="n"/>
      <c r="B159" s="130" t="n"/>
      <c r="C159" s="127" t="n"/>
      <c r="D159" s="127" t="n"/>
      <c r="E159" s="124">
        <f>IF($C159=0,0,$C159-$D159)</f>
        <v/>
      </c>
      <c r="F159" s="128" t="n"/>
      <c r="G159" s="129" t="n"/>
      <c r="H159" s="131" t="n"/>
      <c r="I159" s="124">
        <f>IF($E159=0,0,$E159*$H159)</f>
        <v/>
      </c>
      <c r="J159" s="124">
        <f>IF($I159=0,0,$I159-$E159)</f>
        <v/>
      </c>
      <c r="K159" s="124">
        <f>IF($J159=0,0,$J159*YenidegerFonOran)</f>
        <v/>
      </c>
      <c r="L159" s="124">
        <f>IF($G159=0,0,$J159/$G159)</f>
        <v/>
      </c>
      <c r="M159" s="124">
        <f>IF($L159=0,0,$L159*YenidegerKurumlarVergiOran)</f>
        <v/>
      </c>
      <c r="N159" s="124">
        <f>IFERROR(IF(YenidegerIskontoOrani=0,$M159*$G159,$M159*(1-1/(1+YenidegerIskontoOrani)^$G159)/YenidegerIskontoOrani),0)</f>
        <v/>
      </c>
      <c r="O159" s="124">
        <f>$N159-$K159</f>
        <v/>
      </c>
      <c r="P159" s="124">
        <f>IF($J159&lt;=0,"DEĞERLENDİR",IF($O159&gt;0,"YENİDEN DEĞERLE","DEĞERLENDİR"))</f>
        <v/>
      </c>
      <c r="Q159" s="124">
        <f>IF($B159="","",CONCATENATE("Kıymet: ",$B159," | Değer Artışı: ",TEXT($J159,"#,##0")))</f>
        <v/>
      </c>
    </row>
    <row r="160" ht="15.75" customHeight="1" s="81">
      <c r="A160" s="129" t="n"/>
      <c r="B160" s="130" t="n"/>
      <c r="C160" s="127" t="n"/>
      <c r="D160" s="127" t="n"/>
      <c r="E160" s="124">
        <f>IF($C160=0,0,$C160-$D160)</f>
        <v/>
      </c>
      <c r="F160" s="128" t="n"/>
      <c r="G160" s="129" t="n"/>
      <c r="H160" s="131" t="n"/>
      <c r="I160" s="124">
        <f>IF($E160=0,0,$E160*$H160)</f>
        <v/>
      </c>
      <c r="J160" s="124">
        <f>IF($I160=0,0,$I160-$E160)</f>
        <v/>
      </c>
      <c r="K160" s="124">
        <f>IF($J160=0,0,$J160*YenidegerFonOran)</f>
        <v/>
      </c>
      <c r="L160" s="124">
        <f>IF($G160=0,0,$J160/$G160)</f>
        <v/>
      </c>
      <c r="M160" s="124">
        <f>IF($L160=0,0,$L160*YenidegerKurumlarVergiOran)</f>
        <v/>
      </c>
      <c r="N160" s="124">
        <f>IFERROR(IF(YenidegerIskontoOrani=0,$M160*$G160,$M160*(1-1/(1+YenidegerIskontoOrani)^$G160)/YenidegerIskontoOrani),0)</f>
        <v/>
      </c>
      <c r="O160" s="124">
        <f>$N160-$K160</f>
        <v/>
      </c>
      <c r="P160" s="124">
        <f>IF($J160&lt;=0,"DEĞERLENDİR",IF($O160&gt;0,"YENİDEN DEĞERLE","DEĞERLENDİR"))</f>
        <v/>
      </c>
      <c r="Q160" s="124">
        <f>IF($B160="","",CONCATENATE("Kıymet: ",$B160," | Değer Artışı: ",TEXT($J160,"#,##0")))</f>
        <v/>
      </c>
    </row>
    <row r="161" ht="15.75" customHeight="1" s="81">
      <c r="A161" s="129" t="n"/>
      <c r="B161" s="130" t="n"/>
      <c r="C161" s="127" t="n"/>
      <c r="D161" s="127" t="n"/>
      <c r="E161" s="124">
        <f>IF($C161=0,0,$C161-$D161)</f>
        <v/>
      </c>
      <c r="F161" s="128" t="n"/>
      <c r="G161" s="129" t="n"/>
      <c r="H161" s="131" t="n"/>
      <c r="I161" s="124">
        <f>IF($E161=0,0,$E161*$H161)</f>
        <v/>
      </c>
      <c r="J161" s="124">
        <f>IF($I161=0,0,$I161-$E161)</f>
        <v/>
      </c>
      <c r="K161" s="124">
        <f>IF($J161=0,0,$J161*YenidegerFonOran)</f>
        <v/>
      </c>
      <c r="L161" s="124">
        <f>IF($G161=0,0,$J161/$G161)</f>
        <v/>
      </c>
      <c r="M161" s="124">
        <f>IF($L161=0,0,$L161*YenidegerKurumlarVergiOran)</f>
        <v/>
      </c>
      <c r="N161" s="124">
        <f>IFERROR(IF(YenidegerIskontoOrani=0,$M161*$G161,$M161*(1-1/(1+YenidegerIskontoOrani)^$G161)/YenidegerIskontoOrani),0)</f>
        <v/>
      </c>
      <c r="O161" s="124">
        <f>$N161-$K161</f>
        <v/>
      </c>
      <c r="P161" s="124">
        <f>IF($J161&lt;=0,"DEĞERLENDİR",IF($O161&gt;0,"YENİDEN DEĞERLE","DEĞERLENDİR"))</f>
        <v/>
      </c>
      <c r="Q161" s="124">
        <f>IF($B161="","",CONCATENATE("Kıymet: ",$B161," | Değer Artışı: ",TEXT($J161,"#,##0")))</f>
        <v/>
      </c>
    </row>
    <row r="162" ht="15.75" customHeight="1" s="81">
      <c r="A162" s="129" t="n"/>
      <c r="B162" s="130" t="n"/>
      <c r="C162" s="127" t="n"/>
      <c r="D162" s="127" t="n"/>
      <c r="E162" s="124">
        <f>IF($C162=0,0,$C162-$D162)</f>
        <v/>
      </c>
      <c r="F162" s="128" t="n"/>
      <c r="G162" s="129" t="n"/>
      <c r="H162" s="131" t="n"/>
      <c r="I162" s="124">
        <f>IF($E162=0,0,$E162*$H162)</f>
        <v/>
      </c>
      <c r="J162" s="124">
        <f>IF($I162=0,0,$I162-$E162)</f>
        <v/>
      </c>
      <c r="K162" s="124">
        <f>IF($J162=0,0,$J162*YenidegerFonOran)</f>
        <v/>
      </c>
      <c r="L162" s="124">
        <f>IF($G162=0,0,$J162/$G162)</f>
        <v/>
      </c>
      <c r="M162" s="124">
        <f>IF($L162=0,0,$L162*YenidegerKurumlarVergiOran)</f>
        <v/>
      </c>
      <c r="N162" s="124">
        <f>IFERROR(IF(YenidegerIskontoOrani=0,$M162*$G162,$M162*(1-1/(1+YenidegerIskontoOrani)^$G162)/YenidegerIskontoOrani),0)</f>
        <v/>
      </c>
      <c r="O162" s="124">
        <f>$N162-$K162</f>
        <v/>
      </c>
      <c r="P162" s="124">
        <f>IF($J162&lt;=0,"DEĞERLENDİR",IF($O162&gt;0,"YENİDEN DEĞERLE","DEĞERLENDİR"))</f>
        <v/>
      </c>
      <c r="Q162" s="124">
        <f>IF($B162="","",CONCATENATE("Kıymet: ",$B162," | Değer Artışı: ",TEXT($J162,"#,##0")))</f>
        <v/>
      </c>
    </row>
    <row r="163" ht="15.75" customHeight="1" s="81">
      <c r="A163" s="129" t="n"/>
      <c r="B163" s="130" t="n"/>
      <c r="C163" s="127" t="n"/>
      <c r="D163" s="127" t="n"/>
      <c r="E163" s="124">
        <f>IF($C163=0,0,$C163-$D163)</f>
        <v/>
      </c>
      <c r="F163" s="128" t="n"/>
      <c r="G163" s="129" t="n"/>
      <c r="H163" s="131" t="n"/>
      <c r="I163" s="124">
        <f>IF($E163=0,0,$E163*$H163)</f>
        <v/>
      </c>
      <c r="J163" s="124">
        <f>IF($I163=0,0,$I163-$E163)</f>
        <v/>
      </c>
      <c r="K163" s="124">
        <f>IF($J163=0,0,$J163*YenidegerFonOran)</f>
        <v/>
      </c>
      <c r="L163" s="124">
        <f>IF($G163=0,0,$J163/$G163)</f>
        <v/>
      </c>
      <c r="M163" s="124">
        <f>IF($L163=0,0,$L163*YenidegerKurumlarVergiOran)</f>
        <v/>
      </c>
      <c r="N163" s="124">
        <f>IFERROR(IF(YenidegerIskontoOrani=0,$M163*$G163,$M163*(1-1/(1+YenidegerIskontoOrani)^$G163)/YenidegerIskontoOrani),0)</f>
        <v/>
      </c>
      <c r="O163" s="124">
        <f>$N163-$K163</f>
        <v/>
      </c>
      <c r="P163" s="124">
        <f>IF($J163&lt;=0,"DEĞERLENDİR",IF($O163&gt;0,"YENİDEN DEĞERLE","DEĞERLENDİR"))</f>
        <v/>
      </c>
      <c r="Q163" s="124">
        <f>IF($B163="","",CONCATENATE("Kıymet: ",$B163," | Değer Artışı: ",TEXT($J163,"#,##0")))</f>
        <v/>
      </c>
    </row>
    <row r="164" ht="15.75" customHeight="1" s="81">
      <c r="A164" s="129" t="n"/>
      <c r="B164" s="130" t="n"/>
      <c r="C164" s="127" t="n"/>
      <c r="D164" s="127" t="n"/>
      <c r="E164" s="124">
        <f>IF($C164=0,0,$C164-$D164)</f>
        <v/>
      </c>
      <c r="F164" s="128" t="n"/>
      <c r="G164" s="129" t="n"/>
      <c r="H164" s="131" t="n"/>
      <c r="I164" s="124">
        <f>IF($E164=0,0,$E164*$H164)</f>
        <v/>
      </c>
      <c r="J164" s="124">
        <f>IF($I164=0,0,$I164-$E164)</f>
        <v/>
      </c>
      <c r="K164" s="124">
        <f>IF($J164=0,0,$J164*YenidegerFonOran)</f>
        <v/>
      </c>
      <c r="L164" s="124">
        <f>IF($G164=0,0,$J164/$G164)</f>
        <v/>
      </c>
      <c r="M164" s="124">
        <f>IF($L164=0,0,$L164*YenidegerKurumlarVergiOran)</f>
        <v/>
      </c>
      <c r="N164" s="124">
        <f>IFERROR(IF(YenidegerIskontoOrani=0,$M164*$G164,$M164*(1-1/(1+YenidegerIskontoOrani)^$G164)/YenidegerIskontoOrani),0)</f>
        <v/>
      </c>
      <c r="O164" s="124">
        <f>$N164-$K164</f>
        <v/>
      </c>
      <c r="P164" s="124">
        <f>IF($J164&lt;=0,"DEĞERLENDİR",IF($O164&gt;0,"YENİDEN DEĞERLE","DEĞERLENDİR"))</f>
        <v/>
      </c>
      <c r="Q164" s="124">
        <f>IF($B164="","",CONCATENATE("Kıymet: ",$B164," | Değer Artışı: ",TEXT($J164,"#,##0")))</f>
        <v/>
      </c>
    </row>
    <row r="165" ht="15.75" customHeight="1" s="81">
      <c r="A165" s="129" t="n"/>
      <c r="B165" s="130" t="n"/>
      <c r="C165" s="127" t="n"/>
      <c r="D165" s="127" t="n"/>
      <c r="E165" s="124">
        <f>IF($C165=0,0,$C165-$D165)</f>
        <v/>
      </c>
      <c r="F165" s="128" t="n"/>
      <c r="G165" s="129" t="n"/>
      <c r="H165" s="131" t="n"/>
      <c r="I165" s="124">
        <f>IF($E165=0,0,$E165*$H165)</f>
        <v/>
      </c>
      <c r="J165" s="124">
        <f>IF($I165=0,0,$I165-$E165)</f>
        <v/>
      </c>
      <c r="K165" s="124">
        <f>IF($J165=0,0,$J165*YenidegerFonOran)</f>
        <v/>
      </c>
      <c r="L165" s="124">
        <f>IF($G165=0,0,$J165/$G165)</f>
        <v/>
      </c>
      <c r="M165" s="124">
        <f>IF($L165=0,0,$L165*YenidegerKurumlarVergiOran)</f>
        <v/>
      </c>
      <c r="N165" s="124">
        <f>IFERROR(IF(YenidegerIskontoOrani=0,$M165*$G165,$M165*(1-1/(1+YenidegerIskontoOrani)^$G165)/YenidegerIskontoOrani),0)</f>
        <v/>
      </c>
      <c r="O165" s="124">
        <f>$N165-$K165</f>
        <v/>
      </c>
      <c r="P165" s="124">
        <f>IF($J165&lt;=0,"DEĞERLENDİR",IF($O165&gt;0,"YENİDEN DEĞERLE","DEĞERLENDİR"))</f>
        <v/>
      </c>
      <c r="Q165" s="124">
        <f>IF($B165="","",CONCATENATE("Kıymet: ",$B165," | Değer Artışı: ",TEXT($J165,"#,##0")))</f>
        <v/>
      </c>
    </row>
    <row r="166" ht="15.75" customHeight="1" s="81">
      <c r="A166" s="129" t="n"/>
      <c r="B166" s="130" t="n"/>
      <c r="C166" s="127" t="n"/>
      <c r="D166" s="127" t="n"/>
      <c r="E166" s="124">
        <f>IF($C166=0,0,$C166-$D166)</f>
        <v/>
      </c>
      <c r="F166" s="128" t="n"/>
      <c r="G166" s="129" t="n"/>
      <c r="H166" s="131" t="n"/>
      <c r="I166" s="124">
        <f>IF($E166=0,0,$E166*$H166)</f>
        <v/>
      </c>
      <c r="J166" s="124">
        <f>IF($I166=0,0,$I166-$E166)</f>
        <v/>
      </c>
      <c r="K166" s="124">
        <f>IF($J166=0,0,$J166*YenidegerFonOran)</f>
        <v/>
      </c>
      <c r="L166" s="124">
        <f>IF($G166=0,0,$J166/$G166)</f>
        <v/>
      </c>
      <c r="M166" s="124">
        <f>IF($L166=0,0,$L166*YenidegerKurumlarVergiOran)</f>
        <v/>
      </c>
      <c r="N166" s="124">
        <f>IFERROR(IF(YenidegerIskontoOrani=0,$M166*$G166,$M166*(1-1/(1+YenidegerIskontoOrani)^$G166)/YenidegerIskontoOrani),0)</f>
        <v/>
      </c>
      <c r="O166" s="124">
        <f>$N166-$K166</f>
        <v/>
      </c>
      <c r="P166" s="124">
        <f>IF($J166&lt;=0,"DEĞERLENDİR",IF($O166&gt;0,"YENİDEN DEĞERLE","DEĞERLENDİR"))</f>
        <v/>
      </c>
      <c r="Q166" s="124">
        <f>IF($B166="","",CONCATENATE("Kıymet: ",$B166," | Değer Artışı: ",TEXT($J166,"#,##0")))</f>
        <v/>
      </c>
    </row>
    <row r="167" ht="15.75" customHeight="1" s="81">
      <c r="A167" s="129" t="n"/>
      <c r="B167" s="130" t="n"/>
      <c r="C167" s="127" t="n"/>
      <c r="D167" s="127" t="n"/>
      <c r="E167" s="124">
        <f>IF($C167=0,0,$C167-$D167)</f>
        <v/>
      </c>
      <c r="F167" s="128" t="n"/>
      <c r="G167" s="129" t="n"/>
      <c r="H167" s="131" t="n"/>
      <c r="I167" s="124">
        <f>IF($E167=0,0,$E167*$H167)</f>
        <v/>
      </c>
      <c r="J167" s="124">
        <f>IF($I167=0,0,$I167-$E167)</f>
        <v/>
      </c>
      <c r="K167" s="124">
        <f>IF($J167=0,0,$J167*YenidegerFonOran)</f>
        <v/>
      </c>
      <c r="L167" s="124">
        <f>IF($G167=0,0,$J167/$G167)</f>
        <v/>
      </c>
      <c r="M167" s="124">
        <f>IF($L167=0,0,$L167*YenidegerKurumlarVergiOran)</f>
        <v/>
      </c>
      <c r="N167" s="124">
        <f>IFERROR(IF(YenidegerIskontoOrani=0,$M167*$G167,$M167*(1-1/(1+YenidegerIskontoOrani)^$G167)/YenidegerIskontoOrani),0)</f>
        <v/>
      </c>
      <c r="O167" s="124">
        <f>$N167-$K167</f>
        <v/>
      </c>
      <c r="P167" s="124">
        <f>IF($J167&lt;=0,"DEĞERLENDİR",IF($O167&gt;0,"YENİDEN DEĞERLE","DEĞERLENDİR"))</f>
        <v/>
      </c>
      <c r="Q167" s="124">
        <f>IF($B167="","",CONCATENATE("Kıymet: ",$B167," | Değer Artışı: ",TEXT($J167,"#,##0")))</f>
        <v/>
      </c>
    </row>
    <row r="168" ht="15.75" customHeight="1" s="81">
      <c r="A168" s="129" t="n"/>
      <c r="B168" s="130" t="n"/>
      <c r="C168" s="127" t="n"/>
      <c r="D168" s="127" t="n"/>
      <c r="E168" s="124">
        <f>IF($C168=0,0,$C168-$D168)</f>
        <v/>
      </c>
      <c r="F168" s="128" t="n"/>
      <c r="G168" s="129" t="n"/>
      <c r="H168" s="131" t="n"/>
      <c r="I168" s="124">
        <f>IF($E168=0,0,$E168*$H168)</f>
        <v/>
      </c>
      <c r="J168" s="124">
        <f>IF($I168=0,0,$I168-$E168)</f>
        <v/>
      </c>
      <c r="K168" s="124">
        <f>IF($J168=0,0,$J168*YenidegerFonOran)</f>
        <v/>
      </c>
      <c r="L168" s="124">
        <f>IF($G168=0,0,$J168/$G168)</f>
        <v/>
      </c>
      <c r="M168" s="124">
        <f>IF($L168=0,0,$L168*YenidegerKurumlarVergiOran)</f>
        <v/>
      </c>
      <c r="N168" s="124">
        <f>IFERROR(IF(YenidegerIskontoOrani=0,$M168*$G168,$M168*(1-1/(1+YenidegerIskontoOrani)^$G168)/YenidegerIskontoOrani),0)</f>
        <v/>
      </c>
      <c r="O168" s="124">
        <f>$N168-$K168</f>
        <v/>
      </c>
      <c r="P168" s="124">
        <f>IF($J168&lt;=0,"DEĞERLENDİR",IF($O168&gt;0,"YENİDEN DEĞERLE","DEĞERLENDİR"))</f>
        <v/>
      </c>
      <c r="Q168" s="124">
        <f>IF($B168="","",CONCATENATE("Kıymet: ",$B168," | Değer Artışı: ",TEXT($J168,"#,##0")))</f>
        <v/>
      </c>
    </row>
    <row r="169" ht="15.75" customHeight="1" s="81">
      <c r="A169" s="129" t="n"/>
      <c r="B169" s="130" t="n"/>
      <c r="C169" s="127" t="n"/>
      <c r="D169" s="127" t="n"/>
      <c r="E169" s="124">
        <f>IF($C169=0,0,$C169-$D169)</f>
        <v/>
      </c>
      <c r="F169" s="128" t="n"/>
      <c r="G169" s="129" t="n"/>
      <c r="H169" s="131" t="n"/>
      <c r="I169" s="124">
        <f>IF($E169=0,0,$E169*$H169)</f>
        <v/>
      </c>
      <c r="J169" s="124">
        <f>IF($I169=0,0,$I169-$E169)</f>
        <v/>
      </c>
      <c r="K169" s="124">
        <f>IF($J169=0,0,$J169*YenidegerFonOran)</f>
        <v/>
      </c>
      <c r="L169" s="124">
        <f>IF($G169=0,0,$J169/$G169)</f>
        <v/>
      </c>
      <c r="M169" s="124">
        <f>IF($L169=0,0,$L169*YenidegerKurumlarVergiOran)</f>
        <v/>
      </c>
      <c r="N169" s="124">
        <f>IFERROR(IF(YenidegerIskontoOrani=0,$M169*$G169,$M169*(1-1/(1+YenidegerIskontoOrani)^$G169)/YenidegerIskontoOrani),0)</f>
        <v/>
      </c>
      <c r="O169" s="124">
        <f>$N169-$K169</f>
        <v/>
      </c>
      <c r="P169" s="124">
        <f>IF($J169&lt;=0,"DEĞERLENDİR",IF($O169&gt;0,"YENİDEN DEĞERLE","DEĞERLENDİR"))</f>
        <v/>
      </c>
      <c r="Q169" s="124">
        <f>IF($B169="","",CONCATENATE("Kıymet: ",$B169," | Değer Artışı: ",TEXT($J169,"#,##0")))</f>
        <v/>
      </c>
    </row>
    <row r="170" ht="15.75" customHeight="1" s="81">
      <c r="A170" s="129" t="n"/>
      <c r="B170" s="130" t="n"/>
      <c r="C170" s="127" t="n"/>
      <c r="D170" s="127" t="n"/>
      <c r="E170" s="124">
        <f>IF($C170=0,0,$C170-$D170)</f>
        <v/>
      </c>
      <c r="F170" s="128" t="n"/>
      <c r="G170" s="129" t="n"/>
      <c r="H170" s="131" t="n"/>
      <c r="I170" s="124">
        <f>IF($E170=0,0,$E170*$H170)</f>
        <v/>
      </c>
      <c r="J170" s="124">
        <f>IF($I170=0,0,$I170-$E170)</f>
        <v/>
      </c>
      <c r="K170" s="124">
        <f>IF($J170=0,0,$J170*YenidegerFonOran)</f>
        <v/>
      </c>
      <c r="L170" s="124">
        <f>IF($G170=0,0,$J170/$G170)</f>
        <v/>
      </c>
      <c r="M170" s="124">
        <f>IF($L170=0,0,$L170*YenidegerKurumlarVergiOran)</f>
        <v/>
      </c>
      <c r="N170" s="124">
        <f>IFERROR(IF(YenidegerIskontoOrani=0,$M170*$G170,$M170*(1-1/(1+YenidegerIskontoOrani)^$G170)/YenidegerIskontoOrani),0)</f>
        <v/>
      </c>
      <c r="O170" s="124">
        <f>$N170-$K170</f>
        <v/>
      </c>
      <c r="P170" s="124">
        <f>IF($J170&lt;=0,"DEĞERLENDİR",IF($O170&gt;0,"YENİDEN DEĞERLE","DEĞERLENDİR"))</f>
        <v/>
      </c>
      <c r="Q170" s="124">
        <f>IF($B170="","",CONCATENATE("Kıymet: ",$B170," | Değer Artışı: ",TEXT($J170,"#,##0")))</f>
        <v/>
      </c>
    </row>
    <row r="171" ht="15.75" customHeight="1" s="81">
      <c r="A171" s="129" t="n"/>
      <c r="B171" s="130" t="n"/>
      <c r="C171" s="127" t="n"/>
      <c r="D171" s="127" t="n"/>
      <c r="E171" s="124">
        <f>IF($C171=0,0,$C171-$D171)</f>
        <v/>
      </c>
      <c r="F171" s="128" t="n"/>
      <c r="G171" s="129" t="n"/>
      <c r="H171" s="131" t="n"/>
      <c r="I171" s="124">
        <f>IF($E171=0,0,$E171*$H171)</f>
        <v/>
      </c>
      <c r="J171" s="124">
        <f>IF($I171=0,0,$I171-$E171)</f>
        <v/>
      </c>
      <c r="K171" s="124">
        <f>IF($J171=0,0,$J171*YenidegerFonOran)</f>
        <v/>
      </c>
      <c r="L171" s="124">
        <f>IF($G171=0,0,$J171/$G171)</f>
        <v/>
      </c>
      <c r="M171" s="124">
        <f>IF($L171=0,0,$L171*YenidegerKurumlarVergiOran)</f>
        <v/>
      </c>
      <c r="N171" s="124">
        <f>IFERROR(IF(YenidegerIskontoOrani=0,$M171*$G171,$M171*(1-1/(1+YenidegerIskontoOrani)^$G171)/YenidegerIskontoOrani),0)</f>
        <v/>
      </c>
      <c r="O171" s="124">
        <f>$N171-$K171</f>
        <v/>
      </c>
      <c r="P171" s="124">
        <f>IF($J171&lt;=0,"DEĞERLENDİR",IF($O171&gt;0,"YENİDEN DEĞERLE","DEĞERLENDİR"))</f>
        <v/>
      </c>
      <c r="Q171" s="124">
        <f>IF($B171="","",CONCATENATE("Kıymet: ",$B171," | Değer Artışı: ",TEXT($J171,"#,##0")))</f>
        <v/>
      </c>
    </row>
    <row r="172" ht="15.75" customHeight="1" s="81">
      <c r="A172" s="129" t="n"/>
      <c r="B172" s="130" t="n"/>
      <c r="C172" s="127" t="n"/>
      <c r="D172" s="127" t="n"/>
      <c r="E172" s="124">
        <f>IF($C172=0,0,$C172-$D172)</f>
        <v/>
      </c>
      <c r="F172" s="128" t="n"/>
      <c r="G172" s="129" t="n"/>
      <c r="H172" s="131" t="n"/>
      <c r="I172" s="124">
        <f>IF($E172=0,0,$E172*$H172)</f>
        <v/>
      </c>
      <c r="J172" s="124">
        <f>IF($I172=0,0,$I172-$E172)</f>
        <v/>
      </c>
      <c r="K172" s="124">
        <f>IF($J172=0,0,$J172*YenidegerFonOran)</f>
        <v/>
      </c>
      <c r="L172" s="124">
        <f>IF($G172=0,0,$J172/$G172)</f>
        <v/>
      </c>
      <c r="M172" s="124">
        <f>IF($L172=0,0,$L172*YenidegerKurumlarVergiOran)</f>
        <v/>
      </c>
      <c r="N172" s="124">
        <f>IFERROR(IF(YenidegerIskontoOrani=0,$M172*$G172,$M172*(1-1/(1+YenidegerIskontoOrani)^$G172)/YenidegerIskontoOrani),0)</f>
        <v/>
      </c>
      <c r="O172" s="124">
        <f>$N172-$K172</f>
        <v/>
      </c>
      <c r="P172" s="124">
        <f>IF($J172&lt;=0,"DEĞERLENDİR",IF($O172&gt;0,"YENİDEN DEĞERLE","DEĞERLENDİR"))</f>
        <v/>
      </c>
      <c r="Q172" s="124">
        <f>IF($B172="","",CONCATENATE("Kıymet: ",$B172," | Değer Artışı: ",TEXT($J172,"#,##0")))</f>
        <v/>
      </c>
    </row>
    <row r="173" ht="15.75" customHeight="1" s="81">
      <c r="A173" s="129" t="n"/>
      <c r="B173" s="130" t="n"/>
      <c r="C173" s="127" t="n"/>
      <c r="D173" s="127" t="n"/>
      <c r="E173" s="124">
        <f>IF($C173=0,0,$C173-$D173)</f>
        <v/>
      </c>
      <c r="F173" s="128" t="n"/>
      <c r="G173" s="129" t="n"/>
      <c r="H173" s="131" t="n"/>
      <c r="I173" s="124">
        <f>IF($E173=0,0,$E173*$H173)</f>
        <v/>
      </c>
      <c r="J173" s="124">
        <f>IF($I173=0,0,$I173-$E173)</f>
        <v/>
      </c>
      <c r="K173" s="124">
        <f>IF($J173=0,0,$J173*YenidegerFonOran)</f>
        <v/>
      </c>
      <c r="L173" s="124">
        <f>IF($G173=0,0,$J173/$G173)</f>
        <v/>
      </c>
      <c r="M173" s="124">
        <f>IF($L173=0,0,$L173*YenidegerKurumlarVergiOran)</f>
        <v/>
      </c>
      <c r="N173" s="124">
        <f>IFERROR(IF(YenidegerIskontoOrani=0,$M173*$G173,$M173*(1-1/(1+YenidegerIskontoOrani)^$G173)/YenidegerIskontoOrani),0)</f>
        <v/>
      </c>
      <c r="O173" s="124">
        <f>$N173-$K173</f>
        <v/>
      </c>
      <c r="P173" s="124">
        <f>IF($J173&lt;=0,"DEĞERLENDİR",IF($O173&gt;0,"YENİDEN DEĞERLE","DEĞERLENDİR"))</f>
        <v/>
      </c>
      <c r="Q173" s="124">
        <f>IF($B173="","",CONCATENATE("Kıymet: ",$B173," | Değer Artışı: ",TEXT($J173,"#,##0")))</f>
        <v/>
      </c>
    </row>
    <row r="174" ht="15.75" customHeight="1" s="81">
      <c r="A174" s="129" t="n"/>
      <c r="B174" s="130" t="n"/>
      <c r="C174" s="127" t="n"/>
      <c r="D174" s="127" t="n"/>
      <c r="E174" s="124">
        <f>IF($C174=0,0,$C174-$D174)</f>
        <v/>
      </c>
      <c r="F174" s="128" t="n"/>
      <c r="G174" s="129" t="n"/>
      <c r="H174" s="131" t="n"/>
      <c r="I174" s="124">
        <f>IF($E174=0,0,$E174*$H174)</f>
        <v/>
      </c>
      <c r="J174" s="124">
        <f>IF($I174=0,0,$I174-$E174)</f>
        <v/>
      </c>
      <c r="K174" s="124">
        <f>IF($J174=0,0,$J174*YenidegerFonOran)</f>
        <v/>
      </c>
      <c r="L174" s="124">
        <f>IF($G174=0,0,$J174/$G174)</f>
        <v/>
      </c>
      <c r="M174" s="124">
        <f>IF($L174=0,0,$L174*YenidegerKurumlarVergiOran)</f>
        <v/>
      </c>
      <c r="N174" s="124">
        <f>IFERROR(IF(YenidegerIskontoOrani=0,$M174*$G174,$M174*(1-1/(1+YenidegerIskontoOrani)^$G174)/YenidegerIskontoOrani),0)</f>
        <v/>
      </c>
      <c r="O174" s="124">
        <f>$N174-$K174</f>
        <v/>
      </c>
      <c r="P174" s="124">
        <f>IF($J174&lt;=0,"DEĞERLENDİR",IF($O174&gt;0,"YENİDEN DEĞERLE","DEĞERLENDİR"))</f>
        <v/>
      </c>
      <c r="Q174" s="124">
        <f>IF($B174="","",CONCATENATE("Kıymet: ",$B174," | Değer Artışı: ",TEXT($J174,"#,##0")))</f>
        <v/>
      </c>
    </row>
    <row r="175" ht="15.75" customHeight="1" s="81">
      <c r="A175" s="129" t="n"/>
      <c r="B175" s="130" t="n"/>
      <c r="C175" s="127" t="n"/>
      <c r="D175" s="127" t="n"/>
      <c r="E175" s="124">
        <f>IF($C175=0,0,$C175-$D175)</f>
        <v/>
      </c>
      <c r="F175" s="128" t="n"/>
      <c r="G175" s="129" t="n"/>
      <c r="H175" s="131" t="n"/>
      <c r="I175" s="124">
        <f>IF($E175=0,0,$E175*$H175)</f>
        <v/>
      </c>
      <c r="J175" s="124">
        <f>IF($I175=0,0,$I175-$E175)</f>
        <v/>
      </c>
      <c r="K175" s="124">
        <f>IF($J175=0,0,$J175*YenidegerFonOran)</f>
        <v/>
      </c>
      <c r="L175" s="124">
        <f>IF($G175=0,0,$J175/$G175)</f>
        <v/>
      </c>
      <c r="M175" s="124">
        <f>IF($L175=0,0,$L175*YenidegerKurumlarVergiOran)</f>
        <v/>
      </c>
      <c r="N175" s="124">
        <f>IFERROR(IF(YenidegerIskontoOrani=0,$M175*$G175,$M175*(1-1/(1+YenidegerIskontoOrani)^$G175)/YenidegerIskontoOrani),0)</f>
        <v/>
      </c>
      <c r="O175" s="124">
        <f>$N175-$K175</f>
        <v/>
      </c>
      <c r="P175" s="124">
        <f>IF($J175&lt;=0,"DEĞERLENDİR",IF($O175&gt;0,"YENİDEN DEĞERLE","DEĞERLENDİR"))</f>
        <v/>
      </c>
      <c r="Q175" s="124">
        <f>IF($B175="","",CONCATENATE("Kıymet: ",$B175," | Değer Artışı: ",TEXT($J175,"#,##0")))</f>
        <v/>
      </c>
    </row>
    <row r="176" ht="15.75" customHeight="1" s="81">
      <c r="A176" s="129" t="n"/>
      <c r="B176" s="130" t="n"/>
      <c r="C176" s="127" t="n"/>
      <c r="D176" s="127" t="n"/>
      <c r="E176" s="124">
        <f>IF($C176=0,0,$C176-$D176)</f>
        <v/>
      </c>
      <c r="F176" s="128" t="n"/>
      <c r="G176" s="129" t="n"/>
      <c r="H176" s="131" t="n"/>
      <c r="I176" s="124">
        <f>IF($E176=0,0,$E176*$H176)</f>
        <v/>
      </c>
      <c r="J176" s="124">
        <f>IF($I176=0,0,$I176-$E176)</f>
        <v/>
      </c>
      <c r="K176" s="124">
        <f>IF($J176=0,0,$J176*YenidegerFonOran)</f>
        <v/>
      </c>
      <c r="L176" s="124">
        <f>IF($G176=0,0,$J176/$G176)</f>
        <v/>
      </c>
      <c r="M176" s="124">
        <f>IF($L176=0,0,$L176*YenidegerKurumlarVergiOran)</f>
        <v/>
      </c>
      <c r="N176" s="124">
        <f>IFERROR(IF(YenidegerIskontoOrani=0,$M176*$G176,$M176*(1-1/(1+YenidegerIskontoOrani)^$G176)/YenidegerIskontoOrani),0)</f>
        <v/>
      </c>
      <c r="O176" s="124">
        <f>$N176-$K176</f>
        <v/>
      </c>
      <c r="P176" s="124">
        <f>IF($J176&lt;=0,"DEĞERLENDİR",IF($O176&gt;0,"YENİDEN DEĞERLE","DEĞERLENDİR"))</f>
        <v/>
      </c>
      <c r="Q176" s="124">
        <f>IF($B176="","",CONCATENATE("Kıymet: ",$B176," | Değer Artışı: ",TEXT($J176,"#,##0")))</f>
        <v/>
      </c>
    </row>
    <row r="177" ht="15.75" customHeight="1" s="81">
      <c r="A177" s="129" t="n"/>
      <c r="B177" s="130" t="n"/>
      <c r="C177" s="127" t="n"/>
      <c r="D177" s="127" t="n"/>
      <c r="E177" s="124">
        <f>IF($C177=0,0,$C177-$D177)</f>
        <v/>
      </c>
      <c r="F177" s="128" t="n"/>
      <c r="G177" s="129" t="n"/>
      <c r="H177" s="131" t="n"/>
      <c r="I177" s="124">
        <f>IF($E177=0,0,$E177*$H177)</f>
        <v/>
      </c>
      <c r="J177" s="124">
        <f>IF($I177=0,0,$I177-$E177)</f>
        <v/>
      </c>
      <c r="K177" s="124">
        <f>IF($J177=0,0,$J177*YenidegerFonOran)</f>
        <v/>
      </c>
      <c r="L177" s="124">
        <f>IF($G177=0,0,$J177/$G177)</f>
        <v/>
      </c>
      <c r="M177" s="124">
        <f>IF($L177=0,0,$L177*YenidegerKurumlarVergiOran)</f>
        <v/>
      </c>
      <c r="N177" s="124">
        <f>IFERROR(IF(YenidegerIskontoOrani=0,$M177*$G177,$M177*(1-1/(1+YenidegerIskontoOrani)^$G177)/YenidegerIskontoOrani),0)</f>
        <v/>
      </c>
      <c r="O177" s="124">
        <f>$N177-$K177</f>
        <v/>
      </c>
      <c r="P177" s="124">
        <f>IF($J177&lt;=0,"DEĞERLENDİR",IF($O177&gt;0,"YENİDEN DEĞERLE","DEĞERLENDİR"))</f>
        <v/>
      </c>
      <c r="Q177" s="124">
        <f>IF($B177="","",CONCATENATE("Kıymet: ",$B177," | Değer Artışı: ",TEXT($J177,"#,##0")))</f>
        <v/>
      </c>
    </row>
    <row r="178" ht="15.75" customHeight="1" s="81">
      <c r="A178" s="129" t="n"/>
      <c r="B178" s="130" t="n"/>
      <c r="C178" s="127" t="n"/>
      <c r="D178" s="127" t="n"/>
      <c r="E178" s="124">
        <f>IF($C178=0,0,$C178-$D178)</f>
        <v/>
      </c>
      <c r="F178" s="128" t="n"/>
      <c r="G178" s="129" t="n"/>
      <c r="H178" s="131" t="n"/>
      <c r="I178" s="124">
        <f>IF($E178=0,0,$E178*$H178)</f>
        <v/>
      </c>
      <c r="J178" s="124">
        <f>IF($I178=0,0,$I178-$E178)</f>
        <v/>
      </c>
      <c r="K178" s="124">
        <f>IF($J178=0,0,$J178*YenidegerFonOran)</f>
        <v/>
      </c>
      <c r="L178" s="124">
        <f>IF($G178=0,0,$J178/$G178)</f>
        <v/>
      </c>
      <c r="M178" s="124">
        <f>IF($L178=0,0,$L178*YenidegerKurumlarVergiOran)</f>
        <v/>
      </c>
      <c r="N178" s="124">
        <f>IFERROR(IF(YenidegerIskontoOrani=0,$M178*$G178,$M178*(1-1/(1+YenidegerIskontoOrani)^$G178)/YenidegerIskontoOrani),0)</f>
        <v/>
      </c>
      <c r="O178" s="124">
        <f>$N178-$K178</f>
        <v/>
      </c>
      <c r="P178" s="124">
        <f>IF($J178&lt;=0,"DEĞERLENDİR",IF($O178&gt;0,"YENİDEN DEĞERLE","DEĞERLENDİR"))</f>
        <v/>
      </c>
      <c r="Q178" s="124">
        <f>IF($B178="","",CONCATENATE("Kıymet: ",$B178," | Değer Artışı: ",TEXT($J178,"#,##0")))</f>
        <v/>
      </c>
    </row>
    <row r="179" ht="15.75" customHeight="1" s="81">
      <c r="A179" s="129" t="n"/>
      <c r="B179" s="130" t="n"/>
      <c r="C179" s="127" t="n"/>
      <c r="D179" s="127" t="n"/>
      <c r="E179" s="124">
        <f>IF($C179=0,0,$C179-$D179)</f>
        <v/>
      </c>
      <c r="F179" s="128" t="n"/>
      <c r="G179" s="129" t="n"/>
      <c r="H179" s="131" t="n"/>
      <c r="I179" s="124">
        <f>IF($E179=0,0,$E179*$H179)</f>
        <v/>
      </c>
      <c r="J179" s="124">
        <f>IF($I179=0,0,$I179-$E179)</f>
        <v/>
      </c>
      <c r="K179" s="124">
        <f>IF($J179=0,0,$J179*YenidegerFonOran)</f>
        <v/>
      </c>
      <c r="L179" s="124">
        <f>IF($G179=0,0,$J179/$G179)</f>
        <v/>
      </c>
      <c r="M179" s="124">
        <f>IF($L179=0,0,$L179*YenidegerKurumlarVergiOran)</f>
        <v/>
      </c>
      <c r="N179" s="124">
        <f>IFERROR(IF(YenidegerIskontoOrani=0,$M179*$G179,$M179*(1-1/(1+YenidegerIskontoOrani)^$G179)/YenidegerIskontoOrani),0)</f>
        <v/>
      </c>
      <c r="O179" s="124">
        <f>$N179-$K179</f>
        <v/>
      </c>
      <c r="P179" s="124">
        <f>IF($J179&lt;=0,"DEĞERLENDİR",IF($O179&gt;0,"YENİDEN DEĞERLE","DEĞERLENDİR"))</f>
        <v/>
      </c>
      <c r="Q179" s="124">
        <f>IF($B179="","",CONCATENATE("Kıymet: ",$B179," | Değer Artışı: ",TEXT($J179,"#,##0")))</f>
        <v/>
      </c>
    </row>
    <row r="180" ht="15.75" customHeight="1" s="81">
      <c r="A180" s="129" t="n"/>
      <c r="B180" s="130" t="n"/>
      <c r="C180" s="127" t="n"/>
      <c r="D180" s="127" t="n"/>
      <c r="E180" s="124">
        <f>IF($C180=0,0,$C180-$D180)</f>
        <v/>
      </c>
      <c r="F180" s="128" t="n"/>
      <c r="G180" s="129" t="n"/>
      <c r="H180" s="131" t="n"/>
      <c r="I180" s="124">
        <f>IF($E180=0,0,$E180*$H180)</f>
        <v/>
      </c>
      <c r="J180" s="124">
        <f>IF($I180=0,0,$I180-$E180)</f>
        <v/>
      </c>
      <c r="K180" s="124">
        <f>IF($J180=0,0,$J180*YenidegerFonOran)</f>
        <v/>
      </c>
      <c r="L180" s="124">
        <f>IF($G180=0,0,$J180/$G180)</f>
        <v/>
      </c>
      <c r="M180" s="124">
        <f>IF($L180=0,0,$L180*YenidegerKurumlarVergiOran)</f>
        <v/>
      </c>
      <c r="N180" s="124">
        <f>IFERROR(IF(YenidegerIskontoOrani=0,$M180*$G180,$M180*(1-1/(1+YenidegerIskontoOrani)^$G180)/YenidegerIskontoOrani),0)</f>
        <v/>
      </c>
      <c r="O180" s="124">
        <f>$N180-$K180</f>
        <v/>
      </c>
      <c r="P180" s="124">
        <f>IF($J180&lt;=0,"DEĞERLENDİR",IF($O180&gt;0,"YENİDEN DEĞERLE","DEĞERLENDİR"))</f>
        <v/>
      </c>
      <c r="Q180" s="124">
        <f>IF($B180="","",CONCATENATE("Kıymet: ",$B180," | Değer Artışı: ",TEXT($J180,"#,##0")))</f>
        <v/>
      </c>
    </row>
    <row r="181" ht="15.75" customHeight="1" s="81">
      <c r="A181" s="129" t="n"/>
      <c r="B181" s="130" t="n"/>
      <c r="C181" s="127" t="n"/>
      <c r="D181" s="127" t="n"/>
      <c r="E181" s="124">
        <f>IF($C181=0,0,$C181-$D181)</f>
        <v/>
      </c>
      <c r="F181" s="128" t="n"/>
      <c r="G181" s="129" t="n"/>
      <c r="H181" s="131" t="n"/>
      <c r="I181" s="124">
        <f>IF($E181=0,0,$E181*$H181)</f>
        <v/>
      </c>
      <c r="J181" s="124">
        <f>IF($I181=0,0,$I181-$E181)</f>
        <v/>
      </c>
      <c r="K181" s="124">
        <f>IF($J181=0,0,$J181*YenidegerFonOran)</f>
        <v/>
      </c>
      <c r="L181" s="124">
        <f>IF($G181=0,0,$J181/$G181)</f>
        <v/>
      </c>
      <c r="M181" s="124">
        <f>IF($L181=0,0,$L181*YenidegerKurumlarVergiOran)</f>
        <v/>
      </c>
      <c r="N181" s="124">
        <f>IFERROR(IF(YenidegerIskontoOrani=0,$M181*$G181,$M181*(1-1/(1+YenidegerIskontoOrani)^$G181)/YenidegerIskontoOrani),0)</f>
        <v/>
      </c>
      <c r="O181" s="124">
        <f>$N181-$K181</f>
        <v/>
      </c>
      <c r="P181" s="124">
        <f>IF($J181&lt;=0,"DEĞERLENDİR",IF($O181&gt;0,"YENİDEN DEĞERLE","DEĞERLENDİR"))</f>
        <v/>
      </c>
      <c r="Q181" s="124">
        <f>IF($B181="","",CONCATENATE("Kıymet: ",$B181," | Değer Artışı: ",TEXT($J181,"#,##0")))</f>
        <v/>
      </c>
    </row>
    <row r="182" ht="15.75" customHeight="1" s="81">
      <c r="A182" s="129" t="n"/>
      <c r="B182" s="130" t="n"/>
      <c r="C182" s="127" t="n"/>
      <c r="D182" s="127" t="n"/>
      <c r="E182" s="124">
        <f>IF($C182=0,0,$C182-$D182)</f>
        <v/>
      </c>
      <c r="F182" s="128" t="n"/>
      <c r="G182" s="129" t="n"/>
      <c r="H182" s="131" t="n"/>
      <c r="I182" s="124">
        <f>IF($E182=0,0,$E182*$H182)</f>
        <v/>
      </c>
      <c r="J182" s="124">
        <f>IF($I182=0,0,$I182-$E182)</f>
        <v/>
      </c>
      <c r="K182" s="124">
        <f>IF($J182=0,0,$J182*YenidegerFonOran)</f>
        <v/>
      </c>
      <c r="L182" s="124">
        <f>IF($G182=0,0,$J182/$G182)</f>
        <v/>
      </c>
      <c r="M182" s="124">
        <f>IF($L182=0,0,$L182*YenidegerKurumlarVergiOran)</f>
        <v/>
      </c>
      <c r="N182" s="124">
        <f>IFERROR(IF(YenidegerIskontoOrani=0,$M182*$G182,$M182*(1-1/(1+YenidegerIskontoOrani)^$G182)/YenidegerIskontoOrani),0)</f>
        <v/>
      </c>
      <c r="O182" s="124">
        <f>$N182-$K182</f>
        <v/>
      </c>
      <c r="P182" s="124">
        <f>IF($J182&lt;=0,"DEĞERLENDİR",IF($O182&gt;0,"YENİDEN DEĞERLE","DEĞERLENDİR"))</f>
        <v/>
      </c>
      <c r="Q182" s="124">
        <f>IF($B182="","",CONCATENATE("Kıymet: ",$B182," | Değer Artışı: ",TEXT($J182,"#,##0")))</f>
        <v/>
      </c>
    </row>
    <row r="183" ht="15.75" customHeight="1" s="81">
      <c r="A183" s="129" t="n"/>
      <c r="B183" s="130" t="n"/>
      <c r="C183" s="127" t="n"/>
      <c r="D183" s="127" t="n"/>
      <c r="E183" s="124">
        <f>IF($C183=0,0,$C183-$D183)</f>
        <v/>
      </c>
      <c r="F183" s="128" t="n"/>
      <c r="G183" s="129" t="n"/>
      <c r="H183" s="131" t="n"/>
      <c r="I183" s="124">
        <f>IF($E183=0,0,$E183*$H183)</f>
        <v/>
      </c>
      <c r="J183" s="124">
        <f>IF($I183=0,0,$I183-$E183)</f>
        <v/>
      </c>
      <c r="K183" s="124">
        <f>IF($J183=0,0,$J183*YenidegerFonOran)</f>
        <v/>
      </c>
      <c r="L183" s="124">
        <f>IF($G183=0,0,$J183/$G183)</f>
        <v/>
      </c>
      <c r="M183" s="124">
        <f>IF($L183=0,0,$L183*YenidegerKurumlarVergiOran)</f>
        <v/>
      </c>
      <c r="N183" s="124">
        <f>IFERROR(IF(YenidegerIskontoOrani=0,$M183*$G183,$M183*(1-1/(1+YenidegerIskontoOrani)^$G183)/YenidegerIskontoOrani),0)</f>
        <v/>
      </c>
      <c r="O183" s="124">
        <f>$N183-$K183</f>
        <v/>
      </c>
      <c r="P183" s="124">
        <f>IF($J183&lt;=0,"DEĞERLENDİR",IF($O183&gt;0,"YENİDEN DEĞERLE","DEĞERLENDİR"))</f>
        <v/>
      </c>
      <c r="Q183" s="124">
        <f>IF($B183="","",CONCATENATE("Kıymet: ",$B183," | Değer Artışı: ",TEXT($J183,"#,##0")))</f>
        <v/>
      </c>
    </row>
    <row r="184" ht="15.75" customHeight="1" s="81">
      <c r="A184" s="129" t="n"/>
      <c r="B184" s="130" t="n"/>
      <c r="C184" s="127" t="n"/>
      <c r="D184" s="127" t="n"/>
      <c r="E184" s="124">
        <f>IF($C184=0,0,$C184-$D184)</f>
        <v/>
      </c>
      <c r="F184" s="128" t="n"/>
      <c r="G184" s="129" t="n"/>
      <c r="H184" s="131" t="n"/>
      <c r="I184" s="124">
        <f>IF($E184=0,0,$E184*$H184)</f>
        <v/>
      </c>
      <c r="J184" s="124">
        <f>IF($I184=0,0,$I184-$E184)</f>
        <v/>
      </c>
      <c r="K184" s="124">
        <f>IF($J184=0,0,$J184*YenidegerFonOran)</f>
        <v/>
      </c>
      <c r="L184" s="124">
        <f>IF($G184=0,0,$J184/$G184)</f>
        <v/>
      </c>
      <c r="M184" s="124">
        <f>IF($L184=0,0,$L184*YenidegerKurumlarVergiOran)</f>
        <v/>
      </c>
      <c r="N184" s="124">
        <f>IFERROR(IF(YenidegerIskontoOrani=0,$M184*$G184,$M184*(1-1/(1+YenidegerIskontoOrani)^$G184)/YenidegerIskontoOrani),0)</f>
        <v/>
      </c>
      <c r="O184" s="124">
        <f>$N184-$K184</f>
        <v/>
      </c>
      <c r="P184" s="124">
        <f>IF($J184&lt;=0,"DEĞERLENDİR",IF($O184&gt;0,"YENİDEN DEĞERLE","DEĞERLENDİR"))</f>
        <v/>
      </c>
      <c r="Q184" s="124">
        <f>IF($B184="","",CONCATENATE("Kıymet: ",$B184," | Değer Artışı: ",TEXT($J184,"#,##0")))</f>
        <v/>
      </c>
    </row>
    <row r="185" ht="15.75" customHeight="1" s="81">
      <c r="A185" s="129" t="n"/>
      <c r="B185" s="130" t="n"/>
      <c r="C185" s="127" t="n"/>
      <c r="D185" s="127" t="n"/>
      <c r="E185" s="124">
        <f>IF($C185=0,0,$C185-$D185)</f>
        <v/>
      </c>
      <c r="F185" s="128" t="n"/>
      <c r="G185" s="129" t="n"/>
      <c r="H185" s="131" t="n"/>
      <c r="I185" s="124">
        <f>IF($E185=0,0,$E185*$H185)</f>
        <v/>
      </c>
      <c r="J185" s="124">
        <f>IF($I185=0,0,$I185-$E185)</f>
        <v/>
      </c>
      <c r="K185" s="124">
        <f>IF($J185=0,0,$J185*YenidegerFonOran)</f>
        <v/>
      </c>
      <c r="L185" s="124">
        <f>IF($G185=0,0,$J185/$G185)</f>
        <v/>
      </c>
      <c r="M185" s="124">
        <f>IF($L185=0,0,$L185*YenidegerKurumlarVergiOran)</f>
        <v/>
      </c>
      <c r="N185" s="124">
        <f>IFERROR(IF(YenidegerIskontoOrani=0,$M185*$G185,$M185*(1-1/(1+YenidegerIskontoOrani)^$G185)/YenidegerIskontoOrani),0)</f>
        <v/>
      </c>
      <c r="O185" s="124">
        <f>$N185-$K185</f>
        <v/>
      </c>
      <c r="P185" s="124">
        <f>IF($J185&lt;=0,"DEĞERLENDİR",IF($O185&gt;0,"YENİDEN DEĞERLE","DEĞERLENDİR"))</f>
        <v/>
      </c>
      <c r="Q185" s="124">
        <f>IF($B185="","",CONCATENATE("Kıymet: ",$B185," | Değer Artışı: ",TEXT($J185,"#,##0")))</f>
        <v/>
      </c>
    </row>
    <row r="186" ht="15.75" customHeight="1" s="81">
      <c r="A186" s="129" t="n"/>
      <c r="B186" s="130" t="n"/>
      <c r="C186" s="127" t="n"/>
      <c r="D186" s="127" t="n"/>
      <c r="E186" s="124">
        <f>IF($C186=0,0,$C186-$D186)</f>
        <v/>
      </c>
      <c r="F186" s="128" t="n"/>
      <c r="G186" s="129" t="n"/>
      <c r="H186" s="131" t="n"/>
      <c r="I186" s="124">
        <f>IF($E186=0,0,$E186*$H186)</f>
        <v/>
      </c>
      <c r="J186" s="124">
        <f>IF($I186=0,0,$I186-$E186)</f>
        <v/>
      </c>
      <c r="K186" s="124">
        <f>IF($J186=0,0,$J186*YenidegerFonOran)</f>
        <v/>
      </c>
      <c r="L186" s="124">
        <f>IF($G186=0,0,$J186/$G186)</f>
        <v/>
      </c>
      <c r="M186" s="124">
        <f>IF($L186=0,0,$L186*YenidegerKurumlarVergiOran)</f>
        <v/>
      </c>
      <c r="N186" s="124">
        <f>IFERROR(IF(YenidegerIskontoOrani=0,$M186*$G186,$M186*(1-1/(1+YenidegerIskontoOrani)^$G186)/YenidegerIskontoOrani),0)</f>
        <v/>
      </c>
      <c r="O186" s="124">
        <f>$N186-$K186</f>
        <v/>
      </c>
      <c r="P186" s="124">
        <f>IF($J186&lt;=0,"DEĞERLENDİR",IF($O186&gt;0,"YENİDEN DEĞERLE","DEĞERLENDİR"))</f>
        <v/>
      </c>
      <c r="Q186" s="124">
        <f>IF($B186="","",CONCATENATE("Kıymet: ",$B186," | Değer Artışı: ",TEXT($J186,"#,##0")))</f>
        <v/>
      </c>
    </row>
    <row r="187" ht="15.75" customHeight="1" s="81">
      <c r="A187" s="129" t="n"/>
      <c r="B187" s="130" t="n"/>
      <c r="C187" s="127" t="n"/>
      <c r="D187" s="127" t="n"/>
      <c r="E187" s="124">
        <f>IF($C187=0,0,$C187-$D187)</f>
        <v/>
      </c>
      <c r="F187" s="128" t="n"/>
      <c r="G187" s="129" t="n"/>
      <c r="H187" s="131" t="n"/>
      <c r="I187" s="124">
        <f>IF($E187=0,0,$E187*$H187)</f>
        <v/>
      </c>
      <c r="J187" s="124">
        <f>IF($I187=0,0,$I187-$E187)</f>
        <v/>
      </c>
      <c r="K187" s="124">
        <f>IF($J187=0,0,$J187*YenidegerFonOran)</f>
        <v/>
      </c>
      <c r="L187" s="124">
        <f>IF($G187=0,0,$J187/$G187)</f>
        <v/>
      </c>
      <c r="M187" s="124">
        <f>IF($L187=0,0,$L187*YenidegerKurumlarVergiOran)</f>
        <v/>
      </c>
      <c r="N187" s="124">
        <f>IFERROR(IF(YenidegerIskontoOrani=0,$M187*$G187,$M187*(1-1/(1+YenidegerIskontoOrani)^$G187)/YenidegerIskontoOrani),0)</f>
        <v/>
      </c>
      <c r="O187" s="124">
        <f>$N187-$K187</f>
        <v/>
      </c>
      <c r="P187" s="124">
        <f>IF($J187&lt;=0,"DEĞERLENDİR",IF($O187&gt;0,"YENİDEN DEĞERLE","DEĞERLENDİR"))</f>
        <v/>
      </c>
      <c r="Q187" s="124">
        <f>IF($B187="","",CONCATENATE("Kıymet: ",$B187," | Değer Artışı: ",TEXT($J187,"#,##0")))</f>
        <v/>
      </c>
    </row>
    <row r="188" ht="15.75" customHeight="1" s="81">
      <c r="A188" s="129" t="n"/>
      <c r="B188" s="130" t="n"/>
      <c r="C188" s="127" t="n"/>
      <c r="D188" s="127" t="n"/>
      <c r="E188" s="124">
        <f>IF($C188=0,0,$C188-$D188)</f>
        <v/>
      </c>
      <c r="F188" s="128" t="n"/>
      <c r="G188" s="129" t="n"/>
      <c r="H188" s="131" t="n"/>
      <c r="I188" s="124">
        <f>IF($E188=0,0,$E188*$H188)</f>
        <v/>
      </c>
      <c r="J188" s="124">
        <f>IF($I188=0,0,$I188-$E188)</f>
        <v/>
      </c>
      <c r="K188" s="124">
        <f>IF($J188=0,0,$J188*YenidegerFonOran)</f>
        <v/>
      </c>
      <c r="L188" s="124">
        <f>IF($G188=0,0,$J188/$G188)</f>
        <v/>
      </c>
      <c r="M188" s="124">
        <f>IF($L188=0,0,$L188*YenidegerKurumlarVergiOran)</f>
        <v/>
      </c>
      <c r="N188" s="124">
        <f>IFERROR(IF(YenidegerIskontoOrani=0,$M188*$G188,$M188*(1-1/(1+YenidegerIskontoOrani)^$G188)/YenidegerIskontoOrani),0)</f>
        <v/>
      </c>
      <c r="O188" s="124">
        <f>$N188-$K188</f>
        <v/>
      </c>
      <c r="P188" s="124">
        <f>IF($J188&lt;=0,"DEĞERLENDİR",IF($O188&gt;0,"YENİDEN DEĞERLE","DEĞERLENDİR"))</f>
        <v/>
      </c>
      <c r="Q188" s="124">
        <f>IF($B188="","",CONCATENATE("Kıymet: ",$B188," | Değer Artışı: ",TEXT($J188,"#,##0")))</f>
        <v/>
      </c>
    </row>
    <row r="189" ht="15.75" customHeight="1" s="81">
      <c r="A189" s="129" t="n"/>
      <c r="B189" s="130" t="n"/>
      <c r="C189" s="127" t="n"/>
      <c r="D189" s="127" t="n"/>
      <c r="E189" s="124">
        <f>IF($C189=0,0,$C189-$D189)</f>
        <v/>
      </c>
      <c r="F189" s="128" t="n"/>
      <c r="G189" s="129" t="n"/>
      <c r="H189" s="131" t="n"/>
      <c r="I189" s="124">
        <f>IF($E189=0,0,$E189*$H189)</f>
        <v/>
      </c>
      <c r="J189" s="124">
        <f>IF($I189=0,0,$I189-$E189)</f>
        <v/>
      </c>
      <c r="K189" s="124">
        <f>IF($J189=0,0,$J189*YenidegerFonOran)</f>
        <v/>
      </c>
      <c r="L189" s="124">
        <f>IF($G189=0,0,$J189/$G189)</f>
        <v/>
      </c>
      <c r="M189" s="124">
        <f>IF($L189=0,0,$L189*YenidegerKurumlarVergiOran)</f>
        <v/>
      </c>
      <c r="N189" s="124">
        <f>IFERROR(IF(YenidegerIskontoOrani=0,$M189*$G189,$M189*(1-1/(1+YenidegerIskontoOrani)^$G189)/YenidegerIskontoOrani),0)</f>
        <v/>
      </c>
      <c r="O189" s="124">
        <f>$N189-$K189</f>
        <v/>
      </c>
      <c r="P189" s="124">
        <f>IF($J189&lt;=0,"DEĞERLENDİR",IF($O189&gt;0,"YENİDEN DEĞERLE","DEĞERLENDİR"))</f>
        <v/>
      </c>
      <c r="Q189" s="124">
        <f>IF($B189="","",CONCATENATE("Kıymet: ",$B189," | Değer Artışı: ",TEXT($J189,"#,##0")))</f>
        <v/>
      </c>
    </row>
    <row r="190" ht="15.75" customHeight="1" s="81">
      <c r="A190" s="129" t="n"/>
      <c r="B190" s="130" t="n"/>
      <c r="C190" s="127" t="n"/>
      <c r="D190" s="127" t="n"/>
      <c r="E190" s="124">
        <f>IF($C190=0,0,$C190-$D190)</f>
        <v/>
      </c>
      <c r="F190" s="128" t="n"/>
      <c r="G190" s="129" t="n"/>
      <c r="H190" s="131" t="n"/>
      <c r="I190" s="124">
        <f>IF($E190=0,0,$E190*$H190)</f>
        <v/>
      </c>
      <c r="J190" s="124">
        <f>IF($I190=0,0,$I190-$E190)</f>
        <v/>
      </c>
      <c r="K190" s="124">
        <f>IF($J190=0,0,$J190*YenidegerFonOran)</f>
        <v/>
      </c>
      <c r="L190" s="124">
        <f>IF($G190=0,0,$J190/$G190)</f>
        <v/>
      </c>
      <c r="M190" s="124">
        <f>IF($L190=0,0,$L190*YenidegerKurumlarVergiOran)</f>
        <v/>
      </c>
      <c r="N190" s="124">
        <f>IFERROR(IF(YenidegerIskontoOrani=0,$M190*$G190,$M190*(1-1/(1+YenidegerIskontoOrani)^$G190)/YenidegerIskontoOrani),0)</f>
        <v/>
      </c>
      <c r="O190" s="124">
        <f>$N190-$K190</f>
        <v/>
      </c>
      <c r="P190" s="124">
        <f>IF($J190&lt;=0,"DEĞERLENDİR",IF($O190&gt;0,"YENİDEN DEĞERLE","DEĞERLENDİR"))</f>
        <v/>
      </c>
      <c r="Q190" s="124">
        <f>IF($B190="","",CONCATENATE("Kıymet: ",$B190," | Değer Artışı: ",TEXT($J190,"#,##0")))</f>
        <v/>
      </c>
    </row>
    <row r="191" ht="15.75" customHeight="1" s="81">
      <c r="A191" s="129" t="n"/>
      <c r="B191" s="130" t="n"/>
      <c r="C191" s="127" t="n"/>
      <c r="D191" s="127" t="n"/>
      <c r="E191" s="124">
        <f>IF($C191=0,0,$C191-$D191)</f>
        <v/>
      </c>
      <c r="F191" s="128" t="n"/>
      <c r="G191" s="129" t="n"/>
      <c r="H191" s="131" t="n"/>
      <c r="I191" s="124">
        <f>IF($E191=0,0,$E191*$H191)</f>
        <v/>
      </c>
      <c r="J191" s="124">
        <f>IF($I191=0,0,$I191-$E191)</f>
        <v/>
      </c>
      <c r="K191" s="124">
        <f>IF($J191=0,0,$J191*YenidegerFonOran)</f>
        <v/>
      </c>
      <c r="L191" s="124">
        <f>IF($G191=0,0,$J191/$G191)</f>
        <v/>
      </c>
      <c r="M191" s="124">
        <f>IF($L191=0,0,$L191*YenidegerKurumlarVergiOran)</f>
        <v/>
      </c>
      <c r="N191" s="124">
        <f>IFERROR(IF(YenidegerIskontoOrani=0,$M191*$G191,$M191*(1-1/(1+YenidegerIskontoOrani)^$G191)/YenidegerIskontoOrani),0)</f>
        <v/>
      </c>
      <c r="O191" s="124">
        <f>$N191-$K191</f>
        <v/>
      </c>
      <c r="P191" s="124">
        <f>IF($J191&lt;=0,"DEĞERLENDİR",IF($O191&gt;0,"YENİDEN DEĞERLE","DEĞERLENDİR"))</f>
        <v/>
      </c>
      <c r="Q191" s="124">
        <f>IF($B191="","",CONCATENATE("Kıymet: ",$B191," | Değer Artışı: ",TEXT($J191,"#,##0")))</f>
        <v/>
      </c>
    </row>
    <row r="192" ht="15.75" customHeight="1" s="81">
      <c r="A192" s="129" t="n"/>
      <c r="B192" s="130" t="n"/>
      <c r="C192" s="127" t="n"/>
      <c r="D192" s="127" t="n"/>
      <c r="E192" s="124">
        <f>IF($C192=0,0,$C192-$D192)</f>
        <v/>
      </c>
      <c r="F192" s="128" t="n"/>
      <c r="G192" s="129" t="n"/>
      <c r="H192" s="131" t="n"/>
      <c r="I192" s="124">
        <f>IF($E192=0,0,$E192*$H192)</f>
        <v/>
      </c>
      <c r="J192" s="124">
        <f>IF($I192=0,0,$I192-$E192)</f>
        <v/>
      </c>
      <c r="K192" s="124">
        <f>IF($J192=0,0,$J192*YenidegerFonOran)</f>
        <v/>
      </c>
      <c r="L192" s="124">
        <f>IF($G192=0,0,$J192/$G192)</f>
        <v/>
      </c>
      <c r="M192" s="124">
        <f>IF($L192=0,0,$L192*YenidegerKurumlarVergiOran)</f>
        <v/>
      </c>
      <c r="N192" s="124">
        <f>IFERROR(IF(YenidegerIskontoOrani=0,$M192*$G192,$M192*(1-1/(1+YenidegerIskontoOrani)^$G192)/YenidegerIskontoOrani),0)</f>
        <v/>
      </c>
      <c r="O192" s="124">
        <f>$N192-$K192</f>
        <v/>
      </c>
      <c r="P192" s="124">
        <f>IF($J192&lt;=0,"DEĞERLENDİR",IF($O192&gt;0,"YENİDEN DEĞERLE","DEĞERLENDİR"))</f>
        <v/>
      </c>
      <c r="Q192" s="124">
        <f>IF($B192="","",CONCATENATE("Kıymet: ",$B192," | Değer Artışı: ",TEXT($J192,"#,##0")))</f>
        <v/>
      </c>
    </row>
    <row r="193" ht="15.75" customHeight="1" s="81">
      <c r="A193" s="129" t="n"/>
      <c r="B193" s="130" t="n"/>
      <c r="C193" s="127" t="n"/>
      <c r="D193" s="127" t="n"/>
      <c r="E193" s="124">
        <f>IF($C193=0,0,$C193-$D193)</f>
        <v/>
      </c>
      <c r="F193" s="128" t="n"/>
      <c r="G193" s="129" t="n"/>
      <c r="H193" s="131" t="n"/>
      <c r="I193" s="124">
        <f>IF($E193=0,0,$E193*$H193)</f>
        <v/>
      </c>
      <c r="J193" s="124">
        <f>IF($I193=0,0,$I193-$E193)</f>
        <v/>
      </c>
      <c r="K193" s="124">
        <f>IF($J193=0,0,$J193*YenidegerFonOran)</f>
        <v/>
      </c>
      <c r="L193" s="124">
        <f>IF($G193=0,0,$J193/$G193)</f>
        <v/>
      </c>
      <c r="M193" s="124">
        <f>IF($L193=0,0,$L193*YenidegerKurumlarVergiOran)</f>
        <v/>
      </c>
      <c r="N193" s="124">
        <f>IFERROR(IF(YenidegerIskontoOrani=0,$M193*$G193,$M193*(1-1/(1+YenidegerIskontoOrani)^$G193)/YenidegerIskontoOrani),0)</f>
        <v/>
      </c>
      <c r="O193" s="124">
        <f>$N193-$K193</f>
        <v/>
      </c>
      <c r="P193" s="124">
        <f>IF($J193&lt;=0,"DEĞERLENDİR",IF($O193&gt;0,"YENİDEN DEĞERLE","DEĞERLENDİR"))</f>
        <v/>
      </c>
      <c r="Q193" s="124">
        <f>IF($B193="","",CONCATENATE("Kıymet: ",$B193," | Değer Artışı: ",TEXT($J193,"#,##0")))</f>
        <v/>
      </c>
    </row>
    <row r="194" ht="15.75" customHeight="1" s="81">
      <c r="A194" s="129" t="n"/>
      <c r="B194" s="130" t="n"/>
      <c r="C194" s="127" t="n"/>
      <c r="D194" s="127" t="n"/>
      <c r="E194" s="124">
        <f>IF($C194=0,0,$C194-$D194)</f>
        <v/>
      </c>
      <c r="F194" s="128" t="n"/>
      <c r="G194" s="129" t="n"/>
      <c r="H194" s="131" t="n"/>
      <c r="I194" s="124">
        <f>IF($E194=0,0,$E194*$H194)</f>
        <v/>
      </c>
      <c r="J194" s="124">
        <f>IF($I194=0,0,$I194-$E194)</f>
        <v/>
      </c>
      <c r="K194" s="124">
        <f>IF($J194=0,0,$J194*YenidegerFonOran)</f>
        <v/>
      </c>
      <c r="L194" s="124">
        <f>IF($G194=0,0,$J194/$G194)</f>
        <v/>
      </c>
      <c r="M194" s="124">
        <f>IF($L194=0,0,$L194*YenidegerKurumlarVergiOran)</f>
        <v/>
      </c>
      <c r="N194" s="124">
        <f>IFERROR(IF(YenidegerIskontoOrani=0,$M194*$G194,$M194*(1-1/(1+YenidegerIskontoOrani)^$G194)/YenidegerIskontoOrani),0)</f>
        <v/>
      </c>
      <c r="O194" s="124">
        <f>$N194-$K194</f>
        <v/>
      </c>
      <c r="P194" s="124">
        <f>IF($J194&lt;=0,"DEĞERLENDİR",IF($O194&gt;0,"YENİDEN DEĞERLE","DEĞERLENDİR"))</f>
        <v/>
      </c>
      <c r="Q194" s="124">
        <f>IF($B194="","",CONCATENATE("Kıymet: ",$B194," | Değer Artışı: ",TEXT($J194,"#,##0")))</f>
        <v/>
      </c>
    </row>
    <row r="195" ht="15.75" customHeight="1" s="81">
      <c r="A195" s="129" t="n"/>
      <c r="B195" s="130" t="n"/>
      <c r="C195" s="127" t="n"/>
      <c r="D195" s="127" t="n"/>
      <c r="E195" s="124">
        <f>IF($C195=0,0,$C195-$D195)</f>
        <v/>
      </c>
      <c r="F195" s="128" t="n"/>
      <c r="G195" s="129" t="n"/>
      <c r="H195" s="131" t="n"/>
      <c r="I195" s="124">
        <f>IF($E195=0,0,$E195*$H195)</f>
        <v/>
      </c>
      <c r="J195" s="124">
        <f>IF($I195=0,0,$I195-$E195)</f>
        <v/>
      </c>
      <c r="K195" s="124">
        <f>IF($J195=0,0,$J195*YenidegerFonOran)</f>
        <v/>
      </c>
      <c r="L195" s="124">
        <f>IF($G195=0,0,$J195/$G195)</f>
        <v/>
      </c>
      <c r="M195" s="124">
        <f>IF($L195=0,0,$L195*YenidegerKurumlarVergiOran)</f>
        <v/>
      </c>
      <c r="N195" s="124">
        <f>IFERROR(IF(YenidegerIskontoOrani=0,$M195*$G195,$M195*(1-1/(1+YenidegerIskontoOrani)^$G195)/YenidegerIskontoOrani),0)</f>
        <v/>
      </c>
      <c r="O195" s="124">
        <f>$N195-$K195</f>
        <v/>
      </c>
      <c r="P195" s="124">
        <f>IF($J195&lt;=0,"DEĞERLENDİR",IF($O195&gt;0,"YENİDEN DEĞERLE","DEĞERLENDİR"))</f>
        <v/>
      </c>
      <c r="Q195" s="124">
        <f>IF($B195="","",CONCATENATE("Kıymet: ",$B195," | Değer Artışı: ",TEXT($J195,"#,##0")))</f>
        <v/>
      </c>
    </row>
    <row r="196" ht="15.75" customHeight="1" s="81">
      <c r="A196" s="129" t="n"/>
      <c r="B196" s="130" t="n"/>
      <c r="C196" s="127" t="n"/>
      <c r="D196" s="127" t="n"/>
      <c r="E196" s="124">
        <f>IF($C196=0,0,$C196-$D196)</f>
        <v/>
      </c>
      <c r="F196" s="128" t="n"/>
      <c r="G196" s="129" t="n"/>
      <c r="H196" s="131" t="n"/>
      <c r="I196" s="124">
        <f>IF($E196=0,0,$E196*$H196)</f>
        <v/>
      </c>
      <c r="J196" s="124">
        <f>IF($I196=0,0,$I196-$E196)</f>
        <v/>
      </c>
      <c r="K196" s="124">
        <f>IF($J196=0,0,$J196*YenidegerFonOran)</f>
        <v/>
      </c>
      <c r="L196" s="124">
        <f>IF($G196=0,0,$J196/$G196)</f>
        <v/>
      </c>
      <c r="M196" s="124">
        <f>IF($L196=0,0,$L196*YenidegerKurumlarVergiOran)</f>
        <v/>
      </c>
      <c r="N196" s="124">
        <f>IFERROR(IF(YenidegerIskontoOrani=0,$M196*$G196,$M196*(1-1/(1+YenidegerIskontoOrani)^$G196)/YenidegerIskontoOrani),0)</f>
        <v/>
      </c>
      <c r="O196" s="124">
        <f>$N196-$K196</f>
        <v/>
      </c>
      <c r="P196" s="124">
        <f>IF($J196&lt;=0,"DEĞERLENDİR",IF($O196&gt;0,"YENİDEN DEĞERLE","DEĞERLENDİR"))</f>
        <v/>
      </c>
      <c r="Q196" s="124">
        <f>IF($B196="","",CONCATENATE("Kıymet: ",$B196," | Değer Artışı: ",TEXT($J196,"#,##0")))</f>
        <v/>
      </c>
    </row>
    <row r="197" ht="15.75" customHeight="1" s="81">
      <c r="A197" s="129" t="n"/>
      <c r="B197" s="130" t="n"/>
      <c r="C197" s="127" t="n"/>
      <c r="D197" s="127" t="n"/>
      <c r="E197" s="124">
        <f>IF($C197=0,0,$C197-$D197)</f>
        <v/>
      </c>
      <c r="F197" s="128" t="n"/>
      <c r="G197" s="129" t="n"/>
      <c r="H197" s="131" t="n"/>
      <c r="I197" s="124">
        <f>IF($E197=0,0,$E197*$H197)</f>
        <v/>
      </c>
      <c r="J197" s="124">
        <f>IF($I197=0,0,$I197-$E197)</f>
        <v/>
      </c>
      <c r="K197" s="124">
        <f>IF($J197=0,0,$J197*YenidegerFonOran)</f>
        <v/>
      </c>
      <c r="L197" s="124">
        <f>IF($G197=0,0,$J197/$G197)</f>
        <v/>
      </c>
      <c r="M197" s="124">
        <f>IF($L197=0,0,$L197*YenidegerKurumlarVergiOran)</f>
        <v/>
      </c>
      <c r="N197" s="124">
        <f>IFERROR(IF(YenidegerIskontoOrani=0,$M197*$G197,$M197*(1-1/(1+YenidegerIskontoOrani)^$G197)/YenidegerIskontoOrani),0)</f>
        <v/>
      </c>
      <c r="O197" s="124">
        <f>$N197-$K197</f>
        <v/>
      </c>
      <c r="P197" s="124">
        <f>IF($J197&lt;=0,"DEĞERLENDİR",IF($O197&gt;0,"YENİDEN DEĞERLE","DEĞERLENDİR"))</f>
        <v/>
      </c>
      <c r="Q197" s="124">
        <f>IF($B197="","",CONCATENATE("Kıymet: ",$B197," | Değer Artışı: ",TEXT($J197,"#,##0")))</f>
        <v/>
      </c>
    </row>
    <row r="198" ht="15.75" customHeight="1" s="81">
      <c r="A198" s="129" t="n"/>
      <c r="B198" s="130" t="n"/>
      <c r="C198" s="127" t="n"/>
      <c r="D198" s="127" t="n"/>
      <c r="E198" s="124">
        <f>IF($C198=0,0,$C198-$D198)</f>
        <v/>
      </c>
      <c r="F198" s="128" t="n"/>
      <c r="G198" s="129" t="n"/>
      <c r="H198" s="131" t="n"/>
      <c r="I198" s="124">
        <f>IF($E198=0,0,$E198*$H198)</f>
        <v/>
      </c>
      <c r="J198" s="124">
        <f>IF($I198=0,0,$I198-$E198)</f>
        <v/>
      </c>
      <c r="K198" s="124">
        <f>IF($J198=0,0,$J198*YenidegerFonOran)</f>
        <v/>
      </c>
      <c r="L198" s="124">
        <f>IF($G198=0,0,$J198/$G198)</f>
        <v/>
      </c>
      <c r="M198" s="124">
        <f>IF($L198=0,0,$L198*YenidegerKurumlarVergiOran)</f>
        <v/>
      </c>
      <c r="N198" s="124">
        <f>IFERROR(IF(YenidegerIskontoOrani=0,$M198*$G198,$M198*(1-1/(1+YenidegerIskontoOrani)^$G198)/YenidegerIskontoOrani),0)</f>
        <v/>
      </c>
      <c r="O198" s="124">
        <f>$N198-$K198</f>
        <v/>
      </c>
      <c r="P198" s="124">
        <f>IF($J198&lt;=0,"DEĞERLENDİR",IF($O198&gt;0,"YENİDEN DEĞERLE","DEĞERLENDİR"))</f>
        <v/>
      </c>
      <c r="Q198" s="124">
        <f>IF($B198="","",CONCATENATE("Kıymet: ",$B198," | Değer Artışı: ",TEXT($J198,"#,##0")))</f>
        <v/>
      </c>
    </row>
    <row r="199" ht="15.75" customHeight="1" s="81">
      <c r="A199" s="129" t="n"/>
      <c r="B199" s="130" t="n"/>
      <c r="C199" s="127" t="n"/>
      <c r="D199" s="127" t="n"/>
      <c r="E199" s="124">
        <f>IF($C199=0,0,$C199-$D199)</f>
        <v/>
      </c>
      <c r="F199" s="128" t="n"/>
      <c r="G199" s="129" t="n"/>
      <c r="H199" s="131" t="n"/>
      <c r="I199" s="124">
        <f>IF($E199=0,0,$E199*$H199)</f>
        <v/>
      </c>
      <c r="J199" s="124">
        <f>IF($I199=0,0,$I199-$E199)</f>
        <v/>
      </c>
      <c r="K199" s="124">
        <f>IF($J199=0,0,$J199*YenidegerFonOran)</f>
        <v/>
      </c>
      <c r="L199" s="124">
        <f>IF($G199=0,0,$J199/$G199)</f>
        <v/>
      </c>
      <c r="M199" s="124">
        <f>IF($L199=0,0,$L199*YenidegerKurumlarVergiOran)</f>
        <v/>
      </c>
      <c r="N199" s="124">
        <f>IFERROR(IF(YenidegerIskontoOrani=0,$M199*$G199,$M199*(1-1/(1+YenidegerIskontoOrani)^$G199)/YenidegerIskontoOrani),0)</f>
        <v/>
      </c>
      <c r="O199" s="124">
        <f>$N199-$K199</f>
        <v/>
      </c>
      <c r="P199" s="124">
        <f>IF($J199&lt;=0,"DEĞERLENDİR",IF($O199&gt;0,"YENİDEN DEĞERLE","DEĞERLENDİR"))</f>
        <v/>
      </c>
      <c r="Q199" s="124">
        <f>IF($B199="","",CONCATENATE("Kıymet: ",$B199," | Değer Artışı: ",TEXT($J199,"#,##0")))</f>
        <v/>
      </c>
    </row>
    <row r="200" ht="15.75" customHeight="1" s="81">
      <c r="A200" s="129" t="n"/>
      <c r="B200" s="130" t="n"/>
      <c r="C200" s="127" t="n"/>
      <c r="D200" s="127" t="n"/>
      <c r="E200" s="124">
        <f>IF($C200=0,0,$C200-$D200)</f>
        <v/>
      </c>
      <c r="F200" s="128" t="n"/>
      <c r="G200" s="129" t="n"/>
      <c r="H200" s="131" t="n"/>
      <c r="I200" s="124">
        <f>IF($E200=0,0,$E200*$H200)</f>
        <v/>
      </c>
      <c r="J200" s="124">
        <f>IF($I200=0,0,$I200-$E200)</f>
        <v/>
      </c>
      <c r="K200" s="124">
        <f>IF($J200=0,0,$J200*YenidegerFonOran)</f>
        <v/>
      </c>
      <c r="L200" s="124">
        <f>IF($G200=0,0,$J200/$G200)</f>
        <v/>
      </c>
      <c r="M200" s="124">
        <f>IF($L200=0,0,$L200*YenidegerKurumlarVergiOran)</f>
        <v/>
      </c>
      <c r="N200" s="124">
        <f>IFERROR(IF(YenidegerIskontoOrani=0,$M200*$G200,$M200*(1-1/(1+YenidegerIskontoOrani)^$G200)/YenidegerIskontoOrani),0)</f>
        <v/>
      </c>
      <c r="O200" s="124">
        <f>$N200-$K200</f>
        <v/>
      </c>
      <c r="P200" s="124">
        <f>IF($J200&lt;=0,"DEĞERLENDİR",IF($O200&gt;0,"YENİDEN DEĞERLE","DEĞERLENDİR"))</f>
        <v/>
      </c>
      <c r="Q200" s="124">
        <f>IF($B200="","",CONCATENATE("Kıymet: ",$B200," | Değer Artışı: ",TEXT($J200,"#,##0")))</f>
        <v/>
      </c>
    </row>
    <row r="201" ht="15.75" customHeight="1" s="81">
      <c r="A201" s="129" t="n"/>
      <c r="B201" s="130" t="n"/>
      <c r="C201" s="127" t="n"/>
      <c r="D201" s="127" t="n"/>
      <c r="E201" s="124">
        <f>IF($C201=0,0,$C201-$D201)</f>
        <v/>
      </c>
      <c r="F201" s="128" t="n"/>
      <c r="G201" s="129" t="n"/>
      <c r="H201" s="131" t="n"/>
      <c r="I201" s="124">
        <f>IF($E201=0,0,$E201*$H201)</f>
        <v/>
      </c>
      <c r="J201" s="124">
        <f>IF($I201=0,0,$I201-$E201)</f>
        <v/>
      </c>
      <c r="K201" s="124">
        <f>IF($J201=0,0,$J201*YenidegerFonOran)</f>
        <v/>
      </c>
      <c r="L201" s="124">
        <f>IF($G201=0,0,$J201/$G201)</f>
        <v/>
      </c>
      <c r="M201" s="124">
        <f>IF($L201=0,0,$L201*YenidegerKurumlarVergiOran)</f>
        <v/>
      </c>
      <c r="N201" s="124">
        <f>IFERROR(IF(YenidegerIskontoOrani=0,$M201*$G201,$M201*(1-1/(1+YenidegerIskontoOrani)^$G201)/YenidegerIskontoOrani),0)</f>
        <v/>
      </c>
      <c r="O201" s="124">
        <f>$N201-$K201</f>
        <v/>
      </c>
      <c r="P201" s="124">
        <f>IF($J201&lt;=0,"DEĞERLENDİR",IF($O201&gt;0,"YENİDEN DEĞERLE","DEĞERLENDİR"))</f>
        <v/>
      </c>
      <c r="Q201" s="124">
        <f>IF($B201="","",CONCATENATE("Kıymet: ",$B201," | Değer Artışı: ",TEXT($J201,"#,##0")))</f>
        <v/>
      </c>
    </row>
    <row r="202" ht="15.75" customHeight="1" s="81">
      <c r="A202" s="129" t="n"/>
      <c r="B202" s="130" t="n"/>
      <c r="C202" s="127" t="n"/>
      <c r="D202" s="127" t="n"/>
      <c r="E202" s="124">
        <f>IF($C202=0,0,$C202-$D202)</f>
        <v/>
      </c>
      <c r="F202" s="128" t="n"/>
      <c r="G202" s="129" t="n"/>
      <c r="H202" s="131" t="n"/>
      <c r="I202" s="124">
        <f>IF($E202=0,0,$E202*$H202)</f>
        <v/>
      </c>
      <c r="J202" s="124">
        <f>IF($I202=0,0,$I202-$E202)</f>
        <v/>
      </c>
      <c r="K202" s="124">
        <f>IF($J202=0,0,$J202*YenidegerFonOran)</f>
        <v/>
      </c>
      <c r="L202" s="124">
        <f>IF($G202=0,0,$J202/$G202)</f>
        <v/>
      </c>
      <c r="M202" s="124">
        <f>IF($L202=0,0,$L202*YenidegerKurumlarVergiOran)</f>
        <v/>
      </c>
      <c r="N202" s="124">
        <f>IFERROR(IF(YenidegerIskontoOrani=0,$M202*$G202,$M202*(1-1/(1+YenidegerIskontoOrani)^$G202)/YenidegerIskontoOrani),0)</f>
        <v/>
      </c>
      <c r="O202" s="124">
        <f>$N202-$K202</f>
        <v/>
      </c>
      <c r="P202" s="124">
        <f>IF($J202&lt;=0,"DEĞERLENDİR",IF($O202&gt;0,"YENİDEN DEĞERLE","DEĞERLENDİR"))</f>
        <v/>
      </c>
      <c r="Q202" s="124">
        <f>IF($B202="","",CONCATENATE("Kıymet: ",$B202," | Değer Artışı: ",TEXT($J202,"#,##0")))</f>
        <v/>
      </c>
    </row>
    <row r="203" ht="15.75" customHeight="1" s="81">
      <c r="A203" s="129" t="n"/>
      <c r="B203" s="130" t="n"/>
      <c r="C203" s="127" t="n"/>
      <c r="D203" s="127" t="n"/>
      <c r="E203" s="124">
        <f>IF($C203=0,0,$C203-$D203)</f>
        <v/>
      </c>
      <c r="F203" s="128" t="n"/>
      <c r="G203" s="129" t="n"/>
      <c r="H203" s="131" t="n"/>
      <c r="I203" s="124">
        <f>IF($E203=0,0,$E203*$H203)</f>
        <v/>
      </c>
      <c r="J203" s="124">
        <f>IF($I203=0,0,$I203-$E203)</f>
        <v/>
      </c>
      <c r="K203" s="124">
        <f>IF($J203=0,0,$J203*YenidegerFonOran)</f>
        <v/>
      </c>
      <c r="L203" s="124">
        <f>IF($G203=0,0,$J203/$G203)</f>
        <v/>
      </c>
      <c r="M203" s="124">
        <f>IF($L203=0,0,$L203*YenidegerKurumlarVergiOran)</f>
        <v/>
      </c>
      <c r="N203" s="124">
        <f>IFERROR(IF(YenidegerIskontoOrani=0,$M203*$G203,$M203*(1-1/(1+YenidegerIskontoOrani)^$G203)/YenidegerIskontoOrani),0)</f>
        <v/>
      </c>
      <c r="O203" s="124">
        <f>$N203-$K203</f>
        <v/>
      </c>
      <c r="P203" s="124">
        <f>IF($J203&lt;=0,"DEĞERLENDİR",IF($O203&gt;0,"YENİDEN DEĞERLE","DEĞERLENDİR"))</f>
        <v/>
      </c>
      <c r="Q203" s="124">
        <f>IF($B203="","",CONCATENATE("Kıymet: ",$B203," | Değer Artışı: ",TEXT($J203,"#,##0")))</f>
        <v/>
      </c>
    </row>
    <row r="204" ht="15.75" customHeight="1" s="81">
      <c r="A204" s="129" t="n"/>
      <c r="B204" s="130" t="n"/>
      <c r="C204" s="127" t="n"/>
      <c r="D204" s="127" t="n"/>
      <c r="E204" s="124">
        <f>IF($C204=0,0,$C204-$D204)</f>
        <v/>
      </c>
      <c r="F204" s="128" t="n"/>
      <c r="G204" s="129" t="n"/>
      <c r="H204" s="131" t="n"/>
      <c r="I204" s="124">
        <f>IF($E204=0,0,$E204*$H204)</f>
        <v/>
      </c>
      <c r="J204" s="124">
        <f>IF($I204=0,0,$I204-$E204)</f>
        <v/>
      </c>
      <c r="K204" s="124">
        <f>IF($J204=0,0,$J204*YenidegerFonOran)</f>
        <v/>
      </c>
      <c r="L204" s="124">
        <f>IF($G204=0,0,$J204/$G204)</f>
        <v/>
      </c>
      <c r="M204" s="124">
        <f>IF($L204=0,0,$L204*YenidegerKurumlarVergiOran)</f>
        <v/>
      </c>
      <c r="N204" s="124">
        <f>IFERROR(IF(YenidegerIskontoOrani=0,$M204*$G204,$M204*(1-1/(1+YenidegerIskontoOrani)^$G204)/YenidegerIskontoOrani),0)</f>
        <v/>
      </c>
      <c r="O204" s="124">
        <f>$N204-$K204</f>
        <v/>
      </c>
      <c r="P204" s="124">
        <f>IF($J204&lt;=0,"DEĞERLENDİR",IF($O204&gt;0,"YENİDEN DEĞERLE","DEĞERLENDİR"))</f>
        <v/>
      </c>
      <c r="Q204" s="124">
        <f>IF($B204="","",CONCATENATE("Kıymet: ",$B204," | Değer Artışı: ",TEXT($J204,"#,##0")))</f>
        <v/>
      </c>
    </row>
    <row r="205" ht="15.75" customHeight="1" s="81">
      <c r="A205" s="129" t="n"/>
      <c r="B205" s="130" t="n"/>
      <c r="C205" s="127" t="n"/>
      <c r="D205" s="127" t="n"/>
      <c r="E205" s="124">
        <f>IF($C205=0,0,$C205-$D205)</f>
        <v/>
      </c>
      <c r="F205" s="128" t="n"/>
      <c r="G205" s="129" t="n"/>
      <c r="H205" s="131" t="n"/>
      <c r="I205" s="124">
        <f>IF($E205=0,0,$E205*$H205)</f>
        <v/>
      </c>
      <c r="J205" s="124">
        <f>IF($I205=0,0,$I205-$E205)</f>
        <v/>
      </c>
      <c r="K205" s="124">
        <f>IF($J205=0,0,$J205*YenidegerFonOran)</f>
        <v/>
      </c>
      <c r="L205" s="124">
        <f>IF($G205=0,0,$J205/$G205)</f>
        <v/>
      </c>
      <c r="M205" s="124">
        <f>IF($L205=0,0,$L205*YenidegerKurumlarVergiOran)</f>
        <v/>
      </c>
      <c r="N205" s="124">
        <f>IFERROR(IF(YenidegerIskontoOrani=0,$M205*$G205,$M205*(1-1/(1+YenidegerIskontoOrani)^$G205)/YenidegerIskontoOrani),0)</f>
        <v/>
      </c>
      <c r="O205" s="124">
        <f>$N205-$K205</f>
        <v/>
      </c>
      <c r="P205" s="124">
        <f>IF($J205&lt;=0,"DEĞERLENDİR",IF($O205&gt;0,"YENİDEN DEĞERLE","DEĞERLENDİR"))</f>
        <v/>
      </c>
      <c r="Q205" s="124">
        <f>IF($B205="","",CONCATENATE("Kıymet: ",$B205," | Değer Artışı: ",TEXT($J205,"#,##0")))</f>
        <v/>
      </c>
    </row>
    <row r="206" ht="15.75" customHeight="1" s="81">
      <c r="A206" s="129" t="n"/>
      <c r="B206" s="130" t="n"/>
      <c r="C206" s="127" t="n"/>
      <c r="D206" s="127" t="n"/>
      <c r="E206" s="124">
        <f>IF($C206=0,0,$C206-$D206)</f>
        <v/>
      </c>
      <c r="F206" s="128" t="n"/>
      <c r="G206" s="129" t="n"/>
      <c r="H206" s="131" t="n"/>
      <c r="I206" s="124">
        <f>IF($E206=0,0,$E206*$H206)</f>
        <v/>
      </c>
      <c r="J206" s="124">
        <f>IF($I206=0,0,$I206-$E206)</f>
        <v/>
      </c>
      <c r="K206" s="124">
        <f>IF($J206=0,0,$J206*YenidegerFonOran)</f>
        <v/>
      </c>
      <c r="L206" s="124">
        <f>IF($G206=0,0,$J206/$G206)</f>
        <v/>
      </c>
      <c r="M206" s="124">
        <f>IF($L206=0,0,$L206*YenidegerKurumlarVergiOran)</f>
        <v/>
      </c>
      <c r="N206" s="124">
        <f>IFERROR(IF(YenidegerIskontoOrani=0,$M206*$G206,$M206*(1-1/(1+YenidegerIskontoOrani)^$G206)/YenidegerIskontoOrani),0)</f>
        <v/>
      </c>
      <c r="O206" s="124">
        <f>$N206-$K206</f>
        <v/>
      </c>
      <c r="P206" s="124">
        <f>IF($J206&lt;=0,"DEĞERLENDİR",IF($O206&gt;0,"YENİDEN DEĞERLE","DEĞERLENDİR"))</f>
        <v/>
      </c>
      <c r="Q206" s="124">
        <f>IF($B206="","",CONCATENATE("Kıymet: ",$B206," | Değer Artışı: ",TEXT($J206,"#,##0")))</f>
        <v/>
      </c>
    </row>
    <row r="207" ht="15.75" customHeight="1" s="81">
      <c r="A207" s="129" t="n"/>
      <c r="B207" s="130" t="n"/>
      <c r="C207" s="127" t="n"/>
      <c r="D207" s="127" t="n"/>
      <c r="E207" s="124">
        <f>IF($C207=0,0,$C207-$D207)</f>
        <v/>
      </c>
      <c r="F207" s="128" t="n"/>
      <c r="G207" s="129" t="n"/>
      <c r="H207" s="131" t="n"/>
      <c r="I207" s="124">
        <f>IF($E207=0,0,$E207*$H207)</f>
        <v/>
      </c>
      <c r="J207" s="124">
        <f>IF($I207=0,0,$I207-$E207)</f>
        <v/>
      </c>
      <c r="K207" s="124">
        <f>IF($J207=0,0,$J207*YenidegerFonOran)</f>
        <v/>
      </c>
      <c r="L207" s="124">
        <f>IF($G207=0,0,$J207/$G207)</f>
        <v/>
      </c>
      <c r="M207" s="124">
        <f>IF($L207=0,0,$L207*YenidegerKurumlarVergiOran)</f>
        <v/>
      </c>
      <c r="N207" s="124">
        <f>IFERROR(IF(YenidegerIskontoOrani=0,$M207*$G207,$M207*(1-1/(1+YenidegerIskontoOrani)^$G207)/YenidegerIskontoOrani),0)</f>
        <v/>
      </c>
      <c r="O207" s="124">
        <f>$N207-$K207</f>
        <v/>
      </c>
      <c r="P207" s="124">
        <f>IF($J207&lt;=0,"DEĞERLENDİR",IF($O207&gt;0,"YENİDEN DEĞERLE","DEĞERLENDİR"))</f>
        <v/>
      </c>
      <c r="Q207" s="124">
        <f>IF($B207="","",CONCATENATE("Kıymet: ",$B207," | Değer Artışı: ",TEXT($J207,"#,##0")))</f>
        <v/>
      </c>
    </row>
    <row r="208" ht="15.75" customHeight="1" s="81">
      <c r="A208" s="129" t="n"/>
      <c r="B208" s="130" t="n"/>
      <c r="C208" s="127" t="n"/>
      <c r="D208" s="127" t="n"/>
      <c r="E208" s="124">
        <f>IF($C208=0,0,$C208-$D208)</f>
        <v/>
      </c>
      <c r="F208" s="128" t="n"/>
      <c r="G208" s="129" t="n"/>
      <c r="H208" s="131" t="n"/>
      <c r="I208" s="124">
        <f>IF($E208=0,0,$E208*$H208)</f>
        <v/>
      </c>
      <c r="J208" s="124">
        <f>IF($I208=0,0,$I208-$E208)</f>
        <v/>
      </c>
      <c r="K208" s="124">
        <f>IF($J208=0,0,$J208*YenidegerFonOran)</f>
        <v/>
      </c>
      <c r="L208" s="124">
        <f>IF($G208=0,0,$J208/$G208)</f>
        <v/>
      </c>
      <c r="M208" s="124">
        <f>IF($L208=0,0,$L208*YenidegerKurumlarVergiOran)</f>
        <v/>
      </c>
      <c r="N208" s="124">
        <f>IFERROR(IF(YenidegerIskontoOrani=0,$M208*$G208,$M208*(1-1/(1+YenidegerIskontoOrani)^$G208)/YenidegerIskontoOrani),0)</f>
        <v/>
      </c>
      <c r="O208" s="124">
        <f>$N208-$K208</f>
        <v/>
      </c>
      <c r="P208" s="124">
        <f>IF($J208&lt;=0,"DEĞERLENDİR",IF($O208&gt;0,"YENİDEN DEĞERLE","DEĞERLENDİR"))</f>
        <v/>
      </c>
      <c r="Q208" s="124">
        <f>IF($B208="","",CONCATENATE("Kıymet: ",$B208," | Değer Artışı: ",TEXT($J208,"#,##0")))</f>
        <v/>
      </c>
    </row>
    <row r="209" ht="15.75" customHeight="1" s="81">
      <c r="A209" s="129" t="n"/>
      <c r="B209" s="130" t="n"/>
      <c r="C209" s="127" t="n"/>
      <c r="D209" s="127" t="n"/>
      <c r="E209" s="124">
        <f>IF($C209=0,0,$C209-$D209)</f>
        <v/>
      </c>
      <c r="F209" s="128" t="n"/>
      <c r="G209" s="129" t="n"/>
      <c r="H209" s="131" t="n"/>
      <c r="I209" s="124">
        <f>IF($E209=0,0,$E209*$H209)</f>
        <v/>
      </c>
      <c r="J209" s="124">
        <f>IF($I209=0,0,$I209-$E209)</f>
        <v/>
      </c>
      <c r="K209" s="124">
        <f>IF($J209=0,0,$J209*YenidegerFonOran)</f>
        <v/>
      </c>
      <c r="L209" s="124">
        <f>IF($G209=0,0,$J209/$G209)</f>
        <v/>
      </c>
      <c r="M209" s="124">
        <f>IF($L209=0,0,$L209*YenidegerKurumlarVergiOran)</f>
        <v/>
      </c>
      <c r="N209" s="124">
        <f>IFERROR(IF(YenidegerIskontoOrani=0,$M209*$G209,$M209*(1-1/(1+YenidegerIskontoOrani)^$G209)/YenidegerIskontoOrani),0)</f>
        <v/>
      </c>
      <c r="O209" s="124">
        <f>$N209-$K209</f>
        <v/>
      </c>
      <c r="P209" s="124">
        <f>IF($J209&lt;=0,"DEĞERLENDİR",IF($O209&gt;0,"YENİDEN DEĞERLE","DEĞERLENDİR"))</f>
        <v/>
      </c>
      <c r="Q209" s="124">
        <f>IF($B209="","",CONCATENATE("Kıymet: ",$B209," | Değer Artışı: ",TEXT($J209,"#,##0")))</f>
        <v/>
      </c>
    </row>
    <row r="210" ht="15.75" customHeight="1" s="81">
      <c r="A210" s="129" t="n"/>
      <c r="B210" s="130" t="n"/>
      <c r="C210" s="127" t="n"/>
      <c r="D210" s="127" t="n"/>
      <c r="E210" s="124">
        <f>IF($C210=0,0,$C210-$D210)</f>
        <v/>
      </c>
      <c r="F210" s="128" t="n"/>
      <c r="G210" s="129" t="n"/>
      <c r="H210" s="131" t="n"/>
      <c r="I210" s="124">
        <f>IF($E210=0,0,$E210*$H210)</f>
        <v/>
      </c>
      <c r="J210" s="124">
        <f>IF($I210=0,0,$I210-$E210)</f>
        <v/>
      </c>
      <c r="K210" s="124">
        <f>IF($J210=0,0,$J210*YenidegerFonOran)</f>
        <v/>
      </c>
      <c r="L210" s="124">
        <f>IF($G210=0,0,$J210/$G210)</f>
        <v/>
      </c>
      <c r="M210" s="124">
        <f>IF($L210=0,0,$L210*YenidegerKurumlarVergiOran)</f>
        <v/>
      </c>
      <c r="N210" s="124">
        <f>IFERROR(IF(YenidegerIskontoOrani=0,$M210*$G210,$M210*(1-1/(1+YenidegerIskontoOrani)^$G210)/YenidegerIskontoOrani),0)</f>
        <v/>
      </c>
      <c r="O210" s="124">
        <f>$N210-$K210</f>
        <v/>
      </c>
      <c r="P210" s="124">
        <f>IF($J210&lt;=0,"DEĞERLENDİR",IF($O210&gt;0,"YENİDEN DEĞERLE","DEĞERLENDİR"))</f>
        <v/>
      </c>
      <c r="Q210" s="124">
        <f>IF($B210="","",CONCATENATE("Kıymet: ",$B210," | Değer Artışı: ",TEXT($J210,"#,##0")))</f>
        <v/>
      </c>
    </row>
    <row r="211" ht="15.75" customHeight="1" s="81">
      <c r="A211" s="129" t="n"/>
      <c r="B211" s="130" t="n"/>
      <c r="C211" s="127" t="n"/>
      <c r="D211" s="127" t="n"/>
      <c r="E211" s="124">
        <f>IF($C211=0,0,$C211-$D211)</f>
        <v/>
      </c>
      <c r="F211" s="128" t="n"/>
      <c r="G211" s="129" t="n"/>
      <c r="H211" s="131" t="n"/>
      <c r="I211" s="124">
        <f>IF($E211=0,0,$E211*$H211)</f>
        <v/>
      </c>
      <c r="J211" s="124">
        <f>IF($I211=0,0,$I211-$E211)</f>
        <v/>
      </c>
      <c r="K211" s="124">
        <f>IF($J211=0,0,$J211*YenidegerFonOran)</f>
        <v/>
      </c>
      <c r="L211" s="124">
        <f>IF($G211=0,0,$J211/$G211)</f>
        <v/>
      </c>
      <c r="M211" s="124">
        <f>IF($L211=0,0,$L211*YenidegerKurumlarVergiOran)</f>
        <v/>
      </c>
      <c r="N211" s="124">
        <f>IFERROR(IF(YenidegerIskontoOrani=0,$M211*$G211,$M211*(1-1/(1+YenidegerIskontoOrani)^$G211)/YenidegerIskontoOrani),0)</f>
        <v/>
      </c>
      <c r="O211" s="124">
        <f>$N211-$K211</f>
        <v/>
      </c>
      <c r="P211" s="124">
        <f>IF($J211&lt;=0,"DEĞERLENDİR",IF($O211&gt;0,"YENİDEN DEĞERLE","DEĞERLENDİR"))</f>
        <v/>
      </c>
      <c r="Q211" s="124">
        <f>IF($B211="","",CONCATENATE("Kıymet: ",$B211," | Değer Artışı: ",TEXT($J211,"#,##0")))</f>
        <v/>
      </c>
    </row>
    <row r="212" ht="15.75" customHeight="1" s="81">
      <c r="A212" s="129" t="n"/>
      <c r="B212" s="130" t="n"/>
      <c r="C212" s="127" t="n"/>
      <c r="D212" s="127" t="n"/>
      <c r="E212" s="124">
        <f>IF($C212=0,0,$C212-$D212)</f>
        <v/>
      </c>
      <c r="F212" s="128" t="n"/>
      <c r="G212" s="129" t="n"/>
      <c r="H212" s="131" t="n"/>
      <c r="I212" s="124">
        <f>IF($E212=0,0,$E212*$H212)</f>
        <v/>
      </c>
      <c r="J212" s="124">
        <f>IF($I212=0,0,$I212-$E212)</f>
        <v/>
      </c>
      <c r="K212" s="124">
        <f>IF($J212=0,0,$J212*YenidegerFonOran)</f>
        <v/>
      </c>
      <c r="L212" s="124">
        <f>IF($G212=0,0,$J212/$G212)</f>
        <v/>
      </c>
      <c r="M212" s="124">
        <f>IF($L212=0,0,$L212*YenidegerKurumlarVergiOran)</f>
        <v/>
      </c>
      <c r="N212" s="124">
        <f>IFERROR(IF(YenidegerIskontoOrani=0,$M212*$G212,$M212*(1-1/(1+YenidegerIskontoOrani)^$G212)/YenidegerIskontoOrani),0)</f>
        <v/>
      </c>
      <c r="O212" s="124">
        <f>$N212-$K212</f>
        <v/>
      </c>
      <c r="P212" s="124">
        <f>IF($J212&lt;=0,"DEĞERLENDİR",IF($O212&gt;0,"YENİDEN DEĞERLE","DEĞERLENDİR"))</f>
        <v/>
      </c>
      <c r="Q212" s="124">
        <f>IF($B212="","",CONCATENATE("Kıymet: ",$B212," | Değer Artışı: ",TEXT($J212,"#,##0")))</f>
        <v/>
      </c>
    </row>
    <row r="213" ht="15.75" customHeight="1" s="81">
      <c r="A213" s="129" t="n"/>
      <c r="B213" s="130" t="n"/>
      <c r="C213" s="127" t="n"/>
      <c r="D213" s="127" t="n"/>
      <c r="E213" s="124">
        <f>IF($C213=0,0,$C213-$D213)</f>
        <v/>
      </c>
      <c r="F213" s="128" t="n"/>
      <c r="G213" s="129" t="n"/>
      <c r="H213" s="131" t="n"/>
      <c r="I213" s="124">
        <f>IF($E213=0,0,$E213*$H213)</f>
        <v/>
      </c>
      <c r="J213" s="124">
        <f>IF($I213=0,0,$I213-$E213)</f>
        <v/>
      </c>
      <c r="K213" s="124">
        <f>IF($J213=0,0,$J213*YenidegerFonOran)</f>
        <v/>
      </c>
      <c r="L213" s="124">
        <f>IF($G213=0,0,$J213/$G213)</f>
        <v/>
      </c>
      <c r="M213" s="124">
        <f>IF($L213=0,0,$L213*YenidegerKurumlarVergiOran)</f>
        <v/>
      </c>
      <c r="N213" s="124">
        <f>IFERROR(IF(YenidegerIskontoOrani=0,$M213*$G213,$M213*(1-1/(1+YenidegerIskontoOrani)^$G213)/YenidegerIskontoOrani),0)</f>
        <v/>
      </c>
      <c r="O213" s="124">
        <f>$N213-$K213</f>
        <v/>
      </c>
      <c r="P213" s="124">
        <f>IF($J213&lt;=0,"DEĞERLENDİR",IF($O213&gt;0,"YENİDEN DEĞERLE","DEĞERLENDİR"))</f>
        <v/>
      </c>
      <c r="Q213" s="124">
        <f>IF($B213="","",CONCATENATE("Kıymet: ",$B213," | Değer Artışı: ",TEXT($J213,"#,##0")))</f>
        <v/>
      </c>
    </row>
    <row r="214" ht="15.75" customHeight="1" s="81">
      <c r="A214" s="129" t="n"/>
      <c r="B214" s="130" t="n"/>
      <c r="C214" s="127" t="n"/>
      <c r="D214" s="127" t="n"/>
      <c r="E214" s="124">
        <f>IF($C214=0,0,$C214-$D214)</f>
        <v/>
      </c>
      <c r="F214" s="128" t="n"/>
      <c r="G214" s="129" t="n"/>
      <c r="H214" s="131" t="n"/>
      <c r="I214" s="124">
        <f>IF($E214=0,0,$E214*$H214)</f>
        <v/>
      </c>
      <c r="J214" s="124">
        <f>IF($I214=0,0,$I214-$E214)</f>
        <v/>
      </c>
      <c r="K214" s="124">
        <f>IF($J214=0,0,$J214*YenidegerFonOran)</f>
        <v/>
      </c>
      <c r="L214" s="124">
        <f>IF($G214=0,0,$J214/$G214)</f>
        <v/>
      </c>
      <c r="M214" s="124">
        <f>IF($L214=0,0,$L214*YenidegerKurumlarVergiOran)</f>
        <v/>
      </c>
      <c r="N214" s="124">
        <f>IFERROR(IF(YenidegerIskontoOrani=0,$M214*$G214,$M214*(1-1/(1+YenidegerIskontoOrani)^$G214)/YenidegerIskontoOrani),0)</f>
        <v/>
      </c>
      <c r="O214" s="124">
        <f>$N214-$K214</f>
        <v/>
      </c>
      <c r="P214" s="124">
        <f>IF($J214&lt;=0,"DEĞERLENDİR",IF($O214&gt;0,"YENİDEN DEĞERLE","DEĞERLENDİR"))</f>
        <v/>
      </c>
      <c r="Q214" s="124">
        <f>IF($B214="","",CONCATENATE("Kıymet: ",$B214," | Değer Artışı: ",TEXT($J214,"#,##0")))</f>
        <v/>
      </c>
    </row>
    <row r="215" ht="15.75" customHeight="1" s="81">
      <c r="A215" s="129" t="n"/>
      <c r="B215" s="130" t="n"/>
      <c r="C215" s="127" t="n"/>
      <c r="D215" s="127" t="n"/>
      <c r="E215" s="124">
        <f>IF($C215=0,0,$C215-$D215)</f>
        <v/>
      </c>
      <c r="F215" s="128" t="n"/>
      <c r="G215" s="129" t="n"/>
      <c r="H215" s="131" t="n"/>
      <c r="I215" s="124">
        <f>IF($E215=0,0,$E215*$H215)</f>
        <v/>
      </c>
      <c r="J215" s="124">
        <f>IF($I215=0,0,$I215-$E215)</f>
        <v/>
      </c>
      <c r="K215" s="124">
        <f>IF($J215=0,0,$J215*YenidegerFonOran)</f>
        <v/>
      </c>
      <c r="L215" s="124">
        <f>IF($G215=0,0,$J215/$G215)</f>
        <v/>
      </c>
      <c r="M215" s="124">
        <f>IF($L215=0,0,$L215*YenidegerKurumlarVergiOran)</f>
        <v/>
      </c>
      <c r="N215" s="124">
        <f>IFERROR(IF(YenidegerIskontoOrani=0,$M215*$G215,$M215*(1-1/(1+YenidegerIskontoOrani)^$G215)/YenidegerIskontoOrani),0)</f>
        <v/>
      </c>
      <c r="O215" s="124">
        <f>$N215-$K215</f>
        <v/>
      </c>
      <c r="P215" s="124">
        <f>IF($J215&lt;=0,"DEĞERLENDİR",IF($O215&gt;0,"YENİDEN DEĞERLE","DEĞERLENDİR"))</f>
        <v/>
      </c>
      <c r="Q215" s="124">
        <f>IF($B215="","",CONCATENATE("Kıymet: ",$B215," | Değer Artışı: ",TEXT($J215,"#,##0")))</f>
        <v/>
      </c>
    </row>
    <row r="216" ht="15.75" customHeight="1" s="81">
      <c r="A216" s="129" t="n"/>
      <c r="B216" s="130" t="n"/>
      <c r="C216" s="127" t="n"/>
      <c r="D216" s="127" t="n"/>
      <c r="E216" s="124">
        <f>IF($C216=0,0,$C216-$D216)</f>
        <v/>
      </c>
      <c r="F216" s="128" t="n"/>
      <c r="G216" s="129" t="n"/>
      <c r="H216" s="131" t="n"/>
      <c r="I216" s="124">
        <f>IF($E216=0,0,$E216*$H216)</f>
        <v/>
      </c>
      <c r="J216" s="124">
        <f>IF($I216=0,0,$I216-$E216)</f>
        <v/>
      </c>
      <c r="K216" s="124">
        <f>IF($J216=0,0,$J216*YenidegerFonOran)</f>
        <v/>
      </c>
      <c r="L216" s="124">
        <f>IF($G216=0,0,$J216/$G216)</f>
        <v/>
      </c>
      <c r="M216" s="124">
        <f>IF($L216=0,0,$L216*YenidegerKurumlarVergiOran)</f>
        <v/>
      </c>
      <c r="N216" s="124">
        <f>IFERROR(IF(YenidegerIskontoOrani=0,$M216*$G216,$M216*(1-1/(1+YenidegerIskontoOrani)^$G216)/YenidegerIskontoOrani),0)</f>
        <v/>
      </c>
      <c r="O216" s="124">
        <f>$N216-$K216</f>
        <v/>
      </c>
      <c r="P216" s="124">
        <f>IF($J216&lt;=0,"DEĞERLENDİR",IF($O216&gt;0,"YENİDEN DEĞERLE","DEĞERLENDİR"))</f>
        <v/>
      </c>
      <c r="Q216" s="124">
        <f>IF($B216="","",CONCATENATE("Kıymet: ",$B216," | Değer Artışı: ",TEXT($J216,"#,##0")))</f>
        <v/>
      </c>
    </row>
    <row r="217" ht="15.75" customHeight="1" s="81">
      <c r="A217" s="129" t="n"/>
      <c r="B217" s="130" t="n"/>
      <c r="C217" s="127" t="n"/>
      <c r="D217" s="127" t="n"/>
      <c r="E217" s="124">
        <f>IF($C217=0,0,$C217-$D217)</f>
        <v/>
      </c>
      <c r="F217" s="128" t="n"/>
      <c r="G217" s="129" t="n"/>
      <c r="H217" s="131" t="n"/>
      <c r="I217" s="124">
        <f>IF($E217=0,0,$E217*$H217)</f>
        <v/>
      </c>
      <c r="J217" s="124">
        <f>IF($I217=0,0,$I217-$E217)</f>
        <v/>
      </c>
      <c r="K217" s="124">
        <f>IF($J217=0,0,$J217*YenidegerFonOran)</f>
        <v/>
      </c>
      <c r="L217" s="124">
        <f>IF($G217=0,0,$J217/$G217)</f>
        <v/>
      </c>
      <c r="M217" s="124">
        <f>IF($L217=0,0,$L217*YenidegerKurumlarVergiOran)</f>
        <v/>
      </c>
      <c r="N217" s="124">
        <f>IFERROR(IF(YenidegerIskontoOrani=0,$M217*$G217,$M217*(1-1/(1+YenidegerIskontoOrani)^$G217)/YenidegerIskontoOrani),0)</f>
        <v/>
      </c>
      <c r="O217" s="124">
        <f>$N217-$K217</f>
        <v/>
      </c>
      <c r="P217" s="124">
        <f>IF($J217&lt;=0,"DEĞERLENDİR",IF($O217&gt;0,"YENİDEN DEĞERLE","DEĞERLENDİR"))</f>
        <v/>
      </c>
      <c r="Q217" s="124">
        <f>IF($B217="","",CONCATENATE("Kıymet: ",$B217," | Değer Artışı: ",TEXT($J217,"#,##0")))</f>
        <v/>
      </c>
    </row>
    <row r="218" ht="15.75" customHeight="1" s="81">
      <c r="A218" s="129" t="n"/>
      <c r="B218" s="130" t="n"/>
      <c r="C218" s="127" t="n"/>
      <c r="D218" s="127" t="n"/>
      <c r="E218" s="124">
        <f>IF($C218=0,0,$C218-$D218)</f>
        <v/>
      </c>
      <c r="F218" s="128" t="n"/>
      <c r="G218" s="129" t="n"/>
      <c r="H218" s="131" t="n"/>
      <c r="I218" s="124">
        <f>IF($E218=0,0,$E218*$H218)</f>
        <v/>
      </c>
      <c r="J218" s="124">
        <f>IF($I218=0,0,$I218-$E218)</f>
        <v/>
      </c>
      <c r="K218" s="124">
        <f>IF($J218=0,0,$J218*YenidegerFonOran)</f>
        <v/>
      </c>
      <c r="L218" s="124">
        <f>IF($G218=0,0,$J218/$G218)</f>
        <v/>
      </c>
      <c r="M218" s="124">
        <f>IF($L218=0,0,$L218*YenidegerKurumlarVergiOran)</f>
        <v/>
      </c>
      <c r="N218" s="124">
        <f>IFERROR(IF(YenidegerIskontoOrani=0,$M218*$G218,$M218*(1-1/(1+YenidegerIskontoOrani)^$G218)/YenidegerIskontoOrani),0)</f>
        <v/>
      </c>
      <c r="O218" s="124">
        <f>$N218-$K218</f>
        <v/>
      </c>
      <c r="P218" s="124">
        <f>IF($J218&lt;=0,"DEĞERLENDİR",IF($O218&gt;0,"YENİDEN DEĞERLE","DEĞERLENDİR"))</f>
        <v/>
      </c>
      <c r="Q218" s="124">
        <f>IF($B218="","",CONCATENATE("Kıymet: ",$B218," | Değer Artışı: ",TEXT($J218,"#,##0")))</f>
        <v/>
      </c>
    </row>
    <row r="219" ht="15.75" customHeight="1" s="81">
      <c r="A219" s="129" t="n"/>
      <c r="B219" s="130" t="n"/>
      <c r="C219" s="127" t="n"/>
      <c r="D219" s="127" t="n"/>
      <c r="E219" s="124">
        <f>IF($C219=0,0,$C219-$D219)</f>
        <v/>
      </c>
      <c r="F219" s="128" t="n"/>
      <c r="G219" s="129" t="n"/>
      <c r="H219" s="131" t="n"/>
      <c r="I219" s="124">
        <f>IF($E219=0,0,$E219*$H219)</f>
        <v/>
      </c>
      <c r="J219" s="124">
        <f>IF($I219=0,0,$I219-$E219)</f>
        <v/>
      </c>
      <c r="K219" s="124">
        <f>IF($J219=0,0,$J219*YenidegerFonOran)</f>
        <v/>
      </c>
      <c r="L219" s="124">
        <f>IF($G219=0,0,$J219/$G219)</f>
        <v/>
      </c>
      <c r="M219" s="124">
        <f>IF($L219=0,0,$L219*YenidegerKurumlarVergiOran)</f>
        <v/>
      </c>
      <c r="N219" s="124">
        <f>IFERROR(IF(YenidegerIskontoOrani=0,$M219*$G219,$M219*(1-1/(1+YenidegerIskontoOrani)^$G219)/YenidegerIskontoOrani),0)</f>
        <v/>
      </c>
      <c r="O219" s="124">
        <f>$N219-$K219</f>
        <v/>
      </c>
      <c r="P219" s="124">
        <f>IF($J219&lt;=0,"DEĞERLENDİR",IF($O219&gt;0,"YENİDEN DEĞERLE","DEĞERLENDİR"))</f>
        <v/>
      </c>
      <c r="Q219" s="124">
        <f>IF($B219="","",CONCATENATE("Kıymet: ",$B219," | Değer Artışı: ",TEXT($J219,"#,##0")))</f>
        <v/>
      </c>
    </row>
    <row r="220" ht="15.75" customHeight="1" s="81">
      <c r="A220" s="129" t="n"/>
      <c r="B220" s="130" t="n"/>
      <c r="C220" s="127" t="n"/>
      <c r="D220" s="127" t="n"/>
      <c r="E220" s="124">
        <f>IF($C220=0,0,$C220-$D220)</f>
        <v/>
      </c>
      <c r="F220" s="128" t="n"/>
      <c r="G220" s="129" t="n"/>
      <c r="H220" s="131" t="n"/>
      <c r="I220" s="124">
        <f>IF($E220=0,0,$E220*$H220)</f>
        <v/>
      </c>
      <c r="J220" s="124">
        <f>IF($I220=0,0,$I220-$E220)</f>
        <v/>
      </c>
      <c r="K220" s="124">
        <f>IF($J220=0,0,$J220*YenidegerFonOran)</f>
        <v/>
      </c>
      <c r="L220" s="124">
        <f>IF($G220=0,0,$J220/$G220)</f>
        <v/>
      </c>
      <c r="M220" s="124">
        <f>IF($L220=0,0,$L220*YenidegerKurumlarVergiOran)</f>
        <v/>
      </c>
      <c r="N220" s="124">
        <f>IFERROR(IF(YenidegerIskontoOrani=0,$M220*$G220,$M220*(1-1/(1+YenidegerIskontoOrani)^$G220)/YenidegerIskontoOrani),0)</f>
        <v/>
      </c>
      <c r="O220" s="124">
        <f>$N220-$K220</f>
        <v/>
      </c>
      <c r="P220" s="124">
        <f>IF($J220&lt;=0,"DEĞERLENDİR",IF($O220&gt;0,"YENİDEN DEĞERLE","DEĞERLENDİR"))</f>
        <v/>
      </c>
      <c r="Q220" s="124">
        <f>IF($B220="","",CONCATENATE("Kıymet: ",$B220," | Değer Artışı: ",TEXT($J220,"#,##0")))</f>
        <v/>
      </c>
    </row>
    <row r="221" ht="15.75" customHeight="1" s="81">
      <c r="A221" s="129" t="n"/>
      <c r="B221" s="130" t="n"/>
      <c r="C221" s="127" t="n"/>
      <c r="D221" s="127" t="n"/>
      <c r="E221" s="124">
        <f>IF($C221=0,0,$C221-$D221)</f>
        <v/>
      </c>
      <c r="F221" s="128" t="n"/>
      <c r="G221" s="129" t="n"/>
      <c r="H221" s="131" t="n"/>
      <c r="I221" s="124">
        <f>IF($E221=0,0,$E221*$H221)</f>
        <v/>
      </c>
      <c r="J221" s="124">
        <f>IF($I221=0,0,$I221-$E221)</f>
        <v/>
      </c>
      <c r="K221" s="124">
        <f>IF($J221=0,0,$J221*YenidegerFonOran)</f>
        <v/>
      </c>
      <c r="L221" s="124">
        <f>IF($G221=0,0,$J221/$G221)</f>
        <v/>
      </c>
      <c r="M221" s="124">
        <f>IF($L221=0,0,$L221*YenidegerKurumlarVergiOran)</f>
        <v/>
      </c>
      <c r="N221" s="124">
        <f>IFERROR(IF(YenidegerIskontoOrani=0,$M221*$G221,$M221*(1-1/(1+YenidegerIskontoOrani)^$G221)/YenidegerIskontoOrani),0)</f>
        <v/>
      </c>
      <c r="O221" s="124">
        <f>$N221-$K221</f>
        <v/>
      </c>
      <c r="P221" s="124">
        <f>IF($J221&lt;=0,"DEĞERLENDİR",IF($O221&gt;0,"YENİDEN DEĞERLE","DEĞERLENDİR"))</f>
        <v/>
      </c>
      <c r="Q221" s="124">
        <f>IF($B221="","",CONCATENATE("Kıymet: ",$B221," | Değer Artışı: ",TEXT($J221,"#,##0")))</f>
        <v/>
      </c>
    </row>
    <row r="222" ht="15.75" customHeight="1" s="81">
      <c r="A222" s="129" t="n"/>
      <c r="B222" s="130" t="n"/>
      <c r="C222" s="127" t="n"/>
      <c r="D222" s="127" t="n"/>
      <c r="E222" s="124">
        <f>IF($C222=0,0,$C222-$D222)</f>
        <v/>
      </c>
      <c r="F222" s="128" t="n"/>
      <c r="G222" s="129" t="n"/>
      <c r="H222" s="131" t="n"/>
      <c r="I222" s="124">
        <f>IF($E222=0,0,$E222*$H222)</f>
        <v/>
      </c>
      <c r="J222" s="124">
        <f>IF($I222=0,0,$I222-$E222)</f>
        <v/>
      </c>
      <c r="K222" s="124">
        <f>IF($J222=0,0,$J222*YenidegerFonOran)</f>
        <v/>
      </c>
      <c r="L222" s="124">
        <f>IF($G222=0,0,$J222/$G222)</f>
        <v/>
      </c>
      <c r="M222" s="124">
        <f>IF($L222=0,0,$L222*YenidegerKurumlarVergiOran)</f>
        <v/>
      </c>
      <c r="N222" s="124">
        <f>IFERROR(IF(YenidegerIskontoOrani=0,$M222*$G222,$M222*(1-1/(1+YenidegerIskontoOrani)^$G222)/YenidegerIskontoOrani),0)</f>
        <v/>
      </c>
      <c r="O222" s="124">
        <f>$N222-$K222</f>
        <v/>
      </c>
      <c r="P222" s="124">
        <f>IF($J222&lt;=0,"DEĞERLENDİR",IF($O222&gt;0,"YENİDEN DEĞERLE","DEĞERLENDİR"))</f>
        <v/>
      </c>
      <c r="Q222" s="124">
        <f>IF($B222="","",CONCATENATE("Kıymet: ",$B222," | Değer Artışı: ",TEXT($J222,"#,##0")))</f>
        <v/>
      </c>
    </row>
    <row r="223" ht="15.75" customHeight="1" s="81">
      <c r="A223" s="129" t="n"/>
      <c r="B223" s="130" t="n"/>
      <c r="C223" s="127" t="n"/>
      <c r="D223" s="127" t="n"/>
      <c r="E223" s="124">
        <f>IF($C223=0,0,$C223-$D223)</f>
        <v/>
      </c>
      <c r="F223" s="128" t="n"/>
      <c r="G223" s="129" t="n"/>
      <c r="H223" s="131" t="n"/>
      <c r="I223" s="124">
        <f>IF($E223=0,0,$E223*$H223)</f>
        <v/>
      </c>
      <c r="J223" s="124">
        <f>IF($I223=0,0,$I223-$E223)</f>
        <v/>
      </c>
      <c r="K223" s="124">
        <f>IF($J223=0,0,$J223*YenidegerFonOran)</f>
        <v/>
      </c>
      <c r="L223" s="124">
        <f>IF($G223=0,0,$J223/$G223)</f>
        <v/>
      </c>
      <c r="M223" s="124">
        <f>IF($L223=0,0,$L223*YenidegerKurumlarVergiOran)</f>
        <v/>
      </c>
      <c r="N223" s="124">
        <f>IFERROR(IF(YenidegerIskontoOrani=0,$M223*$G223,$M223*(1-1/(1+YenidegerIskontoOrani)^$G223)/YenidegerIskontoOrani),0)</f>
        <v/>
      </c>
      <c r="O223" s="124">
        <f>$N223-$K223</f>
        <v/>
      </c>
      <c r="P223" s="124">
        <f>IF($J223&lt;=0,"DEĞERLENDİR",IF($O223&gt;0,"YENİDEN DEĞERLE","DEĞERLENDİR"))</f>
        <v/>
      </c>
      <c r="Q223" s="124">
        <f>IF($B223="","",CONCATENATE("Kıymet: ",$B223," | Değer Artışı: ",TEXT($J223,"#,##0")))</f>
        <v/>
      </c>
    </row>
    <row r="224" ht="15.75" customHeight="1" s="81">
      <c r="A224" s="129" t="n"/>
      <c r="B224" s="130" t="n"/>
      <c r="C224" s="127" t="n"/>
      <c r="D224" s="127" t="n"/>
      <c r="E224" s="124">
        <f>IF($C224=0,0,$C224-$D224)</f>
        <v/>
      </c>
      <c r="F224" s="128" t="n"/>
      <c r="G224" s="129" t="n"/>
      <c r="H224" s="131" t="n"/>
      <c r="I224" s="124">
        <f>IF($E224=0,0,$E224*$H224)</f>
        <v/>
      </c>
      <c r="J224" s="124">
        <f>IF($I224=0,0,$I224-$E224)</f>
        <v/>
      </c>
      <c r="K224" s="124">
        <f>IF($J224=0,0,$J224*YenidegerFonOran)</f>
        <v/>
      </c>
      <c r="L224" s="124">
        <f>IF($G224=0,0,$J224/$G224)</f>
        <v/>
      </c>
      <c r="M224" s="124">
        <f>IF($L224=0,0,$L224*YenidegerKurumlarVergiOran)</f>
        <v/>
      </c>
      <c r="N224" s="124">
        <f>IFERROR(IF(YenidegerIskontoOrani=0,$M224*$G224,$M224*(1-1/(1+YenidegerIskontoOrani)^$G224)/YenidegerIskontoOrani),0)</f>
        <v/>
      </c>
      <c r="O224" s="124">
        <f>$N224-$K224</f>
        <v/>
      </c>
      <c r="P224" s="124">
        <f>IF($J224&lt;=0,"DEĞERLENDİR",IF($O224&gt;0,"YENİDEN DEĞERLE","DEĞERLENDİR"))</f>
        <v/>
      </c>
      <c r="Q224" s="124">
        <f>IF($B224="","",CONCATENATE("Kıymet: ",$B224," | Değer Artışı: ",TEXT($J224,"#,##0")))</f>
        <v/>
      </c>
    </row>
    <row r="225" ht="15.75" customHeight="1" s="81">
      <c r="A225" s="129" t="n"/>
      <c r="B225" s="130" t="n"/>
      <c r="C225" s="127" t="n"/>
      <c r="D225" s="127" t="n"/>
      <c r="E225" s="124">
        <f>IF($C225=0,0,$C225-$D225)</f>
        <v/>
      </c>
      <c r="F225" s="128" t="n"/>
      <c r="G225" s="129" t="n"/>
      <c r="H225" s="131" t="n"/>
      <c r="I225" s="124">
        <f>IF($E225=0,0,$E225*$H225)</f>
        <v/>
      </c>
      <c r="J225" s="124">
        <f>IF($I225=0,0,$I225-$E225)</f>
        <v/>
      </c>
      <c r="K225" s="124">
        <f>IF($J225=0,0,$J225*YenidegerFonOran)</f>
        <v/>
      </c>
      <c r="L225" s="124">
        <f>IF($G225=0,0,$J225/$G225)</f>
        <v/>
      </c>
      <c r="M225" s="124">
        <f>IF($L225=0,0,$L225*YenidegerKurumlarVergiOran)</f>
        <v/>
      </c>
      <c r="N225" s="124">
        <f>IFERROR(IF(YenidegerIskontoOrani=0,$M225*$G225,$M225*(1-1/(1+YenidegerIskontoOrani)^$G225)/YenidegerIskontoOrani),0)</f>
        <v/>
      </c>
      <c r="O225" s="124">
        <f>$N225-$K225</f>
        <v/>
      </c>
      <c r="P225" s="124">
        <f>IF($J225&lt;=0,"DEĞERLENDİR",IF($O225&gt;0,"YENİDEN DEĞERLE","DEĞERLENDİR"))</f>
        <v/>
      </c>
      <c r="Q225" s="124">
        <f>IF($B225="","",CONCATENATE("Kıymet: ",$B225," | Değer Artışı: ",TEXT($J225,"#,##0")))</f>
        <v/>
      </c>
    </row>
    <row r="226" ht="15.75" customHeight="1" s="81">
      <c r="A226" s="129" t="n"/>
      <c r="B226" s="130" t="n"/>
      <c r="C226" s="127" t="n"/>
      <c r="D226" s="127" t="n"/>
      <c r="E226" s="124">
        <f>IF($C226=0,0,$C226-$D226)</f>
        <v/>
      </c>
      <c r="F226" s="128" t="n"/>
      <c r="G226" s="129" t="n"/>
      <c r="H226" s="131" t="n"/>
      <c r="I226" s="124">
        <f>IF($E226=0,0,$E226*$H226)</f>
        <v/>
      </c>
      <c r="J226" s="124">
        <f>IF($I226=0,0,$I226-$E226)</f>
        <v/>
      </c>
      <c r="K226" s="124">
        <f>IF($J226=0,0,$J226*YenidegerFonOran)</f>
        <v/>
      </c>
      <c r="L226" s="124">
        <f>IF($G226=0,0,$J226/$G226)</f>
        <v/>
      </c>
      <c r="M226" s="124">
        <f>IF($L226=0,0,$L226*YenidegerKurumlarVergiOran)</f>
        <v/>
      </c>
      <c r="N226" s="124">
        <f>IFERROR(IF(YenidegerIskontoOrani=0,$M226*$G226,$M226*(1-1/(1+YenidegerIskontoOrani)^$G226)/YenidegerIskontoOrani),0)</f>
        <v/>
      </c>
      <c r="O226" s="124">
        <f>$N226-$K226</f>
        <v/>
      </c>
      <c r="P226" s="124">
        <f>IF($J226&lt;=0,"DEĞERLENDİR",IF($O226&gt;0,"YENİDEN DEĞERLE","DEĞERLENDİR"))</f>
        <v/>
      </c>
      <c r="Q226" s="124">
        <f>IF($B226="","",CONCATENATE("Kıymet: ",$B226," | Değer Artışı: ",TEXT($J226,"#,##0")))</f>
        <v/>
      </c>
    </row>
    <row r="227" ht="15.75" customHeight="1" s="81">
      <c r="A227" s="129" t="n"/>
      <c r="B227" s="130" t="n"/>
      <c r="C227" s="127" t="n"/>
      <c r="D227" s="127" t="n"/>
      <c r="E227" s="124">
        <f>IF($C227=0,0,$C227-$D227)</f>
        <v/>
      </c>
      <c r="F227" s="128" t="n"/>
      <c r="G227" s="129" t="n"/>
      <c r="H227" s="131" t="n"/>
      <c r="I227" s="124">
        <f>IF($E227=0,0,$E227*$H227)</f>
        <v/>
      </c>
      <c r="J227" s="124">
        <f>IF($I227=0,0,$I227-$E227)</f>
        <v/>
      </c>
      <c r="K227" s="124">
        <f>IF($J227=0,0,$J227*YenidegerFonOran)</f>
        <v/>
      </c>
      <c r="L227" s="124">
        <f>IF($G227=0,0,$J227/$G227)</f>
        <v/>
      </c>
      <c r="M227" s="124">
        <f>IF($L227=0,0,$L227*YenidegerKurumlarVergiOran)</f>
        <v/>
      </c>
      <c r="N227" s="124">
        <f>IFERROR(IF(YenidegerIskontoOrani=0,$M227*$G227,$M227*(1-1/(1+YenidegerIskontoOrani)^$G227)/YenidegerIskontoOrani),0)</f>
        <v/>
      </c>
      <c r="O227" s="124">
        <f>$N227-$K227</f>
        <v/>
      </c>
      <c r="P227" s="124">
        <f>IF($J227&lt;=0,"DEĞERLENDİR",IF($O227&gt;0,"YENİDEN DEĞERLE","DEĞERLENDİR"))</f>
        <v/>
      </c>
      <c r="Q227" s="124">
        <f>IF($B227="","",CONCATENATE("Kıymet: ",$B227," | Değer Artışı: ",TEXT($J227,"#,##0")))</f>
        <v/>
      </c>
    </row>
    <row r="228" ht="15.75" customHeight="1" s="81">
      <c r="A228" s="129" t="n"/>
      <c r="B228" s="130" t="n"/>
      <c r="C228" s="127" t="n"/>
      <c r="D228" s="127" t="n"/>
      <c r="E228" s="124">
        <f>IF($C228=0,0,$C228-$D228)</f>
        <v/>
      </c>
      <c r="F228" s="128" t="n"/>
      <c r="G228" s="129" t="n"/>
      <c r="H228" s="131" t="n"/>
      <c r="I228" s="124">
        <f>IF($E228=0,0,$E228*$H228)</f>
        <v/>
      </c>
      <c r="J228" s="124">
        <f>IF($I228=0,0,$I228-$E228)</f>
        <v/>
      </c>
      <c r="K228" s="124">
        <f>IF($J228=0,0,$J228*YenidegerFonOran)</f>
        <v/>
      </c>
      <c r="L228" s="124">
        <f>IF($G228=0,0,$J228/$G228)</f>
        <v/>
      </c>
      <c r="M228" s="124">
        <f>IF($L228=0,0,$L228*YenidegerKurumlarVergiOran)</f>
        <v/>
      </c>
      <c r="N228" s="124">
        <f>IFERROR(IF(YenidegerIskontoOrani=0,$M228*$G228,$M228*(1-1/(1+YenidegerIskontoOrani)^$G228)/YenidegerIskontoOrani),0)</f>
        <v/>
      </c>
      <c r="O228" s="124">
        <f>$N228-$K228</f>
        <v/>
      </c>
      <c r="P228" s="124">
        <f>IF($J228&lt;=0,"DEĞERLENDİR",IF($O228&gt;0,"YENİDEN DEĞERLE","DEĞERLENDİR"))</f>
        <v/>
      </c>
      <c r="Q228" s="124">
        <f>IF($B228="","",CONCATENATE("Kıymet: ",$B228," | Değer Artışı: ",TEXT($J228,"#,##0")))</f>
        <v/>
      </c>
    </row>
    <row r="229" ht="15.75" customHeight="1" s="81">
      <c r="A229" s="129" t="n"/>
      <c r="B229" s="130" t="n"/>
      <c r="C229" s="127" t="n"/>
      <c r="D229" s="127" t="n"/>
      <c r="E229" s="124">
        <f>IF($C229=0,0,$C229-$D229)</f>
        <v/>
      </c>
      <c r="F229" s="128" t="n"/>
      <c r="G229" s="129" t="n"/>
      <c r="H229" s="131" t="n"/>
      <c r="I229" s="124">
        <f>IF($E229=0,0,$E229*$H229)</f>
        <v/>
      </c>
      <c r="J229" s="124">
        <f>IF($I229=0,0,$I229-$E229)</f>
        <v/>
      </c>
      <c r="K229" s="124">
        <f>IF($J229=0,0,$J229*YenidegerFonOran)</f>
        <v/>
      </c>
      <c r="L229" s="124">
        <f>IF($G229=0,0,$J229/$G229)</f>
        <v/>
      </c>
      <c r="M229" s="124">
        <f>IF($L229=0,0,$L229*YenidegerKurumlarVergiOran)</f>
        <v/>
      </c>
      <c r="N229" s="124">
        <f>IFERROR(IF(YenidegerIskontoOrani=0,$M229*$G229,$M229*(1-1/(1+YenidegerIskontoOrani)^$G229)/YenidegerIskontoOrani),0)</f>
        <v/>
      </c>
      <c r="O229" s="124">
        <f>$N229-$K229</f>
        <v/>
      </c>
      <c r="P229" s="124">
        <f>IF($J229&lt;=0,"DEĞERLENDİR",IF($O229&gt;0,"YENİDEN DEĞERLE","DEĞERLENDİR"))</f>
        <v/>
      </c>
      <c r="Q229" s="124">
        <f>IF($B229="","",CONCATENATE("Kıymet: ",$B229," | Değer Artışı: ",TEXT($J229,"#,##0")))</f>
        <v/>
      </c>
    </row>
    <row r="230" ht="15.75" customHeight="1" s="81">
      <c r="A230" s="129" t="n"/>
      <c r="B230" s="130" t="n"/>
      <c r="C230" s="127" t="n"/>
      <c r="D230" s="127" t="n"/>
      <c r="E230" s="124">
        <f>IF($C230=0,0,$C230-$D230)</f>
        <v/>
      </c>
      <c r="F230" s="128" t="n"/>
      <c r="G230" s="129" t="n"/>
      <c r="H230" s="131" t="n"/>
      <c r="I230" s="124">
        <f>IF($E230=0,0,$E230*$H230)</f>
        <v/>
      </c>
      <c r="J230" s="124">
        <f>IF($I230=0,0,$I230-$E230)</f>
        <v/>
      </c>
      <c r="K230" s="124">
        <f>IF($J230=0,0,$J230*YenidegerFonOran)</f>
        <v/>
      </c>
      <c r="L230" s="124">
        <f>IF($G230=0,0,$J230/$G230)</f>
        <v/>
      </c>
      <c r="M230" s="124">
        <f>IF($L230=0,0,$L230*YenidegerKurumlarVergiOran)</f>
        <v/>
      </c>
      <c r="N230" s="124">
        <f>IFERROR(IF(YenidegerIskontoOrani=0,$M230*$G230,$M230*(1-1/(1+YenidegerIskontoOrani)^$G230)/YenidegerIskontoOrani),0)</f>
        <v/>
      </c>
      <c r="O230" s="124">
        <f>$N230-$K230</f>
        <v/>
      </c>
      <c r="P230" s="124">
        <f>IF($J230&lt;=0,"DEĞERLENDİR",IF($O230&gt;0,"YENİDEN DEĞERLE","DEĞERLENDİR"))</f>
        <v/>
      </c>
      <c r="Q230" s="124">
        <f>IF($B230="","",CONCATENATE("Kıymet: ",$B230," | Değer Artışı: ",TEXT($J230,"#,##0")))</f>
        <v/>
      </c>
    </row>
    <row r="231" ht="15.75" customHeight="1" s="81">
      <c r="A231" s="129" t="n"/>
      <c r="B231" s="130" t="n"/>
      <c r="C231" s="127" t="n"/>
      <c r="D231" s="127" t="n"/>
      <c r="E231" s="124">
        <f>IF($C231=0,0,$C231-$D231)</f>
        <v/>
      </c>
      <c r="F231" s="128" t="n"/>
      <c r="G231" s="129" t="n"/>
      <c r="H231" s="131" t="n"/>
      <c r="I231" s="124">
        <f>IF($E231=0,0,$E231*$H231)</f>
        <v/>
      </c>
      <c r="J231" s="124">
        <f>IF($I231=0,0,$I231-$E231)</f>
        <v/>
      </c>
      <c r="K231" s="124">
        <f>IF($J231=0,0,$J231*YenidegerFonOran)</f>
        <v/>
      </c>
      <c r="L231" s="124">
        <f>IF($G231=0,0,$J231/$G231)</f>
        <v/>
      </c>
      <c r="M231" s="124">
        <f>IF($L231=0,0,$L231*YenidegerKurumlarVergiOran)</f>
        <v/>
      </c>
      <c r="N231" s="124">
        <f>IFERROR(IF(YenidegerIskontoOrani=0,$M231*$G231,$M231*(1-1/(1+YenidegerIskontoOrani)^$G231)/YenidegerIskontoOrani),0)</f>
        <v/>
      </c>
      <c r="O231" s="124">
        <f>$N231-$K231</f>
        <v/>
      </c>
      <c r="P231" s="124">
        <f>IF($J231&lt;=0,"DEĞERLENDİR",IF($O231&gt;0,"YENİDEN DEĞERLE","DEĞERLENDİR"))</f>
        <v/>
      </c>
      <c r="Q231" s="124">
        <f>IF($B231="","",CONCATENATE("Kıymet: ",$B231," | Değer Artışı: ",TEXT($J231,"#,##0")))</f>
        <v/>
      </c>
    </row>
    <row r="232" ht="15.75" customHeight="1" s="81">
      <c r="A232" s="129" t="n"/>
      <c r="B232" s="130" t="n"/>
      <c r="C232" s="127" t="n"/>
      <c r="D232" s="127" t="n"/>
      <c r="E232" s="124">
        <f>IF($C232=0,0,$C232-$D232)</f>
        <v/>
      </c>
      <c r="F232" s="128" t="n"/>
      <c r="G232" s="129" t="n"/>
      <c r="H232" s="131" t="n"/>
      <c r="I232" s="124">
        <f>IF($E232=0,0,$E232*$H232)</f>
        <v/>
      </c>
      <c r="J232" s="124">
        <f>IF($I232=0,0,$I232-$E232)</f>
        <v/>
      </c>
      <c r="K232" s="124">
        <f>IF($J232=0,0,$J232*YenidegerFonOran)</f>
        <v/>
      </c>
      <c r="L232" s="124">
        <f>IF($G232=0,0,$J232/$G232)</f>
        <v/>
      </c>
      <c r="M232" s="124">
        <f>IF($L232=0,0,$L232*YenidegerKurumlarVergiOran)</f>
        <v/>
      </c>
      <c r="N232" s="124">
        <f>IFERROR(IF(YenidegerIskontoOrani=0,$M232*$G232,$M232*(1-1/(1+YenidegerIskontoOrani)^$G232)/YenidegerIskontoOrani),0)</f>
        <v/>
      </c>
      <c r="O232" s="124">
        <f>$N232-$K232</f>
        <v/>
      </c>
      <c r="P232" s="124">
        <f>IF($J232&lt;=0,"DEĞERLENDİR",IF($O232&gt;0,"YENİDEN DEĞERLE","DEĞERLENDİR"))</f>
        <v/>
      </c>
      <c r="Q232" s="124">
        <f>IF($B232="","",CONCATENATE("Kıymet: ",$B232," | Değer Artışı: ",TEXT($J232,"#,##0")))</f>
        <v/>
      </c>
    </row>
    <row r="233" ht="15.75" customHeight="1" s="81">
      <c r="A233" s="129" t="n"/>
      <c r="B233" s="130" t="n"/>
      <c r="C233" s="127" t="n"/>
      <c r="D233" s="127" t="n"/>
      <c r="E233" s="124">
        <f>IF($C233=0,0,$C233-$D233)</f>
        <v/>
      </c>
      <c r="F233" s="128" t="n"/>
      <c r="G233" s="129" t="n"/>
      <c r="H233" s="131" t="n"/>
      <c r="I233" s="124">
        <f>IF($E233=0,0,$E233*$H233)</f>
        <v/>
      </c>
      <c r="J233" s="124">
        <f>IF($I233=0,0,$I233-$E233)</f>
        <v/>
      </c>
      <c r="K233" s="124">
        <f>IF($J233=0,0,$J233*YenidegerFonOran)</f>
        <v/>
      </c>
      <c r="L233" s="124">
        <f>IF($G233=0,0,$J233/$G233)</f>
        <v/>
      </c>
      <c r="M233" s="124">
        <f>IF($L233=0,0,$L233*YenidegerKurumlarVergiOran)</f>
        <v/>
      </c>
      <c r="N233" s="124">
        <f>IFERROR(IF(YenidegerIskontoOrani=0,$M233*$G233,$M233*(1-1/(1+YenidegerIskontoOrani)^$G233)/YenidegerIskontoOrani),0)</f>
        <v/>
      </c>
      <c r="O233" s="124">
        <f>$N233-$K233</f>
        <v/>
      </c>
      <c r="P233" s="124">
        <f>IF($J233&lt;=0,"DEĞERLENDİR",IF($O233&gt;0,"YENİDEN DEĞERLE","DEĞERLENDİR"))</f>
        <v/>
      </c>
      <c r="Q233" s="124">
        <f>IF($B233="","",CONCATENATE("Kıymet: ",$B233," | Değer Artışı: ",TEXT($J233,"#,##0")))</f>
        <v/>
      </c>
    </row>
    <row r="234" ht="15.75" customHeight="1" s="81">
      <c r="A234" s="129" t="n"/>
      <c r="B234" s="130" t="n"/>
      <c r="C234" s="127" t="n"/>
      <c r="D234" s="127" t="n"/>
      <c r="E234" s="124">
        <f>IF($C234=0,0,$C234-$D234)</f>
        <v/>
      </c>
      <c r="F234" s="128" t="n"/>
      <c r="G234" s="129" t="n"/>
      <c r="H234" s="131" t="n"/>
      <c r="I234" s="124">
        <f>IF($E234=0,0,$E234*$H234)</f>
        <v/>
      </c>
      <c r="J234" s="124">
        <f>IF($I234=0,0,$I234-$E234)</f>
        <v/>
      </c>
      <c r="K234" s="124">
        <f>IF($J234=0,0,$J234*YenidegerFonOran)</f>
        <v/>
      </c>
      <c r="L234" s="124">
        <f>IF($G234=0,0,$J234/$G234)</f>
        <v/>
      </c>
      <c r="M234" s="124">
        <f>IF($L234=0,0,$L234*YenidegerKurumlarVergiOran)</f>
        <v/>
      </c>
      <c r="N234" s="124">
        <f>IFERROR(IF(YenidegerIskontoOrani=0,$M234*$G234,$M234*(1-1/(1+YenidegerIskontoOrani)^$G234)/YenidegerIskontoOrani),0)</f>
        <v/>
      </c>
      <c r="O234" s="124">
        <f>$N234-$K234</f>
        <v/>
      </c>
      <c r="P234" s="124">
        <f>IF($J234&lt;=0,"DEĞERLENDİR",IF($O234&gt;0,"YENİDEN DEĞERLE","DEĞERLENDİR"))</f>
        <v/>
      </c>
      <c r="Q234" s="124">
        <f>IF($B234="","",CONCATENATE("Kıymet: ",$B234," | Değer Artışı: ",TEXT($J234,"#,##0")))</f>
        <v/>
      </c>
    </row>
    <row r="235" ht="15.75" customHeight="1" s="81">
      <c r="A235" s="129" t="n"/>
      <c r="B235" s="130" t="n"/>
      <c r="C235" s="127" t="n"/>
      <c r="D235" s="127" t="n"/>
      <c r="E235" s="124">
        <f>IF($C235=0,0,$C235-$D235)</f>
        <v/>
      </c>
      <c r="F235" s="128" t="n"/>
      <c r="G235" s="129" t="n"/>
      <c r="H235" s="131" t="n"/>
      <c r="I235" s="124">
        <f>IF($E235=0,0,$E235*$H235)</f>
        <v/>
      </c>
      <c r="J235" s="124">
        <f>IF($I235=0,0,$I235-$E235)</f>
        <v/>
      </c>
      <c r="K235" s="124">
        <f>IF($J235=0,0,$J235*YenidegerFonOran)</f>
        <v/>
      </c>
      <c r="L235" s="124">
        <f>IF($G235=0,0,$J235/$G235)</f>
        <v/>
      </c>
      <c r="M235" s="124">
        <f>IF($L235=0,0,$L235*YenidegerKurumlarVergiOran)</f>
        <v/>
      </c>
      <c r="N235" s="124">
        <f>IFERROR(IF(YenidegerIskontoOrani=0,$M235*$G235,$M235*(1-1/(1+YenidegerIskontoOrani)^$G235)/YenidegerIskontoOrani),0)</f>
        <v/>
      </c>
      <c r="O235" s="124">
        <f>$N235-$K235</f>
        <v/>
      </c>
      <c r="P235" s="124">
        <f>IF($J235&lt;=0,"DEĞERLENDİR",IF($O235&gt;0,"YENİDEN DEĞERLE","DEĞERLENDİR"))</f>
        <v/>
      </c>
      <c r="Q235" s="124">
        <f>IF($B235="","",CONCATENATE("Kıymet: ",$B235," | Değer Artışı: ",TEXT($J235,"#,##0")))</f>
        <v/>
      </c>
    </row>
    <row r="236" ht="15.75" customHeight="1" s="81">
      <c r="A236" s="129" t="n"/>
      <c r="B236" s="130" t="n"/>
      <c r="C236" s="127" t="n"/>
      <c r="D236" s="127" t="n"/>
      <c r="E236" s="124">
        <f>IF($C236=0,0,$C236-$D236)</f>
        <v/>
      </c>
      <c r="F236" s="128" t="n"/>
      <c r="G236" s="129" t="n"/>
      <c r="H236" s="131" t="n"/>
      <c r="I236" s="124">
        <f>IF($E236=0,0,$E236*$H236)</f>
        <v/>
      </c>
      <c r="J236" s="124">
        <f>IF($I236=0,0,$I236-$E236)</f>
        <v/>
      </c>
      <c r="K236" s="124">
        <f>IF($J236=0,0,$J236*YenidegerFonOran)</f>
        <v/>
      </c>
      <c r="L236" s="124">
        <f>IF($G236=0,0,$J236/$G236)</f>
        <v/>
      </c>
      <c r="M236" s="124">
        <f>IF($L236=0,0,$L236*YenidegerKurumlarVergiOran)</f>
        <v/>
      </c>
      <c r="N236" s="124">
        <f>IFERROR(IF(YenidegerIskontoOrani=0,$M236*$G236,$M236*(1-1/(1+YenidegerIskontoOrani)^$G236)/YenidegerIskontoOrani),0)</f>
        <v/>
      </c>
      <c r="O236" s="124">
        <f>$N236-$K236</f>
        <v/>
      </c>
      <c r="P236" s="124">
        <f>IF($J236&lt;=0,"DEĞERLENDİR",IF($O236&gt;0,"YENİDEN DEĞERLE","DEĞERLENDİR"))</f>
        <v/>
      </c>
      <c r="Q236" s="124">
        <f>IF($B236="","",CONCATENATE("Kıymet: ",$B236," | Değer Artışı: ",TEXT($J236,"#,##0")))</f>
        <v/>
      </c>
    </row>
    <row r="237" ht="15.75" customHeight="1" s="81">
      <c r="A237" s="129" t="n"/>
      <c r="B237" s="130" t="n"/>
      <c r="C237" s="127" t="n"/>
      <c r="D237" s="127" t="n"/>
      <c r="E237" s="124">
        <f>IF($C237=0,0,$C237-$D237)</f>
        <v/>
      </c>
      <c r="F237" s="128" t="n"/>
      <c r="G237" s="129" t="n"/>
      <c r="H237" s="131" t="n"/>
      <c r="I237" s="124">
        <f>IF($E237=0,0,$E237*$H237)</f>
        <v/>
      </c>
      <c r="J237" s="124">
        <f>IF($I237=0,0,$I237-$E237)</f>
        <v/>
      </c>
      <c r="K237" s="124">
        <f>IF($J237=0,0,$J237*YenidegerFonOran)</f>
        <v/>
      </c>
      <c r="L237" s="124">
        <f>IF($G237=0,0,$J237/$G237)</f>
        <v/>
      </c>
      <c r="M237" s="124">
        <f>IF($L237=0,0,$L237*YenidegerKurumlarVergiOran)</f>
        <v/>
      </c>
      <c r="N237" s="124">
        <f>IFERROR(IF(YenidegerIskontoOrani=0,$M237*$G237,$M237*(1-1/(1+YenidegerIskontoOrani)^$G237)/YenidegerIskontoOrani),0)</f>
        <v/>
      </c>
      <c r="O237" s="124">
        <f>$N237-$K237</f>
        <v/>
      </c>
      <c r="P237" s="124">
        <f>IF($J237&lt;=0,"DEĞERLENDİR",IF($O237&gt;0,"YENİDEN DEĞERLE","DEĞERLENDİR"))</f>
        <v/>
      </c>
      <c r="Q237" s="124">
        <f>IF($B237="","",CONCATENATE("Kıymet: ",$B237," | Değer Artışı: ",TEXT($J237,"#,##0")))</f>
        <v/>
      </c>
    </row>
    <row r="238" ht="15.75" customHeight="1" s="81">
      <c r="A238" s="129" t="n"/>
      <c r="B238" s="130" t="n"/>
      <c r="C238" s="127" t="n"/>
      <c r="D238" s="127" t="n"/>
      <c r="E238" s="124">
        <f>IF($C238=0,0,$C238-$D238)</f>
        <v/>
      </c>
      <c r="F238" s="128" t="n"/>
      <c r="G238" s="129" t="n"/>
      <c r="H238" s="131" t="n"/>
      <c r="I238" s="124">
        <f>IF($E238=0,0,$E238*$H238)</f>
        <v/>
      </c>
      <c r="J238" s="124">
        <f>IF($I238=0,0,$I238-$E238)</f>
        <v/>
      </c>
      <c r="K238" s="124">
        <f>IF($J238=0,0,$J238*YenidegerFonOran)</f>
        <v/>
      </c>
      <c r="L238" s="124">
        <f>IF($G238=0,0,$J238/$G238)</f>
        <v/>
      </c>
      <c r="M238" s="124">
        <f>IF($L238=0,0,$L238*YenidegerKurumlarVergiOran)</f>
        <v/>
      </c>
      <c r="N238" s="124">
        <f>IFERROR(IF(YenidegerIskontoOrani=0,$M238*$G238,$M238*(1-1/(1+YenidegerIskontoOrani)^$G238)/YenidegerIskontoOrani),0)</f>
        <v/>
      </c>
      <c r="O238" s="124">
        <f>$N238-$K238</f>
        <v/>
      </c>
      <c r="P238" s="124">
        <f>IF($J238&lt;=0,"DEĞERLENDİR",IF($O238&gt;0,"YENİDEN DEĞERLE","DEĞERLENDİR"))</f>
        <v/>
      </c>
      <c r="Q238" s="124">
        <f>IF($B238="","",CONCATENATE("Kıymet: ",$B238," | Değer Artışı: ",TEXT($J238,"#,##0")))</f>
        <v/>
      </c>
    </row>
    <row r="239" ht="15.75" customHeight="1" s="81">
      <c r="A239" s="129" t="n"/>
      <c r="B239" s="130" t="n"/>
      <c r="C239" s="127" t="n"/>
      <c r="D239" s="127" t="n"/>
      <c r="E239" s="124">
        <f>IF($C239=0,0,$C239-$D239)</f>
        <v/>
      </c>
      <c r="F239" s="128" t="n"/>
      <c r="G239" s="129" t="n"/>
      <c r="H239" s="131" t="n"/>
      <c r="I239" s="124">
        <f>IF($E239=0,0,$E239*$H239)</f>
        <v/>
      </c>
      <c r="J239" s="124">
        <f>IF($I239=0,0,$I239-$E239)</f>
        <v/>
      </c>
      <c r="K239" s="124">
        <f>IF($J239=0,0,$J239*YenidegerFonOran)</f>
        <v/>
      </c>
      <c r="L239" s="124">
        <f>IF($G239=0,0,$J239/$G239)</f>
        <v/>
      </c>
      <c r="M239" s="124">
        <f>IF($L239=0,0,$L239*YenidegerKurumlarVergiOran)</f>
        <v/>
      </c>
      <c r="N239" s="124">
        <f>IFERROR(IF(YenidegerIskontoOrani=0,$M239*$G239,$M239*(1-1/(1+YenidegerIskontoOrani)^$G239)/YenidegerIskontoOrani),0)</f>
        <v/>
      </c>
      <c r="O239" s="124">
        <f>$N239-$K239</f>
        <v/>
      </c>
      <c r="P239" s="124">
        <f>IF($J239&lt;=0,"DEĞERLENDİR",IF($O239&gt;0,"YENİDEN DEĞERLE","DEĞERLENDİR"))</f>
        <v/>
      </c>
      <c r="Q239" s="124">
        <f>IF($B239="","",CONCATENATE("Kıymet: ",$B239," | Değer Artışı: ",TEXT($J239,"#,##0")))</f>
        <v/>
      </c>
    </row>
    <row r="240" ht="15.75" customHeight="1" s="81">
      <c r="A240" s="129" t="n"/>
      <c r="B240" s="130" t="n"/>
      <c r="C240" s="127" t="n"/>
      <c r="D240" s="127" t="n"/>
      <c r="E240" s="124">
        <f>IF($C240=0,0,$C240-$D240)</f>
        <v/>
      </c>
      <c r="F240" s="128" t="n"/>
      <c r="G240" s="129" t="n"/>
      <c r="H240" s="131" t="n"/>
      <c r="I240" s="124">
        <f>IF($E240=0,0,$E240*$H240)</f>
        <v/>
      </c>
      <c r="J240" s="124">
        <f>IF($I240=0,0,$I240-$E240)</f>
        <v/>
      </c>
      <c r="K240" s="124">
        <f>IF($J240=0,0,$J240*YenidegerFonOran)</f>
        <v/>
      </c>
      <c r="L240" s="124">
        <f>IF($G240=0,0,$J240/$G240)</f>
        <v/>
      </c>
      <c r="M240" s="124">
        <f>IF($L240=0,0,$L240*YenidegerKurumlarVergiOran)</f>
        <v/>
      </c>
      <c r="N240" s="124">
        <f>IFERROR(IF(YenidegerIskontoOrani=0,$M240*$G240,$M240*(1-1/(1+YenidegerIskontoOrani)^$G240)/YenidegerIskontoOrani),0)</f>
        <v/>
      </c>
      <c r="O240" s="124">
        <f>$N240-$K240</f>
        <v/>
      </c>
      <c r="P240" s="124">
        <f>IF($J240&lt;=0,"DEĞERLENDİR",IF($O240&gt;0,"YENİDEN DEĞERLE","DEĞERLENDİR"))</f>
        <v/>
      </c>
      <c r="Q240" s="124">
        <f>IF($B240="","",CONCATENATE("Kıymet: ",$B240," | Değer Artışı: ",TEXT($J240,"#,##0")))</f>
        <v/>
      </c>
    </row>
    <row r="241" ht="15.75" customHeight="1" s="81">
      <c r="A241" s="129" t="n"/>
      <c r="B241" s="130" t="n"/>
      <c r="C241" s="127" t="n"/>
      <c r="D241" s="127" t="n"/>
      <c r="E241" s="124">
        <f>IF($C241=0,0,$C241-$D241)</f>
        <v/>
      </c>
      <c r="F241" s="128" t="n"/>
      <c r="G241" s="129" t="n"/>
      <c r="H241" s="131" t="n"/>
      <c r="I241" s="124">
        <f>IF($E241=0,0,$E241*$H241)</f>
        <v/>
      </c>
      <c r="J241" s="124">
        <f>IF($I241=0,0,$I241-$E241)</f>
        <v/>
      </c>
      <c r="K241" s="124">
        <f>IF($J241=0,0,$J241*YenidegerFonOran)</f>
        <v/>
      </c>
      <c r="L241" s="124">
        <f>IF($G241=0,0,$J241/$G241)</f>
        <v/>
      </c>
      <c r="M241" s="124">
        <f>IF($L241=0,0,$L241*YenidegerKurumlarVergiOran)</f>
        <v/>
      </c>
      <c r="N241" s="124">
        <f>IFERROR(IF(YenidegerIskontoOrani=0,$M241*$G241,$M241*(1-1/(1+YenidegerIskontoOrani)^$G241)/YenidegerIskontoOrani),0)</f>
        <v/>
      </c>
      <c r="O241" s="124">
        <f>$N241-$K241</f>
        <v/>
      </c>
      <c r="P241" s="124">
        <f>IF($J241&lt;=0,"DEĞERLENDİR",IF($O241&gt;0,"YENİDEN DEĞERLE","DEĞERLENDİR"))</f>
        <v/>
      </c>
      <c r="Q241" s="124">
        <f>IF($B241="","",CONCATENATE("Kıymet: ",$B241," | Değer Artışı: ",TEXT($J241,"#,##0")))</f>
        <v/>
      </c>
    </row>
    <row r="242" ht="15.75" customHeight="1" s="81">
      <c r="A242" s="129" t="n"/>
      <c r="B242" s="130" t="n"/>
      <c r="C242" s="127" t="n"/>
      <c r="D242" s="127" t="n"/>
      <c r="E242" s="124">
        <f>IF($C242=0,0,$C242-$D242)</f>
        <v/>
      </c>
      <c r="F242" s="128" t="n"/>
      <c r="G242" s="129" t="n"/>
      <c r="H242" s="131" t="n"/>
      <c r="I242" s="124">
        <f>IF($E242=0,0,$E242*$H242)</f>
        <v/>
      </c>
      <c r="J242" s="124">
        <f>IF($I242=0,0,$I242-$E242)</f>
        <v/>
      </c>
      <c r="K242" s="124">
        <f>IF($J242=0,0,$J242*YenidegerFonOran)</f>
        <v/>
      </c>
      <c r="L242" s="124">
        <f>IF($G242=0,0,$J242/$G242)</f>
        <v/>
      </c>
      <c r="M242" s="124">
        <f>IF($L242=0,0,$L242*YenidegerKurumlarVergiOran)</f>
        <v/>
      </c>
      <c r="N242" s="124">
        <f>IFERROR(IF(YenidegerIskontoOrani=0,$M242*$G242,$M242*(1-1/(1+YenidegerIskontoOrani)^$G242)/YenidegerIskontoOrani),0)</f>
        <v/>
      </c>
      <c r="O242" s="124">
        <f>$N242-$K242</f>
        <v/>
      </c>
      <c r="P242" s="124">
        <f>IF($J242&lt;=0,"DEĞERLENDİR",IF($O242&gt;0,"YENİDEN DEĞERLE","DEĞERLENDİR"))</f>
        <v/>
      </c>
      <c r="Q242" s="124">
        <f>IF($B242="","",CONCATENATE("Kıymet: ",$B242," | Değer Artışı: ",TEXT($J242,"#,##0")))</f>
        <v/>
      </c>
    </row>
    <row r="243" ht="15.75" customHeight="1" s="81">
      <c r="A243" s="129" t="n"/>
      <c r="B243" s="130" t="n"/>
      <c r="C243" s="127" t="n"/>
      <c r="D243" s="127" t="n"/>
      <c r="E243" s="124">
        <f>IF($C243=0,0,$C243-$D243)</f>
        <v/>
      </c>
      <c r="F243" s="128" t="n"/>
      <c r="G243" s="129" t="n"/>
      <c r="H243" s="131" t="n"/>
      <c r="I243" s="124">
        <f>IF($E243=0,0,$E243*$H243)</f>
        <v/>
      </c>
      <c r="J243" s="124">
        <f>IF($I243=0,0,$I243-$E243)</f>
        <v/>
      </c>
      <c r="K243" s="124">
        <f>IF($J243=0,0,$J243*YenidegerFonOran)</f>
        <v/>
      </c>
      <c r="L243" s="124">
        <f>IF($G243=0,0,$J243/$G243)</f>
        <v/>
      </c>
      <c r="M243" s="124">
        <f>IF($L243=0,0,$L243*YenidegerKurumlarVergiOran)</f>
        <v/>
      </c>
      <c r="N243" s="124">
        <f>IFERROR(IF(YenidegerIskontoOrani=0,$M243*$G243,$M243*(1-1/(1+YenidegerIskontoOrani)^$G243)/YenidegerIskontoOrani),0)</f>
        <v/>
      </c>
      <c r="O243" s="124">
        <f>$N243-$K243</f>
        <v/>
      </c>
      <c r="P243" s="124">
        <f>IF($J243&lt;=0,"DEĞERLENDİR",IF($O243&gt;0,"YENİDEN DEĞERLE","DEĞERLENDİR"))</f>
        <v/>
      </c>
      <c r="Q243" s="124">
        <f>IF($B243="","",CONCATENATE("Kıymet: ",$B243," | Değer Artışı: ",TEXT($J243,"#,##0")))</f>
        <v/>
      </c>
    </row>
    <row r="244" ht="15.75" customHeight="1" s="81">
      <c r="A244" s="129" t="n"/>
      <c r="B244" s="130" t="n"/>
      <c r="C244" s="127" t="n"/>
      <c r="D244" s="127" t="n"/>
      <c r="E244" s="124">
        <f>IF($C244=0,0,$C244-$D244)</f>
        <v/>
      </c>
      <c r="F244" s="128" t="n"/>
      <c r="G244" s="129" t="n"/>
      <c r="H244" s="131" t="n"/>
      <c r="I244" s="124">
        <f>IF($E244=0,0,$E244*$H244)</f>
        <v/>
      </c>
      <c r="J244" s="124">
        <f>IF($I244=0,0,$I244-$E244)</f>
        <v/>
      </c>
      <c r="K244" s="124">
        <f>IF($J244=0,0,$J244*YenidegerFonOran)</f>
        <v/>
      </c>
      <c r="L244" s="124">
        <f>IF($G244=0,0,$J244/$G244)</f>
        <v/>
      </c>
      <c r="M244" s="124">
        <f>IF($L244=0,0,$L244*YenidegerKurumlarVergiOran)</f>
        <v/>
      </c>
      <c r="N244" s="124">
        <f>IFERROR(IF(YenidegerIskontoOrani=0,$M244*$G244,$M244*(1-1/(1+YenidegerIskontoOrani)^$G244)/YenidegerIskontoOrani),0)</f>
        <v/>
      </c>
      <c r="O244" s="124">
        <f>$N244-$K244</f>
        <v/>
      </c>
      <c r="P244" s="124">
        <f>IF($J244&lt;=0,"DEĞERLENDİR",IF($O244&gt;0,"YENİDEN DEĞERLE","DEĞERLENDİR"))</f>
        <v/>
      </c>
      <c r="Q244" s="124">
        <f>IF($B244="","",CONCATENATE("Kıymet: ",$B244," | Değer Artışı: ",TEXT($J244,"#,##0")))</f>
        <v/>
      </c>
    </row>
    <row r="245" ht="15.75" customHeight="1" s="81">
      <c r="A245" s="129" t="n"/>
      <c r="B245" s="130" t="n"/>
      <c r="C245" s="127" t="n"/>
      <c r="D245" s="127" t="n"/>
      <c r="E245" s="124">
        <f>IF($C245=0,0,$C245-$D245)</f>
        <v/>
      </c>
      <c r="F245" s="128" t="n"/>
      <c r="G245" s="129" t="n"/>
      <c r="H245" s="131" t="n"/>
      <c r="I245" s="124">
        <f>IF($E245=0,0,$E245*$H245)</f>
        <v/>
      </c>
      <c r="J245" s="124">
        <f>IF($I245=0,0,$I245-$E245)</f>
        <v/>
      </c>
      <c r="K245" s="124">
        <f>IF($J245=0,0,$J245*YenidegerFonOran)</f>
        <v/>
      </c>
      <c r="L245" s="124">
        <f>IF($G245=0,0,$J245/$G245)</f>
        <v/>
      </c>
      <c r="M245" s="124">
        <f>IF($L245=0,0,$L245*YenidegerKurumlarVergiOran)</f>
        <v/>
      </c>
      <c r="N245" s="124">
        <f>IFERROR(IF(YenidegerIskontoOrani=0,$M245*$G245,$M245*(1-1/(1+YenidegerIskontoOrani)^$G245)/YenidegerIskontoOrani),0)</f>
        <v/>
      </c>
      <c r="O245" s="124">
        <f>$N245-$K245</f>
        <v/>
      </c>
      <c r="P245" s="124">
        <f>IF($J245&lt;=0,"DEĞERLENDİR",IF($O245&gt;0,"YENİDEN DEĞERLE","DEĞERLENDİR"))</f>
        <v/>
      </c>
      <c r="Q245" s="124">
        <f>IF($B245="","",CONCATENATE("Kıymet: ",$B245," | Değer Artışı: ",TEXT($J245,"#,##0")))</f>
        <v/>
      </c>
    </row>
    <row r="246" ht="15.75" customHeight="1" s="81">
      <c r="A246" s="129" t="n"/>
      <c r="B246" s="130" t="n"/>
      <c r="C246" s="127" t="n"/>
      <c r="D246" s="127" t="n"/>
      <c r="E246" s="124">
        <f>IF($C246=0,0,$C246-$D246)</f>
        <v/>
      </c>
      <c r="F246" s="128" t="n"/>
      <c r="G246" s="129" t="n"/>
      <c r="H246" s="131" t="n"/>
      <c r="I246" s="124">
        <f>IF($E246=0,0,$E246*$H246)</f>
        <v/>
      </c>
      <c r="J246" s="124">
        <f>IF($I246=0,0,$I246-$E246)</f>
        <v/>
      </c>
      <c r="K246" s="124">
        <f>IF($J246=0,0,$J246*YenidegerFonOran)</f>
        <v/>
      </c>
      <c r="L246" s="124">
        <f>IF($G246=0,0,$J246/$G246)</f>
        <v/>
      </c>
      <c r="M246" s="124">
        <f>IF($L246=0,0,$L246*YenidegerKurumlarVergiOran)</f>
        <v/>
      </c>
      <c r="N246" s="124">
        <f>IFERROR(IF(YenidegerIskontoOrani=0,$M246*$G246,$M246*(1-1/(1+YenidegerIskontoOrani)^$G246)/YenidegerIskontoOrani),0)</f>
        <v/>
      </c>
      <c r="O246" s="124">
        <f>$N246-$K246</f>
        <v/>
      </c>
      <c r="P246" s="124">
        <f>IF($J246&lt;=0,"DEĞERLENDİR",IF($O246&gt;0,"YENİDEN DEĞERLE","DEĞERLENDİR"))</f>
        <v/>
      </c>
      <c r="Q246" s="124">
        <f>IF($B246="","",CONCATENATE("Kıymet: ",$B246," | Değer Artışı: ",TEXT($J246,"#,##0")))</f>
        <v/>
      </c>
    </row>
    <row r="247" ht="15.75" customHeight="1" s="81">
      <c r="A247" s="129" t="n"/>
      <c r="B247" s="130" t="n"/>
      <c r="C247" s="127" t="n"/>
      <c r="D247" s="127" t="n"/>
      <c r="E247" s="124">
        <f>IF($C247=0,0,$C247-$D247)</f>
        <v/>
      </c>
      <c r="F247" s="128" t="n"/>
      <c r="G247" s="129" t="n"/>
      <c r="H247" s="131" t="n"/>
      <c r="I247" s="124">
        <f>IF($E247=0,0,$E247*$H247)</f>
        <v/>
      </c>
      <c r="J247" s="124">
        <f>IF($I247=0,0,$I247-$E247)</f>
        <v/>
      </c>
      <c r="K247" s="124">
        <f>IF($J247=0,0,$J247*YenidegerFonOran)</f>
        <v/>
      </c>
      <c r="L247" s="124">
        <f>IF($G247=0,0,$J247/$G247)</f>
        <v/>
      </c>
      <c r="M247" s="124">
        <f>IF($L247=0,0,$L247*YenidegerKurumlarVergiOran)</f>
        <v/>
      </c>
      <c r="N247" s="124">
        <f>IFERROR(IF(YenidegerIskontoOrani=0,$M247*$G247,$M247*(1-1/(1+YenidegerIskontoOrani)^$G247)/YenidegerIskontoOrani),0)</f>
        <v/>
      </c>
      <c r="O247" s="124">
        <f>$N247-$K247</f>
        <v/>
      </c>
      <c r="P247" s="124">
        <f>IF($J247&lt;=0,"DEĞERLENDİR",IF($O247&gt;0,"YENİDEN DEĞERLE","DEĞERLENDİR"))</f>
        <v/>
      </c>
      <c r="Q247" s="124">
        <f>IF($B247="","",CONCATENATE("Kıymet: ",$B247," | Değer Artışı: ",TEXT($J247,"#,##0")))</f>
        <v/>
      </c>
    </row>
    <row r="248" ht="15.75" customHeight="1" s="81">
      <c r="A248" s="129" t="n"/>
      <c r="B248" s="130" t="n"/>
      <c r="C248" s="127" t="n"/>
      <c r="D248" s="127" t="n"/>
      <c r="E248" s="124">
        <f>IF($C248=0,0,$C248-$D248)</f>
        <v/>
      </c>
      <c r="F248" s="128" t="n"/>
      <c r="G248" s="129" t="n"/>
      <c r="H248" s="131" t="n"/>
      <c r="I248" s="124">
        <f>IF($E248=0,0,$E248*$H248)</f>
        <v/>
      </c>
      <c r="J248" s="124">
        <f>IF($I248=0,0,$I248-$E248)</f>
        <v/>
      </c>
      <c r="K248" s="124">
        <f>IF($J248=0,0,$J248*YenidegerFonOran)</f>
        <v/>
      </c>
      <c r="L248" s="124">
        <f>IF($G248=0,0,$J248/$G248)</f>
        <v/>
      </c>
      <c r="M248" s="124">
        <f>IF($L248=0,0,$L248*YenidegerKurumlarVergiOran)</f>
        <v/>
      </c>
      <c r="N248" s="124">
        <f>IFERROR(IF(YenidegerIskontoOrani=0,$M248*$G248,$M248*(1-1/(1+YenidegerIskontoOrani)^$G248)/YenidegerIskontoOrani),0)</f>
        <v/>
      </c>
      <c r="O248" s="124">
        <f>$N248-$K248</f>
        <v/>
      </c>
      <c r="P248" s="124">
        <f>IF($J248&lt;=0,"DEĞERLENDİR",IF($O248&gt;0,"YENİDEN DEĞERLE","DEĞERLENDİR"))</f>
        <v/>
      </c>
      <c r="Q248" s="124">
        <f>IF($B248="","",CONCATENATE("Kıymet: ",$B248," | Değer Artışı: ",TEXT($J248,"#,##0")))</f>
        <v/>
      </c>
    </row>
    <row r="249" ht="15.75" customHeight="1" s="81">
      <c r="A249" s="129" t="n"/>
      <c r="B249" s="130" t="n"/>
      <c r="C249" s="127" t="n"/>
      <c r="D249" s="127" t="n"/>
      <c r="E249" s="124">
        <f>IF($C249=0,0,$C249-$D249)</f>
        <v/>
      </c>
      <c r="F249" s="128" t="n"/>
      <c r="G249" s="129" t="n"/>
      <c r="H249" s="131" t="n"/>
      <c r="I249" s="124">
        <f>IF($E249=0,0,$E249*$H249)</f>
        <v/>
      </c>
      <c r="J249" s="124">
        <f>IF($I249=0,0,$I249-$E249)</f>
        <v/>
      </c>
      <c r="K249" s="124">
        <f>IF($J249=0,0,$J249*YenidegerFonOran)</f>
        <v/>
      </c>
      <c r="L249" s="124">
        <f>IF($G249=0,0,$J249/$G249)</f>
        <v/>
      </c>
      <c r="M249" s="124">
        <f>IF($L249=0,0,$L249*YenidegerKurumlarVergiOran)</f>
        <v/>
      </c>
      <c r="N249" s="124">
        <f>IFERROR(IF(YenidegerIskontoOrani=0,$M249*$G249,$M249*(1-1/(1+YenidegerIskontoOrani)^$G249)/YenidegerIskontoOrani),0)</f>
        <v/>
      </c>
      <c r="O249" s="124">
        <f>$N249-$K249</f>
        <v/>
      </c>
      <c r="P249" s="124">
        <f>IF($J249&lt;=0,"DEĞERLENDİR",IF($O249&gt;0,"YENİDEN DEĞERLE","DEĞERLENDİR"))</f>
        <v/>
      </c>
      <c r="Q249" s="124">
        <f>IF($B249="","",CONCATENATE("Kıymet: ",$B249," | Değer Artışı: ",TEXT($J249,"#,##0")))</f>
        <v/>
      </c>
    </row>
    <row r="250" ht="15.75" customHeight="1" s="81">
      <c r="A250" s="129" t="n"/>
      <c r="B250" s="130" t="n"/>
      <c r="C250" s="127" t="n"/>
      <c r="D250" s="127" t="n"/>
      <c r="E250" s="124">
        <f>IF($C250=0,0,$C250-$D250)</f>
        <v/>
      </c>
      <c r="F250" s="128" t="n"/>
      <c r="G250" s="129" t="n"/>
      <c r="H250" s="131" t="n"/>
      <c r="I250" s="124">
        <f>IF($E250=0,0,$E250*$H250)</f>
        <v/>
      </c>
      <c r="J250" s="124">
        <f>IF($I250=0,0,$I250-$E250)</f>
        <v/>
      </c>
      <c r="K250" s="124">
        <f>IF($J250=0,0,$J250*YenidegerFonOran)</f>
        <v/>
      </c>
      <c r="L250" s="124">
        <f>IF($G250=0,0,$J250/$G250)</f>
        <v/>
      </c>
      <c r="M250" s="124">
        <f>IF($L250=0,0,$L250*YenidegerKurumlarVergiOran)</f>
        <v/>
      </c>
      <c r="N250" s="124">
        <f>IFERROR(IF(YenidegerIskontoOrani=0,$M250*$G250,$M250*(1-1/(1+YenidegerIskontoOrani)^$G250)/YenidegerIskontoOrani),0)</f>
        <v/>
      </c>
      <c r="O250" s="124">
        <f>$N250-$K250</f>
        <v/>
      </c>
      <c r="P250" s="124">
        <f>IF($J250&lt;=0,"DEĞERLENDİR",IF($O250&gt;0,"YENİDEN DEĞERLE","DEĞERLENDİR"))</f>
        <v/>
      </c>
      <c r="Q250" s="124">
        <f>IF($B250="","",CONCATENATE("Kıymet: ",$B250," | Değer Artışı: ",TEXT($J250,"#,##0")))</f>
        <v/>
      </c>
    </row>
    <row r="251" ht="15.75" customHeight="1" s="81">
      <c r="A251" s="129" t="n"/>
      <c r="B251" s="130" t="n"/>
      <c r="C251" s="127" t="n"/>
      <c r="D251" s="127" t="n"/>
      <c r="E251" s="124">
        <f>IF($C251=0,0,$C251-$D251)</f>
        <v/>
      </c>
      <c r="F251" s="128" t="n"/>
      <c r="G251" s="129" t="n"/>
      <c r="H251" s="131" t="n"/>
      <c r="I251" s="124">
        <f>IF($E251=0,0,$E251*$H251)</f>
        <v/>
      </c>
      <c r="J251" s="124">
        <f>IF($I251=0,0,$I251-$E251)</f>
        <v/>
      </c>
      <c r="K251" s="124">
        <f>IF($J251=0,0,$J251*YenidegerFonOran)</f>
        <v/>
      </c>
      <c r="L251" s="124">
        <f>IF($G251=0,0,$J251/$G251)</f>
        <v/>
      </c>
      <c r="M251" s="124">
        <f>IF($L251=0,0,$L251*YenidegerKurumlarVergiOran)</f>
        <v/>
      </c>
      <c r="N251" s="124">
        <f>IFERROR(IF(YenidegerIskontoOrani=0,$M251*$G251,$M251*(1-1/(1+YenidegerIskontoOrani)^$G251)/YenidegerIskontoOrani),0)</f>
        <v/>
      </c>
      <c r="O251" s="124">
        <f>$N251-$K251</f>
        <v/>
      </c>
      <c r="P251" s="124">
        <f>IF($J251&lt;=0,"DEĞERLENDİR",IF($O251&gt;0,"YENİDEN DEĞERLE","DEĞERLENDİR"))</f>
        <v/>
      </c>
      <c r="Q251" s="124">
        <f>IF($B251="","",CONCATENATE("Kıymet: ",$B251," | Değer Artışı: ",TEXT($J251,"#,##0")))</f>
        <v/>
      </c>
    </row>
    <row r="252" ht="15.75" customHeight="1" s="81">
      <c r="A252" s="129" t="n"/>
      <c r="B252" s="130" t="n"/>
      <c r="C252" s="127" t="n"/>
      <c r="D252" s="127" t="n"/>
      <c r="E252" s="124">
        <f>IF($C252=0,0,$C252-$D252)</f>
        <v/>
      </c>
      <c r="F252" s="128" t="n"/>
      <c r="G252" s="129" t="n"/>
      <c r="H252" s="131" t="n"/>
      <c r="I252" s="124">
        <f>IF($E252=0,0,$E252*$H252)</f>
        <v/>
      </c>
      <c r="J252" s="124">
        <f>IF($I252=0,0,$I252-$E252)</f>
        <v/>
      </c>
      <c r="K252" s="124">
        <f>IF($J252=0,0,$J252*YenidegerFonOran)</f>
        <v/>
      </c>
      <c r="L252" s="124">
        <f>IF($G252=0,0,$J252/$G252)</f>
        <v/>
      </c>
      <c r="M252" s="124">
        <f>IF($L252=0,0,$L252*YenidegerKurumlarVergiOran)</f>
        <v/>
      </c>
      <c r="N252" s="124">
        <f>IFERROR(IF(YenidegerIskontoOrani=0,$M252*$G252,$M252*(1-1/(1+YenidegerIskontoOrani)^$G252)/YenidegerIskontoOrani),0)</f>
        <v/>
      </c>
      <c r="O252" s="124">
        <f>$N252-$K252</f>
        <v/>
      </c>
      <c r="P252" s="124">
        <f>IF($J252&lt;=0,"DEĞERLENDİR",IF($O252&gt;0,"YENİDEN DEĞERLE","DEĞERLENDİR"))</f>
        <v/>
      </c>
      <c r="Q252" s="124">
        <f>IF($B252="","",CONCATENATE("Kıymet: ",$B252," | Değer Artışı: ",TEXT($J252,"#,##0")))</f>
        <v/>
      </c>
    </row>
    <row r="253" ht="15.75" customHeight="1" s="81">
      <c r="A253" s="129" t="n"/>
      <c r="B253" s="130" t="n"/>
      <c r="C253" s="127" t="n"/>
      <c r="D253" s="127" t="n"/>
      <c r="E253" s="124">
        <f>IF($C253=0,0,$C253-$D253)</f>
        <v/>
      </c>
      <c r="F253" s="128" t="n"/>
      <c r="G253" s="129" t="n"/>
      <c r="H253" s="131" t="n"/>
      <c r="I253" s="124">
        <f>IF($E253=0,0,$E253*$H253)</f>
        <v/>
      </c>
      <c r="J253" s="124">
        <f>IF($I253=0,0,$I253-$E253)</f>
        <v/>
      </c>
      <c r="K253" s="124">
        <f>IF($J253=0,0,$J253*YenidegerFonOran)</f>
        <v/>
      </c>
      <c r="L253" s="124">
        <f>IF($G253=0,0,$J253/$G253)</f>
        <v/>
      </c>
      <c r="M253" s="124">
        <f>IF($L253=0,0,$L253*YenidegerKurumlarVergiOran)</f>
        <v/>
      </c>
      <c r="N253" s="124">
        <f>IFERROR(IF(YenidegerIskontoOrani=0,$M253*$G253,$M253*(1-1/(1+YenidegerIskontoOrani)^$G253)/YenidegerIskontoOrani),0)</f>
        <v/>
      </c>
      <c r="O253" s="124">
        <f>$N253-$K253</f>
        <v/>
      </c>
      <c r="P253" s="124">
        <f>IF($J253&lt;=0,"DEĞERLENDİR",IF($O253&gt;0,"YENİDEN DEĞERLE","DEĞERLENDİR"))</f>
        <v/>
      </c>
      <c r="Q253" s="124">
        <f>IF($B253="","",CONCATENATE("Kıymet: ",$B253," | Değer Artışı: ",TEXT($J253,"#,##0")))</f>
        <v/>
      </c>
    </row>
    <row r="254" ht="15.75" customHeight="1" s="81">
      <c r="A254" s="129" t="n"/>
      <c r="B254" s="130" t="n"/>
      <c r="C254" s="127" t="n"/>
      <c r="D254" s="127" t="n"/>
      <c r="E254" s="124">
        <f>IF($C254=0,0,$C254-$D254)</f>
        <v/>
      </c>
      <c r="F254" s="128" t="n"/>
      <c r="G254" s="129" t="n"/>
      <c r="H254" s="131" t="n"/>
      <c r="I254" s="124">
        <f>IF($E254=0,0,$E254*$H254)</f>
        <v/>
      </c>
      <c r="J254" s="124">
        <f>IF($I254=0,0,$I254-$E254)</f>
        <v/>
      </c>
      <c r="K254" s="124">
        <f>IF($J254=0,0,$J254*YenidegerFonOran)</f>
        <v/>
      </c>
      <c r="L254" s="124">
        <f>IF($G254=0,0,$J254/$G254)</f>
        <v/>
      </c>
      <c r="M254" s="124">
        <f>IF($L254=0,0,$L254*YenidegerKurumlarVergiOran)</f>
        <v/>
      </c>
      <c r="N254" s="124">
        <f>IFERROR(IF(YenidegerIskontoOrani=0,$M254*$G254,$M254*(1-1/(1+YenidegerIskontoOrani)^$G254)/YenidegerIskontoOrani),0)</f>
        <v/>
      </c>
      <c r="O254" s="124">
        <f>$N254-$K254</f>
        <v/>
      </c>
      <c r="P254" s="124">
        <f>IF($J254&lt;=0,"DEĞERLENDİR",IF($O254&gt;0,"YENİDEN DEĞERLE","DEĞERLENDİR"))</f>
        <v/>
      </c>
      <c r="Q254" s="124">
        <f>IF($B254="","",CONCATENATE("Kıymet: ",$B254," | Değer Artışı: ",TEXT($J254,"#,##0")))</f>
        <v/>
      </c>
    </row>
    <row r="255" ht="15.75" customHeight="1" s="81">
      <c r="A255" s="129" t="n"/>
      <c r="B255" s="130" t="n"/>
      <c r="C255" s="127" t="n"/>
      <c r="D255" s="127" t="n"/>
      <c r="E255" s="124">
        <f>IF($C255=0,0,$C255-$D255)</f>
        <v/>
      </c>
      <c r="F255" s="128" t="n"/>
      <c r="G255" s="129" t="n"/>
      <c r="H255" s="131" t="n"/>
      <c r="I255" s="124">
        <f>IF($E255=0,0,$E255*$H255)</f>
        <v/>
      </c>
      <c r="J255" s="124">
        <f>IF($I255=0,0,$I255-$E255)</f>
        <v/>
      </c>
      <c r="K255" s="124">
        <f>IF($J255=0,0,$J255*YenidegerFonOran)</f>
        <v/>
      </c>
      <c r="L255" s="124">
        <f>IF($G255=0,0,$J255/$G255)</f>
        <v/>
      </c>
      <c r="M255" s="124">
        <f>IF($L255=0,0,$L255*YenidegerKurumlarVergiOran)</f>
        <v/>
      </c>
      <c r="N255" s="124">
        <f>IFERROR(IF(YenidegerIskontoOrani=0,$M255*$G255,$M255*(1-1/(1+YenidegerIskontoOrani)^$G255)/YenidegerIskontoOrani),0)</f>
        <v/>
      </c>
      <c r="O255" s="124">
        <f>$N255-$K255</f>
        <v/>
      </c>
      <c r="P255" s="124">
        <f>IF($J255&lt;=0,"DEĞERLENDİR",IF($O255&gt;0,"YENİDEN DEĞERLE","DEĞERLENDİR"))</f>
        <v/>
      </c>
      <c r="Q255" s="124">
        <f>IF($B255="","",CONCATENATE("Kıymet: ",$B255," | Değer Artışı: ",TEXT($J255,"#,##0")))</f>
        <v/>
      </c>
    </row>
    <row r="256" ht="15.75" customHeight="1" s="81">
      <c r="A256" s="129" t="n"/>
      <c r="B256" s="130" t="n"/>
      <c r="C256" s="127" t="n"/>
      <c r="D256" s="127" t="n"/>
      <c r="E256" s="124">
        <f>IF($C256=0,0,$C256-$D256)</f>
        <v/>
      </c>
      <c r="F256" s="128" t="n"/>
      <c r="G256" s="129" t="n"/>
      <c r="H256" s="131" t="n"/>
      <c r="I256" s="124">
        <f>IF($E256=0,0,$E256*$H256)</f>
        <v/>
      </c>
      <c r="J256" s="124">
        <f>IF($I256=0,0,$I256-$E256)</f>
        <v/>
      </c>
      <c r="K256" s="124">
        <f>IF($J256=0,0,$J256*YenidegerFonOran)</f>
        <v/>
      </c>
      <c r="L256" s="124">
        <f>IF($G256=0,0,$J256/$G256)</f>
        <v/>
      </c>
      <c r="M256" s="124">
        <f>IF($L256=0,0,$L256*YenidegerKurumlarVergiOran)</f>
        <v/>
      </c>
      <c r="N256" s="124">
        <f>IFERROR(IF(YenidegerIskontoOrani=0,$M256*$G256,$M256*(1-1/(1+YenidegerIskontoOrani)^$G256)/YenidegerIskontoOrani),0)</f>
        <v/>
      </c>
      <c r="O256" s="124">
        <f>$N256-$K256</f>
        <v/>
      </c>
      <c r="P256" s="124">
        <f>IF($J256&lt;=0,"DEĞERLENDİR",IF($O256&gt;0,"YENİDEN DEĞERLE","DEĞERLENDİR"))</f>
        <v/>
      </c>
      <c r="Q256" s="124">
        <f>IF($B256="","",CONCATENATE("Kıymet: ",$B256," | Değer Artışı: ",TEXT($J256,"#,##0")))</f>
        <v/>
      </c>
    </row>
    <row r="257" ht="15.75" customHeight="1" s="81">
      <c r="A257" s="129" t="n"/>
      <c r="B257" s="130" t="n"/>
      <c r="C257" s="127" t="n"/>
      <c r="D257" s="127" t="n"/>
      <c r="E257" s="124">
        <f>IF($C257=0,0,$C257-$D257)</f>
        <v/>
      </c>
      <c r="F257" s="128" t="n"/>
      <c r="G257" s="129" t="n"/>
      <c r="H257" s="131" t="n"/>
      <c r="I257" s="124">
        <f>IF($E257=0,0,$E257*$H257)</f>
        <v/>
      </c>
      <c r="J257" s="124">
        <f>IF($I257=0,0,$I257-$E257)</f>
        <v/>
      </c>
      <c r="K257" s="124">
        <f>IF($J257=0,0,$J257*YenidegerFonOran)</f>
        <v/>
      </c>
      <c r="L257" s="124">
        <f>IF($G257=0,0,$J257/$G257)</f>
        <v/>
      </c>
      <c r="M257" s="124">
        <f>IF($L257=0,0,$L257*YenidegerKurumlarVergiOran)</f>
        <v/>
      </c>
      <c r="N257" s="124">
        <f>IFERROR(IF(YenidegerIskontoOrani=0,$M257*$G257,$M257*(1-1/(1+YenidegerIskontoOrani)^$G257)/YenidegerIskontoOrani),0)</f>
        <v/>
      </c>
      <c r="O257" s="124">
        <f>$N257-$K257</f>
        <v/>
      </c>
      <c r="P257" s="124">
        <f>IF($J257&lt;=0,"DEĞERLENDİR",IF($O257&gt;0,"YENİDEN DEĞERLE","DEĞERLENDİR"))</f>
        <v/>
      </c>
      <c r="Q257" s="124">
        <f>IF($B257="","",CONCATENATE("Kıymet: ",$B257," | Değer Artışı: ",TEXT($J257,"#,##0")))</f>
        <v/>
      </c>
    </row>
    <row r="258" ht="15.75" customHeight="1" s="81">
      <c r="A258" s="129" t="n"/>
      <c r="B258" s="130" t="n"/>
      <c r="C258" s="127" t="n"/>
      <c r="D258" s="127" t="n"/>
      <c r="E258" s="124">
        <f>IF($C258=0,0,$C258-$D258)</f>
        <v/>
      </c>
      <c r="F258" s="128" t="n"/>
      <c r="G258" s="129" t="n"/>
      <c r="H258" s="131" t="n"/>
      <c r="I258" s="124">
        <f>IF($E258=0,0,$E258*$H258)</f>
        <v/>
      </c>
      <c r="J258" s="124">
        <f>IF($I258=0,0,$I258-$E258)</f>
        <v/>
      </c>
      <c r="K258" s="124">
        <f>IF($J258=0,0,$J258*YenidegerFonOran)</f>
        <v/>
      </c>
      <c r="L258" s="124">
        <f>IF($G258=0,0,$J258/$G258)</f>
        <v/>
      </c>
      <c r="M258" s="124">
        <f>IF($L258=0,0,$L258*YenidegerKurumlarVergiOran)</f>
        <v/>
      </c>
      <c r="N258" s="124">
        <f>IFERROR(IF(YenidegerIskontoOrani=0,$M258*$G258,$M258*(1-1/(1+YenidegerIskontoOrani)^$G258)/YenidegerIskontoOrani),0)</f>
        <v/>
      </c>
      <c r="O258" s="124">
        <f>$N258-$K258</f>
        <v/>
      </c>
      <c r="P258" s="124">
        <f>IF($J258&lt;=0,"DEĞERLENDİR",IF($O258&gt;0,"YENİDEN DEĞERLE","DEĞERLENDİR"))</f>
        <v/>
      </c>
      <c r="Q258" s="124">
        <f>IF($B258="","",CONCATENATE("Kıymet: ",$B258," | Değer Artışı: ",TEXT($J258,"#,##0")))</f>
        <v/>
      </c>
    </row>
    <row r="259" ht="15.75" customHeight="1" s="81">
      <c r="A259" s="129" t="n"/>
      <c r="B259" s="130" t="n"/>
      <c r="C259" s="127" t="n"/>
      <c r="D259" s="127" t="n"/>
      <c r="E259" s="124">
        <f>IF($C259=0,0,$C259-$D259)</f>
        <v/>
      </c>
      <c r="F259" s="128" t="n"/>
      <c r="G259" s="129" t="n"/>
      <c r="H259" s="131" t="n"/>
      <c r="I259" s="124">
        <f>IF($E259=0,0,$E259*$H259)</f>
        <v/>
      </c>
      <c r="J259" s="124">
        <f>IF($I259=0,0,$I259-$E259)</f>
        <v/>
      </c>
      <c r="K259" s="124">
        <f>IF($J259=0,0,$J259*YenidegerFonOran)</f>
        <v/>
      </c>
      <c r="L259" s="124">
        <f>IF($G259=0,0,$J259/$G259)</f>
        <v/>
      </c>
      <c r="M259" s="124">
        <f>IF($L259=0,0,$L259*YenidegerKurumlarVergiOran)</f>
        <v/>
      </c>
      <c r="N259" s="124">
        <f>IFERROR(IF(YenidegerIskontoOrani=0,$M259*$G259,$M259*(1-1/(1+YenidegerIskontoOrani)^$G259)/YenidegerIskontoOrani),0)</f>
        <v/>
      </c>
      <c r="O259" s="124">
        <f>$N259-$K259</f>
        <v/>
      </c>
      <c r="P259" s="124">
        <f>IF($J259&lt;=0,"DEĞERLENDİR",IF($O259&gt;0,"YENİDEN DEĞERLE","DEĞERLENDİR"))</f>
        <v/>
      </c>
      <c r="Q259" s="124">
        <f>IF($B259="","",CONCATENATE("Kıymet: ",$B259," | Değer Artışı: ",TEXT($J259,"#,##0")))</f>
        <v/>
      </c>
    </row>
    <row r="260" ht="15.75" customHeight="1" s="81">
      <c r="A260" s="129" t="n"/>
      <c r="B260" s="130" t="n"/>
      <c r="C260" s="127" t="n"/>
      <c r="D260" s="127" t="n"/>
      <c r="E260" s="124">
        <f>IF($C260=0,0,$C260-$D260)</f>
        <v/>
      </c>
      <c r="F260" s="128" t="n"/>
      <c r="G260" s="129" t="n"/>
      <c r="H260" s="131" t="n"/>
      <c r="I260" s="124">
        <f>IF($E260=0,0,$E260*$H260)</f>
        <v/>
      </c>
      <c r="J260" s="124">
        <f>IF($I260=0,0,$I260-$E260)</f>
        <v/>
      </c>
      <c r="K260" s="124">
        <f>IF($J260=0,0,$J260*YenidegerFonOran)</f>
        <v/>
      </c>
      <c r="L260" s="124">
        <f>IF($G260=0,0,$J260/$G260)</f>
        <v/>
      </c>
      <c r="M260" s="124">
        <f>IF($L260=0,0,$L260*YenidegerKurumlarVergiOran)</f>
        <v/>
      </c>
      <c r="N260" s="124">
        <f>IFERROR(IF(YenidegerIskontoOrani=0,$M260*$G260,$M260*(1-1/(1+YenidegerIskontoOrani)^$G260)/YenidegerIskontoOrani),0)</f>
        <v/>
      </c>
      <c r="O260" s="124">
        <f>$N260-$K260</f>
        <v/>
      </c>
      <c r="P260" s="124">
        <f>IF($J260&lt;=0,"DEĞERLENDİR",IF($O260&gt;0,"YENİDEN DEĞERLE","DEĞERLENDİR"))</f>
        <v/>
      </c>
      <c r="Q260" s="124">
        <f>IF($B260="","",CONCATENATE("Kıymet: ",$B260," | Değer Artışı: ",TEXT($J260,"#,##0")))</f>
        <v/>
      </c>
    </row>
    <row r="261" ht="15.75" customHeight="1" s="81">
      <c r="A261" s="129" t="n"/>
      <c r="B261" s="130" t="n"/>
      <c r="C261" s="127" t="n"/>
      <c r="D261" s="127" t="n"/>
      <c r="E261" s="124">
        <f>IF($C261=0,0,$C261-$D261)</f>
        <v/>
      </c>
      <c r="F261" s="128" t="n"/>
      <c r="G261" s="129" t="n"/>
      <c r="H261" s="131" t="n"/>
      <c r="I261" s="124">
        <f>IF($E261=0,0,$E261*$H261)</f>
        <v/>
      </c>
      <c r="J261" s="124">
        <f>IF($I261=0,0,$I261-$E261)</f>
        <v/>
      </c>
      <c r="K261" s="124">
        <f>IF($J261=0,0,$J261*YenidegerFonOran)</f>
        <v/>
      </c>
      <c r="L261" s="124">
        <f>IF($G261=0,0,$J261/$G261)</f>
        <v/>
      </c>
      <c r="M261" s="124">
        <f>IF($L261=0,0,$L261*YenidegerKurumlarVergiOran)</f>
        <v/>
      </c>
      <c r="N261" s="124">
        <f>IFERROR(IF(YenidegerIskontoOrani=0,$M261*$G261,$M261*(1-1/(1+YenidegerIskontoOrani)^$G261)/YenidegerIskontoOrani),0)</f>
        <v/>
      </c>
      <c r="O261" s="124">
        <f>$N261-$K261</f>
        <v/>
      </c>
      <c r="P261" s="124">
        <f>IF($J261&lt;=0,"DEĞERLENDİR",IF($O261&gt;0,"YENİDEN DEĞERLE","DEĞERLENDİR"))</f>
        <v/>
      </c>
      <c r="Q261" s="124">
        <f>IF($B261="","",CONCATENATE("Kıymet: ",$B261," | Değer Artışı: ",TEXT($J261,"#,##0")))</f>
        <v/>
      </c>
    </row>
    <row r="262" ht="15.75" customHeight="1" s="81">
      <c r="A262" s="129" t="n"/>
      <c r="B262" s="130" t="n"/>
      <c r="C262" s="127" t="n"/>
      <c r="D262" s="127" t="n"/>
      <c r="E262" s="124">
        <f>IF($C262=0,0,$C262-$D262)</f>
        <v/>
      </c>
      <c r="F262" s="128" t="n"/>
      <c r="G262" s="129" t="n"/>
      <c r="H262" s="131" t="n"/>
      <c r="I262" s="124">
        <f>IF($E262=0,0,$E262*$H262)</f>
        <v/>
      </c>
      <c r="J262" s="124">
        <f>IF($I262=0,0,$I262-$E262)</f>
        <v/>
      </c>
      <c r="K262" s="124">
        <f>IF($J262=0,0,$J262*YenidegerFonOran)</f>
        <v/>
      </c>
      <c r="L262" s="124">
        <f>IF($G262=0,0,$J262/$G262)</f>
        <v/>
      </c>
      <c r="M262" s="124">
        <f>IF($L262=0,0,$L262*YenidegerKurumlarVergiOran)</f>
        <v/>
      </c>
      <c r="N262" s="124">
        <f>IFERROR(IF(YenidegerIskontoOrani=0,$M262*$G262,$M262*(1-1/(1+YenidegerIskontoOrani)^$G262)/YenidegerIskontoOrani),0)</f>
        <v/>
      </c>
      <c r="O262" s="124">
        <f>$N262-$K262</f>
        <v/>
      </c>
      <c r="P262" s="124">
        <f>IF($J262&lt;=0,"DEĞERLENDİR",IF($O262&gt;0,"YENİDEN DEĞERLE","DEĞERLENDİR"))</f>
        <v/>
      </c>
      <c r="Q262" s="124">
        <f>IF($B262="","",CONCATENATE("Kıymet: ",$B262," | Değer Artışı: ",TEXT($J262,"#,##0")))</f>
        <v/>
      </c>
    </row>
    <row r="263" ht="15.75" customHeight="1" s="81">
      <c r="A263" s="129" t="n"/>
      <c r="B263" s="130" t="n"/>
      <c r="C263" s="127" t="n"/>
      <c r="D263" s="127" t="n"/>
      <c r="E263" s="124">
        <f>IF($C263=0,0,$C263-$D263)</f>
        <v/>
      </c>
      <c r="F263" s="128" t="n"/>
      <c r="G263" s="129" t="n"/>
      <c r="H263" s="131" t="n"/>
      <c r="I263" s="124">
        <f>IF($E263=0,0,$E263*$H263)</f>
        <v/>
      </c>
      <c r="J263" s="124">
        <f>IF($I263=0,0,$I263-$E263)</f>
        <v/>
      </c>
      <c r="K263" s="124">
        <f>IF($J263=0,0,$J263*YenidegerFonOran)</f>
        <v/>
      </c>
      <c r="L263" s="124">
        <f>IF($G263=0,0,$J263/$G263)</f>
        <v/>
      </c>
      <c r="M263" s="124">
        <f>IF($L263=0,0,$L263*YenidegerKurumlarVergiOran)</f>
        <v/>
      </c>
      <c r="N263" s="124">
        <f>IFERROR(IF(YenidegerIskontoOrani=0,$M263*$G263,$M263*(1-1/(1+YenidegerIskontoOrani)^$G263)/YenidegerIskontoOrani),0)</f>
        <v/>
      </c>
      <c r="O263" s="124">
        <f>$N263-$K263</f>
        <v/>
      </c>
      <c r="P263" s="124">
        <f>IF($J263&lt;=0,"DEĞERLENDİR",IF($O263&gt;0,"YENİDEN DEĞERLE","DEĞERLENDİR"))</f>
        <v/>
      </c>
      <c r="Q263" s="124">
        <f>IF($B263="","",CONCATENATE("Kıymet: ",$B263," | Değer Artışı: ",TEXT($J263,"#,##0")))</f>
        <v/>
      </c>
    </row>
    <row r="264" ht="15.75" customHeight="1" s="81">
      <c r="A264" s="129" t="n"/>
      <c r="B264" s="130" t="n"/>
      <c r="C264" s="127" t="n"/>
      <c r="D264" s="127" t="n"/>
      <c r="E264" s="124">
        <f>IF($C264=0,0,$C264-$D264)</f>
        <v/>
      </c>
      <c r="F264" s="128" t="n"/>
      <c r="G264" s="129" t="n"/>
      <c r="H264" s="131" t="n"/>
      <c r="I264" s="124">
        <f>IF($E264=0,0,$E264*$H264)</f>
        <v/>
      </c>
      <c r="J264" s="124">
        <f>IF($I264=0,0,$I264-$E264)</f>
        <v/>
      </c>
      <c r="K264" s="124">
        <f>IF($J264=0,0,$J264*YenidegerFonOran)</f>
        <v/>
      </c>
      <c r="L264" s="124">
        <f>IF($G264=0,0,$J264/$G264)</f>
        <v/>
      </c>
      <c r="M264" s="124">
        <f>IF($L264=0,0,$L264*YenidegerKurumlarVergiOran)</f>
        <v/>
      </c>
      <c r="N264" s="124">
        <f>IFERROR(IF(YenidegerIskontoOrani=0,$M264*$G264,$M264*(1-1/(1+YenidegerIskontoOrani)^$G264)/YenidegerIskontoOrani),0)</f>
        <v/>
      </c>
      <c r="O264" s="124">
        <f>$N264-$K264</f>
        <v/>
      </c>
      <c r="P264" s="124">
        <f>IF($J264&lt;=0,"DEĞERLENDİR",IF($O264&gt;0,"YENİDEN DEĞERLE","DEĞERLENDİR"))</f>
        <v/>
      </c>
      <c r="Q264" s="124">
        <f>IF($B264="","",CONCATENATE("Kıymet: ",$B264," | Değer Artışı: ",TEXT($J264,"#,##0")))</f>
        <v/>
      </c>
    </row>
    <row r="265" ht="15.75" customHeight="1" s="81">
      <c r="A265" s="129" t="n"/>
      <c r="B265" s="130" t="n"/>
      <c r="C265" s="127" t="n"/>
      <c r="D265" s="127" t="n"/>
      <c r="E265" s="124">
        <f>IF($C265=0,0,$C265-$D265)</f>
        <v/>
      </c>
      <c r="F265" s="128" t="n"/>
      <c r="G265" s="129" t="n"/>
      <c r="H265" s="131" t="n"/>
      <c r="I265" s="124">
        <f>IF($E265=0,0,$E265*$H265)</f>
        <v/>
      </c>
      <c r="J265" s="124">
        <f>IF($I265=0,0,$I265-$E265)</f>
        <v/>
      </c>
      <c r="K265" s="124">
        <f>IF($J265=0,0,$J265*YenidegerFonOran)</f>
        <v/>
      </c>
      <c r="L265" s="124">
        <f>IF($G265=0,0,$J265/$G265)</f>
        <v/>
      </c>
      <c r="M265" s="124">
        <f>IF($L265=0,0,$L265*YenidegerKurumlarVergiOran)</f>
        <v/>
      </c>
      <c r="N265" s="124">
        <f>IFERROR(IF(YenidegerIskontoOrani=0,$M265*$G265,$M265*(1-1/(1+YenidegerIskontoOrani)^$G265)/YenidegerIskontoOrani),0)</f>
        <v/>
      </c>
      <c r="O265" s="124">
        <f>$N265-$K265</f>
        <v/>
      </c>
      <c r="P265" s="124">
        <f>IF($J265&lt;=0,"DEĞERLENDİR",IF($O265&gt;0,"YENİDEN DEĞERLE","DEĞERLENDİR"))</f>
        <v/>
      </c>
      <c r="Q265" s="124">
        <f>IF($B265="","",CONCATENATE("Kıymet: ",$B265," | Değer Artışı: ",TEXT($J265,"#,##0")))</f>
        <v/>
      </c>
    </row>
    <row r="266" ht="15.75" customHeight="1" s="81">
      <c r="A266" s="129" t="n"/>
      <c r="B266" s="130" t="n"/>
      <c r="C266" s="127" t="n"/>
      <c r="D266" s="127" t="n"/>
      <c r="E266" s="124">
        <f>IF($C266=0,0,$C266-$D266)</f>
        <v/>
      </c>
      <c r="F266" s="128" t="n"/>
      <c r="G266" s="129" t="n"/>
      <c r="H266" s="131" t="n"/>
      <c r="I266" s="124">
        <f>IF($E266=0,0,$E266*$H266)</f>
        <v/>
      </c>
      <c r="J266" s="124">
        <f>IF($I266=0,0,$I266-$E266)</f>
        <v/>
      </c>
      <c r="K266" s="124">
        <f>IF($J266=0,0,$J266*YenidegerFonOran)</f>
        <v/>
      </c>
      <c r="L266" s="124">
        <f>IF($G266=0,0,$J266/$G266)</f>
        <v/>
      </c>
      <c r="M266" s="124">
        <f>IF($L266=0,0,$L266*YenidegerKurumlarVergiOran)</f>
        <v/>
      </c>
      <c r="N266" s="124">
        <f>IFERROR(IF(YenidegerIskontoOrani=0,$M266*$G266,$M266*(1-1/(1+YenidegerIskontoOrani)^$G266)/YenidegerIskontoOrani),0)</f>
        <v/>
      </c>
      <c r="O266" s="124">
        <f>$N266-$K266</f>
        <v/>
      </c>
      <c r="P266" s="124">
        <f>IF($J266&lt;=0,"DEĞERLENDİR",IF($O266&gt;0,"YENİDEN DEĞERLE","DEĞERLENDİR"))</f>
        <v/>
      </c>
      <c r="Q266" s="124">
        <f>IF($B266="","",CONCATENATE("Kıymet: ",$B266," | Değer Artışı: ",TEXT($J266,"#,##0")))</f>
        <v/>
      </c>
    </row>
    <row r="267" ht="15.75" customHeight="1" s="81">
      <c r="A267" s="129" t="n"/>
      <c r="B267" s="130" t="n"/>
      <c r="C267" s="127" t="n"/>
      <c r="D267" s="127" t="n"/>
      <c r="E267" s="124">
        <f>IF($C267=0,0,$C267-$D267)</f>
        <v/>
      </c>
      <c r="F267" s="128" t="n"/>
      <c r="G267" s="129" t="n"/>
      <c r="H267" s="131" t="n"/>
      <c r="I267" s="124">
        <f>IF($E267=0,0,$E267*$H267)</f>
        <v/>
      </c>
      <c r="J267" s="124">
        <f>IF($I267=0,0,$I267-$E267)</f>
        <v/>
      </c>
      <c r="K267" s="124">
        <f>IF($J267=0,0,$J267*YenidegerFonOran)</f>
        <v/>
      </c>
      <c r="L267" s="124">
        <f>IF($G267=0,0,$J267/$G267)</f>
        <v/>
      </c>
      <c r="M267" s="124">
        <f>IF($L267=0,0,$L267*YenidegerKurumlarVergiOran)</f>
        <v/>
      </c>
      <c r="N267" s="124">
        <f>IFERROR(IF(YenidegerIskontoOrani=0,$M267*$G267,$M267*(1-1/(1+YenidegerIskontoOrani)^$G267)/YenidegerIskontoOrani),0)</f>
        <v/>
      </c>
      <c r="O267" s="124">
        <f>$N267-$K267</f>
        <v/>
      </c>
      <c r="P267" s="124">
        <f>IF($J267&lt;=0,"DEĞERLENDİR",IF($O267&gt;0,"YENİDEN DEĞERLE","DEĞERLENDİR"))</f>
        <v/>
      </c>
      <c r="Q267" s="124">
        <f>IF($B267="","",CONCATENATE("Kıymet: ",$B267," | Değer Artışı: ",TEXT($J267,"#,##0")))</f>
        <v/>
      </c>
    </row>
    <row r="268" ht="15.75" customHeight="1" s="81">
      <c r="A268" s="129" t="n"/>
      <c r="B268" s="130" t="n"/>
      <c r="C268" s="127" t="n"/>
      <c r="D268" s="127" t="n"/>
      <c r="E268" s="124">
        <f>IF($C268=0,0,$C268-$D268)</f>
        <v/>
      </c>
      <c r="F268" s="128" t="n"/>
      <c r="G268" s="129" t="n"/>
      <c r="H268" s="131" t="n"/>
      <c r="I268" s="124">
        <f>IF($E268=0,0,$E268*$H268)</f>
        <v/>
      </c>
      <c r="J268" s="124">
        <f>IF($I268=0,0,$I268-$E268)</f>
        <v/>
      </c>
      <c r="K268" s="124">
        <f>IF($J268=0,0,$J268*YenidegerFonOran)</f>
        <v/>
      </c>
      <c r="L268" s="124">
        <f>IF($G268=0,0,$J268/$G268)</f>
        <v/>
      </c>
      <c r="M268" s="124">
        <f>IF($L268=0,0,$L268*YenidegerKurumlarVergiOran)</f>
        <v/>
      </c>
      <c r="N268" s="124">
        <f>IFERROR(IF(YenidegerIskontoOrani=0,$M268*$G268,$M268*(1-1/(1+YenidegerIskontoOrani)^$G268)/YenidegerIskontoOrani),0)</f>
        <v/>
      </c>
      <c r="O268" s="124">
        <f>$N268-$K268</f>
        <v/>
      </c>
      <c r="P268" s="124">
        <f>IF($J268&lt;=0,"DEĞERLENDİR",IF($O268&gt;0,"YENİDEN DEĞERLE","DEĞERLENDİR"))</f>
        <v/>
      </c>
      <c r="Q268" s="124">
        <f>IF($B268="","",CONCATENATE("Kıymet: ",$B268," | Değer Artışı: ",TEXT($J268,"#,##0")))</f>
        <v/>
      </c>
    </row>
    <row r="269" ht="15.75" customHeight="1" s="81">
      <c r="A269" s="129" t="n"/>
      <c r="B269" s="130" t="n"/>
      <c r="C269" s="127" t="n"/>
      <c r="D269" s="127" t="n"/>
      <c r="E269" s="124">
        <f>IF($C269=0,0,$C269-$D269)</f>
        <v/>
      </c>
      <c r="F269" s="128" t="n"/>
      <c r="G269" s="129" t="n"/>
      <c r="H269" s="131" t="n"/>
      <c r="I269" s="124">
        <f>IF($E269=0,0,$E269*$H269)</f>
        <v/>
      </c>
      <c r="J269" s="124">
        <f>IF($I269=0,0,$I269-$E269)</f>
        <v/>
      </c>
      <c r="K269" s="124">
        <f>IF($J269=0,0,$J269*YenidegerFonOran)</f>
        <v/>
      </c>
      <c r="L269" s="124">
        <f>IF($G269=0,0,$J269/$G269)</f>
        <v/>
      </c>
      <c r="M269" s="124">
        <f>IF($L269=0,0,$L269*YenidegerKurumlarVergiOran)</f>
        <v/>
      </c>
      <c r="N269" s="124">
        <f>IFERROR(IF(YenidegerIskontoOrani=0,$M269*$G269,$M269*(1-1/(1+YenidegerIskontoOrani)^$G269)/YenidegerIskontoOrani),0)</f>
        <v/>
      </c>
      <c r="O269" s="124">
        <f>$N269-$K269</f>
        <v/>
      </c>
      <c r="P269" s="124">
        <f>IF($J269&lt;=0,"DEĞERLENDİR",IF($O269&gt;0,"YENİDEN DEĞERLE","DEĞERLENDİR"))</f>
        <v/>
      </c>
      <c r="Q269" s="124">
        <f>IF($B269="","",CONCATENATE("Kıymet: ",$B269," | Değer Artışı: ",TEXT($J269,"#,##0")))</f>
        <v/>
      </c>
    </row>
    <row r="270" ht="15.75" customHeight="1" s="81">
      <c r="A270" s="129" t="n"/>
      <c r="B270" s="130" t="n"/>
      <c r="C270" s="127" t="n"/>
      <c r="D270" s="127" t="n"/>
      <c r="E270" s="124">
        <f>IF($C270=0,0,$C270-$D270)</f>
        <v/>
      </c>
      <c r="F270" s="128" t="n"/>
      <c r="G270" s="129" t="n"/>
      <c r="H270" s="131" t="n"/>
      <c r="I270" s="124">
        <f>IF($E270=0,0,$E270*$H270)</f>
        <v/>
      </c>
      <c r="J270" s="124">
        <f>IF($I270=0,0,$I270-$E270)</f>
        <v/>
      </c>
      <c r="K270" s="124">
        <f>IF($J270=0,0,$J270*YenidegerFonOran)</f>
        <v/>
      </c>
      <c r="L270" s="124">
        <f>IF($G270=0,0,$J270/$G270)</f>
        <v/>
      </c>
      <c r="M270" s="124">
        <f>IF($L270=0,0,$L270*YenidegerKurumlarVergiOran)</f>
        <v/>
      </c>
      <c r="N270" s="124">
        <f>IFERROR(IF(YenidegerIskontoOrani=0,$M270*$G270,$M270*(1-1/(1+YenidegerIskontoOrani)^$G270)/YenidegerIskontoOrani),0)</f>
        <v/>
      </c>
      <c r="O270" s="124">
        <f>$N270-$K270</f>
        <v/>
      </c>
      <c r="P270" s="124">
        <f>IF($J270&lt;=0,"DEĞERLENDİR",IF($O270&gt;0,"YENİDEN DEĞERLE","DEĞERLENDİR"))</f>
        <v/>
      </c>
      <c r="Q270" s="124">
        <f>IF($B270="","",CONCATENATE("Kıymet: ",$B270," | Değer Artışı: ",TEXT($J270,"#,##0")))</f>
        <v/>
      </c>
    </row>
    <row r="271" ht="15.75" customHeight="1" s="81">
      <c r="A271" s="129" t="n"/>
      <c r="B271" s="130" t="n"/>
      <c r="C271" s="127" t="n"/>
      <c r="D271" s="127" t="n"/>
      <c r="E271" s="124">
        <f>IF($C271=0,0,$C271-$D271)</f>
        <v/>
      </c>
      <c r="F271" s="128" t="n"/>
      <c r="G271" s="129" t="n"/>
      <c r="H271" s="131" t="n"/>
      <c r="I271" s="124">
        <f>IF($E271=0,0,$E271*$H271)</f>
        <v/>
      </c>
      <c r="J271" s="124">
        <f>IF($I271=0,0,$I271-$E271)</f>
        <v/>
      </c>
      <c r="K271" s="124">
        <f>IF($J271=0,0,$J271*YenidegerFonOran)</f>
        <v/>
      </c>
      <c r="L271" s="124">
        <f>IF($G271=0,0,$J271/$G271)</f>
        <v/>
      </c>
      <c r="M271" s="124">
        <f>IF($L271=0,0,$L271*YenidegerKurumlarVergiOran)</f>
        <v/>
      </c>
      <c r="N271" s="124">
        <f>IFERROR(IF(YenidegerIskontoOrani=0,$M271*$G271,$M271*(1-1/(1+YenidegerIskontoOrani)^$G271)/YenidegerIskontoOrani),0)</f>
        <v/>
      </c>
      <c r="O271" s="124">
        <f>$N271-$K271</f>
        <v/>
      </c>
      <c r="P271" s="124">
        <f>IF($J271&lt;=0,"DEĞERLENDİR",IF($O271&gt;0,"YENİDEN DEĞERLE","DEĞERLENDİR"))</f>
        <v/>
      </c>
      <c r="Q271" s="124">
        <f>IF($B271="","",CONCATENATE("Kıymet: ",$B271," | Değer Artışı: ",TEXT($J271,"#,##0")))</f>
        <v/>
      </c>
    </row>
    <row r="272" ht="15.75" customHeight="1" s="81">
      <c r="A272" s="129" t="n"/>
      <c r="B272" s="130" t="n"/>
      <c r="C272" s="127" t="n"/>
      <c r="D272" s="127" t="n"/>
      <c r="E272" s="124">
        <f>IF($C272=0,0,$C272-$D272)</f>
        <v/>
      </c>
      <c r="F272" s="128" t="n"/>
      <c r="G272" s="129" t="n"/>
      <c r="H272" s="131" t="n"/>
      <c r="I272" s="124">
        <f>IF($E272=0,0,$E272*$H272)</f>
        <v/>
      </c>
      <c r="J272" s="124">
        <f>IF($I272=0,0,$I272-$E272)</f>
        <v/>
      </c>
      <c r="K272" s="124">
        <f>IF($J272=0,0,$J272*YenidegerFonOran)</f>
        <v/>
      </c>
      <c r="L272" s="124">
        <f>IF($G272=0,0,$J272/$G272)</f>
        <v/>
      </c>
      <c r="M272" s="124">
        <f>IF($L272=0,0,$L272*YenidegerKurumlarVergiOran)</f>
        <v/>
      </c>
      <c r="N272" s="124">
        <f>IFERROR(IF(YenidegerIskontoOrani=0,$M272*$G272,$M272*(1-1/(1+YenidegerIskontoOrani)^$G272)/YenidegerIskontoOrani),0)</f>
        <v/>
      </c>
      <c r="O272" s="124">
        <f>$N272-$K272</f>
        <v/>
      </c>
      <c r="P272" s="124">
        <f>IF($J272&lt;=0,"DEĞERLENDİR",IF($O272&gt;0,"YENİDEN DEĞERLE","DEĞERLENDİR"))</f>
        <v/>
      </c>
      <c r="Q272" s="124">
        <f>IF($B272="","",CONCATENATE("Kıymet: ",$B272," | Değer Artışı: ",TEXT($J272,"#,##0")))</f>
        <v/>
      </c>
    </row>
    <row r="273" ht="15.75" customHeight="1" s="81">
      <c r="A273" s="129" t="n"/>
      <c r="B273" s="130" t="n"/>
      <c r="C273" s="127" t="n"/>
      <c r="D273" s="127" t="n"/>
      <c r="E273" s="124">
        <f>IF($C273=0,0,$C273-$D273)</f>
        <v/>
      </c>
      <c r="F273" s="128" t="n"/>
      <c r="G273" s="129" t="n"/>
      <c r="H273" s="131" t="n"/>
      <c r="I273" s="124">
        <f>IF($E273=0,0,$E273*$H273)</f>
        <v/>
      </c>
      <c r="J273" s="124">
        <f>IF($I273=0,0,$I273-$E273)</f>
        <v/>
      </c>
      <c r="K273" s="124">
        <f>IF($J273=0,0,$J273*YenidegerFonOran)</f>
        <v/>
      </c>
      <c r="L273" s="124">
        <f>IF($G273=0,0,$J273/$G273)</f>
        <v/>
      </c>
      <c r="M273" s="124">
        <f>IF($L273=0,0,$L273*YenidegerKurumlarVergiOran)</f>
        <v/>
      </c>
      <c r="N273" s="124">
        <f>IFERROR(IF(YenidegerIskontoOrani=0,$M273*$G273,$M273*(1-1/(1+YenidegerIskontoOrani)^$G273)/YenidegerIskontoOrani),0)</f>
        <v/>
      </c>
      <c r="O273" s="124">
        <f>$N273-$K273</f>
        <v/>
      </c>
      <c r="P273" s="124">
        <f>IF($J273&lt;=0,"DEĞERLENDİR",IF($O273&gt;0,"YENİDEN DEĞERLE","DEĞERLENDİR"))</f>
        <v/>
      </c>
      <c r="Q273" s="124">
        <f>IF($B273="","",CONCATENATE("Kıymet: ",$B273," | Değer Artışı: ",TEXT($J273,"#,##0")))</f>
        <v/>
      </c>
    </row>
    <row r="274" ht="15.75" customHeight="1" s="81">
      <c r="A274" s="129" t="n"/>
      <c r="B274" s="130" t="n"/>
      <c r="C274" s="127" t="n"/>
      <c r="D274" s="127" t="n"/>
      <c r="E274" s="124">
        <f>IF($C274=0,0,$C274-$D274)</f>
        <v/>
      </c>
      <c r="F274" s="128" t="n"/>
      <c r="G274" s="129" t="n"/>
      <c r="H274" s="131" t="n"/>
      <c r="I274" s="124">
        <f>IF($E274=0,0,$E274*$H274)</f>
        <v/>
      </c>
      <c r="J274" s="124">
        <f>IF($I274=0,0,$I274-$E274)</f>
        <v/>
      </c>
      <c r="K274" s="124">
        <f>IF($J274=0,0,$J274*YenidegerFonOran)</f>
        <v/>
      </c>
      <c r="L274" s="124">
        <f>IF($G274=0,0,$J274/$G274)</f>
        <v/>
      </c>
      <c r="M274" s="124">
        <f>IF($L274=0,0,$L274*YenidegerKurumlarVergiOran)</f>
        <v/>
      </c>
      <c r="N274" s="124">
        <f>IFERROR(IF(YenidegerIskontoOrani=0,$M274*$G274,$M274*(1-1/(1+YenidegerIskontoOrani)^$G274)/YenidegerIskontoOrani),0)</f>
        <v/>
      </c>
      <c r="O274" s="124">
        <f>$N274-$K274</f>
        <v/>
      </c>
      <c r="P274" s="124">
        <f>IF($J274&lt;=0,"DEĞERLENDİR",IF($O274&gt;0,"YENİDEN DEĞERLE","DEĞERLENDİR"))</f>
        <v/>
      </c>
      <c r="Q274" s="124">
        <f>IF($B274="","",CONCATENATE("Kıymet: ",$B274," | Değer Artışı: ",TEXT($J274,"#,##0")))</f>
        <v/>
      </c>
    </row>
    <row r="275" ht="15.75" customHeight="1" s="81">
      <c r="A275" s="129" t="n"/>
      <c r="B275" s="130" t="n"/>
      <c r="C275" s="127" t="n"/>
      <c r="D275" s="127" t="n"/>
      <c r="E275" s="124">
        <f>IF($C275=0,0,$C275-$D275)</f>
        <v/>
      </c>
      <c r="F275" s="128" t="n"/>
      <c r="G275" s="129" t="n"/>
      <c r="H275" s="131" t="n"/>
      <c r="I275" s="124">
        <f>IF($E275=0,0,$E275*$H275)</f>
        <v/>
      </c>
      <c r="J275" s="124">
        <f>IF($I275=0,0,$I275-$E275)</f>
        <v/>
      </c>
      <c r="K275" s="124">
        <f>IF($J275=0,0,$J275*YenidegerFonOran)</f>
        <v/>
      </c>
      <c r="L275" s="124">
        <f>IF($G275=0,0,$J275/$G275)</f>
        <v/>
      </c>
      <c r="M275" s="124">
        <f>IF($L275=0,0,$L275*YenidegerKurumlarVergiOran)</f>
        <v/>
      </c>
      <c r="N275" s="124">
        <f>IFERROR(IF(YenidegerIskontoOrani=0,$M275*$G275,$M275*(1-1/(1+YenidegerIskontoOrani)^$G275)/YenidegerIskontoOrani),0)</f>
        <v/>
      </c>
      <c r="O275" s="124">
        <f>$N275-$K275</f>
        <v/>
      </c>
      <c r="P275" s="124">
        <f>IF($J275&lt;=0,"DEĞERLENDİR",IF($O275&gt;0,"YENİDEN DEĞERLE","DEĞERLENDİR"))</f>
        <v/>
      </c>
      <c r="Q275" s="124">
        <f>IF($B275="","",CONCATENATE("Kıymet: ",$B275," | Değer Artışı: ",TEXT($J275,"#,##0")))</f>
        <v/>
      </c>
    </row>
    <row r="276" ht="15.75" customHeight="1" s="81">
      <c r="A276" s="129" t="n"/>
      <c r="B276" s="130" t="n"/>
      <c r="C276" s="127" t="n"/>
      <c r="D276" s="127" t="n"/>
      <c r="E276" s="124">
        <f>IF($C276=0,0,$C276-$D276)</f>
        <v/>
      </c>
      <c r="F276" s="128" t="n"/>
      <c r="G276" s="129" t="n"/>
      <c r="H276" s="131" t="n"/>
      <c r="I276" s="124">
        <f>IF($E276=0,0,$E276*$H276)</f>
        <v/>
      </c>
      <c r="J276" s="124">
        <f>IF($I276=0,0,$I276-$E276)</f>
        <v/>
      </c>
      <c r="K276" s="124">
        <f>IF($J276=0,0,$J276*YenidegerFonOran)</f>
        <v/>
      </c>
      <c r="L276" s="124">
        <f>IF($G276=0,0,$J276/$G276)</f>
        <v/>
      </c>
      <c r="M276" s="124">
        <f>IF($L276=0,0,$L276*YenidegerKurumlarVergiOran)</f>
        <v/>
      </c>
      <c r="N276" s="124">
        <f>IFERROR(IF(YenidegerIskontoOrani=0,$M276*$G276,$M276*(1-1/(1+YenidegerIskontoOrani)^$G276)/YenidegerIskontoOrani),0)</f>
        <v/>
      </c>
      <c r="O276" s="124">
        <f>$N276-$K276</f>
        <v/>
      </c>
      <c r="P276" s="124">
        <f>IF($J276&lt;=0,"DEĞERLENDİR",IF($O276&gt;0,"YENİDEN DEĞERLE","DEĞERLENDİR"))</f>
        <v/>
      </c>
      <c r="Q276" s="124">
        <f>IF($B276="","",CONCATENATE("Kıymet: ",$B276," | Değer Artışı: ",TEXT($J276,"#,##0")))</f>
        <v/>
      </c>
    </row>
    <row r="277" ht="15.75" customHeight="1" s="81">
      <c r="A277" s="129" t="n"/>
      <c r="B277" s="130" t="n"/>
      <c r="C277" s="127" t="n"/>
      <c r="D277" s="127" t="n"/>
      <c r="E277" s="124">
        <f>IF($C277=0,0,$C277-$D277)</f>
        <v/>
      </c>
      <c r="F277" s="128" t="n"/>
      <c r="G277" s="129" t="n"/>
      <c r="H277" s="131" t="n"/>
      <c r="I277" s="124">
        <f>IF($E277=0,0,$E277*$H277)</f>
        <v/>
      </c>
      <c r="J277" s="124">
        <f>IF($I277=0,0,$I277-$E277)</f>
        <v/>
      </c>
      <c r="K277" s="124">
        <f>IF($J277=0,0,$J277*YenidegerFonOran)</f>
        <v/>
      </c>
      <c r="L277" s="124">
        <f>IF($G277=0,0,$J277/$G277)</f>
        <v/>
      </c>
      <c r="M277" s="124">
        <f>IF($L277=0,0,$L277*YenidegerKurumlarVergiOran)</f>
        <v/>
      </c>
      <c r="N277" s="124">
        <f>IFERROR(IF(YenidegerIskontoOrani=0,$M277*$G277,$M277*(1-1/(1+YenidegerIskontoOrani)^$G277)/YenidegerIskontoOrani),0)</f>
        <v/>
      </c>
      <c r="O277" s="124">
        <f>$N277-$K277</f>
        <v/>
      </c>
      <c r="P277" s="124">
        <f>IF($J277&lt;=0,"DEĞERLENDİR",IF($O277&gt;0,"YENİDEN DEĞERLE","DEĞERLENDİR"))</f>
        <v/>
      </c>
      <c r="Q277" s="124">
        <f>IF($B277="","",CONCATENATE("Kıymet: ",$B277," | Değer Artışı: ",TEXT($J277,"#,##0")))</f>
        <v/>
      </c>
    </row>
    <row r="278" ht="15.75" customHeight="1" s="81">
      <c r="A278" s="129" t="n"/>
      <c r="B278" s="130" t="n"/>
      <c r="C278" s="127" t="n"/>
      <c r="D278" s="127" t="n"/>
      <c r="E278" s="124">
        <f>IF($C278=0,0,$C278-$D278)</f>
        <v/>
      </c>
      <c r="F278" s="128" t="n"/>
      <c r="G278" s="129" t="n"/>
      <c r="H278" s="131" t="n"/>
      <c r="I278" s="124">
        <f>IF($E278=0,0,$E278*$H278)</f>
        <v/>
      </c>
      <c r="J278" s="124">
        <f>IF($I278=0,0,$I278-$E278)</f>
        <v/>
      </c>
      <c r="K278" s="124">
        <f>IF($J278=0,0,$J278*YenidegerFonOran)</f>
        <v/>
      </c>
      <c r="L278" s="124">
        <f>IF($G278=0,0,$J278/$G278)</f>
        <v/>
      </c>
      <c r="M278" s="124">
        <f>IF($L278=0,0,$L278*YenidegerKurumlarVergiOran)</f>
        <v/>
      </c>
      <c r="N278" s="124">
        <f>IFERROR(IF(YenidegerIskontoOrani=0,$M278*$G278,$M278*(1-1/(1+YenidegerIskontoOrani)^$G278)/YenidegerIskontoOrani),0)</f>
        <v/>
      </c>
      <c r="O278" s="124">
        <f>$N278-$K278</f>
        <v/>
      </c>
      <c r="P278" s="124">
        <f>IF($J278&lt;=0,"DEĞERLENDİR",IF($O278&gt;0,"YENİDEN DEĞERLE","DEĞERLENDİR"))</f>
        <v/>
      </c>
      <c r="Q278" s="124">
        <f>IF($B278="","",CONCATENATE("Kıymet: ",$B278," | Değer Artışı: ",TEXT($J278,"#,##0")))</f>
        <v/>
      </c>
    </row>
    <row r="279" ht="15.75" customHeight="1" s="81">
      <c r="A279" s="129" t="n"/>
      <c r="B279" s="130" t="n"/>
      <c r="C279" s="127" t="n"/>
      <c r="D279" s="127" t="n"/>
      <c r="E279" s="124">
        <f>IF($C279=0,0,$C279-$D279)</f>
        <v/>
      </c>
      <c r="F279" s="128" t="n"/>
      <c r="G279" s="129" t="n"/>
      <c r="H279" s="131" t="n"/>
      <c r="I279" s="124">
        <f>IF($E279=0,0,$E279*$H279)</f>
        <v/>
      </c>
      <c r="J279" s="124">
        <f>IF($I279=0,0,$I279-$E279)</f>
        <v/>
      </c>
      <c r="K279" s="124">
        <f>IF($J279=0,0,$J279*YenidegerFonOran)</f>
        <v/>
      </c>
      <c r="L279" s="124">
        <f>IF($G279=0,0,$J279/$G279)</f>
        <v/>
      </c>
      <c r="M279" s="124">
        <f>IF($L279=0,0,$L279*YenidegerKurumlarVergiOran)</f>
        <v/>
      </c>
      <c r="N279" s="124">
        <f>IFERROR(IF(YenidegerIskontoOrani=0,$M279*$G279,$M279*(1-1/(1+YenidegerIskontoOrani)^$G279)/YenidegerIskontoOrani),0)</f>
        <v/>
      </c>
      <c r="O279" s="124">
        <f>$N279-$K279</f>
        <v/>
      </c>
      <c r="P279" s="124">
        <f>IF($J279&lt;=0,"DEĞERLENDİR",IF($O279&gt;0,"YENİDEN DEĞERLE","DEĞERLENDİR"))</f>
        <v/>
      </c>
      <c r="Q279" s="124">
        <f>IF($B279="","",CONCATENATE("Kıymet: ",$B279," | Değer Artışı: ",TEXT($J279,"#,##0")))</f>
        <v/>
      </c>
    </row>
    <row r="280" ht="15.75" customHeight="1" s="81">
      <c r="A280" s="129" t="n"/>
      <c r="B280" s="130" t="n"/>
      <c r="C280" s="127" t="n"/>
      <c r="D280" s="127" t="n"/>
      <c r="E280" s="124">
        <f>IF($C280=0,0,$C280-$D280)</f>
        <v/>
      </c>
      <c r="F280" s="128" t="n"/>
      <c r="G280" s="129" t="n"/>
      <c r="H280" s="131" t="n"/>
      <c r="I280" s="124">
        <f>IF($E280=0,0,$E280*$H280)</f>
        <v/>
      </c>
      <c r="J280" s="124">
        <f>IF($I280=0,0,$I280-$E280)</f>
        <v/>
      </c>
      <c r="K280" s="124">
        <f>IF($J280=0,0,$J280*YenidegerFonOran)</f>
        <v/>
      </c>
      <c r="L280" s="124">
        <f>IF($G280=0,0,$J280/$G280)</f>
        <v/>
      </c>
      <c r="M280" s="124">
        <f>IF($L280=0,0,$L280*YenidegerKurumlarVergiOran)</f>
        <v/>
      </c>
      <c r="N280" s="124">
        <f>IFERROR(IF(YenidegerIskontoOrani=0,$M280*$G280,$M280*(1-1/(1+YenidegerIskontoOrani)^$G280)/YenidegerIskontoOrani),0)</f>
        <v/>
      </c>
      <c r="O280" s="124">
        <f>$N280-$K280</f>
        <v/>
      </c>
      <c r="P280" s="124">
        <f>IF($J280&lt;=0,"DEĞERLENDİR",IF($O280&gt;0,"YENİDEN DEĞERLE","DEĞERLENDİR"))</f>
        <v/>
      </c>
      <c r="Q280" s="124">
        <f>IF($B280="","",CONCATENATE("Kıymet: ",$B280," | Değer Artışı: ",TEXT($J280,"#,##0")))</f>
        <v/>
      </c>
    </row>
    <row r="281" ht="15.75" customHeight="1" s="81">
      <c r="A281" s="129" t="n"/>
      <c r="B281" s="130" t="n"/>
      <c r="C281" s="127" t="n"/>
      <c r="D281" s="127" t="n"/>
      <c r="E281" s="124">
        <f>IF($C281=0,0,$C281-$D281)</f>
        <v/>
      </c>
      <c r="F281" s="128" t="n"/>
      <c r="G281" s="129" t="n"/>
      <c r="H281" s="131" t="n"/>
      <c r="I281" s="124">
        <f>IF($E281=0,0,$E281*$H281)</f>
        <v/>
      </c>
      <c r="J281" s="124">
        <f>IF($I281=0,0,$I281-$E281)</f>
        <v/>
      </c>
      <c r="K281" s="124">
        <f>IF($J281=0,0,$J281*YenidegerFonOran)</f>
        <v/>
      </c>
      <c r="L281" s="124">
        <f>IF($G281=0,0,$J281/$G281)</f>
        <v/>
      </c>
      <c r="M281" s="124">
        <f>IF($L281=0,0,$L281*YenidegerKurumlarVergiOran)</f>
        <v/>
      </c>
      <c r="N281" s="124">
        <f>IFERROR(IF(YenidegerIskontoOrani=0,$M281*$G281,$M281*(1-1/(1+YenidegerIskontoOrani)^$G281)/YenidegerIskontoOrani),0)</f>
        <v/>
      </c>
      <c r="O281" s="124">
        <f>$N281-$K281</f>
        <v/>
      </c>
      <c r="P281" s="124">
        <f>IF($J281&lt;=0,"DEĞERLENDİR",IF($O281&gt;0,"YENİDEN DEĞERLE","DEĞERLENDİR"))</f>
        <v/>
      </c>
      <c r="Q281" s="124">
        <f>IF($B281="","",CONCATENATE("Kıymet: ",$B281," | Değer Artışı: ",TEXT($J281,"#,##0")))</f>
        <v/>
      </c>
    </row>
    <row r="282" ht="15.75" customHeight="1" s="81">
      <c r="A282" s="129" t="n"/>
      <c r="B282" s="130" t="n"/>
      <c r="C282" s="127" t="n"/>
      <c r="D282" s="127" t="n"/>
      <c r="E282" s="124">
        <f>IF($C282=0,0,$C282-$D282)</f>
        <v/>
      </c>
      <c r="F282" s="128" t="n"/>
      <c r="G282" s="129" t="n"/>
      <c r="H282" s="131" t="n"/>
      <c r="I282" s="124">
        <f>IF($E282=0,0,$E282*$H282)</f>
        <v/>
      </c>
      <c r="J282" s="124">
        <f>IF($I282=0,0,$I282-$E282)</f>
        <v/>
      </c>
      <c r="K282" s="124">
        <f>IF($J282=0,0,$J282*YenidegerFonOran)</f>
        <v/>
      </c>
      <c r="L282" s="124">
        <f>IF($G282=0,0,$J282/$G282)</f>
        <v/>
      </c>
      <c r="M282" s="124">
        <f>IF($L282=0,0,$L282*YenidegerKurumlarVergiOran)</f>
        <v/>
      </c>
      <c r="N282" s="124">
        <f>IFERROR(IF(YenidegerIskontoOrani=0,$M282*$G282,$M282*(1-1/(1+YenidegerIskontoOrani)^$G282)/YenidegerIskontoOrani),0)</f>
        <v/>
      </c>
      <c r="O282" s="124">
        <f>$N282-$K282</f>
        <v/>
      </c>
      <c r="P282" s="124">
        <f>IF($J282&lt;=0,"DEĞERLENDİR",IF($O282&gt;0,"YENİDEN DEĞERLE","DEĞERLENDİR"))</f>
        <v/>
      </c>
      <c r="Q282" s="124">
        <f>IF($B282="","",CONCATENATE("Kıymet: ",$B282," | Değer Artışı: ",TEXT($J282,"#,##0")))</f>
        <v/>
      </c>
    </row>
    <row r="283" ht="15.75" customHeight="1" s="81">
      <c r="A283" s="129" t="n"/>
      <c r="B283" s="130" t="n"/>
      <c r="C283" s="127" t="n"/>
      <c r="D283" s="127" t="n"/>
      <c r="E283" s="124">
        <f>IF($C283=0,0,$C283-$D283)</f>
        <v/>
      </c>
      <c r="F283" s="128" t="n"/>
      <c r="G283" s="129" t="n"/>
      <c r="H283" s="131" t="n"/>
      <c r="I283" s="124">
        <f>IF($E283=0,0,$E283*$H283)</f>
        <v/>
      </c>
      <c r="J283" s="124">
        <f>IF($I283=0,0,$I283-$E283)</f>
        <v/>
      </c>
      <c r="K283" s="124">
        <f>IF($J283=0,0,$J283*YenidegerFonOran)</f>
        <v/>
      </c>
      <c r="L283" s="124">
        <f>IF($G283=0,0,$J283/$G283)</f>
        <v/>
      </c>
      <c r="M283" s="124">
        <f>IF($L283=0,0,$L283*YenidegerKurumlarVergiOran)</f>
        <v/>
      </c>
      <c r="N283" s="124">
        <f>IFERROR(IF(YenidegerIskontoOrani=0,$M283*$G283,$M283*(1-1/(1+YenidegerIskontoOrani)^$G283)/YenidegerIskontoOrani),0)</f>
        <v/>
      </c>
      <c r="O283" s="124">
        <f>$N283-$K283</f>
        <v/>
      </c>
      <c r="P283" s="124">
        <f>IF($J283&lt;=0,"DEĞERLENDİR",IF($O283&gt;0,"YENİDEN DEĞERLE","DEĞERLENDİR"))</f>
        <v/>
      </c>
      <c r="Q283" s="124">
        <f>IF($B283="","",CONCATENATE("Kıymet: ",$B283," | Değer Artışı: ",TEXT($J283,"#,##0")))</f>
        <v/>
      </c>
    </row>
    <row r="284" ht="15.75" customHeight="1" s="81">
      <c r="A284" s="129" t="n"/>
      <c r="B284" s="130" t="n"/>
      <c r="C284" s="127" t="n"/>
      <c r="D284" s="127" t="n"/>
      <c r="E284" s="124">
        <f>IF($C284=0,0,$C284-$D284)</f>
        <v/>
      </c>
      <c r="F284" s="128" t="n"/>
      <c r="G284" s="129" t="n"/>
      <c r="H284" s="131" t="n"/>
      <c r="I284" s="124">
        <f>IF($E284=0,0,$E284*$H284)</f>
        <v/>
      </c>
      <c r="J284" s="124">
        <f>IF($I284=0,0,$I284-$E284)</f>
        <v/>
      </c>
      <c r="K284" s="124">
        <f>IF($J284=0,0,$J284*YenidegerFonOran)</f>
        <v/>
      </c>
      <c r="L284" s="124">
        <f>IF($G284=0,0,$J284/$G284)</f>
        <v/>
      </c>
      <c r="M284" s="124">
        <f>IF($L284=0,0,$L284*YenidegerKurumlarVergiOran)</f>
        <v/>
      </c>
      <c r="N284" s="124">
        <f>IFERROR(IF(YenidegerIskontoOrani=0,$M284*$G284,$M284*(1-1/(1+YenidegerIskontoOrani)^$G284)/YenidegerIskontoOrani),0)</f>
        <v/>
      </c>
      <c r="O284" s="124">
        <f>$N284-$K284</f>
        <v/>
      </c>
      <c r="P284" s="124">
        <f>IF($J284&lt;=0,"DEĞERLENDİR",IF($O284&gt;0,"YENİDEN DEĞERLE","DEĞERLENDİR"))</f>
        <v/>
      </c>
      <c r="Q284" s="124">
        <f>IF($B284="","",CONCATENATE("Kıymet: ",$B284," | Değer Artışı: ",TEXT($J284,"#,##0")))</f>
        <v/>
      </c>
    </row>
    <row r="285" ht="15.75" customHeight="1" s="81">
      <c r="A285" s="129" t="n"/>
      <c r="B285" s="130" t="n"/>
      <c r="C285" s="127" t="n"/>
      <c r="D285" s="127" t="n"/>
      <c r="E285" s="124">
        <f>IF($C285=0,0,$C285-$D285)</f>
        <v/>
      </c>
      <c r="F285" s="128" t="n"/>
      <c r="G285" s="129" t="n"/>
      <c r="H285" s="131" t="n"/>
      <c r="I285" s="124">
        <f>IF($E285=0,0,$E285*$H285)</f>
        <v/>
      </c>
      <c r="J285" s="124">
        <f>IF($I285=0,0,$I285-$E285)</f>
        <v/>
      </c>
      <c r="K285" s="124">
        <f>IF($J285=0,0,$J285*YenidegerFonOran)</f>
        <v/>
      </c>
      <c r="L285" s="124">
        <f>IF($G285=0,0,$J285/$G285)</f>
        <v/>
      </c>
      <c r="M285" s="124">
        <f>IF($L285=0,0,$L285*YenidegerKurumlarVergiOran)</f>
        <v/>
      </c>
      <c r="N285" s="124">
        <f>IFERROR(IF(YenidegerIskontoOrani=0,$M285*$G285,$M285*(1-1/(1+YenidegerIskontoOrani)^$G285)/YenidegerIskontoOrani),0)</f>
        <v/>
      </c>
      <c r="O285" s="124">
        <f>$N285-$K285</f>
        <v/>
      </c>
      <c r="P285" s="124">
        <f>IF($J285&lt;=0,"DEĞERLENDİR",IF($O285&gt;0,"YENİDEN DEĞERLE","DEĞERLENDİR"))</f>
        <v/>
      </c>
      <c r="Q285" s="124">
        <f>IF($B285="","",CONCATENATE("Kıymet: ",$B285," | Değer Artışı: ",TEXT($J285,"#,##0")))</f>
        <v/>
      </c>
    </row>
    <row r="286" ht="15.75" customHeight="1" s="81">
      <c r="A286" s="129" t="n"/>
      <c r="B286" s="130" t="n"/>
      <c r="C286" s="127" t="n"/>
      <c r="D286" s="127" t="n"/>
      <c r="E286" s="124">
        <f>IF($C286=0,0,$C286-$D286)</f>
        <v/>
      </c>
      <c r="F286" s="128" t="n"/>
      <c r="G286" s="129" t="n"/>
      <c r="H286" s="131" t="n"/>
      <c r="I286" s="124">
        <f>IF($E286=0,0,$E286*$H286)</f>
        <v/>
      </c>
      <c r="J286" s="124">
        <f>IF($I286=0,0,$I286-$E286)</f>
        <v/>
      </c>
      <c r="K286" s="124">
        <f>IF($J286=0,0,$J286*YenidegerFonOran)</f>
        <v/>
      </c>
      <c r="L286" s="124">
        <f>IF($G286=0,0,$J286/$G286)</f>
        <v/>
      </c>
      <c r="M286" s="124">
        <f>IF($L286=0,0,$L286*YenidegerKurumlarVergiOran)</f>
        <v/>
      </c>
      <c r="N286" s="124">
        <f>IFERROR(IF(YenidegerIskontoOrani=0,$M286*$G286,$M286*(1-1/(1+YenidegerIskontoOrani)^$G286)/YenidegerIskontoOrani),0)</f>
        <v/>
      </c>
      <c r="O286" s="124">
        <f>$N286-$K286</f>
        <v/>
      </c>
      <c r="P286" s="124">
        <f>IF($J286&lt;=0,"DEĞERLENDİR",IF($O286&gt;0,"YENİDEN DEĞERLE","DEĞERLENDİR"))</f>
        <v/>
      </c>
      <c r="Q286" s="124">
        <f>IF($B286="","",CONCATENATE("Kıymet: ",$B286," | Değer Artışı: ",TEXT($J286,"#,##0")))</f>
        <v/>
      </c>
    </row>
    <row r="287" ht="15.75" customHeight="1" s="81">
      <c r="A287" s="129" t="n"/>
      <c r="B287" s="130" t="n"/>
      <c r="C287" s="127" t="n"/>
      <c r="D287" s="127" t="n"/>
      <c r="E287" s="124">
        <f>IF($C287=0,0,$C287-$D287)</f>
        <v/>
      </c>
      <c r="F287" s="128" t="n"/>
      <c r="G287" s="129" t="n"/>
      <c r="H287" s="131" t="n"/>
      <c r="I287" s="124">
        <f>IF($E287=0,0,$E287*$H287)</f>
        <v/>
      </c>
      <c r="J287" s="124">
        <f>IF($I287=0,0,$I287-$E287)</f>
        <v/>
      </c>
      <c r="K287" s="124">
        <f>IF($J287=0,0,$J287*YenidegerFonOran)</f>
        <v/>
      </c>
      <c r="L287" s="124">
        <f>IF($G287=0,0,$J287/$G287)</f>
        <v/>
      </c>
      <c r="M287" s="124">
        <f>IF($L287=0,0,$L287*YenidegerKurumlarVergiOran)</f>
        <v/>
      </c>
      <c r="N287" s="124">
        <f>IFERROR(IF(YenidegerIskontoOrani=0,$M287*$G287,$M287*(1-1/(1+YenidegerIskontoOrani)^$G287)/YenidegerIskontoOrani),0)</f>
        <v/>
      </c>
      <c r="O287" s="124">
        <f>$N287-$K287</f>
        <v/>
      </c>
      <c r="P287" s="124">
        <f>IF($J287&lt;=0,"DEĞERLENDİR",IF($O287&gt;0,"YENİDEN DEĞERLE","DEĞERLENDİR"))</f>
        <v/>
      </c>
      <c r="Q287" s="124">
        <f>IF($B287="","",CONCATENATE("Kıymet: ",$B287," | Değer Artışı: ",TEXT($J287,"#,##0")))</f>
        <v/>
      </c>
    </row>
    <row r="288" ht="15.75" customHeight="1" s="81">
      <c r="A288" s="129" t="n"/>
      <c r="B288" s="130" t="n"/>
      <c r="C288" s="127" t="n"/>
      <c r="D288" s="127" t="n"/>
      <c r="E288" s="124">
        <f>IF($C288=0,0,$C288-$D288)</f>
        <v/>
      </c>
      <c r="F288" s="128" t="n"/>
      <c r="G288" s="129" t="n"/>
      <c r="H288" s="131" t="n"/>
      <c r="I288" s="124">
        <f>IF($E288=0,0,$E288*$H288)</f>
        <v/>
      </c>
      <c r="J288" s="124">
        <f>IF($I288=0,0,$I288-$E288)</f>
        <v/>
      </c>
      <c r="K288" s="124">
        <f>IF($J288=0,0,$J288*YenidegerFonOran)</f>
        <v/>
      </c>
      <c r="L288" s="124">
        <f>IF($G288=0,0,$J288/$G288)</f>
        <v/>
      </c>
      <c r="M288" s="124">
        <f>IF($L288=0,0,$L288*YenidegerKurumlarVergiOran)</f>
        <v/>
      </c>
      <c r="N288" s="124">
        <f>IFERROR(IF(YenidegerIskontoOrani=0,$M288*$G288,$M288*(1-1/(1+YenidegerIskontoOrani)^$G288)/YenidegerIskontoOrani),0)</f>
        <v/>
      </c>
      <c r="O288" s="124">
        <f>$N288-$K288</f>
        <v/>
      </c>
      <c r="P288" s="124">
        <f>IF($J288&lt;=0,"DEĞERLENDİR",IF($O288&gt;0,"YENİDEN DEĞERLE","DEĞERLENDİR"))</f>
        <v/>
      </c>
      <c r="Q288" s="124">
        <f>IF($B288="","",CONCATENATE("Kıymet: ",$B288," | Değer Artışı: ",TEXT($J288,"#,##0")))</f>
        <v/>
      </c>
    </row>
    <row r="289" ht="15.75" customHeight="1" s="81">
      <c r="A289" s="129" t="n"/>
      <c r="B289" s="130" t="n"/>
      <c r="C289" s="127" t="n"/>
      <c r="D289" s="127" t="n"/>
      <c r="E289" s="124">
        <f>IF($C289=0,0,$C289-$D289)</f>
        <v/>
      </c>
      <c r="F289" s="128" t="n"/>
      <c r="G289" s="129" t="n"/>
      <c r="H289" s="131" t="n"/>
      <c r="I289" s="124">
        <f>IF($E289=0,0,$E289*$H289)</f>
        <v/>
      </c>
      <c r="J289" s="124">
        <f>IF($I289=0,0,$I289-$E289)</f>
        <v/>
      </c>
      <c r="K289" s="124">
        <f>IF($J289=0,0,$J289*YenidegerFonOran)</f>
        <v/>
      </c>
      <c r="L289" s="124">
        <f>IF($G289=0,0,$J289/$G289)</f>
        <v/>
      </c>
      <c r="M289" s="124">
        <f>IF($L289=0,0,$L289*YenidegerKurumlarVergiOran)</f>
        <v/>
      </c>
      <c r="N289" s="124">
        <f>IFERROR(IF(YenidegerIskontoOrani=0,$M289*$G289,$M289*(1-1/(1+YenidegerIskontoOrani)^$G289)/YenidegerIskontoOrani),0)</f>
        <v/>
      </c>
      <c r="O289" s="124">
        <f>$N289-$K289</f>
        <v/>
      </c>
      <c r="P289" s="124">
        <f>IF($J289&lt;=0,"DEĞERLENDİR",IF($O289&gt;0,"YENİDEN DEĞERLE","DEĞERLENDİR"))</f>
        <v/>
      </c>
      <c r="Q289" s="124">
        <f>IF($B289="","",CONCATENATE("Kıymet: ",$B289," | Değer Artışı: ",TEXT($J289,"#,##0")))</f>
        <v/>
      </c>
    </row>
    <row r="290" ht="15.75" customHeight="1" s="81">
      <c r="A290" s="129" t="n"/>
      <c r="B290" s="130" t="n"/>
      <c r="C290" s="127" t="n"/>
      <c r="D290" s="127" t="n"/>
      <c r="E290" s="124">
        <f>IF($C290=0,0,$C290-$D290)</f>
        <v/>
      </c>
      <c r="F290" s="128" t="n"/>
      <c r="G290" s="129" t="n"/>
      <c r="H290" s="131" t="n"/>
      <c r="I290" s="124">
        <f>IF($E290=0,0,$E290*$H290)</f>
        <v/>
      </c>
      <c r="J290" s="124">
        <f>IF($I290=0,0,$I290-$E290)</f>
        <v/>
      </c>
      <c r="K290" s="124">
        <f>IF($J290=0,0,$J290*YenidegerFonOran)</f>
        <v/>
      </c>
      <c r="L290" s="124">
        <f>IF($G290=0,0,$J290/$G290)</f>
        <v/>
      </c>
      <c r="M290" s="124">
        <f>IF($L290=0,0,$L290*YenidegerKurumlarVergiOran)</f>
        <v/>
      </c>
      <c r="N290" s="124">
        <f>IFERROR(IF(YenidegerIskontoOrani=0,$M290*$G290,$M290*(1-1/(1+YenidegerIskontoOrani)^$G290)/YenidegerIskontoOrani),0)</f>
        <v/>
      </c>
      <c r="O290" s="124">
        <f>$N290-$K290</f>
        <v/>
      </c>
      <c r="P290" s="124">
        <f>IF($J290&lt;=0,"DEĞERLENDİR",IF($O290&gt;0,"YENİDEN DEĞERLE","DEĞERLENDİR"))</f>
        <v/>
      </c>
      <c r="Q290" s="124">
        <f>IF($B290="","",CONCATENATE("Kıymet: ",$B290," | Değer Artışı: ",TEXT($J290,"#,##0")))</f>
        <v/>
      </c>
    </row>
    <row r="291" ht="15.75" customHeight="1" s="81">
      <c r="A291" s="129" t="n"/>
      <c r="B291" s="130" t="n"/>
      <c r="C291" s="127" t="n"/>
      <c r="D291" s="127" t="n"/>
      <c r="E291" s="124">
        <f>IF($C291=0,0,$C291-$D291)</f>
        <v/>
      </c>
      <c r="F291" s="128" t="n"/>
      <c r="G291" s="129" t="n"/>
      <c r="H291" s="131" t="n"/>
      <c r="I291" s="124">
        <f>IF($E291=0,0,$E291*$H291)</f>
        <v/>
      </c>
      <c r="J291" s="124">
        <f>IF($I291=0,0,$I291-$E291)</f>
        <v/>
      </c>
      <c r="K291" s="124">
        <f>IF($J291=0,0,$J291*YenidegerFonOran)</f>
        <v/>
      </c>
      <c r="L291" s="124">
        <f>IF($G291=0,0,$J291/$G291)</f>
        <v/>
      </c>
      <c r="M291" s="124">
        <f>IF($L291=0,0,$L291*YenidegerKurumlarVergiOran)</f>
        <v/>
      </c>
      <c r="N291" s="124">
        <f>IFERROR(IF(YenidegerIskontoOrani=0,$M291*$G291,$M291*(1-1/(1+YenidegerIskontoOrani)^$G291)/YenidegerIskontoOrani),0)</f>
        <v/>
      </c>
      <c r="O291" s="124">
        <f>$N291-$K291</f>
        <v/>
      </c>
      <c r="P291" s="124">
        <f>IF($J291&lt;=0,"DEĞERLENDİR",IF($O291&gt;0,"YENİDEN DEĞERLE","DEĞERLENDİR"))</f>
        <v/>
      </c>
      <c r="Q291" s="124">
        <f>IF($B291="","",CONCATENATE("Kıymet: ",$B291," | Değer Artışı: ",TEXT($J291,"#,##0")))</f>
        <v/>
      </c>
    </row>
    <row r="292" ht="15.75" customHeight="1" s="81">
      <c r="A292" s="129" t="n"/>
      <c r="B292" s="130" t="n"/>
      <c r="C292" s="127" t="n"/>
      <c r="D292" s="127" t="n"/>
      <c r="E292" s="124">
        <f>IF($C292=0,0,$C292-$D292)</f>
        <v/>
      </c>
      <c r="F292" s="128" t="n"/>
      <c r="G292" s="129" t="n"/>
      <c r="H292" s="131" t="n"/>
      <c r="I292" s="124">
        <f>IF($E292=0,0,$E292*$H292)</f>
        <v/>
      </c>
      <c r="J292" s="124">
        <f>IF($I292=0,0,$I292-$E292)</f>
        <v/>
      </c>
      <c r="K292" s="124">
        <f>IF($J292=0,0,$J292*YenidegerFonOran)</f>
        <v/>
      </c>
      <c r="L292" s="124">
        <f>IF($G292=0,0,$J292/$G292)</f>
        <v/>
      </c>
      <c r="M292" s="124">
        <f>IF($L292=0,0,$L292*YenidegerKurumlarVergiOran)</f>
        <v/>
      </c>
      <c r="N292" s="124">
        <f>IFERROR(IF(YenidegerIskontoOrani=0,$M292*$G292,$M292*(1-1/(1+YenidegerIskontoOrani)^$G292)/YenidegerIskontoOrani),0)</f>
        <v/>
      </c>
      <c r="O292" s="124">
        <f>$N292-$K292</f>
        <v/>
      </c>
      <c r="P292" s="124">
        <f>IF($J292&lt;=0,"DEĞERLENDİR",IF($O292&gt;0,"YENİDEN DEĞERLE","DEĞERLENDİR"))</f>
        <v/>
      </c>
      <c r="Q292" s="124">
        <f>IF($B292="","",CONCATENATE("Kıymet: ",$B292," | Değer Artışı: ",TEXT($J292,"#,##0")))</f>
        <v/>
      </c>
    </row>
    <row r="293" ht="15.75" customHeight="1" s="81">
      <c r="A293" s="129" t="n"/>
      <c r="B293" s="130" t="n"/>
      <c r="C293" s="127" t="n"/>
      <c r="D293" s="127" t="n"/>
      <c r="E293" s="124">
        <f>IF($C293=0,0,$C293-$D293)</f>
        <v/>
      </c>
      <c r="F293" s="128" t="n"/>
      <c r="G293" s="129" t="n"/>
      <c r="H293" s="131" t="n"/>
      <c r="I293" s="124">
        <f>IF($E293=0,0,$E293*$H293)</f>
        <v/>
      </c>
      <c r="J293" s="124">
        <f>IF($I293=0,0,$I293-$E293)</f>
        <v/>
      </c>
      <c r="K293" s="124">
        <f>IF($J293=0,0,$J293*YenidegerFonOran)</f>
        <v/>
      </c>
      <c r="L293" s="124">
        <f>IF($G293=0,0,$J293/$G293)</f>
        <v/>
      </c>
      <c r="M293" s="124">
        <f>IF($L293=0,0,$L293*YenidegerKurumlarVergiOran)</f>
        <v/>
      </c>
      <c r="N293" s="124">
        <f>IFERROR(IF(YenidegerIskontoOrani=0,$M293*$G293,$M293*(1-1/(1+YenidegerIskontoOrani)^$G293)/YenidegerIskontoOrani),0)</f>
        <v/>
      </c>
      <c r="O293" s="124">
        <f>$N293-$K293</f>
        <v/>
      </c>
      <c r="P293" s="124">
        <f>IF($J293&lt;=0,"DEĞERLENDİR",IF($O293&gt;0,"YENİDEN DEĞERLE","DEĞERLENDİR"))</f>
        <v/>
      </c>
      <c r="Q293" s="124">
        <f>IF($B293="","",CONCATENATE("Kıymet: ",$B293," | Değer Artışı: ",TEXT($J293,"#,##0")))</f>
        <v/>
      </c>
    </row>
    <row r="294" ht="15.75" customHeight="1" s="81">
      <c r="A294" s="129" t="n"/>
      <c r="B294" s="130" t="n"/>
      <c r="C294" s="127" t="n"/>
      <c r="D294" s="127" t="n"/>
      <c r="E294" s="124">
        <f>IF($C294=0,0,$C294-$D294)</f>
        <v/>
      </c>
      <c r="F294" s="128" t="n"/>
      <c r="G294" s="129" t="n"/>
      <c r="H294" s="131" t="n"/>
      <c r="I294" s="124">
        <f>IF($E294=0,0,$E294*$H294)</f>
        <v/>
      </c>
      <c r="J294" s="124">
        <f>IF($I294=0,0,$I294-$E294)</f>
        <v/>
      </c>
      <c r="K294" s="124">
        <f>IF($J294=0,0,$J294*YenidegerFonOran)</f>
        <v/>
      </c>
      <c r="L294" s="124">
        <f>IF($G294=0,0,$J294/$G294)</f>
        <v/>
      </c>
      <c r="M294" s="124">
        <f>IF($L294=0,0,$L294*YenidegerKurumlarVergiOran)</f>
        <v/>
      </c>
      <c r="N294" s="124">
        <f>IFERROR(IF(YenidegerIskontoOrani=0,$M294*$G294,$M294*(1-1/(1+YenidegerIskontoOrani)^$G294)/YenidegerIskontoOrani),0)</f>
        <v/>
      </c>
      <c r="O294" s="124">
        <f>$N294-$K294</f>
        <v/>
      </c>
      <c r="P294" s="124">
        <f>IF($J294&lt;=0,"DEĞERLENDİR",IF($O294&gt;0,"YENİDEN DEĞERLE","DEĞERLENDİR"))</f>
        <v/>
      </c>
      <c r="Q294" s="124">
        <f>IF($B294="","",CONCATENATE("Kıymet: ",$B294," | Değer Artışı: ",TEXT($J294,"#,##0")))</f>
        <v/>
      </c>
    </row>
    <row r="295" ht="15.75" customHeight="1" s="81">
      <c r="A295" s="129" t="n"/>
      <c r="B295" s="130" t="n"/>
      <c r="C295" s="127" t="n"/>
      <c r="D295" s="127" t="n"/>
      <c r="E295" s="124">
        <f>IF($C295=0,0,$C295-$D295)</f>
        <v/>
      </c>
      <c r="F295" s="128" t="n"/>
      <c r="G295" s="129" t="n"/>
      <c r="H295" s="131" t="n"/>
      <c r="I295" s="124">
        <f>IF($E295=0,0,$E295*$H295)</f>
        <v/>
      </c>
      <c r="J295" s="124">
        <f>IF($I295=0,0,$I295-$E295)</f>
        <v/>
      </c>
      <c r="K295" s="124">
        <f>IF($J295=0,0,$J295*YenidegerFonOran)</f>
        <v/>
      </c>
      <c r="L295" s="124">
        <f>IF($G295=0,0,$J295/$G295)</f>
        <v/>
      </c>
      <c r="M295" s="124">
        <f>IF($L295=0,0,$L295*YenidegerKurumlarVergiOran)</f>
        <v/>
      </c>
      <c r="N295" s="124">
        <f>IFERROR(IF(YenidegerIskontoOrani=0,$M295*$G295,$M295*(1-1/(1+YenidegerIskontoOrani)^$G295)/YenidegerIskontoOrani),0)</f>
        <v/>
      </c>
      <c r="O295" s="124">
        <f>$N295-$K295</f>
        <v/>
      </c>
      <c r="P295" s="124">
        <f>IF($J295&lt;=0,"DEĞERLENDİR",IF($O295&gt;0,"YENİDEN DEĞERLE","DEĞERLENDİR"))</f>
        <v/>
      </c>
      <c r="Q295" s="124">
        <f>IF($B295="","",CONCATENATE("Kıymet: ",$B295," | Değer Artışı: ",TEXT($J295,"#,##0")))</f>
        <v/>
      </c>
    </row>
    <row r="296" ht="15.75" customHeight="1" s="81">
      <c r="A296" s="129" t="n"/>
      <c r="B296" s="130" t="n"/>
      <c r="C296" s="127" t="n"/>
      <c r="D296" s="127" t="n"/>
      <c r="E296" s="124">
        <f>IF($C296=0,0,$C296-$D296)</f>
        <v/>
      </c>
      <c r="F296" s="128" t="n"/>
      <c r="G296" s="129" t="n"/>
      <c r="H296" s="131" t="n"/>
      <c r="I296" s="124">
        <f>IF($E296=0,0,$E296*$H296)</f>
        <v/>
      </c>
      <c r="J296" s="124">
        <f>IF($I296=0,0,$I296-$E296)</f>
        <v/>
      </c>
      <c r="K296" s="124">
        <f>IF($J296=0,0,$J296*YenidegerFonOran)</f>
        <v/>
      </c>
      <c r="L296" s="124">
        <f>IF($G296=0,0,$J296/$G296)</f>
        <v/>
      </c>
      <c r="M296" s="124">
        <f>IF($L296=0,0,$L296*YenidegerKurumlarVergiOran)</f>
        <v/>
      </c>
      <c r="N296" s="124">
        <f>IFERROR(IF(YenidegerIskontoOrani=0,$M296*$G296,$M296*(1-1/(1+YenidegerIskontoOrani)^$G296)/YenidegerIskontoOrani),0)</f>
        <v/>
      </c>
      <c r="O296" s="124">
        <f>$N296-$K296</f>
        <v/>
      </c>
      <c r="P296" s="124">
        <f>IF($J296&lt;=0,"DEĞERLENDİR",IF($O296&gt;0,"YENİDEN DEĞERLE","DEĞERLENDİR"))</f>
        <v/>
      </c>
      <c r="Q296" s="124">
        <f>IF($B296="","",CONCATENATE("Kıymet: ",$B296," | Değer Artışı: ",TEXT($J296,"#,##0")))</f>
        <v/>
      </c>
    </row>
    <row r="297" ht="15.75" customHeight="1" s="81">
      <c r="A297" s="129" t="n"/>
      <c r="B297" s="130" t="n"/>
      <c r="C297" s="127" t="n"/>
      <c r="D297" s="127" t="n"/>
      <c r="E297" s="124">
        <f>IF($C297=0,0,$C297-$D297)</f>
        <v/>
      </c>
      <c r="F297" s="128" t="n"/>
      <c r="G297" s="129" t="n"/>
      <c r="H297" s="131" t="n"/>
      <c r="I297" s="124">
        <f>IF($E297=0,0,$E297*$H297)</f>
        <v/>
      </c>
      <c r="J297" s="124">
        <f>IF($I297=0,0,$I297-$E297)</f>
        <v/>
      </c>
      <c r="K297" s="124">
        <f>IF($J297=0,0,$J297*YenidegerFonOran)</f>
        <v/>
      </c>
      <c r="L297" s="124">
        <f>IF($G297=0,0,$J297/$G297)</f>
        <v/>
      </c>
      <c r="M297" s="124">
        <f>IF($L297=0,0,$L297*YenidegerKurumlarVergiOran)</f>
        <v/>
      </c>
      <c r="N297" s="124">
        <f>IFERROR(IF(YenidegerIskontoOrani=0,$M297*$G297,$M297*(1-1/(1+YenidegerIskontoOrani)^$G297)/YenidegerIskontoOrani),0)</f>
        <v/>
      </c>
      <c r="O297" s="124">
        <f>$N297-$K297</f>
        <v/>
      </c>
      <c r="P297" s="124">
        <f>IF($J297&lt;=0,"DEĞERLENDİR",IF($O297&gt;0,"YENİDEN DEĞERLE","DEĞERLENDİR"))</f>
        <v/>
      </c>
      <c r="Q297" s="124">
        <f>IF($B297="","",CONCATENATE("Kıymet: ",$B297," | Değer Artışı: ",TEXT($J297,"#,##0")))</f>
        <v/>
      </c>
    </row>
    <row r="298" ht="15.75" customHeight="1" s="81">
      <c r="A298" s="129" t="n"/>
      <c r="B298" s="130" t="n"/>
      <c r="C298" s="127" t="n"/>
      <c r="D298" s="127" t="n"/>
      <c r="E298" s="124">
        <f>IF($C298=0,0,$C298-$D298)</f>
        <v/>
      </c>
      <c r="F298" s="128" t="n"/>
      <c r="G298" s="129" t="n"/>
      <c r="H298" s="131" t="n"/>
      <c r="I298" s="124">
        <f>IF($E298=0,0,$E298*$H298)</f>
        <v/>
      </c>
      <c r="J298" s="124">
        <f>IF($I298=0,0,$I298-$E298)</f>
        <v/>
      </c>
      <c r="K298" s="124">
        <f>IF($J298=0,0,$J298*YenidegerFonOran)</f>
        <v/>
      </c>
      <c r="L298" s="124">
        <f>IF($G298=0,0,$J298/$G298)</f>
        <v/>
      </c>
      <c r="M298" s="124">
        <f>IF($L298=0,0,$L298*YenidegerKurumlarVergiOran)</f>
        <v/>
      </c>
      <c r="N298" s="124">
        <f>IFERROR(IF(YenidegerIskontoOrani=0,$M298*$G298,$M298*(1-1/(1+YenidegerIskontoOrani)^$G298)/YenidegerIskontoOrani),0)</f>
        <v/>
      </c>
      <c r="O298" s="124">
        <f>$N298-$K298</f>
        <v/>
      </c>
      <c r="P298" s="124">
        <f>IF($J298&lt;=0,"DEĞERLENDİR",IF($O298&gt;0,"YENİDEN DEĞERLE","DEĞERLENDİR"))</f>
        <v/>
      </c>
      <c r="Q298" s="124">
        <f>IF($B298="","",CONCATENATE("Kıymet: ",$B298," | Değer Artışı: ",TEXT($J298,"#,##0")))</f>
        <v/>
      </c>
    </row>
    <row r="299" ht="15.75" customHeight="1" s="81">
      <c r="A299" s="129" t="n"/>
      <c r="B299" s="130" t="n"/>
      <c r="C299" s="127" t="n"/>
      <c r="D299" s="127" t="n"/>
      <c r="E299" s="124">
        <f>IF($C299=0,0,$C299-$D299)</f>
        <v/>
      </c>
      <c r="F299" s="128" t="n"/>
      <c r="G299" s="129" t="n"/>
      <c r="H299" s="131" t="n"/>
      <c r="I299" s="124">
        <f>IF($E299=0,0,$E299*$H299)</f>
        <v/>
      </c>
      <c r="J299" s="124">
        <f>IF($I299=0,0,$I299-$E299)</f>
        <v/>
      </c>
      <c r="K299" s="124">
        <f>IF($J299=0,0,$J299*YenidegerFonOran)</f>
        <v/>
      </c>
      <c r="L299" s="124">
        <f>IF($G299=0,0,$J299/$G299)</f>
        <v/>
      </c>
      <c r="M299" s="124">
        <f>IF($L299=0,0,$L299*YenidegerKurumlarVergiOran)</f>
        <v/>
      </c>
      <c r="N299" s="124">
        <f>IFERROR(IF(YenidegerIskontoOrani=0,$M299*$G299,$M299*(1-1/(1+YenidegerIskontoOrani)^$G299)/YenidegerIskontoOrani),0)</f>
        <v/>
      </c>
      <c r="O299" s="124">
        <f>$N299-$K299</f>
        <v/>
      </c>
      <c r="P299" s="124">
        <f>IF($J299&lt;=0,"DEĞERLENDİR",IF($O299&gt;0,"YENİDEN DEĞERLE","DEĞERLENDİR"))</f>
        <v/>
      </c>
      <c r="Q299" s="124">
        <f>IF($B299="","",CONCATENATE("Kıymet: ",$B299," | Değer Artışı: ",TEXT($J299,"#,##0")))</f>
        <v/>
      </c>
    </row>
    <row r="300" ht="15.75" customHeight="1" s="81">
      <c r="A300" s="129" t="n"/>
      <c r="B300" s="130" t="n"/>
      <c r="C300" s="127" t="n"/>
      <c r="D300" s="127" t="n"/>
      <c r="E300" s="124">
        <f>IF($C300=0,0,$C300-$D300)</f>
        <v/>
      </c>
      <c r="F300" s="128" t="n"/>
      <c r="G300" s="129" t="n"/>
      <c r="H300" s="131" t="n"/>
      <c r="I300" s="124">
        <f>IF($E300=0,0,$E300*$H300)</f>
        <v/>
      </c>
      <c r="J300" s="124">
        <f>IF($I300=0,0,$I300-$E300)</f>
        <v/>
      </c>
      <c r="K300" s="124">
        <f>IF($J300=0,0,$J300*YenidegerFonOran)</f>
        <v/>
      </c>
      <c r="L300" s="124">
        <f>IF($G300=0,0,$J300/$G300)</f>
        <v/>
      </c>
      <c r="M300" s="124">
        <f>IF($L300=0,0,$L300*YenidegerKurumlarVergiOran)</f>
        <v/>
      </c>
      <c r="N300" s="124">
        <f>IFERROR(IF(YenidegerIskontoOrani=0,$M300*$G300,$M300*(1-1/(1+YenidegerIskontoOrani)^$G300)/YenidegerIskontoOrani),0)</f>
        <v/>
      </c>
      <c r="O300" s="124">
        <f>$N300-$K300</f>
        <v/>
      </c>
      <c r="P300" s="124">
        <f>IF($J300&lt;=0,"DEĞERLENDİR",IF($O300&gt;0,"YENİDEN DEĞERLE","DEĞERLENDİR"))</f>
        <v/>
      </c>
      <c r="Q300" s="124">
        <f>IF($B300="","",CONCATENATE("Kıymet: ",$B300," | Değer Artışı: ",TEXT($J300,"#,##0")))</f>
        <v/>
      </c>
    </row>
    <row r="301" ht="15.75" customHeight="1" s="81">
      <c r="A301" s="129" t="n"/>
      <c r="B301" s="130" t="n"/>
      <c r="C301" s="127" t="n"/>
      <c r="D301" s="127" t="n"/>
      <c r="E301" s="124">
        <f>IF($C301=0,0,$C301-$D301)</f>
        <v/>
      </c>
      <c r="F301" s="128" t="n"/>
      <c r="G301" s="129" t="n"/>
      <c r="H301" s="131" t="n"/>
      <c r="I301" s="124">
        <f>IF($E301=0,0,$E301*$H301)</f>
        <v/>
      </c>
      <c r="J301" s="124">
        <f>IF($I301=0,0,$I301-$E301)</f>
        <v/>
      </c>
      <c r="K301" s="124">
        <f>IF($J301=0,0,$J301*YenidegerFonOran)</f>
        <v/>
      </c>
      <c r="L301" s="124">
        <f>IF($G301=0,0,$J301/$G301)</f>
        <v/>
      </c>
      <c r="M301" s="124">
        <f>IF($L301=0,0,$L301*YenidegerKurumlarVergiOran)</f>
        <v/>
      </c>
      <c r="N301" s="124">
        <f>IFERROR(IF(YenidegerIskontoOrani=0,$M301*$G301,$M301*(1-1/(1+YenidegerIskontoOrani)^$G301)/YenidegerIskontoOrani),0)</f>
        <v/>
      </c>
      <c r="O301" s="124">
        <f>$N301-$K301</f>
        <v/>
      </c>
      <c r="P301" s="124">
        <f>IF($J301&lt;=0,"DEĞERLENDİR",IF($O301&gt;0,"YENİDEN DEĞERLE","DEĞERLENDİR"))</f>
        <v/>
      </c>
      <c r="Q301" s="124">
        <f>IF($B301="","",CONCATENATE("Kıymet: ",$B301," | Değer Artışı: ",TEXT($J301,"#,##0")))</f>
        <v/>
      </c>
    </row>
    <row r="302" ht="15.75" customHeight="1" s="81">
      <c r="A302" s="129" t="n"/>
      <c r="B302" s="130" t="n"/>
      <c r="C302" s="127" t="n"/>
      <c r="D302" s="127" t="n"/>
      <c r="E302" s="124">
        <f>IF($C302=0,0,$C302-$D302)</f>
        <v/>
      </c>
      <c r="F302" s="128" t="n"/>
      <c r="G302" s="129" t="n"/>
      <c r="H302" s="131" t="n"/>
      <c r="I302" s="124">
        <f>IF($E302=0,0,$E302*$H302)</f>
        <v/>
      </c>
      <c r="J302" s="124">
        <f>IF($I302=0,0,$I302-$E302)</f>
        <v/>
      </c>
      <c r="K302" s="124">
        <f>IF($J302=0,0,$J302*YenidegerFonOran)</f>
        <v/>
      </c>
      <c r="L302" s="124">
        <f>IF($G302=0,0,$J302/$G302)</f>
        <v/>
      </c>
      <c r="M302" s="124">
        <f>IF($L302=0,0,$L302*YenidegerKurumlarVergiOran)</f>
        <v/>
      </c>
      <c r="N302" s="124">
        <f>IFERROR(IF(YenidegerIskontoOrani=0,$M302*$G302,$M302*(1-1/(1+YenidegerIskontoOrani)^$G302)/YenidegerIskontoOrani),0)</f>
        <v/>
      </c>
      <c r="O302" s="124">
        <f>$N302-$K302</f>
        <v/>
      </c>
      <c r="P302" s="124">
        <f>IF($J302&lt;=0,"DEĞERLENDİR",IF($O302&gt;0,"YENİDEN DEĞERLE","DEĞERLENDİR"))</f>
        <v/>
      </c>
      <c r="Q302" s="124">
        <f>IF($B302="","",CONCATENATE("Kıymet: ",$B302," | Değer Artışı: ",TEXT($J302,"#,##0")))</f>
        <v/>
      </c>
    </row>
    <row r="303" ht="15.75" customHeight="1" s="81">
      <c r="A303" s="129" t="n"/>
      <c r="B303" s="130" t="n"/>
      <c r="C303" s="127" t="n"/>
      <c r="D303" s="127" t="n"/>
      <c r="E303" s="124">
        <f>IF($C303=0,0,$C303-$D303)</f>
        <v/>
      </c>
      <c r="F303" s="128" t="n"/>
      <c r="G303" s="129" t="n"/>
      <c r="H303" s="131" t="n"/>
      <c r="I303" s="124">
        <f>IF($E303=0,0,$E303*$H303)</f>
        <v/>
      </c>
      <c r="J303" s="124">
        <f>IF($I303=0,0,$I303-$E303)</f>
        <v/>
      </c>
      <c r="K303" s="124">
        <f>IF($J303=0,0,$J303*YenidegerFonOran)</f>
        <v/>
      </c>
      <c r="L303" s="124">
        <f>IF($G303=0,0,$J303/$G303)</f>
        <v/>
      </c>
      <c r="M303" s="124">
        <f>IF($L303=0,0,$L303*YenidegerKurumlarVergiOran)</f>
        <v/>
      </c>
      <c r="N303" s="124">
        <f>IFERROR(IF(YenidegerIskontoOrani=0,$M303*$G303,$M303*(1-1/(1+YenidegerIskontoOrani)^$G303)/YenidegerIskontoOrani),0)</f>
        <v/>
      </c>
      <c r="O303" s="124">
        <f>$N303-$K303</f>
        <v/>
      </c>
      <c r="P303" s="124">
        <f>IF($J303&lt;=0,"DEĞERLENDİR",IF($O303&gt;0,"YENİDEN DEĞERLE","DEĞERLENDİR"))</f>
        <v/>
      </c>
      <c r="Q303" s="124">
        <f>IF($B303="","",CONCATENATE("Kıymet: ",$B303," | Değer Artışı: ",TEXT($J303,"#,##0")))</f>
        <v/>
      </c>
    </row>
    <row r="304" ht="15.75" customHeight="1" s="81">
      <c r="A304" s="129" t="n"/>
      <c r="B304" s="130" t="n"/>
      <c r="C304" s="127" t="n"/>
      <c r="D304" s="127" t="n"/>
      <c r="E304" s="124">
        <f>IF($C304=0,0,$C304-$D304)</f>
        <v/>
      </c>
      <c r="F304" s="128" t="n"/>
      <c r="G304" s="129" t="n"/>
      <c r="H304" s="131" t="n"/>
      <c r="I304" s="124">
        <f>IF($E304=0,0,$E304*$H304)</f>
        <v/>
      </c>
      <c r="J304" s="124">
        <f>IF($I304=0,0,$I304-$E304)</f>
        <v/>
      </c>
      <c r="K304" s="124">
        <f>IF($J304=0,0,$J304*YenidegerFonOran)</f>
        <v/>
      </c>
      <c r="L304" s="124">
        <f>IF($G304=0,0,$J304/$G304)</f>
        <v/>
      </c>
      <c r="M304" s="124">
        <f>IF($L304=0,0,$L304*YenidegerKurumlarVergiOran)</f>
        <v/>
      </c>
      <c r="N304" s="124">
        <f>IFERROR(IF(YenidegerIskontoOrani=0,$M304*$G304,$M304*(1-1/(1+YenidegerIskontoOrani)^$G304)/YenidegerIskontoOrani),0)</f>
        <v/>
      </c>
      <c r="O304" s="124">
        <f>$N304-$K304</f>
        <v/>
      </c>
      <c r="P304" s="124">
        <f>IF($J304&lt;=0,"DEĞERLENDİR",IF($O304&gt;0,"YENİDEN DEĞERLE","DEĞERLENDİR"))</f>
        <v/>
      </c>
      <c r="Q304" s="124">
        <f>IF($B304="","",CONCATENATE("Kıymet: ",$B304," | Değer Artışı: ",TEXT($J304,"#,##0")))</f>
        <v/>
      </c>
    </row>
    <row r="305" ht="15.75" customHeight="1" s="81">
      <c r="A305" s="129" t="n"/>
      <c r="B305" s="130" t="n"/>
      <c r="C305" s="127" t="n"/>
      <c r="D305" s="127" t="n"/>
      <c r="E305" s="124">
        <f>IF($C305=0,0,$C305-$D305)</f>
        <v/>
      </c>
      <c r="F305" s="128" t="n"/>
      <c r="G305" s="129" t="n"/>
      <c r="H305" s="131" t="n"/>
      <c r="I305" s="124">
        <f>IF($E305=0,0,$E305*$H305)</f>
        <v/>
      </c>
      <c r="J305" s="124">
        <f>IF($I305=0,0,$I305-$E305)</f>
        <v/>
      </c>
      <c r="K305" s="124">
        <f>IF($J305=0,0,$J305*YenidegerFonOran)</f>
        <v/>
      </c>
      <c r="L305" s="124">
        <f>IF($G305=0,0,$J305/$G305)</f>
        <v/>
      </c>
      <c r="M305" s="124">
        <f>IF($L305=0,0,$L305*YenidegerKurumlarVergiOran)</f>
        <v/>
      </c>
      <c r="N305" s="124">
        <f>IFERROR(IF(YenidegerIskontoOrani=0,$M305*$G305,$M305*(1-1/(1+YenidegerIskontoOrani)^$G305)/YenidegerIskontoOrani),0)</f>
        <v/>
      </c>
      <c r="O305" s="124">
        <f>$N305-$K305</f>
        <v/>
      </c>
      <c r="P305" s="124">
        <f>IF($J305&lt;=0,"DEĞERLENDİR",IF($O305&gt;0,"YENİDEN DEĞERLE","DEĞERLENDİR"))</f>
        <v/>
      </c>
      <c r="Q305" s="124">
        <f>IF($B305="","",CONCATENATE("Kıymet: ",$B305," | Değer Artışı: ",TEXT($J305,"#,##0")))</f>
        <v/>
      </c>
    </row>
    <row r="306" ht="15.75" customHeight="1" s="81">
      <c r="A306" s="129" t="n"/>
      <c r="B306" s="130" t="n"/>
      <c r="C306" s="127" t="n"/>
      <c r="D306" s="127" t="n"/>
      <c r="E306" s="124">
        <f>IF($C306=0,0,$C306-$D306)</f>
        <v/>
      </c>
      <c r="F306" s="128" t="n"/>
      <c r="G306" s="129" t="n"/>
      <c r="H306" s="131" t="n"/>
      <c r="I306" s="124">
        <f>IF($E306=0,0,$E306*$H306)</f>
        <v/>
      </c>
      <c r="J306" s="124">
        <f>IF($I306=0,0,$I306-$E306)</f>
        <v/>
      </c>
      <c r="K306" s="124">
        <f>IF($J306=0,0,$J306*YenidegerFonOran)</f>
        <v/>
      </c>
      <c r="L306" s="124">
        <f>IF($G306=0,0,$J306/$G306)</f>
        <v/>
      </c>
      <c r="M306" s="124">
        <f>IF($L306=0,0,$L306*YenidegerKurumlarVergiOran)</f>
        <v/>
      </c>
      <c r="N306" s="124">
        <f>IFERROR(IF(YenidegerIskontoOrani=0,$M306*$G306,$M306*(1-1/(1+YenidegerIskontoOrani)^$G306)/YenidegerIskontoOrani),0)</f>
        <v/>
      </c>
      <c r="O306" s="124">
        <f>$N306-$K306</f>
        <v/>
      </c>
      <c r="P306" s="124">
        <f>IF($J306&lt;=0,"DEĞERLENDİR",IF($O306&gt;0,"YENİDEN DEĞERLE","DEĞERLENDİR"))</f>
        <v/>
      </c>
      <c r="Q306" s="124">
        <f>IF($B306="","",CONCATENATE("Kıymet: ",$B306," | Değer Artışı: ",TEXT($J306,"#,##0")))</f>
        <v/>
      </c>
    </row>
    <row r="307" ht="15.75" customHeight="1" s="81">
      <c r="A307" s="129" t="n"/>
      <c r="B307" s="130" t="n"/>
      <c r="C307" s="127" t="n"/>
      <c r="D307" s="127" t="n"/>
      <c r="E307" s="124">
        <f>IF($C307=0,0,$C307-$D307)</f>
        <v/>
      </c>
      <c r="F307" s="128" t="n"/>
      <c r="G307" s="129" t="n"/>
      <c r="H307" s="131" t="n"/>
      <c r="I307" s="124">
        <f>IF($E307=0,0,$E307*$H307)</f>
        <v/>
      </c>
      <c r="J307" s="124">
        <f>IF($I307=0,0,$I307-$E307)</f>
        <v/>
      </c>
      <c r="K307" s="124">
        <f>IF($J307=0,0,$J307*YenidegerFonOran)</f>
        <v/>
      </c>
      <c r="L307" s="124">
        <f>IF($G307=0,0,$J307/$G307)</f>
        <v/>
      </c>
      <c r="M307" s="124">
        <f>IF($L307=0,0,$L307*YenidegerKurumlarVergiOran)</f>
        <v/>
      </c>
      <c r="N307" s="124">
        <f>IFERROR(IF(YenidegerIskontoOrani=0,$M307*$G307,$M307*(1-1/(1+YenidegerIskontoOrani)^$G307)/YenidegerIskontoOrani),0)</f>
        <v/>
      </c>
      <c r="O307" s="124">
        <f>$N307-$K307</f>
        <v/>
      </c>
      <c r="P307" s="124">
        <f>IF($J307&lt;=0,"DEĞERLENDİR",IF($O307&gt;0,"YENİDEN DEĞERLE","DEĞERLENDİR"))</f>
        <v/>
      </c>
      <c r="Q307" s="124">
        <f>IF($B307="","",CONCATENATE("Kıymet: ",$B307," | Değer Artışı: ",TEXT($J307,"#,##0")))</f>
        <v/>
      </c>
    </row>
    <row r="308" ht="15.75" customHeight="1" s="81">
      <c r="A308" s="129" t="n"/>
      <c r="B308" s="130" t="n"/>
      <c r="C308" s="127" t="n"/>
      <c r="D308" s="127" t="n"/>
      <c r="E308" s="124">
        <f>IF($C308=0,0,$C308-$D308)</f>
        <v/>
      </c>
      <c r="F308" s="128" t="n"/>
      <c r="G308" s="129" t="n"/>
      <c r="H308" s="131" t="n"/>
      <c r="I308" s="124">
        <f>IF($E308=0,0,$E308*$H308)</f>
        <v/>
      </c>
      <c r="J308" s="124">
        <f>IF($I308=0,0,$I308-$E308)</f>
        <v/>
      </c>
      <c r="K308" s="124">
        <f>IF($J308=0,0,$J308*YenidegerFonOran)</f>
        <v/>
      </c>
      <c r="L308" s="124">
        <f>IF($G308=0,0,$J308/$G308)</f>
        <v/>
      </c>
      <c r="M308" s="124">
        <f>IF($L308=0,0,$L308*YenidegerKurumlarVergiOran)</f>
        <v/>
      </c>
      <c r="N308" s="124">
        <f>IFERROR(IF(YenidegerIskontoOrani=0,$M308*$G308,$M308*(1-1/(1+YenidegerIskontoOrani)^$G308)/YenidegerIskontoOrani),0)</f>
        <v/>
      </c>
      <c r="O308" s="124">
        <f>$N308-$K308</f>
        <v/>
      </c>
      <c r="P308" s="124">
        <f>IF($J308&lt;=0,"DEĞERLENDİR",IF($O308&gt;0,"YENİDEN DEĞERLE","DEĞERLENDİR"))</f>
        <v/>
      </c>
      <c r="Q308" s="124">
        <f>IF($B308="","",CONCATENATE("Kıymet: ",$B308," | Değer Artışı: ",TEXT($J308,"#,##0")))</f>
        <v/>
      </c>
    </row>
    <row r="309" ht="15.75" customHeight="1" s="81">
      <c r="A309" s="129" t="n"/>
      <c r="B309" s="130" t="n"/>
      <c r="C309" s="127" t="n"/>
      <c r="D309" s="127" t="n"/>
      <c r="E309" s="124">
        <f>IF($C309=0,0,$C309-$D309)</f>
        <v/>
      </c>
      <c r="F309" s="128" t="n"/>
      <c r="G309" s="129" t="n"/>
      <c r="H309" s="131" t="n"/>
      <c r="I309" s="124">
        <f>IF($E309=0,0,$E309*$H309)</f>
        <v/>
      </c>
      <c r="J309" s="124">
        <f>IF($I309=0,0,$I309-$E309)</f>
        <v/>
      </c>
      <c r="K309" s="124">
        <f>IF($J309=0,0,$J309*YenidegerFonOran)</f>
        <v/>
      </c>
      <c r="L309" s="124">
        <f>IF($G309=0,0,$J309/$G309)</f>
        <v/>
      </c>
      <c r="M309" s="124">
        <f>IF($L309=0,0,$L309*YenidegerKurumlarVergiOran)</f>
        <v/>
      </c>
      <c r="N309" s="124">
        <f>IFERROR(IF(YenidegerIskontoOrani=0,$M309*$G309,$M309*(1-1/(1+YenidegerIskontoOrani)^$G309)/YenidegerIskontoOrani),0)</f>
        <v/>
      </c>
      <c r="O309" s="124">
        <f>$N309-$K309</f>
        <v/>
      </c>
      <c r="P309" s="124">
        <f>IF($J309&lt;=0,"DEĞERLENDİR",IF($O309&gt;0,"YENİDEN DEĞERLE","DEĞERLENDİR"))</f>
        <v/>
      </c>
      <c r="Q309" s="124">
        <f>IF($B309="","",CONCATENATE("Kıymet: ",$B309," | Değer Artışı: ",TEXT($J309,"#,##0")))</f>
        <v/>
      </c>
    </row>
    <row r="310" ht="15.75" customHeight="1" s="81">
      <c r="A310" s="129" t="n"/>
      <c r="B310" s="130" t="n"/>
      <c r="C310" s="127" t="n"/>
      <c r="D310" s="127" t="n"/>
      <c r="E310" s="124">
        <f>IF($C310=0,0,$C310-$D310)</f>
        <v/>
      </c>
      <c r="F310" s="128" t="n"/>
      <c r="G310" s="129" t="n"/>
      <c r="H310" s="131" t="n"/>
      <c r="I310" s="124">
        <f>IF($E310=0,0,$E310*$H310)</f>
        <v/>
      </c>
      <c r="J310" s="124">
        <f>IF($I310=0,0,$I310-$E310)</f>
        <v/>
      </c>
      <c r="K310" s="124">
        <f>IF($J310=0,0,$J310*YenidegerFonOran)</f>
        <v/>
      </c>
      <c r="L310" s="124">
        <f>IF($G310=0,0,$J310/$G310)</f>
        <v/>
      </c>
      <c r="M310" s="124">
        <f>IF($L310=0,0,$L310*YenidegerKurumlarVergiOran)</f>
        <v/>
      </c>
      <c r="N310" s="124">
        <f>IFERROR(IF(YenidegerIskontoOrani=0,$M310*$G310,$M310*(1-1/(1+YenidegerIskontoOrani)^$G310)/YenidegerIskontoOrani),0)</f>
        <v/>
      </c>
      <c r="O310" s="124">
        <f>$N310-$K310</f>
        <v/>
      </c>
      <c r="P310" s="124">
        <f>IF($J310&lt;=0,"DEĞERLENDİR",IF($O310&gt;0,"YENİDEN DEĞERLE","DEĞERLENDİR"))</f>
        <v/>
      </c>
      <c r="Q310" s="124">
        <f>IF($B310="","",CONCATENATE("Kıymet: ",$B310," | Değer Artışı: ",TEXT($J310,"#,##0")))</f>
        <v/>
      </c>
    </row>
    <row r="311" ht="15.75" customHeight="1" s="81">
      <c r="A311" s="129" t="n"/>
      <c r="B311" s="130" t="n"/>
      <c r="C311" s="127" t="n"/>
      <c r="D311" s="127" t="n"/>
      <c r="E311" s="124">
        <f>IF($C311=0,0,$C311-$D311)</f>
        <v/>
      </c>
      <c r="F311" s="128" t="n"/>
      <c r="G311" s="129" t="n"/>
      <c r="H311" s="131" t="n"/>
      <c r="I311" s="124">
        <f>IF($E311=0,0,$E311*$H311)</f>
        <v/>
      </c>
      <c r="J311" s="124">
        <f>IF($I311=0,0,$I311-$E311)</f>
        <v/>
      </c>
      <c r="K311" s="124">
        <f>IF($J311=0,0,$J311*YenidegerFonOran)</f>
        <v/>
      </c>
      <c r="L311" s="124">
        <f>IF($G311=0,0,$J311/$G311)</f>
        <v/>
      </c>
      <c r="M311" s="124">
        <f>IF($L311=0,0,$L311*YenidegerKurumlarVergiOran)</f>
        <v/>
      </c>
      <c r="N311" s="124">
        <f>IFERROR(IF(YenidegerIskontoOrani=0,$M311*$G311,$M311*(1-1/(1+YenidegerIskontoOrani)^$G311)/YenidegerIskontoOrani),0)</f>
        <v/>
      </c>
      <c r="O311" s="124">
        <f>$N311-$K311</f>
        <v/>
      </c>
      <c r="P311" s="124">
        <f>IF($J311&lt;=0,"DEĞERLENDİR",IF($O311&gt;0,"YENİDEN DEĞERLE","DEĞERLENDİR"))</f>
        <v/>
      </c>
      <c r="Q311" s="124">
        <f>IF($B311="","",CONCATENATE("Kıymet: ",$B311," | Değer Artışı: ",TEXT($J311,"#,##0")))</f>
        <v/>
      </c>
    </row>
    <row r="312" ht="15.75" customHeight="1" s="81">
      <c r="A312" s="129" t="n"/>
      <c r="B312" s="130" t="n"/>
      <c r="C312" s="127" t="n"/>
      <c r="D312" s="127" t="n"/>
      <c r="E312" s="124">
        <f>IF($C312=0,0,$C312-$D312)</f>
        <v/>
      </c>
      <c r="F312" s="128" t="n"/>
      <c r="G312" s="129" t="n"/>
      <c r="H312" s="131" t="n"/>
      <c r="I312" s="124">
        <f>IF($E312=0,0,$E312*$H312)</f>
        <v/>
      </c>
      <c r="J312" s="124">
        <f>IF($I312=0,0,$I312-$E312)</f>
        <v/>
      </c>
      <c r="K312" s="124">
        <f>IF($J312=0,0,$J312*YenidegerFonOran)</f>
        <v/>
      </c>
      <c r="L312" s="124">
        <f>IF($G312=0,0,$J312/$G312)</f>
        <v/>
      </c>
      <c r="M312" s="124">
        <f>IF($L312=0,0,$L312*YenidegerKurumlarVergiOran)</f>
        <v/>
      </c>
      <c r="N312" s="124">
        <f>IFERROR(IF(YenidegerIskontoOrani=0,$M312*$G312,$M312*(1-1/(1+YenidegerIskontoOrani)^$G312)/YenidegerIskontoOrani),0)</f>
        <v/>
      </c>
      <c r="O312" s="124">
        <f>$N312-$K312</f>
        <v/>
      </c>
      <c r="P312" s="124">
        <f>IF($J312&lt;=0,"DEĞERLENDİR",IF($O312&gt;0,"YENİDEN DEĞERLE","DEĞERLENDİR"))</f>
        <v/>
      </c>
      <c r="Q312" s="124">
        <f>IF($B312="","",CONCATENATE("Kıymet: ",$B312," | Değer Artışı: ",TEXT($J312,"#,##0")))</f>
        <v/>
      </c>
    </row>
    <row r="313" ht="15.75" customHeight="1" s="81">
      <c r="A313" s="129" t="n"/>
      <c r="B313" s="130" t="n"/>
      <c r="C313" s="127" t="n"/>
      <c r="D313" s="127" t="n"/>
      <c r="E313" s="124">
        <f>IF($C313=0,0,$C313-$D313)</f>
        <v/>
      </c>
      <c r="F313" s="128" t="n"/>
      <c r="G313" s="129" t="n"/>
      <c r="H313" s="131" t="n"/>
      <c r="I313" s="124">
        <f>IF($E313=0,0,$E313*$H313)</f>
        <v/>
      </c>
      <c r="J313" s="124">
        <f>IF($I313=0,0,$I313-$E313)</f>
        <v/>
      </c>
      <c r="K313" s="124">
        <f>IF($J313=0,0,$J313*YenidegerFonOran)</f>
        <v/>
      </c>
      <c r="L313" s="124">
        <f>IF($G313=0,0,$J313/$G313)</f>
        <v/>
      </c>
      <c r="M313" s="124">
        <f>IF($L313=0,0,$L313*YenidegerKurumlarVergiOran)</f>
        <v/>
      </c>
      <c r="N313" s="124">
        <f>IFERROR(IF(YenidegerIskontoOrani=0,$M313*$G313,$M313*(1-1/(1+YenidegerIskontoOrani)^$G313)/YenidegerIskontoOrani),0)</f>
        <v/>
      </c>
      <c r="O313" s="124">
        <f>$N313-$K313</f>
        <v/>
      </c>
      <c r="P313" s="124">
        <f>IF($J313&lt;=0,"DEĞERLENDİR",IF($O313&gt;0,"YENİDEN DEĞERLE","DEĞERLENDİR"))</f>
        <v/>
      </c>
      <c r="Q313" s="124">
        <f>IF($B313="","",CONCATENATE("Kıymet: ",$B313," | Değer Artışı: ",TEXT($J313,"#,##0")))</f>
        <v/>
      </c>
    </row>
    <row r="314" ht="15.75" customHeight="1" s="81">
      <c r="A314" s="129" t="n"/>
      <c r="B314" s="130" t="n"/>
      <c r="C314" s="127" t="n"/>
      <c r="D314" s="127" t="n"/>
      <c r="E314" s="124">
        <f>IF($C314=0,0,$C314-$D314)</f>
        <v/>
      </c>
      <c r="F314" s="128" t="n"/>
      <c r="G314" s="129" t="n"/>
      <c r="H314" s="131" t="n"/>
      <c r="I314" s="124">
        <f>IF($E314=0,0,$E314*$H314)</f>
        <v/>
      </c>
      <c r="J314" s="124">
        <f>IF($I314=0,0,$I314-$E314)</f>
        <v/>
      </c>
      <c r="K314" s="124">
        <f>IF($J314=0,0,$J314*YenidegerFonOran)</f>
        <v/>
      </c>
      <c r="L314" s="124">
        <f>IF($G314=0,0,$J314/$G314)</f>
        <v/>
      </c>
      <c r="M314" s="124">
        <f>IF($L314=0,0,$L314*YenidegerKurumlarVergiOran)</f>
        <v/>
      </c>
      <c r="N314" s="124">
        <f>IFERROR(IF(YenidegerIskontoOrani=0,$M314*$G314,$M314*(1-1/(1+YenidegerIskontoOrani)^$G314)/YenidegerIskontoOrani),0)</f>
        <v/>
      </c>
      <c r="O314" s="124">
        <f>$N314-$K314</f>
        <v/>
      </c>
      <c r="P314" s="124">
        <f>IF($J314&lt;=0,"DEĞERLENDİR",IF($O314&gt;0,"YENİDEN DEĞERLE","DEĞERLENDİR"))</f>
        <v/>
      </c>
      <c r="Q314" s="124">
        <f>IF($B314="","",CONCATENATE("Kıymet: ",$B314," | Değer Artışı: ",TEXT($J314,"#,##0")))</f>
        <v/>
      </c>
    </row>
    <row r="315" ht="15.75" customHeight="1" s="81">
      <c r="A315" s="129" t="n"/>
      <c r="B315" s="130" t="n"/>
      <c r="C315" s="127" t="n"/>
      <c r="D315" s="127" t="n"/>
      <c r="E315" s="124">
        <f>IF($C315=0,0,$C315-$D315)</f>
        <v/>
      </c>
      <c r="F315" s="128" t="n"/>
      <c r="G315" s="129" t="n"/>
      <c r="H315" s="131" t="n"/>
      <c r="I315" s="124">
        <f>IF($E315=0,0,$E315*$H315)</f>
        <v/>
      </c>
      <c r="J315" s="124">
        <f>IF($I315=0,0,$I315-$E315)</f>
        <v/>
      </c>
      <c r="K315" s="124">
        <f>IF($J315=0,0,$J315*YenidegerFonOran)</f>
        <v/>
      </c>
      <c r="L315" s="124">
        <f>IF($G315=0,0,$J315/$G315)</f>
        <v/>
      </c>
      <c r="M315" s="124">
        <f>IF($L315=0,0,$L315*YenidegerKurumlarVergiOran)</f>
        <v/>
      </c>
      <c r="N315" s="124">
        <f>IFERROR(IF(YenidegerIskontoOrani=0,$M315*$G315,$M315*(1-1/(1+YenidegerIskontoOrani)^$G315)/YenidegerIskontoOrani),0)</f>
        <v/>
      </c>
      <c r="O315" s="124">
        <f>$N315-$K315</f>
        <v/>
      </c>
      <c r="P315" s="124">
        <f>IF($J315&lt;=0,"DEĞERLENDİR",IF($O315&gt;0,"YENİDEN DEĞERLE","DEĞERLENDİR"))</f>
        <v/>
      </c>
      <c r="Q315" s="124">
        <f>IF($B315="","",CONCATENATE("Kıymet: ",$B315," | Değer Artışı: ",TEXT($J315,"#,##0")))</f>
        <v/>
      </c>
    </row>
    <row r="316" ht="15.75" customHeight="1" s="81">
      <c r="A316" s="129" t="n"/>
      <c r="B316" s="130" t="n"/>
      <c r="C316" s="127" t="n"/>
      <c r="D316" s="127" t="n"/>
      <c r="E316" s="124">
        <f>IF($C316=0,0,$C316-$D316)</f>
        <v/>
      </c>
      <c r="F316" s="128" t="n"/>
      <c r="G316" s="129" t="n"/>
      <c r="H316" s="131" t="n"/>
      <c r="I316" s="124">
        <f>IF($E316=0,0,$E316*$H316)</f>
        <v/>
      </c>
      <c r="J316" s="124">
        <f>IF($I316=0,0,$I316-$E316)</f>
        <v/>
      </c>
      <c r="K316" s="124">
        <f>IF($J316=0,0,$J316*YenidegerFonOran)</f>
        <v/>
      </c>
      <c r="L316" s="124">
        <f>IF($G316=0,0,$J316/$G316)</f>
        <v/>
      </c>
      <c r="M316" s="124">
        <f>IF($L316=0,0,$L316*YenidegerKurumlarVergiOran)</f>
        <v/>
      </c>
      <c r="N316" s="124">
        <f>IFERROR(IF(YenidegerIskontoOrani=0,$M316*$G316,$M316*(1-1/(1+YenidegerIskontoOrani)^$G316)/YenidegerIskontoOrani),0)</f>
        <v/>
      </c>
      <c r="O316" s="124">
        <f>$N316-$K316</f>
        <v/>
      </c>
      <c r="P316" s="124">
        <f>IF($J316&lt;=0,"DEĞERLENDİR",IF($O316&gt;0,"YENİDEN DEĞERLE","DEĞERLENDİR"))</f>
        <v/>
      </c>
      <c r="Q316" s="124">
        <f>IF($B316="","",CONCATENATE("Kıymet: ",$B316," | Değer Artışı: ",TEXT($J316,"#,##0")))</f>
        <v/>
      </c>
    </row>
    <row r="317" ht="15.75" customHeight="1" s="81">
      <c r="A317" s="129" t="n"/>
      <c r="B317" s="130" t="n"/>
      <c r="C317" s="127" t="n"/>
      <c r="D317" s="127" t="n"/>
      <c r="E317" s="124">
        <f>IF($C317=0,0,$C317-$D317)</f>
        <v/>
      </c>
      <c r="F317" s="128" t="n"/>
      <c r="G317" s="129" t="n"/>
      <c r="H317" s="131" t="n"/>
      <c r="I317" s="124">
        <f>IF($E317=0,0,$E317*$H317)</f>
        <v/>
      </c>
      <c r="J317" s="124">
        <f>IF($I317=0,0,$I317-$E317)</f>
        <v/>
      </c>
      <c r="K317" s="124">
        <f>IF($J317=0,0,$J317*YenidegerFonOran)</f>
        <v/>
      </c>
      <c r="L317" s="124">
        <f>IF($G317=0,0,$J317/$G317)</f>
        <v/>
      </c>
      <c r="M317" s="124">
        <f>IF($L317=0,0,$L317*YenidegerKurumlarVergiOran)</f>
        <v/>
      </c>
      <c r="N317" s="124">
        <f>IFERROR(IF(YenidegerIskontoOrani=0,$M317*$G317,$M317*(1-1/(1+YenidegerIskontoOrani)^$G317)/YenidegerIskontoOrani),0)</f>
        <v/>
      </c>
      <c r="O317" s="124">
        <f>$N317-$K317</f>
        <v/>
      </c>
      <c r="P317" s="124">
        <f>IF($J317&lt;=0,"DEĞERLENDİR",IF($O317&gt;0,"YENİDEN DEĞERLE","DEĞERLENDİR"))</f>
        <v/>
      </c>
      <c r="Q317" s="124">
        <f>IF($B317="","",CONCATENATE("Kıymet: ",$B317," | Değer Artışı: ",TEXT($J317,"#,##0")))</f>
        <v/>
      </c>
    </row>
    <row r="318" ht="15.75" customHeight="1" s="81">
      <c r="A318" s="129" t="n"/>
      <c r="B318" s="130" t="n"/>
      <c r="C318" s="127" t="n"/>
      <c r="D318" s="127" t="n"/>
      <c r="E318" s="124">
        <f>IF($C318=0,0,$C318-$D318)</f>
        <v/>
      </c>
      <c r="F318" s="128" t="n"/>
      <c r="G318" s="129" t="n"/>
      <c r="H318" s="131" t="n"/>
      <c r="I318" s="124">
        <f>IF($E318=0,0,$E318*$H318)</f>
        <v/>
      </c>
      <c r="J318" s="124">
        <f>IF($I318=0,0,$I318-$E318)</f>
        <v/>
      </c>
      <c r="K318" s="124">
        <f>IF($J318=0,0,$J318*YenidegerFonOran)</f>
        <v/>
      </c>
      <c r="L318" s="124">
        <f>IF($G318=0,0,$J318/$G318)</f>
        <v/>
      </c>
      <c r="M318" s="124">
        <f>IF($L318=0,0,$L318*YenidegerKurumlarVergiOran)</f>
        <v/>
      </c>
      <c r="N318" s="124">
        <f>IFERROR(IF(YenidegerIskontoOrani=0,$M318*$G318,$M318*(1-1/(1+YenidegerIskontoOrani)^$G318)/YenidegerIskontoOrani),0)</f>
        <v/>
      </c>
      <c r="O318" s="124">
        <f>$N318-$K318</f>
        <v/>
      </c>
      <c r="P318" s="124">
        <f>IF($J318&lt;=0,"DEĞERLENDİR",IF($O318&gt;0,"YENİDEN DEĞERLE","DEĞERLENDİR"))</f>
        <v/>
      </c>
      <c r="Q318" s="124">
        <f>IF($B318="","",CONCATENATE("Kıymet: ",$B318," | Değer Artışı: ",TEXT($J318,"#,##0")))</f>
        <v/>
      </c>
    </row>
    <row r="319" ht="15.75" customHeight="1" s="81">
      <c r="A319" s="129" t="n"/>
      <c r="B319" s="130" t="n"/>
      <c r="C319" s="127" t="n"/>
      <c r="D319" s="127" t="n"/>
      <c r="E319" s="124">
        <f>IF($C319=0,0,$C319-$D319)</f>
        <v/>
      </c>
      <c r="F319" s="128" t="n"/>
      <c r="G319" s="129" t="n"/>
      <c r="H319" s="131" t="n"/>
      <c r="I319" s="124">
        <f>IF($E319=0,0,$E319*$H319)</f>
        <v/>
      </c>
      <c r="J319" s="124">
        <f>IF($I319=0,0,$I319-$E319)</f>
        <v/>
      </c>
      <c r="K319" s="124">
        <f>IF($J319=0,0,$J319*YenidegerFonOran)</f>
        <v/>
      </c>
      <c r="L319" s="124">
        <f>IF($G319=0,0,$J319/$G319)</f>
        <v/>
      </c>
      <c r="M319" s="124">
        <f>IF($L319=0,0,$L319*YenidegerKurumlarVergiOran)</f>
        <v/>
      </c>
      <c r="N319" s="124">
        <f>IFERROR(IF(YenidegerIskontoOrani=0,$M319*$G319,$M319*(1-1/(1+YenidegerIskontoOrani)^$G319)/YenidegerIskontoOrani),0)</f>
        <v/>
      </c>
      <c r="O319" s="124">
        <f>$N319-$K319</f>
        <v/>
      </c>
      <c r="P319" s="124">
        <f>IF($J319&lt;=0,"DEĞERLENDİR",IF($O319&gt;0,"YENİDEN DEĞERLE","DEĞERLENDİR"))</f>
        <v/>
      </c>
      <c r="Q319" s="124">
        <f>IF($B319="","",CONCATENATE("Kıymet: ",$B319," | Değer Artışı: ",TEXT($J319,"#,##0")))</f>
        <v/>
      </c>
    </row>
    <row r="320" ht="15.75" customHeight="1" s="81">
      <c r="A320" s="129" t="n"/>
      <c r="B320" s="130" t="n"/>
      <c r="C320" s="127" t="n"/>
      <c r="D320" s="127" t="n"/>
      <c r="E320" s="124">
        <f>IF($C320=0,0,$C320-$D320)</f>
        <v/>
      </c>
      <c r="F320" s="128" t="n"/>
      <c r="G320" s="129" t="n"/>
      <c r="H320" s="131" t="n"/>
      <c r="I320" s="124">
        <f>IF($E320=0,0,$E320*$H320)</f>
        <v/>
      </c>
      <c r="J320" s="124">
        <f>IF($I320=0,0,$I320-$E320)</f>
        <v/>
      </c>
      <c r="K320" s="124">
        <f>IF($J320=0,0,$J320*YenidegerFonOran)</f>
        <v/>
      </c>
      <c r="L320" s="124">
        <f>IF($G320=0,0,$J320/$G320)</f>
        <v/>
      </c>
      <c r="M320" s="124">
        <f>IF($L320=0,0,$L320*YenidegerKurumlarVergiOran)</f>
        <v/>
      </c>
      <c r="N320" s="124">
        <f>IFERROR(IF(YenidegerIskontoOrani=0,$M320*$G320,$M320*(1-1/(1+YenidegerIskontoOrani)^$G320)/YenidegerIskontoOrani),0)</f>
        <v/>
      </c>
      <c r="O320" s="124">
        <f>$N320-$K320</f>
        <v/>
      </c>
      <c r="P320" s="124">
        <f>IF($J320&lt;=0,"DEĞERLENDİR",IF($O320&gt;0,"YENİDEN DEĞERLE","DEĞERLENDİR"))</f>
        <v/>
      </c>
      <c r="Q320" s="124">
        <f>IF($B320="","",CONCATENATE("Kıymet: ",$B320," | Değer Artışı: ",TEXT($J320,"#,##0")))</f>
        <v/>
      </c>
    </row>
    <row r="321" ht="15.75" customHeight="1" s="81">
      <c r="A321" s="129" t="n"/>
      <c r="B321" s="130" t="n"/>
      <c r="C321" s="127" t="n"/>
      <c r="D321" s="127" t="n"/>
      <c r="E321" s="124">
        <f>IF($C321=0,0,$C321-$D321)</f>
        <v/>
      </c>
      <c r="F321" s="128" t="n"/>
      <c r="G321" s="129" t="n"/>
      <c r="H321" s="131" t="n"/>
      <c r="I321" s="124">
        <f>IF($E321=0,0,$E321*$H321)</f>
        <v/>
      </c>
      <c r="J321" s="124">
        <f>IF($I321=0,0,$I321-$E321)</f>
        <v/>
      </c>
      <c r="K321" s="124">
        <f>IF($J321=0,0,$J321*YenidegerFonOran)</f>
        <v/>
      </c>
      <c r="L321" s="124">
        <f>IF($G321=0,0,$J321/$G321)</f>
        <v/>
      </c>
      <c r="M321" s="124">
        <f>IF($L321=0,0,$L321*YenidegerKurumlarVergiOran)</f>
        <v/>
      </c>
      <c r="N321" s="124">
        <f>IFERROR(IF(YenidegerIskontoOrani=0,$M321*$G321,$M321*(1-1/(1+YenidegerIskontoOrani)^$G321)/YenidegerIskontoOrani),0)</f>
        <v/>
      </c>
      <c r="O321" s="124">
        <f>$N321-$K321</f>
        <v/>
      </c>
      <c r="P321" s="124">
        <f>IF($J321&lt;=0,"DEĞERLENDİR",IF($O321&gt;0,"YENİDEN DEĞERLE","DEĞERLENDİR"))</f>
        <v/>
      </c>
      <c r="Q321" s="124">
        <f>IF($B321="","",CONCATENATE("Kıymet: ",$B321," | Değer Artışı: ",TEXT($J321,"#,##0")))</f>
        <v/>
      </c>
    </row>
    <row r="322" ht="15.75" customHeight="1" s="81">
      <c r="A322" s="129" t="n"/>
      <c r="B322" s="130" t="n"/>
      <c r="C322" s="127" t="n"/>
      <c r="D322" s="127" t="n"/>
      <c r="E322" s="124">
        <f>IF($C322=0,0,$C322-$D322)</f>
        <v/>
      </c>
      <c r="F322" s="128" t="n"/>
      <c r="G322" s="129" t="n"/>
      <c r="H322" s="131" t="n"/>
      <c r="I322" s="124">
        <f>IF($E322=0,0,$E322*$H322)</f>
        <v/>
      </c>
      <c r="J322" s="124">
        <f>IF($I322=0,0,$I322-$E322)</f>
        <v/>
      </c>
      <c r="K322" s="124">
        <f>IF($J322=0,0,$J322*YenidegerFonOran)</f>
        <v/>
      </c>
      <c r="L322" s="124">
        <f>IF($G322=0,0,$J322/$G322)</f>
        <v/>
      </c>
      <c r="M322" s="124">
        <f>IF($L322=0,0,$L322*YenidegerKurumlarVergiOran)</f>
        <v/>
      </c>
      <c r="N322" s="124">
        <f>IFERROR(IF(YenidegerIskontoOrani=0,$M322*$G322,$M322*(1-1/(1+YenidegerIskontoOrani)^$G322)/YenidegerIskontoOrani),0)</f>
        <v/>
      </c>
      <c r="O322" s="124">
        <f>$N322-$K322</f>
        <v/>
      </c>
      <c r="P322" s="124">
        <f>IF($J322&lt;=0,"DEĞERLENDİR",IF($O322&gt;0,"YENİDEN DEĞERLE","DEĞERLENDİR"))</f>
        <v/>
      </c>
      <c r="Q322" s="124">
        <f>IF($B322="","",CONCATENATE("Kıymet: ",$B322," | Değer Artışı: ",TEXT($J322,"#,##0")))</f>
        <v/>
      </c>
    </row>
    <row r="323" ht="15.75" customHeight="1" s="81">
      <c r="A323" s="129" t="n"/>
      <c r="B323" s="130" t="n"/>
      <c r="C323" s="127" t="n"/>
      <c r="D323" s="127" t="n"/>
      <c r="E323" s="124">
        <f>IF($C323=0,0,$C323-$D323)</f>
        <v/>
      </c>
      <c r="F323" s="128" t="n"/>
      <c r="G323" s="129" t="n"/>
      <c r="H323" s="131" t="n"/>
      <c r="I323" s="124">
        <f>IF($E323=0,0,$E323*$H323)</f>
        <v/>
      </c>
      <c r="J323" s="124">
        <f>IF($I323=0,0,$I323-$E323)</f>
        <v/>
      </c>
      <c r="K323" s="124">
        <f>IF($J323=0,0,$J323*YenidegerFonOran)</f>
        <v/>
      </c>
      <c r="L323" s="124">
        <f>IF($G323=0,0,$J323/$G323)</f>
        <v/>
      </c>
      <c r="M323" s="124">
        <f>IF($L323=0,0,$L323*YenidegerKurumlarVergiOran)</f>
        <v/>
      </c>
      <c r="N323" s="124">
        <f>IFERROR(IF(YenidegerIskontoOrani=0,$M323*$G323,$M323*(1-1/(1+YenidegerIskontoOrani)^$G323)/YenidegerIskontoOrani),0)</f>
        <v/>
      </c>
      <c r="O323" s="124">
        <f>$N323-$K323</f>
        <v/>
      </c>
      <c r="P323" s="124">
        <f>IF($J323&lt;=0,"DEĞERLENDİR",IF($O323&gt;0,"YENİDEN DEĞERLE","DEĞERLENDİR"))</f>
        <v/>
      </c>
      <c r="Q323" s="124">
        <f>IF($B323="","",CONCATENATE("Kıymet: ",$B323," | Değer Artışı: ",TEXT($J323,"#,##0")))</f>
        <v/>
      </c>
    </row>
    <row r="324" ht="15.75" customHeight="1" s="81">
      <c r="A324" s="129" t="n"/>
      <c r="B324" s="130" t="n"/>
      <c r="C324" s="127" t="n"/>
      <c r="D324" s="127" t="n"/>
      <c r="E324" s="124">
        <f>IF($C324=0,0,$C324-$D324)</f>
        <v/>
      </c>
      <c r="F324" s="128" t="n"/>
      <c r="G324" s="129" t="n"/>
      <c r="H324" s="131" t="n"/>
      <c r="I324" s="124">
        <f>IF($E324=0,0,$E324*$H324)</f>
        <v/>
      </c>
      <c r="J324" s="124">
        <f>IF($I324=0,0,$I324-$E324)</f>
        <v/>
      </c>
      <c r="K324" s="124">
        <f>IF($J324=0,0,$J324*YenidegerFonOran)</f>
        <v/>
      </c>
      <c r="L324" s="124">
        <f>IF($G324=0,0,$J324/$G324)</f>
        <v/>
      </c>
      <c r="M324" s="124">
        <f>IF($L324=0,0,$L324*YenidegerKurumlarVergiOran)</f>
        <v/>
      </c>
      <c r="N324" s="124">
        <f>IFERROR(IF(YenidegerIskontoOrani=0,$M324*$G324,$M324*(1-1/(1+YenidegerIskontoOrani)^$G324)/YenidegerIskontoOrani),0)</f>
        <v/>
      </c>
      <c r="O324" s="124">
        <f>$N324-$K324</f>
        <v/>
      </c>
      <c r="P324" s="124">
        <f>IF($J324&lt;=0,"DEĞERLENDİR",IF($O324&gt;0,"YENİDEN DEĞERLE","DEĞERLENDİR"))</f>
        <v/>
      </c>
      <c r="Q324" s="124">
        <f>IF($B324="","",CONCATENATE("Kıymet: ",$B324," | Değer Artışı: ",TEXT($J324,"#,##0")))</f>
        <v/>
      </c>
    </row>
    <row r="325" ht="15.75" customHeight="1" s="81">
      <c r="A325" s="129" t="n"/>
      <c r="B325" s="130" t="n"/>
      <c r="C325" s="127" t="n"/>
      <c r="D325" s="127" t="n"/>
      <c r="E325" s="124">
        <f>IF($C325=0,0,$C325-$D325)</f>
        <v/>
      </c>
      <c r="F325" s="128" t="n"/>
      <c r="G325" s="129" t="n"/>
      <c r="H325" s="131" t="n"/>
      <c r="I325" s="124">
        <f>IF($E325=0,0,$E325*$H325)</f>
        <v/>
      </c>
      <c r="J325" s="124">
        <f>IF($I325=0,0,$I325-$E325)</f>
        <v/>
      </c>
      <c r="K325" s="124">
        <f>IF($J325=0,0,$J325*YenidegerFonOran)</f>
        <v/>
      </c>
      <c r="L325" s="124">
        <f>IF($G325=0,0,$J325/$G325)</f>
        <v/>
      </c>
      <c r="M325" s="124">
        <f>IF($L325=0,0,$L325*YenidegerKurumlarVergiOran)</f>
        <v/>
      </c>
      <c r="N325" s="124">
        <f>IFERROR(IF(YenidegerIskontoOrani=0,$M325*$G325,$M325*(1-1/(1+YenidegerIskontoOrani)^$G325)/YenidegerIskontoOrani),0)</f>
        <v/>
      </c>
      <c r="O325" s="124">
        <f>$N325-$K325</f>
        <v/>
      </c>
      <c r="P325" s="124">
        <f>IF($J325&lt;=0,"DEĞERLENDİR",IF($O325&gt;0,"YENİDEN DEĞERLE","DEĞERLENDİR"))</f>
        <v/>
      </c>
      <c r="Q325" s="124">
        <f>IF($B325="","",CONCATENATE("Kıymet: ",$B325," | Değer Artışı: ",TEXT($J325,"#,##0")))</f>
        <v/>
      </c>
    </row>
    <row r="326" ht="15.75" customHeight="1" s="81">
      <c r="A326" s="129" t="n"/>
      <c r="B326" s="130" t="n"/>
      <c r="C326" s="127" t="n"/>
      <c r="D326" s="127" t="n"/>
      <c r="E326" s="124">
        <f>IF($C326=0,0,$C326-$D326)</f>
        <v/>
      </c>
      <c r="F326" s="128" t="n"/>
      <c r="G326" s="129" t="n"/>
      <c r="H326" s="131" t="n"/>
      <c r="I326" s="124">
        <f>IF($E326=0,0,$E326*$H326)</f>
        <v/>
      </c>
      <c r="J326" s="124">
        <f>IF($I326=0,0,$I326-$E326)</f>
        <v/>
      </c>
      <c r="K326" s="124">
        <f>IF($J326=0,0,$J326*YenidegerFonOran)</f>
        <v/>
      </c>
      <c r="L326" s="124">
        <f>IF($G326=0,0,$J326/$G326)</f>
        <v/>
      </c>
      <c r="M326" s="124">
        <f>IF($L326=0,0,$L326*YenidegerKurumlarVergiOran)</f>
        <v/>
      </c>
      <c r="N326" s="124">
        <f>IFERROR(IF(YenidegerIskontoOrani=0,$M326*$G326,$M326*(1-1/(1+YenidegerIskontoOrani)^$G326)/YenidegerIskontoOrani),0)</f>
        <v/>
      </c>
      <c r="O326" s="124">
        <f>$N326-$K326</f>
        <v/>
      </c>
      <c r="P326" s="124">
        <f>IF($J326&lt;=0,"DEĞERLENDİR",IF($O326&gt;0,"YENİDEN DEĞERLE","DEĞERLENDİR"))</f>
        <v/>
      </c>
      <c r="Q326" s="124">
        <f>IF($B326="","",CONCATENATE("Kıymet: ",$B326," | Değer Artışı: ",TEXT($J326,"#,##0")))</f>
        <v/>
      </c>
    </row>
    <row r="327" ht="15.75" customHeight="1" s="81">
      <c r="A327" s="129" t="n"/>
      <c r="B327" s="130" t="n"/>
      <c r="C327" s="127" t="n"/>
      <c r="D327" s="127" t="n"/>
      <c r="E327" s="124">
        <f>IF($C327=0,0,$C327-$D327)</f>
        <v/>
      </c>
      <c r="F327" s="128" t="n"/>
      <c r="G327" s="129" t="n"/>
      <c r="H327" s="131" t="n"/>
      <c r="I327" s="124">
        <f>IF($E327=0,0,$E327*$H327)</f>
        <v/>
      </c>
      <c r="J327" s="124">
        <f>IF($I327=0,0,$I327-$E327)</f>
        <v/>
      </c>
      <c r="K327" s="124">
        <f>IF($J327=0,0,$J327*YenidegerFonOran)</f>
        <v/>
      </c>
      <c r="L327" s="124">
        <f>IF($G327=0,0,$J327/$G327)</f>
        <v/>
      </c>
      <c r="M327" s="124">
        <f>IF($L327=0,0,$L327*YenidegerKurumlarVergiOran)</f>
        <v/>
      </c>
      <c r="N327" s="124">
        <f>IFERROR(IF(YenidegerIskontoOrani=0,$M327*$G327,$M327*(1-1/(1+YenidegerIskontoOrani)^$G327)/YenidegerIskontoOrani),0)</f>
        <v/>
      </c>
      <c r="O327" s="124">
        <f>$N327-$K327</f>
        <v/>
      </c>
      <c r="P327" s="124">
        <f>IF($J327&lt;=0,"DEĞERLENDİR",IF($O327&gt;0,"YENİDEN DEĞERLE","DEĞERLENDİR"))</f>
        <v/>
      </c>
      <c r="Q327" s="124">
        <f>IF($B327="","",CONCATENATE("Kıymet: ",$B327," | Değer Artışı: ",TEXT($J327,"#,##0")))</f>
        <v/>
      </c>
    </row>
    <row r="328" ht="15.75" customHeight="1" s="81">
      <c r="A328" s="129" t="n"/>
      <c r="B328" s="130" t="n"/>
      <c r="C328" s="127" t="n"/>
      <c r="D328" s="127" t="n"/>
      <c r="E328" s="124">
        <f>IF($C328=0,0,$C328-$D328)</f>
        <v/>
      </c>
      <c r="F328" s="128" t="n"/>
      <c r="G328" s="129" t="n"/>
      <c r="H328" s="131" t="n"/>
      <c r="I328" s="124">
        <f>IF($E328=0,0,$E328*$H328)</f>
        <v/>
      </c>
      <c r="J328" s="124">
        <f>IF($I328=0,0,$I328-$E328)</f>
        <v/>
      </c>
      <c r="K328" s="124">
        <f>IF($J328=0,0,$J328*YenidegerFonOran)</f>
        <v/>
      </c>
      <c r="L328" s="124">
        <f>IF($G328=0,0,$J328/$G328)</f>
        <v/>
      </c>
      <c r="M328" s="124">
        <f>IF($L328=0,0,$L328*YenidegerKurumlarVergiOran)</f>
        <v/>
      </c>
      <c r="N328" s="124">
        <f>IFERROR(IF(YenidegerIskontoOrani=0,$M328*$G328,$M328*(1-1/(1+YenidegerIskontoOrani)^$G328)/YenidegerIskontoOrani),0)</f>
        <v/>
      </c>
      <c r="O328" s="124">
        <f>$N328-$K328</f>
        <v/>
      </c>
      <c r="P328" s="124">
        <f>IF($J328&lt;=0,"DEĞERLENDİR",IF($O328&gt;0,"YENİDEN DEĞERLE","DEĞERLENDİR"))</f>
        <v/>
      </c>
      <c r="Q328" s="124">
        <f>IF($B328="","",CONCATENATE("Kıymet: ",$B328," | Değer Artışı: ",TEXT($J328,"#,##0")))</f>
        <v/>
      </c>
    </row>
    <row r="329" ht="15.75" customHeight="1" s="81">
      <c r="A329" s="129" t="n"/>
      <c r="B329" s="130" t="n"/>
      <c r="C329" s="127" t="n"/>
      <c r="D329" s="127" t="n"/>
      <c r="E329" s="124">
        <f>IF($C329=0,0,$C329-$D329)</f>
        <v/>
      </c>
      <c r="F329" s="128" t="n"/>
      <c r="G329" s="129" t="n"/>
      <c r="H329" s="131" t="n"/>
      <c r="I329" s="124">
        <f>IF($E329=0,0,$E329*$H329)</f>
        <v/>
      </c>
      <c r="J329" s="124">
        <f>IF($I329=0,0,$I329-$E329)</f>
        <v/>
      </c>
      <c r="K329" s="124">
        <f>IF($J329=0,0,$J329*YenidegerFonOran)</f>
        <v/>
      </c>
      <c r="L329" s="124">
        <f>IF($G329=0,0,$J329/$G329)</f>
        <v/>
      </c>
      <c r="M329" s="124">
        <f>IF($L329=0,0,$L329*YenidegerKurumlarVergiOran)</f>
        <v/>
      </c>
      <c r="N329" s="124">
        <f>IFERROR(IF(YenidegerIskontoOrani=0,$M329*$G329,$M329*(1-1/(1+YenidegerIskontoOrani)^$G329)/YenidegerIskontoOrani),0)</f>
        <v/>
      </c>
      <c r="O329" s="124">
        <f>$N329-$K329</f>
        <v/>
      </c>
      <c r="P329" s="124">
        <f>IF($J329&lt;=0,"DEĞERLENDİR",IF($O329&gt;0,"YENİDEN DEĞERLE","DEĞERLENDİR"))</f>
        <v/>
      </c>
      <c r="Q329" s="124">
        <f>IF($B329="","",CONCATENATE("Kıymet: ",$B329," | Değer Artışı: ",TEXT($J329,"#,##0")))</f>
        <v/>
      </c>
    </row>
    <row r="330" ht="15.75" customHeight="1" s="81">
      <c r="A330" s="129" t="n"/>
      <c r="B330" s="130" t="n"/>
      <c r="C330" s="127" t="n"/>
      <c r="D330" s="127" t="n"/>
      <c r="E330" s="124">
        <f>IF($C330=0,0,$C330-$D330)</f>
        <v/>
      </c>
      <c r="F330" s="128" t="n"/>
      <c r="G330" s="129" t="n"/>
      <c r="H330" s="131" t="n"/>
      <c r="I330" s="124">
        <f>IF($E330=0,0,$E330*$H330)</f>
        <v/>
      </c>
      <c r="J330" s="124">
        <f>IF($I330=0,0,$I330-$E330)</f>
        <v/>
      </c>
      <c r="K330" s="124">
        <f>IF($J330=0,0,$J330*YenidegerFonOran)</f>
        <v/>
      </c>
      <c r="L330" s="124">
        <f>IF($G330=0,0,$J330/$G330)</f>
        <v/>
      </c>
      <c r="M330" s="124">
        <f>IF($L330=0,0,$L330*YenidegerKurumlarVergiOran)</f>
        <v/>
      </c>
      <c r="N330" s="124">
        <f>IFERROR(IF(YenidegerIskontoOrani=0,$M330*$G330,$M330*(1-1/(1+YenidegerIskontoOrani)^$G330)/YenidegerIskontoOrani),0)</f>
        <v/>
      </c>
      <c r="O330" s="124">
        <f>$N330-$K330</f>
        <v/>
      </c>
      <c r="P330" s="124">
        <f>IF($J330&lt;=0,"DEĞERLENDİR",IF($O330&gt;0,"YENİDEN DEĞERLE","DEĞERLENDİR"))</f>
        <v/>
      </c>
      <c r="Q330" s="124">
        <f>IF($B330="","",CONCATENATE("Kıymet: ",$B330," | Değer Artışı: ",TEXT($J330,"#,##0")))</f>
        <v/>
      </c>
    </row>
    <row r="331" ht="15.75" customHeight="1" s="81">
      <c r="A331" s="129" t="n"/>
      <c r="B331" s="130" t="n"/>
      <c r="C331" s="127" t="n"/>
      <c r="D331" s="127" t="n"/>
      <c r="E331" s="124">
        <f>IF($C331=0,0,$C331-$D331)</f>
        <v/>
      </c>
      <c r="F331" s="128" t="n"/>
      <c r="G331" s="129" t="n"/>
      <c r="H331" s="131" t="n"/>
      <c r="I331" s="124">
        <f>IF($E331=0,0,$E331*$H331)</f>
        <v/>
      </c>
      <c r="J331" s="124">
        <f>IF($I331=0,0,$I331-$E331)</f>
        <v/>
      </c>
      <c r="K331" s="124">
        <f>IF($J331=0,0,$J331*YenidegerFonOran)</f>
        <v/>
      </c>
      <c r="L331" s="124">
        <f>IF($G331=0,0,$J331/$G331)</f>
        <v/>
      </c>
      <c r="M331" s="124">
        <f>IF($L331=0,0,$L331*YenidegerKurumlarVergiOran)</f>
        <v/>
      </c>
      <c r="N331" s="124">
        <f>IFERROR(IF(YenidegerIskontoOrani=0,$M331*$G331,$M331*(1-1/(1+YenidegerIskontoOrani)^$G331)/YenidegerIskontoOrani),0)</f>
        <v/>
      </c>
      <c r="O331" s="124">
        <f>$N331-$K331</f>
        <v/>
      </c>
      <c r="P331" s="124">
        <f>IF($J331&lt;=0,"DEĞERLENDİR",IF($O331&gt;0,"YENİDEN DEĞERLE","DEĞERLENDİR"))</f>
        <v/>
      </c>
      <c r="Q331" s="124">
        <f>IF($B331="","",CONCATENATE("Kıymet: ",$B331," | Değer Artışı: ",TEXT($J331,"#,##0")))</f>
        <v/>
      </c>
    </row>
    <row r="332" ht="15.75" customHeight="1" s="81">
      <c r="A332" s="129" t="n"/>
      <c r="B332" s="130" t="n"/>
      <c r="C332" s="127" t="n"/>
      <c r="D332" s="127" t="n"/>
      <c r="E332" s="124">
        <f>IF($C332=0,0,$C332-$D332)</f>
        <v/>
      </c>
      <c r="F332" s="128" t="n"/>
      <c r="G332" s="129" t="n"/>
      <c r="H332" s="131" t="n"/>
      <c r="I332" s="124">
        <f>IF($E332=0,0,$E332*$H332)</f>
        <v/>
      </c>
      <c r="J332" s="124">
        <f>IF($I332=0,0,$I332-$E332)</f>
        <v/>
      </c>
      <c r="K332" s="124">
        <f>IF($J332=0,0,$J332*YenidegerFonOran)</f>
        <v/>
      </c>
      <c r="L332" s="124">
        <f>IF($G332=0,0,$J332/$G332)</f>
        <v/>
      </c>
      <c r="M332" s="124">
        <f>IF($L332=0,0,$L332*YenidegerKurumlarVergiOran)</f>
        <v/>
      </c>
      <c r="N332" s="124">
        <f>IFERROR(IF(YenidegerIskontoOrani=0,$M332*$G332,$M332*(1-1/(1+YenidegerIskontoOrani)^$G332)/YenidegerIskontoOrani),0)</f>
        <v/>
      </c>
      <c r="O332" s="124">
        <f>$N332-$K332</f>
        <v/>
      </c>
      <c r="P332" s="124">
        <f>IF($J332&lt;=0,"DEĞERLENDİR",IF($O332&gt;0,"YENİDEN DEĞERLE","DEĞERLENDİR"))</f>
        <v/>
      </c>
      <c r="Q332" s="124">
        <f>IF($B332="","",CONCATENATE("Kıymet: ",$B332," | Değer Artışı: ",TEXT($J332,"#,##0")))</f>
        <v/>
      </c>
    </row>
    <row r="333" ht="15.75" customHeight="1" s="81">
      <c r="A333" s="129" t="n"/>
      <c r="B333" s="130" t="n"/>
      <c r="C333" s="127" t="n"/>
      <c r="D333" s="127" t="n"/>
      <c r="E333" s="124">
        <f>IF($C333=0,0,$C333-$D333)</f>
        <v/>
      </c>
      <c r="F333" s="128" t="n"/>
      <c r="G333" s="129" t="n"/>
      <c r="H333" s="131" t="n"/>
      <c r="I333" s="124">
        <f>IF($E333=0,0,$E333*$H333)</f>
        <v/>
      </c>
      <c r="J333" s="124">
        <f>IF($I333=0,0,$I333-$E333)</f>
        <v/>
      </c>
      <c r="K333" s="124">
        <f>IF($J333=0,0,$J333*YenidegerFonOran)</f>
        <v/>
      </c>
      <c r="L333" s="124">
        <f>IF($G333=0,0,$J333/$G333)</f>
        <v/>
      </c>
      <c r="M333" s="124">
        <f>IF($L333=0,0,$L333*YenidegerKurumlarVergiOran)</f>
        <v/>
      </c>
      <c r="N333" s="124">
        <f>IFERROR(IF(YenidegerIskontoOrani=0,$M333*$G333,$M333*(1-1/(1+YenidegerIskontoOrani)^$G333)/YenidegerIskontoOrani),0)</f>
        <v/>
      </c>
      <c r="O333" s="124">
        <f>$N333-$K333</f>
        <v/>
      </c>
      <c r="P333" s="124">
        <f>IF($J333&lt;=0,"DEĞERLENDİR",IF($O333&gt;0,"YENİDEN DEĞERLE","DEĞERLENDİR"))</f>
        <v/>
      </c>
      <c r="Q333" s="124">
        <f>IF($B333="","",CONCATENATE("Kıymet: ",$B333," | Değer Artışı: ",TEXT($J333,"#,##0")))</f>
        <v/>
      </c>
    </row>
    <row r="334" ht="15.75" customHeight="1" s="81">
      <c r="A334" s="129" t="n"/>
      <c r="B334" s="130" t="n"/>
      <c r="C334" s="127" t="n"/>
      <c r="D334" s="127" t="n"/>
      <c r="E334" s="124">
        <f>IF($C334=0,0,$C334-$D334)</f>
        <v/>
      </c>
      <c r="F334" s="128" t="n"/>
      <c r="G334" s="129" t="n"/>
      <c r="H334" s="131" t="n"/>
      <c r="I334" s="124">
        <f>IF($E334=0,0,$E334*$H334)</f>
        <v/>
      </c>
      <c r="J334" s="124">
        <f>IF($I334=0,0,$I334-$E334)</f>
        <v/>
      </c>
      <c r="K334" s="124">
        <f>IF($J334=0,0,$J334*YenidegerFonOran)</f>
        <v/>
      </c>
      <c r="L334" s="124">
        <f>IF($G334=0,0,$J334/$G334)</f>
        <v/>
      </c>
      <c r="M334" s="124">
        <f>IF($L334=0,0,$L334*YenidegerKurumlarVergiOran)</f>
        <v/>
      </c>
      <c r="N334" s="124">
        <f>IFERROR(IF(YenidegerIskontoOrani=0,$M334*$G334,$M334*(1-1/(1+YenidegerIskontoOrani)^$G334)/YenidegerIskontoOrani),0)</f>
        <v/>
      </c>
      <c r="O334" s="124">
        <f>$N334-$K334</f>
        <v/>
      </c>
      <c r="P334" s="124">
        <f>IF($J334&lt;=0,"DEĞERLENDİR",IF($O334&gt;0,"YENİDEN DEĞERLE","DEĞERLENDİR"))</f>
        <v/>
      </c>
      <c r="Q334" s="124">
        <f>IF($B334="","",CONCATENATE("Kıymet: ",$B334," | Değer Artışı: ",TEXT($J334,"#,##0")))</f>
        <v/>
      </c>
    </row>
    <row r="335" ht="15.75" customHeight="1" s="81">
      <c r="A335" s="129" t="n"/>
      <c r="B335" s="130" t="n"/>
      <c r="C335" s="127" t="n"/>
      <c r="D335" s="127" t="n"/>
      <c r="E335" s="124">
        <f>IF($C335=0,0,$C335-$D335)</f>
        <v/>
      </c>
      <c r="F335" s="128" t="n"/>
      <c r="G335" s="129" t="n"/>
      <c r="H335" s="131" t="n"/>
      <c r="I335" s="124">
        <f>IF($E335=0,0,$E335*$H335)</f>
        <v/>
      </c>
      <c r="J335" s="124">
        <f>IF($I335=0,0,$I335-$E335)</f>
        <v/>
      </c>
      <c r="K335" s="124">
        <f>IF($J335=0,0,$J335*YenidegerFonOran)</f>
        <v/>
      </c>
      <c r="L335" s="124">
        <f>IF($G335=0,0,$J335/$G335)</f>
        <v/>
      </c>
      <c r="M335" s="124">
        <f>IF($L335=0,0,$L335*YenidegerKurumlarVergiOran)</f>
        <v/>
      </c>
      <c r="N335" s="124">
        <f>IFERROR(IF(YenidegerIskontoOrani=0,$M335*$G335,$M335*(1-1/(1+YenidegerIskontoOrani)^$G335)/YenidegerIskontoOrani),0)</f>
        <v/>
      </c>
      <c r="O335" s="124">
        <f>$N335-$K335</f>
        <v/>
      </c>
      <c r="P335" s="124">
        <f>IF($J335&lt;=0,"DEĞERLENDİR",IF($O335&gt;0,"YENİDEN DEĞERLE","DEĞERLENDİR"))</f>
        <v/>
      </c>
      <c r="Q335" s="124">
        <f>IF($B335="","",CONCATENATE("Kıymet: ",$B335," | Değer Artışı: ",TEXT($J335,"#,##0")))</f>
        <v/>
      </c>
    </row>
    <row r="336" ht="15.75" customHeight="1" s="81">
      <c r="A336" s="129" t="n"/>
      <c r="B336" s="130" t="n"/>
      <c r="C336" s="127" t="n"/>
      <c r="D336" s="127" t="n"/>
      <c r="E336" s="124">
        <f>IF($C336=0,0,$C336-$D336)</f>
        <v/>
      </c>
      <c r="F336" s="128" t="n"/>
      <c r="G336" s="129" t="n"/>
      <c r="H336" s="131" t="n"/>
      <c r="I336" s="124">
        <f>IF($E336=0,0,$E336*$H336)</f>
        <v/>
      </c>
      <c r="J336" s="124">
        <f>IF($I336=0,0,$I336-$E336)</f>
        <v/>
      </c>
      <c r="K336" s="124">
        <f>IF($J336=0,0,$J336*YenidegerFonOran)</f>
        <v/>
      </c>
      <c r="L336" s="124">
        <f>IF($G336=0,0,$J336/$G336)</f>
        <v/>
      </c>
      <c r="M336" s="124">
        <f>IF($L336=0,0,$L336*YenidegerKurumlarVergiOran)</f>
        <v/>
      </c>
      <c r="N336" s="124">
        <f>IFERROR(IF(YenidegerIskontoOrani=0,$M336*$G336,$M336*(1-1/(1+YenidegerIskontoOrani)^$G336)/YenidegerIskontoOrani),0)</f>
        <v/>
      </c>
      <c r="O336" s="124">
        <f>$N336-$K336</f>
        <v/>
      </c>
      <c r="P336" s="124">
        <f>IF($J336&lt;=0,"DEĞERLENDİR",IF($O336&gt;0,"YENİDEN DEĞERLE","DEĞERLENDİR"))</f>
        <v/>
      </c>
      <c r="Q336" s="124">
        <f>IF($B336="","",CONCATENATE("Kıymet: ",$B336," | Değer Artışı: ",TEXT($J336,"#,##0")))</f>
        <v/>
      </c>
    </row>
    <row r="337" ht="15.75" customHeight="1" s="81">
      <c r="A337" s="129" t="n"/>
      <c r="B337" s="130" t="n"/>
      <c r="C337" s="127" t="n"/>
      <c r="D337" s="127" t="n"/>
      <c r="E337" s="124">
        <f>IF($C337=0,0,$C337-$D337)</f>
        <v/>
      </c>
      <c r="F337" s="128" t="n"/>
      <c r="G337" s="129" t="n"/>
      <c r="H337" s="131" t="n"/>
      <c r="I337" s="124">
        <f>IF($E337=0,0,$E337*$H337)</f>
        <v/>
      </c>
      <c r="J337" s="124">
        <f>IF($I337=0,0,$I337-$E337)</f>
        <v/>
      </c>
      <c r="K337" s="124">
        <f>IF($J337=0,0,$J337*YenidegerFonOran)</f>
        <v/>
      </c>
      <c r="L337" s="124">
        <f>IF($G337=0,0,$J337/$G337)</f>
        <v/>
      </c>
      <c r="M337" s="124">
        <f>IF($L337=0,0,$L337*YenidegerKurumlarVergiOran)</f>
        <v/>
      </c>
      <c r="N337" s="124">
        <f>IFERROR(IF(YenidegerIskontoOrani=0,$M337*$G337,$M337*(1-1/(1+YenidegerIskontoOrani)^$G337)/YenidegerIskontoOrani),0)</f>
        <v/>
      </c>
      <c r="O337" s="124">
        <f>$N337-$K337</f>
        <v/>
      </c>
      <c r="P337" s="124">
        <f>IF($J337&lt;=0,"DEĞERLENDİR",IF($O337&gt;0,"YENİDEN DEĞERLE","DEĞERLENDİR"))</f>
        <v/>
      </c>
      <c r="Q337" s="124">
        <f>IF($B337="","",CONCATENATE("Kıymet: ",$B337," | Değer Artışı: ",TEXT($J337,"#,##0")))</f>
        <v/>
      </c>
    </row>
    <row r="338" ht="15.75" customHeight="1" s="81">
      <c r="A338" s="129" t="n"/>
      <c r="B338" s="130" t="n"/>
      <c r="C338" s="127" t="n"/>
      <c r="D338" s="127" t="n"/>
      <c r="E338" s="124">
        <f>IF($C338=0,0,$C338-$D338)</f>
        <v/>
      </c>
      <c r="F338" s="128" t="n"/>
      <c r="G338" s="129" t="n"/>
      <c r="H338" s="131" t="n"/>
      <c r="I338" s="124">
        <f>IF($E338=0,0,$E338*$H338)</f>
        <v/>
      </c>
      <c r="J338" s="124">
        <f>IF($I338=0,0,$I338-$E338)</f>
        <v/>
      </c>
      <c r="K338" s="124">
        <f>IF($J338=0,0,$J338*YenidegerFonOran)</f>
        <v/>
      </c>
      <c r="L338" s="124">
        <f>IF($G338=0,0,$J338/$G338)</f>
        <v/>
      </c>
      <c r="M338" s="124">
        <f>IF($L338=0,0,$L338*YenidegerKurumlarVergiOran)</f>
        <v/>
      </c>
      <c r="N338" s="124">
        <f>IFERROR(IF(YenidegerIskontoOrani=0,$M338*$G338,$M338*(1-1/(1+YenidegerIskontoOrani)^$G338)/YenidegerIskontoOrani),0)</f>
        <v/>
      </c>
      <c r="O338" s="124">
        <f>$N338-$K338</f>
        <v/>
      </c>
      <c r="P338" s="124">
        <f>IF($J338&lt;=0,"DEĞERLENDİR",IF($O338&gt;0,"YENİDEN DEĞERLE","DEĞERLENDİR"))</f>
        <v/>
      </c>
      <c r="Q338" s="124">
        <f>IF($B338="","",CONCATENATE("Kıymet: ",$B338," | Değer Artışı: ",TEXT($J338,"#,##0")))</f>
        <v/>
      </c>
    </row>
    <row r="339" ht="15.75" customHeight="1" s="81">
      <c r="A339" s="129" t="n"/>
      <c r="B339" s="130" t="n"/>
      <c r="C339" s="127" t="n"/>
      <c r="D339" s="127" t="n"/>
      <c r="E339" s="124">
        <f>IF($C339=0,0,$C339-$D339)</f>
        <v/>
      </c>
      <c r="F339" s="128" t="n"/>
      <c r="G339" s="129" t="n"/>
      <c r="H339" s="131" t="n"/>
      <c r="I339" s="124">
        <f>IF($E339=0,0,$E339*$H339)</f>
        <v/>
      </c>
      <c r="J339" s="124">
        <f>IF($I339=0,0,$I339-$E339)</f>
        <v/>
      </c>
      <c r="K339" s="124">
        <f>IF($J339=0,0,$J339*YenidegerFonOran)</f>
        <v/>
      </c>
      <c r="L339" s="124">
        <f>IF($G339=0,0,$J339/$G339)</f>
        <v/>
      </c>
      <c r="M339" s="124">
        <f>IF($L339=0,0,$L339*YenidegerKurumlarVergiOran)</f>
        <v/>
      </c>
      <c r="N339" s="124">
        <f>IFERROR(IF(YenidegerIskontoOrani=0,$M339*$G339,$M339*(1-1/(1+YenidegerIskontoOrani)^$G339)/YenidegerIskontoOrani),0)</f>
        <v/>
      </c>
      <c r="O339" s="124">
        <f>$N339-$K339</f>
        <v/>
      </c>
      <c r="P339" s="124">
        <f>IF($J339&lt;=0,"DEĞERLENDİR",IF($O339&gt;0,"YENİDEN DEĞERLE","DEĞERLENDİR"))</f>
        <v/>
      </c>
      <c r="Q339" s="124">
        <f>IF($B339="","",CONCATENATE("Kıymet: ",$B339," | Değer Artışı: ",TEXT($J339,"#,##0")))</f>
        <v/>
      </c>
    </row>
    <row r="340" ht="15.75" customHeight="1" s="81">
      <c r="A340" s="129" t="n"/>
      <c r="B340" s="130" t="n"/>
      <c r="C340" s="127" t="n"/>
      <c r="D340" s="127" t="n"/>
      <c r="E340" s="124">
        <f>IF($C340=0,0,$C340-$D340)</f>
        <v/>
      </c>
      <c r="F340" s="128" t="n"/>
      <c r="G340" s="129" t="n"/>
      <c r="H340" s="131" t="n"/>
      <c r="I340" s="124">
        <f>IF($E340=0,0,$E340*$H340)</f>
        <v/>
      </c>
      <c r="J340" s="124">
        <f>IF($I340=0,0,$I340-$E340)</f>
        <v/>
      </c>
      <c r="K340" s="124">
        <f>IF($J340=0,0,$J340*YenidegerFonOran)</f>
        <v/>
      </c>
      <c r="L340" s="124">
        <f>IF($G340=0,0,$J340/$G340)</f>
        <v/>
      </c>
      <c r="M340" s="124">
        <f>IF($L340=0,0,$L340*YenidegerKurumlarVergiOran)</f>
        <v/>
      </c>
      <c r="N340" s="124">
        <f>IFERROR(IF(YenidegerIskontoOrani=0,$M340*$G340,$M340*(1-1/(1+YenidegerIskontoOrani)^$G340)/YenidegerIskontoOrani),0)</f>
        <v/>
      </c>
      <c r="O340" s="124">
        <f>$N340-$K340</f>
        <v/>
      </c>
      <c r="P340" s="124">
        <f>IF($J340&lt;=0,"DEĞERLENDİR",IF($O340&gt;0,"YENİDEN DEĞERLE","DEĞERLENDİR"))</f>
        <v/>
      </c>
      <c r="Q340" s="124">
        <f>IF($B340="","",CONCATENATE("Kıymet: ",$B340," | Değer Artışı: ",TEXT($J340,"#,##0")))</f>
        <v/>
      </c>
    </row>
    <row r="341" ht="15.75" customHeight="1" s="81">
      <c r="A341" s="129" t="n"/>
      <c r="B341" s="130" t="n"/>
      <c r="C341" s="127" t="n"/>
      <c r="D341" s="127" t="n"/>
      <c r="E341" s="124">
        <f>IF($C341=0,0,$C341-$D341)</f>
        <v/>
      </c>
      <c r="F341" s="128" t="n"/>
      <c r="G341" s="129" t="n"/>
      <c r="H341" s="131" t="n"/>
      <c r="I341" s="124">
        <f>IF($E341=0,0,$E341*$H341)</f>
        <v/>
      </c>
      <c r="J341" s="124">
        <f>IF($I341=0,0,$I341-$E341)</f>
        <v/>
      </c>
      <c r="K341" s="124">
        <f>IF($J341=0,0,$J341*YenidegerFonOran)</f>
        <v/>
      </c>
      <c r="L341" s="124">
        <f>IF($G341=0,0,$J341/$G341)</f>
        <v/>
      </c>
      <c r="M341" s="124">
        <f>IF($L341=0,0,$L341*YenidegerKurumlarVergiOran)</f>
        <v/>
      </c>
      <c r="N341" s="124">
        <f>IFERROR(IF(YenidegerIskontoOrani=0,$M341*$G341,$M341*(1-1/(1+YenidegerIskontoOrani)^$G341)/YenidegerIskontoOrani),0)</f>
        <v/>
      </c>
      <c r="O341" s="124">
        <f>$N341-$K341</f>
        <v/>
      </c>
      <c r="P341" s="124">
        <f>IF($J341&lt;=0,"DEĞERLENDİR",IF($O341&gt;0,"YENİDEN DEĞERLE","DEĞERLENDİR"))</f>
        <v/>
      </c>
      <c r="Q341" s="124">
        <f>IF($B341="","",CONCATENATE("Kıymet: ",$B341," | Değer Artışı: ",TEXT($J341,"#,##0")))</f>
        <v/>
      </c>
    </row>
    <row r="342" ht="15.75" customHeight="1" s="81">
      <c r="A342" s="129" t="n"/>
      <c r="B342" s="130" t="n"/>
      <c r="C342" s="127" t="n"/>
      <c r="D342" s="127" t="n"/>
      <c r="E342" s="124">
        <f>IF($C342=0,0,$C342-$D342)</f>
        <v/>
      </c>
      <c r="F342" s="128" t="n"/>
      <c r="G342" s="129" t="n"/>
      <c r="H342" s="131" t="n"/>
      <c r="I342" s="124">
        <f>IF($E342=0,0,$E342*$H342)</f>
        <v/>
      </c>
      <c r="J342" s="124">
        <f>IF($I342=0,0,$I342-$E342)</f>
        <v/>
      </c>
      <c r="K342" s="124">
        <f>IF($J342=0,0,$J342*YenidegerFonOran)</f>
        <v/>
      </c>
      <c r="L342" s="124">
        <f>IF($G342=0,0,$J342/$G342)</f>
        <v/>
      </c>
      <c r="M342" s="124">
        <f>IF($L342=0,0,$L342*YenidegerKurumlarVergiOran)</f>
        <v/>
      </c>
      <c r="N342" s="124">
        <f>IFERROR(IF(YenidegerIskontoOrani=0,$M342*$G342,$M342*(1-1/(1+YenidegerIskontoOrani)^$G342)/YenidegerIskontoOrani),0)</f>
        <v/>
      </c>
      <c r="O342" s="124">
        <f>$N342-$K342</f>
        <v/>
      </c>
      <c r="P342" s="124">
        <f>IF($J342&lt;=0,"DEĞERLENDİR",IF($O342&gt;0,"YENİDEN DEĞERLE","DEĞERLENDİR"))</f>
        <v/>
      </c>
      <c r="Q342" s="124">
        <f>IF($B342="","",CONCATENATE("Kıymet: ",$B342," | Değer Artışı: ",TEXT($J342,"#,##0")))</f>
        <v/>
      </c>
    </row>
    <row r="343" ht="15.75" customHeight="1" s="81">
      <c r="A343" s="129" t="n"/>
      <c r="B343" s="130" t="n"/>
      <c r="C343" s="127" t="n"/>
      <c r="D343" s="127" t="n"/>
      <c r="E343" s="124">
        <f>IF($C343=0,0,$C343-$D343)</f>
        <v/>
      </c>
      <c r="F343" s="128" t="n"/>
      <c r="G343" s="129" t="n"/>
      <c r="H343" s="131" t="n"/>
      <c r="I343" s="124">
        <f>IF($E343=0,0,$E343*$H343)</f>
        <v/>
      </c>
      <c r="J343" s="124">
        <f>IF($I343=0,0,$I343-$E343)</f>
        <v/>
      </c>
      <c r="K343" s="124">
        <f>IF($J343=0,0,$J343*YenidegerFonOran)</f>
        <v/>
      </c>
      <c r="L343" s="124">
        <f>IF($G343=0,0,$J343/$G343)</f>
        <v/>
      </c>
      <c r="M343" s="124">
        <f>IF($L343=0,0,$L343*YenidegerKurumlarVergiOran)</f>
        <v/>
      </c>
      <c r="N343" s="124">
        <f>IFERROR(IF(YenidegerIskontoOrani=0,$M343*$G343,$M343*(1-1/(1+YenidegerIskontoOrani)^$G343)/YenidegerIskontoOrani),0)</f>
        <v/>
      </c>
      <c r="O343" s="124">
        <f>$N343-$K343</f>
        <v/>
      </c>
      <c r="P343" s="124">
        <f>IF($J343&lt;=0,"DEĞERLENDİR",IF($O343&gt;0,"YENİDEN DEĞERLE","DEĞERLENDİR"))</f>
        <v/>
      </c>
      <c r="Q343" s="124">
        <f>IF($B343="","",CONCATENATE("Kıymet: ",$B343," | Değer Artışı: ",TEXT($J343,"#,##0")))</f>
        <v/>
      </c>
    </row>
    <row r="344" ht="15.75" customHeight="1" s="81">
      <c r="A344" s="129" t="n"/>
      <c r="B344" s="130" t="n"/>
      <c r="C344" s="127" t="n"/>
      <c r="D344" s="127" t="n"/>
      <c r="E344" s="124">
        <f>IF($C344=0,0,$C344-$D344)</f>
        <v/>
      </c>
      <c r="F344" s="128" t="n"/>
      <c r="G344" s="129" t="n"/>
      <c r="H344" s="131" t="n"/>
      <c r="I344" s="124">
        <f>IF($E344=0,0,$E344*$H344)</f>
        <v/>
      </c>
      <c r="J344" s="124">
        <f>IF($I344=0,0,$I344-$E344)</f>
        <v/>
      </c>
      <c r="K344" s="124">
        <f>IF($J344=0,0,$J344*YenidegerFonOran)</f>
        <v/>
      </c>
      <c r="L344" s="124">
        <f>IF($G344=0,0,$J344/$G344)</f>
        <v/>
      </c>
      <c r="M344" s="124">
        <f>IF($L344=0,0,$L344*YenidegerKurumlarVergiOran)</f>
        <v/>
      </c>
      <c r="N344" s="124">
        <f>IFERROR(IF(YenidegerIskontoOrani=0,$M344*$G344,$M344*(1-1/(1+YenidegerIskontoOrani)^$G344)/YenidegerIskontoOrani),0)</f>
        <v/>
      </c>
      <c r="O344" s="124">
        <f>$N344-$K344</f>
        <v/>
      </c>
      <c r="P344" s="124">
        <f>IF($J344&lt;=0,"DEĞERLENDİR",IF($O344&gt;0,"YENİDEN DEĞERLE","DEĞERLENDİR"))</f>
        <v/>
      </c>
      <c r="Q344" s="124">
        <f>IF($B344="","",CONCATENATE("Kıymet: ",$B344," | Değer Artışı: ",TEXT($J344,"#,##0")))</f>
        <v/>
      </c>
    </row>
    <row r="345" ht="15.75" customHeight="1" s="81">
      <c r="A345" s="129" t="n"/>
      <c r="B345" s="130" t="n"/>
      <c r="C345" s="127" t="n"/>
      <c r="D345" s="127" t="n"/>
      <c r="E345" s="124">
        <f>IF($C345=0,0,$C345-$D345)</f>
        <v/>
      </c>
      <c r="F345" s="128" t="n"/>
      <c r="G345" s="129" t="n"/>
      <c r="H345" s="131" t="n"/>
      <c r="I345" s="124">
        <f>IF($E345=0,0,$E345*$H345)</f>
        <v/>
      </c>
      <c r="J345" s="124">
        <f>IF($I345=0,0,$I345-$E345)</f>
        <v/>
      </c>
      <c r="K345" s="124">
        <f>IF($J345=0,0,$J345*YenidegerFonOran)</f>
        <v/>
      </c>
      <c r="L345" s="124">
        <f>IF($G345=0,0,$J345/$G345)</f>
        <v/>
      </c>
      <c r="M345" s="124">
        <f>IF($L345=0,0,$L345*YenidegerKurumlarVergiOran)</f>
        <v/>
      </c>
      <c r="N345" s="124">
        <f>IFERROR(IF(YenidegerIskontoOrani=0,$M345*$G345,$M345*(1-1/(1+YenidegerIskontoOrani)^$G345)/YenidegerIskontoOrani),0)</f>
        <v/>
      </c>
      <c r="O345" s="124">
        <f>$N345-$K345</f>
        <v/>
      </c>
      <c r="P345" s="124">
        <f>IF($J345&lt;=0,"DEĞERLENDİR",IF($O345&gt;0,"YENİDEN DEĞERLE","DEĞERLENDİR"))</f>
        <v/>
      </c>
      <c r="Q345" s="124">
        <f>IF($B345="","",CONCATENATE("Kıymet: ",$B345," | Değer Artışı: ",TEXT($J345,"#,##0")))</f>
        <v/>
      </c>
    </row>
    <row r="346" ht="15.75" customHeight="1" s="81">
      <c r="A346" s="129" t="n"/>
      <c r="B346" s="130" t="n"/>
      <c r="C346" s="127" t="n"/>
      <c r="D346" s="127" t="n"/>
      <c r="E346" s="124">
        <f>IF($C346=0,0,$C346-$D346)</f>
        <v/>
      </c>
      <c r="F346" s="128" t="n"/>
      <c r="G346" s="129" t="n"/>
      <c r="H346" s="131" t="n"/>
      <c r="I346" s="124">
        <f>IF($E346=0,0,$E346*$H346)</f>
        <v/>
      </c>
      <c r="J346" s="124">
        <f>IF($I346=0,0,$I346-$E346)</f>
        <v/>
      </c>
      <c r="K346" s="124">
        <f>IF($J346=0,0,$J346*YenidegerFonOran)</f>
        <v/>
      </c>
      <c r="L346" s="124">
        <f>IF($G346=0,0,$J346/$G346)</f>
        <v/>
      </c>
      <c r="M346" s="124">
        <f>IF($L346=0,0,$L346*YenidegerKurumlarVergiOran)</f>
        <v/>
      </c>
      <c r="N346" s="124">
        <f>IFERROR(IF(YenidegerIskontoOrani=0,$M346*$G346,$M346*(1-1/(1+YenidegerIskontoOrani)^$G346)/YenidegerIskontoOrani),0)</f>
        <v/>
      </c>
      <c r="O346" s="124">
        <f>$N346-$K346</f>
        <v/>
      </c>
      <c r="P346" s="124">
        <f>IF($J346&lt;=0,"DEĞERLENDİR",IF($O346&gt;0,"YENİDEN DEĞERLE","DEĞERLENDİR"))</f>
        <v/>
      </c>
      <c r="Q346" s="124">
        <f>IF($B346="","",CONCATENATE("Kıymet: ",$B346," | Değer Artışı: ",TEXT($J346,"#,##0")))</f>
        <v/>
      </c>
    </row>
    <row r="347" ht="15.75" customHeight="1" s="81">
      <c r="A347" s="129" t="n"/>
      <c r="B347" s="130" t="n"/>
      <c r="C347" s="127" t="n"/>
      <c r="D347" s="127" t="n"/>
      <c r="E347" s="124">
        <f>IF($C347=0,0,$C347-$D347)</f>
        <v/>
      </c>
      <c r="F347" s="128" t="n"/>
      <c r="G347" s="129" t="n"/>
      <c r="H347" s="131" t="n"/>
      <c r="I347" s="124">
        <f>IF($E347=0,0,$E347*$H347)</f>
        <v/>
      </c>
      <c r="J347" s="124">
        <f>IF($I347=0,0,$I347-$E347)</f>
        <v/>
      </c>
      <c r="K347" s="124">
        <f>IF($J347=0,0,$J347*YenidegerFonOran)</f>
        <v/>
      </c>
      <c r="L347" s="124">
        <f>IF($G347=0,0,$J347/$G347)</f>
        <v/>
      </c>
      <c r="M347" s="124">
        <f>IF($L347=0,0,$L347*YenidegerKurumlarVergiOran)</f>
        <v/>
      </c>
      <c r="N347" s="124">
        <f>IFERROR(IF(YenidegerIskontoOrani=0,$M347*$G347,$M347*(1-1/(1+YenidegerIskontoOrani)^$G347)/YenidegerIskontoOrani),0)</f>
        <v/>
      </c>
      <c r="O347" s="124">
        <f>$N347-$K347</f>
        <v/>
      </c>
      <c r="P347" s="124">
        <f>IF($J347&lt;=0,"DEĞERLENDİR",IF($O347&gt;0,"YENİDEN DEĞERLE","DEĞERLENDİR"))</f>
        <v/>
      </c>
      <c r="Q347" s="124">
        <f>IF($B347="","",CONCATENATE("Kıymet: ",$B347," | Değer Artışı: ",TEXT($J347,"#,##0")))</f>
        <v/>
      </c>
    </row>
    <row r="348" ht="15.75" customHeight="1" s="81">
      <c r="A348" s="129" t="n"/>
      <c r="B348" s="130" t="n"/>
      <c r="C348" s="127" t="n"/>
      <c r="D348" s="127" t="n"/>
      <c r="E348" s="124">
        <f>IF($C348=0,0,$C348-$D348)</f>
        <v/>
      </c>
      <c r="F348" s="128" t="n"/>
      <c r="G348" s="129" t="n"/>
      <c r="H348" s="131" t="n"/>
      <c r="I348" s="124">
        <f>IF($E348=0,0,$E348*$H348)</f>
        <v/>
      </c>
      <c r="J348" s="124">
        <f>IF($I348=0,0,$I348-$E348)</f>
        <v/>
      </c>
      <c r="K348" s="124">
        <f>IF($J348=0,0,$J348*YenidegerFonOran)</f>
        <v/>
      </c>
      <c r="L348" s="124">
        <f>IF($G348=0,0,$J348/$G348)</f>
        <v/>
      </c>
      <c r="M348" s="124">
        <f>IF($L348=0,0,$L348*YenidegerKurumlarVergiOran)</f>
        <v/>
      </c>
      <c r="N348" s="124">
        <f>IFERROR(IF(YenidegerIskontoOrani=0,$M348*$G348,$M348*(1-1/(1+YenidegerIskontoOrani)^$G348)/YenidegerIskontoOrani),0)</f>
        <v/>
      </c>
      <c r="O348" s="124">
        <f>$N348-$K348</f>
        <v/>
      </c>
      <c r="P348" s="124">
        <f>IF($J348&lt;=0,"DEĞERLENDİR",IF($O348&gt;0,"YENİDEN DEĞERLE","DEĞERLENDİR"))</f>
        <v/>
      </c>
      <c r="Q348" s="124">
        <f>IF($B348="","",CONCATENATE("Kıymet: ",$B348," | Değer Artışı: ",TEXT($J348,"#,##0")))</f>
        <v/>
      </c>
    </row>
    <row r="349" ht="15.75" customHeight="1" s="81">
      <c r="A349" s="129" t="n"/>
      <c r="B349" s="130" t="n"/>
      <c r="C349" s="127" t="n"/>
      <c r="D349" s="127" t="n"/>
      <c r="E349" s="124">
        <f>IF($C349=0,0,$C349-$D349)</f>
        <v/>
      </c>
      <c r="F349" s="128" t="n"/>
      <c r="G349" s="129" t="n"/>
      <c r="H349" s="131" t="n"/>
      <c r="I349" s="124">
        <f>IF($E349=0,0,$E349*$H349)</f>
        <v/>
      </c>
      <c r="J349" s="124">
        <f>IF($I349=0,0,$I349-$E349)</f>
        <v/>
      </c>
      <c r="K349" s="124">
        <f>IF($J349=0,0,$J349*YenidegerFonOran)</f>
        <v/>
      </c>
      <c r="L349" s="124">
        <f>IF($G349=0,0,$J349/$G349)</f>
        <v/>
      </c>
      <c r="M349" s="124">
        <f>IF($L349=0,0,$L349*YenidegerKurumlarVergiOran)</f>
        <v/>
      </c>
      <c r="N349" s="124">
        <f>IFERROR(IF(YenidegerIskontoOrani=0,$M349*$G349,$M349*(1-1/(1+YenidegerIskontoOrani)^$G349)/YenidegerIskontoOrani),0)</f>
        <v/>
      </c>
      <c r="O349" s="124">
        <f>$N349-$K349</f>
        <v/>
      </c>
      <c r="P349" s="124">
        <f>IF($J349&lt;=0,"DEĞERLENDİR",IF($O349&gt;0,"YENİDEN DEĞERLE","DEĞERLENDİR"))</f>
        <v/>
      </c>
      <c r="Q349" s="124">
        <f>IF($B349="","",CONCATENATE("Kıymet: ",$B349," | Değer Artışı: ",TEXT($J349,"#,##0")))</f>
        <v/>
      </c>
    </row>
    <row r="350" ht="15.75" customHeight="1" s="81">
      <c r="A350" s="129" t="n"/>
      <c r="B350" s="130" t="n"/>
      <c r="C350" s="127" t="n"/>
      <c r="D350" s="127" t="n"/>
      <c r="E350" s="124">
        <f>IF($C350=0,0,$C350-$D350)</f>
        <v/>
      </c>
      <c r="F350" s="128" t="n"/>
      <c r="G350" s="129" t="n"/>
      <c r="H350" s="131" t="n"/>
      <c r="I350" s="124">
        <f>IF($E350=0,0,$E350*$H350)</f>
        <v/>
      </c>
      <c r="J350" s="124">
        <f>IF($I350=0,0,$I350-$E350)</f>
        <v/>
      </c>
      <c r="K350" s="124">
        <f>IF($J350=0,0,$J350*YenidegerFonOran)</f>
        <v/>
      </c>
      <c r="L350" s="124">
        <f>IF($G350=0,0,$J350/$G350)</f>
        <v/>
      </c>
      <c r="M350" s="124">
        <f>IF($L350=0,0,$L350*YenidegerKurumlarVergiOran)</f>
        <v/>
      </c>
      <c r="N350" s="124">
        <f>IFERROR(IF(YenidegerIskontoOrani=0,$M350*$G350,$M350*(1-1/(1+YenidegerIskontoOrani)^$G350)/YenidegerIskontoOrani),0)</f>
        <v/>
      </c>
      <c r="O350" s="124">
        <f>$N350-$K350</f>
        <v/>
      </c>
      <c r="P350" s="124">
        <f>IF($J350&lt;=0,"DEĞERLENDİR",IF($O350&gt;0,"YENİDEN DEĞERLE","DEĞERLENDİR"))</f>
        <v/>
      </c>
      <c r="Q350" s="124">
        <f>IF($B350="","",CONCATENATE("Kıymet: ",$B350," | Değer Artışı: ",TEXT($J350,"#,##0")))</f>
        <v/>
      </c>
    </row>
    <row r="351" ht="15.75" customHeight="1" s="81">
      <c r="A351" s="129" t="n"/>
      <c r="B351" s="130" t="n"/>
      <c r="C351" s="127" t="n"/>
      <c r="D351" s="127" t="n"/>
      <c r="E351" s="124">
        <f>IF($C351=0,0,$C351-$D351)</f>
        <v/>
      </c>
      <c r="F351" s="128" t="n"/>
      <c r="G351" s="129" t="n"/>
      <c r="H351" s="131" t="n"/>
      <c r="I351" s="124">
        <f>IF($E351=0,0,$E351*$H351)</f>
        <v/>
      </c>
      <c r="J351" s="124">
        <f>IF($I351=0,0,$I351-$E351)</f>
        <v/>
      </c>
      <c r="K351" s="124">
        <f>IF($J351=0,0,$J351*YenidegerFonOran)</f>
        <v/>
      </c>
      <c r="L351" s="124">
        <f>IF($G351=0,0,$J351/$G351)</f>
        <v/>
      </c>
      <c r="M351" s="124">
        <f>IF($L351=0,0,$L351*YenidegerKurumlarVergiOran)</f>
        <v/>
      </c>
      <c r="N351" s="124">
        <f>IFERROR(IF(YenidegerIskontoOrani=0,$M351*$G351,$M351*(1-1/(1+YenidegerIskontoOrani)^$G351)/YenidegerIskontoOrani),0)</f>
        <v/>
      </c>
      <c r="O351" s="124">
        <f>$N351-$K351</f>
        <v/>
      </c>
      <c r="P351" s="124">
        <f>IF($J351&lt;=0,"DEĞERLENDİR",IF($O351&gt;0,"YENİDEN DEĞERLE","DEĞERLENDİR"))</f>
        <v/>
      </c>
      <c r="Q351" s="124">
        <f>IF($B351="","",CONCATENATE("Kıymet: ",$B351," | Değer Artışı: ",TEXT($J351,"#,##0")))</f>
        <v/>
      </c>
    </row>
    <row r="352" ht="15.75" customHeight="1" s="81">
      <c r="A352" s="129" t="n"/>
      <c r="B352" s="130" t="n"/>
      <c r="C352" s="127" t="n"/>
      <c r="D352" s="127" t="n"/>
      <c r="E352" s="124">
        <f>IF($C352=0,0,$C352-$D352)</f>
        <v/>
      </c>
      <c r="F352" s="128" t="n"/>
      <c r="G352" s="129" t="n"/>
      <c r="H352" s="131" t="n"/>
      <c r="I352" s="124">
        <f>IF($E352=0,0,$E352*$H352)</f>
        <v/>
      </c>
      <c r="J352" s="124">
        <f>IF($I352=0,0,$I352-$E352)</f>
        <v/>
      </c>
      <c r="K352" s="124">
        <f>IF($J352=0,0,$J352*YenidegerFonOran)</f>
        <v/>
      </c>
      <c r="L352" s="124">
        <f>IF($G352=0,0,$J352/$G352)</f>
        <v/>
      </c>
      <c r="M352" s="124">
        <f>IF($L352=0,0,$L352*YenidegerKurumlarVergiOran)</f>
        <v/>
      </c>
      <c r="N352" s="124">
        <f>IFERROR(IF(YenidegerIskontoOrani=0,$M352*$G352,$M352*(1-1/(1+YenidegerIskontoOrani)^$G352)/YenidegerIskontoOrani),0)</f>
        <v/>
      </c>
      <c r="O352" s="124">
        <f>$N352-$K352</f>
        <v/>
      </c>
      <c r="P352" s="124">
        <f>IF($J352&lt;=0,"DEĞERLENDİR",IF($O352&gt;0,"YENİDEN DEĞERLE","DEĞERLENDİR"))</f>
        <v/>
      </c>
      <c r="Q352" s="124">
        <f>IF($B352="","",CONCATENATE("Kıymet: ",$B352," | Değer Artışı: ",TEXT($J352,"#,##0")))</f>
        <v/>
      </c>
    </row>
    <row r="353" ht="15.75" customHeight="1" s="81">
      <c r="A353" s="129" t="n"/>
      <c r="B353" s="130" t="n"/>
      <c r="C353" s="127" t="n"/>
      <c r="D353" s="127" t="n"/>
      <c r="E353" s="124">
        <f>IF($C353=0,0,$C353-$D353)</f>
        <v/>
      </c>
      <c r="F353" s="128" t="n"/>
      <c r="G353" s="129" t="n"/>
      <c r="H353" s="131" t="n"/>
      <c r="I353" s="124">
        <f>IF($E353=0,0,$E353*$H353)</f>
        <v/>
      </c>
      <c r="J353" s="124">
        <f>IF($I353=0,0,$I353-$E353)</f>
        <v/>
      </c>
      <c r="K353" s="124">
        <f>IF($J353=0,0,$J353*YenidegerFonOran)</f>
        <v/>
      </c>
      <c r="L353" s="124">
        <f>IF($G353=0,0,$J353/$G353)</f>
        <v/>
      </c>
      <c r="M353" s="124">
        <f>IF($L353=0,0,$L353*YenidegerKurumlarVergiOran)</f>
        <v/>
      </c>
      <c r="N353" s="124">
        <f>IFERROR(IF(YenidegerIskontoOrani=0,$M353*$G353,$M353*(1-1/(1+YenidegerIskontoOrani)^$G353)/YenidegerIskontoOrani),0)</f>
        <v/>
      </c>
      <c r="O353" s="124">
        <f>$N353-$K353</f>
        <v/>
      </c>
      <c r="P353" s="124">
        <f>IF($J353&lt;=0,"DEĞERLENDİR",IF($O353&gt;0,"YENİDEN DEĞERLE","DEĞERLENDİR"))</f>
        <v/>
      </c>
      <c r="Q353" s="124">
        <f>IF($B353="","",CONCATENATE("Kıymet: ",$B353," | Değer Artışı: ",TEXT($J353,"#,##0")))</f>
        <v/>
      </c>
    </row>
    <row r="354" ht="15.75" customHeight="1" s="81">
      <c r="A354" s="129" t="n"/>
      <c r="B354" s="130" t="n"/>
      <c r="C354" s="127" t="n"/>
      <c r="D354" s="127" t="n"/>
      <c r="E354" s="124">
        <f>IF($C354=0,0,$C354-$D354)</f>
        <v/>
      </c>
      <c r="F354" s="128" t="n"/>
      <c r="G354" s="129" t="n"/>
      <c r="H354" s="131" t="n"/>
      <c r="I354" s="124">
        <f>IF($E354=0,0,$E354*$H354)</f>
        <v/>
      </c>
      <c r="J354" s="124">
        <f>IF($I354=0,0,$I354-$E354)</f>
        <v/>
      </c>
      <c r="K354" s="124">
        <f>IF($J354=0,0,$J354*YenidegerFonOran)</f>
        <v/>
      </c>
      <c r="L354" s="124">
        <f>IF($G354=0,0,$J354/$G354)</f>
        <v/>
      </c>
      <c r="M354" s="124">
        <f>IF($L354=0,0,$L354*YenidegerKurumlarVergiOran)</f>
        <v/>
      </c>
      <c r="N354" s="124">
        <f>IFERROR(IF(YenidegerIskontoOrani=0,$M354*$G354,$M354*(1-1/(1+YenidegerIskontoOrani)^$G354)/YenidegerIskontoOrani),0)</f>
        <v/>
      </c>
      <c r="O354" s="124">
        <f>$N354-$K354</f>
        <v/>
      </c>
      <c r="P354" s="124">
        <f>IF($J354&lt;=0,"DEĞERLENDİR",IF($O354&gt;0,"YENİDEN DEĞERLE","DEĞERLENDİR"))</f>
        <v/>
      </c>
      <c r="Q354" s="124">
        <f>IF($B354="","",CONCATENATE("Kıymet: ",$B354," | Değer Artışı: ",TEXT($J354,"#,##0")))</f>
        <v/>
      </c>
    </row>
    <row r="355" ht="15.75" customHeight="1" s="81">
      <c r="A355" s="129" t="n"/>
      <c r="B355" s="130" t="n"/>
      <c r="C355" s="127" t="n"/>
      <c r="D355" s="127" t="n"/>
      <c r="E355" s="124">
        <f>IF($C355=0,0,$C355-$D355)</f>
        <v/>
      </c>
      <c r="F355" s="128" t="n"/>
      <c r="G355" s="129" t="n"/>
      <c r="H355" s="131" t="n"/>
      <c r="I355" s="124">
        <f>IF($E355=0,0,$E355*$H355)</f>
        <v/>
      </c>
      <c r="J355" s="124">
        <f>IF($I355=0,0,$I355-$E355)</f>
        <v/>
      </c>
      <c r="K355" s="124">
        <f>IF($J355=0,0,$J355*YenidegerFonOran)</f>
        <v/>
      </c>
      <c r="L355" s="124">
        <f>IF($G355=0,0,$J355/$G355)</f>
        <v/>
      </c>
      <c r="M355" s="124">
        <f>IF($L355=0,0,$L355*YenidegerKurumlarVergiOran)</f>
        <v/>
      </c>
      <c r="N355" s="124">
        <f>IFERROR(IF(YenidegerIskontoOrani=0,$M355*$G355,$M355*(1-1/(1+YenidegerIskontoOrani)^$G355)/YenidegerIskontoOrani),0)</f>
        <v/>
      </c>
      <c r="O355" s="124">
        <f>$N355-$K355</f>
        <v/>
      </c>
      <c r="P355" s="124">
        <f>IF($J355&lt;=0,"DEĞERLENDİR",IF($O355&gt;0,"YENİDEN DEĞERLE","DEĞERLENDİR"))</f>
        <v/>
      </c>
      <c r="Q355" s="124">
        <f>IF($B355="","",CONCATENATE("Kıymet: ",$B355," | Değer Artışı: ",TEXT($J355,"#,##0")))</f>
        <v/>
      </c>
    </row>
    <row r="356" ht="15.75" customHeight="1" s="81">
      <c r="A356" s="129" t="n"/>
      <c r="B356" s="130" t="n"/>
      <c r="C356" s="127" t="n"/>
      <c r="D356" s="127" t="n"/>
      <c r="E356" s="124">
        <f>IF($C356=0,0,$C356-$D356)</f>
        <v/>
      </c>
      <c r="F356" s="128" t="n"/>
      <c r="G356" s="129" t="n"/>
      <c r="H356" s="131" t="n"/>
      <c r="I356" s="124">
        <f>IF($E356=0,0,$E356*$H356)</f>
        <v/>
      </c>
      <c r="J356" s="124">
        <f>IF($I356=0,0,$I356-$E356)</f>
        <v/>
      </c>
      <c r="K356" s="124">
        <f>IF($J356=0,0,$J356*YenidegerFonOran)</f>
        <v/>
      </c>
      <c r="L356" s="124">
        <f>IF($G356=0,0,$J356/$G356)</f>
        <v/>
      </c>
      <c r="M356" s="124">
        <f>IF($L356=0,0,$L356*YenidegerKurumlarVergiOran)</f>
        <v/>
      </c>
      <c r="N356" s="124">
        <f>IFERROR(IF(YenidegerIskontoOrani=0,$M356*$G356,$M356*(1-1/(1+YenidegerIskontoOrani)^$G356)/YenidegerIskontoOrani),0)</f>
        <v/>
      </c>
      <c r="O356" s="124">
        <f>$N356-$K356</f>
        <v/>
      </c>
      <c r="P356" s="124">
        <f>IF($J356&lt;=0,"DEĞERLENDİR",IF($O356&gt;0,"YENİDEN DEĞERLE","DEĞERLENDİR"))</f>
        <v/>
      </c>
      <c r="Q356" s="124">
        <f>IF($B356="","",CONCATENATE("Kıymet: ",$B356," | Değer Artışı: ",TEXT($J356,"#,##0")))</f>
        <v/>
      </c>
    </row>
    <row r="357" ht="15.75" customHeight="1" s="81">
      <c r="A357" s="129" t="n"/>
      <c r="B357" s="130" t="n"/>
      <c r="C357" s="127" t="n"/>
      <c r="D357" s="127" t="n"/>
      <c r="E357" s="124">
        <f>IF($C357=0,0,$C357-$D357)</f>
        <v/>
      </c>
      <c r="F357" s="128" t="n"/>
      <c r="G357" s="129" t="n"/>
      <c r="H357" s="131" t="n"/>
      <c r="I357" s="124">
        <f>IF($E357=0,0,$E357*$H357)</f>
        <v/>
      </c>
      <c r="J357" s="124">
        <f>IF($I357=0,0,$I357-$E357)</f>
        <v/>
      </c>
      <c r="K357" s="124">
        <f>IF($J357=0,0,$J357*YenidegerFonOran)</f>
        <v/>
      </c>
      <c r="L357" s="124">
        <f>IF($G357=0,0,$J357/$G357)</f>
        <v/>
      </c>
      <c r="M357" s="124">
        <f>IF($L357=0,0,$L357*YenidegerKurumlarVergiOran)</f>
        <v/>
      </c>
      <c r="N357" s="124">
        <f>IFERROR(IF(YenidegerIskontoOrani=0,$M357*$G357,$M357*(1-1/(1+YenidegerIskontoOrani)^$G357)/YenidegerIskontoOrani),0)</f>
        <v/>
      </c>
      <c r="O357" s="124">
        <f>$N357-$K357</f>
        <v/>
      </c>
      <c r="P357" s="124">
        <f>IF($J357&lt;=0,"DEĞERLENDİR",IF($O357&gt;0,"YENİDEN DEĞERLE","DEĞERLENDİR"))</f>
        <v/>
      </c>
      <c r="Q357" s="124">
        <f>IF($B357="","",CONCATENATE("Kıymet: ",$B357," | Değer Artışı: ",TEXT($J357,"#,##0")))</f>
        <v/>
      </c>
    </row>
    <row r="358" ht="15.75" customHeight="1" s="81">
      <c r="A358" s="129" t="n"/>
      <c r="B358" s="130" t="n"/>
      <c r="C358" s="127" t="n"/>
      <c r="D358" s="127" t="n"/>
      <c r="E358" s="124">
        <f>IF($C358=0,0,$C358-$D358)</f>
        <v/>
      </c>
      <c r="F358" s="128" t="n"/>
      <c r="G358" s="129" t="n"/>
      <c r="H358" s="131" t="n"/>
      <c r="I358" s="124">
        <f>IF($E358=0,0,$E358*$H358)</f>
        <v/>
      </c>
      <c r="J358" s="124">
        <f>IF($I358=0,0,$I358-$E358)</f>
        <v/>
      </c>
      <c r="K358" s="124">
        <f>IF($J358=0,0,$J358*YenidegerFonOran)</f>
        <v/>
      </c>
      <c r="L358" s="124">
        <f>IF($G358=0,0,$J358/$G358)</f>
        <v/>
      </c>
      <c r="M358" s="124">
        <f>IF($L358=0,0,$L358*YenidegerKurumlarVergiOran)</f>
        <v/>
      </c>
      <c r="N358" s="124">
        <f>IFERROR(IF(YenidegerIskontoOrani=0,$M358*$G358,$M358*(1-1/(1+YenidegerIskontoOrani)^$G358)/YenidegerIskontoOrani),0)</f>
        <v/>
      </c>
      <c r="O358" s="124">
        <f>$N358-$K358</f>
        <v/>
      </c>
      <c r="P358" s="124">
        <f>IF($J358&lt;=0,"DEĞERLENDİR",IF($O358&gt;0,"YENİDEN DEĞERLE","DEĞERLENDİR"))</f>
        <v/>
      </c>
      <c r="Q358" s="124">
        <f>IF($B358="","",CONCATENATE("Kıymet: ",$B358," | Değer Artışı: ",TEXT($J358,"#,##0")))</f>
        <v/>
      </c>
    </row>
    <row r="359" ht="15.75" customHeight="1" s="81">
      <c r="A359" s="129" t="n"/>
      <c r="B359" s="130" t="n"/>
      <c r="C359" s="127" t="n"/>
      <c r="D359" s="127" t="n"/>
      <c r="E359" s="124">
        <f>IF($C359=0,0,$C359-$D359)</f>
        <v/>
      </c>
      <c r="F359" s="128" t="n"/>
      <c r="G359" s="129" t="n"/>
      <c r="H359" s="131" t="n"/>
      <c r="I359" s="124">
        <f>IF($E359=0,0,$E359*$H359)</f>
        <v/>
      </c>
      <c r="J359" s="124">
        <f>IF($I359=0,0,$I359-$E359)</f>
        <v/>
      </c>
      <c r="K359" s="124">
        <f>IF($J359=0,0,$J359*YenidegerFonOran)</f>
        <v/>
      </c>
      <c r="L359" s="124">
        <f>IF($G359=0,0,$J359/$G359)</f>
        <v/>
      </c>
      <c r="M359" s="124">
        <f>IF($L359=0,0,$L359*YenidegerKurumlarVergiOran)</f>
        <v/>
      </c>
      <c r="N359" s="124">
        <f>IFERROR(IF(YenidegerIskontoOrani=0,$M359*$G359,$M359*(1-1/(1+YenidegerIskontoOrani)^$G359)/YenidegerIskontoOrani),0)</f>
        <v/>
      </c>
      <c r="O359" s="124">
        <f>$N359-$K359</f>
        <v/>
      </c>
      <c r="P359" s="124">
        <f>IF($J359&lt;=0,"DEĞERLENDİR",IF($O359&gt;0,"YENİDEN DEĞERLE","DEĞERLENDİR"))</f>
        <v/>
      </c>
      <c r="Q359" s="124">
        <f>IF($B359="","",CONCATENATE("Kıymet: ",$B359," | Değer Artışı: ",TEXT($J359,"#,##0")))</f>
        <v/>
      </c>
    </row>
    <row r="360" ht="15.75" customHeight="1" s="81">
      <c r="A360" s="129" t="n"/>
      <c r="B360" s="130" t="n"/>
      <c r="C360" s="127" t="n"/>
      <c r="D360" s="127" t="n"/>
      <c r="E360" s="124">
        <f>IF($C360=0,0,$C360-$D360)</f>
        <v/>
      </c>
      <c r="F360" s="128" t="n"/>
      <c r="G360" s="129" t="n"/>
      <c r="H360" s="131" t="n"/>
      <c r="I360" s="124">
        <f>IF($E360=0,0,$E360*$H360)</f>
        <v/>
      </c>
      <c r="J360" s="124">
        <f>IF($I360=0,0,$I360-$E360)</f>
        <v/>
      </c>
      <c r="K360" s="124">
        <f>IF($J360=0,0,$J360*YenidegerFonOran)</f>
        <v/>
      </c>
      <c r="L360" s="124">
        <f>IF($G360=0,0,$J360/$G360)</f>
        <v/>
      </c>
      <c r="M360" s="124">
        <f>IF($L360=0,0,$L360*YenidegerKurumlarVergiOran)</f>
        <v/>
      </c>
      <c r="N360" s="124">
        <f>IFERROR(IF(YenidegerIskontoOrani=0,$M360*$G360,$M360*(1-1/(1+YenidegerIskontoOrani)^$G360)/YenidegerIskontoOrani),0)</f>
        <v/>
      </c>
      <c r="O360" s="124">
        <f>$N360-$K360</f>
        <v/>
      </c>
      <c r="P360" s="124">
        <f>IF($J360&lt;=0,"DEĞERLENDİR",IF($O360&gt;0,"YENİDEN DEĞERLE","DEĞERLENDİR"))</f>
        <v/>
      </c>
      <c r="Q360" s="124">
        <f>IF($B360="","",CONCATENATE("Kıymet: ",$B360," | Değer Artışı: ",TEXT($J360,"#,##0")))</f>
        <v/>
      </c>
    </row>
    <row r="361" ht="15.75" customHeight="1" s="81">
      <c r="A361" s="129" t="n"/>
      <c r="B361" s="130" t="n"/>
      <c r="C361" s="127" t="n"/>
      <c r="D361" s="127" t="n"/>
      <c r="E361" s="124">
        <f>IF($C361=0,0,$C361-$D361)</f>
        <v/>
      </c>
      <c r="F361" s="128" t="n"/>
      <c r="G361" s="129" t="n"/>
      <c r="H361" s="131" t="n"/>
      <c r="I361" s="124">
        <f>IF($E361=0,0,$E361*$H361)</f>
        <v/>
      </c>
      <c r="J361" s="124">
        <f>IF($I361=0,0,$I361-$E361)</f>
        <v/>
      </c>
      <c r="K361" s="124">
        <f>IF($J361=0,0,$J361*YenidegerFonOran)</f>
        <v/>
      </c>
      <c r="L361" s="124">
        <f>IF($G361=0,0,$J361/$G361)</f>
        <v/>
      </c>
      <c r="M361" s="124">
        <f>IF($L361=0,0,$L361*YenidegerKurumlarVergiOran)</f>
        <v/>
      </c>
      <c r="N361" s="124">
        <f>IFERROR(IF(YenidegerIskontoOrani=0,$M361*$G361,$M361*(1-1/(1+YenidegerIskontoOrani)^$G361)/YenidegerIskontoOrani),0)</f>
        <v/>
      </c>
      <c r="O361" s="124">
        <f>$N361-$K361</f>
        <v/>
      </c>
      <c r="P361" s="124">
        <f>IF($J361&lt;=0,"DEĞERLENDİR",IF($O361&gt;0,"YENİDEN DEĞERLE","DEĞERLENDİR"))</f>
        <v/>
      </c>
      <c r="Q361" s="124">
        <f>IF($B361="","",CONCATENATE("Kıymet: ",$B361," | Değer Artışı: ",TEXT($J361,"#,##0")))</f>
        <v/>
      </c>
    </row>
    <row r="362" ht="15.75" customHeight="1" s="81">
      <c r="A362" s="129" t="n"/>
      <c r="B362" s="130" t="n"/>
      <c r="C362" s="127" t="n"/>
      <c r="D362" s="127" t="n"/>
      <c r="E362" s="124">
        <f>IF($C362=0,0,$C362-$D362)</f>
        <v/>
      </c>
      <c r="F362" s="128" t="n"/>
      <c r="G362" s="129" t="n"/>
      <c r="H362" s="131" t="n"/>
      <c r="I362" s="124">
        <f>IF($E362=0,0,$E362*$H362)</f>
        <v/>
      </c>
      <c r="J362" s="124">
        <f>IF($I362=0,0,$I362-$E362)</f>
        <v/>
      </c>
      <c r="K362" s="124">
        <f>IF($J362=0,0,$J362*YenidegerFonOran)</f>
        <v/>
      </c>
      <c r="L362" s="124">
        <f>IF($G362=0,0,$J362/$G362)</f>
        <v/>
      </c>
      <c r="M362" s="124">
        <f>IF($L362=0,0,$L362*YenidegerKurumlarVergiOran)</f>
        <v/>
      </c>
      <c r="N362" s="124">
        <f>IFERROR(IF(YenidegerIskontoOrani=0,$M362*$G362,$M362*(1-1/(1+YenidegerIskontoOrani)^$G362)/YenidegerIskontoOrani),0)</f>
        <v/>
      </c>
      <c r="O362" s="124">
        <f>$N362-$K362</f>
        <v/>
      </c>
      <c r="P362" s="124">
        <f>IF($J362&lt;=0,"DEĞERLENDİR",IF($O362&gt;0,"YENİDEN DEĞERLE","DEĞERLENDİR"))</f>
        <v/>
      </c>
      <c r="Q362" s="124">
        <f>IF($B362="","",CONCATENATE("Kıymet: ",$B362," | Değer Artışı: ",TEXT($J362,"#,##0")))</f>
        <v/>
      </c>
    </row>
    <row r="363" ht="15.75" customHeight="1" s="81">
      <c r="A363" s="129" t="n"/>
      <c r="B363" s="130" t="n"/>
      <c r="C363" s="127" t="n"/>
      <c r="D363" s="127" t="n"/>
      <c r="E363" s="124">
        <f>IF($C363=0,0,$C363-$D363)</f>
        <v/>
      </c>
      <c r="F363" s="128" t="n"/>
      <c r="G363" s="129" t="n"/>
      <c r="H363" s="131" t="n"/>
      <c r="I363" s="124">
        <f>IF($E363=0,0,$E363*$H363)</f>
        <v/>
      </c>
      <c r="J363" s="124">
        <f>IF($I363=0,0,$I363-$E363)</f>
        <v/>
      </c>
      <c r="K363" s="124">
        <f>IF($J363=0,0,$J363*YenidegerFonOran)</f>
        <v/>
      </c>
      <c r="L363" s="124">
        <f>IF($G363=0,0,$J363/$G363)</f>
        <v/>
      </c>
      <c r="M363" s="124">
        <f>IF($L363=0,0,$L363*YenidegerKurumlarVergiOran)</f>
        <v/>
      </c>
      <c r="N363" s="124">
        <f>IFERROR(IF(YenidegerIskontoOrani=0,$M363*$G363,$M363*(1-1/(1+YenidegerIskontoOrani)^$G363)/YenidegerIskontoOrani),0)</f>
        <v/>
      </c>
      <c r="O363" s="124">
        <f>$N363-$K363</f>
        <v/>
      </c>
      <c r="P363" s="124">
        <f>IF($J363&lt;=0,"DEĞERLENDİR",IF($O363&gt;0,"YENİDEN DEĞERLE","DEĞERLENDİR"))</f>
        <v/>
      </c>
      <c r="Q363" s="124">
        <f>IF($B363="","",CONCATENATE("Kıymet: ",$B363," | Değer Artışı: ",TEXT($J363,"#,##0")))</f>
        <v/>
      </c>
    </row>
    <row r="364" ht="15.75" customHeight="1" s="81">
      <c r="A364" s="129" t="n"/>
      <c r="B364" s="130" t="n"/>
      <c r="C364" s="127" t="n"/>
      <c r="D364" s="127" t="n"/>
      <c r="E364" s="124">
        <f>IF($C364=0,0,$C364-$D364)</f>
        <v/>
      </c>
      <c r="F364" s="128" t="n"/>
      <c r="G364" s="129" t="n"/>
      <c r="H364" s="131" t="n"/>
      <c r="I364" s="124">
        <f>IF($E364=0,0,$E364*$H364)</f>
        <v/>
      </c>
      <c r="J364" s="124">
        <f>IF($I364=0,0,$I364-$E364)</f>
        <v/>
      </c>
      <c r="K364" s="124">
        <f>IF($J364=0,0,$J364*YenidegerFonOran)</f>
        <v/>
      </c>
      <c r="L364" s="124">
        <f>IF($G364=0,0,$J364/$G364)</f>
        <v/>
      </c>
      <c r="M364" s="124">
        <f>IF($L364=0,0,$L364*YenidegerKurumlarVergiOran)</f>
        <v/>
      </c>
      <c r="N364" s="124">
        <f>IFERROR(IF(YenidegerIskontoOrani=0,$M364*$G364,$M364*(1-1/(1+YenidegerIskontoOrani)^$G364)/YenidegerIskontoOrani),0)</f>
        <v/>
      </c>
      <c r="O364" s="124">
        <f>$N364-$K364</f>
        <v/>
      </c>
      <c r="P364" s="124">
        <f>IF($J364&lt;=0,"DEĞERLENDİR",IF($O364&gt;0,"YENİDEN DEĞERLE","DEĞERLENDİR"))</f>
        <v/>
      </c>
      <c r="Q364" s="124">
        <f>IF($B364="","",CONCATENATE("Kıymet: ",$B364," | Değer Artışı: ",TEXT($J364,"#,##0")))</f>
        <v/>
      </c>
    </row>
    <row r="365" ht="15.75" customHeight="1" s="81">
      <c r="A365" s="129" t="n"/>
      <c r="B365" s="130" t="n"/>
      <c r="C365" s="127" t="n"/>
      <c r="D365" s="127" t="n"/>
      <c r="E365" s="124">
        <f>IF($C365=0,0,$C365-$D365)</f>
        <v/>
      </c>
      <c r="F365" s="128" t="n"/>
      <c r="G365" s="129" t="n"/>
      <c r="H365" s="131" t="n"/>
      <c r="I365" s="124">
        <f>IF($E365=0,0,$E365*$H365)</f>
        <v/>
      </c>
      <c r="J365" s="124">
        <f>IF($I365=0,0,$I365-$E365)</f>
        <v/>
      </c>
      <c r="K365" s="124">
        <f>IF($J365=0,0,$J365*YenidegerFonOran)</f>
        <v/>
      </c>
      <c r="L365" s="124">
        <f>IF($G365=0,0,$J365/$G365)</f>
        <v/>
      </c>
      <c r="M365" s="124">
        <f>IF($L365=0,0,$L365*YenidegerKurumlarVergiOran)</f>
        <v/>
      </c>
      <c r="N365" s="124">
        <f>IFERROR(IF(YenidegerIskontoOrani=0,$M365*$G365,$M365*(1-1/(1+YenidegerIskontoOrani)^$G365)/YenidegerIskontoOrani),0)</f>
        <v/>
      </c>
      <c r="O365" s="124">
        <f>$N365-$K365</f>
        <v/>
      </c>
      <c r="P365" s="124">
        <f>IF($J365&lt;=0,"DEĞERLENDİR",IF($O365&gt;0,"YENİDEN DEĞERLE","DEĞERLENDİR"))</f>
        <v/>
      </c>
      <c r="Q365" s="124">
        <f>IF($B365="","",CONCATENATE("Kıymet: ",$B365," | Değer Artışı: ",TEXT($J365,"#,##0")))</f>
        <v/>
      </c>
    </row>
    <row r="366" ht="15.75" customHeight="1" s="81">
      <c r="A366" s="129" t="n"/>
      <c r="B366" s="130" t="n"/>
      <c r="C366" s="127" t="n"/>
      <c r="D366" s="127" t="n"/>
      <c r="E366" s="124">
        <f>IF($C366=0,0,$C366-$D366)</f>
        <v/>
      </c>
      <c r="F366" s="128" t="n"/>
      <c r="G366" s="129" t="n"/>
      <c r="H366" s="131" t="n"/>
      <c r="I366" s="124">
        <f>IF($E366=0,0,$E366*$H366)</f>
        <v/>
      </c>
      <c r="J366" s="124">
        <f>IF($I366=0,0,$I366-$E366)</f>
        <v/>
      </c>
      <c r="K366" s="124">
        <f>IF($J366=0,0,$J366*YenidegerFonOran)</f>
        <v/>
      </c>
      <c r="L366" s="124">
        <f>IF($G366=0,0,$J366/$G366)</f>
        <v/>
      </c>
      <c r="M366" s="124">
        <f>IF($L366=0,0,$L366*YenidegerKurumlarVergiOran)</f>
        <v/>
      </c>
      <c r="N366" s="124">
        <f>IFERROR(IF(YenidegerIskontoOrani=0,$M366*$G366,$M366*(1-1/(1+YenidegerIskontoOrani)^$G366)/YenidegerIskontoOrani),0)</f>
        <v/>
      </c>
      <c r="O366" s="124">
        <f>$N366-$K366</f>
        <v/>
      </c>
      <c r="P366" s="124">
        <f>IF($J366&lt;=0,"DEĞERLENDİR",IF($O366&gt;0,"YENİDEN DEĞERLE","DEĞERLENDİR"))</f>
        <v/>
      </c>
      <c r="Q366" s="124">
        <f>IF($B366="","",CONCATENATE("Kıymet: ",$B366," | Değer Artışı: ",TEXT($J366,"#,##0")))</f>
        <v/>
      </c>
    </row>
    <row r="367" ht="15.75" customHeight="1" s="81">
      <c r="A367" s="129" t="n"/>
      <c r="B367" s="130" t="n"/>
      <c r="C367" s="127" t="n"/>
      <c r="D367" s="127" t="n"/>
      <c r="E367" s="124">
        <f>IF($C367=0,0,$C367-$D367)</f>
        <v/>
      </c>
      <c r="F367" s="128" t="n"/>
      <c r="G367" s="129" t="n"/>
      <c r="H367" s="131" t="n"/>
      <c r="I367" s="124">
        <f>IF($E367=0,0,$E367*$H367)</f>
        <v/>
      </c>
      <c r="J367" s="124">
        <f>IF($I367=0,0,$I367-$E367)</f>
        <v/>
      </c>
      <c r="K367" s="124">
        <f>IF($J367=0,0,$J367*YenidegerFonOran)</f>
        <v/>
      </c>
      <c r="L367" s="124">
        <f>IF($G367=0,0,$J367/$G367)</f>
        <v/>
      </c>
      <c r="M367" s="124">
        <f>IF($L367=0,0,$L367*YenidegerKurumlarVergiOran)</f>
        <v/>
      </c>
      <c r="N367" s="124">
        <f>IFERROR(IF(YenidegerIskontoOrani=0,$M367*$G367,$M367*(1-1/(1+YenidegerIskontoOrani)^$G367)/YenidegerIskontoOrani),0)</f>
        <v/>
      </c>
      <c r="O367" s="124">
        <f>$N367-$K367</f>
        <v/>
      </c>
      <c r="P367" s="124">
        <f>IF($J367&lt;=0,"DEĞERLENDİR",IF($O367&gt;0,"YENİDEN DEĞERLE","DEĞERLENDİR"))</f>
        <v/>
      </c>
      <c r="Q367" s="124">
        <f>IF($B367="","",CONCATENATE("Kıymet: ",$B367," | Değer Artışı: ",TEXT($J367,"#,##0")))</f>
        <v/>
      </c>
    </row>
    <row r="368" ht="15.75" customHeight="1" s="81">
      <c r="A368" s="129" t="n"/>
      <c r="B368" s="130" t="n"/>
      <c r="C368" s="127" t="n"/>
      <c r="D368" s="127" t="n"/>
      <c r="E368" s="124">
        <f>IF($C368=0,0,$C368-$D368)</f>
        <v/>
      </c>
      <c r="F368" s="128" t="n"/>
      <c r="G368" s="129" t="n"/>
      <c r="H368" s="131" t="n"/>
      <c r="I368" s="124">
        <f>IF($E368=0,0,$E368*$H368)</f>
        <v/>
      </c>
      <c r="J368" s="124">
        <f>IF($I368=0,0,$I368-$E368)</f>
        <v/>
      </c>
      <c r="K368" s="124">
        <f>IF($J368=0,0,$J368*YenidegerFonOran)</f>
        <v/>
      </c>
      <c r="L368" s="124">
        <f>IF($G368=0,0,$J368/$G368)</f>
        <v/>
      </c>
      <c r="M368" s="124">
        <f>IF($L368=0,0,$L368*YenidegerKurumlarVergiOran)</f>
        <v/>
      </c>
      <c r="N368" s="124">
        <f>IFERROR(IF(YenidegerIskontoOrani=0,$M368*$G368,$M368*(1-1/(1+YenidegerIskontoOrani)^$G368)/YenidegerIskontoOrani),0)</f>
        <v/>
      </c>
      <c r="O368" s="124">
        <f>$N368-$K368</f>
        <v/>
      </c>
      <c r="P368" s="124">
        <f>IF($J368&lt;=0,"DEĞERLENDİR",IF($O368&gt;0,"YENİDEN DEĞERLE","DEĞERLENDİR"))</f>
        <v/>
      </c>
      <c r="Q368" s="124">
        <f>IF($B368="","",CONCATENATE("Kıymet: ",$B368," | Değer Artışı: ",TEXT($J368,"#,##0")))</f>
        <v/>
      </c>
    </row>
    <row r="369" ht="15.75" customHeight="1" s="81">
      <c r="A369" s="129" t="n"/>
      <c r="B369" s="130" t="n"/>
      <c r="C369" s="127" t="n"/>
      <c r="D369" s="127" t="n"/>
      <c r="E369" s="124">
        <f>IF($C369=0,0,$C369-$D369)</f>
        <v/>
      </c>
      <c r="F369" s="128" t="n"/>
      <c r="G369" s="129" t="n"/>
      <c r="H369" s="131" t="n"/>
      <c r="I369" s="124">
        <f>IF($E369=0,0,$E369*$H369)</f>
        <v/>
      </c>
      <c r="J369" s="124">
        <f>IF($I369=0,0,$I369-$E369)</f>
        <v/>
      </c>
      <c r="K369" s="124">
        <f>IF($J369=0,0,$J369*YenidegerFonOran)</f>
        <v/>
      </c>
      <c r="L369" s="124">
        <f>IF($G369=0,0,$J369/$G369)</f>
        <v/>
      </c>
      <c r="M369" s="124">
        <f>IF($L369=0,0,$L369*YenidegerKurumlarVergiOran)</f>
        <v/>
      </c>
      <c r="N369" s="124">
        <f>IFERROR(IF(YenidegerIskontoOrani=0,$M369*$G369,$M369*(1-1/(1+YenidegerIskontoOrani)^$G369)/YenidegerIskontoOrani),0)</f>
        <v/>
      </c>
      <c r="O369" s="124">
        <f>$N369-$K369</f>
        <v/>
      </c>
      <c r="P369" s="124">
        <f>IF($J369&lt;=0,"DEĞERLENDİR",IF($O369&gt;0,"YENİDEN DEĞERLE","DEĞERLENDİR"))</f>
        <v/>
      </c>
      <c r="Q369" s="124">
        <f>IF($B369="","",CONCATENATE("Kıymet: ",$B369," | Değer Artışı: ",TEXT($J369,"#,##0")))</f>
        <v/>
      </c>
    </row>
    <row r="370" ht="15.75" customHeight="1" s="81">
      <c r="A370" s="129" t="n"/>
      <c r="B370" s="130" t="n"/>
      <c r="C370" s="127" t="n"/>
      <c r="D370" s="127" t="n"/>
      <c r="E370" s="124">
        <f>IF($C370=0,0,$C370-$D370)</f>
        <v/>
      </c>
      <c r="F370" s="128" t="n"/>
      <c r="G370" s="129" t="n"/>
      <c r="H370" s="131" t="n"/>
      <c r="I370" s="124">
        <f>IF($E370=0,0,$E370*$H370)</f>
        <v/>
      </c>
      <c r="J370" s="124">
        <f>IF($I370=0,0,$I370-$E370)</f>
        <v/>
      </c>
      <c r="K370" s="124">
        <f>IF($J370=0,0,$J370*YenidegerFonOran)</f>
        <v/>
      </c>
      <c r="L370" s="124">
        <f>IF($G370=0,0,$J370/$G370)</f>
        <v/>
      </c>
      <c r="M370" s="124">
        <f>IF($L370=0,0,$L370*YenidegerKurumlarVergiOran)</f>
        <v/>
      </c>
      <c r="N370" s="124">
        <f>IFERROR(IF(YenidegerIskontoOrani=0,$M370*$G370,$M370*(1-1/(1+YenidegerIskontoOrani)^$G370)/YenidegerIskontoOrani),0)</f>
        <v/>
      </c>
      <c r="O370" s="124">
        <f>$N370-$K370</f>
        <v/>
      </c>
      <c r="P370" s="124">
        <f>IF($J370&lt;=0,"DEĞERLENDİR",IF($O370&gt;0,"YENİDEN DEĞERLE","DEĞERLENDİR"))</f>
        <v/>
      </c>
      <c r="Q370" s="124">
        <f>IF($B370="","",CONCATENATE("Kıymet: ",$B370," | Değer Artışı: ",TEXT($J370,"#,##0")))</f>
        <v/>
      </c>
    </row>
    <row r="371" ht="15.75" customHeight="1" s="81">
      <c r="A371" s="129" t="n"/>
      <c r="B371" s="130" t="n"/>
      <c r="C371" s="127" t="n"/>
      <c r="D371" s="127" t="n"/>
      <c r="E371" s="124">
        <f>IF($C371=0,0,$C371-$D371)</f>
        <v/>
      </c>
      <c r="F371" s="128" t="n"/>
      <c r="G371" s="129" t="n"/>
      <c r="H371" s="131" t="n"/>
      <c r="I371" s="124">
        <f>IF($E371=0,0,$E371*$H371)</f>
        <v/>
      </c>
      <c r="J371" s="124">
        <f>IF($I371=0,0,$I371-$E371)</f>
        <v/>
      </c>
      <c r="K371" s="124">
        <f>IF($J371=0,0,$J371*YenidegerFonOran)</f>
        <v/>
      </c>
      <c r="L371" s="124">
        <f>IF($G371=0,0,$J371/$G371)</f>
        <v/>
      </c>
      <c r="M371" s="124">
        <f>IF($L371=0,0,$L371*YenidegerKurumlarVergiOran)</f>
        <v/>
      </c>
      <c r="N371" s="124">
        <f>IFERROR(IF(YenidegerIskontoOrani=0,$M371*$G371,$M371*(1-1/(1+YenidegerIskontoOrani)^$G371)/YenidegerIskontoOrani),0)</f>
        <v/>
      </c>
      <c r="O371" s="124">
        <f>$N371-$K371</f>
        <v/>
      </c>
      <c r="P371" s="124">
        <f>IF($J371&lt;=0,"DEĞERLENDİR",IF($O371&gt;0,"YENİDEN DEĞERLE","DEĞERLENDİR"))</f>
        <v/>
      </c>
      <c r="Q371" s="124">
        <f>IF($B371="","",CONCATENATE("Kıymet: ",$B371," | Değer Artışı: ",TEXT($J371,"#,##0")))</f>
        <v/>
      </c>
    </row>
    <row r="372" ht="15.75" customHeight="1" s="81">
      <c r="A372" s="129" t="n"/>
      <c r="B372" s="130" t="n"/>
      <c r="C372" s="127" t="n"/>
      <c r="D372" s="127" t="n"/>
      <c r="E372" s="124">
        <f>IF($C372=0,0,$C372-$D372)</f>
        <v/>
      </c>
      <c r="F372" s="128" t="n"/>
      <c r="G372" s="129" t="n"/>
      <c r="H372" s="131" t="n"/>
      <c r="I372" s="124">
        <f>IF($E372=0,0,$E372*$H372)</f>
        <v/>
      </c>
      <c r="J372" s="124">
        <f>IF($I372=0,0,$I372-$E372)</f>
        <v/>
      </c>
      <c r="K372" s="124">
        <f>IF($J372=0,0,$J372*YenidegerFonOran)</f>
        <v/>
      </c>
      <c r="L372" s="124">
        <f>IF($G372=0,0,$J372/$G372)</f>
        <v/>
      </c>
      <c r="M372" s="124">
        <f>IF($L372=0,0,$L372*YenidegerKurumlarVergiOran)</f>
        <v/>
      </c>
      <c r="N372" s="124">
        <f>IFERROR(IF(YenidegerIskontoOrani=0,$M372*$G372,$M372*(1-1/(1+YenidegerIskontoOrani)^$G372)/YenidegerIskontoOrani),0)</f>
        <v/>
      </c>
      <c r="O372" s="124">
        <f>$N372-$K372</f>
        <v/>
      </c>
      <c r="P372" s="124">
        <f>IF($J372&lt;=0,"DEĞERLENDİR",IF($O372&gt;0,"YENİDEN DEĞERLE","DEĞERLENDİR"))</f>
        <v/>
      </c>
      <c r="Q372" s="124">
        <f>IF($B372="","",CONCATENATE("Kıymet: ",$B372," | Değer Artışı: ",TEXT($J372,"#,##0")))</f>
        <v/>
      </c>
    </row>
    <row r="373" ht="15.75" customHeight="1" s="81">
      <c r="A373" s="129" t="n"/>
      <c r="B373" s="130" t="n"/>
      <c r="C373" s="127" t="n"/>
      <c r="D373" s="127" t="n"/>
      <c r="E373" s="124">
        <f>IF($C373=0,0,$C373-$D373)</f>
        <v/>
      </c>
      <c r="F373" s="128" t="n"/>
      <c r="G373" s="129" t="n"/>
      <c r="H373" s="131" t="n"/>
      <c r="I373" s="124">
        <f>IF($E373=0,0,$E373*$H373)</f>
        <v/>
      </c>
      <c r="J373" s="124">
        <f>IF($I373=0,0,$I373-$E373)</f>
        <v/>
      </c>
      <c r="K373" s="124">
        <f>IF($J373=0,0,$J373*YenidegerFonOran)</f>
        <v/>
      </c>
      <c r="L373" s="124">
        <f>IF($G373=0,0,$J373/$G373)</f>
        <v/>
      </c>
      <c r="M373" s="124">
        <f>IF($L373=0,0,$L373*YenidegerKurumlarVergiOran)</f>
        <v/>
      </c>
      <c r="N373" s="124">
        <f>IFERROR(IF(YenidegerIskontoOrani=0,$M373*$G373,$M373*(1-1/(1+YenidegerIskontoOrani)^$G373)/YenidegerIskontoOrani),0)</f>
        <v/>
      </c>
      <c r="O373" s="124">
        <f>$N373-$K373</f>
        <v/>
      </c>
      <c r="P373" s="124">
        <f>IF($J373&lt;=0,"DEĞERLENDİR",IF($O373&gt;0,"YENİDEN DEĞERLE","DEĞERLENDİR"))</f>
        <v/>
      </c>
      <c r="Q373" s="124">
        <f>IF($B373="","",CONCATENATE("Kıymet: ",$B373," | Değer Artışı: ",TEXT($J373,"#,##0")))</f>
        <v/>
      </c>
    </row>
    <row r="374" ht="15.75" customHeight="1" s="81">
      <c r="A374" s="129" t="n"/>
      <c r="B374" s="130" t="n"/>
      <c r="C374" s="127" t="n"/>
      <c r="D374" s="127" t="n"/>
      <c r="E374" s="124">
        <f>IF($C374=0,0,$C374-$D374)</f>
        <v/>
      </c>
      <c r="F374" s="128" t="n"/>
      <c r="G374" s="129" t="n"/>
      <c r="H374" s="131" t="n"/>
      <c r="I374" s="124">
        <f>IF($E374=0,0,$E374*$H374)</f>
        <v/>
      </c>
      <c r="J374" s="124">
        <f>IF($I374=0,0,$I374-$E374)</f>
        <v/>
      </c>
      <c r="K374" s="124">
        <f>IF($J374=0,0,$J374*YenidegerFonOran)</f>
        <v/>
      </c>
      <c r="L374" s="124">
        <f>IF($G374=0,0,$J374/$G374)</f>
        <v/>
      </c>
      <c r="M374" s="124">
        <f>IF($L374=0,0,$L374*YenidegerKurumlarVergiOran)</f>
        <v/>
      </c>
      <c r="N374" s="124">
        <f>IFERROR(IF(YenidegerIskontoOrani=0,$M374*$G374,$M374*(1-1/(1+YenidegerIskontoOrani)^$G374)/YenidegerIskontoOrani),0)</f>
        <v/>
      </c>
      <c r="O374" s="124">
        <f>$N374-$K374</f>
        <v/>
      </c>
      <c r="P374" s="124">
        <f>IF($J374&lt;=0,"DEĞERLENDİR",IF($O374&gt;0,"YENİDEN DEĞERLE","DEĞERLENDİR"))</f>
        <v/>
      </c>
      <c r="Q374" s="124">
        <f>IF($B374="","",CONCATENATE("Kıymet: ",$B374," | Değer Artışı: ",TEXT($J374,"#,##0")))</f>
        <v/>
      </c>
    </row>
    <row r="375" ht="15.75" customHeight="1" s="81">
      <c r="A375" s="129" t="n"/>
      <c r="B375" s="130" t="n"/>
      <c r="C375" s="127" t="n"/>
      <c r="D375" s="127" t="n"/>
      <c r="E375" s="124">
        <f>IF($C375=0,0,$C375-$D375)</f>
        <v/>
      </c>
      <c r="F375" s="128" t="n"/>
      <c r="G375" s="129" t="n"/>
      <c r="H375" s="131" t="n"/>
      <c r="I375" s="124">
        <f>IF($E375=0,0,$E375*$H375)</f>
        <v/>
      </c>
      <c r="J375" s="124">
        <f>IF($I375=0,0,$I375-$E375)</f>
        <v/>
      </c>
      <c r="K375" s="124">
        <f>IF($J375=0,0,$J375*YenidegerFonOran)</f>
        <v/>
      </c>
      <c r="L375" s="124">
        <f>IF($G375=0,0,$J375/$G375)</f>
        <v/>
      </c>
      <c r="M375" s="124">
        <f>IF($L375=0,0,$L375*YenidegerKurumlarVergiOran)</f>
        <v/>
      </c>
      <c r="N375" s="124">
        <f>IFERROR(IF(YenidegerIskontoOrani=0,$M375*$G375,$M375*(1-1/(1+YenidegerIskontoOrani)^$G375)/YenidegerIskontoOrani),0)</f>
        <v/>
      </c>
      <c r="O375" s="124">
        <f>$N375-$K375</f>
        <v/>
      </c>
      <c r="P375" s="124">
        <f>IF($J375&lt;=0,"DEĞERLENDİR",IF($O375&gt;0,"YENİDEN DEĞERLE","DEĞERLENDİR"))</f>
        <v/>
      </c>
      <c r="Q375" s="124">
        <f>IF($B375="","",CONCATENATE("Kıymet: ",$B375," | Değer Artışı: ",TEXT($J375,"#,##0")))</f>
        <v/>
      </c>
    </row>
    <row r="376" ht="15.75" customHeight="1" s="81">
      <c r="A376" s="129" t="n"/>
      <c r="B376" s="130" t="n"/>
      <c r="C376" s="127" t="n"/>
      <c r="D376" s="127" t="n"/>
      <c r="E376" s="124">
        <f>IF($C376=0,0,$C376-$D376)</f>
        <v/>
      </c>
      <c r="F376" s="128" t="n"/>
      <c r="G376" s="129" t="n"/>
      <c r="H376" s="131" t="n"/>
      <c r="I376" s="124">
        <f>IF($E376=0,0,$E376*$H376)</f>
        <v/>
      </c>
      <c r="J376" s="124">
        <f>IF($I376=0,0,$I376-$E376)</f>
        <v/>
      </c>
      <c r="K376" s="124">
        <f>IF($J376=0,0,$J376*YenidegerFonOran)</f>
        <v/>
      </c>
      <c r="L376" s="124">
        <f>IF($G376=0,0,$J376/$G376)</f>
        <v/>
      </c>
      <c r="M376" s="124">
        <f>IF($L376=0,0,$L376*YenidegerKurumlarVergiOran)</f>
        <v/>
      </c>
      <c r="N376" s="124">
        <f>IFERROR(IF(YenidegerIskontoOrani=0,$M376*$G376,$M376*(1-1/(1+YenidegerIskontoOrani)^$G376)/YenidegerIskontoOrani),0)</f>
        <v/>
      </c>
      <c r="O376" s="124">
        <f>$N376-$K376</f>
        <v/>
      </c>
      <c r="P376" s="124">
        <f>IF($J376&lt;=0,"DEĞERLENDİR",IF($O376&gt;0,"YENİDEN DEĞERLE","DEĞERLENDİR"))</f>
        <v/>
      </c>
      <c r="Q376" s="124">
        <f>IF($B376="","",CONCATENATE("Kıymet: ",$B376," | Değer Artışı: ",TEXT($J376,"#,##0")))</f>
        <v/>
      </c>
    </row>
    <row r="377" ht="15.75" customHeight="1" s="81">
      <c r="A377" s="129" t="n"/>
      <c r="B377" s="130" t="n"/>
      <c r="C377" s="127" t="n"/>
      <c r="D377" s="127" t="n"/>
      <c r="E377" s="124">
        <f>IF($C377=0,0,$C377-$D377)</f>
        <v/>
      </c>
      <c r="F377" s="128" t="n"/>
      <c r="G377" s="129" t="n"/>
      <c r="H377" s="131" t="n"/>
      <c r="I377" s="124">
        <f>IF($E377=0,0,$E377*$H377)</f>
        <v/>
      </c>
      <c r="J377" s="124">
        <f>IF($I377=0,0,$I377-$E377)</f>
        <v/>
      </c>
      <c r="K377" s="124">
        <f>IF($J377=0,0,$J377*YenidegerFonOran)</f>
        <v/>
      </c>
      <c r="L377" s="124">
        <f>IF($G377=0,0,$J377/$G377)</f>
        <v/>
      </c>
      <c r="M377" s="124">
        <f>IF($L377=0,0,$L377*YenidegerKurumlarVergiOran)</f>
        <v/>
      </c>
      <c r="N377" s="124">
        <f>IFERROR(IF(YenidegerIskontoOrani=0,$M377*$G377,$M377*(1-1/(1+YenidegerIskontoOrani)^$G377)/YenidegerIskontoOrani),0)</f>
        <v/>
      </c>
      <c r="O377" s="124">
        <f>$N377-$K377</f>
        <v/>
      </c>
      <c r="P377" s="124">
        <f>IF($J377&lt;=0,"DEĞERLENDİR",IF($O377&gt;0,"YENİDEN DEĞERLE","DEĞERLENDİR"))</f>
        <v/>
      </c>
      <c r="Q377" s="124">
        <f>IF($B377="","",CONCATENATE("Kıymet: ",$B377," | Değer Artışı: ",TEXT($J377,"#,##0")))</f>
        <v/>
      </c>
    </row>
    <row r="378" ht="15.75" customHeight="1" s="81">
      <c r="A378" s="129" t="n"/>
      <c r="B378" s="130" t="n"/>
      <c r="C378" s="127" t="n"/>
      <c r="D378" s="127" t="n"/>
      <c r="E378" s="124">
        <f>IF($C378=0,0,$C378-$D378)</f>
        <v/>
      </c>
      <c r="F378" s="128" t="n"/>
      <c r="G378" s="129" t="n"/>
      <c r="H378" s="131" t="n"/>
      <c r="I378" s="124">
        <f>IF($E378=0,0,$E378*$H378)</f>
        <v/>
      </c>
      <c r="J378" s="124">
        <f>IF($I378=0,0,$I378-$E378)</f>
        <v/>
      </c>
      <c r="K378" s="124">
        <f>IF($J378=0,0,$J378*YenidegerFonOran)</f>
        <v/>
      </c>
      <c r="L378" s="124">
        <f>IF($G378=0,0,$J378/$G378)</f>
        <v/>
      </c>
      <c r="M378" s="124">
        <f>IF($L378=0,0,$L378*YenidegerKurumlarVergiOran)</f>
        <v/>
      </c>
      <c r="N378" s="124">
        <f>IFERROR(IF(YenidegerIskontoOrani=0,$M378*$G378,$M378*(1-1/(1+YenidegerIskontoOrani)^$G378)/YenidegerIskontoOrani),0)</f>
        <v/>
      </c>
      <c r="O378" s="124">
        <f>$N378-$K378</f>
        <v/>
      </c>
      <c r="P378" s="124">
        <f>IF($J378&lt;=0,"DEĞERLENDİR",IF($O378&gt;0,"YENİDEN DEĞERLE","DEĞERLENDİR"))</f>
        <v/>
      </c>
      <c r="Q378" s="124">
        <f>IF($B378="","",CONCATENATE("Kıymet: ",$B378," | Değer Artışı: ",TEXT($J378,"#,##0")))</f>
        <v/>
      </c>
    </row>
    <row r="379" ht="15.75" customHeight="1" s="81">
      <c r="A379" s="129" t="n"/>
      <c r="B379" s="130" t="n"/>
      <c r="C379" s="127" t="n"/>
      <c r="D379" s="127" t="n"/>
      <c r="E379" s="124">
        <f>IF($C379=0,0,$C379-$D379)</f>
        <v/>
      </c>
      <c r="F379" s="128" t="n"/>
      <c r="G379" s="129" t="n"/>
      <c r="H379" s="131" t="n"/>
      <c r="I379" s="124">
        <f>IF($E379=0,0,$E379*$H379)</f>
        <v/>
      </c>
      <c r="J379" s="124">
        <f>IF($I379=0,0,$I379-$E379)</f>
        <v/>
      </c>
      <c r="K379" s="124">
        <f>IF($J379=0,0,$J379*YenidegerFonOran)</f>
        <v/>
      </c>
      <c r="L379" s="124">
        <f>IF($G379=0,0,$J379/$G379)</f>
        <v/>
      </c>
      <c r="M379" s="124">
        <f>IF($L379=0,0,$L379*YenidegerKurumlarVergiOran)</f>
        <v/>
      </c>
      <c r="N379" s="124">
        <f>IFERROR(IF(YenidegerIskontoOrani=0,$M379*$G379,$M379*(1-1/(1+YenidegerIskontoOrani)^$G379)/YenidegerIskontoOrani),0)</f>
        <v/>
      </c>
      <c r="O379" s="124">
        <f>$N379-$K379</f>
        <v/>
      </c>
      <c r="P379" s="124">
        <f>IF($J379&lt;=0,"DEĞERLENDİR",IF($O379&gt;0,"YENİDEN DEĞERLE","DEĞERLENDİR"))</f>
        <v/>
      </c>
      <c r="Q379" s="124">
        <f>IF($B379="","",CONCATENATE("Kıymet: ",$B379," | Değer Artışı: ",TEXT($J379,"#,##0")))</f>
        <v/>
      </c>
    </row>
    <row r="380" ht="15.75" customHeight="1" s="81">
      <c r="A380" s="129" t="n"/>
      <c r="B380" s="130" t="n"/>
      <c r="C380" s="127" t="n"/>
      <c r="D380" s="127" t="n"/>
      <c r="E380" s="124">
        <f>IF($C380=0,0,$C380-$D380)</f>
        <v/>
      </c>
      <c r="F380" s="128" t="n"/>
      <c r="G380" s="129" t="n"/>
      <c r="H380" s="131" t="n"/>
      <c r="I380" s="124">
        <f>IF($E380=0,0,$E380*$H380)</f>
        <v/>
      </c>
      <c r="J380" s="124">
        <f>IF($I380=0,0,$I380-$E380)</f>
        <v/>
      </c>
      <c r="K380" s="124">
        <f>IF($J380=0,0,$J380*YenidegerFonOran)</f>
        <v/>
      </c>
      <c r="L380" s="124">
        <f>IF($G380=0,0,$J380/$G380)</f>
        <v/>
      </c>
      <c r="M380" s="124">
        <f>IF($L380=0,0,$L380*YenidegerKurumlarVergiOran)</f>
        <v/>
      </c>
      <c r="N380" s="124">
        <f>IFERROR(IF(YenidegerIskontoOrani=0,$M380*$G380,$M380*(1-1/(1+YenidegerIskontoOrani)^$G380)/YenidegerIskontoOrani),0)</f>
        <v/>
      </c>
      <c r="O380" s="124">
        <f>$N380-$K380</f>
        <v/>
      </c>
      <c r="P380" s="124">
        <f>IF($J380&lt;=0,"DEĞERLENDİR",IF($O380&gt;0,"YENİDEN DEĞERLE","DEĞERLENDİR"))</f>
        <v/>
      </c>
      <c r="Q380" s="124">
        <f>IF($B380="","",CONCATENATE("Kıymet: ",$B380," | Değer Artışı: ",TEXT($J380,"#,##0")))</f>
        <v/>
      </c>
    </row>
    <row r="381" ht="15.75" customHeight="1" s="81">
      <c r="A381" s="129" t="n"/>
      <c r="B381" s="130" t="n"/>
      <c r="C381" s="127" t="n"/>
      <c r="D381" s="127" t="n"/>
      <c r="E381" s="124">
        <f>IF($C381=0,0,$C381-$D381)</f>
        <v/>
      </c>
      <c r="F381" s="128" t="n"/>
      <c r="G381" s="129" t="n"/>
      <c r="H381" s="131" t="n"/>
      <c r="I381" s="124">
        <f>IF($E381=0,0,$E381*$H381)</f>
        <v/>
      </c>
      <c r="J381" s="124">
        <f>IF($I381=0,0,$I381-$E381)</f>
        <v/>
      </c>
      <c r="K381" s="124">
        <f>IF($J381=0,0,$J381*YenidegerFonOran)</f>
        <v/>
      </c>
      <c r="L381" s="124">
        <f>IF($G381=0,0,$J381/$G381)</f>
        <v/>
      </c>
      <c r="M381" s="124">
        <f>IF($L381=0,0,$L381*YenidegerKurumlarVergiOran)</f>
        <v/>
      </c>
      <c r="N381" s="124">
        <f>IFERROR(IF(YenidegerIskontoOrani=0,$M381*$G381,$M381*(1-1/(1+YenidegerIskontoOrani)^$G381)/YenidegerIskontoOrani),0)</f>
        <v/>
      </c>
      <c r="O381" s="124">
        <f>$N381-$K381</f>
        <v/>
      </c>
      <c r="P381" s="124">
        <f>IF($J381&lt;=0,"DEĞERLENDİR",IF($O381&gt;0,"YENİDEN DEĞERLE","DEĞERLENDİR"))</f>
        <v/>
      </c>
      <c r="Q381" s="124">
        <f>IF($B381="","",CONCATENATE("Kıymet: ",$B381," | Değer Artışı: ",TEXT($J381,"#,##0")))</f>
        <v/>
      </c>
    </row>
    <row r="382" ht="15.75" customHeight="1" s="81">
      <c r="A382" s="129" t="n"/>
      <c r="B382" s="130" t="n"/>
      <c r="C382" s="127" t="n"/>
      <c r="D382" s="127" t="n"/>
      <c r="E382" s="124">
        <f>IF($C382=0,0,$C382-$D382)</f>
        <v/>
      </c>
      <c r="F382" s="128" t="n"/>
      <c r="G382" s="129" t="n"/>
      <c r="H382" s="131" t="n"/>
      <c r="I382" s="124">
        <f>IF($E382=0,0,$E382*$H382)</f>
        <v/>
      </c>
      <c r="J382" s="124">
        <f>IF($I382=0,0,$I382-$E382)</f>
        <v/>
      </c>
      <c r="K382" s="124">
        <f>IF($J382=0,0,$J382*YenidegerFonOran)</f>
        <v/>
      </c>
      <c r="L382" s="124">
        <f>IF($G382=0,0,$J382/$G382)</f>
        <v/>
      </c>
      <c r="M382" s="124">
        <f>IF($L382=0,0,$L382*YenidegerKurumlarVergiOran)</f>
        <v/>
      </c>
      <c r="N382" s="124">
        <f>IFERROR(IF(YenidegerIskontoOrani=0,$M382*$G382,$M382*(1-1/(1+YenidegerIskontoOrani)^$G382)/YenidegerIskontoOrani),0)</f>
        <v/>
      </c>
      <c r="O382" s="124">
        <f>$N382-$K382</f>
        <v/>
      </c>
      <c r="P382" s="124">
        <f>IF($J382&lt;=0,"DEĞERLENDİR",IF($O382&gt;0,"YENİDEN DEĞERLE","DEĞERLENDİR"))</f>
        <v/>
      </c>
      <c r="Q382" s="124">
        <f>IF($B382="","",CONCATENATE("Kıymet: ",$B382," | Değer Artışı: ",TEXT($J382,"#,##0")))</f>
        <v/>
      </c>
    </row>
    <row r="383" ht="15.75" customHeight="1" s="81">
      <c r="A383" s="129" t="n"/>
      <c r="B383" s="130" t="n"/>
      <c r="C383" s="127" t="n"/>
      <c r="D383" s="127" t="n"/>
      <c r="E383" s="124">
        <f>IF($C383=0,0,$C383-$D383)</f>
        <v/>
      </c>
      <c r="F383" s="128" t="n"/>
      <c r="G383" s="129" t="n"/>
      <c r="H383" s="131" t="n"/>
      <c r="I383" s="124">
        <f>IF($E383=0,0,$E383*$H383)</f>
        <v/>
      </c>
      <c r="J383" s="124">
        <f>IF($I383=0,0,$I383-$E383)</f>
        <v/>
      </c>
      <c r="K383" s="124">
        <f>IF($J383=0,0,$J383*YenidegerFonOran)</f>
        <v/>
      </c>
      <c r="L383" s="124">
        <f>IF($G383=0,0,$J383/$G383)</f>
        <v/>
      </c>
      <c r="M383" s="124">
        <f>IF($L383=0,0,$L383*YenidegerKurumlarVergiOran)</f>
        <v/>
      </c>
      <c r="N383" s="124">
        <f>IFERROR(IF(YenidegerIskontoOrani=0,$M383*$G383,$M383*(1-1/(1+YenidegerIskontoOrani)^$G383)/YenidegerIskontoOrani),0)</f>
        <v/>
      </c>
      <c r="O383" s="124">
        <f>$N383-$K383</f>
        <v/>
      </c>
      <c r="P383" s="124">
        <f>IF($J383&lt;=0,"DEĞERLENDİR",IF($O383&gt;0,"YENİDEN DEĞERLE","DEĞERLENDİR"))</f>
        <v/>
      </c>
      <c r="Q383" s="124">
        <f>IF($B383="","",CONCATENATE("Kıymet: ",$B383," | Değer Artışı: ",TEXT($J383,"#,##0")))</f>
        <v/>
      </c>
    </row>
    <row r="384" ht="15.75" customHeight="1" s="81">
      <c r="A384" s="129" t="n"/>
      <c r="B384" s="130" t="n"/>
      <c r="C384" s="127" t="n"/>
      <c r="D384" s="127" t="n"/>
      <c r="E384" s="124">
        <f>IF($C384=0,0,$C384-$D384)</f>
        <v/>
      </c>
      <c r="F384" s="128" t="n"/>
      <c r="G384" s="129" t="n"/>
      <c r="H384" s="131" t="n"/>
      <c r="I384" s="124">
        <f>IF($E384=0,0,$E384*$H384)</f>
        <v/>
      </c>
      <c r="J384" s="124">
        <f>IF($I384=0,0,$I384-$E384)</f>
        <v/>
      </c>
      <c r="K384" s="124">
        <f>IF($J384=0,0,$J384*YenidegerFonOran)</f>
        <v/>
      </c>
      <c r="L384" s="124">
        <f>IF($G384=0,0,$J384/$G384)</f>
        <v/>
      </c>
      <c r="M384" s="124">
        <f>IF($L384=0,0,$L384*YenidegerKurumlarVergiOran)</f>
        <v/>
      </c>
      <c r="N384" s="124">
        <f>IFERROR(IF(YenidegerIskontoOrani=0,$M384*$G384,$M384*(1-1/(1+YenidegerIskontoOrani)^$G384)/YenidegerIskontoOrani),0)</f>
        <v/>
      </c>
      <c r="O384" s="124">
        <f>$N384-$K384</f>
        <v/>
      </c>
      <c r="P384" s="124">
        <f>IF($J384&lt;=0,"DEĞERLENDİR",IF($O384&gt;0,"YENİDEN DEĞERLE","DEĞERLENDİR"))</f>
        <v/>
      </c>
      <c r="Q384" s="124">
        <f>IF($B384="","",CONCATENATE("Kıymet: ",$B384," | Değer Artışı: ",TEXT($J384,"#,##0")))</f>
        <v/>
      </c>
    </row>
    <row r="385" ht="15.75" customHeight="1" s="81">
      <c r="A385" s="129" t="n"/>
      <c r="B385" s="130" t="n"/>
      <c r="C385" s="127" t="n"/>
      <c r="D385" s="127" t="n"/>
      <c r="E385" s="124">
        <f>IF($C385=0,0,$C385-$D385)</f>
        <v/>
      </c>
      <c r="F385" s="128" t="n"/>
      <c r="G385" s="129" t="n"/>
      <c r="H385" s="131" t="n"/>
      <c r="I385" s="124">
        <f>IF($E385=0,0,$E385*$H385)</f>
        <v/>
      </c>
      <c r="J385" s="124">
        <f>IF($I385=0,0,$I385-$E385)</f>
        <v/>
      </c>
      <c r="K385" s="124">
        <f>IF($J385=0,0,$J385*YenidegerFonOran)</f>
        <v/>
      </c>
      <c r="L385" s="124">
        <f>IF($G385=0,0,$J385/$G385)</f>
        <v/>
      </c>
      <c r="M385" s="124">
        <f>IF($L385=0,0,$L385*YenidegerKurumlarVergiOran)</f>
        <v/>
      </c>
      <c r="N385" s="124">
        <f>IFERROR(IF(YenidegerIskontoOrani=0,$M385*$G385,$M385*(1-1/(1+YenidegerIskontoOrani)^$G385)/YenidegerIskontoOrani),0)</f>
        <v/>
      </c>
      <c r="O385" s="124">
        <f>$N385-$K385</f>
        <v/>
      </c>
      <c r="P385" s="124">
        <f>IF($J385&lt;=0,"DEĞERLENDİR",IF($O385&gt;0,"YENİDEN DEĞERLE","DEĞERLENDİR"))</f>
        <v/>
      </c>
      <c r="Q385" s="124">
        <f>IF($B385="","",CONCATENATE("Kıymet: ",$B385," | Değer Artışı: ",TEXT($J385,"#,##0")))</f>
        <v/>
      </c>
    </row>
    <row r="386" ht="15.75" customHeight="1" s="81">
      <c r="A386" s="129" t="n"/>
      <c r="B386" s="130" t="n"/>
      <c r="C386" s="127" t="n"/>
      <c r="D386" s="127" t="n"/>
      <c r="E386" s="124">
        <f>IF($C386=0,0,$C386-$D386)</f>
        <v/>
      </c>
      <c r="F386" s="128" t="n"/>
      <c r="G386" s="129" t="n"/>
      <c r="H386" s="131" t="n"/>
      <c r="I386" s="124">
        <f>IF($E386=0,0,$E386*$H386)</f>
        <v/>
      </c>
      <c r="J386" s="124">
        <f>IF($I386=0,0,$I386-$E386)</f>
        <v/>
      </c>
      <c r="K386" s="124">
        <f>IF($J386=0,0,$J386*YenidegerFonOran)</f>
        <v/>
      </c>
      <c r="L386" s="124">
        <f>IF($G386=0,0,$J386/$G386)</f>
        <v/>
      </c>
      <c r="M386" s="124">
        <f>IF($L386=0,0,$L386*YenidegerKurumlarVergiOran)</f>
        <v/>
      </c>
      <c r="N386" s="124">
        <f>IFERROR(IF(YenidegerIskontoOrani=0,$M386*$G386,$M386*(1-1/(1+YenidegerIskontoOrani)^$G386)/YenidegerIskontoOrani),0)</f>
        <v/>
      </c>
      <c r="O386" s="124">
        <f>$N386-$K386</f>
        <v/>
      </c>
      <c r="P386" s="124">
        <f>IF($J386&lt;=0,"DEĞERLENDİR",IF($O386&gt;0,"YENİDEN DEĞERLE","DEĞERLENDİR"))</f>
        <v/>
      </c>
      <c r="Q386" s="124">
        <f>IF($B386="","",CONCATENATE("Kıymet: ",$B386," | Değer Artışı: ",TEXT($J386,"#,##0")))</f>
        <v/>
      </c>
    </row>
    <row r="387" ht="15.75" customHeight="1" s="81">
      <c r="A387" s="129" t="n"/>
      <c r="B387" s="130" t="n"/>
      <c r="C387" s="127" t="n"/>
      <c r="D387" s="127" t="n"/>
      <c r="E387" s="124">
        <f>IF($C387=0,0,$C387-$D387)</f>
        <v/>
      </c>
      <c r="F387" s="128" t="n"/>
      <c r="G387" s="129" t="n"/>
      <c r="H387" s="131" t="n"/>
      <c r="I387" s="124">
        <f>IF($E387=0,0,$E387*$H387)</f>
        <v/>
      </c>
      <c r="J387" s="124">
        <f>IF($I387=0,0,$I387-$E387)</f>
        <v/>
      </c>
      <c r="K387" s="124">
        <f>IF($J387=0,0,$J387*YenidegerFonOran)</f>
        <v/>
      </c>
      <c r="L387" s="124">
        <f>IF($G387=0,0,$J387/$G387)</f>
        <v/>
      </c>
      <c r="M387" s="124">
        <f>IF($L387=0,0,$L387*YenidegerKurumlarVergiOran)</f>
        <v/>
      </c>
      <c r="N387" s="124">
        <f>IFERROR(IF(YenidegerIskontoOrani=0,$M387*$G387,$M387*(1-1/(1+YenidegerIskontoOrani)^$G387)/YenidegerIskontoOrani),0)</f>
        <v/>
      </c>
      <c r="O387" s="124">
        <f>$N387-$K387</f>
        <v/>
      </c>
      <c r="P387" s="124">
        <f>IF($J387&lt;=0,"DEĞERLENDİR",IF($O387&gt;0,"YENİDEN DEĞERLE","DEĞERLENDİR"))</f>
        <v/>
      </c>
      <c r="Q387" s="124">
        <f>IF($B387="","",CONCATENATE("Kıymet: ",$B387," | Değer Artışı: ",TEXT($J387,"#,##0")))</f>
        <v/>
      </c>
    </row>
    <row r="388" ht="15.75" customHeight="1" s="81">
      <c r="A388" s="129" t="n"/>
      <c r="B388" s="130" t="n"/>
      <c r="C388" s="127" t="n"/>
      <c r="D388" s="127" t="n"/>
      <c r="E388" s="124">
        <f>IF($C388=0,0,$C388-$D388)</f>
        <v/>
      </c>
      <c r="F388" s="128" t="n"/>
      <c r="G388" s="129" t="n"/>
      <c r="H388" s="131" t="n"/>
      <c r="I388" s="124">
        <f>IF($E388=0,0,$E388*$H388)</f>
        <v/>
      </c>
      <c r="J388" s="124">
        <f>IF($I388=0,0,$I388-$E388)</f>
        <v/>
      </c>
      <c r="K388" s="124">
        <f>IF($J388=0,0,$J388*YenidegerFonOran)</f>
        <v/>
      </c>
      <c r="L388" s="124">
        <f>IF($G388=0,0,$J388/$G388)</f>
        <v/>
      </c>
      <c r="M388" s="124">
        <f>IF($L388=0,0,$L388*YenidegerKurumlarVergiOran)</f>
        <v/>
      </c>
      <c r="N388" s="124">
        <f>IFERROR(IF(YenidegerIskontoOrani=0,$M388*$G388,$M388*(1-1/(1+YenidegerIskontoOrani)^$G388)/YenidegerIskontoOrani),0)</f>
        <v/>
      </c>
      <c r="O388" s="124">
        <f>$N388-$K388</f>
        <v/>
      </c>
      <c r="P388" s="124">
        <f>IF($J388&lt;=0,"DEĞERLENDİR",IF($O388&gt;0,"YENİDEN DEĞERLE","DEĞERLENDİR"))</f>
        <v/>
      </c>
      <c r="Q388" s="124">
        <f>IF($B388="","",CONCATENATE("Kıymet: ",$B388," | Değer Artışı: ",TEXT($J388,"#,##0")))</f>
        <v/>
      </c>
    </row>
    <row r="389" ht="15.75" customHeight="1" s="81">
      <c r="A389" s="129" t="n"/>
      <c r="B389" s="130" t="n"/>
      <c r="C389" s="127" t="n"/>
      <c r="D389" s="127" t="n"/>
      <c r="E389" s="124">
        <f>IF($C389=0,0,$C389-$D389)</f>
        <v/>
      </c>
      <c r="F389" s="128" t="n"/>
      <c r="G389" s="129" t="n"/>
      <c r="H389" s="131" t="n"/>
      <c r="I389" s="124">
        <f>IF($E389=0,0,$E389*$H389)</f>
        <v/>
      </c>
      <c r="J389" s="124">
        <f>IF($I389=0,0,$I389-$E389)</f>
        <v/>
      </c>
      <c r="K389" s="124">
        <f>IF($J389=0,0,$J389*YenidegerFonOran)</f>
        <v/>
      </c>
      <c r="L389" s="124">
        <f>IF($G389=0,0,$J389/$G389)</f>
        <v/>
      </c>
      <c r="M389" s="124">
        <f>IF($L389=0,0,$L389*YenidegerKurumlarVergiOran)</f>
        <v/>
      </c>
      <c r="N389" s="124">
        <f>IFERROR(IF(YenidegerIskontoOrani=0,$M389*$G389,$M389*(1-1/(1+YenidegerIskontoOrani)^$G389)/YenidegerIskontoOrani),0)</f>
        <v/>
      </c>
      <c r="O389" s="124">
        <f>$N389-$K389</f>
        <v/>
      </c>
      <c r="P389" s="124">
        <f>IF($J389&lt;=0,"DEĞERLENDİR",IF($O389&gt;0,"YENİDEN DEĞERLE","DEĞERLENDİR"))</f>
        <v/>
      </c>
      <c r="Q389" s="124">
        <f>IF($B389="","",CONCATENATE("Kıymet: ",$B389," | Değer Artışı: ",TEXT($J389,"#,##0")))</f>
        <v/>
      </c>
    </row>
    <row r="390" ht="15.75" customHeight="1" s="81">
      <c r="A390" s="129" t="n"/>
      <c r="B390" s="130" t="n"/>
      <c r="C390" s="127" t="n"/>
      <c r="D390" s="127" t="n"/>
      <c r="E390" s="124">
        <f>IF($C390=0,0,$C390-$D390)</f>
        <v/>
      </c>
      <c r="F390" s="128" t="n"/>
      <c r="G390" s="129" t="n"/>
      <c r="H390" s="131" t="n"/>
      <c r="I390" s="124">
        <f>IF($E390=0,0,$E390*$H390)</f>
        <v/>
      </c>
      <c r="J390" s="124">
        <f>IF($I390=0,0,$I390-$E390)</f>
        <v/>
      </c>
      <c r="K390" s="124">
        <f>IF($J390=0,0,$J390*YenidegerFonOran)</f>
        <v/>
      </c>
      <c r="L390" s="124">
        <f>IF($G390=0,0,$J390/$G390)</f>
        <v/>
      </c>
      <c r="M390" s="124">
        <f>IF($L390=0,0,$L390*YenidegerKurumlarVergiOran)</f>
        <v/>
      </c>
      <c r="N390" s="124">
        <f>IFERROR(IF(YenidegerIskontoOrani=0,$M390*$G390,$M390*(1-1/(1+YenidegerIskontoOrani)^$G390)/YenidegerIskontoOrani),0)</f>
        <v/>
      </c>
      <c r="O390" s="124">
        <f>$N390-$K390</f>
        <v/>
      </c>
      <c r="P390" s="124">
        <f>IF($J390&lt;=0,"DEĞERLENDİR",IF($O390&gt;0,"YENİDEN DEĞERLE","DEĞERLENDİR"))</f>
        <v/>
      </c>
      <c r="Q390" s="124">
        <f>IF($B390="","",CONCATENATE("Kıymet: ",$B390," | Değer Artışı: ",TEXT($J390,"#,##0")))</f>
        <v/>
      </c>
    </row>
    <row r="391" ht="15.75" customHeight="1" s="81">
      <c r="A391" s="129" t="n"/>
      <c r="B391" s="130" t="n"/>
      <c r="C391" s="127" t="n"/>
      <c r="D391" s="127" t="n"/>
      <c r="E391" s="124">
        <f>IF($C391=0,0,$C391-$D391)</f>
        <v/>
      </c>
      <c r="F391" s="128" t="n"/>
      <c r="G391" s="129" t="n"/>
      <c r="H391" s="131" t="n"/>
      <c r="I391" s="124">
        <f>IF($E391=0,0,$E391*$H391)</f>
        <v/>
      </c>
      <c r="J391" s="124">
        <f>IF($I391=0,0,$I391-$E391)</f>
        <v/>
      </c>
      <c r="K391" s="124">
        <f>IF($J391=0,0,$J391*YenidegerFonOran)</f>
        <v/>
      </c>
      <c r="L391" s="124">
        <f>IF($G391=0,0,$J391/$G391)</f>
        <v/>
      </c>
      <c r="M391" s="124">
        <f>IF($L391=0,0,$L391*YenidegerKurumlarVergiOran)</f>
        <v/>
      </c>
      <c r="N391" s="124">
        <f>IFERROR(IF(YenidegerIskontoOrani=0,$M391*$G391,$M391*(1-1/(1+YenidegerIskontoOrani)^$G391)/YenidegerIskontoOrani),0)</f>
        <v/>
      </c>
      <c r="O391" s="124">
        <f>$N391-$K391</f>
        <v/>
      </c>
      <c r="P391" s="124">
        <f>IF($J391&lt;=0,"DEĞERLENDİR",IF($O391&gt;0,"YENİDEN DEĞERLE","DEĞERLENDİR"))</f>
        <v/>
      </c>
      <c r="Q391" s="124">
        <f>IF($B391="","",CONCATENATE("Kıymet: ",$B391," | Değer Artışı: ",TEXT($J391,"#,##0")))</f>
        <v/>
      </c>
    </row>
    <row r="392" ht="15.75" customHeight="1" s="81">
      <c r="A392" s="129" t="n"/>
      <c r="B392" s="130" t="n"/>
      <c r="C392" s="127" t="n"/>
      <c r="D392" s="127" t="n"/>
      <c r="E392" s="124">
        <f>IF($C392=0,0,$C392-$D392)</f>
        <v/>
      </c>
      <c r="F392" s="128" t="n"/>
      <c r="G392" s="129" t="n"/>
      <c r="H392" s="131" t="n"/>
      <c r="I392" s="124">
        <f>IF($E392=0,0,$E392*$H392)</f>
        <v/>
      </c>
      <c r="J392" s="124">
        <f>IF($I392=0,0,$I392-$E392)</f>
        <v/>
      </c>
      <c r="K392" s="124">
        <f>IF($J392=0,0,$J392*YenidegerFonOran)</f>
        <v/>
      </c>
      <c r="L392" s="124">
        <f>IF($G392=0,0,$J392/$G392)</f>
        <v/>
      </c>
      <c r="M392" s="124">
        <f>IF($L392=0,0,$L392*YenidegerKurumlarVergiOran)</f>
        <v/>
      </c>
      <c r="N392" s="124">
        <f>IFERROR(IF(YenidegerIskontoOrani=0,$M392*$G392,$M392*(1-1/(1+YenidegerIskontoOrani)^$G392)/YenidegerIskontoOrani),0)</f>
        <v/>
      </c>
      <c r="O392" s="124">
        <f>$N392-$K392</f>
        <v/>
      </c>
      <c r="P392" s="124">
        <f>IF($J392&lt;=0,"DEĞERLENDİR",IF($O392&gt;0,"YENİDEN DEĞERLE","DEĞERLENDİR"))</f>
        <v/>
      </c>
      <c r="Q392" s="124">
        <f>IF($B392="","",CONCATENATE("Kıymet: ",$B392," | Değer Artışı: ",TEXT($J392,"#,##0")))</f>
        <v/>
      </c>
    </row>
    <row r="393" ht="15.75" customHeight="1" s="81">
      <c r="A393" s="129" t="n"/>
      <c r="B393" s="130" t="n"/>
      <c r="C393" s="127" t="n"/>
      <c r="D393" s="127" t="n"/>
      <c r="E393" s="124">
        <f>IF($C393=0,0,$C393-$D393)</f>
        <v/>
      </c>
      <c r="F393" s="128" t="n"/>
      <c r="G393" s="129" t="n"/>
      <c r="H393" s="131" t="n"/>
      <c r="I393" s="124">
        <f>IF($E393=0,0,$E393*$H393)</f>
        <v/>
      </c>
      <c r="J393" s="124">
        <f>IF($I393=0,0,$I393-$E393)</f>
        <v/>
      </c>
      <c r="K393" s="124">
        <f>IF($J393=0,0,$J393*YenidegerFonOran)</f>
        <v/>
      </c>
      <c r="L393" s="124">
        <f>IF($G393=0,0,$J393/$G393)</f>
        <v/>
      </c>
      <c r="M393" s="124">
        <f>IF($L393=0,0,$L393*YenidegerKurumlarVergiOran)</f>
        <v/>
      </c>
      <c r="N393" s="124">
        <f>IFERROR(IF(YenidegerIskontoOrani=0,$M393*$G393,$M393*(1-1/(1+YenidegerIskontoOrani)^$G393)/YenidegerIskontoOrani),0)</f>
        <v/>
      </c>
      <c r="O393" s="124">
        <f>$N393-$K393</f>
        <v/>
      </c>
      <c r="P393" s="124">
        <f>IF($J393&lt;=0,"DEĞERLENDİR",IF($O393&gt;0,"YENİDEN DEĞERLE","DEĞERLENDİR"))</f>
        <v/>
      </c>
      <c r="Q393" s="124">
        <f>IF($B393="","",CONCATENATE("Kıymet: ",$B393," | Değer Artışı: ",TEXT($J393,"#,##0")))</f>
        <v/>
      </c>
    </row>
    <row r="394" ht="15.75" customHeight="1" s="81">
      <c r="A394" s="129" t="n"/>
      <c r="B394" s="130" t="n"/>
      <c r="C394" s="127" t="n"/>
      <c r="D394" s="127" t="n"/>
      <c r="E394" s="124">
        <f>IF($C394=0,0,$C394-$D394)</f>
        <v/>
      </c>
      <c r="F394" s="128" t="n"/>
      <c r="G394" s="129" t="n"/>
      <c r="H394" s="131" t="n"/>
      <c r="I394" s="124">
        <f>IF($E394=0,0,$E394*$H394)</f>
        <v/>
      </c>
      <c r="J394" s="124">
        <f>IF($I394=0,0,$I394-$E394)</f>
        <v/>
      </c>
      <c r="K394" s="124">
        <f>IF($J394=0,0,$J394*YenidegerFonOran)</f>
        <v/>
      </c>
      <c r="L394" s="124">
        <f>IF($G394=0,0,$J394/$G394)</f>
        <v/>
      </c>
      <c r="M394" s="124">
        <f>IF($L394=0,0,$L394*YenidegerKurumlarVergiOran)</f>
        <v/>
      </c>
      <c r="N394" s="124">
        <f>IFERROR(IF(YenidegerIskontoOrani=0,$M394*$G394,$M394*(1-1/(1+YenidegerIskontoOrani)^$G394)/YenidegerIskontoOrani),0)</f>
        <v/>
      </c>
      <c r="O394" s="124">
        <f>$N394-$K394</f>
        <v/>
      </c>
      <c r="P394" s="124">
        <f>IF($J394&lt;=0,"DEĞERLENDİR",IF($O394&gt;0,"YENİDEN DEĞERLE","DEĞERLENDİR"))</f>
        <v/>
      </c>
      <c r="Q394" s="124">
        <f>IF($B394="","",CONCATENATE("Kıymet: ",$B394," | Değer Artışı: ",TEXT($J394,"#,##0")))</f>
        <v/>
      </c>
    </row>
    <row r="395" ht="15.75" customHeight="1" s="81">
      <c r="A395" s="129" t="n"/>
      <c r="B395" s="130" t="n"/>
      <c r="C395" s="127" t="n"/>
      <c r="D395" s="127" t="n"/>
      <c r="E395" s="124">
        <f>IF($C395=0,0,$C395-$D395)</f>
        <v/>
      </c>
      <c r="F395" s="128" t="n"/>
      <c r="G395" s="129" t="n"/>
      <c r="H395" s="131" t="n"/>
      <c r="I395" s="124">
        <f>IF($E395=0,0,$E395*$H395)</f>
        <v/>
      </c>
      <c r="J395" s="124">
        <f>IF($I395=0,0,$I395-$E395)</f>
        <v/>
      </c>
      <c r="K395" s="124">
        <f>IF($J395=0,0,$J395*YenidegerFonOran)</f>
        <v/>
      </c>
      <c r="L395" s="124">
        <f>IF($G395=0,0,$J395/$G395)</f>
        <v/>
      </c>
      <c r="M395" s="124">
        <f>IF($L395=0,0,$L395*YenidegerKurumlarVergiOran)</f>
        <v/>
      </c>
      <c r="N395" s="124">
        <f>IFERROR(IF(YenidegerIskontoOrani=0,$M395*$G395,$M395*(1-1/(1+YenidegerIskontoOrani)^$G395)/YenidegerIskontoOrani),0)</f>
        <v/>
      </c>
      <c r="O395" s="124">
        <f>$N395-$K395</f>
        <v/>
      </c>
      <c r="P395" s="124">
        <f>IF($J395&lt;=0,"DEĞERLENDİR",IF($O395&gt;0,"YENİDEN DEĞERLE","DEĞERLENDİR"))</f>
        <v/>
      </c>
      <c r="Q395" s="124">
        <f>IF($B395="","",CONCATENATE("Kıymet: ",$B395," | Değer Artışı: ",TEXT($J395,"#,##0")))</f>
        <v/>
      </c>
    </row>
    <row r="396" ht="15.75" customHeight="1" s="81">
      <c r="A396" s="129" t="n"/>
      <c r="B396" s="130" t="n"/>
      <c r="C396" s="127" t="n"/>
      <c r="D396" s="127" t="n"/>
      <c r="E396" s="124">
        <f>IF($C396=0,0,$C396-$D396)</f>
        <v/>
      </c>
      <c r="F396" s="128" t="n"/>
      <c r="G396" s="129" t="n"/>
      <c r="H396" s="131" t="n"/>
      <c r="I396" s="124">
        <f>IF($E396=0,0,$E396*$H396)</f>
        <v/>
      </c>
      <c r="J396" s="124">
        <f>IF($I396=0,0,$I396-$E396)</f>
        <v/>
      </c>
      <c r="K396" s="124">
        <f>IF($J396=0,0,$J396*YenidegerFonOran)</f>
        <v/>
      </c>
      <c r="L396" s="124">
        <f>IF($G396=0,0,$J396/$G396)</f>
        <v/>
      </c>
      <c r="M396" s="124">
        <f>IF($L396=0,0,$L396*YenidegerKurumlarVergiOran)</f>
        <v/>
      </c>
      <c r="N396" s="124">
        <f>IFERROR(IF(YenidegerIskontoOrani=0,$M396*$G396,$M396*(1-1/(1+YenidegerIskontoOrani)^$G396)/YenidegerIskontoOrani),0)</f>
        <v/>
      </c>
      <c r="O396" s="124">
        <f>$N396-$K396</f>
        <v/>
      </c>
      <c r="P396" s="124">
        <f>IF($J396&lt;=0,"DEĞERLENDİR",IF($O396&gt;0,"YENİDEN DEĞERLE","DEĞERLENDİR"))</f>
        <v/>
      </c>
      <c r="Q396" s="124">
        <f>IF($B396="","",CONCATENATE("Kıymet: ",$B396," | Değer Artışı: ",TEXT($J396,"#,##0")))</f>
        <v/>
      </c>
    </row>
    <row r="397" ht="15.75" customHeight="1" s="81">
      <c r="A397" s="129" t="n"/>
      <c r="B397" s="130" t="n"/>
      <c r="C397" s="127" t="n"/>
      <c r="D397" s="127" t="n"/>
      <c r="E397" s="124">
        <f>IF($C397=0,0,$C397-$D397)</f>
        <v/>
      </c>
      <c r="F397" s="128" t="n"/>
      <c r="G397" s="129" t="n"/>
      <c r="H397" s="131" t="n"/>
      <c r="I397" s="124">
        <f>IF($E397=0,0,$E397*$H397)</f>
        <v/>
      </c>
      <c r="J397" s="124">
        <f>IF($I397=0,0,$I397-$E397)</f>
        <v/>
      </c>
      <c r="K397" s="124">
        <f>IF($J397=0,0,$J397*YenidegerFonOran)</f>
        <v/>
      </c>
      <c r="L397" s="124">
        <f>IF($G397=0,0,$J397/$G397)</f>
        <v/>
      </c>
      <c r="M397" s="124">
        <f>IF($L397=0,0,$L397*YenidegerKurumlarVergiOran)</f>
        <v/>
      </c>
      <c r="N397" s="124">
        <f>IFERROR(IF(YenidegerIskontoOrani=0,$M397*$G397,$M397*(1-1/(1+YenidegerIskontoOrani)^$G397)/YenidegerIskontoOrani),0)</f>
        <v/>
      </c>
      <c r="O397" s="124">
        <f>$N397-$K397</f>
        <v/>
      </c>
      <c r="P397" s="124">
        <f>IF($J397&lt;=0,"DEĞERLENDİR",IF($O397&gt;0,"YENİDEN DEĞERLE","DEĞERLENDİR"))</f>
        <v/>
      </c>
      <c r="Q397" s="124">
        <f>IF($B397="","",CONCATENATE("Kıymet: ",$B397," | Değer Artışı: ",TEXT($J397,"#,##0")))</f>
        <v/>
      </c>
    </row>
    <row r="398" ht="15.75" customHeight="1" s="81">
      <c r="A398" s="129" t="n"/>
      <c r="B398" s="130" t="n"/>
      <c r="C398" s="127" t="n"/>
      <c r="D398" s="127" t="n"/>
      <c r="E398" s="124">
        <f>IF($C398=0,0,$C398-$D398)</f>
        <v/>
      </c>
      <c r="F398" s="128" t="n"/>
      <c r="G398" s="129" t="n"/>
      <c r="H398" s="131" t="n"/>
      <c r="I398" s="124">
        <f>IF($E398=0,0,$E398*$H398)</f>
        <v/>
      </c>
      <c r="J398" s="124">
        <f>IF($I398=0,0,$I398-$E398)</f>
        <v/>
      </c>
      <c r="K398" s="124">
        <f>IF($J398=0,0,$J398*YenidegerFonOran)</f>
        <v/>
      </c>
      <c r="L398" s="124">
        <f>IF($G398=0,0,$J398/$G398)</f>
        <v/>
      </c>
      <c r="M398" s="124">
        <f>IF($L398=0,0,$L398*YenidegerKurumlarVergiOran)</f>
        <v/>
      </c>
      <c r="N398" s="124">
        <f>IFERROR(IF(YenidegerIskontoOrani=0,$M398*$G398,$M398*(1-1/(1+YenidegerIskontoOrani)^$G398)/YenidegerIskontoOrani),0)</f>
        <v/>
      </c>
      <c r="O398" s="124">
        <f>$N398-$K398</f>
        <v/>
      </c>
      <c r="P398" s="124">
        <f>IF($J398&lt;=0,"DEĞERLENDİR",IF($O398&gt;0,"YENİDEN DEĞERLE","DEĞERLENDİR"))</f>
        <v/>
      </c>
      <c r="Q398" s="124">
        <f>IF($B398="","",CONCATENATE("Kıymet: ",$B398," | Değer Artışı: ",TEXT($J398,"#,##0")))</f>
        <v/>
      </c>
    </row>
    <row r="399" ht="15.75" customHeight="1" s="81">
      <c r="A399" s="129" t="n"/>
      <c r="B399" s="130" t="n"/>
      <c r="C399" s="127" t="n"/>
      <c r="D399" s="127" t="n"/>
      <c r="E399" s="124">
        <f>IF($C399=0,0,$C399-$D399)</f>
        <v/>
      </c>
      <c r="F399" s="128" t="n"/>
      <c r="G399" s="129" t="n"/>
      <c r="H399" s="131" t="n"/>
      <c r="I399" s="124">
        <f>IF($E399=0,0,$E399*$H399)</f>
        <v/>
      </c>
      <c r="J399" s="124">
        <f>IF($I399=0,0,$I399-$E399)</f>
        <v/>
      </c>
      <c r="K399" s="124">
        <f>IF($J399=0,0,$J399*YenidegerFonOran)</f>
        <v/>
      </c>
      <c r="L399" s="124">
        <f>IF($G399=0,0,$J399/$G399)</f>
        <v/>
      </c>
      <c r="M399" s="124">
        <f>IF($L399=0,0,$L399*YenidegerKurumlarVergiOran)</f>
        <v/>
      </c>
      <c r="N399" s="124">
        <f>IFERROR(IF(YenidegerIskontoOrani=0,$M399*$G399,$M399*(1-1/(1+YenidegerIskontoOrani)^$G399)/YenidegerIskontoOrani),0)</f>
        <v/>
      </c>
      <c r="O399" s="124">
        <f>$N399-$K399</f>
        <v/>
      </c>
      <c r="P399" s="124">
        <f>IF($J399&lt;=0,"DEĞERLENDİR",IF($O399&gt;0,"YENİDEN DEĞERLE","DEĞERLENDİR"))</f>
        <v/>
      </c>
      <c r="Q399" s="124">
        <f>IF($B399="","",CONCATENATE("Kıymet: ",$B399," | Değer Artışı: ",TEXT($J399,"#,##0")))</f>
        <v/>
      </c>
    </row>
    <row r="400" ht="15.75" customHeight="1" s="81">
      <c r="A400" s="129" t="n"/>
      <c r="B400" s="130" t="n"/>
      <c r="C400" s="127" t="n"/>
      <c r="D400" s="127" t="n"/>
      <c r="E400" s="124">
        <f>IF($C400=0,0,$C400-$D400)</f>
        <v/>
      </c>
      <c r="F400" s="128" t="n"/>
      <c r="G400" s="129" t="n"/>
      <c r="H400" s="131" t="n"/>
      <c r="I400" s="124">
        <f>IF($E400=0,0,$E400*$H400)</f>
        <v/>
      </c>
      <c r="J400" s="124">
        <f>IF($I400=0,0,$I400-$E400)</f>
        <v/>
      </c>
      <c r="K400" s="124">
        <f>IF($J400=0,0,$J400*YenidegerFonOran)</f>
        <v/>
      </c>
      <c r="L400" s="124">
        <f>IF($G400=0,0,$J400/$G400)</f>
        <v/>
      </c>
      <c r="M400" s="124">
        <f>IF($L400=0,0,$L400*YenidegerKurumlarVergiOran)</f>
        <v/>
      </c>
      <c r="N400" s="124">
        <f>IFERROR(IF(YenidegerIskontoOrani=0,$M400*$G400,$M400*(1-1/(1+YenidegerIskontoOrani)^$G400)/YenidegerIskontoOrani),0)</f>
        <v/>
      </c>
      <c r="O400" s="124">
        <f>$N400-$K400</f>
        <v/>
      </c>
      <c r="P400" s="124">
        <f>IF($J400&lt;=0,"DEĞERLENDİR",IF($O400&gt;0,"YENİDEN DEĞERLE","DEĞERLENDİR"))</f>
        <v/>
      </c>
      <c r="Q400" s="124">
        <f>IF($B400="","",CONCATENATE("Kıymet: ",$B400," | Değer Artışı: ",TEXT($J400,"#,##0")))</f>
        <v/>
      </c>
    </row>
    <row r="401" ht="15.75" customHeight="1" s="81">
      <c r="A401" s="129" t="n"/>
      <c r="B401" s="130" t="n"/>
      <c r="C401" s="127" t="n"/>
      <c r="D401" s="127" t="n"/>
      <c r="E401" s="124">
        <f>IF($C401=0,0,$C401-$D401)</f>
        <v/>
      </c>
      <c r="F401" s="128" t="n"/>
      <c r="G401" s="129" t="n"/>
      <c r="H401" s="131" t="n"/>
      <c r="I401" s="124">
        <f>IF($E401=0,0,$E401*$H401)</f>
        <v/>
      </c>
      <c r="J401" s="124">
        <f>IF($I401=0,0,$I401-$E401)</f>
        <v/>
      </c>
      <c r="K401" s="124">
        <f>IF($J401=0,0,$J401*YenidegerFonOran)</f>
        <v/>
      </c>
      <c r="L401" s="124">
        <f>IF($G401=0,0,$J401/$G401)</f>
        <v/>
      </c>
      <c r="M401" s="124">
        <f>IF($L401=0,0,$L401*YenidegerKurumlarVergiOran)</f>
        <v/>
      </c>
      <c r="N401" s="124">
        <f>IFERROR(IF(YenidegerIskontoOrani=0,$M401*$G401,$M401*(1-1/(1+YenidegerIskontoOrani)^$G401)/YenidegerIskontoOrani),0)</f>
        <v/>
      </c>
      <c r="O401" s="124">
        <f>$N401-$K401</f>
        <v/>
      </c>
      <c r="P401" s="124">
        <f>IF($J401&lt;=0,"DEĞERLENDİR",IF($O401&gt;0,"YENİDEN DEĞERLE","DEĞERLENDİR"))</f>
        <v/>
      </c>
      <c r="Q401" s="124">
        <f>IF($B401="","",CONCATENATE("Kıymet: ",$B401," | Değer Artışı: ",TEXT($J401,"#,##0")))</f>
        <v/>
      </c>
    </row>
    <row r="402" ht="15.75" customHeight="1" s="81">
      <c r="A402" s="129" t="n"/>
      <c r="B402" s="130" t="n"/>
      <c r="C402" s="127" t="n"/>
      <c r="D402" s="127" t="n"/>
      <c r="E402" s="124">
        <f>IF($C402=0,0,$C402-$D402)</f>
        <v/>
      </c>
      <c r="F402" s="128" t="n"/>
      <c r="G402" s="129" t="n"/>
      <c r="H402" s="131" t="n"/>
      <c r="I402" s="124">
        <f>IF($E402=0,0,$E402*$H402)</f>
        <v/>
      </c>
      <c r="J402" s="124">
        <f>IF($I402=0,0,$I402-$E402)</f>
        <v/>
      </c>
      <c r="K402" s="124">
        <f>IF($J402=0,0,$J402*YenidegerFonOran)</f>
        <v/>
      </c>
      <c r="L402" s="124">
        <f>IF($G402=0,0,$J402/$G402)</f>
        <v/>
      </c>
      <c r="M402" s="124">
        <f>IF($L402=0,0,$L402*YenidegerKurumlarVergiOran)</f>
        <v/>
      </c>
      <c r="N402" s="124">
        <f>IFERROR(IF(YenidegerIskontoOrani=0,$M402*$G402,$M402*(1-1/(1+YenidegerIskontoOrani)^$G402)/YenidegerIskontoOrani),0)</f>
        <v/>
      </c>
      <c r="O402" s="124">
        <f>$N402-$K402</f>
        <v/>
      </c>
      <c r="P402" s="124">
        <f>IF($J402&lt;=0,"DEĞERLENDİR",IF($O402&gt;0,"YENİDEN DEĞERLE","DEĞERLENDİR"))</f>
        <v/>
      </c>
      <c r="Q402" s="124">
        <f>IF($B402="","",CONCATENATE("Kıymet: ",$B402," | Değer Artışı: ",TEXT($J402,"#,##0")))</f>
        <v/>
      </c>
    </row>
    <row r="403" ht="15.75" customHeight="1" s="81">
      <c r="A403" s="129" t="n"/>
      <c r="B403" s="130" t="n"/>
      <c r="C403" s="127" t="n"/>
      <c r="D403" s="127" t="n"/>
      <c r="E403" s="124">
        <f>IF($C403=0,0,$C403-$D403)</f>
        <v/>
      </c>
      <c r="F403" s="128" t="n"/>
      <c r="G403" s="129" t="n"/>
      <c r="H403" s="131" t="n"/>
      <c r="I403" s="124">
        <f>IF($E403=0,0,$E403*$H403)</f>
        <v/>
      </c>
      <c r="J403" s="124">
        <f>IF($I403=0,0,$I403-$E403)</f>
        <v/>
      </c>
      <c r="K403" s="124">
        <f>IF($J403=0,0,$J403*YenidegerFonOran)</f>
        <v/>
      </c>
      <c r="L403" s="124">
        <f>IF($G403=0,0,$J403/$G403)</f>
        <v/>
      </c>
      <c r="M403" s="124">
        <f>IF($L403=0,0,$L403*YenidegerKurumlarVergiOran)</f>
        <v/>
      </c>
      <c r="N403" s="124">
        <f>IFERROR(IF(YenidegerIskontoOrani=0,$M403*$G403,$M403*(1-1/(1+YenidegerIskontoOrani)^$G403)/YenidegerIskontoOrani),0)</f>
        <v/>
      </c>
      <c r="O403" s="124">
        <f>$N403-$K403</f>
        <v/>
      </c>
      <c r="P403" s="124">
        <f>IF($J403&lt;=0,"DEĞERLENDİR",IF($O403&gt;0,"YENİDEN DEĞERLE","DEĞERLENDİR"))</f>
        <v/>
      </c>
      <c r="Q403" s="124">
        <f>IF($B403="","",CONCATENATE("Kıymet: ",$B403," | Değer Artışı: ",TEXT($J403,"#,##0")))</f>
        <v/>
      </c>
    </row>
    <row r="404" ht="15.75" customHeight="1" s="81">
      <c r="A404" s="129" t="n"/>
      <c r="B404" s="130" t="n"/>
      <c r="C404" s="127" t="n"/>
      <c r="D404" s="127" t="n"/>
      <c r="E404" s="124">
        <f>IF($C404=0,0,$C404-$D404)</f>
        <v/>
      </c>
      <c r="F404" s="128" t="n"/>
      <c r="G404" s="129" t="n"/>
      <c r="H404" s="131" t="n"/>
      <c r="I404" s="124">
        <f>IF($E404=0,0,$E404*$H404)</f>
        <v/>
      </c>
      <c r="J404" s="124">
        <f>IF($I404=0,0,$I404-$E404)</f>
        <v/>
      </c>
      <c r="K404" s="124">
        <f>IF($J404=0,0,$J404*YenidegerFonOran)</f>
        <v/>
      </c>
      <c r="L404" s="124">
        <f>IF($G404=0,0,$J404/$G404)</f>
        <v/>
      </c>
      <c r="M404" s="124">
        <f>IF($L404=0,0,$L404*YenidegerKurumlarVergiOran)</f>
        <v/>
      </c>
      <c r="N404" s="124">
        <f>IFERROR(IF(YenidegerIskontoOrani=0,$M404*$G404,$M404*(1-1/(1+YenidegerIskontoOrani)^$G404)/YenidegerIskontoOrani),0)</f>
        <v/>
      </c>
      <c r="O404" s="124">
        <f>$N404-$K404</f>
        <v/>
      </c>
      <c r="P404" s="124">
        <f>IF($J404&lt;=0,"DEĞERLENDİR",IF($O404&gt;0,"YENİDEN DEĞERLE","DEĞERLENDİR"))</f>
        <v/>
      </c>
      <c r="Q404" s="124">
        <f>IF($B404="","",CONCATENATE("Kıymet: ",$B404," | Değer Artışı: ",TEXT($J404,"#,##0")))</f>
        <v/>
      </c>
    </row>
    <row r="405" ht="15.75" customHeight="1" s="81">
      <c r="A405" s="129" t="n"/>
      <c r="B405" s="130" t="n"/>
      <c r="C405" s="127" t="n"/>
      <c r="D405" s="127" t="n"/>
      <c r="E405" s="124">
        <f>IF($C405=0,0,$C405-$D405)</f>
        <v/>
      </c>
      <c r="F405" s="128" t="n"/>
      <c r="G405" s="129" t="n"/>
      <c r="H405" s="131" t="n"/>
      <c r="I405" s="124">
        <f>IF($E405=0,0,$E405*$H405)</f>
        <v/>
      </c>
      <c r="J405" s="124">
        <f>IF($I405=0,0,$I405-$E405)</f>
        <v/>
      </c>
      <c r="K405" s="124">
        <f>IF($J405=0,0,$J405*YenidegerFonOran)</f>
        <v/>
      </c>
      <c r="L405" s="124">
        <f>IF($G405=0,0,$J405/$G405)</f>
        <v/>
      </c>
      <c r="M405" s="124">
        <f>IF($L405=0,0,$L405*YenidegerKurumlarVergiOran)</f>
        <v/>
      </c>
      <c r="N405" s="124">
        <f>IFERROR(IF(YenidegerIskontoOrani=0,$M405*$G405,$M405*(1-1/(1+YenidegerIskontoOrani)^$G405)/YenidegerIskontoOrani),0)</f>
        <v/>
      </c>
      <c r="O405" s="124">
        <f>$N405-$K405</f>
        <v/>
      </c>
      <c r="P405" s="124">
        <f>IF($J405&lt;=0,"DEĞERLENDİR",IF($O405&gt;0,"YENİDEN DEĞERLE","DEĞERLENDİR"))</f>
        <v/>
      </c>
      <c r="Q405" s="124">
        <f>IF($B405="","",CONCATENATE("Kıymet: ",$B405," | Değer Artışı: ",TEXT($J405,"#,##0")))</f>
        <v/>
      </c>
    </row>
    <row r="406" ht="15.75" customHeight="1" s="81">
      <c r="A406" s="129" t="n"/>
      <c r="B406" s="130" t="n"/>
      <c r="C406" s="127" t="n"/>
      <c r="D406" s="127" t="n"/>
      <c r="E406" s="124">
        <f>IF($C406=0,0,$C406-$D406)</f>
        <v/>
      </c>
      <c r="F406" s="128" t="n"/>
      <c r="G406" s="129" t="n"/>
      <c r="H406" s="131" t="n"/>
      <c r="I406" s="124">
        <f>IF($E406=0,0,$E406*$H406)</f>
        <v/>
      </c>
      <c r="J406" s="124">
        <f>IF($I406=0,0,$I406-$E406)</f>
        <v/>
      </c>
      <c r="K406" s="124">
        <f>IF($J406=0,0,$J406*YenidegerFonOran)</f>
        <v/>
      </c>
      <c r="L406" s="124">
        <f>IF($G406=0,0,$J406/$G406)</f>
        <v/>
      </c>
      <c r="M406" s="124">
        <f>IF($L406=0,0,$L406*YenidegerKurumlarVergiOran)</f>
        <v/>
      </c>
      <c r="N406" s="124">
        <f>IFERROR(IF(YenidegerIskontoOrani=0,$M406*$G406,$M406*(1-1/(1+YenidegerIskontoOrani)^$G406)/YenidegerIskontoOrani),0)</f>
        <v/>
      </c>
      <c r="O406" s="124">
        <f>$N406-$K406</f>
        <v/>
      </c>
      <c r="P406" s="124">
        <f>IF($J406&lt;=0,"DEĞERLENDİR",IF($O406&gt;0,"YENİDEN DEĞERLE","DEĞERLENDİR"))</f>
        <v/>
      </c>
      <c r="Q406" s="124">
        <f>IF($B406="","",CONCATENATE("Kıymet: ",$B406," | Değer Artışı: ",TEXT($J406,"#,##0")))</f>
        <v/>
      </c>
    </row>
    <row r="407" ht="15.75" customHeight="1" s="81">
      <c r="A407" s="129" t="n"/>
      <c r="B407" s="130" t="n"/>
      <c r="C407" s="127" t="n"/>
      <c r="D407" s="127" t="n"/>
      <c r="E407" s="124">
        <f>IF($C407=0,0,$C407-$D407)</f>
        <v/>
      </c>
      <c r="F407" s="128" t="n"/>
      <c r="G407" s="129" t="n"/>
      <c r="H407" s="131" t="n"/>
      <c r="I407" s="124">
        <f>IF($E407=0,0,$E407*$H407)</f>
        <v/>
      </c>
      <c r="J407" s="124">
        <f>IF($I407=0,0,$I407-$E407)</f>
        <v/>
      </c>
      <c r="K407" s="124">
        <f>IF($J407=0,0,$J407*YenidegerFonOran)</f>
        <v/>
      </c>
      <c r="L407" s="124">
        <f>IF($G407=0,0,$J407/$G407)</f>
        <v/>
      </c>
      <c r="M407" s="124">
        <f>IF($L407=0,0,$L407*YenidegerKurumlarVergiOran)</f>
        <v/>
      </c>
      <c r="N407" s="124">
        <f>IFERROR(IF(YenidegerIskontoOrani=0,$M407*$G407,$M407*(1-1/(1+YenidegerIskontoOrani)^$G407)/YenidegerIskontoOrani),0)</f>
        <v/>
      </c>
      <c r="O407" s="124">
        <f>$N407-$K407</f>
        <v/>
      </c>
      <c r="P407" s="124">
        <f>IF($J407&lt;=0,"DEĞERLENDİR",IF($O407&gt;0,"YENİDEN DEĞERLE","DEĞERLENDİR"))</f>
        <v/>
      </c>
      <c r="Q407" s="124">
        <f>IF($B407="","",CONCATENATE("Kıymet: ",$B407," | Değer Artışı: ",TEXT($J407,"#,##0")))</f>
        <v/>
      </c>
    </row>
    <row r="408" ht="15.75" customHeight="1" s="81">
      <c r="A408" s="129" t="n"/>
      <c r="B408" s="130" t="n"/>
      <c r="C408" s="127" t="n"/>
      <c r="D408" s="127" t="n"/>
      <c r="E408" s="124">
        <f>IF($C408=0,0,$C408-$D408)</f>
        <v/>
      </c>
      <c r="F408" s="128" t="n"/>
      <c r="G408" s="129" t="n"/>
      <c r="H408" s="131" t="n"/>
      <c r="I408" s="124">
        <f>IF($E408=0,0,$E408*$H408)</f>
        <v/>
      </c>
      <c r="J408" s="124">
        <f>IF($I408=0,0,$I408-$E408)</f>
        <v/>
      </c>
      <c r="K408" s="124">
        <f>IF($J408=0,0,$J408*YenidegerFonOran)</f>
        <v/>
      </c>
      <c r="L408" s="124">
        <f>IF($G408=0,0,$J408/$G408)</f>
        <v/>
      </c>
      <c r="M408" s="124">
        <f>IF($L408=0,0,$L408*YenidegerKurumlarVergiOran)</f>
        <v/>
      </c>
      <c r="N408" s="124">
        <f>IFERROR(IF(YenidegerIskontoOrani=0,$M408*$G408,$M408*(1-1/(1+YenidegerIskontoOrani)^$G408)/YenidegerIskontoOrani),0)</f>
        <v/>
      </c>
      <c r="O408" s="124">
        <f>$N408-$K408</f>
        <v/>
      </c>
      <c r="P408" s="124">
        <f>IF($J408&lt;=0,"DEĞERLENDİR",IF($O408&gt;0,"YENİDEN DEĞERLE","DEĞERLENDİR"))</f>
        <v/>
      </c>
      <c r="Q408" s="124">
        <f>IF($B408="","",CONCATENATE("Kıymet: ",$B408," | Değer Artışı: ",TEXT($J408,"#,##0")))</f>
        <v/>
      </c>
    </row>
    <row r="409" ht="15.75" customHeight="1" s="81">
      <c r="A409" s="129" t="n"/>
      <c r="B409" s="130" t="n"/>
      <c r="C409" s="127" t="n"/>
      <c r="D409" s="127" t="n"/>
      <c r="E409" s="124">
        <f>IF($C409=0,0,$C409-$D409)</f>
        <v/>
      </c>
      <c r="F409" s="128" t="n"/>
      <c r="G409" s="129" t="n"/>
      <c r="H409" s="131" t="n"/>
      <c r="I409" s="124">
        <f>IF($E409=0,0,$E409*$H409)</f>
        <v/>
      </c>
      <c r="J409" s="124">
        <f>IF($I409=0,0,$I409-$E409)</f>
        <v/>
      </c>
      <c r="K409" s="124">
        <f>IF($J409=0,0,$J409*YenidegerFonOran)</f>
        <v/>
      </c>
      <c r="L409" s="124">
        <f>IF($G409=0,0,$J409/$G409)</f>
        <v/>
      </c>
      <c r="M409" s="124">
        <f>IF($L409=0,0,$L409*YenidegerKurumlarVergiOran)</f>
        <v/>
      </c>
      <c r="N409" s="124">
        <f>IFERROR(IF(YenidegerIskontoOrani=0,$M409*$G409,$M409*(1-1/(1+YenidegerIskontoOrani)^$G409)/YenidegerIskontoOrani),0)</f>
        <v/>
      </c>
      <c r="O409" s="124">
        <f>$N409-$K409</f>
        <v/>
      </c>
      <c r="P409" s="124">
        <f>IF($J409&lt;=0,"DEĞERLENDİR",IF($O409&gt;0,"YENİDEN DEĞERLE","DEĞERLENDİR"))</f>
        <v/>
      </c>
      <c r="Q409" s="124">
        <f>IF($B409="","",CONCATENATE("Kıymet: ",$B409," | Değer Artışı: ",TEXT($J409,"#,##0")))</f>
        <v/>
      </c>
    </row>
    <row r="410" ht="15.75" customHeight="1" s="81">
      <c r="A410" s="129" t="n"/>
      <c r="B410" s="130" t="n"/>
      <c r="C410" s="127" t="n"/>
      <c r="D410" s="127" t="n"/>
      <c r="E410" s="124">
        <f>IF($C410=0,0,$C410-$D410)</f>
        <v/>
      </c>
      <c r="F410" s="128" t="n"/>
      <c r="G410" s="129" t="n"/>
      <c r="H410" s="131" t="n"/>
      <c r="I410" s="124">
        <f>IF($E410=0,0,$E410*$H410)</f>
        <v/>
      </c>
      <c r="J410" s="124">
        <f>IF($I410=0,0,$I410-$E410)</f>
        <v/>
      </c>
      <c r="K410" s="124">
        <f>IF($J410=0,0,$J410*YenidegerFonOran)</f>
        <v/>
      </c>
      <c r="L410" s="124">
        <f>IF($G410=0,0,$J410/$G410)</f>
        <v/>
      </c>
      <c r="M410" s="124">
        <f>IF($L410=0,0,$L410*YenidegerKurumlarVergiOran)</f>
        <v/>
      </c>
      <c r="N410" s="124">
        <f>IFERROR(IF(YenidegerIskontoOrani=0,$M410*$G410,$M410*(1-1/(1+YenidegerIskontoOrani)^$G410)/YenidegerIskontoOrani),0)</f>
        <v/>
      </c>
      <c r="O410" s="124">
        <f>$N410-$K410</f>
        <v/>
      </c>
      <c r="P410" s="124">
        <f>IF($J410&lt;=0,"DEĞERLENDİR",IF($O410&gt;0,"YENİDEN DEĞERLE","DEĞERLENDİR"))</f>
        <v/>
      </c>
      <c r="Q410" s="124">
        <f>IF($B410="","",CONCATENATE("Kıymet: ",$B410," | Değer Artışı: ",TEXT($J410,"#,##0")))</f>
        <v/>
      </c>
    </row>
    <row r="411" ht="15.75" customHeight="1" s="81">
      <c r="A411" s="129" t="n"/>
      <c r="B411" s="130" t="n"/>
      <c r="C411" s="127" t="n"/>
      <c r="D411" s="127" t="n"/>
      <c r="E411" s="124">
        <f>IF($C411=0,0,$C411-$D411)</f>
        <v/>
      </c>
      <c r="F411" s="128" t="n"/>
      <c r="G411" s="129" t="n"/>
      <c r="H411" s="131" t="n"/>
      <c r="I411" s="124">
        <f>IF($E411=0,0,$E411*$H411)</f>
        <v/>
      </c>
      <c r="J411" s="124">
        <f>IF($I411=0,0,$I411-$E411)</f>
        <v/>
      </c>
      <c r="K411" s="124">
        <f>IF($J411=0,0,$J411*YenidegerFonOran)</f>
        <v/>
      </c>
      <c r="L411" s="124">
        <f>IF($G411=0,0,$J411/$G411)</f>
        <v/>
      </c>
      <c r="M411" s="124">
        <f>IF($L411=0,0,$L411*YenidegerKurumlarVergiOran)</f>
        <v/>
      </c>
      <c r="N411" s="124">
        <f>IFERROR(IF(YenidegerIskontoOrani=0,$M411*$G411,$M411*(1-1/(1+YenidegerIskontoOrani)^$G411)/YenidegerIskontoOrani),0)</f>
        <v/>
      </c>
      <c r="O411" s="124">
        <f>$N411-$K411</f>
        <v/>
      </c>
      <c r="P411" s="124">
        <f>IF($J411&lt;=0,"DEĞERLENDİR",IF($O411&gt;0,"YENİDEN DEĞERLE","DEĞERLENDİR"))</f>
        <v/>
      </c>
      <c r="Q411" s="124">
        <f>IF($B411="","",CONCATENATE("Kıymet: ",$B411," | Değer Artışı: ",TEXT($J411,"#,##0")))</f>
        <v/>
      </c>
    </row>
    <row r="412" ht="15.75" customHeight="1" s="81">
      <c r="A412" s="129" t="n"/>
      <c r="B412" s="130" t="n"/>
      <c r="C412" s="127" t="n"/>
      <c r="D412" s="127" t="n"/>
      <c r="E412" s="124">
        <f>IF($C412=0,0,$C412-$D412)</f>
        <v/>
      </c>
      <c r="F412" s="128" t="n"/>
      <c r="G412" s="129" t="n"/>
      <c r="H412" s="131" t="n"/>
      <c r="I412" s="124">
        <f>IF($E412=0,0,$E412*$H412)</f>
        <v/>
      </c>
      <c r="J412" s="124">
        <f>IF($I412=0,0,$I412-$E412)</f>
        <v/>
      </c>
      <c r="K412" s="124">
        <f>IF($J412=0,0,$J412*YenidegerFonOran)</f>
        <v/>
      </c>
      <c r="L412" s="124">
        <f>IF($G412=0,0,$J412/$G412)</f>
        <v/>
      </c>
      <c r="M412" s="124">
        <f>IF($L412=0,0,$L412*YenidegerKurumlarVergiOran)</f>
        <v/>
      </c>
      <c r="N412" s="124">
        <f>IFERROR(IF(YenidegerIskontoOrani=0,$M412*$G412,$M412*(1-1/(1+YenidegerIskontoOrani)^$G412)/YenidegerIskontoOrani),0)</f>
        <v/>
      </c>
      <c r="O412" s="124">
        <f>$N412-$K412</f>
        <v/>
      </c>
      <c r="P412" s="124">
        <f>IF($J412&lt;=0,"DEĞERLENDİR",IF($O412&gt;0,"YENİDEN DEĞERLE","DEĞERLENDİR"))</f>
        <v/>
      </c>
      <c r="Q412" s="124">
        <f>IF($B412="","",CONCATENATE("Kıymet: ",$B412," | Değer Artışı: ",TEXT($J412,"#,##0")))</f>
        <v/>
      </c>
    </row>
    <row r="413" ht="15.75" customHeight="1" s="81">
      <c r="A413" s="129" t="n"/>
      <c r="B413" s="130" t="n"/>
      <c r="C413" s="127" t="n"/>
      <c r="D413" s="127" t="n"/>
      <c r="E413" s="124">
        <f>IF($C413=0,0,$C413-$D413)</f>
        <v/>
      </c>
      <c r="F413" s="128" t="n"/>
      <c r="G413" s="129" t="n"/>
      <c r="H413" s="131" t="n"/>
      <c r="I413" s="124">
        <f>IF($E413=0,0,$E413*$H413)</f>
        <v/>
      </c>
      <c r="J413" s="124">
        <f>IF($I413=0,0,$I413-$E413)</f>
        <v/>
      </c>
      <c r="K413" s="124">
        <f>IF($J413=0,0,$J413*YenidegerFonOran)</f>
        <v/>
      </c>
      <c r="L413" s="124">
        <f>IF($G413=0,0,$J413/$G413)</f>
        <v/>
      </c>
      <c r="M413" s="124">
        <f>IF($L413=0,0,$L413*YenidegerKurumlarVergiOran)</f>
        <v/>
      </c>
      <c r="N413" s="124">
        <f>IFERROR(IF(YenidegerIskontoOrani=0,$M413*$G413,$M413*(1-1/(1+YenidegerIskontoOrani)^$G413)/YenidegerIskontoOrani),0)</f>
        <v/>
      </c>
      <c r="O413" s="124">
        <f>$N413-$K413</f>
        <v/>
      </c>
      <c r="P413" s="124">
        <f>IF($J413&lt;=0,"DEĞERLENDİR",IF($O413&gt;0,"YENİDEN DEĞERLE","DEĞERLENDİR"))</f>
        <v/>
      </c>
      <c r="Q413" s="124">
        <f>IF($B413="","",CONCATENATE("Kıymet: ",$B413," | Değer Artışı: ",TEXT($J413,"#,##0")))</f>
        <v/>
      </c>
    </row>
    <row r="414" ht="15.75" customHeight="1" s="81">
      <c r="A414" s="129" t="n"/>
      <c r="B414" s="130" t="n"/>
      <c r="C414" s="127" t="n"/>
      <c r="D414" s="127" t="n"/>
      <c r="E414" s="124">
        <f>IF($C414=0,0,$C414-$D414)</f>
        <v/>
      </c>
      <c r="F414" s="128" t="n"/>
      <c r="G414" s="129" t="n"/>
      <c r="H414" s="131" t="n"/>
      <c r="I414" s="124">
        <f>IF($E414=0,0,$E414*$H414)</f>
        <v/>
      </c>
      <c r="J414" s="124">
        <f>IF($I414=0,0,$I414-$E414)</f>
        <v/>
      </c>
      <c r="K414" s="124">
        <f>IF($J414=0,0,$J414*YenidegerFonOran)</f>
        <v/>
      </c>
      <c r="L414" s="124">
        <f>IF($G414=0,0,$J414/$G414)</f>
        <v/>
      </c>
      <c r="M414" s="124">
        <f>IF($L414=0,0,$L414*YenidegerKurumlarVergiOran)</f>
        <v/>
      </c>
      <c r="N414" s="124">
        <f>IFERROR(IF(YenidegerIskontoOrani=0,$M414*$G414,$M414*(1-1/(1+YenidegerIskontoOrani)^$G414)/YenidegerIskontoOrani),0)</f>
        <v/>
      </c>
      <c r="O414" s="124">
        <f>$N414-$K414</f>
        <v/>
      </c>
      <c r="P414" s="124">
        <f>IF($J414&lt;=0,"DEĞERLENDİR",IF($O414&gt;0,"YENİDEN DEĞERLE","DEĞERLENDİR"))</f>
        <v/>
      </c>
      <c r="Q414" s="124">
        <f>IF($B414="","",CONCATENATE("Kıymet: ",$B414," | Değer Artışı: ",TEXT($J414,"#,##0")))</f>
        <v/>
      </c>
    </row>
    <row r="415" ht="15.75" customHeight="1" s="81">
      <c r="A415" s="129" t="n"/>
      <c r="B415" s="130" t="n"/>
      <c r="C415" s="127" t="n"/>
      <c r="D415" s="127" t="n"/>
      <c r="E415" s="124">
        <f>IF($C415=0,0,$C415-$D415)</f>
        <v/>
      </c>
      <c r="F415" s="128" t="n"/>
      <c r="G415" s="129" t="n"/>
      <c r="H415" s="131" t="n"/>
      <c r="I415" s="124">
        <f>IF($E415=0,0,$E415*$H415)</f>
        <v/>
      </c>
      <c r="J415" s="124">
        <f>IF($I415=0,0,$I415-$E415)</f>
        <v/>
      </c>
      <c r="K415" s="124">
        <f>IF($J415=0,0,$J415*YenidegerFonOran)</f>
        <v/>
      </c>
      <c r="L415" s="124">
        <f>IF($G415=0,0,$J415/$G415)</f>
        <v/>
      </c>
      <c r="M415" s="124">
        <f>IF($L415=0,0,$L415*YenidegerKurumlarVergiOran)</f>
        <v/>
      </c>
      <c r="N415" s="124">
        <f>IFERROR(IF(YenidegerIskontoOrani=0,$M415*$G415,$M415*(1-1/(1+YenidegerIskontoOrani)^$G415)/YenidegerIskontoOrani),0)</f>
        <v/>
      </c>
      <c r="O415" s="124">
        <f>$N415-$K415</f>
        <v/>
      </c>
      <c r="P415" s="124">
        <f>IF($J415&lt;=0,"DEĞERLENDİR",IF($O415&gt;0,"YENİDEN DEĞERLE","DEĞERLENDİR"))</f>
        <v/>
      </c>
      <c r="Q415" s="124">
        <f>IF($B415="","",CONCATENATE("Kıymet: ",$B415," | Değer Artışı: ",TEXT($J415,"#,##0")))</f>
        <v/>
      </c>
    </row>
    <row r="416" ht="15.75" customHeight="1" s="81">
      <c r="A416" s="129" t="n"/>
      <c r="B416" s="130" t="n"/>
      <c r="C416" s="127" t="n"/>
      <c r="D416" s="127" t="n"/>
      <c r="E416" s="124">
        <f>IF($C416=0,0,$C416-$D416)</f>
        <v/>
      </c>
      <c r="F416" s="128" t="n"/>
      <c r="G416" s="129" t="n"/>
      <c r="H416" s="131" t="n"/>
      <c r="I416" s="124">
        <f>IF($E416=0,0,$E416*$H416)</f>
        <v/>
      </c>
      <c r="J416" s="124">
        <f>IF($I416=0,0,$I416-$E416)</f>
        <v/>
      </c>
      <c r="K416" s="124">
        <f>IF($J416=0,0,$J416*YenidegerFonOran)</f>
        <v/>
      </c>
      <c r="L416" s="124">
        <f>IF($G416=0,0,$J416/$G416)</f>
        <v/>
      </c>
      <c r="M416" s="124">
        <f>IF($L416=0,0,$L416*YenidegerKurumlarVergiOran)</f>
        <v/>
      </c>
      <c r="N416" s="124">
        <f>IFERROR(IF(YenidegerIskontoOrani=0,$M416*$G416,$M416*(1-1/(1+YenidegerIskontoOrani)^$G416)/YenidegerIskontoOrani),0)</f>
        <v/>
      </c>
      <c r="O416" s="124">
        <f>$N416-$K416</f>
        <v/>
      </c>
      <c r="P416" s="124">
        <f>IF($J416&lt;=0,"DEĞERLENDİR",IF($O416&gt;0,"YENİDEN DEĞERLE","DEĞERLENDİR"))</f>
        <v/>
      </c>
      <c r="Q416" s="124">
        <f>IF($B416="","",CONCATENATE("Kıymet: ",$B416," | Değer Artışı: ",TEXT($J416,"#,##0")))</f>
        <v/>
      </c>
    </row>
    <row r="417" ht="15.75" customHeight="1" s="81">
      <c r="A417" s="129" t="n"/>
      <c r="B417" s="130" t="n"/>
      <c r="C417" s="127" t="n"/>
      <c r="D417" s="127" t="n"/>
      <c r="E417" s="124">
        <f>IF($C417=0,0,$C417-$D417)</f>
        <v/>
      </c>
      <c r="F417" s="128" t="n"/>
      <c r="G417" s="129" t="n"/>
      <c r="H417" s="131" t="n"/>
      <c r="I417" s="124">
        <f>IF($E417=0,0,$E417*$H417)</f>
        <v/>
      </c>
      <c r="J417" s="124">
        <f>IF($I417=0,0,$I417-$E417)</f>
        <v/>
      </c>
      <c r="K417" s="124">
        <f>IF($J417=0,0,$J417*YenidegerFonOran)</f>
        <v/>
      </c>
      <c r="L417" s="124">
        <f>IF($G417=0,0,$J417/$G417)</f>
        <v/>
      </c>
      <c r="M417" s="124">
        <f>IF($L417=0,0,$L417*YenidegerKurumlarVergiOran)</f>
        <v/>
      </c>
      <c r="N417" s="124">
        <f>IFERROR(IF(YenidegerIskontoOrani=0,$M417*$G417,$M417*(1-1/(1+YenidegerIskontoOrani)^$G417)/YenidegerIskontoOrani),0)</f>
        <v/>
      </c>
      <c r="O417" s="124">
        <f>$N417-$K417</f>
        <v/>
      </c>
      <c r="P417" s="124">
        <f>IF($J417&lt;=0,"DEĞERLENDİR",IF($O417&gt;0,"YENİDEN DEĞERLE","DEĞERLENDİR"))</f>
        <v/>
      </c>
      <c r="Q417" s="124">
        <f>IF($B417="","",CONCATENATE("Kıymet: ",$B417," | Değer Artışı: ",TEXT($J417,"#,##0")))</f>
        <v/>
      </c>
    </row>
    <row r="418" ht="15.75" customHeight="1" s="81">
      <c r="A418" s="129" t="n"/>
      <c r="B418" s="130" t="n"/>
      <c r="C418" s="127" t="n"/>
      <c r="D418" s="127" t="n"/>
      <c r="E418" s="124">
        <f>IF($C418=0,0,$C418-$D418)</f>
        <v/>
      </c>
      <c r="F418" s="128" t="n"/>
      <c r="G418" s="129" t="n"/>
      <c r="H418" s="131" t="n"/>
      <c r="I418" s="124">
        <f>IF($E418=0,0,$E418*$H418)</f>
        <v/>
      </c>
      <c r="J418" s="124">
        <f>IF($I418=0,0,$I418-$E418)</f>
        <v/>
      </c>
      <c r="K418" s="124">
        <f>IF($J418=0,0,$J418*YenidegerFonOran)</f>
        <v/>
      </c>
      <c r="L418" s="124">
        <f>IF($G418=0,0,$J418/$G418)</f>
        <v/>
      </c>
      <c r="M418" s="124">
        <f>IF($L418=0,0,$L418*YenidegerKurumlarVergiOran)</f>
        <v/>
      </c>
      <c r="N418" s="124">
        <f>IFERROR(IF(YenidegerIskontoOrani=0,$M418*$G418,$M418*(1-1/(1+YenidegerIskontoOrani)^$G418)/YenidegerIskontoOrani),0)</f>
        <v/>
      </c>
      <c r="O418" s="124">
        <f>$N418-$K418</f>
        <v/>
      </c>
      <c r="P418" s="124">
        <f>IF($J418&lt;=0,"DEĞERLENDİR",IF($O418&gt;0,"YENİDEN DEĞERLE","DEĞERLENDİR"))</f>
        <v/>
      </c>
      <c r="Q418" s="124">
        <f>IF($B418="","",CONCATENATE("Kıymet: ",$B418," | Değer Artışı: ",TEXT($J418,"#,##0")))</f>
        <v/>
      </c>
    </row>
    <row r="419" ht="15.75" customHeight="1" s="81">
      <c r="A419" s="129" t="n"/>
      <c r="B419" s="130" t="n"/>
      <c r="C419" s="127" t="n"/>
      <c r="D419" s="127" t="n"/>
      <c r="E419" s="124">
        <f>IF($C419=0,0,$C419-$D419)</f>
        <v/>
      </c>
      <c r="F419" s="128" t="n"/>
      <c r="G419" s="129" t="n"/>
      <c r="H419" s="131" t="n"/>
      <c r="I419" s="124">
        <f>IF($E419=0,0,$E419*$H419)</f>
        <v/>
      </c>
      <c r="J419" s="124">
        <f>IF($I419=0,0,$I419-$E419)</f>
        <v/>
      </c>
      <c r="K419" s="124">
        <f>IF($J419=0,0,$J419*YenidegerFonOran)</f>
        <v/>
      </c>
      <c r="L419" s="124">
        <f>IF($G419=0,0,$J419/$G419)</f>
        <v/>
      </c>
      <c r="M419" s="124">
        <f>IF($L419=0,0,$L419*YenidegerKurumlarVergiOran)</f>
        <v/>
      </c>
      <c r="N419" s="124">
        <f>IFERROR(IF(YenidegerIskontoOrani=0,$M419*$G419,$M419*(1-1/(1+YenidegerIskontoOrani)^$G419)/YenidegerIskontoOrani),0)</f>
        <v/>
      </c>
      <c r="O419" s="124">
        <f>$N419-$K419</f>
        <v/>
      </c>
      <c r="P419" s="124">
        <f>IF($J419&lt;=0,"DEĞERLENDİR",IF($O419&gt;0,"YENİDEN DEĞERLE","DEĞERLENDİR"))</f>
        <v/>
      </c>
      <c r="Q419" s="124">
        <f>IF($B419="","",CONCATENATE("Kıymet: ",$B419," | Değer Artışı: ",TEXT($J419,"#,##0")))</f>
        <v/>
      </c>
    </row>
    <row r="420" ht="15.75" customHeight="1" s="81">
      <c r="A420" s="129" t="n"/>
      <c r="B420" s="130" t="n"/>
      <c r="C420" s="127" t="n"/>
      <c r="D420" s="127" t="n"/>
      <c r="E420" s="124">
        <f>IF($C420=0,0,$C420-$D420)</f>
        <v/>
      </c>
      <c r="F420" s="128" t="n"/>
      <c r="G420" s="129" t="n"/>
      <c r="H420" s="131" t="n"/>
      <c r="I420" s="124">
        <f>IF($E420=0,0,$E420*$H420)</f>
        <v/>
      </c>
      <c r="J420" s="124">
        <f>IF($I420=0,0,$I420-$E420)</f>
        <v/>
      </c>
      <c r="K420" s="124">
        <f>IF($J420=0,0,$J420*YenidegerFonOran)</f>
        <v/>
      </c>
      <c r="L420" s="124">
        <f>IF($G420=0,0,$J420/$G420)</f>
        <v/>
      </c>
      <c r="M420" s="124">
        <f>IF($L420=0,0,$L420*YenidegerKurumlarVergiOran)</f>
        <v/>
      </c>
      <c r="N420" s="124">
        <f>IFERROR(IF(YenidegerIskontoOrani=0,$M420*$G420,$M420*(1-1/(1+YenidegerIskontoOrani)^$G420)/YenidegerIskontoOrani),0)</f>
        <v/>
      </c>
      <c r="O420" s="124">
        <f>$N420-$K420</f>
        <v/>
      </c>
      <c r="P420" s="124">
        <f>IF($J420&lt;=0,"DEĞERLENDİR",IF($O420&gt;0,"YENİDEN DEĞERLE","DEĞERLENDİR"))</f>
        <v/>
      </c>
      <c r="Q420" s="124">
        <f>IF($B420="","",CONCATENATE("Kıymet: ",$B420," | Değer Artışı: ",TEXT($J420,"#,##0")))</f>
        <v/>
      </c>
    </row>
    <row r="421" ht="15.75" customHeight="1" s="81">
      <c r="A421" s="129" t="n"/>
      <c r="B421" s="130" t="n"/>
      <c r="C421" s="127" t="n"/>
      <c r="D421" s="127" t="n"/>
      <c r="E421" s="124">
        <f>IF($C421=0,0,$C421-$D421)</f>
        <v/>
      </c>
      <c r="F421" s="128" t="n"/>
      <c r="G421" s="129" t="n"/>
      <c r="H421" s="131" t="n"/>
      <c r="I421" s="124">
        <f>IF($E421=0,0,$E421*$H421)</f>
        <v/>
      </c>
      <c r="J421" s="124">
        <f>IF($I421=0,0,$I421-$E421)</f>
        <v/>
      </c>
      <c r="K421" s="124">
        <f>IF($J421=0,0,$J421*YenidegerFonOran)</f>
        <v/>
      </c>
      <c r="L421" s="124">
        <f>IF($G421=0,0,$J421/$G421)</f>
        <v/>
      </c>
      <c r="M421" s="124">
        <f>IF($L421=0,0,$L421*YenidegerKurumlarVergiOran)</f>
        <v/>
      </c>
      <c r="N421" s="124">
        <f>IFERROR(IF(YenidegerIskontoOrani=0,$M421*$G421,$M421*(1-1/(1+YenidegerIskontoOrani)^$G421)/YenidegerIskontoOrani),0)</f>
        <v/>
      </c>
      <c r="O421" s="124">
        <f>$N421-$K421</f>
        <v/>
      </c>
      <c r="P421" s="124">
        <f>IF($J421&lt;=0,"DEĞERLENDİR",IF($O421&gt;0,"YENİDEN DEĞERLE","DEĞERLENDİR"))</f>
        <v/>
      </c>
      <c r="Q421" s="124">
        <f>IF($B421="","",CONCATENATE("Kıymet: ",$B421," | Değer Artışı: ",TEXT($J421,"#,##0")))</f>
        <v/>
      </c>
    </row>
    <row r="422" ht="15.75" customHeight="1" s="81">
      <c r="A422" s="129" t="n"/>
      <c r="B422" s="130" t="n"/>
      <c r="C422" s="127" t="n"/>
      <c r="D422" s="127" t="n"/>
      <c r="E422" s="124">
        <f>IF($C422=0,0,$C422-$D422)</f>
        <v/>
      </c>
      <c r="F422" s="128" t="n"/>
      <c r="G422" s="129" t="n"/>
      <c r="H422" s="131" t="n"/>
      <c r="I422" s="124">
        <f>IF($E422=0,0,$E422*$H422)</f>
        <v/>
      </c>
      <c r="J422" s="124">
        <f>IF($I422=0,0,$I422-$E422)</f>
        <v/>
      </c>
      <c r="K422" s="124">
        <f>IF($J422=0,0,$J422*YenidegerFonOran)</f>
        <v/>
      </c>
      <c r="L422" s="124">
        <f>IF($G422=0,0,$J422/$G422)</f>
        <v/>
      </c>
      <c r="M422" s="124">
        <f>IF($L422=0,0,$L422*YenidegerKurumlarVergiOran)</f>
        <v/>
      </c>
      <c r="N422" s="124">
        <f>IFERROR(IF(YenidegerIskontoOrani=0,$M422*$G422,$M422*(1-1/(1+YenidegerIskontoOrani)^$G422)/YenidegerIskontoOrani),0)</f>
        <v/>
      </c>
      <c r="O422" s="124">
        <f>$N422-$K422</f>
        <v/>
      </c>
      <c r="P422" s="124">
        <f>IF($J422&lt;=0,"DEĞERLENDİR",IF($O422&gt;0,"YENİDEN DEĞERLE","DEĞERLENDİR"))</f>
        <v/>
      </c>
      <c r="Q422" s="124">
        <f>IF($B422="","",CONCATENATE("Kıymet: ",$B422," | Değer Artışı: ",TEXT($J422,"#,##0")))</f>
        <v/>
      </c>
    </row>
    <row r="423" ht="15.75" customHeight="1" s="81">
      <c r="A423" s="129" t="n"/>
      <c r="B423" s="130" t="n"/>
      <c r="C423" s="127" t="n"/>
      <c r="D423" s="127" t="n"/>
      <c r="E423" s="124">
        <f>IF($C423=0,0,$C423-$D423)</f>
        <v/>
      </c>
      <c r="F423" s="128" t="n"/>
      <c r="G423" s="129" t="n"/>
      <c r="H423" s="131" t="n"/>
      <c r="I423" s="124">
        <f>IF($E423=0,0,$E423*$H423)</f>
        <v/>
      </c>
      <c r="J423" s="124">
        <f>IF($I423=0,0,$I423-$E423)</f>
        <v/>
      </c>
      <c r="K423" s="124">
        <f>IF($J423=0,0,$J423*YenidegerFonOran)</f>
        <v/>
      </c>
      <c r="L423" s="124">
        <f>IF($G423=0,0,$J423/$G423)</f>
        <v/>
      </c>
      <c r="M423" s="124">
        <f>IF($L423=0,0,$L423*YenidegerKurumlarVergiOran)</f>
        <v/>
      </c>
      <c r="N423" s="124">
        <f>IFERROR(IF(YenidegerIskontoOrani=0,$M423*$G423,$M423*(1-1/(1+YenidegerIskontoOrani)^$G423)/YenidegerIskontoOrani),0)</f>
        <v/>
      </c>
      <c r="O423" s="124">
        <f>$N423-$K423</f>
        <v/>
      </c>
      <c r="P423" s="124">
        <f>IF($J423&lt;=0,"DEĞERLENDİR",IF($O423&gt;0,"YENİDEN DEĞERLE","DEĞERLENDİR"))</f>
        <v/>
      </c>
      <c r="Q423" s="124">
        <f>IF($B423="","",CONCATENATE("Kıymet: ",$B423," | Değer Artışı: ",TEXT($J423,"#,##0")))</f>
        <v/>
      </c>
    </row>
    <row r="424" ht="15.75" customHeight="1" s="81">
      <c r="A424" s="129" t="n"/>
      <c r="B424" s="130" t="n"/>
      <c r="C424" s="127" t="n"/>
      <c r="D424" s="127" t="n"/>
      <c r="E424" s="124">
        <f>IF($C424=0,0,$C424-$D424)</f>
        <v/>
      </c>
      <c r="F424" s="128" t="n"/>
      <c r="G424" s="129" t="n"/>
      <c r="H424" s="131" t="n"/>
      <c r="I424" s="124">
        <f>IF($E424=0,0,$E424*$H424)</f>
        <v/>
      </c>
      <c r="J424" s="124">
        <f>IF($I424=0,0,$I424-$E424)</f>
        <v/>
      </c>
      <c r="K424" s="124">
        <f>IF($J424=0,0,$J424*YenidegerFonOran)</f>
        <v/>
      </c>
      <c r="L424" s="124">
        <f>IF($G424=0,0,$J424/$G424)</f>
        <v/>
      </c>
      <c r="M424" s="124">
        <f>IF($L424=0,0,$L424*YenidegerKurumlarVergiOran)</f>
        <v/>
      </c>
      <c r="N424" s="124">
        <f>IFERROR(IF(YenidegerIskontoOrani=0,$M424*$G424,$M424*(1-1/(1+YenidegerIskontoOrani)^$G424)/YenidegerIskontoOrani),0)</f>
        <v/>
      </c>
      <c r="O424" s="124">
        <f>$N424-$K424</f>
        <v/>
      </c>
      <c r="P424" s="124">
        <f>IF($J424&lt;=0,"DEĞERLENDİR",IF($O424&gt;0,"YENİDEN DEĞERLE","DEĞERLENDİR"))</f>
        <v/>
      </c>
      <c r="Q424" s="124">
        <f>IF($B424="","",CONCATENATE("Kıymet: ",$B424," | Değer Artışı: ",TEXT($J424,"#,##0")))</f>
        <v/>
      </c>
    </row>
    <row r="425" ht="15.75" customHeight="1" s="81">
      <c r="A425" s="129" t="n"/>
      <c r="B425" s="130" t="n"/>
      <c r="C425" s="127" t="n"/>
      <c r="D425" s="127" t="n"/>
      <c r="E425" s="124">
        <f>IF($C425=0,0,$C425-$D425)</f>
        <v/>
      </c>
      <c r="F425" s="128" t="n"/>
      <c r="G425" s="129" t="n"/>
      <c r="H425" s="131" t="n"/>
      <c r="I425" s="124">
        <f>IF($E425=0,0,$E425*$H425)</f>
        <v/>
      </c>
      <c r="J425" s="124">
        <f>IF($I425=0,0,$I425-$E425)</f>
        <v/>
      </c>
      <c r="K425" s="124">
        <f>IF($J425=0,0,$J425*YenidegerFonOran)</f>
        <v/>
      </c>
      <c r="L425" s="124">
        <f>IF($G425=0,0,$J425/$G425)</f>
        <v/>
      </c>
      <c r="M425" s="124">
        <f>IF($L425=0,0,$L425*YenidegerKurumlarVergiOran)</f>
        <v/>
      </c>
      <c r="N425" s="124">
        <f>IFERROR(IF(YenidegerIskontoOrani=0,$M425*$G425,$M425*(1-1/(1+YenidegerIskontoOrani)^$G425)/YenidegerIskontoOrani),0)</f>
        <v/>
      </c>
      <c r="O425" s="124">
        <f>$N425-$K425</f>
        <v/>
      </c>
      <c r="P425" s="124">
        <f>IF($J425&lt;=0,"DEĞERLENDİR",IF($O425&gt;0,"YENİDEN DEĞERLE","DEĞERLENDİR"))</f>
        <v/>
      </c>
      <c r="Q425" s="124">
        <f>IF($B425="","",CONCATENATE("Kıymet: ",$B425," | Değer Artışı: ",TEXT($J425,"#,##0")))</f>
        <v/>
      </c>
    </row>
    <row r="426" ht="15.75" customHeight="1" s="81">
      <c r="A426" s="129" t="n"/>
      <c r="B426" s="130" t="n"/>
      <c r="C426" s="127" t="n"/>
      <c r="D426" s="127" t="n"/>
      <c r="E426" s="124">
        <f>IF($C426=0,0,$C426-$D426)</f>
        <v/>
      </c>
      <c r="F426" s="128" t="n"/>
      <c r="G426" s="129" t="n"/>
      <c r="H426" s="131" t="n"/>
      <c r="I426" s="124">
        <f>IF($E426=0,0,$E426*$H426)</f>
        <v/>
      </c>
      <c r="J426" s="124">
        <f>IF($I426=0,0,$I426-$E426)</f>
        <v/>
      </c>
      <c r="K426" s="124">
        <f>IF($J426=0,0,$J426*YenidegerFonOran)</f>
        <v/>
      </c>
      <c r="L426" s="124">
        <f>IF($G426=0,0,$J426/$G426)</f>
        <v/>
      </c>
      <c r="M426" s="124">
        <f>IF($L426=0,0,$L426*YenidegerKurumlarVergiOran)</f>
        <v/>
      </c>
      <c r="N426" s="124">
        <f>IFERROR(IF(YenidegerIskontoOrani=0,$M426*$G426,$M426*(1-1/(1+YenidegerIskontoOrani)^$G426)/YenidegerIskontoOrani),0)</f>
        <v/>
      </c>
      <c r="O426" s="124">
        <f>$N426-$K426</f>
        <v/>
      </c>
      <c r="P426" s="124">
        <f>IF($J426&lt;=0,"DEĞERLENDİR",IF($O426&gt;0,"YENİDEN DEĞERLE","DEĞERLENDİR"))</f>
        <v/>
      </c>
      <c r="Q426" s="124">
        <f>IF($B426="","",CONCATENATE("Kıymet: ",$B426," | Değer Artışı: ",TEXT($J426,"#,##0")))</f>
        <v/>
      </c>
    </row>
    <row r="427" ht="15.75" customHeight="1" s="81">
      <c r="A427" s="129" t="n"/>
      <c r="B427" s="130" t="n"/>
      <c r="C427" s="127" t="n"/>
      <c r="D427" s="127" t="n"/>
      <c r="E427" s="124">
        <f>IF($C427=0,0,$C427-$D427)</f>
        <v/>
      </c>
      <c r="F427" s="128" t="n"/>
      <c r="G427" s="129" t="n"/>
      <c r="H427" s="131" t="n"/>
      <c r="I427" s="124">
        <f>IF($E427=0,0,$E427*$H427)</f>
        <v/>
      </c>
      <c r="J427" s="124">
        <f>IF($I427=0,0,$I427-$E427)</f>
        <v/>
      </c>
      <c r="K427" s="124">
        <f>IF($J427=0,0,$J427*YenidegerFonOran)</f>
        <v/>
      </c>
      <c r="L427" s="124">
        <f>IF($G427=0,0,$J427/$G427)</f>
        <v/>
      </c>
      <c r="M427" s="124">
        <f>IF($L427=0,0,$L427*YenidegerKurumlarVergiOran)</f>
        <v/>
      </c>
      <c r="N427" s="124">
        <f>IFERROR(IF(YenidegerIskontoOrani=0,$M427*$G427,$M427*(1-1/(1+YenidegerIskontoOrani)^$G427)/YenidegerIskontoOrani),0)</f>
        <v/>
      </c>
      <c r="O427" s="124">
        <f>$N427-$K427</f>
        <v/>
      </c>
      <c r="P427" s="124">
        <f>IF($J427&lt;=0,"DEĞERLENDİR",IF($O427&gt;0,"YENİDEN DEĞERLE","DEĞERLENDİR"))</f>
        <v/>
      </c>
      <c r="Q427" s="124">
        <f>IF($B427="","",CONCATENATE("Kıymet: ",$B427," | Değer Artışı: ",TEXT($J427,"#,##0")))</f>
        <v/>
      </c>
    </row>
    <row r="428" ht="15.75" customHeight="1" s="81">
      <c r="A428" s="129" t="n"/>
      <c r="B428" s="130" t="n"/>
      <c r="C428" s="127" t="n"/>
      <c r="D428" s="127" t="n"/>
      <c r="E428" s="124">
        <f>IF($C428=0,0,$C428-$D428)</f>
        <v/>
      </c>
      <c r="F428" s="128" t="n"/>
      <c r="G428" s="129" t="n"/>
      <c r="H428" s="131" t="n"/>
      <c r="I428" s="124">
        <f>IF($E428=0,0,$E428*$H428)</f>
        <v/>
      </c>
      <c r="J428" s="124">
        <f>IF($I428=0,0,$I428-$E428)</f>
        <v/>
      </c>
      <c r="K428" s="124">
        <f>IF($J428=0,0,$J428*YenidegerFonOran)</f>
        <v/>
      </c>
      <c r="L428" s="124">
        <f>IF($G428=0,0,$J428/$G428)</f>
        <v/>
      </c>
      <c r="M428" s="124">
        <f>IF($L428=0,0,$L428*YenidegerKurumlarVergiOran)</f>
        <v/>
      </c>
      <c r="N428" s="124">
        <f>IFERROR(IF(YenidegerIskontoOrani=0,$M428*$G428,$M428*(1-1/(1+YenidegerIskontoOrani)^$G428)/YenidegerIskontoOrani),0)</f>
        <v/>
      </c>
      <c r="O428" s="124">
        <f>$N428-$K428</f>
        <v/>
      </c>
      <c r="P428" s="124">
        <f>IF($J428&lt;=0,"DEĞERLENDİR",IF($O428&gt;0,"YENİDEN DEĞERLE","DEĞERLENDİR"))</f>
        <v/>
      </c>
      <c r="Q428" s="124">
        <f>IF($B428="","",CONCATENATE("Kıymet: ",$B428," | Değer Artışı: ",TEXT($J428,"#,##0")))</f>
        <v/>
      </c>
    </row>
    <row r="429" ht="15.75" customHeight="1" s="81">
      <c r="A429" s="129" t="n"/>
      <c r="B429" s="130" t="n"/>
      <c r="C429" s="127" t="n"/>
      <c r="D429" s="127" t="n"/>
      <c r="E429" s="124">
        <f>IF($C429=0,0,$C429-$D429)</f>
        <v/>
      </c>
      <c r="F429" s="128" t="n"/>
      <c r="G429" s="129" t="n"/>
      <c r="H429" s="131" t="n"/>
      <c r="I429" s="124">
        <f>IF($E429=0,0,$E429*$H429)</f>
        <v/>
      </c>
      <c r="J429" s="124">
        <f>IF($I429=0,0,$I429-$E429)</f>
        <v/>
      </c>
      <c r="K429" s="124">
        <f>IF($J429=0,0,$J429*YenidegerFonOran)</f>
        <v/>
      </c>
      <c r="L429" s="124">
        <f>IF($G429=0,0,$J429/$G429)</f>
        <v/>
      </c>
      <c r="M429" s="124">
        <f>IF($L429=0,0,$L429*YenidegerKurumlarVergiOran)</f>
        <v/>
      </c>
      <c r="N429" s="124">
        <f>IFERROR(IF(YenidegerIskontoOrani=0,$M429*$G429,$M429*(1-1/(1+YenidegerIskontoOrani)^$G429)/YenidegerIskontoOrani),0)</f>
        <v/>
      </c>
      <c r="O429" s="124">
        <f>$N429-$K429</f>
        <v/>
      </c>
      <c r="P429" s="124">
        <f>IF($J429&lt;=0,"DEĞERLENDİR",IF($O429&gt;0,"YENİDEN DEĞERLE","DEĞERLENDİR"))</f>
        <v/>
      </c>
      <c r="Q429" s="124">
        <f>IF($B429="","",CONCATENATE("Kıymet: ",$B429," | Değer Artışı: ",TEXT($J429,"#,##0")))</f>
        <v/>
      </c>
    </row>
    <row r="430" ht="15.75" customHeight="1" s="81">
      <c r="A430" s="129" t="n"/>
      <c r="B430" s="130" t="n"/>
      <c r="C430" s="127" t="n"/>
      <c r="D430" s="127" t="n"/>
      <c r="E430" s="124">
        <f>IF($C430=0,0,$C430-$D430)</f>
        <v/>
      </c>
      <c r="F430" s="128" t="n"/>
      <c r="G430" s="129" t="n"/>
      <c r="H430" s="131" t="n"/>
      <c r="I430" s="124">
        <f>IF($E430=0,0,$E430*$H430)</f>
        <v/>
      </c>
      <c r="J430" s="124">
        <f>IF($I430=0,0,$I430-$E430)</f>
        <v/>
      </c>
      <c r="K430" s="124">
        <f>IF($J430=0,0,$J430*YenidegerFonOran)</f>
        <v/>
      </c>
      <c r="L430" s="124">
        <f>IF($G430=0,0,$J430/$G430)</f>
        <v/>
      </c>
      <c r="M430" s="124">
        <f>IF($L430=0,0,$L430*YenidegerKurumlarVergiOran)</f>
        <v/>
      </c>
      <c r="N430" s="124">
        <f>IFERROR(IF(YenidegerIskontoOrani=0,$M430*$G430,$M430*(1-1/(1+YenidegerIskontoOrani)^$G430)/YenidegerIskontoOrani),0)</f>
        <v/>
      </c>
      <c r="O430" s="124">
        <f>$N430-$K430</f>
        <v/>
      </c>
      <c r="P430" s="124">
        <f>IF($J430&lt;=0,"DEĞERLENDİR",IF($O430&gt;0,"YENİDEN DEĞERLE","DEĞERLENDİR"))</f>
        <v/>
      </c>
      <c r="Q430" s="124">
        <f>IF($B430="","",CONCATENATE("Kıymet: ",$B430," | Değer Artışı: ",TEXT($J430,"#,##0")))</f>
        <v/>
      </c>
    </row>
    <row r="431" ht="15.75" customHeight="1" s="81">
      <c r="A431" s="129" t="n"/>
      <c r="B431" s="130" t="n"/>
      <c r="C431" s="127" t="n"/>
      <c r="D431" s="127" t="n"/>
      <c r="E431" s="124">
        <f>IF($C431=0,0,$C431-$D431)</f>
        <v/>
      </c>
      <c r="F431" s="128" t="n"/>
      <c r="G431" s="129" t="n"/>
      <c r="H431" s="131" t="n"/>
      <c r="I431" s="124">
        <f>IF($E431=0,0,$E431*$H431)</f>
        <v/>
      </c>
      <c r="J431" s="124">
        <f>IF($I431=0,0,$I431-$E431)</f>
        <v/>
      </c>
      <c r="K431" s="124">
        <f>IF($J431=0,0,$J431*YenidegerFonOran)</f>
        <v/>
      </c>
      <c r="L431" s="124">
        <f>IF($G431=0,0,$J431/$G431)</f>
        <v/>
      </c>
      <c r="M431" s="124">
        <f>IF($L431=0,0,$L431*YenidegerKurumlarVergiOran)</f>
        <v/>
      </c>
      <c r="N431" s="124">
        <f>IFERROR(IF(YenidegerIskontoOrani=0,$M431*$G431,$M431*(1-1/(1+YenidegerIskontoOrani)^$G431)/YenidegerIskontoOrani),0)</f>
        <v/>
      </c>
      <c r="O431" s="124">
        <f>$N431-$K431</f>
        <v/>
      </c>
      <c r="P431" s="124">
        <f>IF($J431&lt;=0,"DEĞERLENDİR",IF($O431&gt;0,"YENİDEN DEĞERLE","DEĞERLENDİR"))</f>
        <v/>
      </c>
      <c r="Q431" s="124">
        <f>IF($B431="","",CONCATENATE("Kıymet: ",$B431," | Değer Artışı: ",TEXT($J431,"#,##0")))</f>
        <v/>
      </c>
    </row>
    <row r="432" ht="15.75" customHeight="1" s="81">
      <c r="A432" s="129" t="n"/>
      <c r="B432" s="130" t="n"/>
      <c r="C432" s="127" t="n"/>
      <c r="D432" s="127" t="n"/>
      <c r="E432" s="124">
        <f>IF($C432=0,0,$C432-$D432)</f>
        <v/>
      </c>
      <c r="F432" s="128" t="n"/>
      <c r="G432" s="129" t="n"/>
      <c r="H432" s="131" t="n"/>
      <c r="I432" s="124">
        <f>IF($E432=0,0,$E432*$H432)</f>
        <v/>
      </c>
      <c r="J432" s="124">
        <f>IF($I432=0,0,$I432-$E432)</f>
        <v/>
      </c>
      <c r="K432" s="124">
        <f>IF($J432=0,0,$J432*YenidegerFonOran)</f>
        <v/>
      </c>
      <c r="L432" s="124">
        <f>IF($G432=0,0,$J432/$G432)</f>
        <v/>
      </c>
      <c r="M432" s="124">
        <f>IF($L432=0,0,$L432*YenidegerKurumlarVergiOran)</f>
        <v/>
      </c>
      <c r="N432" s="124">
        <f>IFERROR(IF(YenidegerIskontoOrani=0,$M432*$G432,$M432*(1-1/(1+YenidegerIskontoOrani)^$G432)/YenidegerIskontoOrani),0)</f>
        <v/>
      </c>
      <c r="O432" s="124">
        <f>$N432-$K432</f>
        <v/>
      </c>
      <c r="P432" s="124">
        <f>IF($J432&lt;=0,"DEĞERLENDİR",IF($O432&gt;0,"YENİDEN DEĞERLE","DEĞERLENDİR"))</f>
        <v/>
      </c>
      <c r="Q432" s="124">
        <f>IF($B432="","",CONCATENATE("Kıymet: ",$B432," | Değer Artışı: ",TEXT($J432,"#,##0")))</f>
        <v/>
      </c>
    </row>
    <row r="433" ht="15.75" customHeight="1" s="81">
      <c r="A433" s="129" t="n"/>
      <c r="B433" s="130" t="n"/>
      <c r="C433" s="127" t="n"/>
      <c r="D433" s="127" t="n"/>
      <c r="E433" s="124">
        <f>IF($C433=0,0,$C433-$D433)</f>
        <v/>
      </c>
      <c r="F433" s="128" t="n"/>
      <c r="G433" s="129" t="n"/>
      <c r="H433" s="131" t="n"/>
      <c r="I433" s="124">
        <f>IF($E433=0,0,$E433*$H433)</f>
        <v/>
      </c>
      <c r="J433" s="124">
        <f>IF($I433=0,0,$I433-$E433)</f>
        <v/>
      </c>
      <c r="K433" s="124">
        <f>IF($J433=0,0,$J433*YenidegerFonOran)</f>
        <v/>
      </c>
      <c r="L433" s="124">
        <f>IF($G433=0,0,$J433/$G433)</f>
        <v/>
      </c>
      <c r="M433" s="124">
        <f>IF($L433=0,0,$L433*YenidegerKurumlarVergiOran)</f>
        <v/>
      </c>
      <c r="N433" s="124">
        <f>IFERROR(IF(YenidegerIskontoOrani=0,$M433*$G433,$M433*(1-1/(1+YenidegerIskontoOrani)^$G433)/YenidegerIskontoOrani),0)</f>
        <v/>
      </c>
      <c r="O433" s="124">
        <f>$N433-$K433</f>
        <v/>
      </c>
      <c r="P433" s="124">
        <f>IF($J433&lt;=0,"DEĞERLENDİR",IF($O433&gt;0,"YENİDEN DEĞERLE","DEĞERLENDİR"))</f>
        <v/>
      </c>
      <c r="Q433" s="124">
        <f>IF($B433="","",CONCATENATE("Kıymet: ",$B433," | Değer Artışı: ",TEXT($J433,"#,##0")))</f>
        <v/>
      </c>
    </row>
    <row r="434" ht="15.75" customHeight="1" s="81">
      <c r="A434" s="129" t="n"/>
      <c r="B434" s="130" t="n"/>
      <c r="C434" s="127" t="n"/>
      <c r="D434" s="127" t="n"/>
      <c r="E434" s="124">
        <f>IF($C434=0,0,$C434-$D434)</f>
        <v/>
      </c>
      <c r="F434" s="128" t="n"/>
      <c r="G434" s="129" t="n"/>
      <c r="H434" s="131" t="n"/>
      <c r="I434" s="124">
        <f>IF($E434=0,0,$E434*$H434)</f>
        <v/>
      </c>
      <c r="J434" s="124">
        <f>IF($I434=0,0,$I434-$E434)</f>
        <v/>
      </c>
      <c r="K434" s="124">
        <f>IF($J434=0,0,$J434*YenidegerFonOran)</f>
        <v/>
      </c>
      <c r="L434" s="124">
        <f>IF($G434=0,0,$J434/$G434)</f>
        <v/>
      </c>
      <c r="M434" s="124">
        <f>IF($L434=0,0,$L434*YenidegerKurumlarVergiOran)</f>
        <v/>
      </c>
      <c r="N434" s="124">
        <f>IFERROR(IF(YenidegerIskontoOrani=0,$M434*$G434,$M434*(1-1/(1+YenidegerIskontoOrani)^$G434)/YenidegerIskontoOrani),0)</f>
        <v/>
      </c>
      <c r="O434" s="124">
        <f>$N434-$K434</f>
        <v/>
      </c>
      <c r="P434" s="124">
        <f>IF($J434&lt;=0,"DEĞERLENDİR",IF($O434&gt;0,"YENİDEN DEĞERLE","DEĞERLENDİR"))</f>
        <v/>
      </c>
      <c r="Q434" s="124">
        <f>IF($B434="","",CONCATENATE("Kıymet: ",$B434," | Değer Artışı: ",TEXT($J434,"#,##0")))</f>
        <v/>
      </c>
    </row>
    <row r="435" ht="15.75" customHeight="1" s="81">
      <c r="A435" s="129" t="n"/>
      <c r="B435" s="130" t="n"/>
      <c r="C435" s="127" t="n"/>
      <c r="D435" s="127" t="n"/>
      <c r="E435" s="124">
        <f>IF($C435=0,0,$C435-$D435)</f>
        <v/>
      </c>
      <c r="F435" s="128" t="n"/>
      <c r="G435" s="129" t="n"/>
      <c r="H435" s="131" t="n"/>
      <c r="I435" s="124">
        <f>IF($E435=0,0,$E435*$H435)</f>
        <v/>
      </c>
      <c r="J435" s="124">
        <f>IF($I435=0,0,$I435-$E435)</f>
        <v/>
      </c>
      <c r="K435" s="124">
        <f>IF($J435=0,0,$J435*YenidegerFonOran)</f>
        <v/>
      </c>
      <c r="L435" s="124">
        <f>IF($G435=0,0,$J435/$G435)</f>
        <v/>
      </c>
      <c r="M435" s="124">
        <f>IF($L435=0,0,$L435*YenidegerKurumlarVergiOran)</f>
        <v/>
      </c>
      <c r="N435" s="124">
        <f>IFERROR(IF(YenidegerIskontoOrani=0,$M435*$G435,$M435*(1-1/(1+YenidegerIskontoOrani)^$G435)/YenidegerIskontoOrani),0)</f>
        <v/>
      </c>
      <c r="O435" s="124">
        <f>$N435-$K435</f>
        <v/>
      </c>
      <c r="P435" s="124">
        <f>IF($J435&lt;=0,"DEĞERLENDİR",IF($O435&gt;0,"YENİDEN DEĞERLE","DEĞERLENDİR"))</f>
        <v/>
      </c>
      <c r="Q435" s="124">
        <f>IF($B435="","",CONCATENATE("Kıymet: ",$B435," | Değer Artışı: ",TEXT($J435,"#,##0")))</f>
        <v/>
      </c>
    </row>
    <row r="436" ht="15.75" customHeight="1" s="81">
      <c r="A436" s="129" t="n"/>
      <c r="B436" s="130" t="n"/>
      <c r="C436" s="127" t="n"/>
      <c r="D436" s="127" t="n"/>
      <c r="E436" s="124">
        <f>IF($C436=0,0,$C436-$D436)</f>
        <v/>
      </c>
      <c r="F436" s="128" t="n"/>
      <c r="G436" s="129" t="n"/>
      <c r="H436" s="131" t="n"/>
      <c r="I436" s="124">
        <f>IF($E436=0,0,$E436*$H436)</f>
        <v/>
      </c>
      <c r="J436" s="124">
        <f>IF($I436=0,0,$I436-$E436)</f>
        <v/>
      </c>
      <c r="K436" s="124">
        <f>IF($J436=0,0,$J436*YenidegerFonOran)</f>
        <v/>
      </c>
      <c r="L436" s="124">
        <f>IF($G436=0,0,$J436/$G436)</f>
        <v/>
      </c>
      <c r="M436" s="124">
        <f>IF($L436=0,0,$L436*YenidegerKurumlarVergiOran)</f>
        <v/>
      </c>
      <c r="N436" s="124">
        <f>IFERROR(IF(YenidegerIskontoOrani=0,$M436*$G436,$M436*(1-1/(1+YenidegerIskontoOrani)^$G436)/YenidegerIskontoOrani),0)</f>
        <v/>
      </c>
      <c r="O436" s="124">
        <f>$N436-$K436</f>
        <v/>
      </c>
      <c r="P436" s="124">
        <f>IF($J436&lt;=0,"DEĞERLENDİR",IF($O436&gt;0,"YENİDEN DEĞERLE","DEĞERLENDİR"))</f>
        <v/>
      </c>
      <c r="Q436" s="124">
        <f>IF($B436="","",CONCATENATE("Kıymet: ",$B436," | Değer Artışı: ",TEXT($J436,"#,##0")))</f>
        <v/>
      </c>
    </row>
    <row r="437" ht="15.75" customHeight="1" s="81">
      <c r="A437" s="129" t="n"/>
      <c r="B437" s="130" t="n"/>
      <c r="C437" s="127" t="n"/>
      <c r="D437" s="127" t="n"/>
      <c r="E437" s="124">
        <f>IF($C437=0,0,$C437-$D437)</f>
        <v/>
      </c>
      <c r="F437" s="128" t="n"/>
      <c r="G437" s="129" t="n"/>
      <c r="H437" s="131" t="n"/>
      <c r="I437" s="124">
        <f>IF($E437=0,0,$E437*$H437)</f>
        <v/>
      </c>
      <c r="J437" s="124">
        <f>IF($I437=0,0,$I437-$E437)</f>
        <v/>
      </c>
      <c r="K437" s="124">
        <f>IF($J437=0,0,$J437*YenidegerFonOran)</f>
        <v/>
      </c>
      <c r="L437" s="124">
        <f>IF($G437=0,0,$J437/$G437)</f>
        <v/>
      </c>
      <c r="M437" s="124">
        <f>IF($L437=0,0,$L437*YenidegerKurumlarVergiOran)</f>
        <v/>
      </c>
      <c r="N437" s="124">
        <f>IFERROR(IF(YenidegerIskontoOrani=0,$M437*$G437,$M437*(1-1/(1+YenidegerIskontoOrani)^$G437)/YenidegerIskontoOrani),0)</f>
        <v/>
      </c>
      <c r="O437" s="124">
        <f>$N437-$K437</f>
        <v/>
      </c>
      <c r="P437" s="124">
        <f>IF($J437&lt;=0,"DEĞERLENDİR",IF($O437&gt;0,"YENİDEN DEĞERLE","DEĞERLENDİR"))</f>
        <v/>
      </c>
      <c r="Q437" s="124">
        <f>IF($B437="","",CONCATENATE("Kıymet: ",$B437," | Değer Artışı: ",TEXT($J437,"#,##0")))</f>
        <v/>
      </c>
    </row>
    <row r="438" ht="15.75" customHeight="1" s="81">
      <c r="A438" s="129" t="n"/>
      <c r="B438" s="130" t="n"/>
      <c r="C438" s="127" t="n"/>
      <c r="D438" s="127" t="n"/>
      <c r="E438" s="124">
        <f>IF($C438=0,0,$C438-$D438)</f>
        <v/>
      </c>
      <c r="F438" s="128" t="n"/>
      <c r="G438" s="129" t="n"/>
      <c r="H438" s="131" t="n"/>
      <c r="I438" s="124">
        <f>IF($E438=0,0,$E438*$H438)</f>
        <v/>
      </c>
      <c r="J438" s="124">
        <f>IF($I438=0,0,$I438-$E438)</f>
        <v/>
      </c>
      <c r="K438" s="124">
        <f>IF($J438=0,0,$J438*YenidegerFonOran)</f>
        <v/>
      </c>
      <c r="L438" s="124">
        <f>IF($G438=0,0,$J438/$G438)</f>
        <v/>
      </c>
      <c r="M438" s="124">
        <f>IF($L438=0,0,$L438*YenidegerKurumlarVergiOran)</f>
        <v/>
      </c>
      <c r="N438" s="124">
        <f>IFERROR(IF(YenidegerIskontoOrani=0,$M438*$G438,$M438*(1-1/(1+YenidegerIskontoOrani)^$G438)/YenidegerIskontoOrani),0)</f>
        <v/>
      </c>
      <c r="O438" s="124">
        <f>$N438-$K438</f>
        <v/>
      </c>
      <c r="P438" s="124">
        <f>IF($J438&lt;=0,"DEĞERLENDİR",IF($O438&gt;0,"YENİDEN DEĞERLE","DEĞERLENDİR"))</f>
        <v/>
      </c>
      <c r="Q438" s="124">
        <f>IF($B438="","",CONCATENATE("Kıymet: ",$B438," | Değer Artışı: ",TEXT($J438,"#,##0")))</f>
        <v/>
      </c>
    </row>
    <row r="439" ht="15.75" customHeight="1" s="81">
      <c r="A439" s="129" t="n"/>
      <c r="B439" s="130" t="n"/>
      <c r="C439" s="127" t="n"/>
      <c r="D439" s="127" t="n"/>
      <c r="E439" s="124">
        <f>IF($C439=0,0,$C439-$D439)</f>
        <v/>
      </c>
      <c r="F439" s="128" t="n"/>
      <c r="G439" s="129" t="n"/>
      <c r="H439" s="131" t="n"/>
      <c r="I439" s="124">
        <f>IF($E439=0,0,$E439*$H439)</f>
        <v/>
      </c>
      <c r="J439" s="124">
        <f>IF($I439=0,0,$I439-$E439)</f>
        <v/>
      </c>
      <c r="K439" s="124">
        <f>IF($J439=0,0,$J439*YenidegerFonOran)</f>
        <v/>
      </c>
      <c r="L439" s="124">
        <f>IF($G439=0,0,$J439/$G439)</f>
        <v/>
      </c>
      <c r="M439" s="124">
        <f>IF($L439=0,0,$L439*YenidegerKurumlarVergiOran)</f>
        <v/>
      </c>
      <c r="N439" s="124">
        <f>IFERROR(IF(YenidegerIskontoOrani=0,$M439*$G439,$M439*(1-1/(1+YenidegerIskontoOrani)^$G439)/YenidegerIskontoOrani),0)</f>
        <v/>
      </c>
      <c r="O439" s="124">
        <f>$N439-$K439</f>
        <v/>
      </c>
      <c r="P439" s="124">
        <f>IF($J439&lt;=0,"DEĞERLENDİR",IF($O439&gt;0,"YENİDEN DEĞERLE","DEĞERLENDİR"))</f>
        <v/>
      </c>
      <c r="Q439" s="124">
        <f>IF($B439="","",CONCATENATE("Kıymet: ",$B439," | Değer Artışı: ",TEXT($J439,"#,##0")))</f>
        <v/>
      </c>
    </row>
    <row r="440" ht="15.75" customHeight="1" s="81">
      <c r="A440" s="129" t="n"/>
      <c r="B440" s="130" t="n"/>
      <c r="C440" s="127" t="n"/>
      <c r="D440" s="127" t="n"/>
      <c r="E440" s="124">
        <f>IF($C440=0,0,$C440-$D440)</f>
        <v/>
      </c>
      <c r="F440" s="128" t="n"/>
      <c r="G440" s="129" t="n"/>
      <c r="H440" s="131" t="n"/>
      <c r="I440" s="124">
        <f>IF($E440=0,0,$E440*$H440)</f>
        <v/>
      </c>
      <c r="J440" s="124">
        <f>IF($I440=0,0,$I440-$E440)</f>
        <v/>
      </c>
      <c r="K440" s="124">
        <f>IF($J440=0,0,$J440*YenidegerFonOran)</f>
        <v/>
      </c>
      <c r="L440" s="124">
        <f>IF($G440=0,0,$J440/$G440)</f>
        <v/>
      </c>
      <c r="M440" s="124">
        <f>IF($L440=0,0,$L440*YenidegerKurumlarVergiOran)</f>
        <v/>
      </c>
      <c r="N440" s="124">
        <f>IFERROR(IF(YenidegerIskontoOrani=0,$M440*$G440,$M440*(1-1/(1+YenidegerIskontoOrani)^$G440)/YenidegerIskontoOrani),0)</f>
        <v/>
      </c>
      <c r="O440" s="124">
        <f>$N440-$K440</f>
        <v/>
      </c>
      <c r="P440" s="124">
        <f>IF($J440&lt;=0,"DEĞERLENDİR",IF($O440&gt;0,"YENİDEN DEĞERLE","DEĞERLENDİR"))</f>
        <v/>
      </c>
      <c r="Q440" s="124">
        <f>IF($B440="","",CONCATENATE("Kıymet: ",$B440," | Değer Artışı: ",TEXT($J440,"#,##0")))</f>
        <v/>
      </c>
    </row>
    <row r="441" ht="15.75" customHeight="1" s="81">
      <c r="A441" s="129" t="n"/>
      <c r="B441" s="130" t="n"/>
      <c r="C441" s="127" t="n"/>
      <c r="D441" s="127" t="n"/>
      <c r="E441" s="124">
        <f>IF($C441=0,0,$C441-$D441)</f>
        <v/>
      </c>
      <c r="F441" s="128" t="n"/>
      <c r="G441" s="129" t="n"/>
      <c r="H441" s="131" t="n"/>
      <c r="I441" s="124">
        <f>IF($E441=0,0,$E441*$H441)</f>
        <v/>
      </c>
      <c r="J441" s="124">
        <f>IF($I441=0,0,$I441-$E441)</f>
        <v/>
      </c>
      <c r="K441" s="124">
        <f>IF($J441=0,0,$J441*YenidegerFonOran)</f>
        <v/>
      </c>
      <c r="L441" s="124">
        <f>IF($G441=0,0,$J441/$G441)</f>
        <v/>
      </c>
      <c r="M441" s="124">
        <f>IF($L441=0,0,$L441*YenidegerKurumlarVergiOran)</f>
        <v/>
      </c>
      <c r="N441" s="124">
        <f>IFERROR(IF(YenidegerIskontoOrani=0,$M441*$G441,$M441*(1-1/(1+YenidegerIskontoOrani)^$G441)/YenidegerIskontoOrani),0)</f>
        <v/>
      </c>
      <c r="O441" s="124">
        <f>$N441-$K441</f>
        <v/>
      </c>
      <c r="P441" s="124">
        <f>IF($J441&lt;=0,"DEĞERLENDİR",IF($O441&gt;0,"YENİDEN DEĞERLE","DEĞERLENDİR"))</f>
        <v/>
      </c>
      <c r="Q441" s="124">
        <f>IF($B441="","",CONCATENATE("Kıymet: ",$B441," | Değer Artışı: ",TEXT($J441,"#,##0")))</f>
        <v/>
      </c>
    </row>
    <row r="442" ht="15.75" customHeight="1" s="81">
      <c r="A442" s="129" t="n"/>
      <c r="B442" s="130" t="n"/>
      <c r="C442" s="127" t="n"/>
      <c r="D442" s="127" t="n"/>
      <c r="E442" s="124">
        <f>IF($C442=0,0,$C442-$D442)</f>
        <v/>
      </c>
      <c r="F442" s="128" t="n"/>
      <c r="G442" s="129" t="n"/>
      <c r="H442" s="131" t="n"/>
      <c r="I442" s="124">
        <f>IF($E442=0,0,$E442*$H442)</f>
        <v/>
      </c>
      <c r="J442" s="124">
        <f>IF($I442=0,0,$I442-$E442)</f>
        <v/>
      </c>
      <c r="K442" s="124">
        <f>IF($J442=0,0,$J442*YenidegerFonOran)</f>
        <v/>
      </c>
      <c r="L442" s="124">
        <f>IF($G442=0,0,$J442/$G442)</f>
        <v/>
      </c>
      <c r="M442" s="124">
        <f>IF($L442=0,0,$L442*YenidegerKurumlarVergiOran)</f>
        <v/>
      </c>
      <c r="N442" s="124">
        <f>IFERROR(IF(YenidegerIskontoOrani=0,$M442*$G442,$M442*(1-1/(1+YenidegerIskontoOrani)^$G442)/YenidegerIskontoOrani),0)</f>
        <v/>
      </c>
      <c r="O442" s="124">
        <f>$N442-$K442</f>
        <v/>
      </c>
      <c r="P442" s="124">
        <f>IF($J442&lt;=0,"DEĞERLENDİR",IF($O442&gt;0,"YENİDEN DEĞERLE","DEĞERLENDİR"))</f>
        <v/>
      </c>
      <c r="Q442" s="124">
        <f>IF($B442="","",CONCATENATE("Kıymet: ",$B442," | Değer Artışı: ",TEXT($J442,"#,##0")))</f>
        <v/>
      </c>
    </row>
    <row r="443" ht="15.75" customHeight="1" s="81">
      <c r="A443" s="129" t="n"/>
      <c r="B443" s="130" t="n"/>
      <c r="C443" s="127" t="n"/>
      <c r="D443" s="127" t="n"/>
      <c r="E443" s="124">
        <f>IF($C443=0,0,$C443-$D443)</f>
        <v/>
      </c>
      <c r="F443" s="128" t="n"/>
      <c r="G443" s="129" t="n"/>
      <c r="H443" s="131" t="n"/>
      <c r="I443" s="124">
        <f>IF($E443=0,0,$E443*$H443)</f>
        <v/>
      </c>
      <c r="J443" s="124">
        <f>IF($I443=0,0,$I443-$E443)</f>
        <v/>
      </c>
      <c r="K443" s="124">
        <f>IF($J443=0,0,$J443*YenidegerFonOran)</f>
        <v/>
      </c>
      <c r="L443" s="124">
        <f>IF($G443=0,0,$J443/$G443)</f>
        <v/>
      </c>
      <c r="M443" s="124">
        <f>IF($L443=0,0,$L443*YenidegerKurumlarVergiOran)</f>
        <v/>
      </c>
      <c r="N443" s="124">
        <f>IFERROR(IF(YenidegerIskontoOrani=0,$M443*$G443,$M443*(1-1/(1+YenidegerIskontoOrani)^$G443)/YenidegerIskontoOrani),0)</f>
        <v/>
      </c>
      <c r="O443" s="124">
        <f>$N443-$K443</f>
        <v/>
      </c>
      <c r="P443" s="124">
        <f>IF($J443&lt;=0,"DEĞERLENDİR",IF($O443&gt;0,"YENİDEN DEĞERLE","DEĞERLENDİR"))</f>
        <v/>
      </c>
      <c r="Q443" s="124">
        <f>IF($B443="","",CONCATENATE("Kıymet: ",$B443," | Değer Artışı: ",TEXT($J443,"#,##0")))</f>
        <v/>
      </c>
    </row>
    <row r="444" ht="15.75" customHeight="1" s="81">
      <c r="A444" s="129" t="n"/>
      <c r="B444" s="130" t="n"/>
      <c r="C444" s="127" t="n"/>
      <c r="D444" s="127" t="n"/>
      <c r="E444" s="124">
        <f>IF($C444=0,0,$C444-$D444)</f>
        <v/>
      </c>
      <c r="F444" s="128" t="n"/>
      <c r="G444" s="129" t="n"/>
      <c r="H444" s="131" t="n"/>
      <c r="I444" s="124">
        <f>IF($E444=0,0,$E444*$H444)</f>
        <v/>
      </c>
      <c r="J444" s="124">
        <f>IF($I444=0,0,$I444-$E444)</f>
        <v/>
      </c>
      <c r="K444" s="124">
        <f>IF($J444=0,0,$J444*YenidegerFonOran)</f>
        <v/>
      </c>
      <c r="L444" s="124">
        <f>IF($G444=0,0,$J444/$G444)</f>
        <v/>
      </c>
      <c r="M444" s="124">
        <f>IF($L444=0,0,$L444*YenidegerKurumlarVergiOran)</f>
        <v/>
      </c>
      <c r="N444" s="124">
        <f>IFERROR(IF(YenidegerIskontoOrani=0,$M444*$G444,$M444*(1-1/(1+YenidegerIskontoOrani)^$G444)/YenidegerIskontoOrani),0)</f>
        <v/>
      </c>
      <c r="O444" s="124">
        <f>$N444-$K444</f>
        <v/>
      </c>
      <c r="P444" s="124">
        <f>IF($J444&lt;=0,"DEĞERLENDİR",IF($O444&gt;0,"YENİDEN DEĞERLE","DEĞERLENDİR"))</f>
        <v/>
      </c>
      <c r="Q444" s="124">
        <f>IF($B444="","",CONCATENATE("Kıymet: ",$B444," | Değer Artışı: ",TEXT($J444,"#,##0")))</f>
        <v/>
      </c>
    </row>
    <row r="445" ht="15.75" customHeight="1" s="81">
      <c r="A445" s="129" t="n"/>
      <c r="B445" s="130" t="n"/>
      <c r="C445" s="127" t="n"/>
      <c r="D445" s="127" t="n"/>
      <c r="E445" s="124">
        <f>IF($C445=0,0,$C445-$D445)</f>
        <v/>
      </c>
      <c r="F445" s="128" t="n"/>
      <c r="G445" s="129" t="n"/>
      <c r="H445" s="131" t="n"/>
      <c r="I445" s="124">
        <f>IF($E445=0,0,$E445*$H445)</f>
        <v/>
      </c>
      <c r="J445" s="124">
        <f>IF($I445=0,0,$I445-$E445)</f>
        <v/>
      </c>
      <c r="K445" s="124">
        <f>IF($J445=0,0,$J445*YenidegerFonOran)</f>
        <v/>
      </c>
      <c r="L445" s="124">
        <f>IF($G445=0,0,$J445/$G445)</f>
        <v/>
      </c>
      <c r="M445" s="124">
        <f>IF($L445=0,0,$L445*YenidegerKurumlarVergiOran)</f>
        <v/>
      </c>
      <c r="N445" s="124">
        <f>IFERROR(IF(YenidegerIskontoOrani=0,$M445*$G445,$M445*(1-1/(1+YenidegerIskontoOrani)^$G445)/YenidegerIskontoOrani),0)</f>
        <v/>
      </c>
      <c r="O445" s="124">
        <f>$N445-$K445</f>
        <v/>
      </c>
      <c r="P445" s="124">
        <f>IF($J445&lt;=0,"DEĞERLENDİR",IF($O445&gt;0,"YENİDEN DEĞERLE","DEĞERLENDİR"))</f>
        <v/>
      </c>
      <c r="Q445" s="124">
        <f>IF($B445="","",CONCATENATE("Kıymet: ",$B445," | Değer Artışı: ",TEXT($J445,"#,##0")))</f>
        <v/>
      </c>
    </row>
    <row r="446" ht="15.75" customHeight="1" s="81">
      <c r="A446" s="129" t="n"/>
      <c r="B446" s="130" t="n"/>
      <c r="C446" s="127" t="n"/>
      <c r="D446" s="127" t="n"/>
      <c r="E446" s="124">
        <f>IF($C446=0,0,$C446-$D446)</f>
        <v/>
      </c>
      <c r="F446" s="128" t="n"/>
      <c r="G446" s="129" t="n"/>
      <c r="H446" s="131" t="n"/>
      <c r="I446" s="124">
        <f>IF($E446=0,0,$E446*$H446)</f>
        <v/>
      </c>
      <c r="J446" s="124">
        <f>IF($I446=0,0,$I446-$E446)</f>
        <v/>
      </c>
      <c r="K446" s="124">
        <f>IF($J446=0,0,$J446*YenidegerFonOran)</f>
        <v/>
      </c>
      <c r="L446" s="124">
        <f>IF($G446=0,0,$J446/$G446)</f>
        <v/>
      </c>
      <c r="M446" s="124">
        <f>IF($L446=0,0,$L446*YenidegerKurumlarVergiOran)</f>
        <v/>
      </c>
      <c r="N446" s="124">
        <f>IFERROR(IF(YenidegerIskontoOrani=0,$M446*$G446,$M446*(1-1/(1+YenidegerIskontoOrani)^$G446)/YenidegerIskontoOrani),0)</f>
        <v/>
      </c>
      <c r="O446" s="124">
        <f>$N446-$K446</f>
        <v/>
      </c>
      <c r="P446" s="124">
        <f>IF($J446&lt;=0,"DEĞERLENDİR",IF($O446&gt;0,"YENİDEN DEĞERLE","DEĞERLENDİR"))</f>
        <v/>
      </c>
      <c r="Q446" s="124">
        <f>IF($B446="","",CONCATENATE("Kıymet: ",$B446," | Değer Artışı: ",TEXT($J446,"#,##0")))</f>
        <v/>
      </c>
    </row>
    <row r="447" ht="15.75" customHeight="1" s="81">
      <c r="A447" s="129" t="n"/>
      <c r="B447" s="130" t="n"/>
      <c r="C447" s="127" t="n"/>
      <c r="D447" s="127" t="n"/>
      <c r="E447" s="124">
        <f>IF($C447=0,0,$C447-$D447)</f>
        <v/>
      </c>
      <c r="F447" s="128" t="n"/>
      <c r="G447" s="129" t="n"/>
      <c r="H447" s="131" t="n"/>
      <c r="I447" s="124">
        <f>IF($E447=0,0,$E447*$H447)</f>
        <v/>
      </c>
      <c r="J447" s="124">
        <f>IF($I447=0,0,$I447-$E447)</f>
        <v/>
      </c>
      <c r="K447" s="124">
        <f>IF($J447=0,0,$J447*YenidegerFonOran)</f>
        <v/>
      </c>
      <c r="L447" s="124">
        <f>IF($G447=0,0,$J447/$G447)</f>
        <v/>
      </c>
      <c r="M447" s="124">
        <f>IF($L447=0,0,$L447*YenidegerKurumlarVergiOran)</f>
        <v/>
      </c>
      <c r="N447" s="124">
        <f>IFERROR(IF(YenidegerIskontoOrani=0,$M447*$G447,$M447*(1-1/(1+YenidegerIskontoOrani)^$G447)/YenidegerIskontoOrani),0)</f>
        <v/>
      </c>
      <c r="O447" s="124">
        <f>$N447-$K447</f>
        <v/>
      </c>
      <c r="P447" s="124">
        <f>IF($J447&lt;=0,"DEĞERLENDİR",IF($O447&gt;0,"YENİDEN DEĞERLE","DEĞERLENDİR"))</f>
        <v/>
      </c>
      <c r="Q447" s="124">
        <f>IF($B447="","",CONCATENATE("Kıymet: ",$B447," | Değer Artışı: ",TEXT($J447,"#,##0")))</f>
        <v/>
      </c>
    </row>
    <row r="448" ht="15.75" customHeight="1" s="81">
      <c r="A448" s="129" t="n"/>
      <c r="B448" s="130" t="n"/>
      <c r="C448" s="127" t="n"/>
      <c r="D448" s="127" t="n"/>
      <c r="E448" s="124">
        <f>IF($C448=0,0,$C448-$D448)</f>
        <v/>
      </c>
      <c r="F448" s="128" t="n"/>
      <c r="G448" s="129" t="n"/>
      <c r="H448" s="131" t="n"/>
      <c r="I448" s="124">
        <f>IF($E448=0,0,$E448*$H448)</f>
        <v/>
      </c>
      <c r="J448" s="124">
        <f>IF($I448=0,0,$I448-$E448)</f>
        <v/>
      </c>
      <c r="K448" s="124">
        <f>IF($J448=0,0,$J448*YenidegerFonOran)</f>
        <v/>
      </c>
      <c r="L448" s="124">
        <f>IF($G448=0,0,$J448/$G448)</f>
        <v/>
      </c>
      <c r="M448" s="124">
        <f>IF($L448=0,0,$L448*YenidegerKurumlarVergiOran)</f>
        <v/>
      </c>
      <c r="N448" s="124">
        <f>IFERROR(IF(YenidegerIskontoOrani=0,$M448*$G448,$M448*(1-1/(1+YenidegerIskontoOrani)^$G448)/YenidegerIskontoOrani),0)</f>
        <v/>
      </c>
      <c r="O448" s="124">
        <f>$N448-$K448</f>
        <v/>
      </c>
      <c r="P448" s="124">
        <f>IF($J448&lt;=0,"DEĞERLENDİR",IF($O448&gt;0,"YENİDEN DEĞERLE","DEĞERLENDİR"))</f>
        <v/>
      </c>
      <c r="Q448" s="124">
        <f>IF($B448="","",CONCATENATE("Kıymet: ",$B448," | Değer Artışı: ",TEXT($J448,"#,##0")))</f>
        <v/>
      </c>
    </row>
    <row r="449" ht="15.75" customHeight="1" s="81">
      <c r="A449" s="129" t="n"/>
      <c r="B449" s="130" t="n"/>
      <c r="C449" s="127" t="n"/>
      <c r="D449" s="127" t="n"/>
      <c r="E449" s="124">
        <f>IF($C449=0,0,$C449-$D449)</f>
        <v/>
      </c>
      <c r="F449" s="128" t="n"/>
      <c r="G449" s="129" t="n"/>
      <c r="H449" s="131" t="n"/>
      <c r="I449" s="124">
        <f>IF($E449=0,0,$E449*$H449)</f>
        <v/>
      </c>
      <c r="J449" s="124">
        <f>IF($I449=0,0,$I449-$E449)</f>
        <v/>
      </c>
      <c r="K449" s="124">
        <f>IF($J449=0,0,$J449*YenidegerFonOran)</f>
        <v/>
      </c>
      <c r="L449" s="124">
        <f>IF($G449=0,0,$J449/$G449)</f>
        <v/>
      </c>
      <c r="M449" s="124">
        <f>IF($L449=0,0,$L449*YenidegerKurumlarVergiOran)</f>
        <v/>
      </c>
      <c r="N449" s="124">
        <f>IFERROR(IF(YenidegerIskontoOrani=0,$M449*$G449,$M449*(1-1/(1+YenidegerIskontoOrani)^$G449)/YenidegerIskontoOrani),0)</f>
        <v/>
      </c>
      <c r="O449" s="124">
        <f>$N449-$K449</f>
        <v/>
      </c>
      <c r="P449" s="124">
        <f>IF($J449&lt;=0,"DEĞERLENDİR",IF($O449&gt;0,"YENİDEN DEĞERLE","DEĞERLENDİR"))</f>
        <v/>
      </c>
      <c r="Q449" s="124">
        <f>IF($B449="","",CONCATENATE("Kıymet: ",$B449," | Değer Artışı: ",TEXT($J449,"#,##0")))</f>
        <v/>
      </c>
    </row>
    <row r="450" ht="15.75" customHeight="1" s="81">
      <c r="A450" s="129" t="n"/>
      <c r="B450" s="130" t="n"/>
      <c r="C450" s="127" t="n"/>
      <c r="D450" s="127" t="n"/>
      <c r="E450" s="124">
        <f>IF($C450=0,0,$C450-$D450)</f>
        <v/>
      </c>
      <c r="F450" s="128" t="n"/>
      <c r="G450" s="129" t="n"/>
      <c r="H450" s="131" t="n"/>
      <c r="I450" s="124">
        <f>IF($E450=0,0,$E450*$H450)</f>
        <v/>
      </c>
      <c r="J450" s="124">
        <f>IF($I450=0,0,$I450-$E450)</f>
        <v/>
      </c>
      <c r="K450" s="124">
        <f>IF($J450=0,0,$J450*YenidegerFonOran)</f>
        <v/>
      </c>
      <c r="L450" s="124">
        <f>IF($G450=0,0,$J450/$G450)</f>
        <v/>
      </c>
      <c r="M450" s="124">
        <f>IF($L450=0,0,$L450*YenidegerKurumlarVergiOran)</f>
        <v/>
      </c>
      <c r="N450" s="124">
        <f>IFERROR(IF(YenidegerIskontoOrani=0,$M450*$G450,$M450*(1-1/(1+YenidegerIskontoOrani)^$G450)/YenidegerIskontoOrani),0)</f>
        <v/>
      </c>
      <c r="O450" s="124">
        <f>$N450-$K450</f>
        <v/>
      </c>
      <c r="P450" s="124">
        <f>IF($J450&lt;=0,"DEĞERLENDİR",IF($O450&gt;0,"YENİDEN DEĞERLE","DEĞERLENDİR"))</f>
        <v/>
      </c>
      <c r="Q450" s="124">
        <f>IF($B450="","",CONCATENATE("Kıymet: ",$B450," | Değer Artışı: ",TEXT($J450,"#,##0")))</f>
        <v/>
      </c>
    </row>
    <row r="451" ht="15.75" customHeight="1" s="81">
      <c r="A451" s="129" t="n"/>
      <c r="B451" s="130" t="n"/>
      <c r="C451" s="127" t="n"/>
      <c r="D451" s="127" t="n"/>
      <c r="E451" s="124">
        <f>IF($C451=0,0,$C451-$D451)</f>
        <v/>
      </c>
      <c r="F451" s="128" t="n"/>
      <c r="G451" s="129" t="n"/>
      <c r="H451" s="131" t="n"/>
      <c r="I451" s="124">
        <f>IF($E451=0,0,$E451*$H451)</f>
        <v/>
      </c>
      <c r="J451" s="124">
        <f>IF($I451=0,0,$I451-$E451)</f>
        <v/>
      </c>
      <c r="K451" s="124">
        <f>IF($J451=0,0,$J451*YenidegerFonOran)</f>
        <v/>
      </c>
      <c r="L451" s="124">
        <f>IF($G451=0,0,$J451/$G451)</f>
        <v/>
      </c>
      <c r="M451" s="124">
        <f>IF($L451=0,0,$L451*YenidegerKurumlarVergiOran)</f>
        <v/>
      </c>
      <c r="N451" s="124">
        <f>IFERROR(IF(YenidegerIskontoOrani=0,$M451*$G451,$M451*(1-1/(1+YenidegerIskontoOrani)^$G451)/YenidegerIskontoOrani),0)</f>
        <v/>
      </c>
      <c r="O451" s="124">
        <f>$N451-$K451</f>
        <v/>
      </c>
      <c r="P451" s="124">
        <f>IF($J451&lt;=0,"DEĞERLENDİR",IF($O451&gt;0,"YENİDEN DEĞERLE","DEĞERLENDİR"))</f>
        <v/>
      </c>
      <c r="Q451" s="124">
        <f>IF($B451="","",CONCATENATE("Kıymet: ",$B451," | Değer Artışı: ",TEXT($J451,"#,##0")))</f>
        <v/>
      </c>
    </row>
    <row r="452" ht="15.75" customHeight="1" s="81">
      <c r="A452" s="129" t="n"/>
      <c r="B452" s="130" t="n"/>
      <c r="C452" s="127" t="n"/>
      <c r="D452" s="127" t="n"/>
      <c r="E452" s="124">
        <f>IF($C452=0,0,$C452-$D452)</f>
        <v/>
      </c>
      <c r="F452" s="128" t="n"/>
      <c r="G452" s="129" t="n"/>
      <c r="H452" s="131" t="n"/>
      <c r="I452" s="124">
        <f>IF($E452=0,0,$E452*$H452)</f>
        <v/>
      </c>
      <c r="J452" s="124">
        <f>IF($I452=0,0,$I452-$E452)</f>
        <v/>
      </c>
      <c r="K452" s="124">
        <f>IF($J452=0,0,$J452*YenidegerFonOran)</f>
        <v/>
      </c>
      <c r="L452" s="124">
        <f>IF($G452=0,0,$J452/$G452)</f>
        <v/>
      </c>
      <c r="M452" s="124">
        <f>IF($L452=0,0,$L452*YenidegerKurumlarVergiOran)</f>
        <v/>
      </c>
      <c r="N452" s="124">
        <f>IFERROR(IF(YenidegerIskontoOrani=0,$M452*$G452,$M452*(1-1/(1+YenidegerIskontoOrani)^$G452)/YenidegerIskontoOrani),0)</f>
        <v/>
      </c>
      <c r="O452" s="124">
        <f>$N452-$K452</f>
        <v/>
      </c>
      <c r="P452" s="124">
        <f>IF($J452&lt;=0,"DEĞERLENDİR",IF($O452&gt;0,"YENİDEN DEĞERLE","DEĞERLENDİR"))</f>
        <v/>
      </c>
      <c r="Q452" s="124">
        <f>IF($B452="","",CONCATENATE("Kıymet: ",$B452," | Değer Artışı: ",TEXT($J452,"#,##0")))</f>
        <v/>
      </c>
    </row>
    <row r="453" ht="15.75" customHeight="1" s="81">
      <c r="A453" s="129" t="n"/>
      <c r="B453" s="130" t="n"/>
      <c r="C453" s="127" t="n"/>
      <c r="D453" s="127" t="n"/>
      <c r="E453" s="124">
        <f>IF($C453=0,0,$C453-$D453)</f>
        <v/>
      </c>
      <c r="F453" s="128" t="n"/>
      <c r="G453" s="129" t="n"/>
      <c r="H453" s="131" t="n"/>
      <c r="I453" s="124">
        <f>IF($E453=0,0,$E453*$H453)</f>
        <v/>
      </c>
      <c r="J453" s="124">
        <f>IF($I453=0,0,$I453-$E453)</f>
        <v/>
      </c>
      <c r="K453" s="124">
        <f>IF($J453=0,0,$J453*YenidegerFonOran)</f>
        <v/>
      </c>
      <c r="L453" s="124">
        <f>IF($G453=0,0,$J453/$G453)</f>
        <v/>
      </c>
      <c r="M453" s="124">
        <f>IF($L453=0,0,$L453*YenidegerKurumlarVergiOran)</f>
        <v/>
      </c>
      <c r="N453" s="124">
        <f>IFERROR(IF(YenidegerIskontoOrani=0,$M453*$G453,$M453*(1-1/(1+YenidegerIskontoOrani)^$G453)/YenidegerIskontoOrani),0)</f>
        <v/>
      </c>
      <c r="O453" s="124">
        <f>$N453-$K453</f>
        <v/>
      </c>
      <c r="P453" s="124">
        <f>IF($J453&lt;=0,"DEĞERLENDİR",IF($O453&gt;0,"YENİDEN DEĞERLE","DEĞERLENDİR"))</f>
        <v/>
      </c>
      <c r="Q453" s="124">
        <f>IF($B453="","",CONCATENATE("Kıymet: ",$B453," | Değer Artışı: ",TEXT($J453,"#,##0")))</f>
        <v/>
      </c>
    </row>
    <row r="454" ht="15.75" customHeight="1" s="81">
      <c r="A454" s="129" t="n"/>
      <c r="B454" s="130" t="n"/>
      <c r="C454" s="127" t="n"/>
      <c r="D454" s="127" t="n"/>
      <c r="E454" s="124">
        <f>IF($C454=0,0,$C454-$D454)</f>
        <v/>
      </c>
      <c r="F454" s="128" t="n"/>
      <c r="G454" s="129" t="n"/>
      <c r="H454" s="131" t="n"/>
      <c r="I454" s="124">
        <f>IF($E454=0,0,$E454*$H454)</f>
        <v/>
      </c>
      <c r="J454" s="124">
        <f>IF($I454=0,0,$I454-$E454)</f>
        <v/>
      </c>
      <c r="K454" s="124">
        <f>IF($J454=0,0,$J454*YenidegerFonOran)</f>
        <v/>
      </c>
      <c r="L454" s="124">
        <f>IF($G454=0,0,$J454/$G454)</f>
        <v/>
      </c>
      <c r="M454" s="124">
        <f>IF($L454=0,0,$L454*YenidegerKurumlarVergiOran)</f>
        <v/>
      </c>
      <c r="N454" s="124">
        <f>IFERROR(IF(YenidegerIskontoOrani=0,$M454*$G454,$M454*(1-1/(1+YenidegerIskontoOrani)^$G454)/YenidegerIskontoOrani),0)</f>
        <v/>
      </c>
      <c r="O454" s="124">
        <f>$N454-$K454</f>
        <v/>
      </c>
      <c r="P454" s="124">
        <f>IF($J454&lt;=0,"DEĞERLENDİR",IF($O454&gt;0,"YENİDEN DEĞERLE","DEĞERLENDİR"))</f>
        <v/>
      </c>
      <c r="Q454" s="124">
        <f>IF($B454="","",CONCATENATE("Kıymet: ",$B454," | Değer Artışı: ",TEXT($J454,"#,##0")))</f>
        <v/>
      </c>
    </row>
    <row r="455" ht="15.75" customHeight="1" s="81">
      <c r="A455" s="129" t="n"/>
      <c r="B455" s="130" t="n"/>
      <c r="C455" s="127" t="n"/>
      <c r="D455" s="127" t="n"/>
      <c r="E455" s="124">
        <f>IF($C455=0,0,$C455-$D455)</f>
        <v/>
      </c>
      <c r="F455" s="128" t="n"/>
      <c r="G455" s="129" t="n"/>
      <c r="H455" s="131" t="n"/>
      <c r="I455" s="124">
        <f>IF($E455=0,0,$E455*$H455)</f>
        <v/>
      </c>
      <c r="J455" s="124">
        <f>IF($I455=0,0,$I455-$E455)</f>
        <v/>
      </c>
      <c r="K455" s="124">
        <f>IF($J455=0,0,$J455*YenidegerFonOran)</f>
        <v/>
      </c>
      <c r="L455" s="124">
        <f>IF($G455=0,0,$J455/$G455)</f>
        <v/>
      </c>
      <c r="M455" s="124">
        <f>IF($L455=0,0,$L455*YenidegerKurumlarVergiOran)</f>
        <v/>
      </c>
      <c r="N455" s="124">
        <f>IFERROR(IF(YenidegerIskontoOrani=0,$M455*$G455,$M455*(1-1/(1+YenidegerIskontoOrani)^$G455)/YenidegerIskontoOrani),0)</f>
        <v/>
      </c>
      <c r="O455" s="124">
        <f>$N455-$K455</f>
        <v/>
      </c>
      <c r="P455" s="124">
        <f>IF($J455&lt;=0,"DEĞERLENDİR",IF($O455&gt;0,"YENİDEN DEĞERLE","DEĞERLENDİR"))</f>
        <v/>
      </c>
      <c r="Q455" s="124">
        <f>IF($B455="","",CONCATENATE("Kıymet: ",$B455," | Değer Artışı: ",TEXT($J455,"#,##0")))</f>
        <v/>
      </c>
    </row>
    <row r="456" ht="15.75" customHeight="1" s="81">
      <c r="A456" s="129" t="n"/>
      <c r="B456" s="130" t="n"/>
      <c r="C456" s="127" t="n"/>
      <c r="D456" s="127" t="n"/>
      <c r="E456" s="124">
        <f>IF($C456=0,0,$C456-$D456)</f>
        <v/>
      </c>
      <c r="F456" s="128" t="n"/>
      <c r="G456" s="129" t="n"/>
      <c r="H456" s="131" t="n"/>
      <c r="I456" s="124">
        <f>IF($E456=0,0,$E456*$H456)</f>
        <v/>
      </c>
      <c r="J456" s="124">
        <f>IF($I456=0,0,$I456-$E456)</f>
        <v/>
      </c>
      <c r="K456" s="124">
        <f>IF($J456=0,0,$J456*YenidegerFonOran)</f>
        <v/>
      </c>
      <c r="L456" s="124">
        <f>IF($G456=0,0,$J456/$G456)</f>
        <v/>
      </c>
      <c r="M456" s="124">
        <f>IF($L456=0,0,$L456*YenidegerKurumlarVergiOran)</f>
        <v/>
      </c>
      <c r="N456" s="124">
        <f>IFERROR(IF(YenidegerIskontoOrani=0,$M456*$G456,$M456*(1-1/(1+YenidegerIskontoOrani)^$G456)/YenidegerIskontoOrani),0)</f>
        <v/>
      </c>
      <c r="O456" s="124">
        <f>$N456-$K456</f>
        <v/>
      </c>
      <c r="P456" s="124">
        <f>IF($J456&lt;=0,"DEĞERLENDİR",IF($O456&gt;0,"YENİDEN DEĞERLE","DEĞERLENDİR"))</f>
        <v/>
      </c>
      <c r="Q456" s="124">
        <f>IF($B456="","",CONCATENATE("Kıymet: ",$B456," | Değer Artışı: ",TEXT($J456,"#,##0")))</f>
        <v/>
      </c>
    </row>
    <row r="457" ht="15.75" customHeight="1" s="81">
      <c r="A457" s="129" t="n"/>
      <c r="B457" s="130" t="n"/>
      <c r="C457" s="127" t="n"/>
      <c r="D457" s="127" t="n"/>
      <c r="E457" s="124">
        <f>IF($C457=0,0,$C457-$D457)</f>
        <v/>
      </c>
      <c r="F457" s="128" t="n"/>
      <c r="G457" s="129" t="n"/>
      <c r="H457" s="131" t="n"/>
      <c r="I457" s="124">
        <f>IF($E457=0,0,$E457*$H457)</f>
        <v/>
      </c>
      <c r="J457" s="124">
        <f>IF($I457=0,0,$I457-$E457)</f>
        <v/>
      </c>
      <c r="K457" s="124">
        <f>IF($J457=0,0,$J457*YenidegerFonOran)</f>
        <v/>
      </c>
      <c r="L457" s="124">
        <f>IF($G457=0,0,$J457/$G457)</f>
        <v/>
      </c>
      <c r="M457" s="124">
        <f>IF($L457=0,0,$L457*YenidegerKurumlarVergiOran)</f>
        <v/>
      </c>
      <c r="N457" s="124">
        <f>IFERROR(IF(YenidegerIskontoOrani=0,$M457*$G457,$M457*(1-1/(1+YenidegerIskontoOrani)^$G457)/YenidegerIskontoOrani),0)</f>
        <v/>
      </c>
      <c r="O457" s="124">
        <f>$N457-$K457</f>
        <v/>
      </c>
      <c r="P457" s="124">
        <f>IF($J457&lt;=0,"DEĞERLENDİR",IF($O457&gt;0,"YENİDEN DEĞERLE","DEĞERLENDİR"))</f>
        <v/>
      </c>
      <c r="Q457" s="124">
        <f>IF($B457="","",CONCATENATE("Kıymet: ",$B457," | Değer Artışı: ",TEXT($J457,"#,##0")))</f>
        <v/>
      </c>
    </row>
    <row r="458" ht="15.75" customHeight="1" s="81">
      <c r="A458" s="129" t="n"/>
      <c r="B458" s="130" t="n"/>
      <c r="C458" s="127" t="n"/>
      <c r="D458" s="127" t="n"/>
      <c r="E458" s="124">
        <f>IF($C458=0,0,$C458-$D458)</f>
        <v/>
      </c>
      <c r="F458" s="128" t="n"/>
      <c r="G458" s="129" t="n"/>
      <c r="H458" s="131" t="n"/>
      <c r="I458" s="124">
        <f>IF($E458=0,0,$E458*$H458)</f>
        <v/>
      </c>
      <c r="J458" s="124">
        <f>IF($I458=0,0,$I458-$E458)</f>
        <v/>
      </c>
      <c r="K458" s="124">
        <f>IF($J458=0,0,$J458*YenidegerFonOran)</f>
        <v/>
      </c>
      <c r="L458" s="124">
        <f>IF($G458=0,0,$J458/$G458)</f>
        <v/>
      </c>
      <c r="M458" s="124">
        <f>IF($L458=0,0,$L458*YenidegerKurumlarVergiOran)</f>
        <v/>
      </c>
      <c r="N458" s="124">
        <f>IFERROR(IF(YenidegerIskontoOrani=0,$M458*$G458,$M458*(1-1/(1+YenidegerIskontoOrani)^$G458)/YenidegerIskontoOrani),0)</f>
        <v/>
      </c>
      <c r="O458" s="124">
        <f>$N458-$K458</f>
        <v/>
      </c>
      <c r="P458" s="124">
        <f>IF($J458&lt;=0,"DEĞERLENDİR",IF($O458&gt;0,"YENİDEN DEĞERLE","DEĞERLENDİR"))</f>
        <v/>
      </c>
      <c r="Q458" s="124">
        <f>IF($B458="","",CONCATENATE("Kıymet: ",$B458," | Değer Artışı: ",TEXT($J458,"#,##0")))</f>
        <v/>
      </c>
    </row>
    <row r="459" ht="15.75" customHeight="1" s="81">
      <c r="A459" s="129" t="n"/>
      <c r="B459" s="130" t="n"/>
      <c r="C459" s="127" t="n"/>
      <c r="D459" s="127" t="n"/>
      <c r="E459" s="124">
        <f>IF($C459=0,0,$C459-$D459)</f>
        <v/>
      </c>
      <c r="F459" s="128" t="n"/>
      <c r="G459" s="129" t="n"/>
      <c r="H459" s="131" t="n"/>
      <c r="I459" s="124">
        <f>IF($E459=0,0,$E459*$H459)</f>
        <v/>
      </c>
      <c r="J459" s="124">
        <f>IF($I459=0,0,$I459-$E459)</f>
        <v/>
      </c>
      <c r="K459" s="124">
        <f>IF($J459=0,0,$J459*YenidegerFonOran)</f>
        <v/>
      </c>
      <c r="L459" s="124">
        <f>IF($G459=0,0,$J459/$G459)</f>
        <v/>
      </c>
      <c r="M459" s="124">
        <f>IF($L459=0,0,$L459*YenidegerKurumlarVergiOran)</f>
        <v/>
      </c>
      <c r="N459" s="124">
        <f>IFERROR(IF(YenidegerIskontoOrani=0,$M459*$G459,$M459*(1-1/(1+YenidegerIskontoOrani)^$G459)/YenidegerIskontoOrani),0)</f>
        <v/>
      </c>
      <c r="O459" s="124">
        <f>$N459-$K459</f>
        <v/>
      </c>
      <c r="P459" s="124">
        <f>IF($J459&lt;=0,"DEĞERLENDİR",IF($O459&gt;0,"YENİDEN DEĞERLE","DEĞERLENDİR"))</f>
        <v/>
      </c>
      <c r="Q459" s="124">
        <f>IF($B459="","",CONCATENATE("Kıymet: ",$B459," | Değer Artışı: ",TEXT($J459,"#,##0")))</f>
        <v/>
      </c>
    </row>
    <row r="460" ht="15.75" customHeight="1" s="81">
      <c r="A460" s="129" t="n"/>
      <c r="B460" s="130" t="n"/>
      <c r="C460" s="127" t="n"/>
      <c r="D460" s="127" t="n"/>
      <c r="E460" s="124">
        <f>IF($C460=0,0,$C460-$D460)</f>
        <v/>
      </c>
      <c r="F460" s="128" t="n"/>
      <c r="G460" s="129" t="n"/>
      <c r="H460" s="131" t="n"/>
      <c r="I460" s="124">
        <f>IF($E460=0,0,$E460*$H460)</f>
        <v/>
      </c>
      <c r="J460" s="124">
        <f>IF($I460=0,0,$I460-$E460)</f>
        <v/>
      </c>
      <c r="K460" s="124">
        <f>IF($J460=0,0,$J460*YenidegerFonOran)</f>
        <v/>
      </c>
      <c r="L460" s="124">
        <f>IF($G460=0,0,$J460/$G460)</f>
        <v/>
      </c>
      <c r="M460" s="124">
        <f>IF($L460=0,0,$L460*YenidegerKurumlarVergiOran)</f>
        <v/>
      </c>
      <c r="N460" s="124">
        <f>IFERROR(IF(YenidegerIskontoOrani=0,$M460*$G460,$M460*(1-1/(1+YenidegerIskontoOrani)^$G460)/YenidegerIskontoOrani),0)</f>
        <v/>
      </c>
      <c r="O460" s="124">
        <f>$N460-$K460</f>
        <v/>
      </c>
      <c r="P460" s="124">
        <f>IF($J460&lt;=0,"DEĞERLENDİR",IF($O460&gt;0,"YENİDEN DEĞERLE","DEĞERLENDİR"))</f>
        <v/>
      </c>
      <c r="Q460" s="124">
        <f>IF($B460="","",CONCATENATE("Kıymet: ",$B460," | Değer Artışı: ",TEXT($J460,"#,##0")))</f>
        <v/>
      </c>
    </row>
    <row r="461" ht="15.75" customHeight="1" s="81">
      <c r="A461" s="129" t="n"/>
      <c r="B461" s="130" t="n"/>
      <c r="C461" s="127" t="n"/>
      <c r="D461" s="127" t="n"/>
      <c r="E461" s="124">
        <f>IF($C461=0,0,$C461-$D461)</f>
        <v/>
      </c>
      <c r="F461" s="128" t="n"/>
      <c r="G461" s="129" t="n"/>
      <c r="H461" s="131" t="n"/>
      <c r="I461" s="124">
        <f>IF($E461=0,0,$E461*$H461)</f>
        <v/>
      </c>
      <c r="J461" s="124">
        <f>IF($I461=0,0,$I461-$E461)</f>
        <v/>
      </c>
      <c r="K461" s="124">
        <f>IF($J461=0,0,$J461*YenidegerFonOran)</f>
        <v/>
      </c>
      <c r="L461" s="124">
        <f>IF($G461=0,0,$J461/$G461)</f>
        <v/>
      </c>
      <c r="M461" s="124">
        <f>IF($L461=0,0,$L461*YenidegerKurumlarVergiOran)</f>
        <v/>
      </c>
      <c r="N461" s="124">
        <f>IFERROR(IF(YenidegerIskontoOrani=0,$M461*$G461,$M461*(1-1/(1+YenidegerIskontoOrani)^$G461)/YenidegerIskontoOrani),0)</f>
        <v/>
      </c>
      <c r="O461" s="124">
        <f>$N461-$K461</f>
        <v/>
      </c>
      <c r="P461" s="124">
        <f>IF($J461&lt;=0,"DEĞERLENDİR",IF($O461&gt;0,"YENİDEN DEĞERLE","DEĞERLENDİR"))</f>
        <v/>
      </c>
      <c r="Q461" s="124">
        <f>IF($B461="","",CONCATENATE("Kıymet: ",$B461," | Değer Artışı: ",TEXT($J461,"#,##0")))</f>
        <v/>
      </c>
    </row>
    <row r="462" ht="15.75" customHeight="1" s="81">
      <c r="A462" s="129" t="n"/>
      <c r="B462" s="130" t="n"/>
      <c r="C462" s="127" t="n"/>
      <c r="D462" s="127" t="n"/>
      <c r="E462" s="124">
        <f>IF($C462=0,0,$C462-$D462)</f>
        <v/>
      </c>
      <c r="F462" s="128" t="n"/>
      <c r="G462" s="129" t="n"/>
      <c r="H462" s="131" t="n"/>
      <c r="I462" s="124">
        <f>IF($E462=0,0,$E462*$H462)</f>
        <v/>
      </c>
      <c r="J462" s="124">
        <f>IF($I462=0,0,$I462-$E462)</f>
        <v/>
      </c>
      <c r="K462" s="124">
        <f>IF($J462=0,0,$J462*YenidegerFonOran)</f>
        <v/>
      </c>
      <c r="L462" s="124">
        <f>IF($G462=0,0,$J462/$G462)</f>
        <v/>
      </c>
      <c r="M462" s="124">
        <f>IF($L462=0,0,$L462*YenidegerKurumlarVergiOran)</f>
        <v/>
      </c>
      <c r="N462" s="124">
        <f>IFERROR(IF(YenidegerIskontoOrani=0,$M462*$G462,$M462*(1-1/(1+YenidegerIskontoOrani)^$G462)/YenidegerIskontoOrani),0)</f>
        <v/>
      </c>
      <c r="O462" s="124">
        <f>$N462-$K462</f>
        <v/>
      </c>
      <c r="P462" s="124">
        <f>IF($J462&lt;=0,"DEĞERLENDİR",IF($O462&gt;0,"YENİDEN DEĞERLE","DEĞERLENDİR"))</f>
        <v/>
      </c>
      <c r="Q462" s="124">
        <f>IF($B462="","",CONCATENATE("Kıymet: ",$B462," | Değer Artışı: ",TEXT($J462,"#,##0")))</f>
        <v/>
      </c>
    </row>
    <row r="463" ht="15.75" customHeight="1" s="81">
      <c r="A463" s="129" t="n"/>
      <c r="B463" s="130" t="n"/>
      <c r="C463" s="127" t="n"/>
      <c r="D463" s="127" t="n"/>
      <c r="E463" s="124">
        <f>IF($C463=0,0,$C463-$D463)</f>
        <v/>
      </c>
      <c r="F463" s="128" t="n"/>
      <c r="G463" s="129" t="n"/>
      <c r="H463" s="131" t="n"/>
      <c r="I463" s="124">
        <f>IF($E463=0,0,$E463*$H463)</f>
        <v/>
      </c>
      <c r="J463" s="124">
        <f>IF($I463=0,0,$I463-$E463)</f>
        <v/>
      </c>
      <c r="K463" s="124">
        <f>IF($J463=0,0,$J463*YenidegerFonOran)</f>
        <v/>
      </c>
      <c r="L463" s="124">
        <f>IF($G463=0,0,$J463/$G463)</f>
        <v/>
      </c>
      <c r="M463" s="124">
        <f>IF($L463=0,0,$L463*YenidegerKurumlarVergiOran)</f>
        <v/>
      </c>
      <c r="N463" s="124">
        <f>IFERROR(IF(YenidegerIskontoOrani=0,$M463*$G463,$M463*(1-1/(1+YenidegerIskontoOrani)^$G463)/YenidegerIskontoOrani),0)</f>
        <v/>
      </c>
      <c r="O463" s="124">
        <f>$N463-$K463</f>
        <v/>
      </c>
      <c r="P463" s="124">
        <f>IF($J463&lt;=0,"DEĞERLENDİR",IF($O463&gt;0,"YENİDEN DEĞERLE","DEĞERLENDİR"))</f>
        <v/>
      </c>
      <c r="Q463" s="124">
        <f>IF($B463="","",CONCATENATE("Kıymet: ",$B463," | Değer Artışı: ",TEXT($J463,"#,##0")))</f>
        <v/>
      </c>
    </row>
    <row r="464" ht="15.75" customHeight="1" s="81">
      <c r="A464" s="129" t="n"/>
      <c r="B464" s="130" t="n"/>
      <c r="C464" s="127" t="n"/>
      <c r="D464" s="127" t="n"/>
      <c r="E464" s="124">
        <f>IF($C464=0,0,$C464-$D464)</f>
        <v/>
      </c>
      <c r="F464" s="128" t="n"/>
      <c r="G464" s="129" t="n"/>
      <c r="H464" s="131" t="n"/>
      <c r="I464" s="124">
        <f>IF($E464=0,0,$E464*$H464)</f>
        <v/>
      </c>
      <c r="J464" s="124">
        <f>IF($I464=0,0,$I464-$E464)</f>
        <v/>
      </c>
      <c r="K464" s="124">
        <f>IF($J464=0,0,$J464*YenidegerFonOran)</f>
        <v/>
      </c>
      <c r="L464" s="124">
        <f>IF($G464=0,0,$J464/$G464)</f>
        <v/>
      </c>
      <c r="M464" s="124">
        <f>IF($L464=0,0,$L464*YenidegerKurumlarVergiOran)</f>
        <v/>
      </c>
      <c r="N464" s="124">
        <f>IFERROR(IF(YenidegerIskontoOrani=0,$M464*$G464,$M464*(1-1/(1+YenidegerIskontoOrani)^$G464)/YenidegerIskontoOrani),0)</f>
        <v/>
      </c>
      <c r="O464" s="124">
        <f>$N464-$K464</f>
        <v/>
      </c>
      <c r="P464" s="124">
        <f>IF($J464&lt;=0,"DEĞERLENDİR",IF($O464&gt;0,"YENİDEN DEĞERLE","DEĞERLENDİR"))</f>
        <v/>
      </c>
      <c r="Q464" s="124">
        <f>IF($B464="","",CONCATENATE("Kıymet: ",$B464," | Değer Artışı: ",TEXT($J464,"#,##0")))</f>
        <v/>
      </c>
    </row>
    <row r="465" ht="15.75" customHeight="1" s="81">
      <c r="A465" s="129" t="n"/>
      <c r="B465" s="130" t="n"/>
      <c r="C465" s="127" t="n"/>
      <c r="D465" s="127" t="n"/>
      <c r="E465" s="124">
        <f>IF($C465=0,0,$C465-$D465)</f>
        <v/>
      </c>
      <c r="F465" s="128" t="n"/>
      <c r="G465" s="129" t="n"/>
      <c r="H465" s="131" t="n"/>
      <c r="I465" s="124">
        <f>IF($E465=0,0,$E465*$H465)</f>
        <v/>
      </c>
      <c r="J465" s="124">
        <f>IF($I465=0,0,$I465-$E465)</f>
        <v/>
      </c>
      <c r="K465" s="124">
        <f>IF($J465=0,0,$J465*YenidegerFonOran)</f>
        <v/>
      </c>
      <c r="L465" s="124">
        <f>IF($G465=0,0,$J465/$G465)</f>
        <v/>
      </c>
      <c r="M465" s="124">
        <f>IF($L465=0,0,$L465*YenidegerKurumlarVergiOran)</f>
        <v/>
      </c>
      <c r="N465" s="124">
        <f>IFERROR(IF(YenidegerIskontoOrani=0,$M465*$G465,$M465*(1-1/(1+YenidegerIskontoOrani)^$G465)/YenidegerIskontoOrani),0)</f>
        <v/>
      </c>
      <c r="O465" s="124">
        <f>$N465-$K465</f>
        <v/>
      </c>
      <c r="P465" s="124">
        <f>IF($J465&lt;=0,"DEĞERLENDİR",IF($O465&gt;0,"YENİDEN DEĞERLE","DEĞERLENDİR"))</f>
        <v/>
      </c>
      <c r="Q465" s="124">
        <f>IF($B465="","",CONCATENATE("Kıymet: ",$B465," | Değer Artışı: ",TEXT($J465,"#,##0")))</f>
        <v/>
      </c>
    </row>
    <row r="466" ht="15.75" customHeight="1" s="81">
      <c r="A466" s="129" t="n"/>
      <c r="B466" s="130" t="n"/>
      <c r="C466" s="127" t="n"/>
      <c r="D466" s="127" t="n"/>
      <c r="E466" s="124">
        <f>IF($C466=0,0,$C466-$D466)</f>
        <v/>
      </c>
      <c r="F466" s="128" t="n"/>
      <c r="G466" s="129" t="n"/>
      <c r="H466" s="131" t="n"/>
      <c r="I466" s="124">
        <f>IF($E466=0,0,$E466*$H466)</f>
        <v/>
      </c>
      <c r="J466" s="124">
        <f>IF($I466=0,0,$I466-$E466)</f>
        <v/>
      </c>
      <c r="K466" s="124">
        <f>IF($J466=0,0,$J466*YenidegerFonOran)</f>
        <v/>
      </c>
      <c r="L466" s="124">
        <f>IF($G466=0,0,$J466/$G466)</f>
        <v/>
      </c>
      <c r="M466" s="124">
        <f>IF($L466=0,0,$L466*YenidegerKurumlarVergiOran)</f>
        <v/>
      </c>
      <c r="N466" s="124">
        <f>IFERROR(IF(YenidegerIskontoOrani=0,$M466*$G466,$M466*(1-1/(1+YenidegerIskontoOrani)^$G466)/YenidegerIskontoOrani),0)</f>
        <v/>
      </c>
      <c r="O466" s="124">
        <f>$N466-$K466</f>
        <v/>
      </c>
      <c r="P466" s="124">
        <f>IF($J466&lt;=0,"DEĞERLENDİR",IF($O466&gt;0,"YENİDEN DEĞERLE","DEĞERLENDİR"))</f>
        <v/>
      </c>
      <c r="Q466" s="124">
        <f>IF($B466="","",CONCATENATE("Kıymet: ",$B466," | Değer Artışı: ",TEXT($J466,"#,##0")))</f>
        <v/>
      </c>
    </row>
    <row r="467" ht="15.75" customHeight="1" s="81">
      <c r="A467" s="129" t="n"/>
      <c r="B467" s="130" t="n"/>
      <c r="C467" s="127" t="n"/>
      <c r="D467" s="127" t="n"/>
      <c r="E467" s="124">
        <f>IF($C467=0,0,$C467-$D467)</f>
        <v/>
      </c>
      <c r="F467" s="128" t="n"/>
      <c r="G467" s="129" t="n"/>
      <c r="H467" s="131" t="n"/>
      <c r="I467" s="124">
        <f>IF($E467=0,0,$E467*$H467)</f>
        <v/>
      </c>
      <c r="J467" s="124">
        <f>IF($I467=0,0,$I467-$E467)</f>
        <v/>
      </c>
      <c r="K467" s="124">
        <f>IF($J467=0,0,$J467*YenidegerFonOran)</f>
        <v/>
      </c>
      <c r="L467" s="124">
        <f>IF($G467=0,0,$J467/$G467)</f>
        <v/>
      </c>
      <c r="M467" s="124">
        <f>IF($L467=0,0,$L467*YenidegerKurumlarVergiOran)</f>
        <v/>
      </c>
      <c r="N467" s="124">
        <f>IFERROR(IF(YenidegerIskontoOrani=0,$M467*$G467,$M467*(1-1/(1+YenidegerIskontoOrani)^$G467)/YenidegerIskontoOrani),0)</f>
        <v/>
      </c>
      <c r="O467" s="124">
        <f>$N467-$K467</f>
        <v/>
      </c>
      <c r="P467" s="124">
        <f>IF($J467&lt;=0,"DEĞERLENDİR",IF($O467&gt;0,"YENİDEN DEĞERLE","DEĞERLENDİR"))</f>
        <v/>
      </c>
      <c r="Q467" s="124">
        <f>IF($B467="","",CONCATENATE("Kıymet: ",$B467," | Değer Artışı: ",TEXT($J467,"#,##0")))</f>
        <v/>
      </c>
    </row>
    <row r="468" ht="15.75" customHeight="1" s="81">
      <c r="A468" s="129" t="n"/>
      <c r="B468" s="130" t="n"/>
      <c r="C468" s="127" t="n"/>
      <c r="D468" s="127" t="n"/>
      <c r="E468" s="124">
        <f>IF($C468=0,0,$C468-$D468)</f>
        <v/>
      </c>
      <c r="F468" s="128" t="n"/>
      <c r="G468" s="129" t="n"/>
      <c r="H468" s="131" t="n"/>
      <c r="I468" s="124">
        <f>IF($E468=0,0,$E468*$H468)</f>
        <v/>
      </c>
      <c r="J468" s="124">
        <f>IF($I468=0,0,$I468-$E468)</f>
        <v/>
      </c>
      <c r="K468" s="124">
        <f>IF($J468=0,0,$J468*YenidegerFonOran)</f>
        <v/>
      </c>
      <c r="L468" s="124">
        <f>IF($G468=0,0,$J468/$G468)</f>
        <v/>
      </c>
      <c r="M468" s="124">
        <f>IF($L468=0,0,$L468*YenidegerKurumlarVergiOran)</f>
        <v/>
      </c>
      <c r="N468" s="124">
        <f>IFERROR(IF(YenidegerIskontoOrani=0,$M468*$G468,$M468*(1-1/(1+YenidegerIskontoOrani)^$G468)/YenidegerIskontoOrani),0)</f>
        <v/>
      </c>
      <c r="O468" s="124">
        <f>$N468-$K468</f>
        <v/>
      </c>
      <c r="P468" s="124">
        <f>IF($J468&lt;=0,"DEĞERLENDİR",IF($O468&gt;0,"YENİDEN DEĞERLE","DEĞERLENDİR"))</f>
        <v/>
      </c>
      <c r="Q468" s="124">
        <f>IF($B468="","",CONCATENATE("Kıymet: ",$B468," | Değer Artışı: ",TEXT($J468,"#,##0")))</f>
        <v/>
      </c>
    </row>
    <row r="469" ht="15.75" customHeight="1" s="81">
      <c r="A469" s="129" t="n"/>
      <c r="B469" s="130" t="n"/>
      <c r="C469" s="127" t="n"/>
      <c r="D469" s="127" t="n"/>
      <c r="E469" s="124">
        <f>IF($C469=0,0,$C469-$D469)</f>
        <v/>
      </c>
      <c r="F469" s="128" t="n"/>
      <c r="G469" s="129" t="n"/>
      <c r="H469" s="131" t="n"/>
      <c r="I469" s="124">
        <f>IF($E469=0,0,$E469*$H469)</f>
        <v/>
      </c>
      <c r="J469" s="124">
        <f>IF($I469=0,0,$I469-$E469)</f>
        <v/>
      </c>
      <c r="K469" s="124">
        <f>IF($J469=0,0,$J469*YenidegerFonOran)</f>
        <v/>
      </c>
      <c r="L469" s="124">
        <f>IF($G469=0,0,$J469/$G469)</f>
        <v/>
      </c>
      <c r="M469" s="124">
        <f>IF($L469=0,0,$L469*YenidegerKurumlarVergiOran)</f>
        <v/>
      </c>
      <c r="N469" s="124">
        <f>IFERROR(IF(YenidegerIskontoOrani=0,$M469*$G469,$M469*(1-1/(1+YenidegerIskontoOrani)^$G469)/YenidegerIskontoOrani),0)</f>
        <v/>
      </c>
      <c r="O469" s="124">
        <f>$N469-$K469</f>
        <v/>
      </c>
      <c r="P469" s="124">
        <f>IF($J469&lt;=0,"DEĞERLENDİR",IF($O469&gt;0,"YENİDEN DEĞERLE","DEĞERLENDİR"))</f>
        <v/>
      </c>
      <c r="Q469" s="124">
        <f>IF($B469="","",CONCATENATE("Kıymet: ",$B469," | Değer Artışı: ",TEXT($J469,"#,##0")))</f>
        <v/>
      </c>
    </row>
    <row r="470" ht="15.75" customHeight="1" s="81">
      <c r="A470" s="129" t="n"/>
      <c r="B470" s="130" t="n"/>
      <c r="C470" s="127" t="n"/>
      <c r="D470" s="127" t="n"/>
      <c r="E470" s="124">
        <f>IF($C470=0,0,$C470-$D470)</f>
        <v/>
      </c>
      <c r="F470" s="128" t="n"/>
      <c r="G470" s="129" t="n"/>
      <c r="H470" s="131" t="n"/>
      <c r="I470" s="124">
        <f>IF($E470=0,0,$E470*$H470)</f>
        <v/>
      </c>
      <c r="J470" s="124">
        <f>IF($I470=0,0,$I470-$E470)</f>
        <v/>
      </c>
      <c r="K470" s="124">
        <f>IF($J470=0,0,$J470*YenidegerFonOran)</f>
        <v/>
      </c>
      <c r="L470" s="124">
        <f>IF($G470=0,0,$J470/$G470)</f>
        <v/>
      </c>
      <c r="M470" s="124">
        <f>IF($L470=0,0,$L470*YenidegerKurumlarVergiOran)</f>
        <v/>
      </c>
      <c r="N470" s="124">
        <f>IFERROR(IF(YenidegerIskontoOrani=0,$M470*$G470,$M470*(1-1/(1+YenidegerIskontoOrani)^$G470)/YenidegerIskontoOrani),0)</f>
        <v/>
      </c>
      <c r="O470" s="124">
        <f>$N470-$K470</f>
        <v/>
      </c>
      <c r="P470" s="124">
        <f>IF($J470&lt;=0,"DEĞERLENDİR",IF($O470&gt;0,"YENİDEN DEĞERLE","DEĞERLENDİR"))</f>
        <v/>
      </c>
      <c r="Q470" s="124">
        <f>IF($B470="","",CONCATENATE("Kıymet: ",$B470," | Değer Artışı: ",TEXT($J470,"#,##0")))</f>
        <v/>
      </c>
    </row>
    <row r="471" ht="15.75" customHeight="1" s="81">
      <c r="A471" s="129" t="n"/>
      <c r="B471" s="130" t="n"/>
      <c r="C471" s="127" t="n"/>
      <c r="D471" s="127" t="n"/>
      <c r="E471" s="124">
        <f>IF($C471=0,0,$C471-$D471)</f>
        <v/>
      </c>
      <c r="F471" s="128" t="n"/>
      <c r="G471" s="129" t="n"/>
      <c r="H471" s="131" t="n"/>
      <c r="I471" s="124">
        <f>IF($E471=0,0,$E471*$H471)</f>
        <v/>
      </c>
      <c r="J471" s="124">
        <f>IF($I471=0,0,$I471-$E471)</f>
        <v/>
      </c>
      <c r="K471" s="124">
        <f>IF($J471=0,0,$J471*YenidegerFonOran)</f>
        <v/>
      </c>
      <c r="L471" s="124">
        <f>IF($G471=0,0,$J471/$G471)</f>
        <v/>
      </c>
      <c r="M471" s="124">
        <f>IF($L471=0,0,$L471*YenidegerKurumlarVergiOran)</f>
        <v/>
      </c>
      <c r="N471" s="124">
        <f>IFERROR(IF(YenidegerIskontoOrani=0,$M471*$G471,$M471*(1-1/(1+YenidegerIskontoOrani)^$G471)/YenidegerIskontoOrani),0)</f>
        <v/>
      </c>
      <c r="O471" s="124">
        <f>$N471-$K471</f>
        <v/>
      </c>
      <c r="P471" s="124">
        <f>IF($J471&lt;=0,"DEĞERLENDİR",IF($O471&gt;0,"YENİDEN DEĞERLE","DEĞERLENDİR"))</f>
        <v/>
      </c>
      <c r="Q471" s="124">
        <f>IF($B471="","",CONCATENATE("Kıymet: ",$B471," | Değer Artışı: ",TEXT($J471,"#,##0")))</f>
        <v/>
      </c>
    </row>
    <row r="472" ht="15.75" customHeight="1" s="81">
      <c r="A472" s="129" t="n"/>
      <c r="B472" s="130" t="n"/>
      <c r="C472" s="127" t="n"/>
      <c r="D472" s="127" t="n"/>
      <c r="E472" s="124">
        <f>IF($C472=0,0,$C472-$D472)</f>
        <v/>
      </c>
      <c r="F472" s="128" t="n"/>
      <c r="G472" s="129" t="n"/>
      <c r="H472" s="131" t="n"/>
      <c r="I472" s="124">
        <f>IF($E472=0,0,$E472*$H472)</f>
        <v/>
      </c>
      <c r="J472" s="124">
        <f>IF($I472=0,0,$I472-$E472)</f>
        <v/>
      </c>
      <c r="K472" s="124">
        <f>IF($J472=0,0,$J472*YenidegerFonOran)</f>
        <v/>
      </c>
      <c r="L472" s="124">
        <f>IF($G472=0,0,$J472/$G472)</f>
        <v/>
      </c>
      <c r="M472" s="124">
        <f>IF($L472=0,0,$L472*YenidegerKurumlarVergiOran)</f>
        <v/>
      </c>
      <c r="N472" s="124">
        <f>IFERROR(IF(YenidegerIskontoOrani=0,$M472*$G472,$M472*(1-1/(1+YenidegerIskontoOrani)^$G472)/YenidegerIskontoOrani),0)</f>
        <v/>
      </c>
      <c r="O472" s="124">
        <f>$N472-$K472</f>
        <v/>
      </c>
      <c r="P472" s="124">
        <f>IF($J472&lt;=0,"DEĞERLENDİR",IF($O472&gt;0,"YENİDEN DEĞERLE","DEĞERLENDİR"))</f>
        <v/>
      </c>
      <c r="Q472" s="124">
        <f>IF($B472="","",CONCATENATE("Kıymet: ",$B472," | Değer Artışı: ",TEXT($J472,"#,##0")))</f>
        <v/>
      </c>
    </row>
    <row r="473" ht="15.75" customHeight="1" s="81">
      <c r="A473" s="129" t="n"/>
      <c r="B473" s="130" t="n"/>
      <c r="C473" s="127" t="n"/>
      <c r="D473" s="127" t="n"/>
      <c r="E473" s="124">
        <f>IF($C473=0,0,$C473-$D473)</f>
        <v/>
      </c>
      <c r="F473" s="128" t="n"/>
      <c r="G473" s="129" t="n"/>
      <c r="H473" s="131" t="n"/>
      <c r="I473" s="124">
        <f>IF($E473=0,0,$E473*$H473)</f>
        <v/>
      </c>
      <c r="J473" s="124">
        <f>IF($I473=0,0,$I473-$E473)</f>
        <v/>
      </c>
      <c r="K473" s="124">
        <f>IF($J473=0,0,$J473*YenidegerFonOran)</f>
        <v/>
      </c>
      <c r="L473" s="124">
        <f>IF($G473=0,0,$J473/$G473)</f>
        <v/>
      </c>
      <c r="M473" s="124">
        <f>IF($L473=0,0,$L473*YenidegerKurumlarVergiOran)</f>
        <v/>
      </c>
      <c r="N473" s="124">
        <f>IFERROR(IF(YenidegerIskontoOrani=0,$M473*$G473,$M473*(1-1/(1+YenidegerIskontoOrani)^$G473)/YenidegerIskontoOrani),0)</f>
        <v/>
      </c>
      <c r="O473" s="124">
        <f>$N473-$K473</f>
        <v/>
      </c>
      <c r="P473" s="124">
        <f>IF($J473&lt;=0,"DEĞERLENDİR",IF($O473&gt;0,"YENİDEN DEĞERLE","DEĞERLENDİR"))</f>
        <v/>
      </c>
      <c r="Q473" s="124">
        <f>IF($B473="","",CONCATENATE("Kıymet: ",$B473," | Değer Artışı: ",TEXT($J473,"#,##0")))</f>
        <v/>
      </c>
    </row>
    <row r="474" ht="15.75" customHeight="1" s="81">
      <c r="A474" s="129" t="n"/>
      <c r="B474" s="130" t="n"/>
      <c r="C474" s="127" t="n"/>
      <c r="D474" s="127" t="n"/>
      <c r="E474" s="124">
        <f>IF($C474=0,0,$C474-$D474)</f>
        <v/>
      </c>
      <c r="F474" s="128" t="n"/>
      <c r="G474" s="129" t="n"/>
      <c r="H474" s="131" t="n"/>
      <c r="I474" s="124">
        <f>IF($E474=0,0,$E474*$H474)</f>
        <v/>
      </c>
      <c r="J474" s="124">
        <f>IF($I474=0,0,$I474-$E474)</f>
        <v/>
      </c>
      <c r="K474" s="124">
        <f>IF($J474=0,0,$J474*YenidegerFonOran)</f>
        <v/>
      </c>
      <c r="L474" s="124">
        <f>IF($G474=0,0,$J474/$G474)</f>
        <v/>
      </c>
      <c r="M474" s="124">
        <f>IF($L474=0,0,$L474*YenidegerKurumlarVergiOran)</f>
        <v/>
      </c>
      <c r="N474" s="124">
        <f>IFERROR(IF(YenidegerIskontoOrani=0,$M474*$G474,$M474*(1-1/(1+YenidegerIskontoOrani)^$G474)/YenidegerIskontoOrani),0)</f>
        <v/>
      </c>
      <c r="O474" s="124">
        <f>$N474-$K474</f>
        <v/>
      </c>
      <c r="P474" s="124">
        <f>IF($J474&lt;=0,"DEĞERLENDİR",IF($O474&gt;0,"YENİDEN DEĞERLE","DEĞERLENDİR"))</f>
        <v/>
      </c>
      <c r="Q474" s="124">
        <f>IF($B474="","",CONCATENATE("Kıymet: ",$B474," | Değer Artışı: ",TEXT($J474,"#,##0")))</f>
        <v/>
      </c>
    </row>
    <row r="475" ht="15.75" customHeight="1" s="81">
      <c r="A475" s="129" t="n"/>
      <c r="B475" s="130" t="n"/>
      <c r="C475" s="127" t="n"/>
      <c r="D475" s="127" t="n"/>
      <c r="E475" s="124">
        <f>IF($C475=0,0,$C475-$D475)</f>
        <v/>
      </c>
      <c r="F475" s="128" t="n"/>
      <c r="G475" s="129" t="n"/>
      <c r="H475" s="131" t="n"/>
      <c r="I475" s="124">
        <f>IF($E475=0,0,$E475*$H475)</f>
        <v/>
      </c>
      <c r="J475" s="124">
        <f>IF($I475=0,0,$I475-$E475)</f>
        <v/>
      </c>
      <c r="K475" s="124">
        <f>IF($J475=0,0,$J475*YenidegerFonOran)</f>
        <v/>
      </c>
      <c r="L475" s="124">
        <f>IF($G475=0,0,$J475/$G475)</f>
        <v/>
      </c>
      <c r="M475" s="124">
        <f>IF($L475=0,0,$L475*YenidegerKurumlarVergiOran)</f>
        <v/>
      </c>
      <c r="N475" s="124">
        <f>IFERROR(IF(YenidegerIskontoOrani=0,$M475*$G475,$M475*(1-1/(1+YenidegerIskontoOrani)^$G475)/YenidegerIskontoOrani),0)</f>
        <v/>
      </c>
      <c r="O475" s="124">
        <f>$N475-$K475</f>
        <v/>
      </c>
      <c r="P475" s="124">
        <f>IF($J475&lt;=0,"DEĞERLENDİR",IF($O475&gt;0,"YENİDEN DEĞERLE","DEĞERLENDİR"))</f>
        <v/>
      </c>
      <c r="Q475" s="124">
        <f>IF($B475="","",CONCATENATE("Kıymet: ",$B475," | Değer Artışı: ",TEXT($J475,"#,##0")))</f>
        <v/>
      </c>
    </row>
    <row r="476" ht="15.75" customHeight="1" s="81">
      <c r="A476" s="129" t="n"/>
      <c r="B476" s="130" t="n"/>
      <c r="C476" s="127" t="n"/>
      <c r="D476" s="127" t="n"/>
      <c r="E476" s="124">
        <f>IF($C476=0,0,$C476-$D476)</f>
        <v/>
      </c>
      <c r="F476" s="128" t="n"/>
      <c r="G476" s="129" t="n"/>
      <c r="H476" s="131" t="n"/>
      <c r="I476" s="124">
        <f>IF($E476=0,0,$E476*$H476)</f>
        <v/>
      </c>
      <c r="J476" s="124">
        <f>IF($I476=0,0,$I476-$E476)</f>
        <v/>
      </c>
      <c r="K476" s="124">
        <f>IF($J476=0,0,$J476*YenidegerFonOran)</f>
        <v/>
      </c>
      <c r="L476" s="124">
        <f>IF($G476=0,0,$J476/$G476)</f>
        <v/>
      </c>
      <c r="M476" s="124">
        <f>IF($L476=0,0,$L476*YenidegerKurumlarVergiOran)</f>
        <v/>
      </c>
      <c r="N476" s="124">
        <f>IFERROR(IF(YenidegerIskontoOrani=0,$M476*$G476,$M476*(1-1/(1+YenidegerIskontoOrani)^$G476)/YenidegerIskontoOrani),0)</f>
        <v/>
      </c>
      <c r="O476" s="124">
        <f>$N476-$K476</f>
        <v/>
      </c>
      <c r="P476" s="124">
        <f>IF($J476&lt;=0,"DEĞERLENDİR",IF($O476&gt;0,"YENİDEN DEĞERLE","DEĞERLENDİR"))</f>
        <v/>
      </c>
      <c r="Q476" s="124">
        <f>IF($B476="","",CONCATENATE("Kıymet: ",$B476," | Değer Artışı: ",TEXT($J476,"#,##0")))</f>
        <v/>
      </c>
    </row>
    <row r="477" ht="15.75" customHeight="1" s="81">
      <c r="A477" s="129" t="n"/>
      <c r="B477" s="130" t="n"/>
      <c r="C477" s="127" t="n"/>
      <c r="D477" s="127" t="n"/>
      <c r="E477" s="124">
        <f>IF($C477=0,0,$C477-$D477)</f>
        <v/>
      </c>
      <c r="F477" s="128" t="n"/>
      <c r="G477" s="129" t="n"/>
      <c r="H477" s="131" t="n"/>
      <c r="I477" s="124">
        <f>IF($E477=0,0,$E477*$H477)</f>
        <v/>
      </c>
      <c r="J477" s="124">
        <f>IF($I477=0,0,$I477-$E477)</f>
        <v/>
      </c>
      <c r="K477" s="124">
        <f>IF($J477=0,0,$J477*YenidegerFonOran)</f>
        <v/>
      </c>
      <c r="L477" s="124">
        <f>IF($G477=0,0,$J477/$G477)</f>
        <v/>
      </c>
      <c r="M477" s="124">
        <f>IF($L477=0,0,$L477*YenidegerKurumlarVergiOran)</f>
        <v/>
      </c>
      <c r="N477" s="124">
        <f>IFERROR(IF(YenidegerIskontoOrani=0,$M477*$G477,$M477*(1-1/(1+YenidegerIskontoOrani)^$G477)/YenidegerIskontoOrani),0)</f>
        <v/>
      </c>
      <c r="O477" s="124">
        <f>$N477-$K477</f>
        <v/>
      </c>
      <c r="P477" s="124">
        <f>IF($J477&lt;=0,"DEĞERLENDİR",IF($O477&gt;0,"YENİDEN DEĞERLE","DEĞERLENDİR"))</f>
        <v/>
      </c>
      <c r="Q477" s="124">
        <f>IF($B477="","",CONCATENATE("Kıymet: ",$B477," | Değer Artışı: ",TEXT($J477,"#,##0")))</f>
        <v/>
      </c>
    </row>
    <row r="478" ht="15.75" customHeight="1" s="81">
      <c r="A478" s="129" t="n"/>
      <c r="B478" s="130" t="n"/>
      <c r="C478" s="127" t="n"/>
      <c r="D478" s="127" t="n"/>
      <c r="E478" s="124">
        <f>IF($C478=0,0,$C478-$D478)</f>
        <v/>
      </c>
      <c r="F478" s="128" t="n"/>
      <c r="G478" s="129" t="n"/>
      <c r="H478" s="131" t="n"/>
      <c r="I478" s="124">
        <f>IF($E478=0,0,$E478*$H478)</f>
        <v/>
      </c>
      <c r="J478" s="124">
        <f>IF($I478=0,0,$I478-$E478)</f>
        <v/>
      </c>
      <c r="K478" s="124">
        <f>IF($J478=0,0,$J478*YenidegerFonOran)</f>
        <v/>
      </c>
      <c r="L478" s="124">
        <f>IF($G478=0,0,$J478/$G478)</f>
        <v/>
      </c>
      <c r="M478" s="124">
        <f>IF($L478=0,0,$L478*YenidegerKurumlarVergiOran)</f>
        <v/>
      </c>
      <c r="N478" s="124">
        <f>IFERROR(IF(YenidegerIskontoOrani=0,$M478*$G478,$M478*(1-1/(1+YenidegerIskontoOrani)^$G478)/YenidegerIskontoOrani),0)</f>
        <v/>
      </c>
      <c r="O478" s="124">
        <f>$N478-$K478</f>
        <v/>
      </c>
      <c r="P478" s="124">
        <f>IF($J478&lt;=0,"DEĞERLENDİR",IF($O478&gt;0,"YENİDEN DEĞERLE","DEĞERLENDİR"))</f>
        <v/>
      </c>
      <c r="Q478" s="124">
        <f>IF($B478="","",CONCATENATE("Kıymet: ",$B478," | Değer Artışı: ",TEXT($J478,"#,##0")))</f>
        <v/>
      </c>
    </row>
    <row r="479" ht="15.75" customHeight="1" s="81">
      <c r="A479" s="129" t="n"/>
      <c r="B479" s="130" t="n"/>
      <c r="C479" s="127" t="n"/>
      <c r="D479" s="127" t="n"/>
      <c r="E479" s="124">
        <f>IF($C479=0,0,$C479-$D479)</f>
        <v/>
      </c>
      <c r="F479" s="128" t="n"/>
      <c r="G479" s="129" t="n"/>
      <c r="H479" s="131" t="n"/>
      <c r="I479" s="124">
        <f>IF($E479=0,0,$E479*$H479)</f>
        <v/>
      </c>
      <c r="J479" s="124">
        <f>IF($I479=0,0,$I479-$E479)</f>
        <v/>
      </c>
      <c r="K479" s="124">
        <f>IF($J479=0,0,$J479*YenidegerFonOran)</f>
        <v/>
      </c>
      <c r="L479" s="124">
        <f>IF($G479=0,0,$J479/$G479)</f>
        <v/>
      </c>
      <c r="M479" s="124">
        <f>IF($L479=0,0,$L479*YenidegerKurumlarVergiOran)</f>
        <v/>
      </c>
      <c r="N479" s="124">
        <f>IFERROR(IF(YenidegerIskontoOrani=0,$M479*$G479,$M479*(1-1/(1+YenidegerIskontoOrani)^$G479)/YenidegerIskontoOrani),0)</f>
        <v/>
      </c>
      <c r="O479" s="124">
        <f>$N479-$K479</f>
        <v/>
      </c>
      <c r="P479" s="124">
        <f>IF($J479&lt;=0,"DEĞERLENDİR",IF($O479&gt;0,"YENİDEN DEĞERLE","DEĞERLENDİR"))</f>
        <v/>
      </c>
      <c r="Q479" s="124">
        <f>IF($B479="","",CONCATENATE("Kıymet: ",$B479," | Değer Artışı: ",TEXT($J479,"#,##0")))</f>
        <v/>
      </c>
    </row>
    <row r="480" ht="15.75" customHeight="1" s="81">
      <c r="A480" s="129" t="n"/>
      <c r="B480" s="130" t="n"/>
      <c r="C480" s="127" t="n"/>
      <c r="D480" s="127" t="n"/>
      <c r="E480" s="124">
        <f>IF($C480=0,0,$C480-$D480)</f>
        <v/>
      </c>
      <c r="F480" s="128" t="n"/>
      <c r="G480" s="129" t="n"/>
      <c r="H480" s="131" t="n"/>
      <c r="I480" s="124">
        <f>IF($E480=0,0,$E480*$H480)</f>
        <v/>
      </c>
      <c r="J480" s="124">
        <f>IF($I480=0,0,$I480-$E480)</f>
        <v/>
      </c>
      <c r="K480" s="124">
        <f>IF($J480=0,0,$J480*YenidegerFonOran)</f>
        <v/>
      </c>
      <c r="L480" s="124">
        <f>IF($G480=0,0,$J480/$G480)</f>
        <v/>
      </c>
      <c r="M480" s="124">
        <f>IF($L480=0,0,$L480*YenidegerKurumlarVergiOran)</f>
        <v/>
      </c>
      <c r="N480" s="124">
        <f>IFERROR(IF(YenidegerIskontoOrani=0,$M480*$G480,$M480*(1-1/(1+YenidegerIskontoOrani)^$G480)/YenidegerIskontoOrani),0)</f>
        <v/>
      </c>
      <c r="O480" s="124">
        <f>$N480-$K480</f>
        <v/>
      </c>
      <c r="P480" s="124">
        <f>IF($J480&lt;=0,"DEĞERLENDİR",IF($O480&gt;0,"YENİDEN DEĞERLE","DEĞERLENDİR"))</f>
        <v/>
      </c>
      <c r="Q480" s="124">
        <f>IF($B480="","",CONCATENATE("Kıymet: ",$B480," | Değer Artışı: ",TEXT($J480,"#,##0")))</f>
        <v/>
      </c>
    </row>
    <row r="481" ht="15.75" customHeight="1" s="81">
      <c r="A481" s="129" t="n"/>
      <c r="B481" s="130" t="n"/>
      <c r="C481" s="127" t="n"/>
      <c r="D481" s="127" t="n"/>
      <c r="E481" s="124">
        <f>IF($C481=0,0,$C481-$D481)</f>
        <v/>
      </c>
      <c r="F481" s="128" t="n"/>
      <c r="G481" s="129" t="n"/>
      <c r="H481" s="131" t="n"/>
      <c r="I481" s="124">
        <f>IF($E481=0,0,$E481*$H481)</f>
        <v/>
      </c>
      <c r="J481" s="124">
        <f>IF($I481=0,0,$I481-$E481)</f>
        <v/>
      </c>
      <c r="K481" s="124">
        <f>IF($J481=0,0,$J481*YenidegerFonOran)</f>
        <v/>
      </c>
      <c r="L481" s="124">
        <f>IF($G481=0,0,$J481/$G481)</f>
        <v/>
      </c>
      <c r="M481" s="124">
        <f>IF($L481=0,0,$L481*YenidegerKurumlarVergiOran)</f>
        <v/>
      </c>
      <c r="N481" s="124">
        <f>IFERROR(IF(YenidegerIskontoOrani=0,$M481*$G481,$M481*(1-1/(1+YenidegerIskontoOrani)^$G481)/YenidegerIskontoOrani),0)</f>
        <v/>
      </c>
      <c r="O481" s="124">
        <f>$N481-$K481</f>
        <v/>
      </c>
      <c r="P481" s="124">
        <f>IF($J481&lt;=0,"DEĞERLENDİR",IF($O481&gt;0,"YENİDEN DEĞERLE","DEĞERLENDİR"))</f>
        <v/>
      </c>
      <c r="Q481" s="124">
        <f>IF($B481="","",CONCATENATE("Kıymet: ",$B481," | Değer Artışı: ",TEXT($J481,"#,##0")))</f>
        <v/>
      </c>
    </row>
    <row r="482" ht="15.75" customHeight="1" s="81">
      <c r="A482" s="129" t="n"/>
      <c r="B482" s="130" t="n"/>
      <c r="C482" s="127" t="n"/>
      <c r="D482" s="127" t="n"/>
      <c r="E482" s="124">
        <f>IF($C482=0,0,$C482-$D482)</f>
        <v/>
      </c>
      <c r="F482" s="128" t="n"/>
      <c r="G482" s="129" t="n"/>
      <c r="H482" s="131" t="n"/>
      <c r="I482" s="124">
        <f>IF($E482=0,0,$E482*$H482)</f>
        <v/>
      </c>
      <c r="J482" s="124">
        <f>IF($I482=0,0,$I482-$E482)</f>
        <v/>
      </c>
      <c r="K482" s="124">
        <f>IF($J482=0,0,$J482*YenidegerFonOran)</f>
        <v/>
      </c>
      <c r="L482" s="124">
        <f>IF($G482=0,0,$J482/$G482)</f>
        <v/>
      </c>
      <c r="M482" s="124">
        <f>IF($L482=0,0,$L482*YenidegerKurumlarVergiOran)</f>
        <v/>
      </c>
      <c r="N482" s="124">
        <f>IFERROR(IF(YenidegerIskontoOrani=0,$M482*$G482,$M482*(1-1/(1+YenidegerIskontoOrani)^$G482)/YenidegerIskontoOrani),0)</f>
        <v/>
      </c>
      <c r="O482" s="124">
        <f>$N482-$K482</f>
        <v/>
      </c>
      <c r="P482" s="124">
        <f>IF($J482&lt;=0,"DEĞERLENDİR",IF($O482&gt;0,"YENİDEN DEĞERLE","DEĞERLENDİR"))</f>
        <v/>
      </c>
      <c r="Q482" s="124">
        <f>IF($B482="","",CONCATENATE("Kıymet: ",$B482," | Değer Artışı: ",TEXT($J482,"#,##0")))</f>
        <v/>
      </c>
    </row>
    <row r="483" ht="15.75" customHeight="1" s="81">
      <c r="A483" s="129" t="n"/>
      <c r="B483" s="130" t="n"/>
      <c r="C483" s="127" t="n"/>
      <c r="D483" s="127" t="n"/>
      <c r="E483" s="124">
        <f>IF($C483=0,0,$C483-$D483)</f>
        <v/>
      </c>
      <c r="F483" s="128" t="n"/>
      <c r="G483" s="129" t="n"/>
      <c r="H483" s="131" t="n"/>
      <c r="I483" s="124">
        <f>IF($E483=0,0,$E483*$H483)</f>
        <v/>
      </c>
      <c r="J483" s="124">
        <f>IF($I483=0,0,$I483-$E483)</f>
        <v/>
      </c>
      <c r="K483" s="124">
        <f>IF($J483=0,0,$J483*YenidegerFonOran)</f>
        <v/>
      </c>
      <c r="L483" s="124">
        <f>IF($G483=0,0,$J483/$G483)</f>
        <v/>
      </c>
      <c r="M483" s="124">
        <f>IF($L483=0,0,$L483*YenidegerKurumlarVergiOran)</f>
        <v/>
      </c>
      <c r="N483" s="124">
        <f>IFERROR(IF(YenidegerIskontoOrani=0,$M483*$G483,$M483*(1-1/(1+YenidegerIskontoOrani)^$G483)/YenidegerIskontoOrani),0)</f>
        <v/>
      </c>
      <c r="O483" s="124">
        <f>$N483-$K483</f>
        <v/>
      </c>
      <c r="P483" s="124">
        <f>IF($J483&lt;=0,"DEĞERLENDİR",IF($O483&gt;0,"YENİDEN DEĞERLE","DEĞERLENDİR"))</f>
        <v/>
      </c>
      <c r="Q483" s="124">
        <f>IF($B483="","",CONCATENATE("Kıymet: ",$B483," | Değer Artışı: ",TEXT($J483,"#,##0")))</f>
        <v/>
      </c>
    </row>
    <row r="484" ht="15.75" customHeight="1" s="81">
      <c r="A484" s="129" t="n"/>
      <c r="B484" s="130" t="n"/>
      <c r="C484" s="127" t="n"/>
      <c r="D484" s="127" t="n"/>
      <c r="E484" s="124">
        <f>IF($C484=0,0,$C484-$D484)</f>
        <v/>
      </c>
      <c r="F484" s="128" t="n"/>
      <c r="G484" s="129" t="n"/>
      <c r="H484" s="131" t="n"/>
      <c r="I484" s="124">
        <f>IF($E484=0,0,$E484*$H484)</f>
        <v/>
      </c>
      <c r="J484" s="124">
        <f>IF($I484=0,0,$I484-$E484)</f>
        <v/>
      </c>
      <c r="K484" s="124">
        <f>IF($J484=0,0,$J484*YenidegerFonOran)</f>
        <v/>
      </c>
      <c r="L484" s="124">
        <f>IF($G484=0,0,$J484/$G484)</f>
        <v/>
      </c>
      <c r="M484" s="124">
        <f>IF($L484=0,0,$L484*YenidegerKurumlarVergiOran)</f>
        <v/>
      </c>
      <c r="N484" s="124">
        <f>IFERROR(IF(YenidegerIskontoOrani=0,$M484*$G484,$M484*(1-1/(1+YenidegerIskontoOrani)^$G484)/YenidegerIskontoOrani),0)</f>
        <v/>
      </c>
      <c r="O484" s="124">
        <f>$N484-$K484</f>
        <v/>
      </c>
      <c r="P484" s="124">
        <f>IF($J484&lt;=0,"DEĞERLENDİR",IF($O484&gt;0,"YENİDEN DEĞERLE","DEĞERLENDİR"))</f>
        <v/>
      </c>
      <c r="Q484" s="124">
        <f>IF($B484="","",CONCATENATE("Kıymet: ",$B484," | Değer Artışı: ",TEXT($J484,"#,##0")))</f>
        <v/>
      </c>
    </row>
    <row r="485" ht="15.75" customHeight="1" s="81">
      <c r="A485" s="129" t="n"/>
      <c r="B485" s="130" t="n"/>
      <c r="C485" s="127" t="n"/>
      <c r="D485" s="127" t="n"/>
      <c r="E485" s="124">
        <f>IF($C485=0,0,$C485-$D485)</f>
        <v/>
      </c>
      <c r="F485" s="128" t="n"/>
      <c r="G485" s="129" t="n"/>
      <c r="H485" s="131" t="n"/>
      <c r="I485" s="124">
        <f>IF($E485=0,0,$E485*$H485)</f>
        <v/>
      </c>
      <c r="J485" s="124">
        <f>IF($I485=0,0,$I485-$E485)</f>
        <v/>
      </c>
      <c r="K485" s="124">
        <f>IF($J485=0,0,$J485*YenidegerFonOran)</f>
        <v/>
      </c>
      <c r="L485" s="124">
        <f>IF($G485=0,0,$J485/$G485)</f>
        <v/>
      </c>
      <c r="M485" s="124">
        <f>IF($L485=0,0,$L485*YenidegerKurumlarVergiOran)</f>
        <v/>
      </c>
      <c r="N485" s="124">
        <f>IFERROR(IF(YenidegerIskontoOrani=0,$M485*$G485,$M485*(1-1/(1+YenidegerIskontoOrani)^$G485)/YenidegerIskontoOrani),0)</f>
        <v/>
      </c>
      <c r="O485" s="124">
        <f>$N485-$K485</f>
        <v/>
      </c>
      <c r="P485" s="124">
        <f>IF($J485&lt;=0,"DEĞERLENDİR",IF($O485&gt;0,"YENİDEN DEĞERLE","DEĞERLENDİR"))</f>
        <v/>
      </c>
      <c r="Q485" s="124">
        <f>IF($B485="","",CONCATENATE("Kıymet: ",$B485," | Değer Artışı: ",TEXT($J485,"#,##0")))</f>
        <v/>
      </c>
    </row>
    <row r="486" ht="15.75" customHeight="1" s="81">
      <c r="A486" s="129" t="n"/>
      <c r="B486" s="130" t="n"/>
      <c r="C486" s="127" t="n"/>
      <c r="D486" s="127" t="n"/>
      <c r="E486" s="124">
        <f>IF($C486=0,0,$C486-$D486)</f>
        <v/>
      </c>
      <c r="F486" s="128" t="n"/>
      <c r="G486" s="129" t="n"/>
      <c r="H486" s="131" t="n"/>
      <c r="I486" s="124">
        <f>IF($E486=0,0,$E486*$H486)</f>
        <v/>
      </c>
      <c r="J486" s="124">
        <f>IF($I486=0,0,$I486-$E486)</f>
        <v/>
      </c>
      <c r="K486" s="124">
        <f>IF($J486=0,0,$J486*YenidegerFonOran)</f>
        <v/>
      </c>
      <c r="L486" s="124">
        <f>IF($G486=0,0,$J486/$G486)</f>
        <v/>
      </c>
      <c r="M486" s="124">
        <f>IF($L486=0,0,$L486*YenidegerKurumlarVergiOran)</f>
        <v/>
      </c>
      <c r="N486" s="124">
        <f>IFERROR(IF(YenidegerIskontoOrani=0,$M486*$G486,$M486*(1-1/(1+YenidegerIskontoOrani)^$G486)/YenidegerIskontoOrani),0)</f>
        <v/>
      </c>
      <c r="O486" s="124">
        <f>$N486-$K486</f>
        <v/>
      </c>
      <c r="P486" s="124">
        <f>IF($J486&lt;=0,"DEĞERLENDİR",IF($O486&gt;0,"YENİDEN DEĞERLE","DEĞERLENDİR"))</f>
        <v/>
      </c>
      <c r="Q486" s="124">
        <f>IF($B486="","",CONCATENATE("Kıymet: ",$B486," | Değer Artışı: ",TEXT($J486,"#,##0")))</f>
        <v/>
      </c>
    </row>
    <row r="487" ht="15.75" customHeight="1" s="81">
      <c r="A487" s="129" t="n"/>
      <c r="B487" s="130" t="n"/>
      <c r="C487" s="127" t="n"/>
      <c r="D487" s="127" t="n"/>
      <c r="E487" s="124">
        <f>IF($C487=0,0,$C487-$D487)</f>
        <v/>
      </c>
      <c r="F487" s="128" t="n"/>
      <c r="G487" s="129" t="n"/>
      <c r="H487" s="131" t="n"/>
      <c r="I487" s="124">
        <f>IF($E487=0,0,$E487*$H487)</f>
        <v/>
      </c>
      <c r="J487" s="124">
        <f>IF($I487=0,0,$I487-$E487)</f>
        <v/>
      </c>
      <c r="K487" s="124">
        <f>IF($J487=0,0,$J487*YenidegerFonOran)</f>
        <v/>
      </c>
      <c r="L487" s="124">
        <f>IF($G487=0,0,$J487/$G487)</f>
        <v/>
      </c>
      <c r="M487" s="124">
        <f>IF($L487=0,0,$L487*YenidegerKurumlarVergiOran)</f>
        <v/>
      </c>
      <c r="N487" s="124">
        <f>IFERROR(IF(YenidegerIskontoOrani=0,$M487*$G487,$M487*(1-1/(1+YenidegerIskontoOrani)^$G487)/YenidegerIskontoOrani),0)</f>
        <v/>
      </c>
      <c r="O487" s="124">
        <f>$N487-$K487</f>
        <v/>
      </c>
      <c r="P487" s="124">
        <f>IF($J487&lt;=0,"DEĞERLENDİR",IF($O487&gt;0,"YENİDEN DEĞERLE","DEĞERLENDİR"))</f>
        <v/>
      </c>
      <c r="Q487" s="124">
        <f>IF($B487="","",CONCATENATE("Kıymet: ",$B487," | Değer Artışı: ",TEXT($J487,"#,##0")))</f>
        <v/>
      </c>
    </row>
    <row r="488" ht="15.75" customHeight="1" s="81">
      <c r="A488" s="129" t="n"/>
      <c r="B488" s="130" t="n"/>
      <c r="C488" s="127" t="n"/>
      <c r="D488" s="127" t="n"/>
      <c r="E488" s="124">
        <f>IF($C488=0,0,$C488-$D488)</f>
        <v/>
      </c>
      <c r="F488" s="128" t="n"/>
      <c r="G488" s="129" t="n"/>
      <c r="H488" s="131" t="n"/>
      <c r="I488" s="124">
        <f>IF($E488=0,0,$E488*$H488)</f>
        <v/>
      </c>
      <c r="J488" s="124">
        <f>IF($I488=0,0,$I488-$E488)</f>
        <v/>
      </c>
      <c r="K488" s="124">
        <f>IF($J488=0,0,$J488*YenidegerFonOran)</f>
        <v/>
      </c>
      <c r="L488" s="124">
        <f>IF($G488=0,0,$J488/$G488)</f>
        <v/>
      </c>
      <c r="M488" s="124">
        <f>IF($L488=0,0,$L488*YenidegerKurumlarVergiOran)</f>
        <v/>
      </c>
      <c r="N488" s="124">
        <f>IFERROR(IF(YenidegerIskontoOrani=0,$M488*$G488,$M488*(1-1/(1+YenidegerIskontoOrani)^$G488)/YenidegerIskontoOrani),0)</f>
        <v/>
      </c>
      <c r="O488" s="124">
        <f>$N488-$K488</f>
        <v/>
      </c>
      <c r="P488" s="124">
        <f>IF($J488&lt;=0,"DEĞERLENDİR",IF($O488&gt;0,"YENİDEN DEĞERLE","DEĞERLENDİR"))</f>
        <v/>
      </c>
      <c r="Q488" s="124">
        <f>IF($B488="","",CONCATENATE("Kıymet: ",$B488," | Değer Artışı: ",TEXT($J488,"#,##0")))</f>
        <v/>
      </c>
    </row>
    <row r="489" ht="15.75" customHeight="1" s="81">
      <c r="A489" s="129" t="n"/>
      <c r="B489" s="130" t="n"/>
      <c r="C489" s="127" t="n"/>
      <c r="D489" s="127" t="n"/>
      <c r="E489" s="124">
        <f>IF($C489=0,0,$C489-$D489)</f>
        <v/>
      </c>
      <c r="F489" s="128" t="n"/>
      <c r="G489" s="129" t="n"/>
      <c r="H489" s="131" t="n"/>
      <c r="I489" s="124">
        <f>IF($E489=0,0,$E489*$H489)</f>
        <v/>
      </c>
      <c r="J489" s="124">
        <f>IF($I489=0,0,$I489-$E489)</f>
        <v/>
      </c>
      <c r="K489" s="124">
        <f>IF($J489=0,0,$J489*YenidegerFonOran)</f>
        <v/>
      </c>
      <c r="L489" s="124">
        <f>IF($G489=0,0,$J489/$G489)</f>
        <v/>
      </c>
      <c r="M489" s="124">
        <f>IF($L489=0,0,$L489*YenidegerKurumlarVergiOran)</f>
        <v/>
      </c>
      <c r="N489" s="124">
        <f>IFERROR(IF(YenidegerIskontoOrani=0,$M489*$G489,$M489*(1-1/(1+YenidegerIskontoOrani)^$G489)/YenidegerIskontoOrani),0)</f>
        <v/>
      </c>
      <c r="O489" s="124">
        <f>$N489-$K489</f>
        <v/>
      </c>
      <c r="P489" s="124">
        <f>IF($J489&lt;=0,"DEĞERLENDİR",IF($O489&gt;0,"YENİDEN DEĞERLE","DEĞERLENDİR"))</f>
        <v/>
      </c>
      <c r="Q489" s="124">
        <f>IF($B489="","",CONCATENATE("Kıymet: ",$B489," | Değer Artışı: ",TEXT($J489,"#,##0")))</f>
        <v/>
      </c>
    </row>
    <row r="490" ht="15.75" customHeight="1" s="81">
      <c r="A490" s="129" t="n"/>
      <c r="B490" s="130" t="n"/>
      <c r="C490" s="127" t="n"/>
      <c r="D490" s="127" t="n"/>
      <c r="E490" s="124">
        <f>IF($C490=0,0,$C490-$D490)</f>
        <v/>
      </c>
      <c r="F490" s="128" t="n"/>
      <c r="G490" s="129" t="n"/>
      <c r="H490" s="131" t="n"/>
      <c r="I490" s="124">
        <f>IF($E490=0,0,$E490*$H490)</f>
        <v/>
      </c>
      <c r="J490" s="124">
        <f>IF($I490=0,0,$I490-$E490)</f>
        <v/>
      </c>
      <c r="K490" s="124">
        <f>IF($J490=0,0,$J490*YenidegerFonOran)</f>
        <v/>
      </c>
      <c r="L490" s="124">
        <f>IF($G490=0,0,$J490/$G490)</f>
        <v/>
      </c>
      <c r="M490" s="124">
        <f>IF($L490=0,0,$L490*YenidegerKurumlarVergiOran)</f>
        <v/>
      </c>
      <c r="N490" s="124">
        <f>IFERROR(IF(YenidegerIskontoOrani=0,$M490*$G490,$M490*(1-1/(1+YenidegerIskontoOrani)^$G490)/YenidegerIskontoOrani),0)</f>
        <v/>
      </c>
      <c r="O490" s="124">
        <f>$N490-$K490</f>
        <v/>
      </c>
      <c r="P490" s="124">
        <f>IF($J490&lt;=0,"DEĞERLENDİR",IF($O490&gt;0,"YENİDEN DEĞERLE","DEĞERLENDİR"))</f>
        <v/>
      </c>
      <c r="Q490" s="124">
        <f>IF($B490="","",CONCATENATE("Kıymet: ",$B490," | Değer Artışı: ",TEXT($J490,"#,##0")))</f>
        <v/>
      </c>
    </row>
    <row r="491" ht="15.75" customHeight="1" s="81">
      <c r="A491" s="129" t="n"/>
      <c r="B491" s="130" t="n"/>
      <c r="C491" s="127" t="n"/>
      <c r="D491" s="127" t="n"/>
      <c r="E491" s="124">
        <f>IF($C491=0,0,$C491-$D491)</f>
        <v/>
      </c>
      <c r="F491" s="128" t="n"/>
      <c r="G491" s="129" t="n"/>
      <c r="H491" s="131" t="n"/>
      <c r="I491" s="124">
        <f>IF($E491=0,0,$E491*$H491)</f>
        <v/>
      </c>
      <c r="J491" s="124">
        <f>IF($I491=0,0,$I491-$E491)</f>
        <v/>
      </c>
      <c r="K491" s="124">
        <f>IF($J491=0,0,$J491*YenidegerFonOran)</f>
        <v/>
      </c>
      <c r="L491" s="124">
        <f>IF($G491=0,0,$J491/$G491)</f>
        <v/>
      </c>
      <c r="M491" s="124">
        <f>IF($L491=0,0,$L491*YenidegerKurumlarVergiOran)</f>
        <v/>
      </c>
      <c r="N491" s="124">
        <f>IFERROR(IF(YenidegerIskontoOrani=0,$M491*$G491,$M491*(1-1/(1+YenidegerIskontoOrani)^$G491)/YenidegerIskontoOrani),0)</f>
        <v/>
      </c>
      <c r="O491" s="124">
        <f>$N491-$K491</f>
        <v/>
      </c>
      <c r="P491" s="124">
        <f>IF($J491&lt;=0,"DEĞERLENDİR",IF($O491&gt;0,"YENİDEN DEĞERLE","DEĞERLENDİR"))</f>
        <v/>
      </c>
      <c r="Q491" s="124">
        <f>IF($B491="","",CONCATENATE("Kıymet: ",$B491," | Değer Artışı: ",TEXT($J491,"#,##0")))</f>
        <v/>
      </c>
    </row>
    <row r="492" ht="15.75" customHeight="1" s="81">
      <c r="A492" s="129" t="n"/>
      <c r="B492" s="130" t="n"/>
      <c r="C492" s="127" t="n"/>
      <c r="D492" s="127" t="n"/>
      <c r="E492" s="124">
        <f>IF($C492=0,0,$C492-$D492)</f>
        <v/>
      </c>
      <c r="F492" s="128" t="n"/>
      <c r="G492" s="129" t="n"/>
      <c r="H492" s="131" t="n"/>
      <c r="I492" s="124">
        <f>IF($E492=0,0,$E492*$H492)</f>
        <v/>
      </c>
      <c r="J492" s="124">
        <f>IF($I492=0,0,$I492-$E492)</f>
        <v/>
      </c>
      <c r="K492" s="124">
        <f>IF($J492=0,0,$J492*YenidegerFonOran)</f>
        <v/>
      </c>
      <c r="L492" s="124">
        <f>IF($G492=0,0,$J492/$G492)</f>
        <v/>
      </c>
      <c r="M492" s="124">
        <f>IF($L492=0,0,$L492*YenidegerKurumlarVergiOran)</f>
        <v/>
      </c>
      <c r="N492" s="124">
        <f>IFERROR(IF(YenidegerIskontoOrani=0,$M492*$G492,$M492*(1-1/(1+YenidegerIskontoOrani)^$G492)/YenidegerIskontoOrani),0)</f>
        <v/>
      </c>
      <c r="O492" s="124">
        <f>$N492-$K492</f>
        <v/>
      </c>
      <c r="P492" s="124">
        <f>IF($J492&lt;=0,"DEĞERLENDİR",IF($O492&gt;0,"YENİDEN DEĞERLE","DEĞERLENDİR"))</f>
        <v/>
      </c>
      <c r="Q492" s="124">
        <f>IF($B492="","",CONCATENATE("Kıymet: ",$B492," | Değer Artışı: ",TEXT($J492,"#,##0")))</f>
        <v/>
      </c>
    </row>
    <row r="493" ht="15.75" customHeight="1" s="81">
      <c r="A493" s="129" t="n"/>
      <c r="B493" s="130" t="n"/>
      <c r="C493" s="127" t="n"/>
      <c r="D493" s="127" t="n"/>
      <c r="E493" s="124">
        <f>IF($C493=0,0,$C493-$D493)</f>
        <v/>
      </c>
      <c r="F493" s="128" t="n"/>
      <c r="G493" s="129" t="n"/>
      <c r="H493" s="131" t="n"/>
      <c r="I493" s="124">
        <f>IF($E493=0,0,$E493*$H493)</f>
        <v/>
      </c>
      <c r="J493" s="124">
        <f>IF($I493=0,0,$I493-$E493)</f>
        <v/>
      </c>
      <c r="K493" s="124">
        <f>IF($J493=0,0,$J493*YenidegerFonOran)</f>
        <v/>
      </c>
      <c r="L493" s="124">
        <f>IF($G493=0,0,$J493/$G493)</f>
        <v/>
      </c>
      <c r="M493" s="124">
        <f>IF($L493=0,0,$L493*YenidegerKurumlarVergiOran)</f>
        <v/>
      </c>
      <c r="N493" s="124">
        <f>IFERROR(IF(YenidegerIskontoOrani=0,$M493*$G493,$M493*(1-1/(1+YenidegerIskontoOrani)^$G493)/YenidegerIskontoOrani),0)</f>
        <v/>
      </c>
      <c r="O493" s="124">
        <f>$N493-$K493</f>
        <v/>
      </c>
      <c r="P493" s="124">
        <f>IF($J493&lt;=0,"DEĞERLENDİR",IF($O493&gt;0,"YENİDEN DEĞERLE","DEĞERLENDİR"))</f>
        <v/>
      </c>
      <c r="Q493" s="124">
        <f>IF($B493="","",CONCATENATE("Kıymet: ",$B493," | Değer Artışı: ",TEXT($J493,"#,##0")))</f>
        <v/>
      </c>
    </row>
    <row r="494" ht="15.75" customHeight="1" s="81">
      <c r="A494" s="129" t="n"/>
      <c r="B494" s="130" t="n"/>
      <c r="C494" s="127" t="n"/>
      <c r="D494" s="127" t="n"/>
      <c r="E494" s="124">
        <f>IF($C494=0,0,$C494-$D494)</f>
        <v/>
      </c>
      <c r="F494" s="128" t="n"/>
      <c r="G494" s="129" t="n"/>
      <c r="H494" s="131" t="n"/>
      <c r="I494" s="124">
        <f>IF($E494=0,0,$E494*$H494)</f>
        <v/>
      </c>
      <c r="J494" s="124">
        <f>IF($I494=0,0,$I494-$E494)</f>
        <v/>
      </c>
      <c r="K494" s="124">
        <f>IF($J494=0,0,$J494*YenidegerFonOran)</f>
        <v/>
      </c>
      <c r="L494" s="124">
        <f>IF($G494=0,0,$J494/$G494)</f>
        <v/>
      </c>
      <c r="M494" s="124">
        <f>IF($L494=0,0,$L494*YenidegerKurumlarVergiOran)</f>
        <v/>
      </c>
      <c r="N494" s="124">
        <f>IFERROR(IF(YenidegerIskontoOrani=0,$M494*$G494,$M494*(1-1/(1+YenidegerIskontoOrani)^$G494)/YenidegerIskontoOrani),0)</f>
        <v/>
      </c>
      <c r="O494" s="124">
        <f>$N494-$K494</f>
        <v/>
      </c>
      <c r="P494" s="124">
        <f>IF($J494&lt;=0,"DEĞERLENDİR",IF($O494&gt;0,"YENİDEN DEĞERLE","DEĞERLENDİR"))</f>
        <v/>
      </c>
      <c r="Q494" s="124">
        <f>IF($B494="","",CONCATENATE("Kıymet: ",$B494," | Değer Artışı: ",TEXT($J494,"#,##0")))</f>
        <v/>
      </c>
    </row>
    <row r="495" ht="15.75" customHeight="1" s="81">
      <c r="A495" s="129" t="n"/>
      <c r="B495" s="130" t="n"/>
      <c r="C495" s="127" t="n"/>
      <c r="D495" s="127" t="n"/>
      <c r="E495" s="124">
        <f>IF($C495=0,0,$C495-$D495)</f>
        <v/>
      </c>
      <c r="F495" s="128" t="n"/>
      <c r="G495" s="129" t="n"/>
      <c r="H495" s="131" t="n"/>
      <c r="I495" s="124">
        <f>IF($E495=0,0,$E495*$H495)</f>
        <v/>
      </c>
      <c r="J495" s="124">
        <f>IF($I495=0,0,$I495-$E495)</f>
        <v/>
      </c>
      <c r="K495" s="124">
        <f>IF($J495=0,0,$J495*YenidegerFonOran)</f>
        <v/>
      </c>
      <c r="L495" s="124">
        <f>IF($G495=0,0,$J495/$G495)</f>
        <v/>
      </c>
      <c r="M495" s="124">
        <f>IF($L495=0,0,$L495*YenidegerKurumlarVergiOran)</f>
        <v/>
      </c>
      <c r="N495" s="124">
        <f>IFERROR(IF(YenidegerIskontoOrani=0,$M495*$G495,$M495*(1-1/(1+YenidegerIskontoOrani)^$G495)/YenidegerIskontoOrani),0)</f>
        <v/>
      </c>
      <c r="O495" s="124">
        <f>$N495-$K495</f>
        <v/>
      </c>
      <c r="P495" s="124">
        <f>IF($J495&lt;=0,"DEĞERLENDİR",IF($O495&gt;0,"YENİDEN DEĞERLE","DEĞERLENDİR"))</f>
        <v/>
      </c>
      <c r="Q495" s="124">
        <f>IF($B495="","",CONCATENATE("Kıymet: ",$B495," | Değer Artışı: ",TEXT($J495,"#,##0")))</f>
        <v/>
      </c>
    </row>
    <row r="496" ht="15.75" customHeight="1" s="81">
      <c r="A496" s="129" t="n"/>
      <c r="B496" s="130" t="n"/>
      <c r="C496" s="127" t="n"/>
      <c r="D496" s="127" t="n"/>
      <c r="E496" s="124">
        <f>IF($C496=0,0,$C496-$D496)</f>
        <v/>
      </c>
      <c r="F496" s="128" t="n"/>
      <c r="G496" s="129" t="n"/>
      <c r="H496" s="131" t="n"/>
      <c r="I496" s="124">
        <f>IF($E496=0,0,$E496*$H496)</f>
        <v/>
      </c>
      <c r="J496" s="124">
        <f>IF($I496=0,0,$I496-$E496)</f>
        <v/>
      </c>
      <c r="K496" s="124">
        <f>IF($J496=0,0,$J496*YenidegerFonOran)</f>
        <v/>
      </c>
      <c r="L496" s="124">
        <f>IF($G496=0,0,$J496/$G496)</f>
        <v/>
      </c>
      <c r="M496" s="124">
        <f>IF($L496=0,0,$L496*YenidegerKurumlarVergiOran)</f>
        <v/>
      </c>
      <c r="N496" s="124">
        <f>IFERROR(IF(YenidegerIskontoOrani=0,$M496*$G496,$M496*(1-1/(1+YenidegerIskontoOrani)^$G496)/YenidegerIskontoOrani),0)</f>
        <v/>
      </c>
      <c r="O496" s="124">
        <f>$N496-$K496</f>
        <v/>
      </c>
      <c r="P496" s="124">
        <f>IF($J496&lt;=0,"DEĞERLENDİR",IF($O496&gt;0,"YENİDEN DEĞERLE","DEĞERLENDİR"))</f>
        <v/>
      </c>
      <c r="Q496" s="124">
        <f>IF($B496="","",CONCATENATE("Kıymet: ",$B496," | Değer Artışı: ",TEXT($J496,"#,##0")))</f>
        <v/>
      </c>
    </row>
    <row r="497" ht="15.75" customHeight="1" s="81">
      <c r="A497" s="129" t="n"/>
      <c r="B497" s="130" t="n"/>
      <c r="C497" s="127" t="n"/>
      <c r="D497" s="127" t="n"/>
      <c r="E497" s="124">
        <f>IF($C497=0,0,$C497-$D497)</f>
        <v/>
      </c>
      <c r="F497" s="128" t="n"/>
      <c r="G497" s="129" t="n"/>
      <c r="H497" s="131" t="n"/>
      <c r="I497" s="124">
        <f>IF($E497=0,0,$E497*$H497)</f>
        <v/>
      </c>
      <c r="J497" s="124">
        <f>IF($I497=0,0,$I497-$E497)</f>
        <v/>
      </c>
      <c r="K497" s="124">
        <f>IF($J497=0,0,$J497*YenidegerFonOran)</f>
        <v/>
      </c>
      <c r="L497" s="124">
        <f>IF($G497=0,0,$J497/$G497)</f>
        <v/>
      </c>
      <c r="M497" s="124">
        <f>IF($L497=0,0,$L497*YenidegerKurumlarVergiOran)</f>
        <v/>
      </c>
      <c r="N497" s="124">
        <f>IFERROR(IF(YenidegerIskontoOrani=0,$M497*$G497,$M497*(1-1/(1+YenidegerIskontoOrani)^$G497)/YenidegerIskontoOrani),0)</f>
        <v/>
      </c>
      <c r="O497" s="124">
        <f>$N497-$K497</f>
        <v/>
      </c>
      <c r="P497" s="124">
        <f>IF($J497&lt;=0,"DEĞERLENDİR",IF($O497&gt;0,"YENİDEN DEĞERLE","DEĞERLENDİR"))</f>
        <v/>
      </c>
      <c r="Q497" s="124">
        <f>IF($B497="","",CONCATENATE("Kıymet: ",$B497," | Değer Artışı: ",TEXT($J497,"#,##0")))</f>
        <v/>
      </c>
    </row>
    <row r="498" ht="15.75" customHeight="1" s="81">
      <c r="A498" s="129" t="n"/>
      <c r="B498" s="130" t="n"/>
      <c r="C498" s="127" t="n"/>
      <c r="D498" s="127" t="n"/>
      <c r="E498" s="124">
        <f>IF($C498=0,0,$C498-$D498)</f>
        <v/>
      </c>
      <c r="F498" s="128" t="n"/>
      <c r="G498" s="129" t="n"/>
      <c r="H498" s="131" t="n"/>
      <c r="I498" s="124">
        <f>IF($E498=0,0,$E498*$H498)</f>
        <v/>
      </c>
      <c r="J498" s="124">
        <f>IF($I498=0,0,$I498-$E498)</f>
        <v/>
      </c>
      <c r="K498" s="124">
        <f>IF($J498=0,0,$J498*YenidegerFonOran)</f>
        <v/>
      </c>
      <c r="L498" s="124">
        <f>IF($G498=0,0,$J498/$G498)</f>
        <v/>
      </c>
      <c r="M498" s="124">
        <f>IF($L498=0,0,$L498*YenidegerKurumlarVergiOran)</f>
        <v/>
      </c>
      <c r="N498" s="124">
        <f>IFERROR(IF(YenidegerIskontoOrani=0,$M498*$G498,$M498*(1-1/(1+YenidegerIskontoOrani)^$G498)/YenidegerIskontoOrani),0)</f>
        <v/>
      </c>
      <c r="O498" s="124">
        <f>$N498-$K498</f>
        <v/>
      </c>
      <c r="P498" s="124">
        <f>IF($J498&lt;=0,"DEĞERLENDİR",IF($O498&gt;0,"YENİDEN DEĞERLE","DEĞERLENDİR"))</f>
        <v/>
      </c>
      <c r="Q498" s="124">
        <f>IF($B498="","",CONCATENATE("Kıymet: ",$B498," | Değer Artışı: ",TEXT($J498,"#,##0")))</f>
        <v/>
      </c>
    </row>
    <row r="499" ht="15.75" customHeight="1" s="81">
      <c r="A499" s="129" t="n"/>
      <c r="B499" s="130" t="n"/>
      <c r="C499" s="127" t="n"/>
      <c r="D499" s="127" t="n"/>
      <c r="E499" s="124">
        <f>IF($C499=0,0,$C499-$D499)</f>
        <v/>
      </c>
      <c r="F499" s="128" t="n"/>
      <c r="G499" s="129" t="n"/>
      <c r="H499" s="131" t="n"/>
      <c r="I499" s="124">
        <f>IF($E499=0,0,$E499*$H499)</f>
        <v/>
      </c>
      <c r="J499" s="124">
        <f>IF($I499=0,0,$I499-$E499)</f>
        <v/>
      </c>
      <c r="K499" s="124">
        <f>IF($J499=0,0,$J499*YenidegerFonOran)</f>
        <v/>
      </c>
      <c r="L499" s="124">
        <f>IF($G499=0,0,$J499/$G499)</f>
        <v/>
      </c>
      <c r="M499" s="124">
        <f>IF($L499=0,0,$L499*YenidegerKurumlarVergiOran)</f>
        <v/>
      </c>
      <c r="N499" s="124">
        <f>IFERROR(IF(YenidegerIskontoOrani=0,$M499*$G499,$M499*(1-1/(1+YenidegerIskontoOrani)^$G499)/YenidegerIskontoOrani),0)</f>
        <v/>
      </c>
      <c r="O499" s="124">
        <f>$N499-$K499</f>
        <v/>
      </c>
      <c r="P499" s="124">
        <f>IF($J499&lt;=0,"DEĞERLENDİR",IF($O499&gt;0,"YENİDEN DEĞERLE","DEĞERLENDİR"))</f>
        <v/>
      </c>
      <c r="Q499" s="124">
        <f>IF($B499="","",CONCATENATE("Kıymet: ",$B499," | Değer Artışı: ",TEXT($J499,"#,##0")))</f>
        <v/>
      </c>
    </row>
    <row r="500" ht="15.75" customHeight="1" s="81">
      <c r="A500" s="129" t="n"/>
      <c r="B500" s="130" t="n"/>
      <c r="C500" s="127" t="n"/>
      <c r="D500" s="127" t="n"/>
      <c r="E500" s="124">
        <f>IF($C500=0,0,$C500-$D500)</f>
        <v/>
      </c>
      <c r="F500" s="128" t="n"/>
      <c r="G500" s="129" t="n"/>
      <c r="H500" s="131" t="n"/>
      <c r="I500" s="124">
        <f>IF($E500=0,0,$E500*$H500)</f>
        <v/>
      </c>
      <c r="J500" s="124">
        <f>IF($I500=0,0,$I500-$E500)</f>
        <v/>
      </c>
      <c r="K500" s="124">
        <f>IF($J500=0,0,$J500*YenidegerFonOran)</f>
        <v/>
      </c>
      <c r="L500" s="124">
        <f>IF($G500=0,0,$J500/$G500)</f>
        <v/>
      </c>
      <c r="M500" s="124">
        <f>IF($L500=0,0,$L500*YenidegerKurumlarVergiOran)</f>
        <v/>
      </c>
      <c r="N500" s="124">
        <f>IFERROR(IF(YenidegerIskontoOrani=0,$M500*$G500,$M500*(1-1/(1+YenidegerIskontoOrani)^$G500)/YenidegerIskontoOrani),0)</f>
        <v/>
      </c>
      <c r="O500" s="124">
        <f>$N500-$K500</f>
        <v/>
      </c>
      <c r="P500" s="124">
        <f>IF($J500&lt;=0,"DEĞERLENDİR",IF($O500&gt;0,"YENİDEN DEĞERLE","DEĞERLENDİR"))</f>
        <v/>
      </c>
      <c r="Q500" s="124">
        <f>IF($B500="","",CONCATENATE("Kıymet: ",$B500," | Değer Artışı: ",TEXT($J500,"#,##0")))</f>
        <v/>
      </c>
    </row>
    <row r="501" ht="15.75" customHeight="1" s="81">
      <c r="A501" s="129" t="n"/>
      <c r="B501" s="130" t="n"/>
      <c r="C501" s="127" t="n"/>
      <c r="D501" s="127" t="n"/>
      <c r="E501" s="124">
        <f>IF($C501=0,0,$C501-$D501)</f>
        <v/>
      </c>
      <c r="F501" s="128" t="n"/>
      <c r="G501" s="129" t="n"/>
      <c r="H501" s="131" t="n"/>
      <c r="I501" s="124">
        <f>IF($E501=0,0,$E501*$H501)</f>
        <v/>
      </c>
      <c r="J501" s="124">
        <f>IF($I501=0,0,$I501-$E501)</f>
        <v/>
      </c>
      <c r="K501" s="124">
        <f>IF($J501=0,0,$J501*YenidegerFonOran)</f>
        <v/>
      </c>
      <c r="L501" s="124">
        <f>IF($G501=0,0,$J501/$G501)</f>
        <v/>
      </c>
      <c r="M501" s="124">
        <f>IF($L501=0,0,$L501*YenidegerKurumlarVergiOran)</f>
        <v/>
      </c>
      <c r="N501" s="124">
        <f>IFERROR(IF(YenidegerIskontoOrani=0,$M501*$G501,$M501*(1-1/(1+YenidegerIskontoOrani)^$G501)/YenidegerIskontoOrani),0)</f>
        <v/>
      </c>
      <c r="O501" s="124">
        <f>$N501-$K501</f>
        <v/>
      </c>
      <c r="P501" s="124">
        <f>IF($J501&lt;=0,"DEĞERLENDİR",IF($O501&gt;0,"YENİDEN DEĞERLE","DEĞERLENDİR"))</f>
        <v/>
      </c>
      <c r="Q501" s="124">
        <f>IF($B501="","",CONCATENATE("Kıymet: ",$B501," | Değer Artışı: ",TEXT($J501,"#,##0")))</f>
        <v/>
      </c>
    </row>
    <row r="502" ht="15.75" customHeight="1" s="81">
      <c r="A502" s="129" t="n"/>
      <c r="B502" s="130" t="n"/>
      <c r="C502" s="127" t="n"/>
      <c r="D502" s="127" t="n"/>
      <c r="E502" s="124">
        <f>IF($C502=0,0,$C502-$D502)</f>
        <v/>
      </c>
      <c r="F502" s="128" t="n"/>
      <c r="G502" s="129" t="n"/>
      <c r="H502" s="131" t="n"/>
      <c r="I502" s="124">
        <f>IF($E502=0,0,$E502*$H502)</f>
        <v/>
      </c>
      <c r="J502" s="124">
        <f>IF($I502=0,0,$I502-$E502)</f>
        <v/>
      </c>
      <c r="K502" s="124">
        <f>IF($J502=0,0,$J502*YenidegerFonOran)</f>
        <v/>
      </c>
      <c r="L502" s="124">
        <f>IF($G502=0,0,$J502/$G502)</f>
        <v/>
      </c>
      <c r="M502" s="124">
        <f>IF($L502=0,0,$L502*YenidegerKurumlarVergiOran)</f>
        <v/>
      </c>
      <c r="N502" s="124">
        <f>IFERROR(IF(YenidegerIskontoOrani=0,$M502*$G502,$M502*(1-1/(1+YenidegerIskontoOrani)^$G502)/YenidegerIskontoOrani),0)</f>
        <v/>
      </c>
      <c r="O502" s="124">
        <f>$N502-$K502</f>
        <v/>
      </c>
      <c r="P502" s="124">
        <f>IF($J502&lt;=0,"DEĞERLENDİR",IF($O502&gt;0,"YENİDEN DEĞERLE","DEĞERLENDİR"))</f>
        <v/>
      </c>
      <c r="Q502" s="124">
        <f>IF($B502="","",CONCATENATE("Kıymet: ",$B502," | Değer Artışı: ",TEXT($J502,"#,##0")))</f>
        <v/>
      </c>
    </row>
    <row r="503" ht="15.75" customHeight="1" s="81">
      <c r="A503" s="129" t="n"/>
      <c r="B503" s="130" t="n"/>
      <c r="C503" s="127" t="n"/>
      <c r="D503" s="127" t="n"/>
      <c r="E503" s="124">
        <f>IF($C503=0,0,$C503-$D503)</f>
        <v/>
      </c>
      <c r="F503" s="128" t="n"/>
      <c r="G503" s="129" t="n"/>
      <c r="H503" s="131" t="n"/>
      <c r="I503" s="124">
        <f>IF($E503=0,0,$E503*$H503)</f>
        <v/>
      </c>
      <c r="J503" s="124">
        <f>IF($I503=0,0,$I503-$E503)</f>
        <v/>
      </c>
      <c r="K503" s="124">
        <f>IF($J503=0,0,$J503*YenidegerFonOran)</f>
        <v/>
      </c>
      <c r="L503" s="124">
        <f>IF($G503=0,0,$J503/$G503)</f>
        <v/>
      </c>
      <c r="M503" s="124">
        <f>IF($L503=0,0,$L503*YenidegerKurumlarVergiOran)</f>
        <v/>
      </c>
      <c r="N503" s="124">
        <f>IFERROR(IF(YenidegerIskontoOrani=0,$M503*$G503,$M503*(1-1/(1+YenidegerIskontoOrani)^$G503)/YenidegerIskontoOrani),0)</f>
        <v/>
      </c>
      <c r="O503" s="124">
        <f>$N503-$K503</f>
        <v/>
      </c>
      <c r="P503" s="124">
        <f>IF($J503&lt;=0,"DEĞERLENDİR",IF($O503&gt;0,"YENİDEN DEĞERLE","DEĞERLENDİR"))</f>
        <v/>
      </c>
      <c r="Q503" s="124">
        <f>IF($B503="","",CONCATENATE("Kıymet: ",$B503," | Değer Artışı: ",TEXT($J503,"#,##0")))</f>
        <v/>
      </c>
    </row>
    <row r="504" ht="15.75" customHeight="1" s="81">
      <c r="A504" s="129" t="n"/>
      <c r="B504" s="130" t="n"/>
      <c r="C504" s="127" t="n"/>
      <c r="D504" s="127" t="n"/>
      <c r="E504" s="124">
        <f>IF($C504=0,0,$C504-$D504)</f>
        <v/>
      </c>
      <c r="F504" s="128" t="n"/>
      <c r="G504" s="129" t="n"/>
      <c r="H504" s="131" t="n"/>
      <c r="I504" s="124">
        <f>IF($E504=0,0,$E504*$H504)</f>
        <v/>
      </c>
      <c r="J504" s="124">
        <f>IF($I504=0,0,$I504-$E504)</f>
        <v/>
      </c>
      <c r="K504" s="124">
        <f>IF($J504=0,0,$J504*YenidegerFonOran)</f>
        <v/>
      </c>
      <c r="L504" s="124">
        <f>IF($G504=0,0,$J504/$G504)</f>
        <v/>
      </c>
      <c r="M504" s="124">
        <f>IF($L504=0,0,$L504*YenidegerKurumlarVergiOran)</f>
        <v/>
      </c>
      <c r="N504" s="124">
        <f>IFERROR(IF(YenidegerIskontoOrani=0,$M504*$G504,$M504*(1-1/(1+YenidegerIskontoOrani)^$G504)/YenidegerIskontoOrani),0)</f>
        <v/>
      </c>
      <c r="O504" s="124">
        <f>$N504-$K504</f>
        <v/>
      </c>
      <c r="P504" s="124">
        <f>IF($J504&lt;=0,"DEĞERLENDİR",IF($O504&gt;0,"YENİDEN DEĞERLE","DEĞERLENDİR"))</f>
        <v/>
      </c>
      <c r="Q504" s="124">
        <f>IF($B504="","",CONCATENATE("Kıymet: ",$B504," | Değer Artışı: ",TEXT($J504,"#,##0")))</f>
        <v/>
      </c>
    </row>
    <row r="505" ht="15.75" customHeight="1" s="81">
      <c r="A505" s="129" t="n"/>
      <c r="B505" s="130" t="n"/>
      <c r="C505" s="127" t="n"/>
      <c r="D505" s="127" t="n"/>
      <c r="E505" s="124">
        <f>IF($C505=0,0,$C505-$D505)</f>
        <v/>
      </c>
      <c r="F505" s="128" t="n"/>
      <c r="G505" s="129" t="n"/>
      <c r="H505" s="131" t="n"/>
      <c r="I505" s="124">
        <f>IF($E505=0,0,$E505*$H505)</f>
        <v/>
      </c>
      <c r="J505" s="124">
        <f>IF($I505=0,0,$I505-$E505)</f>
        <v/>
      </c>
      <c r="K505" s="124">
        <f>IF($J505=0,0,$J505*YenidegerFonOran)</f>
        <v/>
      </c>
      <c r="L505" s="124">
        <f>IF($G505=0,0,$J505/$G505)</f>
        <v/>
      </c>
      <c r="M505" s="124">
        <f>IF($L505=0,0,$L505*YenidegerKurumlarVergiOran)</f>
        <v/>
      </c>
      <c r="N505" s="124">
        <f>IFERROR(IF(YenidegerIskontoOrani=0,$M505*$G505,$M505*(1-1/(1+YenidegerIskontoOrani)^$G505)/YenidegerIskontoOrani),0)</f>
        <v/>
      </c>
      <c r="O505" s="124">
        <f>$N505-$K505</f>
        <v/>
      </c>
      <c r="P505" s="124">
        <f>IF($J505&lt;=0,"DEĞERLENDİR",IF($O505&gt;0,"YENİDEN DEĞERLE","DEĞERLENDİR"))</f>
        <v/>
      </c>
      <c r="Q505" s="124">
        <f>IF($B505="","",CONCATENATE("Kıymet: ",$B505," | Değer Artışı: ",TEXT($J505,"#,##0")))</f>
        <v/>
      </c>
    </row>
    <row r="506" ht="15.75" customHeight="1" s="81">
      <c r="A506" s="129" t="n"/>
      <c r="B506" s="130" t="n"/>
      <c r="C506" s="127" t="n"/>
      <c r="D506" s="127" t="n"/>
      <c r="E506" s="124">
        <f>IF($C506=0,0,$C506-$D506)</f>
        <v/>
      </c>
      <c r="F506" s="128" t="n"/>
      <c r="G506" s="129" t="n"/>
      <c r="H506" s="131" t="n"/>
      <c r="I506" s="124">
        <f>IF($E506=0,0,$E506*$H506)</f>
        <v/>
      </c>
      <c r="J506" s="124">
        <f>IF($I506=0,0,$I506-$E506)</f>
        <v/>
      </c>
      <c r="K506" s="124">
        <f>IF($J506=0,0,$J506*YenidegerFonOran)</f>
        <v/>
      </c>
      <c r="L506" s="124">
        <f>IF($G506=0,0,$J506/$G506)</f>
        <v/>
      </c>
      <c r="M506" s="124">
        <f>IF($L506=0,0,$L506*YenidegerKurumlarVergiOran)</f>
        <v/>
      </c>
      <c r="N506" s="124">
        <f>IFERROR(IF(YenidegerIskontoOrani=0,$M506*$G506,$M506*(1-1/(1+YenidegerIskontoOrani)^$G506)/YenidegerIskontoOrani),0)</f>
        <v/>
      </c>
      <c r="O506" s="124">
        <f>$N506-$K506</f>
        <v/>
      </c>
      <c r="P506" s="124">
        <f>IF($J506&lt;=0,"DEĞERLENDİR",IF($O506&gt;0,"YENİDEN DEĞERLE","DEĞERLENDİR"))</f>
        <v/>
      </c>
      <c r="Q506" s="124">
        <f>IF($B506="","",CONCATENATE("Kıymet: ",$B506," | Değer Artışı: ",TEXT($J506,"#,##0")))</f>
        <v/>
      </c>
    </row>
    <row r="507" ht="15.75" customHeight="1" s="81">
      <c r="A507" s="129" t="n"/>
      <c r="B507" s="130" t="n"/>
      <c r="C507" s="127" t="n"/>
      <c r="D507" s="127" t="n"/>
      <c r="E507" s="124">
        <f>IF($C507=0,0,$C507-$D507)</f>
        <v/>
      </c>
      <c r="F507" s="128" t="n"/>
      <c r="G507" s="129" t="n"/>
      <c r="H507" s="131" t="n"/>
      <c r="I507" s="124">
        <f>IF($E507=0,0,$E507*$H507)</f>
        <v/>
      </c>
      <c r="J507" s="124">
        <f>IF($I507=0,0,$I507-$E507)</f>
        <v/>
      </c>
      <c r="K507" s="124">
        <f>IF($J507=0,0,$J507*YenidegerFonOran)</f>
        <v/>
      </c>
      <c r="L507" s="124">
        <f>IF($G507=0,0,$J507/$G507)</f>
        <v/>
      </c>
      <c r="M507" s="124">
        <f>IF($L507=0,0,$L507*YenidegerKurumlarVergiOran)</f>
        <v/>
      </c>
      <c r="N507" s="124">
        <f>IFERROR(IF(YenidegerIskontoOrani=0,$M507*$G507,$M507*(1-1/(1+YenidegerIskontoOrani)^$G507)/YenidegerIskontoOrani),0)</f>
        <v/>
      </c>
      <c r="O507" s="124">
        <f>$N507-$K507</f>
        <v/>
      </c>
      <c r="P507" s="124">
        <f>IF($J507&lt;=0,"DEĞERLENDİR",IF($O507&gt;0,"YENİDEN DEĞERLE","DEĞERLENDİR"))</f>
        <v/>
      </c>
      <c r="Q507" s="124">
        <f>IF($B507="","",CONCATENATE("Kıymet: ",$B507," | Değer Artışı: ",TEXT($J507,"#,##0")))</f>
        <v/>
      </c>
    </row>
    <row r="508" ht="15.75" customHeight="1" s="81">
      <c r="A508" s="129" t="n"/>
      <c r="B508" s="130" t="n"/>
      <c r="C508" s="127" t="n"/>
      <c r="D508" s="127" t="n"/>
      <c r="E508" s="124">
        <f>IF($C508=0,0,$C508-$D508)</f>
        <v/>
      </c>
      <c r="F508" s="128" t="n"/>
      <c r="G508" s="129" t="n"/>
      <c r="H508" s="131" t="n"/>
      <c r="I508" s="124">
        <f>IF($E508=0,0,$E508*$H508)</f>
        <v/>
      </c>
      <c r="J508" s="124">
        <f>IF($I508=0,0,$I508-$E508)</f>
        <v/>
      </c>
      <c r="K508" s="124">
        <f>IF($J508=0,0,$J508*YenidegerFonOran)</f>
        <v/>
      </c>
      <c r="L508" s="124">
        <f>IF($G508=0,0,$J508/$G508)</f>
        <v/>
      </c>
      <c r="M508" s="124">
        <f>IF($L508=0,0,$L508*YenidegerKurumlarVergiOran)</f>
        <v/>
      </c>
      <c r="N508" s="124">
        <f>IFERROR(IF(YenidegerIskontoOrani=0,$M508*$G508,$M508*(1-1/(1+YenidegerIskontoOrani)^$G508)/YenidegerIskontoOrani),0)</f>
        <v/>
      </c>
      <c r="O508" s="124">
        <f>$N508-$K508</f>
        <v/>
      </c>
      <c r="P508" s="124">
        <f>IF($J508&lt;=0,"DEĞERLENDİR",IF($O508&gt;0,"YENİDEN DEĞERLE","DEĞERLENDİR"))</f>
        <v/>
      </c>
      <c r="Q508" s="124">
        <f>IF($B508="","",CONCATENATE("Kıymet: ",$B508," | Değer Artışı: ",TEXT($J508,"#,##0")))</f>
        <v/>
      </c>
    </row>
    <row r="509" ht="15.75" customHeight="1" s="81">
      <c r="A509" s="129" t="n"/>
      <c r="B509" s="130" t="n"/>
      <c r="C509" s="127" t="n"/>
      <c r="D509" s="127" t="n"/>
      <c r="E509" s="124">
        <f>IF($C509=0,0,$C509-$D509)</f>
        <v/>
      </c>
      <c r="F509" s="128" t="n"/>
      <c r="G509" s="129" t="n"/>
      <c r="H509" s="131" t="n"/>
      <c r="I509" s="124">
        <f>IF($E509=0,0,$E509*$H509)</f>
        <v/>
      </c>
      <c r="J509" s="124">
        <f>IF($I509=0,0,$I509-$E509)</f>
        <v/>
      </c>
      <c r="K509" s="124">
        <f>IF($J509=0,0,$J509*YenidegerFonOran)</f>
        <v/>
      </c>
      <c r="L509" s="124">
        <f>IF($G509=0,0,$J509/$G509)</f>
        <v/>
      </c>
      <c r="M509" s="124">
        <f>IF($L509=0,0,$L509*YenidegerKurumlarVergiOran)</f>
        <v/>
      </c>
      <c r="N509" s="124">
        <f>IFERROR(IF(YenidegerIskontoOrani=0,$M509*$G509,$M509*(1-1/(1+YenidegerIskontoOrani)^$G509)/YenidegerIskontoOrani),0)</f>
        <v/>
      </c>
      <c r="O509" s="124">
        <f>$N509-$K509</f>
        <v/>
      </c>
      <c r="P509" s="124">
        <f>IF($J509&lt;=0,"DEĞERLENDİR",IF($O509&gt;0,"YENİDEN DEĞERLE","DEĞERLENDİR"))</f>
        <v/>
      </c>
      <c r="Q509" s="124">
        <f>IF($B509="","",CONCATENATE("Kıymet: ",$B509," | Değer Artışı: ",TEXT($J509,"#,##0")))</f>
        <v/>
      </c>
    </row>
    <row r="510" ht="15.75" customHeight="1" s="81">
      <c r="A510" s="129" t="n"/>
      <c r="B510" s="130" t="n"/>
      <c r="C510" s="127" t="n"/>
      <c r="D510" s="127" t="n"/>
      <c r="E510" s="124">
        <f>IF($C510=0,0,$C510-$D510)</f>
        <v/>
      </c>
      <c r="F510" s="128" t="n"/>
      <c r="G510" s="129" t="n"/>
      <c r="H510" s="131" t="n"/>
      <c r="I510" s="124">
        <f>IF($E510=0,0,$E510*$H510)</f>
        <v/>
      </c>
      <c r="J510" s="124">
        <f>IF($I510=0,0,$I510-$E510)</f>
        <v/>
      </c>
      <c r="K510" s="124">
        <f>IF($J510=0,0,$J510*YenidegerFonOran)</f>
        <v/>
      </c>
      <c r="L510" s="124">
        <f>IF($G510=0,0,$J510/$G510)</f>
        <v/>
      </c>
      <c r="M510" s="124">
        <f>IF($L510=0,0,$L510*YenidegerKurumlarVergiOran)</f>
        <v/>
      </c>
      <c r="N510" s="124">
        <f>IFERROR(IF(YenidegerIskontoOrani=0,$M510*$G510,$M510*(1-1/(1+YenidegerIskontoOrani)^$G510)/YenidegerIskontoOrani),0)</f>
        <v/>
      </c>
      <c r="O510" s="124">
        <f>$N510-$K510</f>
        <v/>
      </c>
      <c r="P510" s="124">
        <f>IF($J510&lt;=0,"DEĞERLENDİR",IF($O510&gt;0,"YENİDEN DEĞERLE","DEĞERLENDİR"))</f>
        <v/>
      </c>
      <c r="Q510" s="124">
        <f>IF($B510="","",CONCATENATE("Kıymet: ",$B510," | Değer Artışı: ",TEXT($J510,"#,##0")))</f>
        <v/>
      </c>
    </row>
    <row r="511" ht="15.75" customHeight="1" s="81">
      <c r="A511" s="129" t="n"/>
      <c r="B511" s="130" t="n"/>
      <c r="C511" s="127" t="n"/>
      <c r="D511" s="127" t="n"/>
      <c r="E511" s="124">
        <f>IF($C511=0,0,$C511-$D511)</f>
        <v/>
      </c>
      <c r="F511" s="128" t="n"/>
      <c r="G511" s="129" t="n"/>
      <c r="H511" s="131" t="n"/>
      <c r="I511" s="124">
        <f>IF($E511=0,0,$E511*$H511)</f>
        <v/>
      </c>
      <c r="J511" s="124">
        <f>IF($I511=0,0,$I511-$E511)</f>
        <v/>
      </c>
      <c r="K511" s="124">
        <f>IF($J511=0,0,$J511*YenidegerFonOran)</f>
        <v/>
      </c>
      <c r="L511" s="124">
        <f>IF($G511=0,0,$J511/$G511)</f>
        <v/>
      </c>
      <c r="M511" s="124">
        <f>IF($L511=0,0,$L511*YenidegerKurumlarVergiOran)</f>
        <v/>
      </c>
      <c r="N511" s="124">
        <f>IFERROR(IF(YenidegerIskontoOrani=0,$M511*$G511,$M511*(1-1/(1+YenidegerIskontoOrani)^$G511)/YenidegerIskontoOrani),0)</f>
        <v/>
      </c>
      <c r="O511" s="124">
        <f>$N511-$K511</f>
        <v/>
      </c>
      <c r="P511" s="124">
        <f>IF($J511&lt;=0,"DEĞERLENDİR",IF($O511&gt;0,"YENİDEN DEĞERLE","DEĞERLENDİR"))</f>
        <v/>
      </c>
      <c r="Q511" s="124">
        <f>IF($B511="","",CONCATENATE("Kıymet: ",$B511," | Değer Artışı: ",TEXT($J511,"#,##0")))</f>
        <v/>
      </c>
    </row>
    <row r="512" ht="15.75" customHeight="1" s="81">
      <c r="A512" s="129" t="n"/>
      <c r="B512" s="130" t="n"/>
      <c r="C512" s="127" t="n"/>
      <c r="D512" s="127" t="n"/>
      <c r="E512" s="124">
        <f>IF($C512=0,0,$C512-$D512)</f>
        <v/>
      </c>
      <c r="F512" s="128" t="n"/>
      <c r="G512" s="129" t="n"/>
      <c r="H512" s="131" t="n"/>
      <c r="I512" s="124">
        <f>IF($E512=0,0,$E512*$H512)</f>
        <v/>
      </c>
      <c r="J512" s="124">
        <f>IF($I512=0,0,$I512-$E512)</f>
        <v/>
      </c>
      <c r="K512" s="124">
        <f>IF($J512=0,0,$J512*YenidegerFonOran)</f>
        <v/>
      </c>
      <c r="L512" s="124">
        <f>IF($G512=0,0,$J512/$G512)</f>
        <v/>
      </c>
      <c r="M512" s="124">
        <f>IF($L512=0,0,$L512*YenidegerKurumlarVergiOran)</f>
        <v/>
      </c>
      <c r="N512" s="124">
        <f>IFERROR(IF(YenidegerIskontoOrani=0,$M512*$G512,$M512*(1-1/(1+YenidegerIskontoOrani)^$G512)/YenidegerIskontoOrani),0)</f>
        <v/>
      </c>
      <c r="O512" s="124">
        <f>$N512-$K512</f>
        <v/>
      </c>
      <c r="P512" s="124">
        <f>IF($J512&lt;=0,"DEĞERLENDİR",IF($O512&gt;0,"YENİDEN DEĞERLE","DEĞERLENDİR"))</f>
        <v/>
      </c>
      <c r="Q512" s="124">
        <f>IF($B512="","",CONCATENATE("Kıymet: ",$B512," | Değer Artışı: ",TEXT($J512,"#,##0")))</f>
        <v/>
      </c>
    </row>
    <row r="513" ht="15.75" customHeight="1" s="81">
      <c r="A513" s="129" t="n"/>
      <c r="B513" s="130" t="n"/>
      <c r="C513" s="127" t="n"/>
      <c r="D513" s="127" t="n"/>
      <c r="E513" s="124">
        <f>IF($C513=0,0,$C513-$D513)</f>
        <v/>
      </c>
      <c r="F513" s="128" t="n"/>
      <c r="G513" s="129" t="n"/>
      <c r="H513" s="131" t="n"/>
      <c r="I513" s="124">
        <f>IF($E513=0,0,$E513*$H513)</f>
        <v/>
      </c>
      <c r="J513" s="124">
        <f>IF($I513=0,0,$I513-$E513)</f>
        <v/>
      </c>
      <c r="K513" s="124">
        <f>IF($J513=0,0,$J513*YenidegerFonOran)</f>
        <v/>
      </c>
      <c r="L513" s="124">
        <f>IF($G513=0,0,$J513/$G513)</f>
        <v/>
      </c>
      <c r="M513" s="124">
        <f>IF($L513=0,0,$L513*YenidegerKurumlarVergiOran)</f>
        <v/>
      </c>
      <c r="N513" s="124">
        <f>IFERROR(IF(YenidegerIskontoOrani=0,$M513*$G513,$M513*(1-1/(1+YenidegerIskontoOrani)^$G513)/YenidegerIskontoOrani),0)</f>
        <v/>
      </c>
      <c r="O513" s="124">
        <f>$N513-$K513</f>
        <v/>
      </c>
      <c r="P513" s="124">
        <f>IF($J513&lt;=0,"DEĞERLENDİR",IF($O513&gt;0,"YENİDEN DEĞERLE","DEĞERLENDİR"))</f>
        <v/>
      </c>
      <c r="Q513" s="124">
        <f>IF($B513="","",CONCATENATE("Kıymet: ",$B513," | Değer Artışı: ",TEXT($J513,"#,##0")))</f>
        <v/>
      </c>
    </row>
    <row r="514" ht="15.75" customHeight="1" s="81">
      <c r="A514" s="129" t="n"/>
      <c r="B514" s="130" t="n"/>
      <c r="C514" s="127" t="n"/>
      <c r="D514" s="127" t="n"/>
      <c r="E514" s="124">
        <f>IF($C514=0,0,$C514-$D514)</f>
        <v/>
      </c>
      <c r="F514" s="128" t="n"/>
      <c r="G514" s="129" t="n"/>
      <c r="H514" s="131" t="n"/>
      <c r="I514" s="124">
        <f>IF($E514=0,0,$E514*$H514)</f>
        <v/>
      </c>
      <c r="J514" s="124">
        <f>IF($I514=0,0,$I514-$E514)</f>
        <v/>
      </c>
      <c r="K514" s="124">
        <f>IF($J514=0,0,$J514*YenidegerFonOran)</f>
        <v/>
      </c>
      <c r="L514" s="124">
        <f>IF($G514=0,0,$J514/$G514)</f>
        <v/>
      </c>
      <c r="M514" s="124">
        <f>IF($L514=0,0,$L514*YenidegerKurumlarVergiOran)</f>
        <v/>
      </c>
      <c r="N514" s="124">
        <f>IFERROR(IF(YenidegerIskontoOrani=0,$M514*$G514,$M514*(1-1/(1+YenidegerIskontoOrani)^$G514)/YenidegerIskontoOrani),0)</f>
        <v/>
      </c>
      <c r="O514" s="124">
        <f>$N514-$K514</f>
        <v/>
      </c>
      <c r="P514" s="124">
        <f>IF($J514&lt;=0,"DEĞERLENDİR",IF($O514&gt;0,"YENİDEN DEĞERLE","DEĞERLENDİR"))</f>
        <v/>
      </c>
      <c r="Q514" s="124">
        <f>IF($B514="","",CONCATENATE("Kıymet: ",$B514," | Değer Artışı: ",TEXT($J514,"#,##0")))</f>
        <v/>
      </c>
    </row>
    <row r="515" ht="15.75" customHeight="1" s="81">
      <c r="A515" s="129" t="n"/>
      <c r="B515" s="130" t="n"/>
      <c r="C515" s="127" t="n"/>
      <c r="D515" s="127" t="n"/>
      <c r="E515" s="124">
        <f>IF($C515=0,0,$C515-$D515)</f>
        <v/>
      </c>
      <c r="F515" s="128" t="n"/>
      <c r="G515" s="129" t="n"/>
      <c r="H515" s="131" t="n"/>
      <c r="I515" s="124">
        <f>IF($E515=0,0,$E515*$H515)</f>
        <v/>
      </c>
      <c r="J515" s="124">
        <f>IF($I515=0,0,$I515-$E515)</f>
        <v/>
      </c>
      <c r="K515" s="124">
        <f>IF($J515=0,0,$J515*YenidegerFonOran)</f>
        <v/>
      </c>
      <c r="L515" s="124">
        <f>IF($G515=0,0,$J515/$G515)</f>
        <v/>
      </c>
      <c r="M515" s="124">
        <f>IF($L515=0,0,$L515*YenidegerKurumlarVergiOran)</f>
        <v/>
      </c>
      <c r="N515" s="124">
        <f>IFERROR(IF(YenidegerIskontoOrani=0,$M515*$G515,$M515*(1-1/(1+YenidegerIskontoOrani)^$G515)/YenidegerIskontoOrani),0)</f>
        <v/>
      </c>
      <c r="O515" s="124">
        <f>$N515-$K515</f>
        <v/>
      </c>
      <c r="P515" s="124">
        <f>IF($J515&lt;=0,"DEĞERLENDİR",IF($O515&gt;0,"YENİDEN DEĞERLE","DEĞERLENDİR"))</f>
        <v/>
      </c>
      <c r="Q515" s="124">
        <f>IF($B515="","",CONCATENATE("Kıymet: ",$B515," | Değer Artışı: ",TEXT($J515,"#,##0")))</f>
        <v/>
      </c>
    </row>
    <row r="516" ht="15.75" customHeight="1" s="81">
      <c r="A516" s="129" t="n"/>
      <c r="B516" s="130" t="n"/>
      <c r="C516" s="127" t="n"/>
      <c r="D516" s="127" t="n"/>
      <c r="E516" s="124">
        <f>IF($C516=0,0,$C516-$D516)</f>
        <v/>
      </c>
      <c r="F516" s="128" t="n"/>
      <c r="G516" s="129" t="n"/>
      <c r="H516" s="131" t="n"/>
      <c r="I516" s="124">
        <f>IF($E516=0,0,$E516*$H516)</f>
        <v/>
      </c>
      <c r="J516" s="124">
        <f>IF($I516=0,0,$I516-$E516)</f>
        <v/>
      </c>
      <c r="K516" s="124">
        <f>IF($J516=0,0,$J516*YenidegerFonOran)</f>
        <v/>
      </c>
      <c r="L516" s="124">
        <f>IF($G516=0,0,$J516/$G516)</f>
        <v/>
      </c>
      <c r="M516" s="124">
        <f>IF($L516=0,0,$L516*YenidegerKurumlarVergiOran)</f>
        <v/>
      </c>
      <c r="N516" s="124">
        <f>IFERROR(IF(YenidegerIskontoOrani=0,$M516*$G516,$M516*(1-1/(1+YenidegerIskontoOrani)^$G516)/YenidegerIskontoOrani),0)</f>
        <v/>
      </c>
      <c r="O516" s="124">
        <f>$N516-$K516</f>
        <v/>
      </c>
      <c r="P516" s="124">
        <f>IF($J516&lt;=0,"DEĞERLENDİR",IF($O516&gt;0,"YENİDEN DEĞERLE","DEĞERLENDİR"))</f>
        <v/>
      </c>
      <c r="Q516" s="124">
        <f>IF($B516="","",CONCATENATE("Kıymet: ",$B516," | Değer Artışı: ",TEXT($J516,"#,##0")))</f>
        <v/>
      </c>
    </row>
    <row r="517" ht="15.75" customHeight="1" s="81">
      <c r="A517" s="129" t="n"/>
      <c r="B517" s="130" t="n"/>
      <c r="C517" s="127" t="n"/>
      <c r="D517" s="127" t="n"/>
      <c r="E517" s="124">
        <f>IF($C517=0,0,$C517-$D517)</f>
        <v/>
      </c>
      <c r="F517" s="128" t="n"/>
      <c r="G517" s="129" t="n"/>
      <c r="H517" s="131" t="n"/>
      <c r="I517" s="124">
        <f>IF($E517=0,0,$E517*$H517)</f>
        <v/>
      </c>
      <c r="J517" s="124">
        <f>IF($I517=0,0,$I517-$E517)</f>
        <v/>
      </c>
      <c r="K517" s="124">
        <f>IF($J517=0,0,$J517*YenidegerFonOran)</f>
        <v/>
      </c>
      <c r="L517" s="124">
        <f>IF($G517=0,0,$J517/$G517)</f>
        <v/>
      </c>
      <c r="M517" s="124">
        <f>IF($L517=0,0,$L517*YenidegerKurumlarVergiOran)</f>
        <v/>
      </c>
      <c r="N517" s="124">
        <f>IFERROR(IF(YenidegerIskontoOrani=0,$M517*$G517,$M517*(1-1/(1+YenidegerIskontoOrani)^$G517)/YenidegerIskontoOrani),0)</f>
        <v/>
      </c>
      <c r="O517" s="124">
        <f>$N517-$K517</f>
        <v/>
      </c>
      <c r="P517" s="124">
        <f>IF($J517&lt;=0,"DEĞERLENDİR",IF($O517&gt;0,"YENİDEN DEĞERLE","DEĞERLENDİR"))</f>
        <v/>
      </c>
      <c r="Q517" s="124">
        <f>IF($B517="","",CONCATENATE("Kıymet: ",$B517," | Değer Artışı: ",TEXT($J517,"#,##0")))</f>
        <v/>
      </c>
    </row>
    <row r="518" ht="15.75" customHeight="1" s="81">
      <c r="A518" s="129" t="n"/>
      <c r="B518" s="130" t="n"/>
      <c r="C518" s="127" t="n"/>
      <c r="D518" s="127" t="n"/>
      <c r="E518" s="124">
        <f>IF($C518=0,0,$C518-$D518)</f>
        <v/>
      </c>
      <c r="F518" s="128" t="n"/>
      <c r="G518" s="129" t="n"/>
      <c r="H518" s="131" t="n"/>
      <c r="I518" s="124">
        <f>IF($E518=0,0,$E518*$H518)</f>
        <v/>
      </c>
      <c r="J518" s="124">
        <f>IF($I518=0,0,$I518-$E518)</f>
        <v/>
      </c>
      <c r="K518" s="124">
        <f>IF($J518=0,0,$J518*YenidegerFonOran)</f>
        <v/>
      </c>
      <c r="L518" s="124">
        <f>IF($G518=0,0,$J518/$G518)</f>
        <v/>
      </c>
      <c r="M518" s="124">
        <f>IF($L518=0,0,$L518*YenidegerKurumlarVergiOran)</f>
        <v/>
      </c>
      <c r="N518" s="124">
        <f>IFERROR(IF(YenidegerIskontoOrani=0,$M518*$G518,$M518*(1-1/(1+YenidegerIskontoOrani)^$G518)/YenidegerIskontoOrani),0)</f>
        <v/>
      </c>
      <c r="O518" s="124">
        <f>$N518-$K518</f>
        <v/>
      </c>
      <c r="P518" s="124">
        <f>IF($J518&lt;=0,"DEĞERLENDİR",IF($O518&gt;0,"YENİDEN DEĞERLE","DEĞERLENDİR"))</f>
        <v/>
      </c>
      <c r="Q518" s="124">
        <f>IF($B518="","",CONCATENATE("Kıymet: ",$B518," | Değer Artışı: ",TEXT($J518,"#,##0")))</f>
        <v/>
      </c>
    </row>
    <row r="519" ht="15.75" customHeight="1" s="81">
      <c r="A519" s="129" t="n"/>
      <c r="B519" s="130" t="n"/>
      <c r="C519" s="127" t="n"/>
      <c r="D519" s="127" t="n"/>
      <c r="E519" s="124">
        <f>IF($C519=0,0,$C519-$D519)</f>
        <v/>
      </c>
      <c r="F519" s="128" t="n"/>
      <c r="G519" s="129" t="n"/>
      <c r="H519" s="131" t="n"/>
      <c r="I519" s="124">
        <f>IF($E519=0,0,$E519*$H519)</f>
        <v/>
      </c>
      <c r="J519" s="124">
        <f>IF($I519=0,0,$I519-$E519)</f>
        <v/>
      </c>
      <c r="K519" s="124">
        <f>IF($J519=0,0,$J519*YenidegerFonOran)</f>
        <v/>
      </c>
      <c r="L519" s="124">
        <f>IF($G519=0,0,$J519/$G519)</f>
        <v/>
      </c>
      <c r="M519" s="124">
        <f>IF($L519=0,0,$L519*YenidegerKurumlarVergiOran)</f>
        <v/>
      </c>
      <c r="N519" s="124">
        <f>IFERROR(IF(YenidegerIskontoOrani=0,$M519*$G519,$M519*(1-1/(1+YenidegerIskontoOrani)^$G519)/YenidegerIskontoOrani),0)</f>
        <v/>
      </c>
      <c r="O519" s="124">
        <f>$N519-$K519</f>
        <v/>
      </c>
      <c r="P519" s="124">
        <f>IF($J519&lt;=0,"DEĞERLENDİR",IF($O519&gt;0,"YENİDEN DEĞERLE","DEĞERLENDİR"))</f>
        <v/>
      </c>
      <c r="Q519" s="124">
        <f>IF($B519="","",CONCATENATE("Kıymet: ",$B519," | Değer Artışı: ",TEXT($J519,"#,##0")))</f>
        <v/>
      </c>
    </row>
    <row r="520" ht="15.75" customHeight="1" s="81">
      <c r="A520" s="129" t="n"/>
      <c r="B520" s="130" t="n"/>
      <c r="C520" s="127" t="n"/>
      <c r="D520" s="127" t="n"/>
      <c r="E520" s="124">
        <f>IF($C520=0,0,$C520-$D520)</f>
        <v/>
      </c>
      <c r="F520" s="128" t="n"/>
      <c r="G520" s="129" t="n"/>
      <c r="H520" s="131" t="n"/>
      <c r="I520" s="124">
        <f>IF($E520=0,0,$E520*$H520)</f>
        <v/>
      </c>
      <c r="J520" s="124">
        <f>IF($I520=0,0,$I520-$E520)</f>
        <v/>
      </c>
      <c r="K520" s="124">
        <f>IF($J520=0,0,$J520*YenidegerFonOran)</f>
        <v/>
      </c>
      <c r="L520" s="124">
        <f>IF($G520=0,0,$J520/$G520)</f>
        <v/>
      </c>
      <c r="M520" s="124">
        <f>IF($L520=0,0,$L520*YenidegerKurumlarVergiOran)</f>
        <v/>
      </c>
      <c r="N520" s="124">
        <f>IFERROR(IF(YenidegerIskontoOrani=0,$M520*$G520,$M520*(1-1/(1+YenidegerIskontoOrani)^$G520)/YenidegerIskontoOrani),0)</f>
        <v/>
      </c>
      <c r="O520" s="124">
        <f>$N520-$K520</f>
        <v/>
      </c>
      <c r="P520" s="124">
        <f>IF($J520&lt;=0,"DEĞERLENDİR",IF($O520&gt;0,"YENİDEN DEĞERLE","DEĞERLENDİR"))</f>
        <v/>
      </c>
      <c r="Q520" s="124">
        <f>IF($B520="","",CONCATENATE("Kıymet: ",$B520," | Değer Artışı: ",TEXT($J520,"#,##0")))</f>
        <v/>
      </c>
    </row>
    <row r="521" ht="15.75" customHeight="1" s="81">
      <c r="A521" s="129" t="n"/>
      <c r="B521" s="130" t="n"/>
      <c r="C521" s="127" t="n"/>
      <c r="D521" s="127" t="n"/>
      <c r="E521" s="124">
        <f>IF($C521=0,0,$C521-$D521)</f>
        <v/>
      </c>
      <c r="F521" s="128" t="n"/>
      <c r="G521" s="129" t="n"/>
      <c r="H521" s="131" t="n"/>
      <c r="I521" s="124">
        <f>IF($E521=0,0,$E521*$H521)</f>
        <v/>
      </c>
      <c r="J521" s="124">
        <f>IF($I521=0,0,$I521-$E521)</f>
        <v/>
      </c>
      <c r="K521" s="124">
        <f>IF($J521=0,0,$J521*YenidegerFonOran)</f>
        <v/>
      </c>
      <c r="L521" s="124">
        <f>IF($G521=0,0,$J521/$G521)</f>
        <v/>
      </c>
      <c r="M521" s="124">
        <f>IF($L521=0,0,$L521*YenidegerKurumlarVergiOran)</f>
        <v/>
      </c>
      <c r="N521" s="124">
        <f>IFERROR(IF(YenidegerIskontoOrani=0,$M521*$G521,$M521*(1-1/(1+YenidegerIskontoOrani)^$G521)/YenidegerIskontoOrani),0)</f>
        <v/>
      </c>
      <c r="O521" s="124">
        <f>$N521-$K521</f>
        <v/>
      </c>
      <c r="P521" s="124">
        <f>IF($J521&lt;=0,"DEĞERLENDİR",IF($O521&gt;0,"YENİDEN DEĞERLE","DEĞERLENDİR"))</f>
        <v/>
      </c>
      <c r="Q521" s="124">
        <f>IF($B521="","",CONCATENATE("Kıymet: ",$B521," | Değer Artışı: ",TEXT($J521,"#,##0")))</f>
        <v/>
      </c>
    </row>
    <row r="522" ht="15.75" customHeight="1" s="81">
      <c r="A522" s="129" t="n"/>
      <c r="B522" s="130" t="n"/>
      <c r="C522" s="127" t="n"/>
      <c r="D522" s="127" t="n"/>
      <c r="E522" s="124">
        <f>IF($C522=0,0,$C522-$D522)</f>
        <v/>
      </c>
      <c r="F522" s="128" t="n"/>
      <c r="G522" s="129" t="n"/>
      <c r="H522" s="131" t="n"/>
      <c r="I522" s="124">
        <f>IF($E522=0,0,$E522*$H522)</f>
        <v/>
      </c>
      <c r="J522" s="124">
        <f>IF($I522=0,0,$I522-$E522)</f>
        <v/>
      </c>
      <c r="K522" s="124">
        <f>IF($J522=0,0,$J522*YenidegerFonOran)</f>
        <v/>
      </c>
      <c r="L522" s="124">
        <f>IF($G522=0,0,$J522/$G522)</f>
        <v/>
      </c>
      <c r="M522" s="124">
        <f>IF($L522=0,0,$L522*YenidegerKurumlarVergiOran)</f>
        <v/>
      </c>
      <c r="N522" s="124">
        <f>IFERROR(IF(YenidegerIskontoOrani=0,$M522*$G522,$M522*(1-1/(1+YenidegerIskontoOrani)^$G522)/YenidegerIskontoOrani),0)</f>
        <v/>
      </c>
      <c r="O522" s="124">
        <f>$N522-$K522</f>
        <v/>
      </c>
      <c r="P522" s="124">
        <f>IF($J522&lt;=0,"DEĞERLENDİR",IF($O522&gt;0,"YENİDEN DEĞERLE","DEĞERLENDİR"))</f>
        <v/>
      </c>
      <c r="Q522" s="124">
        <f>IF($B522="","",CONCATENATE("Kıymet: ",$B522," | Değer Artışı: ",TEXT($J522,"#,##0")))</f>
        <v/>
      </c>
    </row>
    <row r="523" ht="15.75" customHeight="1" s="81">
      <c r="A523" s="129" t="n"/>
      <c r="B523" s="130" t="n"/>
      <c r="C523" s="127" t="n"/>
      <c r="D523" s="127" t="n"/>
      <c r="E523" s="124">
        <f>IF($C523=0,0,$C523-$D523)</f>
        <v/>
      </c>
      <c r="F523" s="128" t="n"/>
      <c r="G523" s="129" t="n"/>
      <c r="H523" s="131" t="n"/>
      <c r="I523" s="124">
        <f>IF($E523=0,0,$E523*$H523)</f>
        <v/>
      </c>
      <c r="J523" s="124">
        <f>IF($I523=0,0,$I523-$E523)</f>
        <v/>
      </c>
      <c r="K523" s="124">
        <f>IF($J523=0,0,$J523*YenidegerFonOran)</f>
        <v/>
      </c>
      <c r="L523" s="124">
        <f>IF($G523=0,0,$J523/$G523)</f>
        <v/>
      </c>
      <c r="M523" s="124">
        <f>IF($L523=0,0,$L523*YenidegerKurumlarVergiOran)</f>
        <v/>
      </c>
      <c r="N523" s="124">
        <f>IFERROR(IF(YenidegerIskontoOrani=0,$M523*$G523,$M523*(1-1/(1+YenidegerIskontoOrani)^$G523)/YenidegerIskontoOrani),0)</f>
        <v/>
      </c>
      <c r="O523" s="124">
        <f>$N523-$K523</f>
        <v/>
      </c>
      <c r="P523" s="124">
        <f>IF($J523&lt;=0,"DEĞERLENDİR",IF($O523&gt;0,"YENİDEN DEĞERLE","DEĞERLENDİR"))</f>
        <v/>
      </c>
      <c r="Q523" s="124">
        <f>IF($B523="","",CONCATENATE("Kıymet: ",$B523," | Değer Artışı: ",TEXT($J523,"#,##0")))</f>
        <v/>
      </c>
    </row>
    <row r="524" ht="15.75" customHeight="1" s="81">
      <c r="A524" s="129" t="n"/>
      <c r="B524" s="130" t="n"/>
      <c r="C524" s="127" t="n"/>
      <c r="D524" s="127" t="n"/>
      <c r="E524" s="124">
        <f>IF($C524=0,0,$C524-$D524)</f>
        <v/>
      </c>
      <c r="F524" s="128" t="n"/>
      <c r="G524" s="129" t="n"/>
      <c r="H524" s="131" t="n"/>
      <c r="I524" s="124">
        <f>IF($E524=0,0,$E524*$H524)</f>
        <v/>
      </c>
      <c r="J524" s="124">
        <f>IF($I524=0,0,$I524-$E524)</f>
        <v/>
      </c>
      <c r="K524" s="124">
        <f>IF($J524=0,0,$J524*YenidegerFonOran)</f>
        <v/>
      </c>
      <c r="L524" s="124">
        <f>IF($G524=0,0,$J524/$G524)</f>
        <v/>
      </c>
      <c r="M524" s="124">
        <f>IF($L524=0,0,$L524*YenidegerKurumlarVergiOran)</f>
        <v/>
      </c>
      <c r="N524" s="124">
        <f>IFERROR(IF(YenidegerIskontoOrani=0,$M524*$G524,$M524*(1-1/(1+YenidegerIskontoOrani)^$G524)/YenidegerIskontoOrani),0)</f>
        <v/>
      </c>
      <c r="O524" s="124">
        <f>$N524-$K524</f>
        <v/>
      </c>
      <c r="P524" s="124">
        <f>IF($J524&lt;=0,"DEĞERLENDİR",IF($O524&gt;0,"YENİDEN DEĞERLE","DEĞERLENDİR"))</f>
        <v/>
      </c>
      <c r="Q524" s="124">
        <f>IF($B524="","",CONCATENATE("Kıymet: ",$B524," | Değer Artışı: ",TEXT($J524,"#,##0")))</f>
        <v/>
      </c>
    </row>
    <row r="525" ht="15.75" customHeight="1" s="81">
      <c r="A525" s="129" t="n"/>
      <c r="B525" s="130" t="n"/>
      <c r="C525" s="127" t="n"/>
      <c r="D525" s="127" t="n"/>
      <c r="E525" s="124">
        <f>IF($C525=0,0,$C525-$D525)</f>
        <v/>
      </c>
      <c r="F525" s="128" t="n"/>
      <c r="G525" s="129" t="n"/>
      <c r="H525" s="131" t="n"/>
      <c r="I525" s="124">
        <f>IF($E525=0,0,$E525*$H525)</f>
        <v/>
      </c>
      <c r="J525" s="124">
        <f>IF($I525=0,0,$I525-$E525)</f>
        <v/>
      </c>
      <c r="K525" s="124">
        <f>IF($J525=0,0,$J525*YenidegerFonOran)</f>
        <v/>
      </c>
      <c r="L525" s="124">
        <f>IF($G525=0,0,$J525/$G525)</f>
        <v/>
      </c>
      <c r="M525" s="124">
        <f>IF($L525=0,0,$L525*YenidegerKurumlarVergiOran)</f>
        <v/>
      </c>
      <c r="N525" s="124">
        <f>IFERROR(IF(YenidegerIskontoOrani=0,$M525*$G525,$M525*(1-1/(1+YenidegerIskontoOrani)^$G525)/YenidegerIskontoOrani),0)</f>
        <v/>
      </c>
      <c r="O525" s="124">
        <f>$N525-$K525</f>
        <v/>
      </c>
      <c r="P525" s="124">
        <f>IF($J525&lt;=0,"DEĞERLENDİR",IF($O525&gt;0,"YENİDEN DEĞERLE","DEĞERLENDİR"))</f>
        <v/>
      </c>
      <c r="Q525" s="124">
        <f>IF($B525="","",CONCATENATE("Kıymet: ",$B525," | Değer Artışı: ",TEXT($J525,"#,##0")))</f>
        <v/>
      </c>
    </row>
    <row r="526" ht="15.75" customHeight="1" s="81">
      <c r="A526" s="129" t="n"/>
      <c r="B526" s="130" t="n"/>
      <c r="C526" s="127" t="n"/>
      <c r="D526" s="127" t="n"/>
      <c r="E526" s="124">
        <f>IF($C526=0,0,$C526-$D526)</f>
        <v/>
      </c>
      <c r="F526" s="128" t="n"/>
      <c r="G526" s="129" t="n"/>
      <c r="H526" s="131" t="n"/>
      <c r="I526" s="124">
        <f>IF($E526=0,0,$E526*$H526)</f>
        <v/>
      </c>
      <c r="J526" s="124">
        <f>IF($I526=0,0,$I526-$E526)</f>
        <v/>
      </c>
      <c r="K526" s="124">
        <f>IF($J526=0,0,$J526*YenidegerFonOran)</f>
        <v/>
      </c>
      <c r="L526" s="124">
        <f>IF($G526=0,0,$J526/$G526)</f>
        <v/>
      </c>
      <c r="M526" s="124">
        <f>IF($L526=0,0,$L526*YenidegerKurumlarVergiOran)</f>
        <v/>
      </c>
      <c r="N526" s="124">
        <f>IFERROR(IF(YenidegerIskontoOrani=0,$M526*$G526,$M526*(1-1/(1+YenidegerIskontoOrani)^$G526)/YenidegerIskontoOrani),0)</f>
        <v/>
      </c>
      <c r="O526" s="124">
        <f>$N526-$K526</f>
        <v/>
      </c>
      <c r="P526" s="124">
        <f>IF($J526&lt;=0,"DEĞERLENDİR",IF($O526&gt;0,"YENİDEN DEĞERLE","DEĞERLENDİR"))</f>
        <v/>
      </c>
      <c r="Q526" s="124">
        <f>IF($B526="","",CONCATENATE("Kıymet: ",$B526," | Değer Artışı: ",TEXT($J526,"#,##0")))</f>
        <v/>
      </c>
    </row>
    <row r="527" ht="15.75" customHeight="1" s="81">
      <c r="A527" s="129" t="n"/>
      <c r="B527" s="130" t="n"/>
      <c r="C527" s="127" t="n"/>
      <c r="D527" s="127" t="n"/>
      <c r="E527" s="124">
        <f>IF($C527=0,0,$C527-$D527)</f>
        <v/>
      </c>
      <c r="F527" s="128" t="n"/>
      <c r="G527" s="129" t="n"/>
      <c r="H527" s="131" t="n"/>
      <c r="I527" s="124">
        <f>IF($E527=0,0,$E527*$H527)</f>
        <v/>
      </c>
      <c r="J527" s="124">
        <f>IF($I527=0,0,$I527-$E527)</f>
        <v/>
      </c>
      <c r="K527" s="124">
        <f>IF($J527=0,0,$J527*YenidegerFonOran)</f>
        <v/>
      </c>
      <c r="L527" s="124">
        <f>IF($G527=0,0,$J527/$G527)</f>
        <v/>
      </c>
      <c r="M527" s="124">
        <f>IF($L527=0,0,$L527*YenidegerKurumlarVergiOran)</f>
        <v/>
      </c>
      <c r="N527" s="124">
        <f>IFERROR(IF(YenidegerIskontoOrani=0,$M527*$G527,$M527*(1-1/(1+YenidegerIskontoOrani)^$G527)/YenidegerIskontoOrani),0)</f>
        <v/>
      </c>
      <c r="O527" s="124">
        <f>$N527-$K527</f>
        <v/>
      </c>
      <c r="P527" s="124">
        <f>IF($J527&lt;=0,"DEĞERLENDİR",IF($O527&gt;0,"YENİDEN DEĞERLE","DEĞERLENDİR"))</f>
        <v/>
      </c>
      <c r="Q527" s="124">
        <f>IF($B527="","",CONCATENATE("Kıymet: ",$B527," | Değer Artışı: ",TEXT($J527,"#,##0")))</f>
        <v/>
      </c>
    </row>
    <row r="528" ht="15.75" customHeight="1" s="81">
      <c r="A528" s="129" t="n"/>
      <c r="B528" s="130" t="n"/>
      <c r="C528" s="127" t="n"/>
      <c r="D528" s="127" t="n"/>
      <c r="E528" s="124">
        <f>IF($C528=0,0,$C528-$D528)</f>
        <v/>
      </c>
      <c r="F528" s="128" t="n"/>
      <c r="G528" s="129" t="n"/>
      <c r="H528" s="131" t="n"/>
      <c r="I528" s="124">
        <f>IF($E528=0,0,$E528*$H528)</f>
        <v/>
      </c>
      <c r="J528" s="124">
        <f>IF($I528=0,0,$I528-$E528)</f>
        <v/>
      </c>
      <c r="K528" s="124">
        <f>IF($J528=0,0,$J528*YenidegerFonOran)</f>
        <v/>
      </c>
      <c r="L528" s="124">
        <f>IF($G528=0,0,$J528/$G528)</f>
        <v/>
      </c>
      <c r="M528" s="124">
        <f>IF($L528=0,0,$L528*YenidegerKurumlarVergiOran)</f>
        <v/>
      </c>
      <c r="N528" s="124">
        <f>IFERROR(IF(YenidegerIskontoOrani=0,$M528*$G528,$M528*(1-1/(1+YenidegerIskontoOrani)^$G528)/YenidegerIskontoOrani),0)</f>
        <v/>
      </c>
      <c r="O528" s="124">
        <f>$N528-$K528</f>
        <v/>
      </c>
      <c r="P528" s="124">
        <f>IF($J528&lt;=0,"DEĞERLENDİR",IF($O528&gt;0,"YENİDEN DEĞERLE","DEĞERLENDİR"))</f>
        <v/>
      </c>
      <c r="Q528" s="124">
        <f>IF($B528="","",CONCATENATE("Kıymet: ",$B528," | Değer Artışı: ",TEXT($J528,"#,##0")))</f>
        <v/>
      </c>
    </row>
    <row r="529" ht="15.75" customHeight="1" s="81">
      <c r="A529" s="129" t="n"/>
      <c r="B529" s="130" t="n"/>
      <c r="C529" s="127" t="n"/>
      <c r="D529" s="127" t="n"/>
      <c r="E529" s="124">
        <f>IF($C529=0,0,$C529-$D529)</f>
        <v/>
      </c>
      <c r="F529" s="128" t="n"/>
      <c r="G529" s="129" t="n"/>
      <c r="H529" s="131" t="n"/>
      <c r="I529" s="124">
        <f>IF($E529=0,0,$E529*$H529)</f>
        <v/>
      </c>
      <c r="J529" s="124">
        <f>IF($I529=0,0,$I529-$E529)</f>
        <v/>
      </c>
      <c r="K529" s="124">
        <f>IF($J529=0,0,$J529*YenidegerFonOran)</f>
        <v/>
      </c>
      <c r="L529" s="124">
        <f>IF($G529=0,0,$J529/$G529)</f>
        <v/>
      </c>
      <c r="M529" s="124">
        <f>IF($L529=0,0,$L529*YenidegerKurumlarVergiOran)</f>
        <v/>
      </c>
      <c r="N529" s="124">
        <f>IFERROR(IF(YenidegerIskontoOrani=0,$M529*$G529,$M529*(1-1/(1+YenidegerIskontoOrani)^$G529)/YenidegerIskontoOrani),0)</f>
        <v/>
      </c>
      <c r="O529" s="124">
        <f>$N529-$K529</f>
        <v/>
      </c>
      <c r="P529" s="124">
        <f>IF($J529&lt;=0,"DEĞERLENDİR",IF($O529&gt;0,"YENİDEN DEĞERLE","DEĞERLENDİR"))</f>
        <v/>
      </c>
      <c r="Q529" s="124">
        <f>IF($B529="","",CONCATENATE("Kıymet: ",$B529," | Değer Artışı: ",TEXT($J529,"#,##0")))</f>
        <v/>
      </c>
    </row>
    <row r="530" ht="15.75" customHeight="1" s="81">
      <c r="A530" s="129" t="n"/>
      <c r="B530" s="130" t="n"/>
      <c r="C530" s="127" t="n"/>
      <c r="D530" s="127" t="n"/>
      <c r="E530" s="124">
        <f>IF($C530=0,0,$C530-$D530)</f>
        <v/>
      </c>
      <c r="F530" s="128" t="n"/>
      <c r="G530" s="129" t="n"/>
      <c r="H530" s="131" t="n"/>
      <c r="I530" s="124">
        <f>IF($E530=0,0,$E530*$H530)</f>
        <v/>
      </c>
      <c r="J530" s="124">
        <f>IF($I530=0,0,$I530-$E530)</f>
        <v/>
      </c>
      <c r="K530" s="124">
        <f>IF($J530=0,0,$J530*YenidegerFonOran)</f>
        <v/>
      </c>
      <c r="L530" s="124">
        <f>IF($G530=0,0,$J530/$G530)</f>
        <v/>
      </c>
      <c r="M530" s="124">
        <f>IF($L530=0,0,$L530*YenidegerKurumlarVergiOran)</f>
        <v/>
      </c>
      <c r="N530" s="124">
        <f>IFERROR(IF(YenidegerIskontoOrani=0,$M530*$G530,$M530*(1-1/(1+YenidegerIskontoOrani)^$G530)/YenidegerIskontoOrani),0)</f>
        <v/>
      </c>
      <c r="O530" s="124">
        <f>$N530-$K530</f>
        <v/>
      </c>
      <c r="P530" s="124">
        <f>IF($J530&lt;=0,"DEĞERLENDİR",IF($O530&gt;0,"YENİDEN DEĞERLE","DEĞERLENDİR"))</f>
        <v/>
      </c>
      <c r="Q530" s="124">
        <f>IF($B530="","",CONCATENATE("Kıymet: ",$B530," | Değer Artışı: ",TEXT($J530,"#,##0")))</f>
        <v/>
      </c>
    </row>
    <row r="531" ht="15.75" customHeight="1" s="81">
      <c r="A531" s="129" t="n"/>
      <c r="B531" s="130" t="n"/>
      <c r="C531" s="127" t="n"/>
      <c r="D531" s="127" t="n"/>
      <c r="E531" s="124">
        <f>IF($C531=0,0,$C531-$D531)</f>
        <v/>
      </c>
      <c r="F531" s="128" t="n"/>
      <c r="G531" s="129" t="n"/>
      <c r="H531" s="131" t="n"/>
      <c r="I531" s="124">
        <f>IF($E531=0,0,$E531*$H531)</f>
        <v/>
      </c>
      <c r="J531" s="124">
        <f>IF($I531=0,0,$I531-$E531)</f>
        <v/>
      </c>
      <c r="K531" s="124">
        <f>IF($J531=0,0,$J531*YenidegerFonOran)</f>
        <v/>
      </c>
      <c r="L531" s="124">
        <f>IF($G531=0,0,$J531/$G531)</f>
        <v/>
      </c>
      <c r="M531" s="124">
        <f>IF($L531=0,0,$L531*YenidegerKurumlarVergiOran)</f>
        <v/>
      </c>
      <c r="N531" s="124">
        <f>IFERROR(IF(YenidegerIskontoOrani=0,$M531*$G531,$M531*(1-1/(1+YenidegerIskontoOrani)^$G531)/YenidegerIskontoOrani),0)</f>
        <v/>
      </c>
      <c r="O531" s="124">
        <f>$N531-$K531</f>
        <v/>
      </c>
      <c r="P531" s="124">
        <f>IF($J531&lt;=0,"DEĞERLENDİR",IF($O531&gt;0,"YENİDEN DEĞERLE","DEĞERLENDİR"))</f>
        <v/>
      </c>
      <c r="Q531" s="124">
        <f>IF($B531="","",CONCATENATE("Kıymet: ",$B531," | Değer Artışı: ",TEXT($J531,"#,##0")))</f>
        <v/>
      </c>
    </row>
    <row r="532" ht="15.75" customHeight="1" s="81">
      <c r="A532" s="129" t="n"/>
      <c r="B532" s="130" t="n"/>
      <c r="C532" s="127" t="n"/>
      <c r="D532" s="127" t="n"/>
      <c r="E532" s="124">
        <f>IF($C532=0,0,$C532-$D532)</f>
        <v/>
      </c>
      <c r="F532" s="128" t="n"/>
      <c r="G532" s="129" t="n"/>
      <c r="H532" s="131" t="n"/>
      <c r="I532" s="124">
        <f>IF($E532=0,0,$E532*$H532)</f>
        <v/>
      </c>
      <c r="J532" s="124">
        <f>IF($I532=0,0,$I532-$E532)</f>
        <v/>
      </c>
      <c r="K532" s="124">
        <f>IF($J532=0,0,$J532*YenidegerFonOran)</f>
        <v/>
      </c>
      <c r="L532" s="124">
        <f>IF($G532=0,0,$J532/$G532)</f>
        <v/>
      </c>
      <c r="M532" s="124">
        <f>IF($L532=0,0,$L532*YenidegerKurumlarVergiOran)</f>
        <v/>
      </c>
      <c r="N532" s="124">
        <f>IFERROR(IF(YenidegerIskontoOrani=0,$M532*$G532,$M532*(1-1/(1+YenidegerIskontoOrani)^$G532)/YenidegerIskontoOrani),0)</f>
        <v/>
      </c>
      <c r="O532" s="124">
        <f>$N532-$K532</f>
        <v/>
      </c>
      <c r="P532" s="124">
        <f>IF($J532&lt;=0,"DEĞERLENDİR",IF($O532&gt;0,"YENİDEN DEĞERLE","DEĞERLENDİR"))</f>
        <v/>
      </c>
      <c r="Q532" s="124">
        <f>IF($B532="","",CONCATENATE("Kıymet: ",$B532," | Değer Artışı: ",TEXT($J532,"#,##0")))</f>
        <v/>
      </c>
    </row>
    <row r="533" ht="15.75" customHeight="1" s="81">
      <c r="A533" s="129" t="n"/>
      <c r="B533" s="130" t="n"/>
      <c r="C533" s="127" t="n"/>
      <c r="D533" s="127" t="n"/>
      <c r="E533" s="124">
        <f>IF($C533=0,0,$C533-$D533)</f>
        <v/>
      </c>
      <c r="F533" s="128" t="n"/>
      <c r="G533" s="129" t="n"/>
      <c r="H533" s="131" t="n"/>
      <c r="I533" s="124">
        <f>IF($E533=0,0,$E533*$H533)</f>
        <v/>
      </c>
      <c r="J533" s="124">
        <f>IF($I533=0,0,$I533-$E533)</f>
        <v/>
      </c>
      <c r="K533" s="124">
        <f>IF($J533=0,0,$J533*YenidegerFonOran)</f>
        <v/>
      </c>
      <c r="L533" s="124">
        <f>IF($G533=0,0,$J533/$G533)</f>
        <v/>
      </c>
      <c r="M533" s="124">
        <f>IF($L533=0,0,$L533*YenidegerKurumlarVergiOran)</f>
        <v/>
      </c>
      <c r="N533" s="124">
        <f>IFERROR(IF(YenidegerIskontoOrani=0,$M533*$G533,$M533*(1-1/(1+YenidegerIskontoOrani)^$G533)/YenidegerIskontoOrani),0)</f>
        <v/>
      </c>
      <c r="O533" s="124">
        <f>$N533-$K533</f>
        <v/>
      </c>
      <c r="P533" s="124">
        <f>IF($J533&lt;=0,"DEĞERLENDİR",IF($O533&gt;0,"YENİDEN DEĞERLE","DEĞERLENDİR"))</f>
        <v/>
      </c>
      <c r="Q533" s="124">
        <f>IF($B533="","",CONCATENATE("Kıymet: ",$B533," | Değer Artışı: ",TEXT($J533,"#,##0")))</f>
        <v/>
      </c>
    </row>
    <row r="534" ht="15.75" customHeight="1" s="81">
      <c r="A534" s="129" t="n"/>
      <c r="B534" s="130" t="n"/>
      <c r="C534" s="127" t="n"/>
      <c r="D534" s="127" t="n"/>
      <c r="E534" s="124">
        <f>IF($C534=0,0,$C534-$D534)</f>
        <v/>
      </c>
      <c r="F534" s="128" t="n"/>
      <c r="G534" s="129" t="n"/>
      <c r="H534" s="131" t="n"/>
      <c r="I534" s="124">
        <f>IF($E534=0,0,$E534*$H534)</f>
        <v/>
      </c>
      <c r="J534" s="124">
        <f>IF($I534=0,0,$I534-$E534)</f>
        <v/>
      </c>
      <c r="K534" s="124">
        <f>IF($J534=0,0,$J534*YenidegerFonOran)</f>
        <v/>
      </c>
      <c r="L534" s="124">
        <f>IF($G534=0,0,$J534/$G534)</f>
        <v/>
      </c>
      <c r="M534" s="124">
        <f>IF($L534=0,0,$L534*YenidegerKurumlarVergiOran)</f>
        <v/>
      </c>
      <c r="N534" s="124">
        <f>IFERROR(IF(YenidegerIskontoOrani=0,$M534*$G534,$M534*(1-1/(1+YenidegerIskontoOrani)^$G534)/YenidegerIskontoOrani),0)</f>
        <v/>
      </c>
      <c r="O534" s="124">
        <f>$N534-$K534</f>
        <v/>
      </c>
      <c r="P534" s="124">
        <f>IF($J534&lt;=0,"DEĞERLENDİR",IF($O534&gt;0,"YENİDEN DEĞERLE","DEĞERLENDİR"))</f>
        <v/>
      </c>
      <c r="Q534" s="124">
        <f>IF($B534="","",CONCATENATE("Kıymet: ",$B534," | Değer Artışı: ",TEXT($J534,"#,##0")))</f>
        <v/>
      </c>
    </row>
    <row r="535" ht="15.75" customHeight="1" s="81">
      <c r="A535" s="129" t="n"/>
      <c r="B535" s="130" t="n"/>
      <c r="C535" s="127" t="n"/>
      <c r="D535" s="127" t="n"/>
      <c r="E535" s="124">
        <f>IF($C535=0,0,$C535-$D535)</f>
        <v/>
      </c>
      <c r="F535" s="128" t="n"/>
      <c r="G535" s="129" t="n"/>
      <c r="H535" s="131" t="n"/>
      <c r="I535" s="124">
        <f>IF($E535=0,0,$E535*$H535)</f>
        <v/>
      </c>
      <c r="J535" s="124">
        <f>IF($I535=0,0,$I535-$E535)</f>
        <v/>
      </c>
      <c r="K535" s="124">
        <f>IF($J535=0,0,$J535*YenidegerFonOran)</f>
        <v/>
      </c>
      <c r="L535" s="124">
        <f>IF($G535=0,0,$J535/$G535)</f>
        <v/>
      </c>
      <c r="M535" s="124">
        <f>IF($L535=0,0,$L535*YenidegerKurumlarVergiOran)</f>
        <v/>
      </c>
      <c r="N535" s="124">
        <f>IFERROR(IF(YenidegerIskontoOrani=0,$M535*$G535,$M535*(1-1/(1+YenidegerIskontoOrani)^$G535)/YenidegerIskontoOrani),0)</f>
        <v/>
      </c>
      <c r="O535" s="124">
        <f>$N535-$K535</f>
        <v/>
      </c>
      <c r="P535" s="124">
        <f>IF($J535&lt;=0,"DEĞERLENDİR",IF($O535&gt;0,"YENİDEN DEĞERLE","DEĞERLENDİR"))</f>
        <v/>
      </c>
      <c r="Q535" s="124">
        <f>IF($B535="","",CONCATENATE("Kıymet: ",$B535," | Değer Artışı: ",TEXT($J535,"#,##0")))</f>
        <v/>
      </c>
    </row>
    <row r="536" ht="15.75" customHeight="1" s="81">
      <c r="A536" s="129" t="n"/>
      <c r="B536" s="130" t="n"/>
      <c r="C536" s="127" t="n"/>
      <c r="D536" s="127" t="n"/>
      <c r="E536" s="124">
        <f>IF($C536=0,0,$C536-$D536)</f>
        <v/>
      </c>
      <c r="F536" s="128" t="n"/>
      <c r="G536" s="129" t="n"/>
      <c r="H536" s="131" t="n"/>
      <c r="I536" s="124">
        <f>IF($E536=0,0,$E536*$H536)</f>
        <v/>
      </c>
      <c r="J536" s="124">
        <f>IF($I536=0,0,$I536-$E536)</f>
        <v/>
      </c>
      <c r="K536" s="124">
        <f>IF($J536=0,0,$J536*YenidegerFonOran)</f>
        <v/>
      </c>
      <c r="L536" s="124">
        <f>IF($G536=0,0,$J536/$G536)</f>
        <v/>
      </c>
      <c r="M536" s="124">
        <f>IF($L536=0,0,$L536*YenidegerKurumlarVergiOran)</f>
        <v/>
      </c>
      <c r="N536" s="124">
        <f>IFERROR(IF(YenidegerIskontoOrani=0,$M536*$G536,$M536*(1-1/(1+YenidegerIskontoOrani)^$G536)/YenidegerIskontoOrani),0)</f>
        <v/>
      </c>
      <c r="O536" s="124">
        <f>$N536-$K536</f>
        <v/>
      </c>
      <c r="P536" s="124">
        <f>IF($J536&lt;=0,"DEĞERLENDİR",IF($O536&gt;0,"YENİDEN DEĞERLE","DEĞERLENDİR"))</f>
        <v/>
      </c>
      <c r="Q536" s="124">
        <f>IF($B536="","",CONCATENATE("Kıymet: ",$B536," | Değer Artışı: ",TEXT($J536,"#,##0")))</f>
        <v/>
      </c>
    </row>
    <row r="537" ht="15.75" customHeight="1" s="81">
      <c r="A537" s="129" t="n"/>
      <c r="B537" s="130" t="n"/>
      <c r="C537" s="127" t="n"/>
      <c r="D537" s="127" t="n"/>
      <c r="E537" s="124">
        <f>IF($C537=0,0,$C537-$D537)</f>
        <v/>
      </c>
      <c r="F537" s="128" t="n"/>
      <c r="G537" s="129" t="n"/>
      <c r="H537" s="131" t="n"/>
      <c r="I537" s="124">
        <f>IF($E537=0,0,$E537*$H537)</f>
        <v/>
      </c>
      <c r="J537" s="124">
        <f>IF($I537=0,0,$I537-$E537)</f>
        <v/>
      </c>
      <c r="K537" s="124">
        <f>IF($J537=0,0,$J537*YenidegerFonOran)</f>
        <v/>
      </c>
      <c r="L537" s="124">
        <f>IF($G537=0,0,$J537/$G537)</f>
        <v/>
      </c>
      <c r="M537" s="124">
        <f>IF($L537=0,0,$L537*YenidegerKurumlarVergiOran)</f>
        <v/>
      </c>
      <c r="N537" s="124">
        <f>IFERROR(IF(YenidegerIskontoOrani=0,$M537*$G537,$M537*(1-1/(1+YenidegerIskontoOrani)^$G537)/YenidegerIskontoOrani),0)</f>
        <v/>
      </c>
      <c r="O537" s="124">
        <f>$N537-$K537</f>
        <v/>
      </c>
      <c r="P537" s="124">
        <f>IF($J537&lt;=0,"DEĞERLENDİR",IF($O537&gt;0,"YENİDEN DEĞERLE","DEĞERLENDİR"))</f>
        <v/>
      </c>
      <c r="Q537" s="124">
        <f>IF($B537="","",CONCATENATE("Kıymet: ",$B537," | Değer Artışı: ",TEXT($J537,"#,##0")))</f>
        <v/>
      </c>
    </row>
    <row r="538" ht="15.75" customHeight="1" s="81">
      <c r="A538" s="129" t="n"/>
      <c r="B538" s="130" t="n"/>
      <c r="C538" s="127" t="n"/>
      <c r="D538" s="127" t="n"/>
      <c r="E538" s="124">
        <f>IF($C538=0,0,$C538-$D538)</f>
        <v/>
      </c>
      <c r="F538" s="128" t="n"/>
      <c r="G538" s="129" t="n"/>
      <c r="H538" s="131" t="n"/>
      <c r="I538" s="124">
        <f>IF($E538=0,0,$E538*$H538)</f>
        <v/>
      </c>
      <c r="J538" s="124">
        <f>IF($I538=0,0,$I538-$E538)</f>
        <v/>
      </c>
      <c r="K538" s="124">
        <f>IF($J538=0,0,$J538*YenidegerFonOran)</f>
        <v/>
      </c>
      <c r="L538" s="124">
        <f>IF($G538=0,0,$J538/$G538)</f>
        <v/>
      </c>
      <c r="M538" s="124">
        <f>IF($L538=0,0,$L538*YenidegerKurumlarVergiOran)</f>
        <v/>
      </c>
      <c r="N538" s="124">
        <f>IFERROR(IF(YenidegerIskontoOrani=0,$M538*$G538,$M538*(1-1/(1+YenidegerIskontoOrani)^$G538)/YenidegerIskontoOrani),0)</f>
        <v/>
      </c>
      <c r="O538" s="124">
        <f>$N538-$K538</f>
        <v/>
      </c>
      <c r="P538" s="124">
        <f>IF($J538&lt;=0,"DEĞERLENDİR",IF($O538&gt;0,"YENİDEN DEĞERLE","DEĞERLENDİR"))</f>
        <v/>
      </c>
      <c r="Q538" s="124">
        <f>IF($B538="","",CONCATENATE("Kıymet: ",$B538," | Değer Artışı: ",TEXT($J538,"#,##0")))</f>
        <v/>
      </c>
    </row>
    <row r="539" ht="15.75" customHeight="1" s="81">
      <c r="A539" s="129" t="n"/>
      <c r="B539" s="130" t="n"/>
      <c r="C539" s="127" t="n"/>
      <c r="D539" s="127" t="n"/>
      <c r="E539" s="124">
        <f>IF($C539=0,0,$C539-$D539)</f>
        <v/>
      </c>
      <c r="F539" s="128" t="n"/>
      <c r="G539" s="129" t="n"/>
      <c r="H539" s="131" t="n"/>
      <c r="I539" s="124">
        <f>IF($E539=0,0,$E539*$H539)</f>
        <v/>
      </c>
      <c r="J539" s="124">
        <f>IF($I539=0,0,$I539-$E539)</f>
        <v/>
      </c>
      <c r="K539" s="124">
        <f>IF($J539=0,0,$J539*YenidegerFonOran)</f>
        <v/>
      </c>
      <c r="L539" s="124">
        <f>IF($G539=0,0,$J539/$G539)</f>
        <v/>
      </c>
      <c r="M539" s="124">
        <f>IF($L539=0,0,$L539*YenidegerKurumlarVergiOran)</f>
        <v/>
      </c>
      <c r="N539" s="124">
        <f>IFERROR(IF(YenidegerIskontoOrani=0,$M539*$G539,$M539*(1-1/(1+YenidegerIskontoOrani)^$G539)/YenidegerIskontoOrani),0)</f>
        <v/>
      </c>
      <c r="O539" s="124">
        <f>$N539-$K539</f>
        <v/>
      </c>
      <c r="P539" s="124">
        <f>IF($J539&lt;=0,"DEĞERLENDİR",IF($O539&gt;0,"YENİDEN DEĞERLE","DEĞERLENDİR"))</f>
        <v/>
      </c>
      <c r="Q539" s="124">
        <f>IF($B539="","",CONCATENATE("Kıymet: ",$B539," | Değer Artışı: ",TEXT($J539,"#,##0")))</f>
        <v/>
      </c>
    </row>
    <row r="540" ht="15.75" customHeight="1" s="81">
      <c r="A540" s="129" t="n"/>
      <c r="B540" s="130" t="n"/>
      <c r="C540" s="127" t="n"/>
      <c r="D540" s="127" t="n"/>
      <c r="E540" s="124">
        <f>IF($C540=0,0,$C540-$D540)</f>
        <v/>
      </c>
      <c r="F540" s="128" t="n"/>
      <c r="G540" s="129" t="n"/>
      <c r="H540" s="131" t="n"/>
      <c r="I540" s="124">
        <f>IF($E540=0,0,$E540*$H540)</f>
        <v/>
      </c>
      <c r="J540" s="124">
        <f>IF($I540=0,0,$I540-$E540)</f>
        <v/>
      </c>
      <c r="K540" s="124">
        <f>IF($J540=0,0,$J540*YenidegerFonOran)</f>
        <v/>
      </c>
      <c r="L540" s="124">
        <f>IF($G540=0,0,$J540/$G540)</f>
        <v/>
      </c>
      <c r="M540" s="124">
        <f>IF($L540=0,0,$L540*YenidegerKurumlarVergiOran)</f>
        <v/>
      </c>
      <c r="N540" s="124">
        <f>IFERROR(IF(YenidegerIskontoOrani=0,$M540*$G540,$M540*(1-1/(1+YenidegerIskontoOrani)^$G540)/YenidegerIskontoOrani),0)</f>
        <v/>
      </c>
      <c r="O540" s="124">
        <f>$N540-$K540</f>
        <v/>
      </c>
      <c r="P540" s="124">
        <f>IF($J540&lt;=0,"DEĞERLENDİR",IF($O540&gt;0,"YENİDEN DEĞERLE","DEĞERLENDİR"))</f>
        <v/>
      </c>
      <c r="Q540" s="124">
        <f>IF($B540="","",CONCATENATE("Kıymet: ",$B540," | Değer Artışı: ",TEXT($J540,"#,##0")))</f>
        <v/>
      </c>
    </row>
    <row r="541" ht="15.75" customHeight="1" s="81">
      <c r="A541" s="129" t="n"/>
      <c r="B541" s="130" t="n"/>
      <c r="C541" s="127" t="n"/>
      <c r="D541" s="127" t="n"/>
      <c r="E541" s="124">
        <f>IF($C541=0,0,$C541-$D541)</f>
        <v/>
      </c>
      <c r="F541" s="128" t="n"/>
      <c r="G541" s="129" t="n"/>
      <c r="H541" s="131" t="n"/>
      <c r="I541" s="124">
        <f>IF($E541=0,0,$E541*$H541)</f>
        <v/>
      </c>
      <c r="J541" s="124">
        <f>IF($I541=0,0,$I541-$E541)</f>
        <v/>
      </c>
      <c r="K541" s="124">
        <f>IF($J541=0,0,$J541*YenidegerFonOran)</f>
        <v/>
      </c>
      <c r="L541" s="124">
        <f>IF($G541=0,0,$J541/$G541)</f>
        <v/>
      </c>
      <c r="M541" s="124">
        <f>IF($L541=0,0,$L541*YenidegerKurumlarVergiOran)</f>
        <v/>
      </c>
      <c r="N541" s="124">
        <f>IFERROR(IF(YenidegerIskontoOrani=0,$M541*$G541,$M541*(1-1/(1+YenidegerIskontoOrani)^$G541)/YenidegerIskontoOrani),0)</f>
        <v/>
      </c>
      <c r="O541" s="124">
        <f>$N541-$K541</f>
        <v/>
      </c>
      <c r="P541" s="124">
        <f>IF($J541&lt;=0,"DEĞERLENDİR",IF($O541&gt;0,"YENİDEN DEĞERLE","DEĞERLENDİR"))</f>
        <v/>
      </c>
      <c r="Q541" s="124">
        <f>IF($B541="","",CONCATENATE("Kıymet: ",$B541," | Değer Artışı: ",TEXT($J541,"#,##0")))</f>
        <v/>
      </c>
    </row>
    <row r="542" ht="15.75" customHeight="1" s="81">
      <c r="A542" s="129" t="n"/>
      <c r="B542" s="130" t="n"/>
      <c r="C542" s="127" t="n"/>
      <c r="D542" s="127" t="n"/>
      <c r="E542" s="124">
        <f>IF($C542=0,0,$C542-$D542)</f>
        <v/>
      </c>
      <c r="F542" s="128" t="n"/>
      <c r="G542" s="129" t="n"/>
      <c r="H542" s="131" t="n"/>
      <c r="I542" s="124">
        <f>IF($E542=0,0,$E542*$H542)</f>
        <v/>
      </c>
      <c r="J542" s="124">
        <f>IF($I542=0,0,$I542-$E542)</f>
        <v/>
      </c>
      <c r="K542" s="124">
        <f>IF($J542=0,0,$J542*YenidegerFonOran)</f>
        <v/>
      </c>
      <c r="L542" s="124">
        <f>IF($G542=0,0,$J542/$G542)</f>
        <v/>
      </c>
      <c r="M542" s="124">
        <f>IF($L542=0,0,$L542*YenidegerKurumlarVergiOran)</f>
        <v/>
      </c>
      <c r="N542" s="124">
        <f>IFERROR(IF(YenidegerIskontoOrani=0,$M542*$G542,$M542*(1-1/(1+YenidegerIskontoOrani)^$G542)/YenidegerIskontoOrani),0)</f>
        <v/>
      </c>
      <c r="O542" s="124">
        <f>$N542-$K542</f>
        <v/>
      </c>
      <c r="P542" s="124">
        <f>IF($J542&lt;=0,"DEĞERLENDİR",IF($O542&gt;0,"YENİDEN DEĞERLE","DEĞERLENDİR"))</f>
        <v/>
      </c>
      <c r="Q542" s="124">
        <f>IF($B542="","",CONCATENATE("Kıymet: ",$B542," | Değer Artışı: ",TEXT($J542,"#,##0")))</f>
        <v/>
      </c>
    </row>
    <row r="543" ht="15.75" customHeight="1" s="81">
      <c r="A543" s="129" t="n"/>
      <c r="B543" s="130" t="n"/>
      <c r="C543" s="127" t="n"/>
      <c r="D543" s="127" t="n"/>
      <c r="E543" s="124">
        <f>IF($C543=0,0,$C543-$D543)</f>
        <v/>
      </c>
      <c r="F543" s="128" t="n"/>
      <c r="G543" s="129" t="n"/>
      <c r="H543" s="131" t="n"/>
      <c r="I543" s="124">
        <f>IF($E543=0,0,$E543*$H543)</f>
        <v/>
      </c>
      <c r="J543" s="124">
        <f>IF($I543=0,0,$I543-$E543)</f>
        <v/>
      </c>
      <c r="K543" s="124">
        <f>IF($J543=0,0,$J543*YenidegerFonOran)</f>
        <v/>
      </c>
      <c r="L543" s="124">
        <f>IF($G543=0,0,$J543/$G543)</f>
        <v/>
      </c>
      <c r="M543" s="124">
        <f>IF($L543=0,0,$L543*YenidegerKurumlarVergiOran)</f>
        <v/>
      </c>
      <c r="N543" s="124">
        <f>IFERROR(IF(YenidegerIskontoOrani=0,$M543*$G543,$M543*(1-1/(1+YenidegerIskontoOrani)^$G543)/YenidegerIskontoOrani),0)</f>
        <v/>
      </c>
      <c r="O543" s="124">
        <f>$N543-$K543</f>
        <v/>
      </c>
      <c r="P543" s="124">
        <f>IF($J543&lt;=0,"DEĞERLENDİR",IF($O543&gt;0,"YENİDEN DEĞERLE","DEĞERLENDİR"))</f>
        <v/>
      </c>
      <c r="Q543" s="124">
        <f>IF($B543="","",CONCATENATE("Kıymet: ",$B543," | Değer Artışı: ",TEXT($J543,"#,##0")))</f>
        <v/>
      </c>
    </row>
    <row r="544" ht="15.75" customHeight="1" s="81">
      <c r="A544" s="129" t="n"/>
      <c r="B544" s="130" t="n"/>
      <c r="C544" s="127" t="n"/>
      <c r="D544" s="127" t="n"/>
      <c r="E544" s="124">
        <f>IF($C544=0,0,$C544-$D544)</f>
        <v/>
      </c>
      <c r="F544" s="128" t="n"/>
      <c r="G544" s="129" t="n"/>
      <c r="H544" s="131" t="n"/>
      <c r="I544" s="124">
        <f>IF($E544=0,0,$E544*$H544)</f>
        <v/>
      </c>
      <c r="J544" s="124">
        <f>IF($I544=0,0,$I544-$E544)</f>
        <v/>
      </c>
      <c r="K544" s="124">
        <f>IF($J544=0,0,$J544*YenidegerFonOran)</f>
        <v/>
      </c>
      <c r="L544" s="124">
        <f>IF($G544=0,0,$J544/$G544)</f>
        <v/>
      </c>
      <c r="M544" s="124">
        <f>IF($L544=0,0,$L544*YenidegerKurumlarVergiOran)</f>
        <v/>
      </c>
      <c r="N544" s="124">
        <f>IFERROR(IF(YenidegerIskontoOrani=0,$M544*$G544,$M544*(1-1/(1+YenidegerIskontoOrani)^$G544)/YenidegerIskontoOrani),0)</f>
        <v/>
      </c>
      <c r="O544" s="124">
        <f>$N544-$K544</f>
        <v/>
      </c>
      <c r="P544" s="124">
        <f>IF($J544&lt;=0,"DEĞERLENDİR",IF($O544&gt;0,"YENİDEN DEĞERLE","DEĞERLENDİR"))</f>
        <v/>
      </c>
      <c r="Q544" s="124">
        <f>IF($B544="","",CONCATENATE("Kıymet: ",$B544," | Değer Artışı: ",TEXT($J544,"#,##0")))</f>
        <v/>
      </c>
    </row>
    <row r="545" ht="15.75" customHeight="1" s="81">
      <c r="A545" s="129" t="n"/>
      <c r="B545" s="130" t="n"/>
      <c r="C545" s="127" t="n"/>
      <c r="D545" s="127" t="n"/>
      <c r="E545" s="124">
        <f>IF($C545=0,0,$C545-$D545)</f>
        <v/>
      </c>
      <c r="F545" s="128" t="n"/>
      <c r="G545" s="129" t="n"/>
      <c r="H545" s="131" t="n"/>
      <c r="I545" s="124">
        <f>IF($E545=0,0,$E545*$H545)</f>
        <v/>
      </c>
      <c r="J545" s="124">
        <f>IF($I545=0,0,$I545-$E545)</f>
        <v/>
      </c>
      <c r="K545" s="124">
        <f>IF($J545=0,0,$J545*YenidegerFonOran)</f>
        <v/>
      </c>
      <c r="L545" s="124">
        <f>IF($G545=0,0,$J545/$G545)</f>
        <v/>
      </c>
      <c r="M545" s="124">
        <f>IF($L545=0,0,$L545*YenidegerKurumlarVergiOran)</f>
        <v/>
      </c>
      <c r="N545" s="124">
        <f>IFERROR(IF(YenidegerIskontoOrani=0,$M545*$G545,$M545*(1-1/(1+YenidegerIskontoOrani)^$G545)/YenidegerIskontoOrani),0)</f>
        <v/>
      </c>
      <c r="O545" s="124">
        <f>$N545-$K545</f>
        <v/>
      </c>
      <c r="P545" s="124">
        <f>IF($J545&lt;=0,"DEĞERLENDİR",IF($O545&gt;0,"YENİDEN DEĞERLE","DEĞERLENDİR"))</f>
        <v/>
      </c>
      <c r="Q545" s="124">
        <f>IF($B545="","",CONCATENATE("Kıymet: ",$B545," | Değer Artışı: ",TEXT($J545,"#,##0")))</f>
        <v/>
      </c>
    </row>
    <row r="546" ht="15.75" customHeight="1" s="81">
      <c r="A546" s="129" t="n"/>
      <c r="B546" s="130" t="n"/>
      <c r="C546" s="127" t="n"/>
      <c r="D546" s="127" t="n"/>
      <c r="E546" s="124">
        <f>IF($C546=0,0,$C546-$D546)</f>
        <v/>
      </c>
      <c r="F546" s="128" t="n"/>
      <c r="G546" s="129" t="n"/>
      <c r="H546" s="131" t="n"/>
      <c r="I546" s="124">
        <f>IF($E546=0,0,$E546*$H546)</f>
        <v/>
      </c>
      <c r="J546" s="124">
        <f>IF($I546=0,0,$I546-$E546)</f>
        <v/>
      </c>
      <c r="K546" s="124">
        <f>IF($J546=0,0,$J546*YenidegerFonOran)</f>
        <v/>
      </c>
      <c r="L546" s="124">
        <f>IF($G546=0,0,$J546/$G546)</f>
        <v/>
      </c>
      <c r="M546" s="124">
        <f>IF($L546=0,0,$L546*YenidegerKurumlarVergiOran)</f>
        <v/>
      </c>
      <c r="N546" s="124">
        <f>IFERROR(IF(YenidegerIskontoOrani=0,$M546*$G546,$M546*(1-1/(1+YenidegerIskontoOrani)^$G546)/YenidegerIskontoOrani),0)</f>
        <v/>
      </c>
      <c r="O546" s="124">
        <f>$N546-$K546</f>
        <v/>
      </c>
      <c r="P546" s="124">
        <f>IF($J546&lt;=0,"DEĞERLENDİR",IF($O546&gt;0,"YENİDEN DEĞERLE","DEĞERLENDİR"))</f>
        <v/>
      </c>
      <c r="Q546" s="124">
        <f>IF($B546="","",CONCATENATE("Kıymet: ",$B546," | Değer Artışı: ",TEXT($J546,"#,##0")))</f>
        <v/>
      </c>
    </row>
    <row r="547" ht="15.75" customHeight="1" s="81">
      <c r="A547" s="129" t="n"/>
      <c r="B547" s="130" t="n"/>
      <c r="C547" s="127" t="n"/>
      <c r="D547" s="127" t="n"/>
      <c r="E547" s="124">
        <f>IF($C547=0,0,$C547-$D547)</f>
        <v/>
      </c>
      <c r="F547" s="128" t="n"/>
      <c r="G547" s="129" t="n"/>
      <c r="H547" s="131" t="n"/>
      <c r="I547" s="124">
        <f>IF($E547=0,0,$E547*$H547)</f>
        <v/>
      </c>
      <c r="J547" s="124">
        <f>IF($I547=0,0,$I547-$E547)</f>
        <v/>
      </c>
      <c r="K547" s="124">
        <f>IF($J547=0,0,$J547*YenidegerFonOran)</f>
        <v/>
      </c>
      <c r="L547" s="124">
        <f>IF($G547=0,0,$J547/$G547)</f>
        <v/>
      </c>
      <c r="M547" s="124">
        <f>IF($L547=0,0,$L547*YenidegerKurumlarVergiOran)</f>
        <v/>
      </c>
      <c r="N547" s="124">
        <f>IFERROR(IF(YenidegerIskontoOrani=0,$M547*$G547,$M547*(1-1/(1+YenidegerIskontoOrani)^$G547)/YenidegerIskontoOrani),0)</f>
        <v/>
      </c>
      <c r="O547" s="124">
        <f>$N547-$K547</f>
        <v/>
      </c>
      <c r="P547" s="124">
        <f>IF($J547&lt;=0,"DEĞERLENDİR",IF($O547&gt;0,"YENİDEN DEĞERLE","DEĞERLENDİR"))</f>
        <v/>
      </c>
      <c r="Q547" s="124">
        <f>IF($B547="","",CONCATENATE("Kıymet: ",$B547," | Değer Artışı: ",TEXT($J547,"#,##0")))</f>
        <v/>
      </c>
    </row>
    <row r="548" ht="15.75" customHeight="1" s="81">
      <c r="A548" s="129" t="n"/>
      <c r="B548" s="130" t="n"/>
      <c r="C548" s="127" t="n"/>
      <c r="D548" s="127" t="n"/>
      <c r="E548" s="124">
        <f>IF($C548=0,0,$C548-$D548)</f>
        <v/>
      </c>
      <c r="F548" s="128" t="n"/>
      <c r="G548" s="129" t="n"/>
      <c r="H548" s="131" t="n"/>
      <c r="I548" s="124">
        <f>IF($E548=0,0,$E548*$H548)</f>
        <v/>
      </c>
      <c r="J548" s="124">
        <f>IF($I548=0,0,$I548-$E548)</f>
        <v/>
      </c>
      <c r="K548" s="124">
        <f>IF($J548=0,0,$J548*YenidegerFonOran)</f>
        <v/>
      </c>
      <c r="L548" s="124">
        <f>IF($G548=0,0,$J548/$G548)</f>
        <v/>
      </c>
      <c r="M548" s="124">
        <f>IF($L548=0,0,$L548*YenidegerKurumlarVergiOran)</f>
        <v/>
      </c>
      <c r="N548" s="124">
        <f>IFERROR(IF(YenidegerIskontoOrani=0,$M548*$G548,$M548*(1-1/(1+YenidegerIskontoOrani)^$G548)/YenidegerIskontoOrani),0)</f>
        <v/>
      </c>
      <c r="O548" s="124">
        <f>$N548-$K548</f>
        <v/>
      </c>
      <c r="P548" s="124">
        <f>IF($J548&lt;=0,"DEĞERLENDİR",IF($O548&gt;0,"YENİDEN DEĞERLE","DEĞERLENDİR"))</f>
        <v/>
      </c>
      <c r="Q548" s="124">
        <f>IF($B548="","",CONCATENATE("Kıymet: ",$B548," | Değer Artışı: ",TEXT($J548,"#,##0")))</f>
        <v/>
      </c>
    </row>
    <row r="549" ht="15.75" customHeight="1" s="81">
      <c r="A549" s="129" t="n"/>
      <c r="B549" s="130" t="n"/>
      <c r="C549" s="127" t="n"/>
      <c r="D549" s="127" t="n"/>
      <c r="E549" s="124">
        <f>IF($C549=0,0,$C549-$D549)</f>
        <v/>
      </c>
      <c r="F549" s="128" t="n"/>
      <c r="G549" s="129" t="n"/>
      <c r="H549" s="131" t="n"/>
      <c r="I549" s="124">
        <f>IF($E549=0,0,$E549*$H549)</f>
        <v/>
      </c>
      <c r="J549" s="124">
        <f>IF($I549=0,0,$I549-$E549)</f>
        <v/>
      </c>
      <c r="K549" s="124">
        <f>IF($J549=0,0,$J549*YenidegerFonOran)</f>
        <v/>
      </c>
      <c r="L549" s="124">
        <f>IF($G549=0,0,$J549/$G549)</f>
        <v/>
      </c>
      <c r="M549" s="124">
        <f>IF($L549=0,0,$L549*YenidegerKurumlarVergiOran)</f>
        <v/>
      </c>
      <c r="N549" s="124">
        <f>IFERROR(IF(YenidegerIskontoOrani=0,$M549*$G549,$M549*(1-1/(1+YenidegerIskontoOrani)^$G549)/YenidegerIskontoOrani),0)</f>
        <v/>
      </c>
      <c r="O549" s="124">
        <f>$N549-$K549</f>
        <v/>
      </c>
      <c r="P549" s="124">
        <f>IF($J549&lt;=0,"DEĞERLENDİR",IF($O549&gt;0,"YENİDEN DEĞERLE","DEĞERLENDİR"))</f>
        <v/>
      </c>
      <c r="Q549" s="124">
        <f>IF($B549="","",CONCATENATE("Kıymet: ",$B549," | Değer Artışı: ",TEXT($J549,"#,##0")))</f>
        <v/>
      </c>
    </row>
    <row r="550" ht="15.75" customHeight="1" s="81">
      <c r="A550" s="129" t="n"/>
      <c r="B550" s="130" t="n"/>
      <c r="C550" s="127" t="n"/>
      <c r="D550" s="127" t="n"/>
      <c r="E550" s="124">
        <f>IF($C550=0,0,$C550-$D550)</f>
        <v/>
      </c>
      <c r="F550" s="128" t="n"/>
      <c r="G550" s="129" t="n"/>
      <c r="H550" s="131" t="n"/>
      <c r="I550" s="124">
        <f>IF($E550=0,0,$E550*$H550)</f>
        <v/>
      </c>
      <c r="J550" s="124">
        <f>IF($I550=0,0,$I550-$E550)</f>
        <v/>
      </c>
      <c r="K550" s="124">
        <f>IF($J550=0,0,$J550*YenidegerFonOran)</f>
        <v/>
      </c>
      <c r="L550" s="124">
        <f>IF($G550=0,0,$J550/$G550)</f>
        <v/>
      </c>
      <c r="M550" s="124">
        <f>IF($L550=0,0,$L550*YenidegerKurumlarVergiOran)</f>
        <v/>
      </c>
      <c r="N550" s="124">
        <f>IFERROR(IF(YenidegerIskontoOrani=0,$M550*$G550,$M550*(1-1/(1+YenidegerIskontoOrani)^$G550)/YenidegerIskontoOrani),0)</f>
        <v/>
      </c>
      <c r="O550" s="124">
        <f>$N550-$K550</f>
        <v/>
      </c>
      <c r="P550" s="124">
        <f>IF($J550&lt;=0,"DEĞERLENDİR",IF($O550&gt;0,"YENİDEN DEĞERLE","DEĞERLENDİR"))</f>
        <v/>
      </c>
      <c r="Q550" s="124">
        <f>IF($B550="","",CONCATENATE("Kıymet: ",$B550," | Değer Artışı: ",TEXT($J550,"#,##0")))</f>
        <v/>
      </c>
    </row>
    <row r="551" ht="15.75" customHeight="1" s="81">
      <c r="A551" s="129" t="n"/>
      <c r="B551" s="130" t="n"/>
      <c r="C551" s="127" t="n"/>
      <c r="D551" s="127" t="n"/>
      <c r="E551" s="124">
        <f>IF($C551=0,0,$C551-$D551)</f>
        <v/>
      </c>
      <c r="F551" s="128" t="n"/>
      <c r="G551" s="129" t="n"/>
      <c r="H551" s="131" t="n"/>
      <c r="I551" s="124">
        <f>IF($E551=0,0,$E551*$H551)</f>
        <v/>
      </c>
      <c r="J551" s="124">
        <f>IF($I551=0,0,$I551-$E551)</f>
        <v/>
      </c>
      <c r="K551" s="124">
        <f>IF($J551=0,0,$J551*YenidegerFonOran)</f>
        <v/>
      </c>
      <c r="L551" s="124">
        <f>IF($G551=0,0,$J551/$G551)</f>
        <v/>
      </c>
      <c r="M551" s="124">
        <f>IF($L551=0,0,$L551*YenidegerKurumlarVergiOran)</f>
        <v/>
      </c>
      <c r="N551" s="124">
        <f>IFERROR(IF(YenidegerIskontoOrani=0,$M551*$G551,$M551*(1-1/(1+YenidegerIskontoOrani)^$G551)/YenidegerIskontoOrani),0)</f>
        <v/>
      </c>
      <c r="O551" s="124">
        <f>$N551-$K551</f>
        <v/>
      </c>
      <c r="P551" s="124">
        <f>IF($J551&lt;=0,"DEĞERLENDİR",IF($O551&gt;0,"YENİDEN DEĞERLE","DEĞERLENDİR"))</f>
        <v/>
      </c>
      <c r="Q551" s="124">
        <f>IF($B551="","",CONCATENATE("Kıymet: ",$B551," | Değer Artışı: ",TEXT($J551,"#,##0")))</f>
        <v/>
      </c>
    </row>
    <row r="552" ht="15.75" customHeight="1" s="81">
      <c r="A552" s="129" t="n"/>
      <c r="B552" s="130" t="n"/>
      <c r="C552" s="127" t="n"/>
      <c r="D552" s="127" t="n"/>
      <c r="E552" s="124">
        <f>IF($C552=0,0,$C552-$D552)</f>
        <v/>
      </c>
      <c r="F552" s="128" t="n"/>
      <c r="G552" s="129" t="n"/>
      <c r="H552" s="131" t="n"/>
      <c r="I552" s="124">
        <f>IF($E552=0,0,$E552*$H552)</f>
        <v/>
      </c>
      <c r="J552" s="124">
        <f>IF($I552=0,0,$I552-$E552)</f>
        <v/>
      </c>
      <c r="K552" s="124">
        <f>IF($J552=0,0,$J552*YenidegerFonOran)</f>
        <v/>
      </c>
      <c r="L552" s="124">
        <f>IF($G552=0,0,$J552/$G552)</f>
        <v/>
      </c>
      <c r="M552" s="124">
        <f>IF($L552=0,0,$L552*YenidegerKurumlarVergiOran)</f>
        <v/>
      </c>
      <c r="N552" s="124">
        <f>IFERROR(IF(YenidegerIskontoOrani=0,$M552*$G552,$M552*(1-1/(1+YenidegerIskontoOrani)^$G552)/YenidegerIskontoOrani),0)</f>
        <v/>
      </c>
      <c r="O552" s="124">
        <f>$N552-$K552</f>
        <v/>
      </c>
      <c r="P552" s="124">
        <f>IF($J552&lt;=0,"DEĞERLENDİR",IF($O552&gt;0,"YENİDEN DEĞERLE","DEĞERLENDİR"))</f>
        <v/>
      </c>
      <c r="Q552" s="124">
        <f>IF($B552="","",CONCATENATE("Kıymet: ",$B552," | Değer Artışı: ",TEXT($J552,"#,##0")))</f>
        <v/>
      </c>
    </row>
    <row r="553" ht="15.75" customHeight="1" s="81">
      <c r="A553" s="129" t="n"/>
      <c r="B553" s="130" t="n"/>
      <c r="C553" s="127" t="n"/>
      <c r="D553" s="127" t="n"/>
      <c r="E553" s="124">
        <f>IF($C553=0,0,$C553-$D553)</f>
        <v/>
      </c>
      <c r="F553" s="128" t="n"/>
      <c r="G553" s="129" t="n"/>
      <c r="H553" s="131" t="n"/>
      <c r="I553" s="124">
        <f>IF($E553=0,0,$E553*$H553)</f>
        <v/>
      </c>
      <c r="J553" s="124">
        <f>IF($I553=0,0,$I553-$E553)</f>
        <v/>
      </c>
      <c r="K553" s="124">
        <f>IF($J553=0,0,$J553*YenidegerFonOran)</f>
        <v/>
      </c>
      <c r="L553" s="124">
        <f>IF($G553=0,0,$J553/$G553)</f>
        <v/>
      </c>
      <c r="M553" s="124">
        <f>IF($L553=0,0,$L553*YenidegerKurumlarVergiOran)</f>
        <v/>
      </c>
      <c r="N553" s="124">
        <f>IFERROR(IF(YenidegerIskontoOrani=0,$M553*$G553,$M553*(1-1/(1+YenidegerIskontoOrani)^$G553)/YenidegerIskontoOrani),0)</f>
        <v/>
      </c>
      <c r="O553" s="124">
        <f>$N553-$K553</f>
        <v/>
      </c>
      <c r="P553" s="124">
        <f>IF($J553&lt;=0,"DEĞERLENDİR",IF($O553&gt;0,"YENİDEN DEĞERLE","DEĞERLENDİR"))</f>
        <v/>
      </c>
      <c r="Q553" s="124">
        <f>IF($B553="","",CONCATENATE("Kıymet: ",$B553," | Değer Artışı: ",TEXT($J553,"#,##0")))</f>
        <v/>
      </c>
    </row>
    <row r="554" ht="15.75" customHeight="1" s="81">
      <c r="A554" s="129" t="n"/>
      <c r="B554" s="130" t="n"/>
      <c r="C554" s="127" t="n"/>
      <c r="D554" s="127" t="n"/>
      <c r="E554" s="124">
        <f>IF($C554=0,0,$C554-$D554)</f>
        <v/>
      </c>
      <c r="F554" s="128" t="n"/>
      <c r="G554" s="129" t="n"/>
      <c r="H554" s="131" t="n"/>
      <c r="I554" s="124">
        <f>IF($E554=0,0,$E554*$H554)</f>
        <v/>
      </c>
      <c r="J554" s="124">
        <f>IF($I554=0,0,$I554-$E554)</f>
        <v/>
      </c>
      <c r="K554" s="124">
        <f>IF($J554=0,0,$J554*YenidegerFonOran)</f>
        <v/>
      </c>
      <c r="L554" s="124">
        <f>IF($G554=0,0,$J554/$G554)</f>
        <v/>
      </c>
      <c r="M554" s="124">
        <f>IF($L554=0,0,$L554*YenidegerKurumlarVergiOran)</f>
        <v/>
      </c>
      <c r="N554" s="124">
        <f>IFERROR(IF(YenidegerIskontoOrani=0,$M554*$G554,$M554*(1-1/(1+YenidegerIskontoOrani)^$G554)/YenidegerIskontoOrani),0)</f>
        <v/>
      </c>
      <c r="O554" s="124">
        <f>$N554-$K554</f>
        <v/>
      </c>
      <c r="P554" s="124">
        <f>IF($J554&lt;=0,"DEĞERLENDİR",IF($O554&gt;0,"YENİDEN DEĞERLE","DEĞERLENDİR"))</f>
        <v/>
      </c>
      <c r="Q554" s="124">
        <f>IF($B554="","",CONCATENATE("Kıymet: ",$B554," | Değer Artışı: ",TEXT($J554,"#,##0")))</f>
        <v/>
      </c>
    </row>
    <row r="555" ht="15.75" customHeight="1" s="81">
      <c r="A555" s="129" t="n"/>
      <c r="B555" s="130" t="n"/>
      <c r="C555" s="127" t="n"/>
      <c r="D555" s="127" t="n"/>
      <c r="E555" s="124">
        <f>IF($C555=0,0,$C555-$D555)</f>
        <v/>
      </c>
      <c r="F555" s="128" t="n"/>
      <c r="G555" s="129" t="n"/>
      <c r="H555" s="131" t="n"/>
      <c r="I555" s="124">
        <f>IF($E555=0,0,$E555*$H555)</f>
        <v/>
      </c>
      <c r="J555" s="124">
        <f>IF($I555=0,0,$I555-$E555)</f>
        <v/>
      </c>
      <c r="K555" s="124">
        <f>IF($J555=0,0,$J555*YenidegerFonOran)</f>
        <v/>
      </c>
      <c r="L555" s="124">
        <f>IF($G555=0,0,$J555/$G555)</f>
        <v/>
      </c>
      <c r="M555" s="124">
        <f>IF($L555=0,0,$L555*YenidegerKurumlarVergiOran)</f>
        <v/>
      </c>
      <c r="N555" s="124">
        <f>IFERROR(IF(YenidegerIskontoOrani=0,$M555*$G555,$M555*(1-1/(1+YenidegerIskontoOrani)^$G555)/YenidegerIskontoOrani),0)</f>
        <v/>
      </c>
      <c r="O555" s="124">
        <f>$N555-$K555</f>
        <v/>
      </c>
      <c r="P555" s="124">
        <f>IF($J555&lt;=0,"DEĞERLENDİR",IF($O555&gt;0,"YENİDEN DEĞERLE","DEĞERLENDİR"))</f>
        <v/>
      </c>
      <c r="Q555" s="124">
        <f>IF($B555="","",CONCATENATE("Kıymet: ",$B555," | Değer Artışı: ",TEXT($J555,"#,##0")))</f>
        <v/>
      </c>
    </row>
    <row r="556" ht="15.75" customHeight="1" s="81">
      <c r="A556" s="129" t="n"/>
      <c r="B556" s="130" t="n"/>
      <c r="C556" s="127" t="n"/>
      <c r="D556" s="127" t="n"/>
      <c r="E556" s="124">
        <f>IF($C556=0,0,$C556-$D556)</f>
        <v/>
      </c>
      <c r="F556" s="128" t="n"/>
      <c r="G556" s="129" t="n"/>
      <c r="H556" s="131" t="n"/>
      <c r="I556" s="124">
        <f>IF($E556=0,0,$E556*$H556)</f>
        <v/>
      </c>
      <c r="J556" s="124">
        <f>IF($I556=0,0,$I556-$E556)</f>
        <v/>
      </c>
      <c r="K556" s="124">
        <f>IF($J556=0,0,$J556*YenidegerFonOran)</f>
        <v/>
      </c>
      <c r="L556" s="124">
        <f>IF($G556=0,0,$J556/$G556)</f>
        <v/>
      </c>
      <c r="M556" s="124">
        <f>IF($L556=0,0,$L556*YenidegerKurumlarVergiOran)</f>
        <v/>
      </c>
      <c r="N556" s="124">
        <f>IFERROR(IF(YenidegerIskontoOrani=0,$M556*$G556,$M556*(1-1/(1+YenidegerIskontoOrani)^$G556)/YenidegerIskontoOrani),0)</f>
        <v/>
      </c>
      <c r="O556" s="124">
        <f>$N556-$K556</f>
        <v/>
      </c>
      <c r="P556" s="124">
        <f>IF($J556&lt;=0,"DEĞERLENDİR",IF($O556&gt;0,"YENİDEN DEĞERLE","DEĞERLENDİR"))</f>
        <v/>
      </c>
      <c r="Q556" s="124">
        <f>IF($B556="","",CONCATENATE("Kıymet: ",$B556," | Değer Artışı: ",TEXT($J556,"#,##0")))</f>
        <v/>
      </c>
    </row>
    <row r="557" ht="15.75" customHeight="1" s="81">
      <c r="A557" s="129" t="n"/>
      <c r="B557" s="130" t="n"/>
      <c r="C557" s="127" t="n"/>
      <c r="D557" s="127" t="n"/>
      <c r="E557" s="124">
        <f>IF($C557=0,0,$C557-$D557)</f>
        <v/>
      </c>
      <c r="F557" s="128" t="n"/>
      <c r="G557" s="129" t="n"/>
      <c r="H557" s="131" t="n"/>
      <c r="I557" s="124">
        <f>IF($E557=0,0,$E557*$H557)</f>
        <v/>
      </c>
      <c r="J557" s="124">
        <f>IF($I557=0,0,$I557-$E557)</f>
        <v/>
      </c>
      <c r="K557" s="124">
        <f>IF($J557=0,0,$J557*YenidegerFonOran)</f>
        <v/>
      </c>
      <c r="L557" s="124">
        <f>IF($G557=0,0,$J557/$G557)</f>
        <v/>
      </c>
      <c r="M557" s="124">
        <f>IF($L557=0,0,$L557*YenidegerKurumlarVergiOran)</f>
        <v/>
      </c>
      <c r="N557" s="124">
        <f>IFERROR(IF(YenidegerIskontoOrani=0,$M557*$G557,$M557*(1-1/(1+YenidegerIskontoOrani)^$G557)/YenidegerIskontoOrani),0)</f>
        <v/>
      </c>
      <c r="O557" s="124">
        <f>$N557-$K557</f>
        <v/>
      </c>
      <c r="P557" s="124">
        <f>IF($J557&lt;=0,"DEĞERLENDİR",IF($O557&gt;0,"YENİDEN DEĞERLE","DEĞERLENDİR"))</f>
        <v/>
      </c>
      <c r="Q557" s="124">
        <f>IF($B557="","",CONCATENATE("Kıymet: ",$B557," | Değer Artışı: ",TEXT($J557,"#,##0")))</f>
        <v/>
      </c>
    </row>
    <row r="558" ht="15.75" customHeight="1" s="81">
      <c r="A558" s="129" t="n"/>
      <c r="B558" s="130" t="n"/>
      <c r="C558" s="127" t="n"/>
      <c r="D558" s="127" t="n"/>
      <c r="E558" s="124">
        <f>IF($C558=0,0,$C558-$D558)</f>
        <v/>
      </c>
      <c r="F558" s="128" t="n"/>
      <c r="G558" s="129" t="n"/>
      <c r="H558" s="131" t="n"/>
      <c r="I558" s="124">
        <f>IF($E558=0,0,$E558*$H558)</f>
        <v/>
      </c>
      <c r="J558" s="124">
        <f>IF($I558=0,0,$I558-$E558)</f>
        <v/>
      </c>
      <c r="K558" s="124">
        <f>IF($J558=0,0,$J558*YenidegerFonOran)</f>
        <v/>
      </c>
      <c r="L558" s="124">
        <f>IF($G558=0,0,$J558/$G558)</f>
        <v/>
      </c>
      <c r="M558" s="124">
        <f>IF($L558=0,0,$L558*YenidegerKurumlarVergiOran)</f>
        <v/>
      </c>
      <c r="N558" s="124">
        <f>IFERROR(IF(YenidegerIskontoOrani=0,$M558*$G558,$M558*(1-1/(1+YenidegerIskontoOrani)^$G558)/YenidegerIskontoOrani),0)</f>
        <v/>
      </c>
      <c r="O558" s="124">
        <f>$N558-$K558</f>
        <v/>
      </c>
      <c r="P558" s="124">
        <f>IF($J558&lt;=0,"DEĞERLENDİR",IF($O558&gt;0,"YENİDEN DEĞERLE","DEĞERLENDİR"))</f>
        <v/>
      </c>
      <c r="Q558" s="124">
        <f>IF($B558="","",CONCATENATE("Kıymet: ",$B558," | Değer Artışı: ",TEXT($J558,"#,##0")))</f>
        <v/>
      </c>
    </row>
    <row r="559" ht="15.75" customHeight="1" s="81">
      <c r="A559" s="129" t="n"/>
      <c r="B559" s="130" t="n"/>
      <c r="C559" s="127" t="n"/>
      <c r="D559" s="127" t="n"/>
      <c r="E559" s="124">
        <f>IF($C559=0,0,$C559-$D559)</f>
        <v/>
      </c>
      <c r="F559" s="128" t="n"/>
      <c r="G559" s="129" t="n"/>
      <c r="H559" s="131" t="n"/>
      <c r="I559" s="124">
        <f>IF($E559=0,0,$E559*$H559)</f>
        <v/>
      </c>
      <c r="J559" s="124">
        <f>IF($I559=0,0,$I559-$E559)</f>
        <v/>
      </c>
      <c r="K559" s="124">
        <f>IF($J559=0,0,$J559*YenidegerFonOran)</f>
        <v/>
      </c>
      <c r="L559" s="124">
        <f>IF($G559=0,0,$J559/$G559)</f>
        <v/>
      </c>
      <c r="M559" s="124">
        <f>IF($L559=0,0,$L559*YenidegerKurumlarVergiOran)</f>
        <v/>
      </c>
      <c r="N559" s="124">
        <f>IFERROR(IF(YenidegerIskontoOrani=0,$M559*$G559,$M559*(1-1/(1+YenidegerIskontoOrani)^$G559)/YenidegerIskontoOrani),0)</f>
        <v/>
      </c>
      <c r="O559" s="124">
        <f>$N559-$K559</f>
        <v/>
      </c>
      <c r="P559" s="124">
        <f>IF($J559&lt;=0,"DEĞERLENDİR",IF($O559&gt;0,"YENİDEN DEĞERLE","DEĞERLENDİR"))</f>
        <v/>
      </c>
      <c r="Q559" s="124">
        <f>IF($B559="","",CONCATENATE("Kıymet: ",$B559," | Değer Artışı: ",TEXT($J559,"#,##0")))</f>
        <v/>
      </c>
    </row>
    <row r="560" ht="15.75" customHeight="1" s="81">
      <c r="A560" s="129" t="n"/>
      <c r="B560" s="130" t="n"/>
      <c r="C560" s="127" t="n"/>
      <c r="D560" s="127" t="n"/>
      <c r="E560" s="124">
        <f>IF($C560=0,0,$C560-$D560)</f>
        <v/>
      </c>
      <c r="F560" s="128" t="n"/>
      <c r="G560" s="129" t="n"/>
      <c r="H560" s="131" t="n"/>
      <c r="I560" s="124">
        <f>IF($E560=0,0,$E560*$H560)</f>
        <v/>
      </c>
      <c r="J560" s="124">
        <f>IF($I560=0,0,$I560-$E560)</f>
        <v/>
      </c>
      <c r="K560" s="124">
        <f>IF($J560=0,0,$J560*YenidegerFonOran)</f>
        <v/>
      </c>
      <c r="L560" s="124">
        <f>IF($G560=0,0,$J560/$G560)</f>
        <v/>
      </c>
      <c r="M560" s="124">
        <f>IF($L560=0,0,$L560*YenidegerKurumlarVergiOran)</f>
        <v/>
      </c>
      <c r="N560" s="124">
        <f>IFERROR(IF(YenidegerIskontoOrani=0,$M560*$G560,$M560*(1-1/(1+YenidegerIskontoOrani)^$G560)/YenidegerIskontoOrani),0)</f>
        <v/>
      </c>
      <c r="O560" s="124">
        <f>$N560-$K560</f>
        <v/>
      </c>
      <c r="P560" s="124">
        <f>IF($J560&lt;=0,"DEĞERLENDİR",IF($O560&gt;0,"YENİDEN DEĞERLE","DEĞERLENDİR"))</f>
        <v/>
      </c>
      <c r="Q560" s="124">
        <f>IF($B560="","",CONCATENATE("Kıymet: ",$B560," | Değer Artışı: ",TEXT($J560,"#,##0")))</f>
        <v/>
      </c>
    </row>
    <row r="561" ht="15.75" customHeight="1" s="81">
      <c r="A561" s="129" t="n"/>
      <c r="B561" s="130" t="n"/>
      <c r="C561" s="127" t="n"/>
      <c r="D561" s="127" t="n"/>
      <c r="E561" s="124">
        <f>IF($C561=0,0,$C561-$D561)</f>
        <v/>
      </c>
      <c r="F561" s="128" t="n"/>
      <c r="G561" s="129" t="n"/>
      <c r="H561" s="131" t="n"/>
      <c r="I561" s="124">
        <f>IF($E561=0,0,$E561*$H561)</f>
        <v/>
      </c>
      <c r="J561" s="124">
        <f>IF($I561=0,0,$I561-$E561)</f>
        <v/>
      </c>
      <c r="K561" s="124">
        <f>IF($J561=0,0,$J561*YenidegerFonOran)</f>
        <v/>
      </c>
      <c r="L561" s="124">
        <f>IF($G561=0,0,$J561/$G561)</f>
        <v/>
      </c>
      <c r="M561" s="124">
        <f>IF($L561=0,0,$L561*YenidegerKurumlarVergiOran)</f>
        <v/>
      </c>
      <c r="N561" s="124">
        <f>IFERROR(IF(YenidegerIskontoOrani=0,$M561*$G561,$M561*(1-1/(1+YenidegerIskontoOrani)^$G561)/YenidegerIskontoOrani),0)</f>
        <v/>
      </c>
      <c r="O561" s="124">
        <f>$N561-$K561</f>
        <v/>
      </c>
      <c r="P561" s="124">
        <f>IF($J561&lt;=0,"DEĞERLENDİR",IF($O561&gt;0,"YENİDEN DEĞERLE","DEĞERLENDİR"))</f>
        <v/>
      </c>
      <c r="Q561" s="124">
        <f>IF($B561="","",CONCATENATE("Kıymet: ",$B561," | Değer Artışı: ",TEXT($J561,"#,##0")))</f>
        <v/>
      </c>
    </row>
    <row r="562" ht="15.75" customHeight="1" s="81">
      <c r="A562" s="129" t="n"/>
      <c r="B562" s="130" t="n"/>
      <c r="C562" s="127" t="n"/>
      <c r="D562" s="127" t="n"/>
      <c r="E562" s="124">
        <f>IF($C562=0,0,$C562-$D562)</f>
        <v/>
      </c>
      <c r="F562" s="128" t="n"/>
      <c r="G562" s="129" t="n"/>
      <c r="H562" s="131" t="n"/>
      <c r="I562" s="124">
        <f>IF($E562=0,0,$E562*$H562)</f>
        <v/>
      </c>
      <c r="J562" s="124">
        <f>IF($I562=0,0,$I562-$E562)</f>
        <v/>
      </c>
      <c r="K562" s="124">
        <f>IF($J562=0,0,$J562*YenidegerFonOran)</f>
        <v/>
      </c>
      <c r="L562" s="124">
        <f>IF($G562=0,0,$J562/$G562)</f>
        <v/>
      </c>
      <c r="M562" s="124">
        <f>IF($L562=0,0,$L562*YenidegerKurumlarVergiOran)</f>
        <v/>
      </c>
      <c r="N562" s="124">
        <f>IFERROR(IF(YenidegerIskontoOrani=0,$M562*$G562,$M562*(1-1/(1+YenidegerIskontoOrani)^$G562)/YenidegerIskontoOrani),0)</f>
        <v/>
      </c>
      <c r="O562" s="124">
        <f>$N562-$K562</f>
        <v/>
      </c>
      <c r="P562" s="124">
        <f>IF($J562&lt;=0,"DEĞERLENDİR",IF($O562&gt;0,"YENİDEN DEĞERLE","DEĞERLENDİR"))</f>
        <v/>
      </c>
      <c r="Q562" s="124">
        <f>IF($B562="","",CONCATENATE("Kıymet: ",$B562," | Değer Artışı: ",TEXT($J562,"#,##0")))</f>
        <v/>
      </c>
    </row>
    <row r="563" ht="15.75" customHeight="1" s="81">
      <c r="A563" s="129" t="n"/>
      <c r="B563" s="130" t="n"/>
      <c r="C563" s="127" t="n"/>
      <c r="D563" s="127" t="n"/>
      <c r="E563" s="124">
        <f>IF($C563=0,0,$C563-$D563)</f>
        <v/>
      </c>
      <c r="F563" s="128" t="n"/>
      <c r="G563" s="129" t="n"/>
      <c r="H563" s="131" t="n"/>
      <c r="I563" s="124">
        <f>IF($E563=0,0,$E563*$H563)</f>
        <v/>
      </c>
      <c r="J563" s="124">
        <f>IF($I563=0,0,$I563-$E563)</f>
        <v/>
      </c>
      <c r="K563" s="124">
        <f>IF($J563=0,0,$J563*YenidegerFonOran)</f>
        <v/>
      </c>
      <c r="L563" s="124">
        <f>IF($G563=0,0,$J563/$G563)</f>
        <v/>
      </c>
      <c r="M563" s="124">
        <f>IF($L563=0,0,$L563*YenidegerKurumlarVergiOran)</f>
        <v/>
      </c>
      <c r="N563" s="124">
        <f>IFERROR(IF(YenidegerIskontoOrani=0,$M563*$G563,$M563*(1-1/(1+YenidegerIskontoOrani)^$G563)/YenidegerIskontoOrani),0)</f>
        <v/>
      </c>
      <c r="O563" s="124">
        <f>$N563-$K563</f>
        <v/>
      </c>
      <c r="P563" s="124">
        <f>IF($J563&lt;=0,"DEĞERLENDİR",IF($O563&gt;0,"YENİDEN DEĞERLE","DEĞERLENDİR"))</f>
        <v/>
      </c>
      <c r="Q563" s="124">
        <f>IF($B563="","",CONCATENATE("Kıymet: ",$B563," | Değer Artışı: ",TEXT($J563,"#,##0")))</f>
        <v/>
      </c>
    </row>
    <row r="564" ht="15.75" customHeight="1" s="81">
      <c r="A564" s="129" t="n"/>
      <c r="B564" s="130" t="n"/>
      <c r="C564" s="127" t="n"/>
      <c r="D564" s="127" t="n"/>
      <c r="E564" s="124">
        <f>IF($C564=0,0,$C564-$D564)</f>
        <v/>
      </c>
      <c r="F564" s="128" t="n"/>
      <c r="G564" s="129" t="n"/>
      <c r="H564" s="131" t="n"/>
      <c r="I564" s="124">
        <f>IF($E564=0,0,$E564*$H564)</f>
        <v/>
      </c>
      <c r="J564" s="124">
        <f>IF($I564=0,0,$I564-$E564)</f>
        <v/>
      </c>
      <c r="K564" s="124">
        <f>IF($J564=0,0,$J564*YenidegerFonOran)</f>
        <v/>
      </c>
      <c r="L564" s="124">
        <f>IF($G564=0,0,$J564/$G564)</f>
        <v/>
      </c>
      <c r="M564" s="124">
        <f>IF($L564=0,0,$L564*YenidegerKurumlarVergiOran)</f>
        <v/>
      </c>
      <c r="N564" s="124">
        <f>IFERROR(IF(YenidegerIskontoOrani=0,$M564*$G564,$M564*(1-1/(1+YenidegerIskontoOrani)^$G564)/YenidegerIskontoOrani),0)</f>
        <v/>
      </c>
      <c r="O564" s="124">
        <f>$N564-$K564</f>
        <v/>
      </c>
      <c r="P564" s="124">
        <f>IF($J564&lt;=0,"DEĞERLENDİR",IF($O564&gt;0,"YENİDEN DEĞERLE","DEĞERLENDİR"))</f>
        <v/>
      </c>
      <c r="Q564" s="124">
        <f>IF($B564="","",CONCATENATE("Kıymet: ",$B564," | Değer Artışı: ",TEXT($J564,"#,##0")))</f>
        <v/>
      </c>
    </row>
    <row r="565" ht="15.75" customHeight="1" s="81">
      <c r="A565" s="129" t="n"/>
      <c r="B565" s="130" t="n"/>
      <c r="C565" s="127" t="n"/>
      <c r="D565" s="127" t="n"/>
      <c r="E565" s="124">
        <f>IF($C565=0,0,$C565-$D565)</f>
        <v/>
      </c>
      <c r="F565" s="128" t="n"/>
      <c r="G565" s="129" t="n"/>
      <c r="H565" s="131" t="n"/>
      <c r="I565" s="124">
        <f>IF($E565=0,0,$E565*$H565)</f>
        <v/>
      </c>
      <c r="J565" s="124">
        <f>IF($I565=0,0,$I565-$E565)</f>
        <v/>
      </c>
      <c r="K565" s="124">
        <f>IF($J565=0,0,$J565*YenidegerFonOran)</f>
        <v/>
      </c>
      <c r="L565" s="124">
        <f>IF($G565=0,0,$J565/$G565)</f>
        <v/>
      </c>
      <c r="M565" s="124">
        <f>IF($L565=0,0,$L565*YenidegerKurumlarVergiOran)</f>
        <v/>
      </c>
      <c r="N565" s="124">
        <f>IFERROR(IF(YenidegerIskontoOrani=0,$M565*$G565,$M565*(1-1/(1+YenidegerIskontoOrani)^$G565)/YenidegerIskontoOrani),0)</f>
        <v/>
      </c>
      <c r="O565" s="124">
        <f>$N565-$K565</f>
        <v/>
      </c>
      <c r="P565" s="124">
        <f>IF($J565&lt;=0,"DEĞERLENDİR",IF($O565&gt;0,"YENİDEN DEĞERLE","DEĞERLENDİR"))</f>
        <v/>
      </c>
      <c r="Q565" s="124">
        <f>IF($B565="","",CONCATENATE("Kıymet: ",$B565," | Değer Artışı: ",TEXT($J565,"#,##0")))</f>
        <v/>
      </c>
    </row>
    <row r="566" ht="15.75" customHeight="1" s="81">
      <c r="A566" s="129" t="n"/>
      <c r="B566" s="130" t="n"/>
      <c r="C566" s="127" t="n"/>
      <c r="D566" s="127" t="n"/>
      <c r="E566" s="124">
        <f>IF($C566=0,0,$C566-$D566)</f>
        <v/>
      </c>
      <c r="F566" s="128" t="n"/>
      <c r="G566" s="129" t="n"/>
      <c r="H566" s="131" t="n"/>
      <c r="I566" s="124">
        <f>IF($E566=0,0,$E566*$H566)</f>
        <v/>
      </c>
      <c r="J566" s="124">
        <f>IF($I566=0,0,$I566-$E566)</f>
        <v/>
      </c>
      <c r="K566" s="124">
        <f>IF($J566=0,0,$J566*YenidegerFonOran)</f>
        <v/>
      </c>
      <c r="L566" s="124">
        <f>IF($G566=0,0,$J566/$G566)</f>
        <v/>
      </c>
      <c r="M566" s="124">
        <f>IF($L566=0,0,$L566*YenidegerKurumlarVergiOran)</f>
        <v/>
      </c>
      <c r="N566" s="124">
        <f>IFERROR(IF(YenidegerIskontoOrani=0,$M566*$G566,$M566*(1-1/(1+YenidegerIskontoOrani)^$G566)/YenidegerIskontoOrani),0)</f>
        <v/>
      </c>
      <c r="O566" s="124">
        <f>$N566-$K566</f>
        <v/>
      </c>
      <c r="P566" s="124">
        <f>IF($J566&lt;=0,"DEĞERLENDİR",IF($O566&gt;0,"YENİDEN DEĞERLE","DEĞERLENDİR"))</f>
        <v/>
      </c>
      <c r="Q566" s="124">
        <f>IF($B566="","",CONCATENATE("Kıymet: ",$B566," | Değer Artışı: ",TEXT($J566,"#,##0")))</f>
        <v/>
      </c>
    </row>
    <row r="567" ht="15.75" customHeight="1" s="81">
      <c r="A567" s="129" t="n"/>
      <c r="B567" s="130" t="n"/>
      <c r="C567" s="127" t="n"/>
      <c r="D567" s="127" t="n"/>
      <c r="E567" s="124">
        <f>IF($C567=0,0,$C567-$D567)</f>
        <v/>
      </c>
      <c r="F567" s="128" t="n"/>
      <c r="G567" s="129" t="n"/>
      <c r="H567" s="131" t="n"/>
      <c r="I567" s="124">
        <f>IF($E567=0,0,$E567*$H567)</f>
        <v/>
      </c>
      <c r="J567" s="124">
        <f>IF($I567=0,0,$I567-$E567)</f>
        <v/>
      </c>
      <c r="K567" s="124">
        <f>IF($J567=0,0,$J567*YenidegerFonOran)</f>
        <v/>
      </c>
      <c r="L567" s="124">
        <f>IF($G567=0,0,$J567/$G567)</f>
        <v/>
      </c>
      <c r="M567" s="124">
        <f>IF($L567=0,0,$L567*YenidegerKurumlarVergiOran)</f>
        <v/>
      </c>
      <c r="N567" s="124">
        <f>IFERROR(IF(YenidegerIskontoOrani=0,$M567*$G567,$M567*(1-1/(1+YenidegerIskontoOrani)^$G567)/YenidegerIskontoOrani),0)</f>
        <v/>
      </c>
      <c r="O567" s="124">
        <f>$N567-$K567</f>
        <v/>
      </c>
      <c r="P567" s="124">
        <f>IF($J567&lt;=0,"DEĞERLENDİR",IF($O567&gt;0,"YENİDEN DEĞERLE","DEĞERLENDİR"))</f>
        <v/>
      </c>
      <c r="Q567" s="124">
        <f>IF($B567="","",CONCATENATE("Kıymet: ",$B567," | Değer Artışı: ",TEXT($J567,"#,##0")))</f>
        <v/>
      </c>
    </row>
    <row r="568" ht="15.75" customHeight="1" s="81">
      <c r="A568" s="129" t="n"/>
      <c r="B568" s="130" t="n"/>
      <c r="C568" s="127" t="n"/>
      <c r="D568" s="127" t="n"/>
      <c r="E568" s="124">
        <f>IF($C568=0,0,$C568-$D568)</f>
        <v/>
      </c>
      <c r="F568" s="128" t="n"/>
      <c r="G568" s="129" t="n"/>
      <c r="H568" s="131" t="n"/>
      <c r="I568" s="124">
        <f>IF($E568=0,0,$E568*$H568)</f>
        <v/>
      </c>
      <c r="J568" s="124">
        <f>IF($I568=0,0,$I568-$E568)</f>
        <v/>
      </c>
      <c r="K568" s="124">
        <f>IF($J568=0,0,$J568*YenidegerFonOran)</f>
        <v/>
      </c>
      <c r="L568" s="124">
        <f>IF($G568=0,0,$J568/$G568)</f>
        <v/>
      </c>
      <c r="M568" s="124">
        <f>IF($L568=0,0,$L568*YenidegerKurumlarVergiOran)</f>
        <v/>
      </c>
      <c r="N568" s="124">
        <f>IFERROR(IF(YenidegerIskontoOrani=0,$M568*$G568,$M568*(1-1/(1+YenidegerIskontoOrani)^$G568)/YenidegerIskontoOrani),0)</f>
        <v/>
      </c>
      <c r="O568" s="124">
        <f>$N568-$K568</f>
        <v/>
      </c>
      <c r="P568" s="124">
        <f>IF($J568&lt;=0,"DEĞERLENDİR",IF($O568&gt;0,"YENİDEN DEĞERLE","DEĞERLENDİR"))</f>
        <v/>
      </c>
      <c r="Q568" s="124">
        <f>IF($B568="","",CONCATENATE("Kıymet: ",$B568," | Değer Artışı: ",TEXT($J568,"#,##0")))</f>
        <v/>
      </c>
    </row>
    <row r="569" ht="15.75" customHeight="1" s="81">
      <c r="A569" s="129" t="n"/>
      <c r="B569" s="130" t="n"/>
      <c r="C569" s="127" t="n"/>
      <c r="D569" s="127" t="n"/>
      <c r="E569" s="124">
        <f>IF($C569=0,0,$C569-$D569)</f>
        <v/>
      </c>
      <c r="F569" s="128" t="n"/>
      <c r="G569" s="129" t="n"/>
      <c r="H569" s="131" t="n"/>
      <c r="I569" s="124">
        <f>IF($E569=0,0,$E569*$H569)</f>
        <v/>
      </c>
      <c r="J569" s="124">
        <f>IF($I569=0,0,$I569-$E569)</f>
        <v/>
      </c>
      <c r="K569" s="124">
        <f>IF($J569=0,0,$J569*YenidegerFonOran)</f>
        <v/>
      </c>
      <c r="L569" s="124">
        <f>IF($G569=0,0,$J569/$G569)</f>
        <v/>
      </c>
      <c r="M569" s="124">
        <f>IF($L569=0,0,$L569*YenidegerKurumlarVergiOran)</f>
        <v/>
      </c>
      <c r="N569" s="124">
        <f>IFERROR(IF(YenidegerIskontoOrani=0,$M569*$G569,$M569*(1-1/(1+YenidegerIskontoOrani)^$G569)/YenidegerIskontoOrani),0)</f>
        <v/>
      </c>
      <c r="O569" s="124">
        <f>$N569-$K569</f>
        <v/>
      </c>
      <c r="P569" s="124">
        <f>IF($J569&lt;=0,"DEĞERLENDİR",IF($O569&gt;0,"YENİDEN DEĞERLE","DEĞERLENDİR"))</f>
        <v/>
      </c>
      <c r="Q569" s="124">
        <f>IF($B569="","",CONCATENATE("Kıymet: ",$B569," | Değer Artışı: ",TEXT($J569,"#,##0")))</f>
        <v/>
      </c>
    </row>
    <row r="570" ht="15.75" customHeight="1" s="81">
      <c r="A570" s="129" t="n"/>
      <c r="B570" s="130" t="n"/>
      <c r="C570" s="127" t="n"/>
      <c r="D570" s="127" t="n"/>
      <c r="E570" s="124">
        <f>IF($C570=0,0,$C570-$D570)</f>
        <v/>
      </c>
      <c r="F570" s="128" t="n"/>
      <c r="G570" s="129" t="n"/>
      <c r="H570" s="131" t="n"/>
      <c r="I570" s="124">
        <f>IF($E570=0,0,$E570*$H570)</f>
        <v/>
      </c>
      <c r="J570" s="124">
        <f>IF($I570=0,0,$I570-$E570)</f>
        <v/>
      </c>
      <c r="K570" s="124">
        <f>IF($J570=0,0,$J570*YenidegerFonOran)</f>
        <v/>
      </c>
      <c r="L570" s="124">
        <f>IF($G570=0,0,$J570/$G570)</f>
        <v/>
      </c>
      <c r="M570" s="124">
        <f>IF($L570=0,0,$L570*YenidegerKurumlarVergiOran)</f>
        <v/>
      </c>
      <c r="N570" s="124">
        <f>IFERROR(IF(YenidegerIskontoOrani=0,$M570*$G570,$M570*(1-1/(1+YenidegerIskontoOrani)^$G570)/YenidegerIskontoOrani),0)</f>
        <v/>
      </c>
      <c r="O570" s="124">
        <f>$N570-$K570</f>
        <v/>
      </c>
      <c r="P570" s="124">
        <f>IF($J570&lt;=0,"DEĞERLENDİR",IF($O570&gt;0,"YENİDEN DEĞERLE","DEĞERLENDİR"))</f>
        <v/>
      </c>
      <c r="Q570" s="124">
        <f>IF($B570="","",CONCATENATE("Kıymet: ",$B570," | Değer Artışı: ",TEXT($J570,"#,##0")))</f>
        <v/>
      </c>
    </row>
    <row r="571" ht="15.75" customHeight="1" s="81">
      <c r="A571" s="129" t="n"/>
      <c r="B571" s="130" t="n"/>
      <c r="C571" s="127" t="n"/>
      <c r="D571" s="127" t="n"/>
      <c r="E571" s="124">
        <f>IF($C571=0,0,$C571-$D571)</f>
        <v/>
      </c>
      <c r="F571" s="128" t="n"/>
      <c r="G571" s="129" t="n"/>
      <c r="H571" s="131" t="n"/>
      <c r="I571" s="124">
        <f>IF($E571=0,0,$E571*$H571)</f>
        <v/>
      </c>
      <c r="J571" s="124">
        <f>IF($I571=0,0,$I571-$E571)</f>
        <v/>
      </c>
      <c r="K571" s="124">
        <f>IF($J571=0,0,$J571*YenidegerFonOran)</f>
        <v/>
      </c>
      <c r="L571" s="124">
        <f>IF($G571=0,0,$J571/$G571)</f>
        <v/>
      </c>
      <c r="M571" s="124">
        <f>IF($L571=0,0,$L571*YenidegerKurumlarVergiOran)</f>
        <v/>
      </c>
      <c r="N571" s="124">
        <f>IFERROR(IF(YenidegerIskontoOrani=0,$M571*$G571,$M571*(1-1/(1+YenidegerIskontoOrani)^$G571)/YenidegerIskontoOrani),0)</f>
        <v/>
      </c>
      <c r="O571" s="124">
        <f>$N571-$K571</f>
        <v/>
      </c>
      <c r="P571" s="124">
        <f>IF($J571&lt;=0,"DEĞERLENDİR",IF($O571&gt;0,"YENİDEN DEĞERLE","DEĞERLENDİR"))</f>
        <v/>
      </c>
      <c r="Q571" s="124">
        <f>IF($B571="","",CONCATENATE("Kıymet: ",$B571," | Değer Artışı: ",TEXT($J571,"#,##0")))</f>
        <v/>
      </c>
    </row>
    <row r="572" ht="15.75" customHeight="1" s="81">
      <c r="A572" s="129" t="n"/>
      <c r="B572" s="130" t="n"/>
      <c r="C572" s="127" t="n"/>
      <c r="D572" s="127" t="n"/>
      <c r="E572" s="124">
        <f>IF($C572=0,0,$C572-$D572)</f>
        <v/>
      </c>
      <c r="F572" s="128" t="n"/>
      <c r="G572" s="129" t="n"/>
      <c r="H572" s="131" t="n"/>
      <c r="I572" s="124">
        <f>IF($E572=0,0,$E572*$H572)</f>
        <v/>
      </c>
      <c r="J572" s="124">
        <f>IF($I572=0,0,$I572-$E572)</f>
        <v/>
      </c>
      <c r="K572" s="124">
        <f>IF($J572=0,0,$J572*YenidegerFonOran)</f>
        <v/>
      </c>
      <c r="L572" s="124">
        <f>IF($G572=0,0,$J572/$G572)</f>
        <v/>
      </c>
      <c r="M572" s="124">
        <f>IF($L572=0,0,$L572*YenidegerKurumlarVergiOran)</f>
        <v/>
      </c>
      <c r="N572" s="124">
        <f>IFERROR(IF(YenidegerIskontoOrani=0,$M572*$G572,$M572*(1-1/(1+YenidegerIskontoOrani)^$G572)/YenidegerIskontoOrani),0)</f>
        <v/>
      </c>
      <c r="O572" s="124">
        <f>$N572-$K572</f>
        <v/>
      </c>
      <c r="P572" s="124">
        <f>IF($J572&lt;=0,"DEĞERLENDİR",IF($O572&gt;0,"YENİDEN DEĞERLE","DEĞERLENDİR"))</f>
        <v/>
      </c>
      <c r="Q572" s="124">
        <f>IF($B572="","",CONCATENATE("Kıymet: ",$B572," | Değer Artışı: ",TEXT($J572,"#,##0")))</f>
        <v/>
      </c>
    </row>
    <row r="573" ht="15.75" customHeight="1" s="81">
      <c r="A573" s="129" t="n"/>
      <c r="B573" s="130" t="n"/>
      <c r="C573" s="127" t="n"/>
      <c r="D573" s="127" t="n"/>
      <c r="E573" s="124">
        <f>IF($C573=0,0,$C573-$D573)</f>
        <v/>
      </c>
      <c r="F573" s="128" t="n"/>
      <c r="G573" s="129" t="n"/>
      <c r="H573" s="131" t="n"/>
      <c r="I573" s="124">
        <f>IF($E573=0,0,$E573*$H573)</f>
        <v/>
      </c>
      <c r="J573" s="124">
        <f>IF($I573=0,0,$I573-$E573)</f>
        <v/>
      </c>
      <c r="K573" s="124">
        <f>IF($J573=0,0,$J573*YenidegerFonOran)</f>
        <v/>
      </c>
      <c r="L573" s="124">
        <f>IF($G573=0,0,$J573/$G573)</f>
        <v/>
      </c>
      <c r="M573" s="124">
        <f>IF($L573=0,0,$L573*YenidegerKurumlarVergiOran)</f>
        <v/>
      </c>
      <c r="N573" s="124">
        <f>IFERROR(IF(YenidegerIskontoOrani=0,$M573*$G573,$M573*(1-1/(1+YenidegerIskontoOrani)^$G573)/YenidegerIskontoOrani),0)</f>
        <v/>
      </c>
      <c r="O573" s="124">
        <f>$N573-$K573</f>
        <v/>
      </c>
      <c r="P573" s="124">
        <f>IF($J573&lt;=0,"DEĞERLENDİR",IF($O573&gt;0,"YENİDEN DEĞERLE","DEĞERLENDİR"))</f>
        <v/>
      </c>
      <c r="Q573" s="124">
        <f>IF($B573="","",CONCATENATE("Kıymet: ",$B573," | Değer Artışı: ",TEXT($J573,"#,##0")))</f>
        <v/>
      </c>
    </row>
    <row r="574" ht="15.75" customHeight="1" s="81">
      <c r="A574" s="129" t="n"/>
      <c r="B574" s="130" t="n"/>
      <c r="C574" s="127" t="n"/>
      <c r="D574" s="127" t="n"/>
      <c r="E574" s="124">
        <f>IF($C574=0,0,$C574-$D574)</f>
        <v/>
      </c>
      <c r="F574" s="128" t="n"/>
      <c r="G574" s="129" t="n"/>
      <c r="H574" s="131" t="n"/>
      <c r="I574" s="124">
        <f>IF($E574=0,0,$E574*$H574)</f>
        <v/>
      </c>
      <c r="J574" s="124">
        <f>IF($I574=0,0,$I574-$E574)</f>
        <v/>
      </c>
      <c r="K574" s="124">
        <f>IF($J574=0,0,$J574*YenidegerFonOran)</f>
        <v/>
      </c>
      <c r="L574" s="124">
        <f>IF($G574=0,0,$J574/$G574)</f>
        <v/>
      </c>
      <c r="M574" s="124">
        <f>IF($L574=0,0,$L574*YenidegerKurumlarVergiOran)</f>
        <v/>
      </c>
      <c r="N574" s="124">
        <f>IFERROR(IF(YenidegerIskontoOrani=0,$M574*$G574,$M574*(1-1/(1+YenidegerIskontoOrani)^$G574)/YenidegerIskontoOrani),0)</f>
        <v/>
      </c>
      <c r="O574" s="124">
        <f>$N574-$K574</f>
        <v/>
      </c>
      <c r="P574" s="124">
        <f>IF($J574&lt;=0,"DEĞERLENDİR",IF($O574&gt;0,"YENİDEN DEĞERLE","DEĞERLENDİR"))</f>
        <v/>
      </c>
      <c r="Q574" s="124">
        <f>IF($B574="","",CONCATENATE("Kıymet: ",$B574," | Değer Artışı: ",TEXT($J574,"#,##0")))</f>
        <v/>
      </c>
    </row>
    <row r="575" ht="15.75" customHeight="1" s="81">
      <c r="A575" s="129" t="n"/>
      <c r="B575" s="130" t="n"/>
      <c r="C575" s="127" t="n"/>
      <c r="D575" s="127" t="n"/>
      <c r="E575" s="124">
        <f>IF($C575=0,0,$C575-$D575)</f>
        <v/>
      </c>
      <c r="F575" s="128" t="n"/>
      <c r="G575" s="129" t="n"/>
      <c r="H575" s="131" t="n"/>
      <c r="I575" s="124">
        <f>IF($E575=0,0,$E575*$H575)</f>
        <v/>
      </c>
      <c r="J575" s="124">
        <f>IF($I575=0,0,$I575-$E575)</f>
        <v/>
      </c>
      <c r="K575" s="124">
        <f>IF($J575=0,0,$J575*YenidegerFonOran)</f>
        <v/>
      </c>
      <c r="L575" s="124">
        <f>IF($G575=0,0,$J575/$G575)</f>
        <v/>
      </c>
      <c r="M575" s="124">
        <f>IF($L575=0,0,$L575*YenidegerKurumlarVergiOran)</f>
        <v/>
      </c>
      <c r="N575" s="124">
        <f>IFERROR(IF(YenidegerIskontoOrani=0,$M575*$G575,$M575*(1-1/(1+YenidegerIskontoOrani)^$G575)/YenidegerIskontoOrani),0)</f>
        <v/>
      </c>
      <c r="O575" s="124">
        <f>$N575-$K575</f>
        <v/>
      </c>
      <c r="P575" s="124">
        <f>IF($J575&lt;=0,"DEĞERLENDİR",IF($O575&gt;0,"YENİDEN DEĞERLE","DEĞERLENDİR"))</f>
        <v/>
      </c>
      <c r="Q575" s="124">
        <f>IF($B575="","",CONCATENATE("Kıymet: ",$B575," | Değer Artışı: ",TEXT($J575,"#,##0")))</f>
        <v/>
      </c>
    </row>
    <row r="576" ht="15.75" customHeight="1" s="81">
      <c r="A576" s="129" t="n"/>
      <c r="B576" s="130" t="n"/>
      <c r="C576" s="127" t="n"/>
      <c r="D576" s="127" t="n"/>
      <c r="E576" s="124">
        <f>IF($C576=0,0,$C576-$D576)</f>
        <v/>
      </c>
      <c r="F576" s="128" t="n"/>
      <c r="G576" s="129" t="n"/>
      <c r="H576" s="131" t="n"/>
      <c r="I576" s="124">
        <f>IF($E576=0,0,$E576*$H576)</f>
        <v/>
      </c>
      <c r="J576" s="124">
        <f>IF($I576=0,0,$I576-$E576)</f>
        <v/>
      </c>
      <c r="K576" s="124">
        <f>IF($J576=0,0,$J576*YenidegerFonOran)</f>
        <v/>
      </c>
      <c r="L576" s="124">
        <f>IF($G576=0,0,$J576/$G576)</f>
        <v/>
      </c>
      <c r="M576" s="124">
        <f>IF($L576=0,0,$L576*YenidegerKurumlarVergiOran)</f>
        <v/>
      </c>
      <c r="N576" s="124">
        <f>IFERROR(IF(YenidegerIskontoOrani=0,$M576*$G576,$M576*(1-1/(1+YenidegerIskontoOrani)^$G576)/YenidegerIskontoOrani),0)</f>
        <v/>
      </c>
      <c r="O576" s="124">
        <f>$N576-$K576</f>
        <v/>
      </c>
      <c r="P576" s="124">
        <f>IF($J576&lt;=0,"DEĞERLENDİR",IF($O576&gt;0,"YENİDEN DEĞERLE","DEĞERLENDİR"))</f>
        <v/>
      </c>
      <c r="Q576" s="124">
        <f>IF($B576="","",CONCATENATE("Kıymet: ",$B576," | Değer Artışı: ",TEXT($J576,"#,##0")))</f>
        <v/>
      </c>
    </row>
    <row r="577" ht="15.75" customHeight="1" s="81">
      <c r="A577" s="129" t="n"/>
      <c r="B577" s="130" t="n"/>
      <c r="C577" s="127" t="n"/>
      <c r="D577" s="127" t="n"/>
      <c r="E577" s="124">
        <f>IF($C577=0,0,$C577-$D577)</f>
        <v/>
      </c>
      <c r="F577" s="128" t="n"/>
      <c r="G577" s="129" t="n"/>
      <c r="H577" s="131" t="n"/>
      <c r="I577" s="124">
        <f>IF($E577=0,0,$E577*$H577)</f>
        <v/>
      </c>
      <c r="J577" s="124">
        <f>IF($I577=0,0,$I577-$E577)</f>
        <v/>
      </c>
      <c r="K577" s="124">
        <f>IF($J577=0,0,$J577*YenidegerFonOran)</f>
        <v/>
      </c>
      <c r="L577" s="124">
        <f>IF($G577=0,0,$J577/$G577)</f>
        <v/>
      </c>
      <c r="M577" s="124">
        <f>IF($L577=0,0,$L577*YenidegerKurumlarVergiOran)</f>
        <v/>
      </c>
      <c r="N577" s="124">
        <f>IFERROR(IF(YenidegerIskontoOrani=0,$M577*$G577,$M577*(1-1/(1+YenidegerIskontoOrani)^$G577)/YenidegerIskontoOrani),0)</f>
        <v/>
      </c>
      <c r="O577" s="124">
        <f>$N577-$K577</f>
        <v/>
      </c>
      <c r="P577" s="124">
        <f>IF($J577&lt;=0,"DEĞERLENDİR",IF($O577&gt;0,"YENİDEN DEĞERLE","DEĞERLENDİR"))</f>
        <v/>
      </c>
      <c r="Q577" s="124">
        <f>IF($B577="","",CONCATENATE("Kıymet: ",$B577," | Değer Artışı: ",TEXT($J577,"#,##0")))</f>
        <v/>
      </c>
    </row>
    <row r="578" ht="15.75" customHeight="1" s="81">
      <c r="A578" s="129" t="n"/>
      <c r="B578" s="130" t="n"/>
      <c r="C578" s="127" t="n"/>
      <c r="D578" s="127" t="n"/>
      <c r="E578" s="124">
        <f>IF($C578=0,0,$C578-$D578)</f>
        <v/>
      </c>
      <c r="F578" s="128" t="n"/>
      <c r="G578" s="129" t="n"/>
      <c r="H578" s="131" t="n"/>
      <c r="I578" s="124">
        <f>IF($E578=0,0,$E578*$H578)</f>
        <v/>
      </c>
      <c r="J578" s="124">
        <f>IF($I578=0,0,$I578-$E578)</f>
        <v/>
      </c>
      <c r="K578" s="124">
        <f>IF($J578=0,0,$J578*YenidegerFonOran)</f>
        <v/>
      </c>
      <c r="L578" s="124">
        <f>IF($G578=0,0,$J578/$G578)</f>
        <v/>
      </c>
      <c r="M578" s="124">
        <f>IF($L578=0,0,$L578*YenidegerKurumlarVergiOran)</f>
        <v/>
      </c>
      <c r="N578" s="124">
        <f>IFERROR(IF(YenidegerIskontoOrani=0,$M578*$G578,$M578*(1-1/(1+YenidegerIskontoOrani)^$G578)/YenidegerIskontoOrani),0)</f>
        <v/>
      </c>
      <c r="O578" s="124">
        <f>$N578-$K578</f>
        <v/>
      </c>
      <c r="P578" s="124">
        <f>IF($J578&lt;=0,"DEĞERLENDİR",IF($O578&gt;0,"YENİDEN DEĞERLE","DEĞERLENDİR"))</f>
        <v/>
      </c>
      <c r="Q578" s="124">
        <f>IF($B578="","",CONCATENATE("Kıymet: ",$B578," | Değer Artışı: ",TEXT($J578,"#,##0")))</f>
        <v/>
      </c>
    </row>
    <row r="579" ht="15.75" customHeight="1" s="81">
      <c r="A579" s="129" t="n"/>
      <c r="B579" s="130" t="n"/>
      <c r="C579" s="127" t="n"/>
      <c r="D579" s="127" t="n"/>
      <c r="E579" s="124">
        <f>IF($C579=0,0,$C579-$D579)</f>
        <v/>
      </c>
      <c r="F579" s="128" t="n"/>
      <c r="G579" s="129" t="n"/>
      <c r="H579" s="131" t="n"/>
      <c r="I579" s="124">
        <f>IF($E579=0,0,$E579*$H579)</f>
        <v/>
      </c>
      <c r="J579" s="124">
        <f>IF($I579=0,0,$I579-$E579)</f>
        <v/>
      </c>
      <c r="K579" s="124">
        <f>IF($J579=0,0,$J579*YenidegerFonOran)</f>
        <v/>
      </c>
      <c r="L579" s="124">
        <f>IF($G579=0,0,$J579/$G579)</f>
        <v/>
      </c>
      <c r="M579" s="124">
        <f>IF($L579=0,0,$L579*YenidegerKurumlarVergiOran)</f>
        <v/>
      </c>
      <c r="N579" s="124">
        <f>IFERROR(IF(YenidegerIskontoOrani=0,$M579*$G579,$M579*(1-1/(1+YenidegerIskontoOrani)^$G579)/YenidegerIskontoOrani),0)</f>
        <v/>
      </c>
      <c r="O579" s="124">
        <f>$N579-$K579</f>
        <v/>
      </c>
      <c r="P579" s="124">
        <f>IF($J579&lt;=0,"DEĞERLENDİR",IF($O579&gt;0,"YENİDEN DEĞERLE","DEĞERLENDİR"))</f>
        <v/>
      </c>
      <c r="Q579" s="124">
        <f>IF($B579="","",CONCATENATE("Kıymet: ",$B579," | Değer Artışı: ",TEXT($J579,"#,##0")))</f>
        <v/>
      </c>
    </row>
    <row r="580" ht="15.75" customHeight="1" s="81">
      <c r="A580" s="129" t="n"/>
      <c r="B580" s="130" t="n"/>
      <c r="C580" s="127" t="n"/>
      <c r="D580" s="127" t="n"/>
      <c r="E580" s="124">
        <f>IF($C580=0,0,$C580-$D580)</f>
        <v/>
      </c>
      <c r="F580" s="128" t="n"/>
      <c r="G580" s="129" t="n"/>
      <c r="H580" s="131" t="n"/>
      <c r="I580" s="124">
        <f>IF($E580=0,0,$E580*$H580)</f>
        <v/>
      </c>
      <c r="J580" s="124">
        <f>IF($I580=0,0,$I580-$E580)</f>
        <v/>
      </c>
      <c r="K580" s="124">
        <f>IF($J580=0,0,$J580*YenidegerFonOran)</f>
        <v/>
      </c>
      <c r="L580" s="124">
        <f>IF($G580=0,0,$J580/$G580)</f>
        <v/>
      </c>
      <c r="M580" s="124">
        <f>IF($L580=0,0,$L580*YenidegerKurumlarVergiOran)</f>
        <v/>
      </c>
      <c r="N580" s="124">
        <f>IFERROR(IF(YenidegerIskontoOrani=0,$M580*$G580,$M580*(1-1/(1+YenidegerIskontoOrani)^$G580)/YenidegerIskontoOrani),0)</f>
        <v/>
      </c>
      <c r="O580" s="124">
        <f>$N580-$K580</f>
        <v/>
      </c>
      <c r="P580" s="124">
        <f>IF($J580&lt;=0,"DEĞERLENDİR",IF($O580&gt;0,"YENİDEN DEĞERLE","DEĞERLENDİR"))</f>
        <v/>
      </c>
      <c r="Q580" s="124">
        <f>IF($B580="","",CONCATENATE("Kıymet: ",$B580," | Değer Artışı: ",TEXT($J580,"#,##0")))</f>
        <v/>
      </c>
    </row>
    <row r="581" ht="15.75" customHeight="1" s="81">
      <c r="A581" s="129" t="n"/>
      <c r="B581" s="130" t="n"/>
      <c r="C581" s="127" t="n"/>
      <c r="D581" s="127" t="n"/>
      <c r="E581" s="124">
        <f>IF($C581=0,0,$C581-$D581)</f>
        <v/>
      </c>
      <c r="F581" s="128" t="n"/>
      <c r="G581" s="129" t="n"/>
      <c r="H581" s="131" t="n"/>
      <c r="I581" s="124">
        <f>IF($E581=0,0,$E581*$H581)</f>
        <v/>
      </c>
      <c r="J581" s="124">
        <f>IF($I581=0,0,$I581-$E581)</f>
        <v/>
      </c>
      <c r="K581" s="124">
        <f>IF($J581=0,0,$J581*YenidegerFonOran)</f>
        <v/>
      </c>
      <c r="L581" s="124">
        <f>IF($G581=0,0,$J581/$G581)</f>
        <v/>
      </c>
      <c r="M581" s="124">
        <f>IF($L581=0,0,$L581*YenidegerKurumlarVergiOran)</f>
        <v/>
      </c>
      <c r="N581" s="124">
        <f>IFERROR(IF(YenidegerIskontoOrani=0,$M581*$G581,$M581*(1-1/(1+YenidegerIskontoOrani)^$G581)/YenidegerIskontoOrani),0)</f>
        <v/>
      </c>
      <c r="O581" s="124">
        <f>$N581-$K581</f>
        <v/>
      </c>
      <c r="P581" s="124">
        <f>IF($J581&lt;=0,"DEĞERLENDİR",IF($O581&gt;0,"YENİDEN DEĞERLE","DEĞERLENDİR"))</f>
        <v/>
      </c>
      <c r="Q581" s="124">
        <f>IF($B581="","",CONCATENATE("Kıymet: ",$B581," | Değer Artışı: ",TEXT($J581,"#,##0")))</f>
        <v/>
      </c>
    </row>
    <row r="582" ht="15.75" customHeight="1" s="81">
      <c r="A582" s="129" t="n"/>
      <c r="B582" s="130" t="n"/>
      <c r="C582" s="127" t="n"/>
      <c r="D582" s="127" t="n"/>
      <c r="E582" s="124">
        <f>IF($C582=0,0,$C582-$D582)</f>
        <v/>
      </c>
      <c r="F582" s="128" t="n"/>
      <c r="G582" s="129" t="n"/>
      <c r="H582" s="131" t="n"/>
      <c r="I582" s="124">
        <f>IF($E582=0,0,$E582*$H582)</f>
        <v/>
      </c>
      <c r="J582" s="124">
        <f>IF($I582=0,0,$I582-$E582)</f>
        <v/>
      </c>
      <c r="K582" s="124">
        <f>IF($J582=0,0,$J582*YenidegerFonOran)</f>
        <v/>
      </c>
      <c r="L582" s="124">
        <f>IF($G582=0,0,$J582/$G582)</f>
        <v/>
      </c>
      <c r="M582" s="124">
        <f>IF($L582=0,0,$L582*YenidegerKurumlarVergiOran)</f>
        <v/>
      </c>
      <c r="N582" s="124">
        <f>IFERROR(IF(YenidegerIskontoOrani=0,$M582*$G582,$M582*(1-1/(1+YenidegerIskontoOrani)^$G582)/YenidegerIskontoOrani),0)</f>
        <v/>
      </c>
      <c r="O582" s="124">
        <f>$N582-$K582</f>
        <v/>
      </c>
      <c r="P582" s="124">
        <f>IF($J582&lt;=0,"DEĞERLENDİR",IF($O582&gt;0,"YENİDEN DEĞERLE","DEĞERLENDİR"))</f>
        <v/>
      </c>
      <c r="Q582" s="124">
        <f>IF($B582="","",CONCATENATE("Kıymet: ",$B582," | Değer Artışı: ",TEXT($J582,"#,##0")))</f>
        <v/>
      </c>
    </row>
    <row r="583" ht="15.75" customHeight="1" s="81">
      <c r="A583" s="129" t="n"/>
      <c r="B583" s="130" t="n"/>
      <c r="C583" s="127" t="n"/>
      <c r="D583" s="127" t="n"/>
      <c r="E583" s="124">
        <f>IF($C583=0,0,$C583-$D583)</f>
        <v/>
      </c>
      <c r="F583" s="128" t="n"/>
      <c r="G583" s="129" t="n"/>
      <c r="H583" s="131" t="n"/>
      <c r="I583" s="124">
        <f>IF($E583=0,0,$E583*$H583)</f>
        <v/>
      </c>
      <c r="J583" s="124">
        <f>IF($I583=0,0,$I583-$E583)</f>
        <v/>
      </c>
      <c r="K583" s="124">
        <f>IF($J583=0,0,$J583*YenidegerFonOran)</f>
        <v/>
      </c>
      <c r="L583" s="124">
        <f>IF($G583=0,0,$J583/$G583)</f>
        <v/>
      </c>
      <c r="M583" s="124">
        <f>IF($L583=0,0,$L583*YenidegerKurumlarVergiOran)</f>
        <v/>
      </c>
      <c r="N583" s="124">
        <f>IFERROR(IF(YenidegerIskontoOrani=0,$M583*$G583,$M583*(1-1/(1+YenidegerIskontoOrani)^$G583)/YenidegerIskontoOrani),0)</f>
        <v/>
      </c>
      <c r="O583" s="124">
        <f>$N583-$K583</f>
        <v/>
      </c>
      <c r="P583" s="124">
        <f>IF($J583&lt;=0,"DEĞERLENDİR",IF($O583&gt;0,"YENİDEN DEĞERLE","DEĞERLENDİR"))</f>
        <v/>
      </c>
      <c r="Q583" s="124">
        <f>IF($B583="","",CONCATENATE("Kıymet: ",$B583," | Değer Artışı: ",TEXT($J583,"#,##0")))</f>
        <v/>
      </c>
    </row>
    <row r="584" ht="15.75" customHeight="1" s="81">
      <c r="A584" s="129" t="n"/>
      <c r="B584" s="130" t="n"/>
      <c r="C584" s="127" t="n"/>
      <c r="D584" s="127" t="n"/>
      <c r="E584" s="124">
        <f>IF($C584=0,0,$C584-$D584)</f>
        <v/>
      </c>
      <c r="F584" s="128" t="n"/>
      <c r="G584" s="129" t="n"/>
      <c r="H584" s="131" t="n"/>
      <c r="I584" s="124">
        <f>IF($E584=0,0,$E584*$H584)</f>
        <v/>
      </c>
      <c r="J584" s="124">
        <f>IF($I584=0,0,$I584-$E584)</f>
        <v/>
      </c>
      <c r="K584" s="124">
        <f>IF($J584=0,0,$J584*YenidegerFonOran)</f>
        <v/>
      </c>
      <c r="L584" s="124">
        <f>IF($G584=0,0,$J584/$G584)</f>
        <v/>
      </c>
      <c r="M584" s="124">
        <f>IF($L584=0,0,$L584*YenidegerKurumlarVergiOran)</f>
        <v/>
      </c>
      <c r="N584" s="124">
        <f>IFERROR(IF(YenidegerIskontoOrani=0,$M584*$G584,$M584*(1-1/(1+YenidegerIskontoOrani)^$G584)/YenidegerIskontoOrani),0)</f>
        <v/>
      </c>
      <c r="O584" s="124">
        <f>$N584-$K584</f>
        <v/>
      </c>
      <c r="P584" s="124">
        <f>IF($J584&lt;=0,"DEĞERLENDİR",IF($O584&gt;0,"YENİDEN DEĞERLE","DEĞERLENDİR"))</f>
        <v/>
      </c>
      <c r="Q584" s="124">
        <f>IF($B584="","",CONCATENATE("Kıymet: ",$B584," | Değer Artışı: ",TEXT($J584,"#,##0")))</f>
        <v/>
      </c>
    </row>
    <row r="585" ht="15.75" customHeight="1" s="81">
      <c r="A585" s="129" t="n"/>
      <c r="B585" s="130" t="n"/>
      <c r="C585" s="127" t="n"/>
      <c r="D585" s="127" t="n"/>
      <c r="E585" s="124">
        <f>IF($C585=0,0,$C585-$D585)</f>
        <v/>
      </c>
      <c r="F585" s="128" t="n"/>
      <c r="G585" s="129" t="n"/>
      <c r="H585" s="131" t="n"/>
      <c r="I585" s="124">
        <f>IF($E585=0,0,$E585*$H585)</f>
        <v/>
      </c>
      <c r="J585" s="124">
        <f>IF($I585=0,0,$I585-$E585)</f>
        <v/>
      </c>
      <c r="K585" s="124">
        <f>IF($J585=0,0,$J585*YenidegerFonOran)</f>
        <v/>
      </c>
      <c r="L585" s="124">
        <f>IF($G585=0,0,$J585/$G585)</f>
        <v/>
      </c>
      <c r="M585" s="124">
        <f>IF($L585=0,0,$L585*YenidegerKurumlarVergiOran)</f>
        <v/>
      </c>
      <c r="N585" s="124">
        <f>IFERROR(IF(YenidegerIskontoOrani=0,$M585*$G585,$M585*(1-1/(1+YenidegerIskontoOrani)^$G585)/YenidegerIskontoOrani),0)</f>
        <v/>
      </c>
      <c r="O585" s="124">
        <f>$N585-$K585</f>
        <v/>
      </c>
      <c r="P585" s="124">
        <f>IF($J585&lt;=0,"DEĞERLENDİR",IF($O585&gt;0,"YENİDEN DEĞERLE","DEĞERLENDİR"))</f>
        <v/>
      </c>
      <c r="Q585" s="124">
        <f>IF($B585="","",CONCATENATE("Kıymet: ",$B585," | Değer Artışı: ",TEXT($J585,"#,##0")))</f>
        <v/>
      </c>
    </row>
    <row r="586" ht="15.75" customHeight="1" s="81">
      <c r="A586" s="129" t="n"/>
      <c r="B586" s="130" t="n"/>
      <c r="C586" s="127" t="n"/>
      <c r="D586" s="127" t="n"/>
      <c r="E586" s="124">
        <f>IF($C586=0,0,$C586-$D586)</f>
        <v/>
      </c>
      <c r="F586" s="128" t="n"/>
      <c r="G586" s="129" t="n"/>
      <c r="H586" s="131" t="n"/>
      <c r="I586" s="124">
        <f>IF($E586=0,0,$E586*$H586)</f>
        <v/>
      </c>
      <c r="J586" s="124">
        <f>IF($I586=0,0,$I586-$E586)</f>
        <v/>
      </c>
      <c r="K586" s="124">
        <f>IF($J586=0,0,$J586*YenidegerFonOran)</f>
        <v/>
      </c>
      <c r="L586" s="124">
        <f>IF($G586=0,0,$J586/$G586)</f>
        <v/>
      </c>
      <c r="M586" s="124">
        <f>IF($L586=0,0,$L586*YenidegerKurumlarVergiOran)</f>
        <v/>
      </c>
      <c r="N586" s="124">
        <f>IFERROR(IF(YenidegerIskontoOrani=0,$M586*$G586,$M586*(1-1/(1+YenidegerIskontoOrani)^$G586)/YenidegerIskontoOrani),0)</f>
        <v/>
      </c>
      <c r="O586" s="124">
        <f>$N586-$K586</f>
        <v/>
      </c>
      <c r="P586" s="124">
        <f>IF($J586&lt;=0,"DEĞERLENDİR",IF($O586&gt;0,"YENİDEN DEĞERLE","DEĞERLENDİR"))</f>
        <v/>
      </c>
      <c r="Q586" s="124">
        <f>IF($B586="","",CONCATENATE("Kıymet: ",$B586," | Değer Artışı: ",TEXT($J586,"#,##0")))</f>
        <v/>
      </c>
    </row>
    <row r="587" ht="15.75" customHeight="1" s="81">
      <c r="A587" s="129" t="n"/>
      <c r="B587" s="130" t="n"/>
      <c r="C587" s="127" t="n"/>
      <c r="D587" s="127" t="n"/>
      <c r="E587" s="124">
        <f>IF($C587=0,0,$C587-$D587)</f>
        <v/>
      </c>
      <c r="F587" s="128" t="n"/>
      <c r="G587" s="129" t="n"/>
      <c r="H587" s="131" t="n"/>
      <c r="I587" s="124">
        <f>IF($E587=0,0,$E587*$H587)</f>
        <v/>
      </c>
      <c r="J587" s="124">
        <f>IF($I587=0,0,$I587-$E587)</f>
        <v/>
      </c>
      <c r="K587" s="124">
        <f>IF($J587=0,0,$J587*YenidegerFonOran)</f>
        <v/>
      </c>
      <c r="L587" s="124">
        <f>IF($G587=0,0,$J587/$G587)</f>
        <v/>
      </c>
      <c r="M587" s="124">
        <f>IF($L587=0,0,$L587*YenidegerKurumlarVergiOran)</f>
        <v/>
      </c>
      <c r="N587" s="124">
        <f>IFERROR(IF(YenidegerIskontoOrani=0,$M587*$G587,$M587*(1-1/(1+YenidegerIskontoOrani)^$G587)/YenidegerIskontoOrani),0)</f>
        <v/>
      </c>
      <c r="O587" s="124">
        <f>$N587-$K587</f>
        <v/>
      </c>
      <c r="P587" s="124">
        <f>IF($J587&lt;=0,"DEĞERLENDİR",IF($O587&gt;0,"YENİDEN DEĞERLE","DEĞERLENDİR"))</f>
        <v/>
      </c>
      <c r="Q587" s="124">
        <f>IF($B587="","",CONCATENATE("Kıymet: ",$B587," | Değer Artışı: ",TEXT($J587,"#,##0")))</f>
        <v/>
      </c>
    </row>
    <row r="588" ht="15.75" customHeight="1" s="81">
      <c r="A588" s="129" t="n"/>
      <c r="B588" s="130" t="n"/>
      <c r="C588" s="127" t="n"/>
      <c r="D588" s="127" t="n"/>
      <c r="E588" s="124">
        <f>IF($C588=0,0,$C588-$D588)</f>
        <v/>
      </c>
      <c r="F588" s="128" t="n"/>
      <c r="G588" s="129" t="n"/>
      <c r="H588" s="131" t="n"/>
      <c r="I588" s="124">
        <f>IF($E588=0,0,$E588*$H588)</f>
        <v/>
      </c>
      <c r="J588" s="124">
        <f>IF($I588=0,0,$I588-$E588)</f>
        <v/>
      </c>
      <c r="K588" s="124">
        <f>IF($J588=0,0,$J588*YenidegerFonOran)</f>
        <v/>
      </c>
      <c r="L588" s="124">
        <f>IF($G588=0,0,$J588/$G588)</f>
        <v/>
      </c>
      <c r="M588" s="124">
        <f>IF($L588=0,0,$L588*YenidegerKurumlarVergiOran)</f>
        <v/>
      </c>
      <c r="N588" s="124">
        <f>IFERROR(IF(YenidegerIskontoOrani=0,$M588*$G588,$M588*(1-1/(1+YenidegerIskontoOrani)^$G588)/YenidegerIskontoOrani),0)</f>
        <v/>
      </c>
      <c r="O588" s="124">
        <f>$N588-$K588</f>
        <v/>
      </c>
      <c r="P588" s="124">
        <f>IF($J588&lt;=0,"DEĞERLENDİR",IF($O588&gt;0,"YENİDEN DEĞERLE","DEĞERLENDİR"))</f>
        <v/>
      </c>
      <c r="Q588" s="124">
        <f>IF($B588="","",CONCATENATE("Kıymet: ",$B588," | Değer Artışı: ",TEXT($J588,"#,##0")))</f>
        <v/>
      </c>
    </row>
    <row r="589" ht="15.75" customHeight="1" s="81">
      <c r="A589" s="129" t="n"/>
      <c r="B589" s="130" t="n"/>
      <c r="C589" s="127" t="n"/>
      <c r="D589" s="127" t="n"/>
      <c r="E589" s="124">
        <f>IF($C589=0,0,$C589-$D589)</f>
        <v/>
      </c>
      <c r="F589" s="128" t="n"/>
      <c r="G589" s="129" t="n"/>
      <c r="H589" s="131" t="n"/>
      <c r="I589" s="124">
        <f>IF($E589=0,0,$E589*$H589)</f>
        <v/>
      </c>
      <c r="J589" s="124">
        <f>IF($I589=0,0,$I589-$E589)</f>
        <v/>
      </c>
      <c r="K589" s="124">
        <f>IF($J589=0,0,$J589*YenidegerFonOran)</f>
        <v/>
      </c>
      <c r="L589" s="124">
        <f>IF($G589=0,0,$J589/$G589)</f>
        <v/>
      </c>
      <c r="M589" s="124">
        <f>IF($L589=0,0,$L589*YenidegerKurumlarVergiOran)</f>
        <v/>
      </c>
      <c r="N589" s="124">
        <f>IFERROR(IF(YenidegerIskontoOrani=0,$M589*$G589,$M589*(1-1/(1+YenidegerIskontoOrani)^$G589)/YenidegerIskontoOrani),0)</f>
        <v/>
      </c>
      <c r="O589" s="124">
        <f>$N589-$K589</f>
        <v/>
      </c>
      <c r="P589" s="124">
        <f>IF($J589&lt;=0,"DEĞERLENDİR",IF($O589&gt;0,"YENİDEN DEĞERLE","DEĞERLENDİR"))</f>
        <v/>
      </c>
      <c r="Q589" s="124">
        <f>IF($B589="","",CONCATENATE("Kıymet: ",$B589," | Değer Artışı: ",TEXT($J589,"#,##0")))</f>
        <v/>
      </c>
    </row>
    <row r="590" ht="15.75" customHeight="1" s="81">
      <c r="A590" s="129" t="n"/>
      <c r="B590" s="130" t="n"/>
      <c r="C590" s="127" t="n"/>
      <c r="D590" s="127" t="n"/>
      <c r="E590" s="124">
        <f>IF($C590=0,0,$C590-$D590)</f>
        <v/>
      </c>
      <c r="F590" s="128" t="n"/>
      <c r="G590" s="129" t="n"/>
      <c r="H590" s="131" t="n"/>
      <c r="I590" s="124">
        <f>IF($E590=0,0,$E590*$H590)</f>
        <v/>
      </c>
      <c r="J590" s="124">
        <f>IF($I590=0,0,$I590-$E590)</f>
        <v/>
      </c>
      <c r="K590" s="124">
        <f>IF($J590=0,0,$J590*YenidegerFonOran)</f>
        <v/>
      </c>
      <c r="L590" s="124">
        <f>IF($G590=0,0,$J590/$G590)</f>
        <v/>
      </c>
      <c r="M590" s="124">
        <f>IF($L590=0,0,$L590*YenidegerKurumlarVergiOran)</f>
        <v/>
      </c>
      <c r="N590" s="124">
        <f>IFERROR(IF(YenidegerIskontoOrani=0,$M590*$G590,$M590*(1-1/(1+YenidegerIskontoOrani)^$G590)/YenidegerIskontoOrani),0)</f>
        <v/>
      </c>
      <c r="O590" s="124">
        <f>$N590-$K590</f>
        <v/>
      </c>
      <c r="P590" s="124">
        <f>IF($J590&lt;=0,"DEĞERLENDİR",IF($O590&gt;0,"YENİDEN DEĞERLE","DEĞERLENDİR"))</f>
        <v/>
      </c>
      <c r="Q590" s="124">
        <f>IF($B590="","",CONCATENATE("Kıymet: ",$B590," | Değer Artışı: ",TEXT($J590,"#,##0")))</f>
        <v/>
      </c>
    </row>
    <row r="591" ht="15.75" customHeight="1" s="81">
      <c r="A591" s="129" t="n"/>
      <c r="B591" s="130" t="n"/>
      <c r="C591" s="127" t="n"/>
      <c r="D591" s="127" t="n"/>
      <c r="E591" s="124">
        <f>IF($C591=0,0,$C591-$D591)</f>
        <v/>
      </c>
      <c r="F591" s="128" t="n"/>
      <c r="G591" s="129" t="n"/>
      <c r="H591" s="131" t="n"/>
      <c r="I591" s="124">
        <f>IF($E591=0,0,$E591*$H591)</f>
        <v/>
      </c>
      <c r="J591" s="124">
        <f>IF($I591=0,0,$I591-$E591)</f>
        <v/>
      </c>
      <c r="K591" s="124">
        <f>IF($J591=0,0,$J591*YenidegerFonOran)</f>
        <v/>
      </c>
      <c r="L591" s="124">
        <f>IF($G591=0,0,$J591/$G591)</f>
        <v/>
      </c>
      <c r="M591" s="124">
        <f>IF($L591=0,0,$L591*YenidegerKurumlarVergiOran)</f>
        <v/>
      </c>
      <c r="N591" s="124">
        <f>IFERROR(IF(YenidegerIskontoOrani=0,$M591*$G591,$M591*(1-1/(1+YenidegerIskontoOrani)^$G591)/YenidegerIskontoOrani),0)</f>
        <v/>
      </c>
      <c r="O591" s="124">
        <f>$N591-$K591</f>
        <v/>
      </c>
      <c r="P591" s="124">
        <f>IF($J591&lt;=0,"DEĞERLENDİR",IF($O591&gt;0,"YENİDEN DEĞERLE","DEĞERLENDİR"))</f>
        <v/>
      </c>
      <c r="Q591" s="124">
        <f>IF($B591="","",CONCATENATE("Kıymet: ",$B591," | Değer Artışı: ",TEXT($J591,"#,##0")))</f>
        <v/>
      </c>
    </row>
    <row r="592" ht="15.75" customHeight="1" s="81">
      <c r="A592" s="129" t="n"/>
      <c r="B592" s="130" t="n"/>
      <c r="C592" s="127" t="n"/>
      <c r="D592" s="127" t="n"/>
      <c r="E592" s="124">
        <f>IF($C592=0,0,$C592-$D592)</f>
        <v/>
      </c>
      <c r="F592" s="128" t="n"/>
      <c r="G592" s="129" t="n"/>
      <c r="H592" s="131" t="n"/>
      <c r="I592" s="124">
        <f>IF($E592=0,0,$E592*$H592)</f>
        <v/>
      </c>
      <c r="J592" s="124">
        <f>IF($I592=0,0,$I592-$E592)</f>
        <v/>
      </c>
      <c r="K592" s="124">
        <f>IF($J592=0,0,$J592*YenidegerFonOran)</f>
        <v/>
      </c>
      <c r="L592" s="124">
        <f>IF($G592=0,0,$J592/$G592)</f>
        <v/>
      </c>
      <c r="M592" s="124">
        <f>IF($L592=0,0,$L592*YenidegerKurumlarVergiOran)</f>
        <v/>
      </c>
      <c r="N592" s="124">
        <f>IFERROR(IF(YenidegerIskontoOrani=0,$M592*$G592,$M592*(1-1/(1+YenidegerIskontoOrani)^$G592)/YenidegerIskontoOrani),0)</f>
        <v/>
      </c>
      <c r="O592" s="124">
        <f>$N592-$K592</f>
        <v/>
      </c>
      <c r="P592" s="124">
        <f>IF($J592&lt;=0,"DEĞERLENDİR",IF($O592&gt;0,"YENİDEN DEĞERLE","DEĞERLENDİR"))</f>
        <v/>
      </c>
      <c r="Q592" s="124">
        <f>IF($B592="","",CONCATENATE("Kıymet: ",$B592," | Değer Artışı: ",TEXT($J592,"#,##0")))</f>
        <v/>
      </c>
    </row>
    <row r="593" ht="15.75" customHeight="1" s="81">
      <c r="A593" s="129" t="n"/>
      <c r="B593" s="130" t="n"/>
      <c r="C593" s="127" t="n"/>
      <c r="D593" s="127" t="n"/>
      <c r="E593" s="124">
        <f>IF($C593=0,0,$C593-$D593)</f>
        <v/>
      </c>
      <c r="F593" s="128" t="n"/>
      <c r="G593" s="129" t="n"/>
      <c r="H593" s="131" t="n"/>
      <c r="I593" s="124">
        <f>IF($E593=0,0,$E593*$H593)</f>
        <v/>
      </c>
      <c r="J593" s="124">
        <f>IF($I593=0,0,$I593-$E593)</f>
        <v/>
      </c>
      <c r="K593" s="124">
        <f>IF($J593=0,0,$J593*YenidegerFonOran)</f>
        <v/>
      </c>
      <c r="L593" s="124">
        <f>IF($G593=0,0,$J593/$G593)</f>
        <v/>
      </c>
      <c r="M593" s="124">
        <f>IF($L593=0,0,$L593*YenidegerKurumlarVergiOran)</f>
        <v/>
      </c>
      <c r="N593" s="124">
        <f>IFERROR(IF(YenidegerIskontoOrani=0,$M593*$G593,$M593*(1-1/(1+YenidegerIskontoOrani)^$G593)/YenidegerIskontoOrani),0)</f>
        <v/>
      </c>
      <c r="O593" s="124">
        <f>$N593-$K593</f>
        <v/>
      </c>
      <c r="P593" s="124">
        <f>IF($J593&lt;=0,"DEĞERLENDİR",IF($O593&gt;0,"YENİDEN DEĞERLE","DEĞERLENDİR"))</f>
        <v/>
      </c>
      <c r="Q593" s="124">
        <f>IF($B593="","",CONCATENATE("Kıymet: ",$B593," | Değer Artışı: ",TEXT($J593,"#,##0")))</f>
        <v/>
      </c>
    </row>
    <row r="594" ht="15.75" customHeight="1" s="81">
      <c r="A594" s="129" t="n"/>
      <c r="B594" s="130" t="n"/>
      <c r="C594" s="127" t="n"/>
      <c r="D594" s="127" t="n"/>
      <c r="E594" s="124">
        <f>IF($C594=0,0,$C594-$D594)</f>
        <v/>
      </c>
      <c r="F594" s="128" t="n"/>
      <c r="G594" s="129" t="n"/>
      <c r="H594" s="131" t="n"/>
      <c r="I594" s="124">
        <f>IF($E594=0,0,$E594*$H594)</f>
        <v/>
      </c>
      <c r="J594" s="124">
        <f>IF($I594=0,0,$I594-$E594)</f>
        <v/>
      </c>
      <c r="K594" s="124">
        <f>IF($J594=0,0,$J594*YenidegerFonOran)</f>
        <v/>
      </c>
      <c r="L594" s="124">
        <f>IF($G594=0,0,$J594/$G594)</f>
        <v/>
      </c>
      <c r="M594" s="124">
        <f>IF($L594=0,0,$L594*YenidegerKurumlarVergiOran)</f>
        <v/>
      </c>
      <c r="N594" s="124">
        <f>IFERROR(IF(YenidegerIskontoOrani=0,$M594*$G594,$M594*(1-1/(1+YenidegerIskontoOrani)^$G594)/YenidegerIskontoOrani),0)</f>
        <v/>
      </c>
      <c r="O594" s="124">
        <f>$N594-$K594</f>
        <v/>
      </c>
      <c r="P594" s="124">
        <f>IF($J594&lt;=0,"DEĞERLENDİR",IF($O594&gt;0,"YENİDEN DEĞERLE","DEĞERLENDİR"))</f>
        <v/>
      </c>
      <c r="Q594" s="124">
        <f>IF($B594="","",CONCATENATE("Kıymet: ",$B594," | Değer Artışı: ",TEXT($J594,"#,##0")))</f>
        <v/>
      </c>
    </row>
    <row r="595" ht="15.75" customHeight="1" s="81">
      <c r="A595" s="129" t="n"/>
      <c r="B595" s="130" t="n"/>
      <c r="C595" s="127" t="n"/>
      <c r="D595" s="127" t="n"/>
      <c r="E595" s="124">
        <f>IF($C595=0,0,$C595-$D595)</f>
        <v/>
      </c>
      <c r="F595" s="128" t="n"/>
      <c r="G595" s="129" t="n"/>
      <c r="H595" s="131" t="n"/>
      <c r="I595" s="124">
        <f>IF($E595=0,0,$E595*$H595)</f>
        <v/>
      </c>
      <c r="J595" s="124">
        <f>IF($I595=0,0,$I595-$E595)</f>
        <v/>
      </c>
      <c r="K595" s="124">
        <f>IF($J595=0,0,$J595*YenidegerFonOran)</f>
        <v/>
      </c>
      <c r="L595" s="124">
        <f>IF($G595=0,0,$J595/$G595)</f>
        <v/>
      </c>
      <c r="M595" s="124">
        <f>IF($L595=0,0,$L595*YenidegerKurumlarVergiOran)</f>
        <v/>
      </c>
      <c r="N595" s="124">
        <f>IFERROR(IF(YenidegerIskontoOrani=0,$M595*$G595,$M595*(1-1/(1+YenidegerIskontoOrani)^$G595)/YenidegerIskontoOrani),0)</f>
        <v/>
      </c>
      <c r="O595" s="124">
        <f>$N595-$K595</f>
        <v/>
      </c>
      <c r="P595" s="124">
        <f>IF($J595&lt;=0,"DEĞERLENDİR",IF($O595&gt;0,"YENİDEN DEĞERLE","DEĞERLENDİR"))</f>
        <v/>
      </c>
      <c r="Q595" s="124">
        <f>IF($B595="","",CONCATENATE("Kıymet: ",$B595," | Değer Artışı: ",TEXT($J595,"#,##0")))</f>
        <v/>
      </c>
    </row>
    <row r="596" ht="15.75" customHeight="1" s="81">
      <c r="A596" s="129" t="n"/>
      <c r="B596" s="130" t="n"/>
      <c r="C596" s="127" t="n"/>
      <c r="D596" s="127" t="n"/>
      <c r="E596" s="124">
        <f>IF($C596=0,0,$C596-$D596)</f>
        <v/>
      </c>
      <c r="F596" s="128" t="n"/>
      <c r="G596" s="129" t="n"/>
      <c r="H596" s="131" t="n"/>
      <c r="I596" s="124">
        <f>IF($E596=0,0,$E596*$H596)</f>
        <v/>
      </c>
      <c r="J596" s="124">
        <f>IF($I596=0,0,$I596-$E596)</f>
        <v/>
      </c>
      <c r="K596" s="124">
        <f>IF($J596=0,0,$J596*YenidegerFonOran)</f>
        <v/>
      </c>
      <c r="L596" s="124">
        <f>IF($G596=0,0,$J596/$G596)</f>
        <v/>
      </c>
      <c r="M596" s="124">
        <f>IF($L596=0,0,$L596*YenidegerKurumlarVergiOran)</f>
        <v/>
      </c>
      <c r="N596" s="124">
        <f>IFERROR(IF(YenidegerIskontoOrani=0,$M596*$G596,$M596*(1-1/(1+YenidegerIskontoOrani)^$G596)/YenidegerIskontoOrani),0)</f>
        <v/>
      </c>
      <c r="O596" s="124">
        <f>$N596-$K596</f>
        <v/>
      </c>
      <c r="P596" s="124">
        <f>IF($J596&lt;=0,"DEĞERLENDİR",IF($O596&gt;0,"YENİDEN DEĞERLE","DEĞERLENDİR"))</f>
        <v/>
      </c>
      <c r="Q596" s="124">
        <f>IF($B596="","",CONCATENATE("Kıymet: ",$B596," | Değer Artışı: ",TEXT($J596,"#,##0")))</f>
        <v/>
      </c>
    </row>
    <row r="597" ht="15.75" customHeight="1" s="81">
      <c r="A597" s="129" t="n"/>
      <c r="B597" s="130" t="n"/>
      <c r="C597" s="127" t="n"/>
      <c r="D597" s="127" t="n"/>
      <c r="E597" s="124">
        <f>IF($C597=0,0,$C597-$D597)</f>
        <v/>
      </c>
      <c r="F597" s="128" t="n"/>
      <c r="G597" s="129" t="n"/>
      <c r="H597" s="131" t="n"/>
      <c r="I597" s="124">
        <f>IF($E597=0,0,$E597*$H597)</f>
        <v/>
      </c>
      <c r="J597" s="124">
        <f>IF($I597=0,0,$I597-$E597)</f>
        <v/>
      </c>
      <c r="K597" s="124">
        <f>IF($J597=0,0,$J597*YenidegerFonOran)</f>
        <v/>
      </c>
      <c r="L597" s="124">
        <f>IF($G597=0,0,$J597/$G597)</f>
        <v/>
      </c>
      <c r="M597" s="124">
        <f>IF($L597=0,0,$L597*YenidegerKurumlarVergiOran)</f>
        <v/>
      </c>
      <c r="N597" s="124">
        <f>IFERROR(IF(YenidegerIskontoOrani=0,$M597*$G597,$M597*(1-1/(1+YenidegerIskontoOrani)^$G597)/YenidegerIskontoOrani),0)</f>
        <v/>
      </c>
      <c r="O597" s="124">
        <f>$N597-$K597</f>
        <v/>
      </c>
      <c r="P597" s="124">
        <f>IF($J597&lt;=0,"DEĞERLENDİR",IF($O597&gt;0,"YENİDEN DEĞERLE","DEĞERLENDİR"))</f>
        <v/>
      </c>
      <c r="Q597" s="124">
        <f>IF($B597="","",CONCATENATE("Kıymet: ",$B597," | Değer Artışı: ",TEXT($J597,"#,##0")))</f>
        <v/>
      </c>
    </row>
    <row r="598" ht="15.75" customHeight="1" s="81">
      <c r="A598" s="129" t="n"/>
      <c r="B598" s="130" t="n"/>
      <c r="C598" s="127" t="n"/>
      <c r="D598" s="127" t="n"/>
      <c r="E598" s="124">
        <f>IF($C598=0,0,$C598-$D598)</f>
        <v/>
      </c>
      <c r="F598" s="128" t="n"/>
      <c r="G598" s="129" t="n"/>
      <c r="H598" s="131" t="n"/>
      <c r="I598" s="124">
        <f>IF($E598=0,0,$E598*$H598)</f>
        <v/>
      </c>
      <c r="J598" s="124">
        <f>IF($I598=0,0,$I598-$E598)</f>
        <v/>
      </c>
      <c r="K598" s="124">
        <f>IF($J598=0,0,$J598*YenidegerFonOran)</f>
        <v/>
      </c>
      <c r="L598" s="124">
        <f>IF($G598=0,0,$J598/$G598)</f>
        <v/>
      </c>
      <c r="M598" s="124">
        <f>IF($L598=0,0,$L598*YenidegerKurumlarVergiOran)</f>
        <v/>
      </c>
      <c r="N598" s="124">
        <f>IFERROR(IF(YenidegerIskontoOrani=0,$M598*$G598,$M598*(1-1/(1+YenidegerIskontoOrani)^$G598)/YenidegerIskontoOrani),0)</f>
        <v/>
      </c>
      <c r="O598" s="124">
        <f>$N598-$K598</f>
        <v/>
      </c>
      <c r="P598" s="124">
        <f>IF($J598&lt;=0,"DEĞERLENDİR",IF($O598&gt;0,"YENİDEN DEĞERLE","DEĞERLENDİR"))</f>
        <v/>
      </c>
      <c r="Q598" s="124">
        <f>IF($B598="","",CONCATENATE("Kıymet: ",$B598," | Değer Artışı: ",TEXT($J598,"#,##0")))</f>
        <v/>
      </c>
    </row>
    <row r="599" ht="15.75" customHeight="1" s="81">
      <c r="A599" s="129" t="n"/>
      <c r="B599" s="130" t="n"/>
      <c r="C599" s="127" t="n"/>
      <c r="D599" s="127" t="n"/>
      <c r="E599" s="124">
        <f>IF($C599=0,0,$C599-$D599)</f>
        <v/>
      </c>
      <c r="F599" s="128" t="n"/>
      <c r="G599" s="129" t="n"/>
      <c r="H599" s="131" t="n"/>
      <c r="I599" s="124">
        <f>IF($E599=0,0,$E599*$H599)</f>
        <v/>
      </c>
      <c r="J599" s="124">
        <f>IF($I599=0,0,$I599-$E599)</f>
        <v/>
      </c>
      <c r="K599" s="124">
        <f>IF($J599=0,0,$J599*YenidegerFonOran)</f>
        <v/>
      </c>
      <c r="L599" s="124">
        <f>IF($G599=0,0,$J599/$G599)</f>
        <v/>
      </c>
      <c r="M599" s="124">
        <f>IF($L599=0,0,$L599*YenidegerKurumlarVergiOran)</f>
        <v/>
      </c>
      <c r="N599" s="124">
        <f>IFERROR(IF(YenidegerIskontoOrani=0,$M599*$G599,$M599*(1-1/(1+YenidegerIskontoOrani)^$G599)/YenidegerIskontoOrani),0)</f>
        <v/>
      </c>
      <c r="O599" s="124">
        <f>$N599-$K599</f>
        <v/>
      </c>
      <c r="P599" s="124">
        <f>IF($J599&lt;=0,"DEĞERLENDİR",IF($O599&gt;0,"YENİDEN DEĞERLE","DEĞERLENDİR"))</f>
        <v/>
      </c>
      <c r="Q599" s="124">
        <f>IF($B599="","",CONCATENATE("Kıymet: ",$B599," | Değer Artışı: ",TEXT($J599,"#,##0")))</f>
        <v/>
      </c>
    </row>
    <row r="600" ht="15.75" customHeight="1" s="81">
      <c r="A600" s="129" t="n"/>
      <c r="B600" s="130" t="n"/>
      <c r="C600" s="127" t="n"/>
      <c r="D600" s="127" t="n"/>
      <c r="E600" s="124">
        <f>IF($C600=0,0,$C600-$D600)</f>
        <v/>
      </c>
      <c r="F600" s="128" t="n"/>
      <c r="G600" s="129" t="n"/>
      <c r="H600" s="131" t="n"/>
      <c r="I600" s="124">
        <f>IF($E600=0,0,$E600*$H600)</f>
        <v/>
      </c>
      <c r="J600" s="124">
        <f>IF($I600=0,0,$I600-$E600)</f>
        <v/>
      </c>
      <c r="K600" s="124">
        <f>IF($J600=0,0,$J600*YenidegerFonOran)</f>
        <v/>
      </c>
      <c r="L600" s="124">
        <f>IF($G600=0,0,$J600/$G600)</f>
        <v/>
      </c>
      <c r="M600" s="124">
        <f>IF($L600=0,0,$L600*YenidegerKurumlarVergiOran)</f>
        <v/>
      </c>
      <c r="N600" s="124">
        <f>IFERROR(IF(YenidegerIskontoOrani=0,$M600*$G600,$M600*(1-1/(1+YenidegerIskontoOrani)^$G600)/YenidegerIskontoOrani),0)</f>
        <v/>
      </c>
      <c r="O600" s="124">
        <f>$N600-$K600</f>
        <v/>
      </c>
      <c r="P600" s="124">
        <f>IF($J600&lt;=0,"DEĞERLENDİR",IF($O600&gt;0,"YENİDEN DEĞERLE","DEĞERLENDİR"))</f>
        <v/>
      </c>
      <c r="Q600" s="124">
        <f>IF($B600="","",CONCATENATE("Kıymet: ",$B600," | Değer Artışı: ",TEXT($J600,"#,##0")))</f>
        <v/>
      </c>
    </row>
    <row r="601" ht="15.75" customHeight="1" s="81">
      <c r="A601" s="129" t="n"/>
      <c r="B601" s="130" t="n"/>
      <c r="C601" s="127" t="n"/>
      <c r="D601" s="127" t="n"/>
      <c r="E601" s="124">
        <f>IF($C601=0,0,$C601-$D601)</f>
        <v/>
      </c>
      <c r="F601" s="128" t="n"/>
      <c r="G601" s="129" t="n"/>
      <c r="H601" s="131" t="n"/>
      <c r="I601" s="124">
        <f>IF($E601=0,0,$E601*$H601)</f>
        <v/>
      </c>
      <c r="J601" s="124">
        <f>IF($I601=0,0,$I601-$E601)</f>
        <v/>
      </c>
      <c r="K601" s="124">
        <f>IF($J601=0,0,$J601*YenidegerFonOran)</f>
        <v/>
      </c>
      <c r="L601" s="124">
        <f>IF($G601=0,0,$J601/$G601)</f>
        <v/>
      </c>
      <c r="M601" s="124">
        <f>IF($L601=0,0,$L601*YenidegerKurumlarVergiOran)</f>
        <v/>
      </c>
      <c r="N601" s="124">
        <f>IFERROR(IF(YenidegerIskontoOrani=0,$M601*$G601,$M601*(1-1/(1+YenidegerIskontoOrani)^$G601)/YenidegerIskontoOrani),0)</f>
        <v/>
      </c>
      <c r="O601" s="124">
        <f>$N601-$K601</f>
        <v/>
      </c>
      <c r="P601" s="124">
        <f>IF($J601&lt;=0,"DEĞERLENDİR",IF($O601&gt;0,"YENİDEN DEĞERLE","DEĞERLENDİR"))</f>
        <v/>
      </c>
      <c r="Q601" s="124">
        <f>IF($B601="","",CONCATENATE("Kıymet: ",$B601," | Değer Artışı: ",TEXT($J601,"#,##0")))</f>
        <v/>
      </c>
    </row>
    <row r="602" ht="15.75" customHeight="1" s="81">
      <c r="A602" s="129" t="n"/>
      <c r="B602" s="130" t="n"/>
      <c r="C602" s="127" t="n"/>
      <c r="D602" s="127" t="n"/>
      <c r="E602" s="124">
        <f>IF($C602=0,0,$C602-$D602)</f>
        <v/>
      </c>
      <c r="F602" s="128" t="n"/>
      <c r="G602" s="129" t="n"/>
      <c r="H602" s="131" t="n"/>
      <c r="I602" s="124">
        <f>IF($E602=0,0,$E602*$H602)</f>
        <v/>
      </c>
      <c r="J602" s="124">
        <f>IF($I602=0,0,$I602-$E602)</f>
        <v/>
      </c>
      <c r="K602" s="124">
        <f>IF($J602=0,0,$J602*YenidegerFonOran)</f>
        <v/>
      </c>
      <c r="L602" s="124">
        <f>IF($G602=0,0,$J602/$G602)</f>
        <v/>
      </c>
      <c r="M602" s="124">
        <f>IF($L602=0,0,$L602*YenidegerKurumlarVergiOran)</f>
        <v/>
      </c>
      <c r="N602" s="124">
        <f>IFERROR(IF(YenidegerIskontoOrani=0,$M602*$G602,$M602*(1-1/(1+YenidegerIskontoOrani)^$G602)/YenidegerIskontoOrani),0)</f>
        <v/>
      </c>
      <c r="O602" s="124">
        <f>$N602-$K602</f>
        <v/>
      </c>
      <c r="P602" s="124">
        <f>IF($J602&lt;=0,"DEĞERLENDİR",IF($O602&gt;0,"YENİDEN DEĞERLE","DEĞERLENDİR"))</f>
        <v/>
      </c>
      <c r="Q602" s="124">
        <f>IF($B602="","",CONCATENATE("Kıymet: ",$B602," | Değer Artışı: ",TEXT($J602,"#,##0")))</f>
        <v/>
      </c>
    </row>
    <row r="603" ht="15.75" customHeight="1" s="81">
      <c r="A603" s="129" t="n"/>
      <c r="B603" s="130" t="n"/>
      <c r="C603" s="127" t="n"/>
      <c r="D603" s="127" t="n"/>
      <c r="E603" s="124">
        <f>IF($C603=0,0,$C603-$D603)</f>
        <v/>
      </c>
      <c r="F603" s="128" t="n"/>
      <c r="G603" s="129" t="n"/>
      <c r="H603" s="131" t="n"/>
      <c r="I603" s="124">
        <f>IF($E603=0,0,$E603*$H603)</f>
        <v/>
      </c>
      <c r="J603" s="124">
        <f>IF($I603=0,0,$I603-$E603)</f>
        <v/>
      </c>
      <c r="K603" s="124">
        <f>IF($J603=0,0,$J603*YenidegerFonOran)</f>
        <v/>
      </c>
      <c r="L603" s="124">
        <f>IF($G603=0,0,$J603/$G603)</f>
        <v/>
      </c>
      <c r="M603" s="124">
        <f>IF($L603=0,0,$L603*YenidegerKurumlarVergiOran)</f>
        <v/>
      </c>
      <c r="N603" s="124">
        <f>IFERROR(IF(YenidegerIskontoOrani=0,$M603*$G603,$M603*(1-1/(1+YenidegerIskontoOrani)^$G603)/YenidegerIskontoOrani),0)</f>
        <v/>
      </c>
      <c r="O603" s="124">
        <f>$N603-$K603</f>
        <v/>
      </c>
      <c r="P603" s="124">
        <f>IF($J603&lt;=0,"DEĞERLENDİR",IF($O603&gt;0,"YENİDEN DEĞERLE","DEĞERLENDİR"))</f>
        <v/>
      </c>
      <c r="Q603" s="124">
        <f>IF($B603="","",CONCATENATE("Kıymet: ",$B603," | Değer Artışı: ",TEXT($J603,"#,##0")))</f>
        <v/>
      </c>
    </row>
    <row r="604" ht="15.75" customHeight="1" s="81">
      <c r="A604" s="129" t="n"/>
      <c r="B604" s="130" t="n"/>
      <c r="C604" s="127" t="n"/>
      <c r="D604" s="127" t="n"/>
      <c r="E604" s="124">
        <f>IF($C604=0,0,$C604-$D604)</f>
        <v/>
      </c>
      <c r="F604" s="128" t="n"/>
      <c r="G604" s="129" t="n"/>
      <c r="H604" s="131" t="n"/>
      <c r="I604" s="124">
        <f>IF($E604=0,0,$E604*$H604)</f>
        <v/>
      </c>
      <c r="J604" s="124">
        <f>IF($I604=0,0,$I604-$E604)</f>
        <v/>
      </c>
      <c r="K604" s="124">
        <f>IF($J604=0,0,$J604*YenidegerFonOran)</f>
        <v/>
      </c>
      <c r="L604" s="124">
        <f>IF($G604=0,0,$J604/$G604)</f>
        <v/>
      </c>
      <c r="M604" s="124">
        <f>IF($L604=0,0,$L604*YenidegerKurumlarVergiOran)</f>
        <v/>
      </c>
      <c r="N604" s="124">
        <f>IFERROR(IF(YenidegerIskontoOrani=0,$M604*$G604,$M604*(1-1/(1+YenidegerIskontoOrani)^$G604)/YenidegerIskontoOrani),0)</f>
        <v/>
      </c>
      <c r="O604" s="124">
        <f>$N604-$K604</f>
        <v/>
      </c>
      <c r="P604" s="124">
        <f>IF($J604&lt;=0,"DEĞERLENDİR",IF($O604&gt;0,"YENİDEN DEĞERLE","DEĞERLENDİR"))</f>
        <v/>
      </c>
      <c r="Q604" s="124">
        <f>IF($B604="","",CONCATENATE("Kıymet: ",$B604," | Değer Artışı: ",TEXT($J604,"#,##0")))</f>
        <v/>
      </c>
    </row>
    <row r="605" ht="15.75" customHeight="1" s="81">
      <c r="A605" s="129" t="n"/>
      <c r="B605" s="130" t="n"/>
      <c r="C605" s="127" t="n"/>
      <c r="D605" s="127" t="n"/>
      <c r="E605" s="124">
        <f>IF($C605=0,0,$C605-$D605)</f>
        <v/>
      </c>
      <c r="F605" s="128" t="n"/>
      <c r="G605" s="129" t="n"/>
      <c r="H605" s="131" t="n"/>
      <c r="I605" s="124">
        <f>IF($E605=0,0,$E605*$H605)</f>
        <v/>
      </c>
      <c r="J605" s="124">
        <f>IF($I605=0,0,$I605-$E605)</f>
        <v/>
      </c>
      <c r="K605" s="124">
        <f>IF($J605=0,0,$J605*YenidegerFonOran)</f>
        <v/>
      </c>
      <c r="L605" s="124">
        <f>IF($G605=0,0,$J605/$G605)</f>
        <v/>
      </c>
      <c r="M605" s="124">
        <f>IF($L605=0,0,$L605*YenidegerKurumlarVergiOran)</f>
        <v/>
      </c>
      <c r="N605" s="124">
        <f>IFERROR(IF(YenidegerIskontoOrani=0,$M605*$G605,$M605*(1-1/(1+YenidegerIskontoOrani)^$G605)/YenidegerIskontoOrani),0)</f>
        <v/>
      </c>
      <c r="O605" s="124">
        <f>$N605-$K605</f>
        <v/>
      </c>
      <c r="P605" s="124">
        <f>IF($J605&lt;=0,"DEĞERLENDİR",IF($O605&gt;0,"YENİDEN DEĞERLE","DEĞERLENDİR"))</f>
        <v/>
      </c>
      <c r="Q605" s="124">
        <f>IF($B605="","",CONCATENATE("Kıymet: ",$B605," | Değer Artışı: ",TEXT($J605,"#,##0")))</f>
        <v/>
      </c>
    </row>
    <row r="606" ht="15.75" customHeight="1" s="81">
      <c r="A606" s="129" t="n"/>
      <c r="B606" s="130" t="n"/>
      <c r="C606" s="127" t="n"/>
      <c r="D606" s="127" t="n"/>
      <c r="E606" s="124">
        <f>IF($C606=0,0,$C606-$D606)</f>
        <v/>
      </c>
      <c r="F606" s="128" t="n"/>
      <c r="G606" s="129" t="n"/>
      <c r="H606" s="131" t="n"/>
      <c r="I606" s="124">
        <f>IF($E606=0,0,$E606*$H606)</f>
        <v/>
      </c>
      <c r="J606" s="124">
        <f>IF($I606=0,0,$I606-$E606)</f>
        <v/>
      </c>
      <c r="K606" s="124">
        <f>IF($J606=0,0,$J606*YenidegerFonOran)</f>
        <v/>
      </c>
      <c r="L606" s="124">
        <f>IF($G606=0,0,$J606/$G606)</f>
        <v/>
      </c>
      <c r="M606" s="124">
        <f>IF($L606=0,0,$L606*YenidegerKurumlarVergiOran)</f>
        <v/>
      </c>
      <c r="N606" s="124">
        <f>IFERROR(IF(YenidegerIskontoOrani=0,$M606*$G606,$M606*(1-1/(1+YenidegerIskontoOrani)^$G606)/YenidegerIskontoOrani),0)</f>
        <v/>
      </c>
      <c r="O606" s="124">
        <f>$N606-$K606</f>
        <v/>
      </c>
      <c r="P606" s="124">
        <f>IF($J606&lt;=0,"DEĞERLENDİR",IF($O606&gt;0,"YENİDEN DEĞERLE","DEĞERLENDİR"))</f>
        <v/>
      </c>
      <c r="Q606" s="124">
        <f>IF($B606="","",CONCATENATE("Kıymet: ",$B606," | Değer Artışı: ",TEXT($J606,"#,##0")))</f>
        <v/>
      </c>
    </row>
    <row r="607" ht="15.75" customHeight="1" s="81">
      <c r="A607" s="129" t="n"/>
      <c r="B607" s="130" t="n"/>
      <c r="C607" s="127" t="n"/>
      <c r="D607" s="127" t="n"/>
      <c r="E607" s="124">
        <f>IF($C607=0,0,$C607-$D607)</f>
        <v/>
      </c>
      <c r="F607" s="128" t="n"/>
      <c r="G607" s="129" t="n"/>
      <c r="H607" s="131" t="n"/>
      <c r="I607" s="124">
        <f>IF($E607=0,0,$E607*$H607)</f>
        <v/>
      </c>
      <c r="J607" s="124">
        <f>IF($I607=0,0,$I607-$E607)</f>
        <v/>
      </c>
      <c r="K607" s="124">
        <f>IF($J607=0,0,$J607*YenidegerFonOran)</f>
        <v/>
      </c>
      <c r="L607" s="124">
        <f>IF($G607=0,0,$J607/$G607)</f>
        <v/>
      </c>
      <c r="M607" s="124">
        <f>IF($L607=0,0,$L607*YenidegerKurumlarVergiOran)</f>
        <v/>
      </c>
      <c r="N607" s="124">
        <f>IFERROR(IF(YenidegerIskontoOrani=0,$M607*$G607,$M607*(1-1/(1+YenidegerIskontoOrani)^$G607)/YenidegerIskontoOrani),0)</f>
        <v/>
      </c>
      <c r="O607" s="124">
        <f>$N607-$K607</f>
        <v/>
      </c>
      <c r="P607" s="124">
        <f>IF($J607&lt;=0,"DEĞERLENDİR",IF($O607&gt;0,"YENİDEN DEĞERLE","DEĞERLENDİR"))</f>
        <v/>
      </c>
      <c r="Q607" s="124">
        <f>IF($B607="","",CONCATENATE("Kıymet: ",$B607," | Değer Artışı: ",TEXT($J607,"#,##0")))</f>
        <v/>
      </c>
    </row>
    <row r="608" ht="15.75" customHeight="1" s="81">
      <c r="A608" s="129" t="n"/>
      <c r="B608" s="130" t="n"/>
      <c r="C608" s="127" t="n"/>
      <c r="D608" s="127" t="n"/>
      <c r="E608" s="124">
        <f>IF($C608=0,0,$C608-$D608)</f>
        <v/>
      </c>
      <c r="F608" s="128" t="n"/>
      <c r="G608" s="129" t="n"/>
      <c r="H608" s="131" t="n"/>
      <c r="I608" s="124">
        <f>IF($E608=0,0,$E608*$H608)</f>
        <v/>
      </c>
      <c r="J608" s="124">
        <f>IF($I608=0,0,$I608-$E608)</f>
        <v/>
      </c>
      <c r="K608" s="124">
        <f>IF($J608=0,0,$J608*YenidegerFonOran)</f>
        <v/>
      </c>
      <c r="L608" s="124">
        <f>IF($G608=0,0,$J608/$G608)</f>
        <v/>
      </c>
      <c r="M608" s="124">
        <f>IF($L608=0,0,$L608*YenidegerKurumlarVergiOran)</f>
        <v/>
      </c>
      <c r="N608" s="124">
        <f>IFERROR(IF(YenidegerIskontoOrani=0,$M608*$G608,$M608*(1-1/(1+YenidegerIskontoOrani)^$G608)/YenidegerIskontoOrani),0)</f>
        <v/>
      </c>
      <c r="O608" s="124">
        <f>$N608-$K608</f>
        <v/>
      </c>
      <c r="P608" s="124">
        <f>IF($J608&lt;=0,"DEĞERLENDİR",IF($O608&gt;0,"YENİDEN DEĞERLE","DEĞERLENDİR"))</f>
        <v/>
      </c>
      <c r="Q608" s="124">
        <f>IF($B608="","",CONCATENATE("Kıymet: ",$B608," | Değer Artışı: ",TEXT($J608,"#,##0")))</f>
        <v/>
      </c>
    </row>
    <row r="609" ht="15.75" customHeight="1" s="81">
      <c r="A609" s="129" t="n"/>
      <c r="B609" s="130" t="n"/>
      <c r="C609" s="127" t="n"/>
      <c r="D609" s="127" t="n"/>
      <c r="E609" s="124">
        <f>IF($C609=0,0,$C609-$D609)</f>
        <v/>
      </c>
      <c r="F609" s="128" t="n"/>
      <c r="G609" s="129" t="n"/>
      <c r="H609" s="131" t="n"/>
      <c r="I609" s="124">
        <f>IF($E609=0,0,$E609*$H609)</f>
        <v/>
      </c>
      <c r="J609" s="124">
        <f>IF($I609=0,0,$I609-$E609)</f>
        <v/>
      </c>
      <c r="K609" s="124">
        <f>IF($J609=0,0,$J609*YenidegerFonOran)</f>
        <v/>
      </c>
      <c r="L609" s="124">
        <f>IF($G609=0,0,$J609/$G609)</f>
        <v/>
      </c>
      <c r="M609" s="124">
        <f>IF($L609=0,0,$L609*YenidegerKurumlarVergiOran)</f>
        <v/>
      </c>
      <c r="N609" s="124">
        <f>IFERROR(IF(YenidegerIskontoOrani=0,$M609*$G609,$M609*(1-1/(1+YenidegerIskontoOrani)^$G609)/YenidegerIskontoOrani),0)</f>
        <v/>
      </c>
      <c r="O609" s="124">
        <f>$N609-$K609</f>
        <v/>
      </c>
      <c r="P609" s="124">
        <f>IF($J609&lt;=0,"DEĞERLENDİR",IF($O609&gt;0,"YENİDEN DEĞERLE","DEĞERLENDİR"))</f>
        <v/>
      </c>
      <c r="Q609" s="124">
        <f>IF($B609="","",CONCATENATE("Kıymet: ",$B609," | Değer Artışı: ",TEXT($J609,"#,##0")))</f>
        <v/>
      </c>
    </row>
    <row r="610" ht="15.75" customHeight="1" s="81">
      <c r="A610" s="129" t="n"/>
      <c r="B610" s="130" t="n"/>
      <c r="C610" s="127" t="n"/>
      <c r="D610" s="127" t="n"/>
      <c r="E610" s="124">
        <f>IF($C610=0,0,$C610-$D610)</f>
        <v/>
      </c>
      <c r="F610" s="128" t="n"/>
      <c r="G610" s="129" t="n"/>
      <c r="H610" s="131" t="n"/>
      <c r="I610" s="124">
        <f>IF($E610=0,0,$E610*$H610)</f>
        <v/>
      </c>
      <c r="J610" s="124">
        <f>IF($I610=0,0,$I610-$E610)</f>
        <v/>
      </c>
      <c r="K610" s="124">
        <f>IF($J610=0,0,$J610*YenidegerFonOran)</f>
        <v/>
      </c>
      <c r="L610" s="124">
        <f>IF($G610=0,0,$J610/$G610)</f>
        <v/>
      </c>
      <c r="M610" s="124">
        <f>IF($L610=0,0,$L610*YenidegerKurumlarVergiOran)</f>
        <v/>
      </c>
      <c r="N610" s="124">
        <f>IFERROR(IF(YenidegerIskontoOrani=0,$M610*$G610,$M610*(1-1/(1+YenidegerIskontoOrani)^$G610)/YenidegerIskontoOrani),0)</f>
        <v/>
      </c>
      <c r="O610" s="124">
        <f>$N610-$K610</f>
        <v/>
      </c>
      <c r="P610" s="124">
        <f>IF($J610&lt;=0,"DEĞERLENDİR",IF($O610&gt;0,"YENİDEN DEĞERLE","DEĞERLENDİR"))</f>
        <v/>
      </c>
      <c r="Q610" s="124">
        <f>IF($B610="","",CONCATENATE("Kıymet: ",$B610," | Değer Artışı: ",TEXT($J610,"#,##0")))</f>
        <v/>
      </c>
    </row>
    <row r="611" ht="15.75" customHeight="1" s="81">
      <c r="A611" s="129" t="n"/>
      <c r="B611" s="130" t="n"/>
      <c r="C611" s="127" t="n"/>
      <c r="D611" s="127" t="n"/>
      <c r="E611" s="124">
        <f>IF($C611=0,0,$C611-$D611)</f>
        <v/>
      </c>
      <c r="F611" s="128" t="n"/>
      <c r="G611" s="129" t="n"/>
      <c r="H611" s="131" t="n"/>
      <c r="I611" s="124">
        <f>IF($E611=0,0,$E611*$H611)</f>
        <v/>
      </c>
      <c r="J611" s="124">
        <f>IF($I611=0,0,$I611-$E611)</f>
        <v/>
      </c>
      <c r="K611" s="124">
        <f>IF($J611=0,0,$J611*YenidegerFonOran)</f>
        <v/>
      </c>
      <c r="L611" s="124">
        <f>IF($G611=0,0,$J611/$G611)</f>
        <v/>
      </c>
      <c r="M611" s="124">
        <f>IF($L611=0,0,$L611*YenidegerKurumlarVergiOran)</f>
        <v/>
      </c>
      <c r="N611" s="124">
        <f>IFERROR(IF(YenidegerIskontoOrani=0,$M611*$G611,$M611*(1-1/(1+YenidegerIskontoOrani)^$G611)/YenidegerIskontoOrani),0)</f>
        <v/>
      </c>
      <c r="O611" s="124">
        <f>$N611-$K611</f>
        <v/>
      </c>
      <c r="P611" s="124">
        <f>IF($J611&lt;=0,"DEĞERLENDİR",IF($O611&gt;0,"YENİDEN DEĞERLE","DEĞERLENDİR"))</f>
        <v/>
      </c>
      <c r="Q611" s="124">
        <f>IF($B611="","",CONCATENATE("Kıymet: ",$B611," | Değer Artışı: ",TEXT($J611,"#,##0")))</f>
        <v/>
      </c>
    </row>
    <row r="612" ht="15.75" customHeight="1" s="81">
      <c r="A612" s="129" t="n"/>
      <c r="B612" s="130" t="n"/>
      <c r="C612" s="127" t="n"/>
      <c r="D612" s="127" t="n"/>
      <c r="E612" s="124">
        <f>IF($C612=0,0,$C612-$D612)</f>
        <v/>
      </c>
      <c r="F612" s="128" t="n"/>
      <c r="G612" s="129" t="n"/>
      <c r="H612" s="131" t="n"/>
      <c r="I612" s="124">
        <f>IF($E612=0,0,$E612*$H612)</f>
        <v/>
      </c>
      <c r="J612" s="124">
        <f>IF($I612=0,0,$I612-$E612)</f>
        <v/>
      </c>
      <c r="K612" s="124">
        <f>IF($J612=0,0,$J612*YenidegerFonOran)</f>
        <v/>
      </c>
      <c r="L612" s="124">
        <f>IF($G612=0,0,$J612/$G612)</f>
        <v/>
      </c>
      <c r="M612" s="124">
        <f>IF($L612=0,0,$L612*YenidegerKurumlarVergiOran)</f>
        <v/>
      </c>
      <c r="N612" s="124">
        <f>IFERROR(IF(YenidegerIskontoOrani=0,$M612*$G612,$M612*(1-1/(1+YenidegerIskontoOrani)^$G612)/YenidegerIskontoOrani),0)</f>
        <v/>
      </c>
      <c r="O612" s="124">
        <f>$N612-$K612</f>
        <v/>
      </c>
      <c r="P612" s="124">
        <f>IF($J612&lt;=0,"DEĞERLENDİR",IF($O612&gt;0,"YENİDEN DEĞERLE","DEĞERLENDİR"))</f>
        <v/>
      </c>
      <c r="Q612" s="124">
        <f>IF($B612="","",CONCATENATE("Kıymet: ",$B612," | Değer Artışı: ",TEXT($J612,"#,##0")))</f>
        <v/>
      </c>
    </row>
    <row r="613" ht="15.75" customHeight="1" s="81">
      <c r="A613" s="129" t="n"/>
      <c r="B613" s="130" t="n"/>
      <c r="C613" s="127" t="n"/>
      <c r="D613" s="127" t="n"/>
      <c r="E613" s="124">
        <f>IF($C613=0,0,$C613-$D613)</f>
        <v/>
      </c>
      <c r="F613" s="128" t="n"/>
      <c r="G613" s="129" t="n"/>
      <c r="H613" s="131" t="n"/>
      <c r="I613" s="124">
        <f>IF($E613=0,0,$E613*$H613)</f>
        <v/>
      </c>
      <c r="J613" s="124">
        <f>IF($I613=0,0,$I613-$E613)</f>
        <v/>
      </c>
      <c r="K613" s="124">
        <f>IF($J613=0,0,$J613*YenidegerFonOran)</f>
        <v/>
      </c>
      <c r="L613" s="124">
        <f>IF($G613=0,0,$J613/$G613)</f>
        <v/>
      </c>
      <c r="M613" s="124">
        <f>IF($L613=0,0,$L613*YenidegerKurumlarVergiOran)</f>
        <v/>
      </c>
      <c r="N613" s="124">
        <f>IFERROR(IF(YenidegerIskontoOrani=0,$M613*$G613,$M613*(1-1/(1+YenidegerIskontoOrani)^$G613)/YenidegerIskontoOrani),0)</f>
        <v/>
      </c>
      <c r="O613" s="124">
        <f>$N613-$K613</f>
        <v/>
      </c>
      <c r="P613" s="124">
        <f>IF($J613&lt;=0,"DEĞERLENDİR",IF($O613&gt;0,"YENİDEN DEĞERLE","DEĞERLENDİR"))</f>
        <v/>
      </c>
      <c r="Q613" s="124">
        <f>IF($B613="","",CONCATENATE("Kıymet: ",$B613," | Değer Artışı: ",TEXT($J613,"#,##0")))</f>
        <v/>
      </c>
    </row>
    <row r="614" ht="15.75" customHeight="1" s="81">
      <c r="A614" s="129" t="n"/>
      <c r="B614" s="130" t="n"/>
      <c r="C614" s="127" t="n"/>
      <c r="D614" s="127" t="n"/>
      <c r="E614" s="124">
        <f>IF($C614=0,0,$C614-$D614)</f>
        <v/>
      </c>
      <c r="F614" s="128" t="n"/>
      <c r="G614" s="129" t="n"/>
      <c r="H614" s="131" t="n"/>
      <c r="I614" s="124">
        <f>IF($E614=0,0,$E614*$H614)</f>
        <v/>
      </c>
      <c r="J614" s="124">
        <f>IF($I614=0,0,$I614-$E614)</f>
        <v/>
      </c>
      <c r="K614" s="124">
        <f>IF($J614=0,0,$J614*YenidegerFonOran)</f>
        <v/>
      </c>
      <c r="L614" s="124">
        <f>IF($G614=0,0,$J614/$G614)</f>
        <v/>
      </c>
      <c r="M614" s="124">
        <f>IF($L614=0,0,$L614*YenidegerKurumlarVergiOran)</f>
        <v/>
      </c>
      <c r="N614" s="124">
        <f>IFERROR(IF(YenidegerIskontoOrani=0,$M614*$G614,$M614*(1-1/(1+YenidegerIskontoOrani)^$G614)/YenidegerIskontoOrani),0)</f>
        <v/>
      </c>
      <c r="O614" s="124">
        <f>$N614-$K614</f>
        <v/>
      </c>
      <c r="P614" s="124">
        <f>IF($J614&lt;=0,"DEĞERLENDİR",IF($O614&gt;0,"YENİDEN DEĞERLE","DEĞERLENDİR"))</f>
        <v/>
      </c>
      <c r="Q614" s="124">
        <f>IF($B614="","",CONCATENATE("Kıymet: ",$B614," | Değer Artışı: ",TEXT($J614,"#,##0")))</f>
        <v/>
      </c>
    </row>
    <row r="615" ht="15.75" customHeight="1" s="81">
      <c r="A615" s="129" t="n"/>
      <c r="B615" s="130" t="n"/>
      <c r="C615" s="127" t="n"/>
      <c r="D615" s="127" t="n"/>
      <c r="E615" s="124">
        <f>IF($C615=0,0,$C615-$D615)</f>
        <v/>
      </c>
      <c r="F615" s="128" t="n"/>
      <c r="G615" s="129" t="n"/>
      <c r="H615" s="131" t="n"/>
      <c r="I615" s="124">
        <f>IF($E615=0,0,$E615*$H615)</f>
        <v/>
      </c>
      <c r="J615" s="124">
        <f>IF($I615=0,0,$I615-$E615)</f>
        <v/>
      </c>
      <c r="K615" s="124">
        <f>IF($J615=0,0,$J615*YenidegerFonOran)</f>
        <v/>
      </c>
      <c r="L615" s="124">
        <f>IF($G615=0,0,$J615/$G615)</f>
        <v/>
      </c>
      <c r="M615" s="124">
        <f>IF($L615=0,0,$L615*YenidegerKurumlarVergiOran)</f>
        <v/>
      </c>
      <c r="N615" s="124">
        <f>IFERROR(IF(YenidegerIskontoOrani=0,$M615*$G615,$M615*(1-1/(1+YenidegerIskontoOrani)^$G615)/YenidegerIskontoOrani),0)</f>
        <v/>
      </c>
      <c r="O615" s="124">
        <f>$N615-$K615</f>
        <v/>
      </c>
      <c r="P615" s="124">
        <f>IF($J615&lt;=0,"DEĞERLENDİR",IF($O615&gt;0,"YENİDEN DEĞERLE","DEĞERLENDİR"))</f>
        <v/>
      </c>
      <c r="Q615" s="124">
        <f>IF($B615="","",CONCATENATE("Kıymet: ",$B615," | Değer Artışı: ",TEXT($J615,"#,##0")))</f>
        <v/>
      </c>
    </row>
    <row r="616" ht="15.75" customHeight="1" s="81">
      <c r="A616" s="129" t="n"/>
      <c r="B616" s="130" t="n"/>
      <c r="C616" s="127" t="n"/>
      <c r="D616" s="127" t="n"/>
      <c r="E616" s="124">
        <f>IF($C616=0,0,$C616-$D616)</f>
        <v/>
      </c>
      <c r="F616" s="128" t="n"/>
      <c r="G616" s="129" t="n"/>
      <c r="H616" s="131" t="n"/>
      <c r="I616" s="124">
        <f>IF($E616=0,0,$E616*$H616)</f>
        <v/>
      </c>
      <c r="J616" s="124">
        <f>IF($I616=0,0,$I616-$E616)</f>
        <v/>
      </c>
      <c r="K616" s="124">
        <f>IF($J616=0,0,$J616*YenidegerFonOran)</f>
        <v/>
      </c>
      <c r="L616" s="124">
        <f>IF($G616=0,0,$J616/$G616)</f>
        <v/>
      </c>
      <c r="M616" s="124">
        <f>IF($L616=0,0,$L616*YenidegerKurumlarVergiOran)</f>
        <v/>
      </c>
      <c r="N616" s="124">
        <f>IFERROR(IF(YenidegerIskontoOrani=0,$M616*$G616,$M616*(1-1/(1+YenidegerIskontoOrani)^$G616)/YenidegerIskontoOrani),0)</f>
        <v/>
      </c>
      <c r="O616" s="124">
        <f>$N616-$K616</f>
        <v/>
      </c>
      <c r="P616" s="124">
        <f>IF($J616&lt;=0,"DEĞERLENDİR",IF($O616&gt;0,"YENİDEN DEĞERLE","DEĞERLENDİR"))</f>
        <v/>
      </c>
      <c r="Q616" s="124">
        <f>IF($B616="","",CONCATENATE("Kıymet: ",$B616," | Değer Artışı: ",TEXT($J616,"#,##0")))</f>
        <v/>
      </c>
    </row>
    <row r="617" ht="15.75" customHeight="1" s="81">
      <c r="A617" s="129" t="n"/>
      <c r="B617" s="130" t="n"/>
      <c r="C617" s="127" t="n"/>
      <c r="D617" s="127" t="n"/>
      <c r="E617" s="124">
        <f>IF($C617=0,0,$C617-$D617)</f>
        <v/>
      </c>
      <c r="F617" s="128" t="n"/>
      <c r="G617" s="129" t="n"/>
      <c r="H617" s="131" t="n"/>
      <c r="I617" s="124">
        <f>IF($E617=0,0,$E617*$H617)</f>
        <v/>
      </c>
      <c r="J617" s="124">
        <f>IF($I617=0,0,$I617-$E617)</f>
        <v/>
      </c>
      <c r="K617" s="124">
        <f>IF($J617=0,0,$J617*YenidegerFonOran)</f>
        <v/>
      </c>
      <c r="L617" s="124">
        <f>IF($G617=0,0,$J617/$G617)</f>
        <v/>
      </c>
      <c r="M617" s="124">
        <f>IF($L617=0,0,$L617*YenidegerKurumlarVergiOran)</f>
        <v/>
      </c>
      <c r="N617" s="124">
        <f>IFERROR(IF(YenidegerIskontoOrani=0,$M617*$G617,$M617*(1-1/(1+YenidegerIskontoOrani)^$G617)/YenidegerIskontoOrani),0)</f>
        <v/>
      </c>
      <c r="O617" s="124">
        <f>$N617-$K617</f>
        <v/>
      </c>
      <c r="P617" s="124">
        <f>IF($J617&lt;=0,"DEĞERLENDİR",IF($O617&gt;0,"YENİDEN DEĞERLE","DEĞERLENDİR"))</f>
        <v/>
      </c>
      <c r="Q617" s="124">
        <f>IF($B617="","",CONCATENATE("Kıymet: ",$B617," | Değer Artışı: ",TEXT($J617,"#,##0")))</f>
        <v/>
      </c>
    </row>
    <row r="618" ht="15.75" customHeight="1" s="81">
      <c r="A618" s="129" t="n"/>
      <c r="B618" s="130" t="n"/>
      <c r="C618" s="127" t="n"/>
      <c r="D618" s="127" t="n"/>
      <c r="E618" s="124">
        <f>IF($C618=0,0,$C618-$D618)</f>
        <v/>
      </c>
      <c r="F618" s="128" t="n"/>
      <c r="G618" s="129" t="n"/>
      <c r="H618" s="131" t="n"/>
      <c r="I618" s="124">
        <f>IF($E618=0,0,$E618*$H618)</f>
        <v/>
      </c>
      <c r="J618" s="124">
        <f>IF($I618=0,0,$I618-$E618)</f>
        <v/>
      </c>
      <c r="K618" s="124">
        <f>IF($J618=0,0,$J618*YenidegerFonOran)</f>
        <v/>
      </c>
      <c r="L618" s="124">
        <f>IF($G618=0,0,$J618/$G618)</f>
        <v/>
      </c>
      <c r="M618" s="124">
        <f>IF($L618=0,0,$L618*YenidegerKurumlarVergiOran)</f>
        <v/>
      </c>
      <c r="N618" s="124">
        <f>IFERROR(IF(YenidegerIskontoOrani=0,$M618*$G618,$M618*(1-1/(1+YenidegerIskontoOrani)^$G618)/YenidegerIskontoOrani),0)</f>
        <v/>
      </c>
      <c r="O618" s="124">
        <f>$N618-$K618</f>
        <v/>
      </c>
      <c r="P618" s="124">
        <f>IF($J618&lt;=0,"DEĞERLENDİR",IF($O618&gt;0,"YENİDEN DEĞERLE","DEĞERLENDİR"))</f>
        <v/>
      </c>
      <c r="Q618" s="124">
        <f>IF($B618="","",CONCATENATE("Kıymet: ",$B618," | Değer Artışı: ",TEXT($J618,"#,##0")))</f>
        <v/>
      </c>
    </row>
    <row r="619" ht="15.75" customHeight="1" s="81">
      <c r="A619" s="129" t="n"/>
      <c r="B619" s="130" t="n"/>
      <c r="C619" s="127" t="n"/>
      <c r="D619" s="127" t="n"/>
      <c r="E619" s="124">
        <f>IF($C619=0,0,$C619-$D619)</f>
        <v/>
      </c>
      <c r="F619" s="128" t="n"/>
      <c r="G619" s="129" t="n"/>
      <c r="H619" s="131" t="n"/>
      <c r="I619" s="124">
        <f>IF($E619=0,0,$E619*$H619)</f>
        <v/>
      </c>
      <c r="J619" s="124">
        <f>IF($I619=0,0,$I619-$E619)</f>
        <v/>
      </c>
      <c r="K619" s="124">
        <f>IF($J619=0,0,$J619*YenidegerFonOran)</f>
        <v/>
      </c>
      <c r="L619" s="124">
        <f>IF($G619=0,0,$J619/$G619)</f>
        <v/>
      </c>
      <c r="M619" s="124">
        <f>IF($L619=0,0,$L619*YenidegerKurumlarVergiOran)</f>
        <v/>
      </c>
      <c r="N619" s="124">
        <f>IFERROR(IF(YenidegerIskontoOrani=0,$M619*$G619,$M619*(1-1/(1+YenidegerIskontoOrani)^$G619)/YenidegerIskontoOrani),0)</f>
        <v/>
      </c>
      <c r="O619" s="124">
        <f>$N619-$K619</f>
        <v/>
      </c>
      <c r="P619" s="124">
        <f>IF($J619&lt;=0,"DEĞERLENDİR",IF($O619&gt;0,"YENİDEN DEĞERLE","DEĞERLENDİR"))</f>
        <v/>
      </c>
      <c r="Q619" s="124">
        <f>IF($B619="","",CONCATENATE("Kıymet: ",$B619," | Değer Artışı: ",TEXT($J619,"#,##0")))</f>
        <v/>
      </c>
    </row>
    <row r="620" ht="15.75" customHeight="1" s="81">
      <c r="A620" s="129" t="n"/>
      <c r="B620" s="130" t="n"/>
      <c r="C620" s="127" t="n"/>
      <c r="D620" s="127" t="n"/>
      <c r="E620" s="124">
        <f>IF($C620=0,0,$C620-$D620)</f>
        <v/>
      </c>
      <c r="F620" s="128" t="n"/>
      <c r="G620" s="129" t="n"/>
      <c r="H620" s="131" t="n"/>
      <c r="I620" s="124">
        <f>IF($E620=0,0,$E620*$H620)</f>
        <v/>
      </c>
      <c r="J620" s="124">
        <f>IF($I620=0,0,$I620-$E620)</f>
        <v/>
      </c>
      <c r="K620" s="124">
        <f>IF($J620=0,0,$J620*YenidegerFonOran)</f>
        <v/>
      </c>
      <c r="L620" s="124">
        <f>IF($G620=0,0,$J620/$G620)</f>
        <v/>
      </c>
      <c r="M620" s="124">
        <f>IF($L620=0,0,$L620*YenidegerKurumlarVergiOran)</f>
        <v/>
      </c>
      <c r="N620" s="124">
        <f>IFERROR(IF(YenidegerIskontoOrani=0,$M620*$G620,$M620*(1-1/(1+YenidegerIskontoOrani)^$G620)/YenidegerIskontoOrani),0)</f>
        <v/>
      </c>
      <c r="O620" s="124">
        <f>$N620-$K620</f>
        <v/>
      </c>
      <c r="P620" s="124">
        <f>IF($J620&lt;=0,"DEĞERLENDİR",IF($O620&gt;0,"YENİDEN DEĞERLE","DEĞERLENDİR"))</f>
        <v/>
      </c>
      <c r="Q620" s="124">
        <f>IF($B620="","",CONCATENATE("Kıymet: ",$B620," | Değer Artışı: ",TEXT($J620,"#,##0")))</f>
        <v/>
      </c>
    </row>
    <row r="621" ht="15.75" customHeight="1" s="81">
      <c r="A621" s="129" t="n"/>
      <c r="B621" s="130" t="n"/>
      <c r="C621" s="127" t="n"/>
      <c r="D621" s="127" t="n"/>
      <c r="E621" s="124">
        <f>IF($C621=0,0,$C621-$D621)</f>
        <v/>
      </c>
      <c r="F621" s="128" t="n"/>
      <c r="G621" s="129" t="n"/>
      <c r="H621" s="131" t="n"/>
      <c r="I621" s="124">
        <f>IF($E621=0,0,$E621*$H621)</f>
        <v/>
      </c>
      <c r="J621" s="124">
        <f>IF($I621=0,0,$I621-$E621)</f>
        <v/>
      </c>
      <c r="K621" s="124">
        <f>IF($J621=0,0,$J621*YenidegerFonOran)</f>
        <v/>
      </c>
      <c r="L621" s="124">
        <f>IF($G621=0,0,$J621/$G621)</f>
        <v/>
      </c>
      <c r="M621" s="124">
        <f>IF($L621=0,0,$L621*YenidegerKurumlarVergiOran)</f>
        <v/>
      </c>
      <c r="N621" s="124">
        <f>IFERROR(IF(YenidegerIskontoOrani=0,$M621*$G621,$M621*(1-1/(1+YenidegerIskontoOrani)^$G621)/YenidegerIskontoOrani),0)</f>
        <v/>
      </c>
      <c r="O621" s="124">
        <f>$N621-$K621</f>
        <v/>
      </c>
      <c r="P621" s="124">
        <f>IF($J621&lt;=0,"DEĞERLENDİR",IF($O621&gt;0,"YENİDEN DEĞERLE","DEĞERLENDİR"))</f>
        <v/>
      </c>
      <c r="Q621" s="124">
        <f>IF($B621="","",CONCATENATE("Kıymet: ",$B621," | Değer Artışı: ",TEXT($J621,"#,##0")))</f>
        <v/>
      </c>
    </row>
    <row r="622" ht="15.75" customHeight="1" s="81">
      <c r="A622" s="129" t="n"/>
      <c r="B622" s="130" t="n"/>
      <c r="C622" s="127" t="n"/>
      <c r="D622" s="127" t="n"/>
      <c r="E622" s="124">
        <f>IF($C622=0,0,$C622-$D622)</f>
        <v/>
      </c>
      <c r="F622" s="128" t="n"/>
      <c r="G622" s="129" t="n"/>
      <c r="H622" s="131" t="n"/>
      <c r="I622" s="124">
        <f>IF($E622=0,0,$E622*$H622)</f>
        <v/>
      </c>
      <c r="J622" s="124">
        <f>IF($I622=0,0,$I622-$E622)</f>
        <v/>
      </c>
      <c r="K622" s="124">
        <f>IF($J622=0,0,$J622*YenidegerFonOran)</f>
        <v/>
      </c>
      <c r="L622" s="124">
        <f>IF($G622=0,0,$J622/$G622)</f>
        <v/>
      </c>
      <c r="M622" s="124">
        <f>IF($L622=0,0,$L622*YenidegerKurumlarVergiOran)</f>
        <v/>
      </c>
      <c r="N622" s="124">
        <f>IFERROR(IF(YenidegerIskontoOrani=0,$M622*$G622,$M622*(1-1/(1+YenidegerIskontoOrani)^$G622)/YenidegerIskontoOrani),0)</f>
        <v/>
      </c>
      <c r="O622" s="124">
        <f>$N622-$K622</f>
        <v/>
      </c>
      <c r="P622" s="124">
        <f>IF($J622&lt;=0,"DEĞERLENDİR",IF($O622&gt;0,"YENİDEN DEĞERLE","DEĞERLENDİR"))</f>
        <v/>
      </c>
      <c r="Q622" s="124">
        <f>IF($B622="","",CONCATENATE("Kıymet: ",$B622," | Değer Artışı: ",TEXT($J622,"#,##0")))</f>
        <v/>
      </c>
    </row>
    <row r="623" ht="15.75" customHeight="1" s="81">
      <c r="A623" s="129" t="n"/>
      <c r="B623" s="130" t="n"/>
      <c r="C623" s="127" t="n"/>
      <c r="D623" s="127" t="n"/>
      <c r="E623" s="124">
        <f>IF($C623=0,0,$C623-$D623)</f>
        <v/>
      </c>
      <c r="F623" s="128" t="n"/>
      <c r="G623" s="129" t="n"/>
      <c r="H623" s="131" t="n"/>
      <c r="I623" s="124">
        <f>IF($E623=0,0,$E623*$H623)</f>
        <v/>
      </c>
      <c r="J623" s="124">
        <f>IF($I623=0,0,$I623-$E623)</f>
        <v/>
      </c>
      <c r="K623" s="124">
        <f>IF($J623=0,0,$J623*YenidegerFonOran)</f>
        <v/>
      </c>
      <c r="L623" s="124">
        <f>IF($G623=0,0,$J623/$G623)</f>
        <v/>
      </c>
      <c r="M623" s="124">
        <f>IF($L623=0,0,$L623*YenidegerKurumlarVergiOran)</f>
        <v/>
      </c>
      <c r="N623" s="124">
        <f>IFERROR(IF(YenidegerIskontoOrani=0,$M623*$G623,$M623*(1-1/(1+YenidegerIskontoOrani)^$G623)/YenidegerIskontoOrani),0)</f>
        <v/>
      </c>
      <c r="O623" s="124">
        <f>$N623-$K623</f>
        <v/>
      </c>
      <c r="P623" s="124">
        <f>IF($J623&lt;=0,"DEĞERLENDİR",IF($O623&gt;0,"YENİDEN DEĞERLE","DEĞERLENDİR"))</f>
        <v/>
      </c>
      <c r="Q623" s="124">
        <f>IF($B623="","",CONCATENATE("Kıymet: ",$B623," | Değer Artışı: ",TEXT($J623,"#,##0")))</f>
        <v/>
      </c>
    </row>
    <row r="624" ht="15.75" customHeight="1" s="81">
      <c r="A624" s="129" t="n"/>
      <c r="B624" s="130" t="n"/>
      <c r="C624" s="127" t="n"/>
      <c r="D624" s="127" t="n"/>
      <c r="E624" s="124">
        <f>IF($C624=0,0,$C624-$D624)</f>
        <v/>
      </c>
      <c r="F624" s="128" t="n"/>
      <c r="G624" s="129" t="n"/>
      <c r="H624" s="131" t="n"/>
      <c r="I624" s="124">
        <f>IF($E624=0,0,$E624*$H624)</f>
        <v/>
      </c>
      <c r="J624" s="124">
        <f>IF($I624=0,0,$I624-$E624)</f>
        <v/>
      </c>
      <c r="K624" s="124">
        <f>IF($J624=0,0,$J624*YenidegerFonOran)</f>
        <v/>
      </c>
      <c r="L624" s="124">
        <f>IF($G624=0,0,$J624/$G624)</f>
        <v/>
      </c>
      <c r="M624" s="124">
        <f>IF($L624=0,0,$L624*YenidegerKurumlarVergiOran)</f>
        <v/>
      </c>
      <c r="N624" s="124">
        <f>IFERROR(IF(YenidegerIskontoOrani=0,$M624*$G624,$M624*(1-1/(1+YenidegerIskontoOrani)^$G624)/YenidegerIskontoOrani),0)</f>
        <v/>
      </c>
      <c r="O624" s="124">
        <f>$N624-$K624</f>
        <v/>
      </c>
      <c r="P624" s="124">
        <f>IF($J624&lt;=0,"DEĞERLENDİR",IF($O624&gt;0,"YENİDEN DEĞERLE","DEĞERLENDİR"))</f>
        <v/>
      </c>
      <c r="Q624" s="124">
        <f>IF($B624="","",CONCATENATE("Kıymet: ",$B624," | Değer Artışı: ",TEXT($J624,"#,##0")))</f>
        <v/>
      </c>
    </row>
    <row r="625" ht="15.75" customHeight="1" s="81">
      <c r="A625" s="129" t="n"/>
      <c r="B625" s="130" t="n"/>
      <c r="C625" s="127" t="n"/>
      <c r="D625" s="127" t="n"/>
      <c r="E625" s="124">
        <f>IF($C625=0,0,$C625-$D625)</f>
        <v/>
      </c>
      <c r="F625" s="128" t="n"/>
      <c r="G625" s="129" t="n"/>
      <c r="H625" s="131" t="n"/>
      <c r="I625" s="124">
        <f>IF($E625=0,0,$E625*$H625)</f>
        <v/>
      </c>
      <c r="J625" s="124">
        <f>IF($I625=0,0,$I625-$E625)</f>
        <v/>
      </c>
      <c r="K625" s="124">
        <f>IF($J625=0,0,$J625*YenidegerFonOran)</f>
        <v/>
      </c>
      <c r="L625" s="124">
        <f>IF($G625=0,0,$J625/$G625)</f>
        <v/>
      </c>
      <c r="M625" s="124">
        <f>IF($L625=0,0,$L625*YenidegerKurumlarVergiOran)</f>
        <v/>
      </c>
      <c r="N625" s="124">
        <f>IFERROR(IF(YenidegerIskontoOrani=0,$M625*$G625,$M625*(1-1/(1+YenidegerIskontoOrani)^$G625)/YenidegerIskontoOrani),0)</f>
        <v/>
      </c>
      <c r="O625" s="124">
        <f>$N625-$K625</f>
        <v/>
      </c>
      <c r="P625" s="124">
        <f>IF($J625&lt;=0,"DEĞERLENDİR",IF($O625&gt;0,"YENİDEN DEĞERLE","DEĞERLENDİR"))</f>
        <v/>
      </c>
      <c r="Q625" s="124">
        <f>IF($B625="","",CONCATENATE("Kıymet: ",$B625," | Değer Artışı: ",TEXT($J625,"#,##0")))</f>
        <v/>
      </c>
    </row>
    <row r="626" ht="15.75" customHeight="1" s="81">
      <c r="A626" s="129" t="n"/>
      <c r="B626" s="130" t="n"/>
      <c r="C626" s="127" t="n"/>
      <c r="D626" s="127" t="n"/>
      <c r="E626" s="124">
        <f>IF($C626=0,0,$C626-$D626)</f>
        <v/>
      </c>
      <c r="F626" s="128" t="n"/>
      <c r="G626" s="129" t="n"/>
      <c r="H626" s="131" t="n"/>
      <c r="I626" s="124">
        <f>IF($E626=0,0,$E626*$H626)</f>
        <v/>
      </c>
      <c r="J626" s="124">
        <f>IF($I626=0,0,$I626-$E626)</f>
        <v/>
      </c>
      <c r="K626" s="124">
        <f>IF($J626=0,0,$J626*YenidegerFonOran)</f>
        <v/>
      </c>
      <c r="L626" s="124">
        <f>IF($G626=0,0,$J626/$G626)</f>
        <v/>
      </c>
      <c r="M626" s="124">
        <f>IF($L626=0,0,$L626*YenidegerKurumlarVergiOran)</f>
        <v/>
      </c>
      <c r="N626" s="124">
        <f>IFERROR(IF(YenidegerIskontoOrani=0,$M626*$G626,$M626*(1-1/(1+YenidegerIskontoOrani)^$G626)/YenidegerIskontoOrani),0)</f>
        <v/>
      </c>
      <c r="O626" s="124">
        <f>$N626-$K626</f>
        <v/>
      </c>
      <c r="P626" s="124">
        <f>IF($J626&lt;=0,"DEĞERLENDİR",IF($O626&gt;0,"YENİDEN DEĞERLE","DEĞERLENDİR"))</f>
        <v/>
      </c>
      <c r="Q626" s="124">
        <f>IF($B626="","",CONCATENATE("Kıymet: ",$B626," | Değer Artışı: ",TEXT($J626,"#,##0")))</f>
        <v/>
      </c>
    </row>
    <row r="627" ht="15.75" customHeight="1" s="81">
      <c r="A627" s="129" t="n"/>
      <c r="B627" s="130" t="n"/>
      <c r="C627" s="127" t="n"/>
      <c r="D627" s="127" t="n"/>
      <c r="E627" s="124">
        <f>IF($C627=0,0,$C627-$D627)</f>
        <v/>
      </c>
      <c r="F627" s="128" t="n"/>
      <c r="G627" s="129" t="n"/>
      <c r="H627" s="131" t="n"/>
      <c r="I627" s="124">
        <f>IF($E627=0,0,$E627*$H627)</f>
        <v/>
      </c>
      <c r="J627" s="124">
        <f>IF($I627=0,0,$I627-$E627)</f>
        <v/>
      </c>
      <c r="K627" s="124">
        <f>IF($J627=0,0,$J627*YenidegerFonOran)</f>
        <v/>
      </c>
      <c r="L627" s="124">
        <f>IF($G627=0,0,$J627/$G627)</f>
        <v/>
      </c>
      <c r="M627" s="124">
        <f>IF($L627=0,0,$L627*YenidegerKurumlarVergiOran)</f>
        <v/>
      </c>
      <c r="N627" s="124">
        <f>IFERROR(IF(YenidegerIskontoOrani=0,$M627*$G627,$M627*(1-1/(1+YenidegerIskontoOrani)^$G627)/YenidegerIskontoOrani),0)</f>
        <v/>
      </c>
      <c r="O627" s="124">
        <f>$N627-$K627</f>
        <v/>
      </c>
      <c r="P627" s="124">
        <f>IF($J627&lt;=0,"DEĞERLENDİR",IF($O627&gt;0,"YENİDEN DEĞERLE","DEĞERLENDİR"))</f>
        <v/>
      </c>
      <c r="Q627" s="124">
        <f>IF($B627="","",CONCATENATE("Kıymet: ",$B627," | Değer Artışı: ",TEXT($J627,"#,##0")))</f>
        <v/>
      </c>
    </row>
    <row r="628" ht="15.75" customHeight="1" s="81">
      <c r="A628" s="129" t="n"/>
      <c r="B628" s="130" t="n"/>
      <c r="C628" s="127" t="n"/>
      <c r="D628" s="127" t="n"/>
      <c r="E628" s="124">
        <f>IF($C628=0,0,$C628-$D628)</f>
        <v/>
      </c>
      <c r="F628" s="128" t="n"/>
      <c r="G628" s="129" t="n"/>
      <c r="H628" s="131" t="n"/>
      <c r="I628" s="124">
        <f>IF($E628=0,0,$E628*$H628)</f>
        <v/>
      </c>
      <c r="J628" s="124">
        <f>IF($I628=0,0,$I628-$E628)</f>
        <v/>
      </c>
      <c r="K628" s="124">
        <f>IF($J628=0,0,$J628*YenidegerFonOran)</f>
        <v/>
      </c>
      <c r="L628" s="124">
        <f>IF($G628=0,0,$J628/$G628)</f>
        <v/>
      </c>
      <c r="M628" s="124">
        <f>IF($L628=0,0,$L628*YenidegerKurumlarVergiOran)</f>
        <v/>
      </c>
      <c r="N628" s="124">
        <f>IFERROR(IF(YenidegerIskontoOrani=0,$M628*$G628,$M628*(1-1/(1+YenidegerIskontoOrani)^$G628)/YenidegerIskontoOrani),0)</f>
        <v/>
      </c>
      <c r="O628" s="124">
        <f>$N628-$K628</f>
        <v/>
      </c>
      <c r="P628" s="124">
        <f>IF($J628&lt;=0,"DEĞERLENDİR",IF($O628&gt;0,"YENİDEN DEĞERLE","DEĞERLENDİR"))</f>
        <v/>
      </c>
      <c r="Q628" s="124">
        <f>IF($B628="","",CONCATENATE("Kıymet: ",$B628," | Değer Artışı: ",TEXT($J628,"#,##0")))</f>
        <v/>
      </c>
    </row>
    <row r="629" ht="15.75" customHeight="1" s="81">
      <c r="A629" s="129" t="n"/>
      <c r="B629" s="130" t="n"/>
      <c r="C629" s="127" t="n"/>
      <c r="D629" s="127" t="n"/>
      <c r="E629" s="124">
        <f>IF($C629=0,0,$C629-$D629)</f>
        <v/>
      </c>
      <c r="F629" s="128" t="n"/>
      <c r="G629" s="129" t="n"/>
      <c r="H629" s="131" t="n"/>
      <c r="I629" s="124">
        <f>IF($E629=0,0,$E629*$H629)</f>
        <v/>
      </c>
      <c r="J629" s="124">
        <f>IF($I629=0,0,$I629-$E629)</f>
        <v/>
      </c>
      <c r="K629" s="124">
        <f>IF($J629=0,0,$J629*YenidegerFonOran)</f>
        <v/>
      </c>
      <c r="L629" s="124">
        <f>IF($G629=0,0,$J629/$G629)</f>
        <v/>
      </c>
      <c r="M629" s="124">
        <f>IF($L629=0,0,$L629*YenidegerKurumlarVergiOran)</f>
        <v/>
      </c>
      <c r="N629" s="124">
        <f>IFERROR(IF(YenidegerIskontoOrani=0,$M629*$G629,$M629*(1-1/(1+YenidegerIskontoOrani)^$G629)/YenidegerIskontoOrani),0)</f>
        <v/>
      </c>
      <c r="O629" s="124">
        <f>$N629-$K629</f>
        <v/>
      </c>
      <c r="P629" s="124">
        <f>IF($J629&lt;=0,"DEĞERLENDİR",IF($O629&gt;0,"YENİDEN DEĞERLE","DEĞERLENDİR"))</f>
        <v/>
      </c>
      <c r="Q629" s="124">
        <f>IF($B629="","",CONCATENATE("Kıymet: ",$B629," | Değer Artışı: ",TEXT($J629,"#,##0")))</f>
        <v/>
      </c>
    </row>
    <row r="630" ht="15.75" customHeight="1" s="81">
      <c r="A630" s="129" t="n"/>
      <c r="B630" s="130" t="n"/>
      <c r="C630" s="127" t="n"/>
      <c r="D630" s="127" t="n"/>
      <c r="E630" s="124">
        <f>IF($C630=0,0,$C630-$D630)</f>
        <v/>
      </c>
      <c r="F630" s="128" t="n"/>
      <c r="G630" s="129" t="n"/>
      <c r="H630" s="131" t="n"/>
      <c r="I630" s="124">
        <f>IF($E630=0,0,$E630*$H630)</f>
        <v/>
      </c>
      <c r="J630" s="124">
        <f>IF($I630=0,0,$I630-$E630)</f>
        <v/>
      </c>
      <c r="K630" s="124">
        <f>IF($J630=0,0,$J630*YenidegerFonOran)</f>
        <v/>
      </c>
      <c r="L630" s="124">
        <f>IF($G630=0,0,$J630/$G630)</f>
        <v/>
      </c>
      <c r="M630" s="124">
        <f>IF($L630=0,0,$L630*YenidegerKurumlarVergiOran)</f>
        <v/>
      </c>
      <c r="N630" s="124">
        <f>IFERROR(IF(YenidegerIskontoOrani=0,$M630*$G630,$M630*(1-1/(1+YenidegerIskontoOrani)^$G630)/YenidegerIskontoOrani),0)</f>
        <v/>
      </c>
      <c r="O630" s="124">
        <f>$N630-$K630</f>
        <v/>
      </c>
      <c r="P630" s="124">
        <f>IF($J630&lt;=0,"DEĞERLENDİR",IF($O630&gt;0,"YENİDEN DEĞERLE","DEĞERLENDİR"))</f>
        <v/>
      </c>
      <c r="Q630" s="124">
        <f>IF($B630="","",CONCATENATE("Kıymet: ",$B630," | Değer Artışı: ",TEXT($J630,"#,##0")))</f>
        <v/>
      </c>
    </row>
    <row r="631" ht="15.75" customHeight="1" s="81">
      <c r="A631" s="129" t="n"/>
      <c r="B631" s="130" t="n"/>
      <c r="C631" s="127" t="n"/>
      <c r="D631" s="127" t="n"/>
      <c r="E631" s="124">
        <f>IF($C631=0,0,$C631-$D631)</f>
        <v/>
      </c>
      <c r="F631" s="128" t="n"/>
      <c r="G631" s="129" t="n"/>
      <c r="H631" s="131" t="n"/>
      <c r="I631" s="124">
        <f>IF($E631=0,0,$E631*$H631)</f>
        <v/>
      </c>
      <c r="J631" s="124">
        <f>IF($I631=0,0,$I631-$E631)</f>
        <v/>
      </c>
      <c r="K631" s="124">
        <f>IF($J631=0,0,$J631*YenidegerFonOran)</f>
        <v/>
      </c>
      <c r="L631" s="124">
        <f>IF($G631=0,0,$J631/$G631)</f>
        <v/>
      </c>
      <c r="M631" s="124">
        <f>IF($L631=0,0,$L631*YenidegerKurumlarVergiOran)</f>
        <v/>
      </c>
      <c r="N631" s="124">
        <f>IFERROR(IF(YenidegerIskontoOrani=0,$M631*$G631,$M631*(1-1/(1+YenidegerIskontoOrani)^$G631)/YenidegerIskontoOrani),0)</f>
        <v/>
      </c>
      <c r="O631" s="124">
        <f>$N631-$K631</f>
        <v/>
      </c>
      <c r="P631" s="124">
        <f>IF($J631&lt;=0,"DEĞERLENDİR",IF($O631&gt;0,"YENİDEN DEĞERLE","DEĞERLENDİR"))</f>
        <v/>
      </c>
      <c r="Q631" s="124">
        <f>IF($B631="","",CONCATENATE("Kıymet: ",$B631," | Değer Artışı: ",TEXT($J631,"#,##0")))</f>
        <v/>
      </c>
    </row>
    <row r="632" ht="15.75" customHeight="1" s="81">
      <c r="A632" s="129" t="n"/>
      <c r="B632" s="130" t="n"/>
      <c r="C632" s="127" t="n"/>
      <c r="D632" s="127" t="n"/>
      <c r="E632" s="124">
        <f>IF($C632=0,0,$C632-$D632)</f>
        <v/>
      </c>
      <c r="F632" s="128" t="n"/>
      <c r="G632" s="129" t="n"/>
      <c r="H632" s="131" t="n"/>
      <c r="I632" s="124">
        <f>IF($E632=0,0,$E632*$H632)</f>
        <v/>
      </c>
      <c r="J632" s="124">
        <f>IF($I632=0,0,$I632-$E632)</f>
        <v/>
      </c>
      <c r="K632" s="124">
        <f>IF($J632=0,0,$J632*YenidegerFonOran)</f>
        <v/>
      </c>
      <c r="L632" s="124">
        <f>IF($G632=0,0,$J632/$G632)</f>
        <v/>
      </c>
      <c r="M632" s="124">
        <f>IF($L632=0,0,$L632*YenidegerKurumlarVergiOran)</f>
        <v/>
      </c>
      <c r="N632" s="124">
        <f>IFERROR(IF(YenidegerIskontoOrani=0,$M632*$G632,$M632*(1-1/(1+YenidegerIskontoOrani)^$G632)/YenidegerIskontoOrani),0)</f>
        <v/>
      </c>
      <c r="O632" s="124">
        <f>$N632-$K632</f>
        <v/>
      </c>
      <c r="P632" s="124">
        <f>IF($J632&lt;=0,"DEĞERLENDİR",IF($O632&gt;0,"YENİDEN DEĞERLE","DEĞERLENDİR"))</f>
        <v/>
      </c>
      <c r="Q632" s="124">
        <f>IF($B632="","",CONCATENATE("Kıymet: ",$B632," | Değer Artışı: ",TEXT($J632,"#,##0")))</f>
        <v/>
      </c>
    </row>
    <row r="633" ht="15.75" customHeight="1" s="81">
      <c r="A633" s="129" t="n"/>
      <c r="B633" s="130" t="n"/>
      <c r="C633" s="127" t="n"/>
      <c r="D633" s="127" t="n"/>
      <c r="E633" s="124">
        <f>IF($C633=0,0,$C633-$D633)</f>
        <v/>
      </c>
      <c r="F633" s="128" t="n"/>
      <c r="G633" s="129" t="n"/>
      <c r="H633" s="131" t="n"/>
      <c r="I633" s="124">
        <f>IF($E633=0,0,$E633*$H633)</f>
        <v/>
      </c>
      <c r="J633" s="124">
        <f>IF($I633=0,0,$I633-$E633)</f>
        <v/>
      </c>
      <c r="K633" s="124">
        <f>IF($J633=0,0,$J633*YenidegerFonOran)</f>
        <v/>
      </c>
      <c r="L633" s="124">
        <f>IF($G633=0,0,$J633/$G633)</f>
        <v/>
      </c>
      <c r="M633" s="124">
        <f>IF($L633=0,0,$L633*YenidegerKurumlarVergiOran)</f>
        <v/>
      </c>
      <c r="N633" s="124">
        <f>IFERROR(IF(YenidegerIskontoOrani=0,$M633*$G633,$M633*(1-1/(1+YenidegerIskontoOrani)^$G633)/YenidegerIskontoOrani),0)</f>
        <v/>
      </c>
      <c r="O633" s="124">
        <f>$N633-$K633</f>
        <v/>
      </c>
      <c r="P633" s="124">
        <f>IF($J633&lt;=0,"DEĞERLENDİR",IF($O633&gt;0,"YENİDEN DEĞERLE","DEĞERLENDİR"))</f>
        <v/>
      </c>
      <c r="Q633" s="124">
        <f>IF($B633="","",CONCATENATE("Kıymet: ",$B633," | Değer Artışı: ",TEXT($J633,"#,##0")))</f>
        <v/>
      </c>
    </row>
    <row r="634" ht="15.75" customHeight="1" s="81">
      <c r="A634" s="129" t="n"/>
      <c r="B634" s="130" t="n"/>
      <c r="C634" s="127" t="n"/>
      <c r="D634" s="127" t="n"/>
      <c r="E634" s="124">
        <f>IF($C634=0,0,$C634-$D634)</f>
        <v/>
      </c>
      <c r="F634" s="128" t="n"/>
      <c r="G634" s="129" t="n"/>
      <c r="H634" s="131" t="n"/>
      <c r="I634" s="124">
        <f>IF($E634=0,0,$E634*$H634)</f>
        <v/>
      </c>
      <c r="J634" s="124">
        <f>IF($I634=0,0,$I634-$E634)</f>
        <v/>
      </c>
      <c r="K634" s="124">
        <f>IF($J634=0,0,$J634*YenidegerFonOran)</f>
        <v/>
      </c>
      <c r="L634" s="124">
        <f>IF($G634=0,0,$J634/$G634)</f>
        <v/>
      </c>
      <c r="M634" s="124">
        <f>IF($L634=0,0,$L634*YenidegerKurumlarVergiOran)</f>
        <v/>
      </c>
      <c r="N634" s="124">
        <f>IFERROR(IF(YenidegerIskontoOrani=0,$M634*$G634,$M634*(1-1/(1+YenidegerIskontoOrani)^$G634)/YenidegerIskontoOrani),0)</f>
        <v/>
      </c>
      <c r="O634" s="124">
        <f>$N634-$K634</f>
        <v/>
      </c>
      <c r="P634" s="124">
        <f>IF($J634&lt;=0,"DEĞERLENDİR",IF($O634&gt;0,"YENİDEN DEĞERLE","DEĞERLENDİR"))</f>
        <v/>
      </c>
      <c r="Q634" s="124">
        <f>IF($B634="","",CONCATENATE("Kıymet: ",$B634," | Değer Artışı: ",TEXT($J634,"#,##0")))</f>
        <v/>
      </c>
    </row>
    <row r="635" ht="15.75" customHeight="1" s="81">
      <c r="A635" s="129" t="n"/>
      <c r="B635" s="130" t="n"/>
      <c r="C635" s="127" t="n"/>
      <c r="D635" s="127" t="n"/>
      <c r="E635" s="124">
        <f>IF($C635=0,0,$C635-$D635)</f>
        <v/>
      </c>
      <c r="F635" s="128" t="n"/>
      <c r="G635" s="129" t="n"/>
      <c r="H635" s="131" t="n"/>
      <c r="I635" s="124">
        <f>IF($E635=0,0,$E635*$H635)</f>
        <v/>
      </c>
      <c r="J635" s="124">
        <f>IF($I635=0,0,$I635-$E635)</f>
        <v/>
      </c>
      <c r="K635" s="124">
        <f>IF($J635=0,0,$J635*YenidegerFonOran)</f>
        <v/>
      </c>
      <c r="L635" s="124">
        <f>IF($G635=0,0,$J635/$G635)</f>
        <v/>
      </c>
      <c r="M635" s="124">
        <f>IF($L635=0,0,$L635*YenidegerKurumlarVergiOran)</f>
        <v/>
      </c>
      <c r="N635" s="124">
        <f>IFERROR(IF(YenidegerIskontoOrani=0,$M635*$G635,$M635*(1-1/(1+YenidegerIskontoOrani)^$G635)/YenidegerIskontoOrani),0)</f>
        <v/>
      </c>
      <c r="O635" s="124">
        <f>$N635-$K635</f>
        <v/>
      </c>
      <c r="P635" s="124">
        <f>IF($J635&lt;=0,"DEĞERLENDİR",IF($O635&gt;0,"YENİDEN DEĞERLE","DEĞERLENDİR"))</f>
        <v/>
      </c>
      <c r="Q635" s="124">
        <f>IF($B635="","",CONCATENATE("Kıymet: ",$B635," | Değer Artışı: ",TEXT($J635,"#,##0")))</f>
        <v/>
      </c>
    </row>
    <row r="636" ht="15.75" customHeight="1" s="81">
      <c r="A636" s="129" t="n"/>
      <c r="B636" s="130" t="n"/>
      <c r="C636" s="127" t="n"/>
      <c r="D636" s="127" t="n"/>
      <c r="E636" s="124">
        <f>IF($C636=0,0,$C636-$D636)</f>
        <v/>
      </c>
      <c r="F636" s="128" t="n"/>
      <c r="G636" s="129" t="n"/>
      <c r="H636" s="131" t="n"/>
      <c r="I636" s="124">
        <f>IF($E636=0,0,$E636*$H636)</f>
        <v/>
      </c>
      <c r="J636" s="124">
        <f>IF($I636=0,0,$I636-$E636)</f>
        <v/>
      </c>
      <c r="K636" s="124">
        <f>IF($J636=0,0,$J636*YenidegerFonOran)</f>
        <v/>
      </c>
      <c r="L636" s="124">
        <f>IF($G636=0,0,$J636/$G636)</f>
        <v/>
      </c>
      <c r="M636" s="124">
        <f>IF($L636=0,0,$L636*YenidegerKurumlarVergiOran)</f>
        <v/>
      </c>
      <c r="N636" s="124">
        <f>IFERROR(IF(YenidegerIskontoOrani=0,$M636*$G636,$M636*(1-1/(1+YenidegerIskontoOrani)^$G636)/YenidegerIskontoOrani),0)</f>
        <v/>
      </c>
      <c r="O636" s="124">
        <f>$N636-$K636</f>
        <v/>
      </c>
      <c r="P636" s="124">
        <f>IF($J636&lt;=0,"DEĞERLENDİR",IF($O636&gt;0,"YENİDEN DEĞERLE","DEĞERLENDİR"))</f>
        <v/>
      </c>
      <c r="Q636" s="124">
        <f>IF($B636="","",CONCATENATE("Kıymet: ",$B636," | Değer Artışı: ",TEXT($J636,"#,##0")))</f>
        <v/>
      </c>
    </row>
    <row r="637" ht="15.75" customHeight="1" s="81">
      <c r="A637" s="129" t="n"/>
      <c r="B637" s="130" t="n"/>
      <c r="C637" s="127" t="n"/>
      <c r="D637" s="127" t="n"/>
      <c r="E637" s="124">
        <f>IF($C637=0,0,$C637-$D637)</f>
        <v/>
      </c>
      <c r="F637" s="128" t="n"/>
      <c r="G637" s="129" t="n"/>
      <c r="H637" s="131" t="n"/>
      <c r="I637" s="124">
        <f>IF($E637=0,0,$E637*$H637)</f>
        <v/>
      </c>
      <c r="J637" s="124">
        <f>IF($I637=0,0,$I637-$E637)</f>
        <v/>
      </c>
      <c r="K637" s="124">
        <f>IF($J637=0,0,$J637*YenidegerFonOran)</f>
        <v/>
      </c>
      <c r="L637" s="124">
        <f>IF($G637=0,0,$J637/$G637)</f>
        <v/>
      </c>
      <c r="M637" s="124">
        <f>IF($L637=0,0,$L637*YenidegerKurumlarVergiOran)</f>
        <v/>
      </c>
      <c r="N637" s="124">
        <f>IFERROR(IF(YenidegerIskontoOrani=0,$M637*$G637,$M637*(1-1/(1+YenidegerIskontoOrani)^$G637)/YenidegerIskontoOrani),0)</f>
        <v/>
      </c>
      <c r="O637" s="124">
        <f>$N637-$K637</f>
        <v/>
      </c>
      <c r="P637" s="124">
        <f>IF($J637&lt;=0,"DEĞERLENDİR",IF($O637&gt;0,"YENİDEN DEĞERLE","DEĞERLENDİR"))</f>
        <v/>
      </c>
      <c r="Q637" s="124">
        <f>IF($B637="","",CONCATENATE("Kıymet: ",$B637," | Değer Artışı: ",TEXT($J637,"#,##0")))</f>
        <v/>
      </c>
    </row>
    <row r="638" ht="15.75" customHeight="1" s="81">
      <c r="A638" s="129" t="n"/>
      <c r="B638" s="130" t="n"/>
      <c r="C638" s="127" t="n"/>
      <c r="D638" s="127" t="n"/>
      <c r="E638" s="124">
        <f>IF($C638=0,0,$C638-$D638)</f>
        <v/>
      </c>
      <c r="F638" s="128" t="n"/>
      <c r="G638" s="129" t="n"/>
      <c r="H638" s="131" t="n"/>
      <c r="I638" s="124">
        <f>IF($E638=0,0,$E638*$H638)</f>
        <v/>
      </c>
      <c r="J638" s="124">
        <f>IF($I638=0,0,$I638-$E638)</f>
        <v/>
      </c>
      <c r="K638" s="124">
        <f>IF($J638=0,0,$J638*YenidegerFonOran)</f>
        <v/>
      </c>
      <c r="L638" s="124">
        <f>IF($G638=0,0,$J638/$G638)</f>
        <v/>
      </c>
      <c r="M638" s="124">
        <f>IF($L638=0,0,$L638*YenidegerKurumlarVergiOran)</f>
        <v/>
      </c>
      <c r="N638" s="124">
        <f>IFERROR(IF(YenidegerIskontoOrani=0,$M638*$G638,$M638*(1-1/(1+YenidegerIskontoOrani)^$G638)/YenidegerIskontoOrani),0)</f>
        <v/>
      </c>
      <c r="O638" s="124">
        <f>$N638-$K638</f>
        <v/>
      </c>
      <c r="P638" s="124">
        <f>IF($J638&lt;=0,"DEĞERLENDİR",IF($O638&gt;0,"YENİDEN DEĞERLE","DEĞERLENDİR"))</f>
        <v/>
      </c>
      <c r="Q638" s="124">
        <f>IF($B638="","",CONCATENATE("Kıymet: ",$B638," | Değer Artışı: ",TEXT($J638,"#,##0")))</f>
        <v/>
      </c>
    </row>
    <row r="639" ht="15.75" customHeight="1" s="81">
      <c r="A639" s="129" t="n"/>
      <c r="B639" s="130" t="n"/>
      <c r="C639" s="127" t="n"/>
      <c r="D639" s="127" t="n"/>
      <c r="E639" s="124">
        <f>IF($C639=0,0,$C639-$D639)</f>
        <v/>
      </c>
      <c r="F639" s="128" t="n"/>
      <c r="G639" s="129" t="n"/>
      <c r="H639" s="131" t="n"/>
      <c r="I639" s="124">
        <f>IF($E639=0,0,$E639*$H639)</f>
        <v/>
      </c>
      <c r="J639" s="124">
        <f>IF($I639=0,0,$I639-$E639)</f>
        <v/>
      </c>
      <c r="K639" s="124">
        <f>IF($J639=0,0,$J639*YenidegerFonOran)</f>
        <v/>
      </c>
      <c r="L639" s="124">
        <f>IF($G639=0,0,$J639/$G639)</f>
        <v/>
      </c>
      <c r="M639" s="124">
        <f>IF($L639=0,0,$L639*YenidegerKurumlarVergiOran)</f>
        <v/>
      </c>
      <c r="N639" s="124">
        <f>IFERROR(IF(YenidegerIskontoOrani=0,$M639*$G639,$M639*(1-1/(1+YenidegerIskontoOrani)^$G639)/YenidegerIskontoOrani),0)</f>
        <v/>
      </c>
      <c r="O639" s="124">
        <f>$N639-$K639</f>
        <v/>
      </c>
      <c r="P639" s="124">
        <f>IF($J639&lt;=0,"DEĞERLENDİR",IF($O639&gt;0,"YENİDEN DEĞERLE","DEĞERLENDİR"))</f>
        <v/>
      </c>
      <c r="Q639" s="124">
        <f>IF($B639="","",CONCATENATE("Kıymet: ",$B639," | Değer Artışı: ",TEXT($J639,"#,##0")))</f>
        <v/>
      </c>
    </row>
    <row r="640" ht="15.75" customHeight="1" s="81">
      <c r="A640" s="129" t="n"/>
      <c r="B640" s="130" t="n"/>
      <c r="C640" s="127" t="n"/>
      <c r="D640" s="127" t="n"/>
      <c r="E640" s="124">
        <f>IF($C640=0,0,$C640-$D640)</f>
        <v/>
      </c>
      <c r="F640" s="128" t="n"/>
      <c r="G640" s="129" t="n"/>
      <c r="H640" s="131" t="n"/>
      <c r="I640" s="124">
        <f>IF($E640=0,0,$E640*$H640)</f>
        <v/>
      </c>
      <c r="J640" s="124">
        <f>IF($I640=0,0,$I640-$E640)</f>
        <v/>
      </c>
      <c r="K640" s="124">
        <f>IF($J640=0,0,$J640*YenidegerFonOran)</f>
        <v/>
      </c>
      <c r="L640" s="124">
        <f>IF($G640=0,0,$J640/$G640)</f>
        <v/>
      </c>
      <c r="M640" s="124">
        <f>IF($L640=0,0,$L640*YenidegerKurumlarVergiOran)</f>
        <v/>
      </c>
      <c r="N640" s="124">
        <f>IFERROR(IF(YenidegerIskontoOrani=0,$M640*$G640,$M640*(1-1/(1+YenidegerIskontoOrani)^$G640)/YenidegerIskontoOrani),0)</f>
        <v/>
      </c>
      <c r="O640" s="124">
        <f>$N640-$K640</f>
        <v/>
      </c>
      <c r="P640" s="124">
        <f>IF($J640&lt;=0,"DEĞERLENDİR",IF($O640&gt;0,"YENİDEN DEĞERLE","DEĞERLENDİR"))</f>
        <v/>
      </c>
      <c r="Q640" s="124">
        <f>IF($B640="","",CONCATENATE("Kıymet: ",$B640," | Değer Artışı: ",TEXT($J640,"#,##0")))</f>
        <v/>
      </c>
    </row>
    <row r="641" ht="15.75" customHeight="1" s="81">
      <c r="A641" s="129" t="n"/>
      <c r="B641" s="130" t="n"/>
      <c r="C641" s="127" t="n"/>
      <c r="D641" s="127" t="n"/>
      <c r="E641" s="124">
        <f>IF($C641=0,0,$C641-$D641)</f>
        <v/>
      </c>
      <c r="F641" s="128" t="n"/>
      <c r="G641" s="129" t="n"/>
      <c r="H641" s="131" t="n"/>
      <c r="I641" s="124">
        <f>IF($E641=0,0,$E641*$H641)</f>
        <v/>
      </c>
      <c r="J641" s="124">
        <f>IF($I641=0,0,$I641-$E641)</f>
        <v/>
      </c>
      <c r="K641" s="124">
        <f>IF($J641=0,0,$J641*YenidegerFonOran)</f>
        <v/>
      </c>
      <c r="L641" s="124">
        <f>IF($G641=0,0,$J641/$G641)</f>
        <v/>
      </c>
      <c r="M641" s="124">
        <f>IF($L641=0,0,$L641*YenidegerKurumlarVergiOran)</f>
        <v/>
      </c>
      <c r="N641" s="124">
        <f>IFERROR(IF(YenidegerIskontoOrani=0,$M641*$G641,$M641*(1-1/(1+YenidegerIskontoOrani)^$G641)/YenidegerIskontoOrani),0)</f>
        <v/>
      </c>
      <c r="O641" s="124">
        <f>$N641-$K641</f>
        <v/>
      </c>
      <c r="P641" s="124">
        <f>IF($J641&lt;=0,"DEĞERLENDİR",IF($O641&gt;0,"YENİDEN DEĞERLE","DEĞERLENDİR"))</f>
        <v/>
      </c>
      <c r="Q641" s="124">
        <f>IF($B641="","",CONCATENATE("Kıymet: ",$B641," | Değer Artışı: ",TEXT($J641,"#,##0")))</f>
        <v/>
      </c>
    </row>
    <row r="642" ht="15.75" customHeight="1" s="81">
      <c r="A642" s="129" t="n"/>
      <c r="B642" s="130" t="n"/>
      <c r="C642" s="127" t="n"/>
      <c r="D642" s="127" t="n"/>
      <c r="E642" s="124">
        <f>IF($C642=0,0,$C642-$D642)</f>
        <v/>
      </c>
      <c r="F642" s="128" t="n"/>
      <c r="G642" s="129" t="n"/>
      <c r="H642" s="131" t="n"/>
      <c r="I642" s="124">
        <f>IF($E642=0,0,$E642*$H642)</f>
        <v/>
      </c>
      <c r="J642" s="124">
        <f>IF($I642=0,0,$I642-$E642)</f>
        <v/>
      </c>
      <c r="K642" s="124">
        <f>IF($J642=0,0,$J642*YenidegerFonOran)</f>
        <v/>
      </c>
      <c r="L642" s="124">
        <f>IF($G642=0,0,$J642/$G642)</f>
        <v/>
      </c>
      <c r="M642" s="124">
        <f>IF($L642=0,0,$L642*YenidegerKurumlarVergiOran)</f>
        <v/>
      </c>
      <c r="N642" s="124">
        <f>IFERROR(IF(YenidegerIskontoOrani=0,$M642*$G642,$M642*(1-1/(1+YenidegerIskontoOrani)^$G642)/YenidegerIskontoOrani),0)</f>
        <v/>
      </c>
      <c r="O642" s="124">
        <f>$N642-$K642</f>
        <v/>
      </c>
      <c r="P642" s="124">
        <f>IF($J642&lt;=0,"DEĞERLENDİR",IF($O642&gt;0,"YENİDEN DEĞERLE","DEĞERLENDİR"))</f>
        <v/>
      </c>
      <c r="Q642" s="124">
        <f>IF($B642="","",CONCATENATE("Kıymet: ",$B642," | Değer Artışı: ",TEXT($J642,"#,##0")))</f>
        <v/>
      </c>
    </row>
    <row r="643" ht="15.75" customHeight="1" s="81">
      <c r="A643" s="129" t="n"/>
      <c r="B643" s="130" t="n"/>
      <c r="C643" s="127" t="n"/>
      <c r="D643" s="127" t="n"/>
      <c r="E643" s="124">
        <f>IF($C643=0,0,$C643-$D643)</f>
        <v/>
      </c>
      <c r="F643" s="128" t="n"/>
      <c r="G643" s="129" t="n"/>
      <c r="H643" s="131" t="n"/>
      <c r="I643" s="124">
        <f>IF($E643=0,0,$E643*$H643)</f>
        <v/>
      </c>
      <c r="J643" s="124">
        <f>IF($I643=0,0,$I643-$E643)</f>
        <v/>
      </c>
      <c r="K643" s="124">
        <f>IF($J643=0,0,$J643*YenidegerFonOran)</f>
        <v/>
      </c>
      <c r="L643" s="124">
        <f>IF($G643=0,0,$J643/$G643)</f>
        <v/>
      </c>
      <c r="M643" s="124">
        <f>IF($L643=0,0,$L643*YenidegerKurumlarVergiOran)</f>
        <v/>
      </c>
      <c r="N643" s="124">
        <f>IFERROR(IF(YenidegerIskontoOrani=0,$M643*$G643,$M643*(1-1/(1+YenidegerIskontoOrani)^$G643)/YenidegerIskontoOrani),0)</f>
        <v/>
      </c>
      <c r="O643" s="124">
        <f>$N643-$K643</f>
        <v/>
      </c>
      <c r="P643" s="124">
        <f>IF($J643&lt;=0,"DEĞERLENDİR",IF($O643&gt;0,"YENİDEN DEĞERLE","DEĞERLENDİR"))</f>
        <v/>
      </c>
      <c r="Q643" s="124">
        <f>IF($B643="","",CONCATENATE("Kıymet: ",$B643," | Değer Artışı: ",TEXT($J643,"#,##0")))</f>
        <v/>
      </c>
    </row>
    <row r="644" ht="15.75" customHeight="1" s="81">
      <c r="A644" s="129" t="n"/>
      <c r="B644" s="130" t="n"/>
      <c r="C644" s="127" t="n"/>
      <c r="D644" s="127" t="n"/>
      <c r="E644" s="124">
        <f>IF($C644=0,0,$C644-$D644)</f>
        <v/>
      </c>
      <c r="F644" s="128" t="n"/>
      <c r="G644" s="129" t="n"/>
      <c r="H644" s="131" t="n"/>
      <c r="I644" s="124">
        <f>IF($E644=0,0,$E644*$H644)</f>
        <v/>
      </c>
      <c r="J644" s="124">
        <f>IF($I644=0,0,$I644-$E644)</f>
        <v/>
      </c>
      <c r="K644" s="124">
        <f>IF($J644=0,0,$J644*YenidegerFonOran)</f>
        <v/>
      </c>
      <c r="L644" s="124">
        <f>IF($G644=0,0,$J644/$G644)</f>
        <v/>
      </c>
      <c r="M644" s="124">
        <f>IF($L644=0,0,$L644*YenidegerKurumlarVergiOran)</f>
        <v/>
      </c>
      <c r="N644" s="124">
        <f>IFERROR(IF(YenidegerIskontoOrani=0,$M644*$G644,$M644*(1-1/(1+YenidegerIskontoOrani)^$G644)/YenidegerIskontoOrani),0)</f>
        <v/>
      </c>
      <c r="O644" s="124">
        <f>$N644-$K644</f>
        <v/>
      </c>
      <c r="P644" s="124">
        <f>IF($J644&lt;=0,"DEĞERLENDİR",IF($O644&gt;0,"YENİDEN DEĞERLE","DEĞERLENDİR"))</f>
        <v/>
      </c>
      <c r="Q644" s="124">
        <f>IF($B644="","",CONCATENATE("Kıymet: ",$B644," | Değer Artışı: ",TEXT($J644,"#,##0")))</f>
        <v/>
      </c>
    </row>
    <row r="645" ht="15.75" customHeight="1" s="81">
      <c r="A645" s="129" t="n"/>
      <c r="B645" s="130" t="n"/>
      <c r="C645" s="127" t="n"/>
      <c r="D645" s="127" t="n"/>
      <c r="E645" s="124">
        <f>IF($C645=0,0,$C645-$D645)</f>
        <v/>
      </c>
      <c r="F645" s="128" t="n"/>
      <c r="G645" s="129" t="n"/>
      <c r="H645" s="131" t="n"/>
      <c r="I645" s="124">
        <f>IF($E645=0,0,$E645*$H645)</f>
        <v/>
      </c>
      <c r="J645" s="124">
        <f>IF($I645=0,0,$I645-$E645)</f>
        <v/>
      </c>
      <c r="K645" s="124">
        <f>IF($J645=0,0,$J645*YenidegerFonOran)</f>
        <v/>
      </c>
      <c r="L645" s="124">
        <f>IF($G645=0,0,$J645/$G645)</f>
        <v/>
      </c>
      <c r="M645" s="124">
        <f>IF($L645=0,0,$L645*YenidegerKurumlarVergiOran)</f>
        <v/>
      </c>
      <c r="N645" s="124">
        <f>IFERROR(IF(YenidegerIskontoOrani=0,$M645*$G645,$M645*(1-1/(1+YenidegerIskontoOrani)^$G645)/YenidegerIskontoOrani),0)</f>
        <v/>
      </c>
      <c r="O645" s="124">
        <f>$N645-$K645</f>
        <v/>
      </c>
      <c r="P645" s="124">
        <f>IF($J645&lt;=0,"DEĞERLENDİR",IF($O645&gt;0,"YENİDEN DEĞERLE","DEĞERLENDİR"))</f>
        <v/>
      </c>
      <c r="Q645" s="124">
        <f>IF($B645="","",CONCATENATE("Kıymet: ",$B645," | Değer Artışı: ",TEXT($J645,"#,##0")))</f>
        <v/>
      </c>
    </row>
    <row r="646" ht="15.75" customHeight="1" s="81">
      <c r="A646" s="129" t="n"/>
      <c r="B646" s="130" t="n"/>
      <c r="C646" s="127" t="n"/>
      <c r="D646" s="127" t="n"/>
      <c r="E646" s="124">
        <f>IF($C646=0,0,$C646-$D646)</f>
        <v/>
      </c>
      <c r="F646" s="128" t="n"/>
      <c r="G646" s="129" t="n"/>
      <c r="H646" s="131" t="n"/>
      <c r="I646" s="124">
        <f>IF($E646=0,0,$E646*$H646)</f>
        <v/>
      </c>
      <c r="J646" s="124">
        <f>IF($I646=0,0,$I646-$E646)</f>
        <v/>
      </c>
      <c r="K646" s="124">
        <f>IF($J646=0,0,$J646*YenidegerFonOran)</f>
        <v/>
      </c>
      <c r="L646" s="124">
        <f>IF($G646=0,0,$J646/$G646)</f>
        <v/>
      </c>
      <c r="M646" s="124">
        <f>IF($L646=0,0,$L646*YenidegerKurumlarVergiOran)</f>
        <v/>
      </c>
      <c r="N646" s="124">
        <f>IFERROR(IF(YenidegerIskontoOrani=0,$M646*$G646,$M646*(1-1/(1+YenidegerIskontoOrani)^$G646)/YenidegerIskontoOrani),0)</f>
        <v/>
      </c>
      <c r="O646" s="124">
        <f>$N646-$K646</f>
        <v/>
      </c>
      <c r="P646" s="124">
        <f>IF($J646&lt;=0,"DEĞERLENDİR",IF($O646&gt;0,"YENİDEN DEĞERLE","DEĞERLENDİR"))</f>
        <v/>
      </c>
      <c r="Q646" s="124">
        <f>IF($B646="","",CONCATENATE("Kıymet: ",$B646," | Değer Artışı: ",TEXT($J646,"#,##0")))</f>
        <v/>
      </c>
    </row>
    <row r="647" ht="15.75" customHeight="1" s="81">
      <c r="A647" s="129" t="n"/>
      <c r="B647" s="130" t="n"/>
      <c r="C647" s="127" t="n"/>
      <c r="D647" s="127" t="n"/>
      <c r="E647" s="124">
        <f>IF($C647=0,0,$C647-$D647)</f>
        <v/>
      </c>
      <c r="F647" s="128" t="n"/>
      <c r="G647" s="129" t="n"/>
      <c r="H647" s="131" t="n"/>
      <c r="I647" s="124">
        <f>IF($E647=0,0,$E647*$H647)</f>
        <v/>
      </c>
      <c r="J647" s="124">
        <f>IF($I647=0,0,$I647-$E647)</f>
        <v/>
      </c>
      <c r="K647" s="124">
        <f>IF($J647=0,0,$J647*YenidegerFonOran)</f>
        <v/>
      </c>
      <c r="L647" s="124">
        <f>IF($G647=0,0,$J647/$G647)</f>
        <v/>
      </c>
      <c r="M647" s="124">
        <f>IF($L647=0,0,$L647*YenidegerKurumlarVergiOran)</f>
        <v/>
      </c>
      <c r="N647" s="124">
        <f>IFERROR(IF(YenidegerIskontoOrani=0,$M647*$G647,$M647*(1-1/(1+YenidegerIskontoOrani)^$G647)/YenidegerIskontoOrani),0)</f>
        <v/>
      </c>
      <c r="O647" s="124">
        <f>$N647-$K647</f>
        <v/>
      </c>
      <c r="P647" s="124">
        <f>IF($J647&lt;=0,"DEĞERLENDİR",IF($O647&gt;0,"YENİDEN DEĞERLE","DEĞERLENDİR"))</f>
        <v/>
      </c>
      <c r="Q647" s="124">
        <f>IF($B647="","",CONCATENATE("Kıymet: ",$B647," | Değer Artışı: ",TEXT($J647,"#,##0")))</f>
        <v/>
      </c>
    </row>
    <row r="648" ht="15.75" customHeight="1" s="81">
      <c r="A648" s="129" t="n"/>
      <c r="B648" s="130" t="n"/>
      <c r="C648" s="127" t="n"/>
      <c r="D648" s="127" t="n"/>
      <c r="E648" s="124">
        <f>IF($C648=0,0,$C648-$D648)</f>
        <v/>
      </c>
      <c r="F648" s="128" t="n"/>
      <c r="G648" s="129" t="n"/>
      <c r="H648" s="131" t="n"/>
      <c r="I648" s="124">
        <f>IF($E648=0,0,$E648*$H648)</f>
        <v/>
      </c>
      <c r="J648" s="124">
        <f>IF($I648=0,0,$I648-$E648)</f>
        <v/>
      </c>
      <c r="K648" s="124">
        <f>IF($J648=0,0,$J648*YenidegerFonOran)</f>
        <v/>
      </c>
      <c r="L648" s="124">
        <f>IF($G648=0,0,$J648/$G648)</f>
        <v/>
      </c>
      <c r="M648" s="124">
        <f>IF($L648=0,0,$L648*YenidegerKurumlarVergiOran)</f>
        <v/>
      </c>
      <c r="N648" s="124">
        <f>IFERROR(IF(YenidegerIskontoOrani=0,$M648*$G648,$M648*(1-1/(1+YenidegerIskontoOrani)^$G648)/YenidegerIskontoOrani),0)</f>
        <v/>
      </c>
      <c r="O648" s="124">
        <f>$N648-$K648</f>
        <v/>
      </c>
      <c r="P648" s="124">
        <f>IF($J648&lt;=0,"DEĞERLENDİR",IF($O648&gt;0,"YENİDEN DEĞERLE","DEĞERLENDİR"))</f>
        <v/>
      </c>
      <c r="Q648" s="124">
        <f>IF($B648="","",CONCATENATE("Kıymet: ",$B648," | Değer Artışı: ",TEXT($J648,"#,##0")))</f>
        <v/>
      </c>
    </row>
    <row r="649" ht="15.75" customHeight="1" s="81">
      <c r="A649" s="129" t="n"/>
      <c r="B649" s="130" t="n"/>
      <c r="C649" s="127" t="n"/>
      <c r="D649" s="127" t="n"/>
      <c r="E649" s="124">
        <f>IF($C649=0,0,$C649-$D649)</f>
        <v/>
      </c>
      <c r="F649" s="128" t="n"/>
      <c r="G649" s="129" t="n"/>
      <c r="H649" s="131" t="n"/>
      <c r="I649" s="124">
        <f>IF($E649=0,0,$E649*$H649)</f>
        <v/>
      </c>
      <c r="J649" s="124">
        <f>IF($I649=0,0,$I649-$E649)</f>
        <v/>
      </c>
      <c r="K649" s="124">
        <f>IF($J649=0,0,$J649*YenidegerFonOran)</f>
        <v/>
      </c>
      <c r="L649" s="124">
        <f>IF($G649=0,0,$J649/$G649)</f>
        <v/>
      </c>
      <c r="M649" s="124">
        <f>IF($L649=0,0,$L649*YenidegerKurumlarVergiOran)</f>
        <v/>
      </c>
      <c r="N649" s="124">
        <f>IFERROR(IF(YenidegerIskontoOrani=0,$M649*$G649,$M649*(1-1/(1+YenidegerIskontoOrani)^$G649)/YenidegerIskontoOrani),0)</f>
        <v/>
      </c>
      <c r="O649" s="124">
        <f>$N649-$K649</f>
        <v/>
      </c>
      <c r="P649" s="124">
        <f>IF($J649&lt;=0,"DEĞERLENDİR",IF($O649&gt;0,"YENİDEN DEĞERLE","DEĞERLENDİR"))</f>
        <v/>
      </c>
      <c r="Q649" s="124">
        <f>IF($B649="","",CONCATENATE("Kıymet: ",$B649," | Değer Artışı: ",TEXT($J649,"#,##0")))</f>
        <v/>
      </c>
    </row>
    <row r="650" ht="15.75" customHeight="1" s="81">
      <c r="A650" s="129" t="n"/>
      <c r="B650" s="130" t="n"/>
      <c r="C650" s="127" t="n"/>
      <c r="D650" s="127" t="n"/>
      <c r="E650" s="124">
        <f>IF($C650=0,0,$C650-$D650)</f>
        <v/>
      </c>
      <c r="F650" s="128" t="n"/>
      <c r="G650" s="129" t="n"/>
      <c r="H650" s="131" t="n"/>
      <c r="I650" s="124">
        <f>IF($E650=0,0,$E650*$H650)</f>
        <v/>
      </c>
      <c r="J650" s="124">
        <f>IF($I650=0,0,$I650-$E650)</f>
        <v/>
      </c>
      <c r="K650" s="124">
        <f>IF($J650=0,0,$J650*YenidegerFonOran)</f>
        <v/>
      </c>
      <c r="L650" s="124">
        <f>IF($G650=0,0,$J650/$G650)</f>
        <v/>
      </c>
      <c r="M650" s="124">
        <f>IF($L650=0,0,$L650*YenidegerKurumlarVergiOran)</f>
        <v/>
      </c>
      <c r="N650" s="124">
        <f>IFERROR(IF(YenidegerIskontoOrani=0,$M650*$G650,$M650*(1-1/(1+YenidegerIskontoOrani)^$G650)/YenidegerIskontoOrani),0)</f>
        <v/>
      </c>
      <c r="O650" s="124">
        <f>$N650-$K650</f>
        <v/>
      </c>
      <c r="P650" s="124">
        <f>IF($J650&lt;=0,"DEĞERLENDİR",IF($O650&gt;0,"YENİDEN DEĞERLE","DEĞERLENDİR"))</f>
        <v/>
      </c>
      <c r="Q650" s="124">
        <f>IF($B650="","",CONCATENATE("Kıymet: ",$B650," | Değer Artışı: ",TEXT($J650,"#,##0")))</f>
        <v/>
      </c>
    </row>
    <row r="651" ht="15.75" customHeight="1" s="81">
      <c r="A651" s="129" t="n"/>
      <c r="B651" s="130" t="n"/>
      <c r="C651" s="127" t="n"/>
      <c r="D651" s="127" t="n"/>
      <c r="E651" s="124">
        <f>IF($C651=0,0,$C651-$D651)</f>
        <v/>
      </c>
      <c r="F651" s="128" t="n"/>
      <c r="G651" s="129" t="n"/>
      <c r="H651" s="131" t="n"/>
      <c r="I651" s="124">
        <f>IF($E651=0,0,$E651*$H651)</f>
        <v/>
      </c>
      <c r="J651" s="124">
        <f>IF($I651=0,0,$I651-$E651)</f>
        <v/>
      </c>
      <c r="K651" s="124">
        <f>IF($J651=0,0,$J651*YenidegerFonOran)</f>
        <v/>
      </c>
      <c r="L651" s="124">
        <f>IF($G651=0,0,$J651/$G651)</f>
        <v/>
      </c>
      <c r="M651" s="124">
        <f>IF($L651=0,0,$L651*YenidegerKurumlarVergiOran)</f>
        <v/>
      </c>
      <c r="N651" s="124">
        <f>IFERROR(IF(YenidegerIskontoOrani=0,$M651*$G651,$M651*(1-1/(1+YenidegerIskontoOrani)^$G651)/YenidegerIskontoOrani),0)</f>
        <v/>
      </c>
      <c r="O651" s="124">
        <f>$N651-$K651</f>
        <v/>
      </c>
      <c r="P651" s="124">
        <f>IF($J651&lt;=0,"DEĞERLENDİR",IF($O651&gt;0,"YENİDEN DEĞERLE","DEĞERLENDİR"))</f>
        <v/>
      </c>
      <c r="Q651" s="124">
        <f>IF($B651="","",CONCATENATE("Kıymet: ",$B651," | Değer Artışı: ",TEXT($J651,"#,##0")))</f>
        <v/>
      </c>
    </row>
    <row r="652" ht="15.75" customHeight="1" s="81">
      <c r="A652" s="129" t="n"/>
      <c r="B652" s="130" t="n"/>
      <c r="C652" s="127" t="n"/>
      <c r="D652" s="127" t="n"/>
      <c r="E652" s="124">
        <f>IF($C652=0,0,$C652-$D652)</f>
        <v/>
      </c>
      <c r="F652" s="128" t="n"/>
      <c r="G652" s="129" t="n"/>
      <c r="H652" s="131" t="n"/>
      <c r="I652" s="124">
        <f>IF($E652=0,0,$E652*$H652)</f>
        <v/>
      </c>
      <c r="J652" s="124">
        <f>IF($I652=0,0,$I652-$E652)</f>
        <v/>
      </c>
      <c r="K652" s="124">
        <f>IF($J652=0,0,$J652*YenidegerFonOran)</f>
        <v/>
      </c>
      <c r="L652" s="124">
        <f>IF($G652=0,0,$J652/$G652)</f>
        <v/>
      </c>
      <c r="M652" s="124">
        <f>IF($L652=0,0,$L652*YenidegerKurumlarVergiOran)</f>
        <v/>
      </c>
      <c r="N652" s="124">
        <f>IFERROR(IF(YenidegerIskontoOrani=0,$M652*$G652,$M652*(1-1/(1+YenidegerIskontoOrani)^$G652)/YenidegerIskontoOrani),0)</f>
        <v/>
      </c>
      <c r="O652" s="124">
        <f>$N652-$K652</f>
        <v/>
      </c>
      <c r="P652" s="124">
        <f>IF($J652&lt;=0,"DEĞERLENDİR",IF($O652&gt;0,"YENİDEN DEĞERLE","DEĞERLENDİR"))</f>
        <v/>
      </c>
      <c r="Q652" s="124">
        <f>IF($B652="","",CONCATENATE("Kıymet: ",$B652," | Değer Artışı: ",TEXT($J652,"#,##0")))</f>
        <v/>
      </c>
    </row>
    <row r="653" ht="15.75" customHeight="1" s="81">
      <c r="A653" s="129" t="n"/>
      <c r="B653" s="130" t="n"/>
      <c r="C653" s="127" t="n"/>
      <c r="D653" s="127" t="n"/>
      <c r="E653" s="124">
        <f>IF($C653=0,0,$C653-$D653)</f>
        <v/>
      </c>
      <c r="F653" s="128" t="n"/>
      <c r="G653" s="129" t="n"/>
      <c r="H653" s="131" t="n"/>
      <c r="I653" s="124">
        <f>IF($E653=0,0,$E653*$H653)</f>
        <v/>
      </c>
      <c r="J653" s="124">
        <f>IF($I653=0,0,$I653-$E653)</f>
        <v/>
      </c>
      <c r="K653" s="124">
        <f>IF($J653=0,0,$J653*YenidegerFonOran)</f>
        <v/>
      </c>
      <c r="L653" s="124">
        <f>IF($G653=0,0,$J653/$G653)</f>
        <v/>
      </c>
      <c r="M653" s="124">
        <f>IF($L653=0,0,$L653*YenidegerKurumlarVergiOran)</f>
        <v/>
      </c>
      <c r="N653" s="124">
        <f>IFERROR(IF(YenidegerIskontoOrani=0,$M653*$G653,$M653*(1-1/(1+YenidegerIskontoOrani)^$G653)/YenidegerIskontoOrani),0)</f>
        <v/>
      </c>
      <c r="O653" s="124">
        <f>$N653-$K653</f>
        <v/>
      </c>
      <c r="P653" s="124">
        <f>IF($J653&lt;=0,"DEĞERLENDİR",IF($O653&gt;0,"YENİDEN DEĞERLE","DEĞERLENDİR"))</f>
        <v/>
      </c>
      <c r="Q653" s="124">
        <f>IF($B653="","",CONCATENATE("Kıymet: ",$B653," | Değer Artışı: ",TEXT($J653,"#,##0")))</f>
        <v/>
      </c>
    </row>
    <row r="654" ht="15.75" customHeight="1" s="81">
      <c r="A654" s="129" t="n"/>
      <c r="B654" s="130" t="n"/>
      <c r="C654" s="127" t="n"/>
      <c r="D654" s="127" t="n"/>
      <c r="E654" s="124">
        <f>IF($C654=0,0,$C654-$D654)</f>
        <v/>
      </c>
      <c r="F654" s="128" t="n"/>
      <c r="G654" s="129" t="n"/>
      <c r="H654" s="131" t="n"/>
      <c r="I654" s="124">
        <f>IF($E654=0,0,$E654*$H654)</f>
        <v/>
      </c>
      <c r="J654" s="124">
        <f>IF($I654=0,0,$I654-$E654)</f>
        <v/>
      </c>
      <c r="K654" s="124">
        <f>IF($J654=0,0,$J654*YenidegerFonOran)</f>
        <v/>
      </c>
      <c r="L654" s="124">
        <f>IF($G654=0,0,$J654/$G654)</f>
        <v/>
      </c>
      <c r="M654" s="124">
        <f>IF($L654=0,0,$L654*YenidegerKurumlarVergiOran)</f>
        <v/>
      </c>
      <c r="N654" s="124">
        <f>IFERROR(IF(YenidegerIskontoOrani=0,$M654*$G654,$M654*(1-1/(1+YenidegerIskontoOrani)^$G654)/YenidegerIskontoOrani),0)</f>
        <v/>
      </c>
      <c r="O654" s="124">
        <f>$N654-$K654</f>
        <v/>
      </c>
      <c r="P654" s="124">
        <f>IF($J654&lt;=0,"DEĞERLENDİR",IF($O654&gt;0,"YENİDEN DEĞERLE","DEĞERLENDİR"))</f>
        <v/>
      </c>
      <c r="Q654" s="124">
        <f>IF($B654="","",CONCATENATE("Kıymet: ",$B654," | Değer Artışı: ",TEXT($J654,"#,##0")))</f>
        <v/>
      </c>
    </row>
    <row r="655" ht="15.75" customHeight="1" s="81">
      <c r="A655" s="129" t="n"/>
      <c r="B655" s="130" t="n"/>
      <c r="C655" s="127" t="n"/>
      <c r="D655" s="127" t="n"/>
      <c r="E655" s="124">
        <f>IF($C655=0,0,$C655-$D655)</f>
        <v/>
      </c>
      <c r="F655" s="128" t="n"/>
      <c r="G655" s="129" t="n"/>
      <c r="H655" s="131" t="n"/>
      <c r="I655" s="124">
        <f>IF($E655=0,0,$E655*$H655)</f>
        <v/>
      </c>
      <c r="J655" s="124">
        <f>IF($I655=0,0,$I655-$E655)</f>
        <v/>
      </c>
      <c r="K655" s="124">
        <f>IF($J655=0,0,$J655*YenidegerFonOran)</f>
        <v/>
      </c>
      <c r="L655" s="124">
        <f>IF($G655=0,0,$J655/$G655)</f>
        <v/>
      </c>
      <c r="M655" s="124">
        <f>IF($L655=0,0,$L655*YenidegerKurumlarVergiOran)</f>
        <v/>
      </c>
      <c r="N655" s="124">
        <f>IFERROR(IF(YenidegerIskontoOrani=0,$M655*$G655,$M655*(1-1/(1+YenidegerIskontoOrani)^$G655)/YenidegerIskontoOrani),0)</f>
        <v/>
      </c>
      <c r="O655" s="124">
        <f>$N655-$K655</f>
        <v/>
      </c>
      <c r="P655" s="124">
        <f>IF($J655&lt;=0,"DEĞERLENDİR",IF($O655&gt;0,"YENİDEN DEĞERLE","DEĞERLENDİR"))</f>
        <v/>
      </c>
      <c r="Q655" s="124">
        <f>IF($B655="","",CONCATENATE("Kıymet: ",$B655," | Değer Artışı: ",TEXT($J655,"#,##0")))</f>
        <v/>
      </c>
    </row>
    <row r="656" ht="15.75" customHeight="1" s="81">
      <c r="A656" s="129" t="n"/>
      <c r="B656" s="130" t="n"/>
      <c r="C656" s="127" t="n"/>
      <c r="D656" s="127" t="n"/>
      <c r="E656" s="124">
        <f>IF($C656=0,0,$C656-$D656)</f>
        <v/>
      </c>
      <c r="F656" s="128" t="n"/>
      <c r="G656" s="129" t="n"/>
      <c r="H656" s="131" t="n"/>
      <c r="I656" s="124">
        <f>IF($E656=0,0,$E656*$H656)</f>
        <v/>
      </c>
      <c r="J656" s="124">
        <f>IF($I656=0,0,$I656-$E656)</f>
        <v/>
      </c>
      <c r="K656" s="124">
        <f>IF($J656=0,0,$J656*YenidegerFonOran)</f>
        <v/>
      </c>
      <c r="L656" s="124">
        <f>IF($G656=0,0,$J656/$G656)</f>
        <v/>
      </c>
      <c r="M656" s="124">
        <f>IF($L656=0,0,$L656*YenidegerKurumlarVergiOran)</f>
        <v/>
      </c>
      <c r="N656" s="124">
        <f>IFERROR(IF(YenidegerIskontoOrani=0,$M656*$G656,$M656*(1-1/(1+YenidegerIskontoOrani)^$G656)/YenidegerIskontoOrani),0)</f>
        <v/>
      </c>
      <c r="O656" s="124">
        <f>$N656-$K656</f>
        <v/>
      </c>
      <c r="P656" s="124">
        <f>IF($J656&lt;=0,"DEĞERLENDİR",IF($O656&gt;0,"YENİDEN DEĞERLE","DEĞERLENDİR"))</f>
        <v/>
      </c>
      <c r="Q656" s="124">
        <f>IF($B656="","",CONCATENATE("Kıymet: ",$B656," | Değer Artışı: ",TEXT($J656,"#,##0")))</f>
        <v/>
      </c>
    </row>
    <row r="657" ht="15.75" customHeight="1" s="81">
      <c r="A657" s="129" t="n"/>
      <c r="B657" s="130" t="n"/>
      <c r="C657" s="127" t="n"/>
      <c r="D657" s="127" t="n"/>
      <c r="E657" s="124">
        <f>IF($C657=0,0,$C657-$D657)</f>
        <v/>
      </c>
      <c r="F657" s="128" t="n"/>
      <c r="G657" s="129" t="n"/>
      <c r="H657" s="131" t="n"/>
      <c r="I657" s="124">
        <f>IF($E657=0,0,$E657*$H657)</f>
        <v/>
      </c>
      <c r="J657" s="124">
        <f>IF($I657=0,0,$I657-$E657)</f>
        <v/>
      </c>
      <c r="K657" s="124">
        <f>IF($J657=0,0,$J657*YenidegerFonOran)</f>
        <v/>
      </c>
      <c r="L657" s="124">
        <f>IF($G657=0,0,$J657/$G657)</f>
        <v/>
      </c>
      <c r="M657" s="124">
        <f>IF($L657=0,0,$L657*YenidegerKurumlarVergiOran)</f>
        <v/>
      </c>
      <c r="N657" s="124">
        <f>IFERROR(IF(YenidegerIskontoOrani=0,$M657*$G657,$M657*(1-1/(1+YenidegerIskontoOrani)^$G657)/YenidegerIskontoOrani),0)</f>
        <v/>
      </c>
      <c r="O657" s="124">
        <f>$N657-$K657</f>
        <v/>
      </c>
      <c r="P657" s="124">
        <f>IF($J657&lt;=0,"DEĞERLENDİR",IF($O657&gt;0,"YENİDEN DEĞERLE","DEĞERLENDİR"))</f>
        <v/>
      </c>
      <c r="Q657" s="124">
        <f>IF($B657="","",CONCATENATE("Kıymet: ",$B657," | Değer Artışı: ",TEXT($J657,"#,##0")))</f>
        <v/>
      </c>
    </row>
    <row r="658" ht="15.75" customHeight="1" s="81">
      <c r="A658" s="129" t="n"/>
      <c r="B658" s="130" t="n"/>
      <c r="C658" s="127" t="n"/>
      <c r="D658" s="127" t="n"/>
      <c r="E658" s="124">
        <f>IF($C658=0,0,$C658-$D658)</f>
        <v/>
      </c>
      <c r="F658" s="128" t="n"/>
      <c r="G658" s="129" t="n"/>
      <c r="H658" s="131" t="n"/>
      <c r="I658" s="124">
        <f>IF($E658=0,0,$E658*$H658)</f>
        <v/>
      </c>
      <c r="J658" s="124">
        <f>IF($I658=0,0,$I658-$E658)</f>
        <v/>
      </c>
      <c r="K658" s="124">
        <f>IF($J658=0,0,$J658*YenidegerFonOran)</f>
        <v/>
      </c>
      <c r="L658" s="124">
        <f>IF($G658=0,0,$J658/$G658)</f>
        <v/>
      </c>
      <c r="M658" s="124">
        <f>IF($L658=0,0,$L658*YenidegerKurumlarVergiOran)</f>
        <v/>
      </c>
      <c r="N658" s="124">
        <f>IFERROR(IF(YenidegerIskontoOrani=0,$M658*$G658,$M658*(1-1/(1+YenidegerIskontoOrani)^$G658)/YenidegerIskontoOrani),0)</f>
        <v/>
      </c>
      <c r="O658" s="124">
        <f>$N658-$K658</f>
        <v/>
      </c>
      <c r="P658" s="124">
        <f>IF($J658&lt;=0,"DEĞERLENDİR",IF($O658&gt;0,"YENİDEN DEĞERLE","DEĞERLENDİR"))</f>
        <v/>
      </c>
      <c r="Q658" s="124">
        <f>IF($B658="","",CONCATENATE("Kıymet: ",$B658," | Değer Artışı: ",TEXT($J658,"#,##0")))</f>
        <v/>
      </c>
    </row>
    <row r="659" ht="15.75" customHeight="1" s="81">
      <c r="A659" s="129" t="n"/>
      <c r="B659" s="130" t="n"/>
      <c r="C659" s="127" t="n"/>
      <c r="D659" s="127" t="n"/>
      <c r="E659" s="124">
        <f>IF($C659=0,0,$C659-$D659)</f>
        <v/>
      </c>
      <c r="F659" s="128" t="n"/>
      <c r="G659" s="129" t="n"/>
      <c r="H659" s="131" t="n"/>
      <c r="I659" s="124">
        <f>IF($E659=0,0,$E659*$H659)</f>
        <v/>
      </c>
      <c r="J659" s="124">
        <f>IF($I659=0,0,$I659-$E659)</f>
        <v/>
      </c>
      <c r="K659" s="124">
        <f>IF($J659=0,0,$J659*YenidegerFonOran)</f>
        <v/>
      </c>
      <c r="L659" s="124">
        <f>IF($G659=0,0,$J659/$G659)</f>
        <v/>
      </c>
      <c r="M659" s="124">
        <f>IF($L659=0,0,$L659*YenidegerKurumlarVergiOran)</f>
        <v/>
      </c>
      <c r="N659" s="124">
        <f>IFERROR(IF(YenidegerIskontoOrani=0,$M659*$G659,$M659*(1-1/(1+YenidegerIskontoOrani)^$G659)/YenidegerIskontoOrani),0)</f>
        <v/>
      </c>
      <c r="O659" s="124">
        <f>$N659-$K659</f>
        <v/>
      </c>
      <c r="P659" s="124">
        <f>IF($J659&lt;=0,"DEĞERLENDİR",IF($O659&gt;0,"YENİDEN DEĞERLE","DEĞERLENDİR"))</f>
        <v/>
      </c>
      <c r="Q659" s="124">
        <f>IF($B659="","",CONCATENATE("Kıymet: ",$B659," | Değer Artışı: ",TEXT($J659,"#,##0")))</f>
        <v/>
      </c>
    </row>
    <row r="660" ht="15.75" customHeight="1" s="81">
      <c r="A660" s="129" t="n"/>
      <c r="B660" s="130" t="n"/>
      <c r="C660" s="127" t="n"/>
      <c r="D660" s="127" t="n"/>
      <c r="E660" s="124">
        <f>IF($C660=0,0,$C660-$D660)</f>
        <v/>
      </c>
      <c r="F660" s="128" t="n"/>
      <c r="G660" s="129" t="n"/>
      <c r="H660" s="131" t="n"/>
      <c r="I660" s="124">
        <f>IF($E660=0,0,$E660*$H660)</f>
        <v/>
      </c>
      <c r="J660" s="124">
        <f>IF($I660=0,0,$I660-$E660)</f>
        <v/>
      </c>
      <c r="K660" s="124">
        <f>IF($J660=0,0,$J660*YenidegerFonOran)</f>
        <v/>
      </c>
      <c r="L660" s="124">
        <f>IF($G660=0,0,$J660/$G660)</f>
        <v/>
      </c>
      <c r="M660" s="124">
        <f>IF($L660=0,0,$L660*YenidegerKurumlarVergiOran)</f>
        <v/>
      </c>
      <c r="N660" s="124">
        <f>IFERROR(IF(YenidegerIskontoOrani=0,$M660*$G660,$M660*(1-1/(1+YenidegerIskontoOrani)^$G660)/YenidegerIskontoOrani),0)</f>
        <v/>
      </c>
      <c r="O660" s="124">
        <f>$N660-$K660</f>
        <v/>
      </c>
      <c r="P660" s="124">
        <f>IF($J660&lt;=0,"DEĞERLENDİR",IF($O660&gt;0,"YENİDEN DEĞERLE","DEĞERLENDİR"))</f>
        <v/>
      </c>
      <c r="Q660" s="124">
        <f>IF($B660="","",CONCATENATE("Kıymet: ",$B660," | Değer Artışı: ",TEXT($J660,"#,##0")))</f>
        <v/>
      </c>
    </row>
    <row r="661" ht="15.75" customHeight="1" s="81">
      <c r="A661" s="129" t="n"/>
      <c r="B661" s="130" t="n"/>
      <c r="C661" s="127" t="n"/>
      <c r="D661" s="127" t="n"/>
      <c r="E661" s="124">
        <f>IF($C661=0,0,$C661-$D661)</f>
        <v/>
      </c>
      <c r="F661" s="128" t="n"/>
      <c r="G661" s="129" t="n"/>
      <c r="H661" s="131" t="n"/>
      <c r="I661" s="124">
        <f>IF($E661=0,0,$E661*$H661)</f>
        <v/>
      </c>
      <c r="J661" s="124">
        <f>IF($I661=0,0,$I661-$E661)</f>
        <v/>
      </c>
      <c r="K661" s="124">
        <f>IF($J661=0,0,$J661*YenidegerFonOran)</f>
        <v/>
      </c>
      <c r="L661" s="124">
        <f>IF($G661=0,0,$J661/$G661)</f>
        <v/>
      </c>
      <c r="M661" s="124">
        <f>IF($L661=0,0,$L661*YenidegerKurumlarVergiOran)</f>
        <v/>
      </c>
      <c r="N661" s="124">
        <f>IFERROR(IF(YenidegerIskontoOrani=0,$M661*$G661,$M661*(1-1/(1+YenidegerIskontoOrani)^$G661)/YenidegerIskontoOrani),0)</f>
        <v/>
      </c>
      <c r="O661" s="124">
        <f>$N661-$K661</f>
        <v/>
      </c>
      <c r="P661" s="124">
        <f>IF($J661&lt;=0,"DEĞERLENDİR",IF($O661&gt;0,"YENİDEN DEĞERLE","DEĞERLENDİR"))</f>
        <v/>
      </c>
      <c r="Q661" s="124">
        <f>IF($B661="","",CONCATENATE("Kıymet: ",$B661," | Değer Artışı: ",TEXT($J661,"#,##0")))</f>
        <v/>
      </c>
    </row>
    <row r="662" ht="15.75" customHeight="1" s="81">
      <c r="A662" s="129" t="n"/>
      <c r="B662" s="130" t="n"/>
      <c r="C662" s="127" t="n"/>
      <c r="D662" s="127" t="n"/>
      <c r="E662" s="124">
        <f>IF($C662=0,0,$C662-$D662)</f>
        <v/>
      </c>
      <c r="F662" s="128" t="n"/>
      <c r="G662" s="129" t="n"/>
      <c r="H662" s="131" t="n"/>
      <c r="I662" s="124">
        <f>IF($E662=0,0,$E662*$H662)</f>
        <v/>
      </c>
      <c r="J662" s="124">
        <f>IF($I662=0,0,$I662-$E662)</f>
        <v/>
      </c>
      <c r="K662" s="124">
        <f>IF($J662=0,0,$J662*YenidegerFonOran)</f>
        <v/>
      </c>
      <c r="L662" s="124">
        <f>IF($G662=0,0,$J662/$G662)</f>
        <v/>
      </c>
      <c r="M662" s="124">
        <f>IF($L662=0,0,$L662*YenidegerKurumlarVergiOran)</f>
        <v/>
      </c>
      <c r="N662" s="124">
        <f>IFERROR(IF(YenidegerIskontoOrani=0,$M662*$G662,$M662*(1-1/(1+YenidegerIskontoOrani)^$G662)/YenidegerIskontoOrani),0)</f>
        <v/>
      </c>
      <c r="O662" s="124">
        <f>$N662-$K662</f>
        <v/>
      </c>
      <c r="P662" s="124">
        <f>IF($J662&lt;=0,"DEĞERLENDİR",IF($O662&gt;0,"YENİDEN DEĞERLE","DEĞERLENDİR"))</f>
        <v/>
      </c>
      <c r="Q662" s="124">
        <f>IF($B662="","",CONCATENATE("Kıymet: ",$B662," | Değer Artışı: ",TEXT($J662,"#,##0")))</f>
        <v/>
      </c>
    </row>
    <row r="663" ht="15.75" customHeight="1" s="81">
      <c r="A663" s="129" t="n"/>
      <c r="B663" s="130" t="n"/>
      <c r="C663" s="127" t="n"/>
      <c r="D663" s="127" t="n"/>
      <c r="E663" s="124">
        <f>IF($C663=0,0,$C663-$D663)</f>
        <v/>
      </c>
      <c r="F663" s="128" t="n"/>
      <c r="G663" s="129" t="n"/>
      <c r="H663" s="131" t="n"/>
      <c r="I663" s="124">
        <f>IF($E663=0,0,$E663*$H663)</f>
        <v/>
      </c>
      <c r="J663" s="124">
        <f>IF($I663=0,0,$I663-$E663)</f>
        <v/>
      </c>
      <c r="K663" s="124">
        <f>IF($J663=0,0,$J663*YenidegerFonOran)</f>
        <v/>
      </c>
      <c r="L663" s="124">
        <f>IF($G663=0,0,$J663/$G663)</f>
        <v/>
      </c>
      <c r="M663" s="124">
        <f>IF($L663=0,0,$L663*YenidegerKurumlarVergiOran)</f>
        <v/>
      </c>
      <c r="N663" s="124">
        <f>IFERROR(IF(YenidegerIskontoOrani=0,$M663*$G663,$M663*(1-1/(1+YenidegerIskontoOrani)^$G663)/YenidegerIskontoOrani),0)</f>
        <v/>
      </c>
      <c r="O663" s="124">
        <f>$N663-$K663</f>
        <v/>
      </c>
      <c r="P663" s="124">
        <f>IF($J663&lt;=0,"DEĞERLENDİR",IF($O663&gt;0,"YENİDEN DEĞERLE","DEĞERLENDİR"))</f>
        <v/>
      </c>
      <c r="Q663" s="124">
        <f>IF($B663="","",CONCATENATE("Kıymet: ",$B663," | Değer Artışı: ",TEXT($J663,"#,##0")))</f>
        <v/>
      </c>
    </row>
    <row r="664" ht="15.75" customHeight="1" s="81">
      <c r="A664" s="129" t="n"/>
      <c r="B664" s="130" t="n"/>
      <c r="C664" s="127" t="n"/>
      <c r="D664" s="127" t="n"/>
      <c r="E664" s="124">
        <f>IF($C664=0,0,$C664-$D664)</f>
        <v/>
      </c>
      <c r="F664" s="128" t="n"/>
      <c r="G664" s="129" t="n"/>
      <c r="H664" s="131" t="n"/>
      <c r="I664" s="124">
        <f>IF($E664=0,0,$E664*$H664)</f>
        <v/>
      </c>
      <c r="J664" s="124">
        <f>IF($I664=0,0,$I664-$E664)</f>
        <v/>
      </c>
      <c r="K664" s="124">
        <f>IF($J664=0,0,$J664*YenidegerFonOran)</f>
        <v/>
      </c>
      <c r="L664" s="124">
        <f>IF($G664=0,0,$J664/$G664)</f>
        <v/>
      </c>
      <c r="M664" s="124">
        <f>IF($L664=0,0,$L664*YenidegerKurumlarVergiOran)</f>
        <v/>
      </c>
      <c r="N664" s="124">
        <f>IFERROR(IF(YenidegerIskontoOrani=0,$M664*$G664,$M664*(1-1/(1+YenidegerIskontoOrani)^$G664)/YenidegerIskontoOrani),0)</f>
        <v/>
      </c>
      <c r="O664" s="124">
        <f>$N664-$K664</f>
        <v/>
      </c>
      <c r="P664" s="124">
        <f>IF($J664&lt;=0,"DEĞERLENDİR",IF($O664&gt;0,"YENİDEN DEĞERLE","DEĞERLENDİR"))</f>
        <v/>
      </c>
      <c r="Q664" s="124">
        <f>IF($B664="","",CONCATENATE("Kıymet: ",$B664," | Değer Artışı: ",TEXT($J664,"#,##0")))</f>
        <v/>
      </c>
    </row>
    <row r="665" ht="15.75" customHeight="1" s="81">
      <c r="A665" s="129" t="n"/>
      <c r="B665" s="130" t="n"/>
      <c r="C665" s="127" t="n"/>
      <c r="D665" s="127" t="n"/>
      <c r="E665" s="124">
        <f>IF($C665=0,0,$C665-$D665)</f>
        <v/>
      </c>
      <c r="F665" s="128" t="n"/>
      <c r="G665" s="129" t="n"/>
      <c r="H665" s="131" t="n"/>
      <c r="I665" s="124">
        <f>IF($E665=0,0,$E665*$H665)</f>
        <v/>
      </c>
      <c r="J665" s="124">
        <f>IF($I665=0,0,$I665-$E665)</f>
        <v/>
      </c>
      <c r="K665" s="124">
        <f>IF($J665=0,0,$J665*YenidegerFonOran)</f>
        <v/>
      </c>
      <c r="L665" s="124">
        <f>IF($G665=0,0,$J665/$G665)</f>
        <v/>
      </c>
      <c r="M665" s="124">
        <f>IF($L665=0,0,$L665*YenidegerKurumlarVergiOran)</f>
        <v/>
      </c>
      <c r="N665" s="124">
        <f>IFERROR(IF(YenidegerIskontoOrani=0,$M665*$G665,$M665*(1-1/(1+YenidegerIskontoOrani)^$G665)/YenidegerIskontoOrani),0)</f>
        <v/>
      </c>
      <c r="O665" s="124">
        <f>$N665-$K665</f>
        <v/>
      </c>
      <c r="P665" s="124">
        <f>IF($J665&lt;=0,"DEĞERLENDİR",IF($O665&gt;0,"YENİDEN DEĞERLE","DEĞERLENDİR"))</f>
        <v/>
      </c>
      <c r="Q665" s="124">
        <f>IF($B665="","",CONCATENATE("Kıymet: ",$B665," | Değer Artışı: ",TEXT($J665,"#,##0")))</f>
        <v/>
      </c>
    </row>
    <row r="666" ht="15.75" customHeight="1" s="81">
      <c r="A666" s="129" t="n"/>
      <c r="B666" s="130" t="n"/>
      <c r="C666" s="127" t="n"/>
      <c r="D666" s="127" t="n"/>
      <c r="E666" s="124">
        <f>IF($C666=0,0,$C666-$D666)</f>
        <v/>
      </c>
      <c r="F666" s="128" t="n"/>
      <c r="G666" s="129" t="n"/>
      <c r="H666" s="131" t="n"/>
      <c r="I666" s="124">
        <f>IF($E666=0,0,$E666*$H666)</f>
        <v/>
      </c>
      <c r="J666" s="124">
        <f>IF($I666=0,0,$I666-$E666)</f>
        <v/>
      </c>
      <c r="K666" s="124">
        <f>IF($J666=0,0,$J666*YenidegerFonOran)</f>
        <v/>
      </c>
      <c r="L666" s="124">
        <f>IF($G666=0,0,$J666/$G666)</f>
        <v/>
      </c>
      <c r="M666" s="124">
        <f>IF($L666=0,0,$L666*YenidegerKurumlarVergiOran)</f>
        <v/>
      </c>
      <c r="N666" s="124">
        <f>IFERROR(IF(YenidegerIskontoOrani=0,$M666*$G666,$M666*(1-1/(1+YenidegerIskontoOrani)^$G666)/YenidegerIskontoOrani),0)</f>
        <v/>
      </c>
      <c r="O666" s="124">
        <f>$N666-$K666</f>
        <v/>
      </c>
      <c r="P666" s="124">
        <f>IF($J666&lt;=0,"DEĞERLENDİR",IF($O666&gt;0,"YENİDEN DEĞERLE","DEĞERLENDİR"))</f>
        <v/>
      </c>
      <c r="Q666" s="124">
        <f>IF($B666="","",CONCATENATE("Kıymet: ",$B666," | Değer Artışı: ",TEXT($J666,"#,##0")))</f>
        <v/>
      </c>
    </row>
    <row r="667" ht="15.75" customHeight="1" s="81">
      <c r="A667" s="129" t="n"/>
      <c r="B667" s="130" t="n"/>
      <c r="C667" s="127" t="n"/>
      <c r="D667" s="127" t="n"/>
      <c r="E667" s="124">
        <f>IF($C667=0,0,$C667-$D667)</f>
        <v/>
      </c>
      <c r="F667" s="128" t="n"/>
      <c r="G667" s="129" t="n"/>
      <c r="H667" s="131" t="n"/>
      <c r="I667" s="124">
        <f>IF($E667=0,0,$E667*$H667)</f>
        <v/>
      </c>
      <c r="J667" s="124">
        <f>IF($I667=0,0,$I667-$E667)</f>
        <v/>
      </c>
      <c r="K667" s="124">
        <f>IF($J667=0,0,$J667*YenidegerFonOran)</f>
        <v/>
      </c>
      <c r="L667" s="124">
        <f>IF($G667=0,0,$J667/$G667)</f>
        <v/>
      </c>
      <c r="M667" s="124">
        <f>IF($L667=0,0,$L667*YenidegerKurumlarVergiOran)</f>
        <v/>
      </c>
      <c r="N667" s="124">
        <f>IFERROR(IF(YenidegerIskontoOrani=0,$M667*$G667,$M667*(1-1/(1+YenidegerIskontoOrani)^$G667)/YenidegerIskontoOrani),0)</f>
        <v/>
      </c>
      <c r="O667" s="124">
        <f>$N667-$K667</f>
        <v/>
      </c>
      <c r="P667" s="124">
        <f>IF($J667&lt;=0,"DEĞERLENDİR",IF($O667&gt;0,"YENİDEN DEĞERLE","DEĞERLENDİR"))</f>
        <v/>
      </c>
      <c r="Q667" s="124">
        <f>IF($B667="","",CONCATENATE("Kıymet: ",$B667," | Değer Artışı: ",TEXT($J667,"#,##0")))</f>
        <v/>
      </c>
    </row>
    <row r="668" ht="15.75" customHeight="1" s="81">
      <c r="A668" s="129" t="n"/>
      <c r="B668" s="130" t="n"/>
      <c r="C668" s="127" t="n"/>
      <c r="D668" s="127" t="n"/>
      <c r="E668" s="124">
        <f>IF($C668=0,0,$C668-$D668)</f>
        <v/>
      </c>
      <c r="F668" s="128" t="n"/>
      <c r="G668" s="129" t="n"/>
      <c r="H668" s="131" t="n"/>
      <c r="I668" s="124">
        <f>IF($E668=0,0,$E668*$H668)</f>
        <v/>
      </c>
      <c r="J668" s="124">
        <f>IF($I668=0,0,$I668-$E668)</f>
        <v/>
      </c>
      <c r="K668" s="124">
        <f>IF($J668=0,0,$J668*YenidegerFonOran)</f>
        <v/>
      </c>
      <c r="L668" s="124">
        <f>IF($G668=0,0,$J668/$G668)</f>
        <v/>
      </c>
      <c r="M668" s="124">
        <f>IF($L668=0,0,$L668*YenidegerKurumlarVergiOran)</f>
        <v/>
      </c>
      <c r="N668" s="124">
        <f>IFERROR(IF(YenidegerIskontoOrani=0,$M668*$G668,$M668*(1-1/(1+YenidegerIskontoOrani)^$G668)/YenidegerIskontoOrani),0)</f>
        <v/>
      </c>
      <c r="O668" s="124">
        <f>$N668-$K668</f>
        <v/>
      </c>
      <c r="P668" s="124">
        <f>IF($J668&lt;=0,"DEĞERLENDİR",IF($O668&gt;0,"YENİDEN DEĞERLE","DEĞERLENDİR"))</f>
        <v/>
      </c>
      <c r="Q668" s="124">
        <f>IF($B668="","",CONCATENATE("Kıymet: ",$B668," | Değer Artışı: ",TEXT($J668,"#,##0")))</f>
        <v/>
      </c>
    </row>
    <row r="669" ht="15.75" customHeight="1" s="81">
      <c r="A669" s="129" t="n"/>
      <c r="B669" s="130" t="n"/>
      <c r="C669" s="127" t="n"/>
      <c r="D669" s="127" t="n"/>
      <c r="E669" s="124">
        <f>IF($C669=0,0,$C669-$D669)</f>
        <v/>
      </c>
      <c r="F669" s="128" t="n"/>
      <c r="G669" s="129" t="n"/>
      <c r="H669" s="131" t="n"/>
      <c r="I669" s="124">
        <f>IF($E669=0,0,$E669*$H669)</f>
        <v/>
      </c>
      <c r="J669" s="124">
        <f>IF($I669=0,0,$I669-$E669)</f>
        <v/>
      </c>
      <c r="K669" s="124">
        <f>IF($J669=0,0,$J669*YenidegerFonOran)</f>
        <v/>
      </c>
      <c r="L669" s="124">
        <f>IF($G669=0,0,$J669/$G669)</f>
        <v/>
      </c>
      <c r="M669" s="124">
        <f>IF($L669=0,0,$L669*YenidegerKurumlarVergiOran)</f>
        <v/>
      </c>
      <c r="N669" s="124">
        <f>IFERROR(IF(YenidegerIskontoOrani=0,$M669*$G669,$M669*(1-1/(1+YenidegerIskontoOrani)^$G669)/YenidegerIskontoOrani),0)</f>
        <v/>
      </c>
      <c r="O669" s="124">
        <f>$N669-$K669</f>
        <v/>
      </c>
      <c r="P669" s="124">
        <f>IF($J669&lt;=0,"DEĞERLENDİR",IF($O669&gt;0,"YENİDEN DEĞERLE","DEĞERLENDİR"))</f>
        <v/>
      </c>
      <c r="Q669" s="124">
        <f>IF($B669="","",CONCATENATE("Kıymet: ",$B669," | Değer Artışı: ",TEXT($J669,"#,##0")))</f>
        <v/>
      </c>
    </row>
    <row r="670" ht="15.75" customHeight="1" s="81">
      <c r="A670" s="129" t="n"/>
      <c r="B670" s="130" t="n"/>
      <c r="C670" s="127" t="n"/>
      <c r="D670" s="127" t="n"/>
      <c r="E670" s="124">
        <f>IF($C670=0,0,$C670-$D670)</f>
        <v/>
      </c>
      <c r="F670" s="128" t="n"/>
      <c r="G670" s="129" t="n"/>
      <c r="H670" s="131" t="n"/>
      <c r="I670" s="124">
        <f>IF($E670=0,0,$E670*$H670)</f>
        <v/>
      </c>
      <c r="J670" s="124">
        <f>IF($I670=0,0,$I670-$E670)</f>
        <v/>
      </c>
      <c r="K670" s="124">
        <f>IF($J670=0,0,$J670*YenidegerFonOran)</f>
        <v/>
      </c>
      <c r="L670" s="124">
        <f>IF($G670=0,0,$J670/$G670)</f>
        <v/>
      </c>
      <c r="M670" s="124">
        <f>IF($L670=0,0,$L670*YenidegerKurumlarVergiOran)</f>
        <v/>
      </c>
      <c r="N670" s="124">
        <f>IFERROR(IF(YenidegerIskontoOrani=0,$M670*$G670,$M670*(1-1/(1+YenidegerIskontoOrani)^$G670)/YenidegerIskontoOrani),0)</f>
        <v/>
      </c>
      <c r="O670" s="124">
        <f>$N670-$K670</f>
        <v/>
      </c>
      <c r="P670" s="124">
        <f>IF($J670&lt;=0,"DEĞERLENDİR",IF($O670&gt;0,"YENİDEN DEĞERLE","DEĞERLENDİR"))</f>
        <v/>
      </c>
      <c r="Q670" s="124">
        <f>IF($B670="","",CONCATENATE("Kıymet: ",$B670," | Değer Artışı: ",TEXT($J670,"#,##0")))</f>
        <v/>
      </c>
    </row>
    <row r="671" ht="15.75" customHeight="1" s="81">
      <c r="A671" s="129" t="n"/>
      <c r="B671" s="130" t="n"/>
      <c r="C671" s="127" t="n"/>
      <c r="D671" s="127" t="n"/>
      <c r="E671" s="124">
        <f>IF($C671=0,0,$C671-$D671)</f>
        <v/>
      </c>
      <c r="F671" s="128" t="n"/>
      <c r="G671" s="129" t="n"/>
      <c r="H671" s="131" t="n"/>
      <c r="I671" s="124">
        <f>IF($E671=0,0,$E671*$H671)</f>
        <v/>
      </c>
      <c r="J671" s="124">
        <f>IF($I671=0,0,$I671-$E671)</f>
        <v/>
      </c>
      <c r="K671" s="124">
        <f>IF($J671=0,0,$J671*YenidegerFonOran)</f>
        <v/>
      </c>
      <c r="L671" s="124">
        <f>IF($G671=0,0,$J671/$G671)</f>
        <v/>
      </c>
      <c r="M671" s="124">
        <f>IF($L671=0,0,$L671*YenidegerKurumlarVergiOran)</f>
        <v/>
      </c>
      <c r="N671" s="124">
        <f>IFERROR(IF(YenidegerIskontoOrani=0,$M671*$G671,$M671*(1-1/(1+YenidegerIskontoOrani)^$G671)/YenidegerIskontoOrani),0)</f>
        <v/>
      </c>
      <c r="O671" s="124">
        <f>$N671-$K671</f>
        <v/>
      </c>
      <c r="P671" s="124">
        <f>IF($J671&lt;=0,"DEĞERLENDİR",IF($O671&gt;0,"YENİDEN DEĞERLE","DEĞERLENDİR"))</f>
        <v/>
      </c>
      <c r="Q671" s="124">
        <f>IF($B671="","",CONCATENATE("Kıymet: ",$B671," | Değer Artışı: ",TEXT($J671,"#,##0")))</f>
        <v/>
      </c>
    </row>
    <row r="672" ht="15.75" customHeight="1" s="81">
      <c r="A672" s="129" t="n"/>
      <c r="B672" s="130" t="n"/>
      <c r="C672" s="127" t="n"/>
      <c r="D672" s="127" t="n"/>
      <c r="E672" s="124">
        <f>IF($C672=0,0,$C672-$D672)</f>
        <v/>
      </c>
      <c r="F672" s="128" t="n"/>
      <c r="G672" s="129" t="n"/>
      <c r="H672" s="131" t="n"/>
      <c r="I672" s="124">
        <f>IF($E672=0,0,$E672*$H672)</f>
        <v/>
      </c>
      <c r="J672" s="124">
        <f>IF($I672=0,0,$I672-$E672)</f>
        <v/>
      </c>
      <c r="K672" s="124">
        <f>IF($J672=0,0,$J672*YenidegerFonOran)</f>
        <v/>
      </c>
      <c r="L672" s="124">
        <f>IF($G672=0,0,$J672/$G672)</f>
        <v/>
      </c>
      <c r="M672" s="124">
        <f>IF($L672=0,0,$L672*YenidegerKurumlarVergiOran)</f>
        <v/>
      </c>
      <c r="N672" s="124">
        <f>IFERROR(IF(YenidegerIskontoOrani=0,$M672*$G672,$M672*(1-1/(1+YenidegerIskontoOrani)^$G672)/YenidegerIskontoOrani),0)</f>
        <v/>
      </c>
      <c r="O672" s="124">
        <f>$N672-$K672</f>
        <v/>
      </c>
      <c r="P672" s="124">
        <f>IF($J672&lt;=0,"DEĞERLENDİR",IF($O672&gt;0,"YENİDEN DEĞERLE","DEĞERLENDİR"))</f>
        <v/>
      </c>
      <c r="Q672" s="124">
        <f>IF($B672="","",CONCATENATE("Kıymet: ",$B672," | Değer Artışı: ",TEXT($J672,"#,##0")))</f>
        <v/>
      </c>
    </row>
    <row r="673" ht="15.75" customHeight="1" s="81">
      <c r="A673" s="129" t="n"/>
      <c r="B673" s="130" t="n"/>
      <c r="C673" s="127" t="n"/>
      <c r="D673" s="127" t="n"/>
      <c r="E673" s="124">
        <f>IF($C673=0,0,$C673-$D673)</f>
        <v/>
      </c>
      <c r="F673" s="128" t="n"/>
      <c r="G673" s="129" t="n"/>
      <c r="H673" s="131" t="n"/>
      <c r="I673" s="124">
        <f>IF($E673=0,0,$E673*$H673)</f>
        <v/>
      </c>
      <c r="J673" s="124">
        <f>IF($I673=0,0,$I673-$E673)</f>
        <v/>
      </c>
      <c r="K673" s="124">
        <f>IF($J673=0,0,$J673*YenidegerFonOran)</f>
        <v/>
      </c>
      <c r="L673" s="124">
        <f>IF($G673=0,0,$J673/$G673)</f>
        <v/>
      </c>
      <c r="M673" s="124">
        <f>IF($L673=0,0,$L673*YenidegerKurumlarVergiOran)</f>
        <v/>
      </c>
      <c r="N673" s="124">
        <f>IFERROR(IF(YenidegerIskontoOrani=0,$M673*$G673,$M673*(1-1/(1+YenidegerIskontoOrani)^$G673)/YenidegerIskontoOrani),0)</f>
        <v/>
      </c>
      <c r="O673" s="124">
        <f>$N673-$K673</f>
        <v/>
      </c>
      <c r="P673" s="124">
        <f>IF($J673&lt;=0,"DEĞERLENDİR",IF($O673&gt;0,"YENİDEN DEĞERLE","DEĞERLENDİR"))</f>
        <v/>
      </c>
      <c r="Q673" s="124">
        <f>IF($B673="","",CONCATENATE("Kıymet: ",$B673," | Değer Artışı: ",TEXT($J673,"#,##0")))</f>
        <v/>
      </c>
    </row>
    <row r="674" ht="15.75" customHeight="1" s="81">
      <c r="A674" s="129" t="n"/>
      <c r="B674" s="130" t="n"/>
      <c r="C674" s="127" t="n"/>
      <c r="D674" s="127" t="n"/>
      <c r="E674" s="124">
        <f>IF($C674=0,0,$C674-$D674)</f>
        <v/>
      </c>
      <c r="F674" s="128" t="n"/>
      <c r="G674" s="129" t="n"/>
      <c r="H674" s="131" t="n"/>
      <c r="I674" s="124">
        <f>IF($E674=0,0,$E674*$H674)</f>
        <v/>
      </c>
      <c r="J674" s="124">
        <f>IF($I674=0,0,$I674-$E674)</f>
        <v/>
      </c>
      <c r="K674" s="124">
        <f>IF($J674=0,0,$J674*YenidegerFonOran)</f>
        <v/>
      </c>
      <c r="L674" s="124">
        <f>IF($G674=0,0,$J674/$G674)</f>
        <v/>
      </c>
      <c r="M674" s="124">
        <f>IF($L674=0,0,$L674*YenidegerKurumlarVergiOran)</f>
        <v/>
      </c>
      <c r="N674" s="124">
        <f>IFERROR(IF(YenidegerIskontoOrani=0,$M674*$G674,$M674*(1-1/(1+YenidegerIskontoOrani)^$G674)/YenidegerIskontoOrani),0)</f>
        <v/>
      </c>
      <c r="O674" s="124">
        <f>$N674-$K674</f>
        <v/>
      </c>
      <c r="P674" s="124">
        <f>IF($J674&lt;=0,"DEĞERLENDİR",IF($O674&gt;0,"YENİDEN DEĞERLE","DEĞERLENDİR"))</f>
        <v/>
      </c>
      <c r="Q674" s="124">
        <f>IF($B674="","",CONCATENATE("Kıymet: ",$B674," | Değer Artışı: ",TEXT($J674,"#,##0")))</f>
        <v/>
      </c>
    </row>
    <row r="675" ht="15.75" customHeight="1" s="81">
      <c r="A675" s="129" t="n"/>
      <c r="B675" s="130" t="n"/>
      <c r="C675" s="127" t="n"/>
      <c r="D675" s="127" t="n"/>
      <c r="E675" s="124">
        <f>IF($C675=0,0,$C675-$D675)</f>
        <v/>
      </c>
      <c r="F675" s="128" t="n"/>
      <c r="G675" s="129" t="n"/>
      <c r="H675" s="131" t="n"/>
      <c r="I675" s="124">
        <f>IF($E675=0,0,$E675*$H675)</f>
        <v/>
      </c>
      <c r="J675" s="124">
        <f>IF($I675=0,0,$I675-$E675)</f>
        <v/>
      </c>
      <c r="K675" s="124">
        <f>IF($J675=0,0,$J675*YenidegerFonOran)</f>
        <v/>
      </c>
      <c r="L675" s="124">
        <f>IF($G675=0,0,$J675/$G675)</f>
        <v/>
      </c>
      <c r="M675" s="124">
        <f>IF($L675=0,0,$L675*YenidegerKurumlarVergiOran)</f>
        <v/>
      </c>
      <c r="N675" s="124">
        <f>IFERROR(IF(YenidegerIskontoOrani=0,$M675*$G675,$M675*(1-1/(1+YenidegerIskontoOrani)^$G675)/YenidegerIskontoOrani),0)</f>
        <v/>
      </c>
      <c r="O675" s="124">
        <f>$N675-$K675</f>
        <v/>
      </c>
      <c r="P675" s="124">
        <f>IF($J675&lt;=0,"DEĞERLENDİR",IF($O675&gt;0,"YENİDEN DEĞERLE","DEĞERLENDİR"))</f>
        <v/>
      </c>
      <c r="Q675" s="124">
        <f>IF($B675="","",CONCATENATE("Kıymet: ",$B675," | Değer Artışı: ",TEXT($J675,"#,##0")))</f>
        <v/>
      </c>
    </row>
    <row r="676" ht="15.75" customHeight="1" s="81">
      <c r="A676" s="129" t="n"/>
      <c r="B676" s="130" t="n"/>
      <c r="C676" s="127" t="n"/>
      <c r="D676" s="127" t="n"/>
      <c r="E676" s="124">
        <f>IF($C676=0,0,$C676-$D676)</f>
        <v/>
      </c>
      <c r="F676" s="128" t="n"/>
      <c r="G676" s="129" t="n"/>
      <c r="H676" s="131" t="n"/>
      <c r="I676" s="124">
        <f>IF($E676=0,0,$E676*$H676)</f>
        <v/>
      </c>
      <c r="J676" s="124">
        <f>IF($I676=0,0,$I676-$E676)</f>
        <v/>
      </c>
      <c r="K676" s="124">
        <f>IF($J676=0,0,$J676*YenidegerFonOran)</f>
        <v/>
      </c>
      <c r="L676" s="124">
        <f>IF($G676=0,0,$J676/$G676)</f>
        <v/>
      </c>
      <c r="M676" s="124">
        <f>IF($L676=0,0,$L676*YenidegerKurumlarVergiOran)</f>
        <v/>
      </c>
      <c r="N676" s="124">
        <f>IFERROR(IF(YenidegerIskontoOrani=0,$M676*$G676,$M676*(1-1/(1+YenidegerIskontoOrani)^$G676)/YenidegerIskontoOrani),0)</f>
        <v/>
      </c>
      <c r="O676" s="124">
        <f>$N676-$K676</f>
        <v/>
      </c>
      <c r="P676" s="124">
        <f>IF($J676&lt;=0,"DEĞERLENDİR",IF($O676&gt;0,"YENİDEN DEĞERLE","DEĞERLENDİR"))</f>
        <v/>
      </c>
      <c r="Q676" s="124">
        <f>IF($B676="","",CONCATENATE("Kıymet: ",$B676," | Değer Artışı: ",TEXT($J676,"#,##0")))</f>
        <v/>
      </c>
    </row>
    <row r="677" ht="15.75" customHeight="1" s="81">
      <c r="A677" s="129" t="n"/>
      <c r="B677" s="130" t="n"/>
      <c r="C677" s="127" t="n"/>
      <c r="D677" s="127" t="n"/>
      <c r="E677" s="124">
        <f>IF($C677=0,0,$C677-$D677)</f>
        <v/>
      </c>
      <c r="F677" s="128" t="n"/>
      <c r="G677" s="129" t="n"/>
      <c r="H677" s="131" t="n"/>
      <c r="I677" s="124">
        <f>IF($E677=0,0,$E677*$H677)</f>
        <v/>
      </c>
      <c r="J677" s="124">
        <f>IF($I677=0,0,$I677-$E677)</f>
        <v/>
      </c>
      <c r="K677" s="124">
        <f>IF($J677=0,0,$J677*YenidegerFonOran)</f>
        <v/>
      </c>
      <c r="L677" s="124">
        <f>IF($G677=0,0,$J677/$G677)</f>
        <v/>
      </c>
      <c r="M677" s="124">
        <f>IF($L677=0,0,$L677*YenidegerKurumlarVergiOran)</f>
        <v/>
      </c>
      <c r="N677" s="124">
        <f>IFERROR(IF(YenidegerIskontoOrani=0,$M677*$G677,$M677*(1-1/(1+YenidegerIskontoOrani)^$G677)/YenidegerIskontoOrani),0)</f>
        <v/>
      </c>
      <c r="O677" s="124">
        <f>$N677-$K677</f>
        <v/>
      </c>
      <c r="P677" s="124">
        <f>IF($J677&lt;=0,"DEĞERLENDİR",IF($O677&gt;0,"YENİDEN DEĞERLE","DEĞERLENDİR"))</f>
        <v/>
      </c>
      <c r="Q677" s="124">
        <f>IF($B677="","",CONCATENATE("Kıymet: ",$B677," | Değer Artışı: ",TEXT($J677,"#,##0")))</f>
        <v/>
      </c>
    </row>
    <row r="678" ht="15.75" customHeight="1" s="81">
      <c r="A678" s="129" t="n"/>
      <c r="B678" s="130" t="n"/>
      <c r="C678" s="127" t="n"/>
      <c r="D678" s="127" t="n"/>
      <c r="E678" s="124">
        <f>IF($C678=0,0,$C678-$D678)</f>
        <v/>
      </c>
      <c r="F678" s="128" t="n"/>
      <c r="G678" s="129" t="n"/>
      <c r="H678" s="131" t="n"/>
      <c r="I678" s="124">
        <f>IF($E678=0,0,$E678*$H678)</f>
        <v/>
      </c>
      <c r="J678" s="124">
        <f>IF($I678=0,0,$I678-$E678)</f>
        <v/>
      </c>
      <c r="K678" s="124">
        <f>IF($J678=0,0,$J678*YenidegerFonOran)</f>
        <v/>
      </c>
      <c r="L678" s="124">
        <f>IF($G678=0,0,$J678/$G678)</f>
        <v/>
      </c>
      <c r="M678" s="124">
        <f>IF($L678=0,0,$L678*YenidegerKurumlarVergiOran)</f>
        <v/>
      </c>
      <c r="N678" s="124">
        <f>IFERROR(IF(YenidegerIskontoOrani=0,$M678*$G678,$M678*(1-1/(1+YenidegerIskontoOrani)^$G678)/YenidegerIskontoOrani),0)</f>
        <v/>
      </c>
      <c r="O678" s="124">
        <f>$N678-$K678</f>
        <v/>
      </c>
      <c r="P678" s="124">
        <f>IF($J678&lt;=0,"DEĞERLENDİR",IF($O678&gt;0,"YENİDEN DEĞERLE","DEĞERLENDİR"))</f>
        <v/>
      </c>
      <c r="Q678" s="124">
        <f>IF($B678="","",CONCATENATE("Kıymet: ",$B678," | Değer Artışı: ",TEXT($J678,"#,##0")))</f>
        <v/>
      </c>
    </row>
    <row r="679" ht="15.75" customHeight="1" s="81">
      <c r="A679" s="129" t="n"/>
      <c r="B679" s="130" t="n"/>
      <c r="C679" s="127" t="n"/>
      <c r="D679" s="127" t="n"/>
      <c r="E679" s="124">
        <f>IF($C679=0,0,$C679-$D679)</f>
        <v/>
      </c>
      <c r="F679" s="128" t="n"/>
      <c r="G679" s="129" t="n"/>
      <c r="H679" s="131" t="n"/>
      <c r="I679" s="124">
        <f>IF($E679=0,0,$E679*$H679)</f>
        <v/>
      </c>
      <c r="J679" s="124">
        <f>IF($I679=0,0,$I679-$E679)</f>
        <v/>
      </c>
      <c r="K679" s="124">
        <f>IF($J679=0,0,$J679*YenidegerFonOran)</f>
        <v/>
      </c>
      <c r="L679" s="124">
        <f>IF($G679=0,0,$J679/$G679)</f>
        <v/>
      </c>
      <c r="M679" s="124">
        <f>IF($L679=0,0,$L679*YenidegerKurumlarVergiOran)</f>
        <v/>
      </c>
      <c r="N679" s="124">
        <f>IFERROR(IF(YenidegerIskontoOrani=0,$M679*$G679,$M679*(1-1/(1+YenidegerIskontoOrani)^$G679)/YenidegerIskontoOrani),0)</f>
        <v/>
      </c>
      <c r="O679" s="124">
        <f>$N679-$K679</f>
        <v/>
      </c>
      <c r="P679" s="124">
        <f>IF($J679&lt;=0,"DEĞERLENDİR",IF($O679&gt;0,"YENİDEN DEĞERLE","DEĞERLENDİR"))</f>
        <v/>
      </c>
      <c r="Q679" s="124">
        <f>IF($B679="","",CONCATENATE("Kıymet: ",$B679," | Değer Artışı: ",TEXT($J679,"#,##0")))</f>
        <v/>
      </c>
    </row>
    <row r="680" ht="15.75" customHeight="1" s="81">
      <c r="A680" s="129" t="n"/>
      <c r="B680" s="130" t="n"/>
      <c r="C680" s="127" t="n"/>
      <c r="D680" s="127" t="n"/>
      <c r="E680" s="124">
        <f>IF($C680=0,0,$C680-$D680)</f>
        <v/>
      </c>
      <c r="F680" s="128" t="n"/>
      <c r="G680" s="129" t="n"/>
      <c r="H680" s="131" t="n"/>
      <c r="I680" s="124">
        <f>IF($E680=0,0,$E680*$H680)</f>
        <v/>
      </c>
      <c r="J680" s="124">
        <f>IF($I680=0,0,$I680-$E680)</f>
        <v/>
      </c>
      <c r="K680" s="124">
        <f>IF($J680=0,0,$J680*YenidegerFonOran)</f>
        <v/>
      </c>
      <c r="L680" s="124">
        <f>IF($G680=0,0,$J680/$G680)</f>
        <v/>
      </c>
      <c r="M680" s="124">
        <f>IF($L680=0,0,$L680*YenidegerKurumlarVergiOran)</f>
        <v/>
      </c>
      <c r="N680" s="124">
        <f>IFERROR(IF(YenidegerIskontoOrani=0,$M680*$G680,$M680*(1-1/(1+YenidegerIskontoOrani)^$G680)/YenidegerIskontoOrani),0)</f>
        <v/>
      </c>
      <c r="O680" s="124">
        <f>$N680-$K680</f>
        <v/>
      </c>
      <c r="P680" s="124">
        <f>IF($J680&lt;=0,"DEĞERLENDİR",IF($O680&gt;0,"YENİDEN DEĞERLE","DEĞERLENDİR"))</f>
        <v/>
      </c>
      <c r="Q680" s="124">
        <f>IF($B680="","",CONCATENATE("Kıymet: ",$B680," | Değer Artışı: ",TEXT($J680,"#,##0")))</f>
        <v/>
      </c>
    </row>
    <row r="681" ht="15.75" customHeight="1" s="81">
      <c r="A681" s="129" t="n"/>
      <c r="B681" s="130" t="n"/>
      <c r="C681" s="127" t="n"/>
      <c r="D681" s="127" t="n"/>
      <c r="E681" s="124">
        <f>IF($C681=0,0,$C681-$D681)</f>
        <v/>
      </c>
      <c r="F681" s="128" t="n"/>
      <c r="G681" s="129" t="n"/>
      <c r="H681" s="131" t="n"/>
      <c r="I681" s="124">
        <f>IF($E681=0,0,$E681*$H681)</f>
        <v/>
      </c>
      <c r="J681" s="124">
        <f>IF($I681=0,0,$I681-$E681)</f>
        <v/>
      </c>
      <c r="K681" s="124">
        <f>IF($J681=0,0,$J681*YenidegerFonOran)</f>
        <v/>
      </c>
      <c r="L681" s="124">
        <f>IF($G681=0,0,$J681/$G681)</f>
        <v/>
      </c>
      <c r="M681" s="124">
        <f>IF($L681=0,0,$L681*YenidegerKurumlarVergiOran)</f>
        <v/>
      </c>
      <c r="N681" s="124">
        <f>IFERROR(IF(YenidegerIskontoOrani=0,$M681*$G681,$M681*(1-1/(1+YenidegerIskontoOrani)^$G681)/YenidegerIskontoOrani),0)</f>
        <v/>
      </c>
      <c r="O681" s="124">
        <f>$N681-$K681</f>
        <v/>
      </c>
      <c r="P681" s="124">
        <f>IF($J681&lt;=0,"DEĞERLENDİR",IF($O681&gt;0,"YENİDEN DEĞERLE","DEĞERLENDİR"))</f>
        <v/>
      </c>
      <c r="Q681" s="124">
        <f>IF($B681="","",CONCATENATE("Kıymet: ",$B681," | Değer Artışı: ",TEXT($J681,"#,##0")))</f>
        <v/>
      </c>
    </row>
    <row r="682" ht="15.75" customHeight="1" s="81">
      <c r="A682" s="129" t="n"/>
      <c r="B682" s="130" t="n"/>
      <c r="C682" s="127" t="n"/>
      <c r="D682" s="127" t="n"/>
      <c r="E682" s="124">
        <f>IF($C682=0,0,$C682-$D682)</f>
        <v/>
      </c>
      <c r="F682" s="128" t="n"/>
      <c r="G682" s="129" t="n"/>
      <c r="H682" s="131" t="n"/>
      <c r="I682" s="124">
        <f>IF($E682=0,0,$E682*$H682)</f>
        <v/>
      </c>
      <c r="J682" s="124">
        <f>IF($I682=0,0,$I682-$E682)</f>
        <v/>
      </c>
      <c r="K682" s="124">
        <f>IF($J682=0,0,$J682*YenidegerFonOran)</f>
        <v/>
      </c>
      <c r="L682" s="124">
        <f>IF($G682=0,0,$J682/$G682)</f>
        <v/>
      </c>
      <c r="M682" s="124">
        <f>IF($L682=0,0,$L682*YenidegerKurumlarVergiOran)</f>
        <v/>
      </c>
      <c r="N682" s="124">
        <f>IFERROR(IF(YenidegerIskontoOrani=0,$M682*$G682,$M682*(1-1/(1+YenidegerIskontoOrani)^$G682)/YenidegerIskontoOrani),0)</f>
        <v/>
      </c>
      <c r="O682" s="124">
        <f>$N682-$K682</f>
        <v/>
      </c>
      <c r="P682" s="124">
        <f>IF($J682&lt;=0,"DEĞERLENDİR",IF($O682&gt;0,"YENİDEN DEĞERLE","DEĞERLENDİR"))</f>
        <v/>
      </c>
      <c r="Q682" s="124">
        <f>IF($B682="","",CONCATENATE("Kıymet: ",$B682," | Değer Artışı: ",TEXT($J682,"#,##0")))</f>
        <v/>
      </c>
    </row>
    <row r="683" ht="15.75" customHeight="1" s="81">
      <c r="A683" s="129" t="n"/>
      <c r="B683" s="130" t="n"/>
      <c r="C683" s="127" t="n"/>
      <c r="D683" s="127" t="n"/>
      <c r="E683" s="124">
        <f>IF($C683=0,0,$C683-$D683)</f>
        <v/>
      </c>
      <c r="F683" s="128" t="n"/>
      <c r="G683" s="129" t="n"/>
      <c r="H683" s="131" t="n"/>
      <c r="I683" s="124">
        <f>IF($E683=0,0,$E683*$H683)</f>
        <v/>
      </c>
      <c r="J683" s="124">
        <f>IF($I683=0,0,$I683-$E683)</f>
        <v/>
      </c>
      <c r="K683" s="124">
        <f>IF($J683=0,0,$J683*YenidegerFonOran)</f>
        <v/>
      </c>
      <c r="L683" s="124">
        <f>IF($G683=0,0,$J683/$G683)</f>
        <v/>
      </c>
      <c r="M683" s="124">
        <f>IF($L683=0,0,$L683*YenidegerKurumlarVergiOran)</f>
        <v/>
      </c>
      <c r="N683" s="124">
        <f>IFERROR(IF(YenidegerIskontoOrani=0,$M683*$G683,$M683*(1-1/(1+YenidegerIskontoOrani)^$G683)/YenidegerIskontoOrani),0)</f>
        <v/>
      </c>
      <c r="O683" s="124">
        <f>$N683-$K683</f>
        <v/>
      </c>
      <c r="P683" s="124">
        <f>IF($J683&lt;=0,"DEĞERLENDİR",IF($O683&gt;0,"YENİDEN DEĞERLE","DEĞERLENDİR"))</f>
        <v/>
      </c>
      <c r="Q683" s="124">
        <f>IF($B683="","",CONCATENATE("Kıymet: ",$B683," | Değer Artışı: ",TEXT($J683,"#,##0")))</f>
        <v/>
      </c>
    </row>
    <row r="684" ht="15.75" customHeight="1" s="81">
      <c r="A684" s="129" t="n"/>
      <c r="B684" s="130" t="n"/>
      <c r="C684" s="127" t="n"/>
      <c r="D684" s="127" t="n"/>
      <c r="E684" s="124">
        <f>IF($C684=0,0,$C684-$D684)</f>
        <v/>
      </c>
      <c r="F684" s="128" t="n"/>
      <c r="G684" s="129" t="n"/>
      <c r="H684" s="131" t="n"/>
      <c r="I684" s="124">
        <f>IF($E684=0,0,$E684*$H684)</f>
        <v/>
      </c>
      <c r="J684" s="124">
        <f>IF($I684=0,0,$I684-$E684)</f>
        <v/>
      </c>
      <c r="K684" s="124">
        <f>IF($J684=0,0,$J684*YenidegerFonOran)</f>
        <v/>
      </c>
      <c r="L684" s="124">
        <f>IF($G684=0,0,$J684/$G684)</f>
        <v/>
      </c>
      <c r="M684" s="124">
        <f>IF($L684=0,0,$L684*YenidegerKurumlarVergiOran)</f>
        <v/>
      </c>
      <c r="N684" s="124">
        <f>IFERROR(IF(YenidegerIskontoOrani=0,$M684*$G684,$M684*(1-1/(1+YenidegerIskontoOrani)^$G684)/YenidegerIskontoOrani),0)</f>
        <v/>
      </c>
      <c r="O684" s="124">
        <f>$N684-$K684</f>
        <v/>
      </c>
      <c r="P684" s="124">
        <f>IF($J684&lt;=0,"DEĞERLENDİR",IF($O684&gt;0,"YENİDEN DEĞERLE","DEĞERLENDİR"))</f>
        <v/>
      </c>
      <c r="Q684" s="124">
        <f>IF($B684="","",CONCATENATE("Kıymet: ",$B684," | Değer Artışı: ",TEXT($J684,"#,##0")))</f>
        <v/>
      </c>
    </row>
    <row r="685" ht="15.75" customHeight="1" s="81">
      <c r="A685" s="129" t="n"/>
      <c r="B685" s="130" t="n"/>
      <c r="C685" s="127" t="n"/>
      <c r="D685" s="127" t="n"/>
      <c r="E685" s="124">
        <f>IF($C685=0,0,$C685-$D685)</f>
        <v/>
      </c>
      <c r="F685" s="128" t="n"/>
      <c r="G685" s="129" t="n"/>
      <c r="H685" s="131" t="n"/>
      <c r="I685" s="124">
        <f>IF($E685=0,0,$E685*$H685)</f>
        <v/>
      </c>
      <c r="J685" s="124">
        <f>IF($I685=0,0,$I685-$E685)</f>
        <v/>
      </c>
      <c r="K685" s="124">
        <f>IF($J685=0,0,$J685*YenidegerFonOran)</f>
        <v/>
      </c>
      <c r="L685" s="124">
        <f>IF($G685=0,0,$J685/$G685)</f>
        <v/>
      </c>
      <c r="M685" s="124">
        <f>IF($L685=0,0,$L685*YenidegerKurumlarVergiOran)</f>
        <v/>
      </c>
      <c r="N685" s="124">
        <f>IFERROR(IF(YenidegerIskontoOrani=0,$M685*$G685,$M685*(1-1/(1+YenidegerIskontoOrani)^$G685)/YenidegerIskontoOrani),0)</f>
        <v/>
      </c>
      <c r="O685" s="124">
        <f>$N685-$K685</f>
        <v/>
      </c>
      <c r="P685" s="124">
        <f>IF($J685&lt;=0,"DEĞERLENDİR",IF($O685&gt;0,"YENİDEN DEĞERLE","DEĞERLENDİR"))</f>
        <v/>
      </c>
      <c r="Q685" s="124">
        <f>IF($B685="","",CONCATENATE("Kıymet: ",$B685," | Değer Artışı: ",TEXT($J685,"#,##0")))</f>
        <v/>
      </c>
    </row>
    <row r="686" ht="15.75" customHeight="1" s="81">
      <c r="A686" s="129" t="n"/>
      <c r="B686" s="130" t="n"/>
      <c r="C686" s="127" t="n"/>
      <c r="D686" s="127" t="n"/>
      <c r="E686" s="124">
        <f>IF($C686=0,0,$C686-$D686)</f>
        <v/>
      </c>
      <c r="F686" s="128" t="n"/>
      <c r="G686" s="129" t="n"/>
      <c r="H686" s="131" t="n"/>
      <c r="I686" s="124">
        <f>IF($E686=0,0,$E686*$H686)</f>
        <v/>
      </c>
      <c r="J686" s="124">
        <f>IF($I686=0,0,$I686-$E686)</f>
        <v/>
      </c>
      <c r="K686" s="124">
        <f>IF($J686=0,0,$J686*YenidegerFonOran)</f>
        <v/>
      </c>
      <c r="L686" s="124">
        <f>IF($G686=0,0,$J686/$G686)</f>
        <v/>
      </c>
      <c r="M686" s="124">
        <f>IF($L686=0,0,$L686*YenidegerKurumlarVergiOran)</f>
        <v/>
      </c>
      <c r="N686" s="124">
        <f>IFERROR(IF(YenidegerIskontoOrani=0,$M686*$G686,$M686*(1-1/(1+YenidegerIskontoOrani)^$G686)/YenidegerIskontoOrani),0)</f>
        <v/>
      </c>
      <c r="O686" s="124">
        <f>$N686-$K686</f>
        <v/>
      </c>
      <c r="P686" s="124">
        <f>IF($J686&lt;=0,"DEĞERLENDİR",IF($O686&gt;0,"YENİDEN DEĞERLE","DEĞERLENDİR"))</f>
        <v/>
      </c>
      <c r="Q686" s="124">
        <f>IF($B686="","",CONCATENATE("Kıymet: ",$B686," | Değer Artışı: ",TEXT($J686,"#,##0")))</f>
        <v/>
      </c>
    </row>
    <row r="687" ht="15.75" customHeight="1" s="81">
      <c r="A687" s="129" t="n"/>
      <c r="B687" s="130" t="n"/>
      <c r="C687" s="127" t="n"/>
      <c r="D687" s="127" t="n"/>
      <c r="E687" s="124">
        <f>IF($C687=0,0,$C687-$D687)</f>
        <v/>
      </c>
      <c r="F687" s="128" t="n"/>
      <c r="G687" s="129" t="n"/>
      <c r="H687" s="131" t="n"/>
      <c r="I687" s="124">
        <f>IF($E687=0,0,$E687*$H687)</f>
        <v/>
      </c>
      <c r="J687" s="124">
        <f>IF($I687=0,0,$I687-$E687)</f>
        <v/>
      </c>
      <c r="K687" s="124">
        <f>IF($J687=0,0,$J687*YenidegerFonOran)</f>
        <v/>
      </c>
      <c r="L687" s="124">
        <f>IF($G687=0,0,$J687/$G687)</f>
        <v/>
      </c>
      <c r="M687" s="124">
        <f>IF($L687=0,0,$L687*YenidegerKurumlarVergiOran)</f>
        <v/>
      </c>
      <c r="N687" s="124">
        <f>IFERROR(IF(YenidegerIskontoOrani=0,$M687*$G687,$M687*(1-1/(1+YenidegerIskontoOrani)^$G687)/YenidegerIskontoOrani),0)</f>
        <v/>
      </c>
      <c r="O687" s="124">
        <f>$N687-$K687</f>
        <v/>
      </c>
      <c r="P687" s="124">
        <f>IF($J687&lt;=0,"DEĞERLENDİR",IF($O687&gt;0,"YENİDEN DEĞERLE","DEĞERLENDİR"))</f>
        <v/>
      </c>
      <c r="Q687" s="124">
        <f>IF($B687="","",CONCATENATE("Kıymet: ",$B687," | Değer Artışı: ",TEXT($J687,"#,##0")))</f>
        <v/>
      </c>
    </row>
    <row r="688" ht="15.75" customHeight="1" s="81">
      <c r="A688" s="129" t="n"/>
      <c r="B688" s="130" t="n"/>
      <c r="C688" s="127" t="n"/>
      <c r="D688" s="127" t="n"/>
      <c r="E688" s="124">
        <f>IF($C688=0,0,$C688-$D688)</f>
        <v/>
      </c>
      <c r="F688" s="128" t="n"/>
      <c r="G688" s="129" t="n"/>
      <c r="H688" s="131" t="n"/>
      <c r="I688" s="124">
        <f>IF($E688=0,0,$E688*$H688)</f>
        <v/>
      </c>
      <c r="J688" s="124">
        <f>IF($I688=0,0,$I688-$E688)</f>
        <v/>
      </c>
      <c r="K688" s="124">
        <f>IF($J688=0,0,$J688*YenidegerFonOran)</f>
        <v/>
      </c>
      <c r="L688" s="124">
        <f>IF($G688=0,0,$J688/$G688)</f>
        <v/>
      </c>
      <c r="M688" s="124">
        <f>IF($L688=0,0,$L688*YenidegerKurumlarVergiOran)</f>
        <v/>
      </c>
      <c r="N688" s="124">
        <f>IFERROR(IF(YenidegerIskontoOrani=0,$M688*$G688,$M688*(1-1/(1+YenidegerIskontoOrani)^$G688)/YenidegerIskontoOrani),0)</f>
        <v/>
      </c>
      <c r="O688" s="124">
        <f>$N688-$K688</f>
        <v/>
      </c>
      <c r="P688" s="124">
        <f>IF($J688&lt;=0,"DEĞERLENDİR",IF($O688&gt;0,"YENİDEN DEĞERLE","DEĞERLENDİR"))</f>
        <v/>
      </c>
      <c r="Q688" s="124">
        <f>IF($B688="","",CONCATENATE("Kıymet: ",$B688," | Değer Artışı: ",TEXT($J688,"#,##0")))</f>
        <v/>
      </c>
    </row>
    <row r="689" ht="15.75" customHeight="1" s="81">
      <c r="A689" s="129" t="n"/>
      <c r="B689" s="130" t="n"/>
      <c r="C689" s="127" t="n"/>
      <c r="D689" s="127" t="n"/>
      <c r="E689" s="124">
        <f>IF($C689=0,0,$C689-$D689)</f>
        <v/>
      </c>
      <c r="F689" s="128" t="n"/>
      <c r="G689" s="129" t="n"/>
      <c r="H689" s="131" t="n"/>
      <c r="I689" s="124">
        <f>IF($E689=0,0,$E689*$H689)</f>
        <v/>
      </c>
      <c r="J689" s="124">
        <f>IF($I689=0,0,$I689-$E689)</f>
        <v/>
      </c>
      <c r="K689" s="124">
        <f>IF($J689=0,0,$J689*YenidegerFonOran)</f>
        <v/>
      </c>
      <c r="L689" s="124">
        <f>IF($G689=0,0,$J689/$G689)</f>
        <v/>
      </c>
      <c r="M689" s="124">
        <f>IF($L689=0,0,$L689*YenidegerKurumlarVergiOran)</f>
        <v/>
      </c>
      <c r="N689" s="124">
        <f>IFERROR(IF(YenidegerIskontoOrani=0,$M689*$G689,$M689*(1-1/(1+YenidegerIskontoOrani)^$G689)/YenidegerIskontoOrani),0)</f>
        <v/>
      </c>
      <c r="O689" s="124">
        <f>$N689-$K689</f>
        <v/>
      </c>
      <c r="P689" s="124">
        <f>IF($J689&lt;=0,"DEĞERLENDİR",IF($O689&gt;0,"YENİDEN DEĞERLE","DEĞERLENDİR"))</f>
        <v/>
      </c>
      <c r="Q689" s="124">
        <f>IF($B689="","",CONCATENATE("Kıymet: ",$B689," | Değer Artışı: ",TEXT($J689,"#,##0")))</f>
        <v/>
      </c>
    </row>
    <row r="690" ht="15.75" customHeight="1" s="81">
      <c r="A690" s="129" t="n"/>
      <c r="B690" s="130" t="n"/>
      <c r="C690" s="127" t="n"/>
      <c r="D690" s="127" t="n"/>
      <c r="E690" s="124">
        <f>IF($C690=0,0,$C690-$D690)</f>
        <v/>
      </c>
      <c r="F690" s="128" t="n"/>
      <c r="G690" s="129" t="n"/>
      <c r="H690" s="131" t="n"/>
      <c r="I690" s="124">
        <f>IF($E690=0,0,$E690*$H690)</f>
        <v/>
      </c>
      <c r="J690" s="124">
        <f>IF($I690=0,0,$I690-$E690)</f>
        <v/>
      </c>
      <c r="K690" s="124">
        <f>IF($J690=0,0,$J690*YenidegerFonOran)</f>
        <v/>
      </c>
      <c r="L690" s="124">
        <f>IF($G690=0,0,$J690/$G690)</f>
        <v/>
      </c>
      <c r="M690" s="124">
        <f>IF($L690=0,0,$L690*YenidegerKurumlarVergiOran)</f>
        <v/>
      </c>
      <c r="N690" s="124">
        <f>IFERROR(IF(YenidegerIskontoOrani=0,$M690*$G690,$M690*(1-1/(1+YenidegerIskontoOrani)^$G690)/YenidegerIskontoOrani),0)</f>
        <v/>
      </c>
      <c r="O690" s="124">
        <f>$N690-$K690</f>
        <v/>
      </c>
      <c r="P690" s="124">
        <f>IF($J690&lt;=0,"DEĞERLENDİR",IF($O690&gt;0,"YENİDEN DEĞERLE","DEĞERLENDİR"))</f>
        <v/>
      </c>
      <c r="Q690" s="124">
        <f>IF($B690="","",CONCATENATE("Kıymet: ",$B690," | Değer Artışı: ",TEXT($J690,"#,##0")))</f>
        <v/>
      </c>
    </row>
    <row r="691" ht="15.75" customHeight="1" s="81">
      <c r="A691" s="129" t="n"/>
      <c r="B691" s="130" t="n"/>
      <c r="C691" s="127" t="n"/>
      <c r="D691" s="127" t="n"/>
      <c r="E691" s="124">
        <f>IF($C691=0,0,$C691-$D691)</f>
        <v/>
      </c>
      <c r="F691" s="128" t="n"/>
      <c r="G691" s="129" t="n"/>
      <c r="H691" s="131" t="n"/>
      <c r="I691" s="124">
        <f>IF($E691=0,0,$E691*$H691)</f>
        <v/>
      </c>
      <c r="J691" s="124">
        <f>IF($I691=0,0,$I691-$E691)</f>
        <v/>
      </c>
      <c r="K691" s="124">
        <f>IF($J691=0,0,$J691*YenidegerFonOran)</f>
        <v/>
      </c>
      <c r="L691" s="124">
        <f>IF($G691=0,0,$J691/$G691)</f>
        <v/>
      </c>
      <c r="M691" s="124">
        <f>IF($L691=0,0,$L691*YenidegerKurumlarVergiOran)</f>
        <v/>
      </c>
      <c r="N691" s="124">
        <f>IFERROR(IF(YenidegerIskontoOrani=0,$M691*$G691,$M691*(1-1/(1+YenidegerIskontoOrani)^$G691)/YenidegerIskontoOrani),0)</f>
        <v/>
      </c>
      <c r="O691" s="124">
        <f>$N691-$K691</f>
        <v/>
      </c>
      <c r="P691" s="124">
        <f>IF($J691&lt;=0,"DEĞERLENDİR",IF($O691&gt;0,"YENİDEN DEĞERLE","DEĞERLENDİR"))</f>
        <v/>
      </c>
      <c r="Q691" s="124">
        <f>IF($B691="","",CONCATENATE("Kıymet: ",$B691," | Değer Artışı: ",TEXT($J691,"#,##0")))</f>
        <v/>
      </c>
    </row>
    <row r="692" ht="15.75" customHeight="1" s="81">
      <c r="A692" s="129" t="n"/>
      <c r="B692" s="130" t="n"/>
      <c r="C692" s="127" t="n"/>
      <c r="D692" s="127" t="n"/>
      <c r="E692" s="124">
        <f>IF($C692=0,0,$C692-$D692)</f>
        <v/>
      </c>
      <c r="F692" s="128" t="n"/>
      <c r="G692" s="129" t="n"/>
      <c r="H692" s="131" t="n"/>
      <c r="I692" s="124">
        <f>IF($E692=0,0,$E692*$H692)</f>
        <v/>
      </c>
      <c r="J692" s="124">
        <f>IF($I692=0,0,$I692-$E692)</f>
        <v/>
      </c>
      <c r="K692" s="124">
        <f>IF($J692=0,0,$J692*YenidegerFonOran)</f>
        <v/>
      </c>
      <c r="L692" s="124">
        <f>IF($G692=0,0,$J692/$G692)</f>
        <v/>
      </c>
      <c r="M692" s="124">
        <f>IF($L692=0,0,$L692*YenidegerKurumlarVergiOran)</f>
        <v/>
      </c>
      <c r="N692" s="124">
        <f>IFERROR(IF(YenidegerIskontoOrani=0,$M692*$G692,$M692*(1-1/(1+YenidegerIskontoOrani)^$G692)/YenidegerIskontoOrani),0)</f>
        <v/>
      </c>
      <c r="O692" s="124">
        <f>$N692-$K692</f>
        <v/>
      </c>
      <c r="P692" s="124">
        <f>IF($J692&lt;=0,"DEĞERLENDİR",IF($O692&gt;0,"YENİDEN DEĞERLE","DEĞERLENDİR"))</f>
        <v/>
      </c>
      <c r="Q692" s="124">
        <f>IF($B692="","",CONCATENATE("Kıymet: ",$B692," | Değer Artışı: ",TEXT($J692,"#,##0")))</f>
        <v/>
      </c>
    </row>
    <row r="693" ht="15.75" customHeight="1" s="81">
      <c r="A693" s="129" t="n"/>
      <c r="B693" s="130" t="n"/>
      <c r="C693" s="127" t="n"/>
      <c r="D693" s="127" t="n"/>
      <c r="E693" s="124">
        <f>IF($C693=0,0,$C693-$D693)</f>
        <v/>
      </c>
      <c r="F693" s="128" t="n"/>
      <c r="G693" s="129" t="n"/>
      <c r="H693" s="131" t="n"/>
      <c r="I693" s="124">
        <f>IF($E693=0,0,$E693*$H693)</f>
        <v/>
      </c>
      <c r="J693" s="124">
        <f>IF($I693=0,0,$I693-$E693)</f>
        <v/>
      </c>
      <c r="K693" s="124">
        <f>IF($J693=0,0,$J693*YenidegerFonOran)</f>
        <v/>
      </c>
      <c r="L693" s="124">
        <f>IF($G693=0,0,$J693/$G693)</f>
        <v/>
      </c>
      <c r="M693" s="124">
        <f>IF($L693=0,0,$L693*YenidegerKurumlarVergiOran)</f>
        <v/>
      </c>
      <c r="N693" s="124">
        <f>IFERROR(IF(YenidegerIskontoOrani=0,$M693*$G693,$M693*(1-1/(1+YenidegerIskontoOrani)^$G693)/YenidegerIskontoOrani),0)</f>
        <v/>
      </c>
      <c r="O693" s="124">
        <f>$N693-$K693</f>
        <v/>
      </c>
      <c r="P693" s="124">
        <f>IF($J693&lt;=0,"DEĞERLENDİR",IF($O693&gt;0,"YENİDEN DEĞERLE","DEĞERLENDİR"))</f>
        <v/>
      </c>
      <c r="Q693" s="124">
        <f>IF($B693="","",CONCATENATE("Kıymet: ",$B693," | Değer Artışı: ",TEXT($J693,"#,##0")))</f>
        <v/>
      </c>
    </row>
    <row r="694" ht="15.75" customHeight="1" s="81">
      <c r="A694" s="129" t="n"/>
      <c r="B694" s="130" t="n"/>
      <c r="C694" s="127" t="n"/>
      <c r="D694" s="127" t="n"/>
      <c r="E694" s="124">
        <f>IF($C694=0,0,$C694-$D694)</f>
        <v/>
      </c>
      <c r="F694" s="128" t="n"/>
      <c r="G694" s="129" t="n"/>
      <c r="H694" s="131" t="n"/>
      <c r="I694" s="124">
        <f>IF($E694=0,0,$E694*$H694)</f>
        <v/>
      </c>
      <c r="J694" s="124">
        <f>IF($I694=0,0,$I694-$E694)</f>
        <v/>
      </c>
      <c r="K694" s="124">
        <f>IF($J694=0,0,$J694*YenidegerFonOran)</f>
        <v/>
      </c>
      <c r="L694" s="124">
        <f>IF($G694=0,0,$J694/$G694)</f>
        <v/>
      </c>
      <c r="M694" s="124">
        <f>IF($L694=0,0,$L694*YenidegerKurumlarVergiOran)</f>
        <v/>
      </c>
      <c r="N694" s="124">
        <f>IFERROR(IF(YenidegerIskontoOrani=0,$M694*$G694,$M694*(1-1/(1+YenidegerIskontoOrani)^$G694)/YenidegerIskontoOrani),0)</f>
        <v/>
      </c>
      <c r="O694" s="124">
        <f>$N694-$K694</f>
        <v/>
      </c>
      <c r="P694" s="124">
        <f>IF($J694&lt;=0,"DEĞERLENDİR",IF($O694&gt;0,"YENİDEN DEĞERLE","DEĞERLENDİR"))</f>
        <v/>
      </c>
      <c r="Q694" s="124">
        <f>IF($B694="","",CONCATENATE("Kıymet: ",$B694," | Değer Artışı: ",TEXT($J694,"#,##0")))</f>
        <v/>
      </c>
    </row>
    <row r="695" ht="15.75" customHeight="1" s="81">
      <c r="A695" s="129" t="n"/>
      <c r="B695" s="130" t="n"/>
      <c r="C695" s="127" t="n"/>
      <c r="D695" s="127" t="n"/>
      <c r="E695" s="124">
        <f>IF($C695=0,0,$C695-$D695)</f>
        <v/>
      </c>
      <c r="F695" s="128" t="n"/>
      <c r="G695" s="129" t="n"/>
      <c r="H695" s="131" t="n"/>
      <c r="I695" s="124">
        <f>IF($E695=0,0,$E695*$H695)</f>
        <v/>
      </c>
      <c r="J695" s="124">
        <f>IF($I695=0,0,$I695-$E695)</f>
        <v/>
      </c>
      <c r="K695" s="124">
        <f>IF($J695=0,0,$J695*YenidegerFonOran)</f>
        <v/>
      </c>
      <c r="L695" s="124">
        <f>IF($G695=0,0,$J695/$G695)</f>
        <v/>
      </c>
      <c r="M695" s="124">
        <f>IF($L695=0,0,$L695*YenidegerKurumlarVergiOran)</f>
        <v/>
      </c>
      <c r="N695" s="124">
        <f>IFERROR(IF(YenidegerIskontoOrani=0,$M695*$G695,$M695*(1-1/(1+YenidegerIskontoOrani)^$G695)/YenidegerIskontoOrani),0)</f>
        <v/>
      </c>
      <c r="O695" s="124">
        <f>$N695-$K695</f>
        <v/>
      </c>
      <c r="P695" s="124">
        <f>IF($J695&lt;=0,"DEĞERLENDİR",IF($O695&gt;0,"YENİDEN DEĞERLE","DEĞERLENDİR"))</f>
        <v/>
      </c>
      <c r="Q695" s="124">
        <f>IF($B695="","",CONCATENATE("Kıymet: ",$B695," | Değer Artışı: ",TEXT($J695,"#,##0")))</f>
        <v/>
      </c>
    </row>
    <row r="696" ht="15.75" customHeight="1" s="81">
      <c r="A696" s="129" t="n"/>
      <c r="B696" s="130" t="n"/>
      <c r="C696" s="127" t="n"/>
      <c r="D696" s="127" t="n"/>
      <c r="E696" s="124">
        <f>IF($C696=0,0,$C696-$D696)</f>
        <v/>
      </c>
      <c r="F696" s="128" t="n"/>
      <c r="G696" s="129" t="n"/>
      <c r="H696" s="131" t="n"/>
      <c r="I696" s="124">
        <f>IF($E696=0,0,$E696*$H696)</f>
        <v/>
      </c>
      <c r="J696" s="124">
        <f>IF($I696=0,0,$I696-$E696)</f>
        <v/>
      </c>
      <c r="K696" s="124">
        <f>IF($J696=0,0,$J696*YenidegerFonOran)</f>
        <v/>
      </c>
      <c r="L696" s="124">
        <f>IF($G696=0,0,$J696/$G696)</f>
        <v/>
      </c>
      <c r="M696" s="124">
        <f>IF($L696=0,0,$L696*YenidegerKurumlarVergiOran)</f>
        <v/>
      </c>
      <c r="N696" s="124">
        <f>IFERROR(IF(YenidegerIskontoOrani=0,$M696*$G696,$M696*(1-1/(1+YenidegerIskontoOrani)^$G696)/YenidegerIskontoOrani),0)</f>
        <v/>
      </c>
      <c r="O696" s="124">
        <f>$N696-$K696</f>
        <v/>
      </c>
      <c r="P696" s="124">
        <f>IF($J696&lt;=0,"DEĞERLENDİR",IF($O696&gt;0,"YENİDEN DEĞERLE","DEĞERLENDİR"))</f>
        <v/>
      </c>
      <c r="Q696" s="124">
        <f>IF($B696="","",CONCATENATE("Kıymet: ",$B696," | Değer Artışı: ",TEXT($J696,"#,##0")))</f>
        <v/>
      </c>
    </row>
    <row r="697" ht="15.75" customHeight="1" s="81">
      <c r="A697" s="129" t="n"/>
      <c r="B697" s="130" t="n"/>
      <c r="C697" s="127" t="n"/>
      <c r="D697" s="127" t="n"/>
      <c r="E697" s="124">
        <f>IF($C697=0,0,$C697-$D697)</f>
        <v/>
      </c>
      <c r="F697" s="128" t="n"/>
      <c r="G697" s="129" t="n"/>
      <c r="H697" s="131" t="n"/>
      <c r="I697" s="124">
        <f>IF($E697=0,0,$E697*$H697)</f>
        <v/>
      </c>
      <c r="J697" s="124">
        <f>IF($I697=0,0,$I697-$E697)</f>
        <v/>
      </c>
      <c r="K697" s="124">
        <f>IF($J697=0,0,$J697*YenidegerFonOran)</f>
        <v/>
      </c>
      <c r="L697" s="124">
        <f>IF($G697=0,0,$J697/$G697)</f>
        <v/>
      </c>
      <c r="M697" s="124">
        <f>IF($L697=0,0,$L697*YenidegerKurumlarVergiOran)</f>
        <v/>
      </c>
      <c r="N697" s="124">
        <f>IFERROR(IF(YenidegerIskontoOrani=0,$M697*$G697,$M697*(1-1/(1+YenidegerIskontoOrani)^$G697)/YenidegerIskontoOrani),0)</f>
        <v/>
      </c>
      <c r="O697" s="124">
        <f>$N697-$K697</f>
        <v/>
      </c>
      <c r="P697" s="124">
        <f>IF($J697&lt;=0,"DEĞERLENDİR",IF($O697&gt;0,"YENİDEN DEĞERLE","DEĞERLENDİR"))</f>
        <v/>
      </c>
      <c r="Q697" s="124">
        <f>IF($B697="","",CONCATENATE("Kıymet: ",$B697," | Değer Artışı: ",TEXT($J697,"#,##0")))</f>
        <v/>
      </c>
    </row>
    <row r="698" ht="15.75" customHeight="1" s="81">
      <c r="A698" s="129" t="n"/>
      <c r="B698" s="130" t="n"/>
      <c r="C698" s="127" t="n"/>
      <c r="D698" s="127" t="n"/>
      <c r="E698" s="124">
        <f>IF($C698=0,0,$C698-$D698)</f>
        <v/>
      </c>
      <c r="F698" s="128" t="n"/>
      <c r="G698" s="129" t="n"/>
      <c r="H698" s="131" t="n"/>
      <c r="I698" s="124">
        <f>IF($E698=0,0,$E698*$H698)</f>
        <v/>
      </c>
      <c r="J698" s="124">
        <f>IF($I698=0,0,$I698-$E698)</f>
        <v/>
      </c>
      <c r="K698" s="124">
        <f>IF($J698=0,0,$J698*YenidegerFonOran)</f>
        <v/>
      </c>
      <c r="L698" s="124">
        <f>IF($G698=0,0,$J698/$G698)</f>
        <v/>
      </c>
      <c r="M698" s="124">
        <f>IF($L698=0,0,$L698*YenidegerKurumlarVergiOran)</f>
        <v/>
      </c>
      <c r="N698" s="124">
        <f>IFERROR(IF(YenidegerIskontoOrani=0,$M698*$G698,$M698*(1-1/(1+YenidegerIskontoOrani)^$G698)/YenidegerIskontoOrani),0)</f>
        <v/>
      </c>
      <c r="O698" s="124">
        <f>$N698-$K698</f>
        <v/>
      </c>
      <c r="P698" s="124">
        <f>IF($J698&lt;=0,"DEĞERLENDİR",IF($O698&gt;0,"YENİDEN DEĞERLE","DEĞERLENDİR"))</f>
        <v/>
      </c>
      <c r="Q698" s="124">
        <f>IF($B698="","",CONCATENATE("Kıymet: ",$B698," | Değer Artışı: ",TEXT($J698,"#,##0")))</f>
        <v/>
      </c>
    </row>
    <row r="699" ht="15.75" customHeight="1" s="81">
      <c r="A699" s="129" t="n"/>
      <c r="B699" s="130" t="n"/>
      <c r="C699" s="127" t="n"/>
      <c r="D699" s="127" t="n"/>
      <c r="E699" s="124">
        <f>IF($C699=0,0,$C699-$D699)</f>
        <v/>
      </c>
      <c r="F699" s="128" t="n"/>
      <c r="G699" s="129" t="n"/>
      <c r="H699" s="131" t="n"/>
      <c r="I699" s="124">
        <f>IF($E699=0,0,$E699*$H699)</f>
        <v/>
      </c>
      <c r="J699" s="124">
        <f>IF($I699=0,0,$I699-$E699)</f>
        <v/>
      </c>
      <c r="K699" s="124">
        <f>IF($J699=0,0,$J699*YenidegerFonOran)</f>
        <v/>
      </c>
      <c r="L699" s="124">
        <f>IF($G699=0,0,$J699/$G699)</f>
        <v/>
      </c>
      <c r="M699" s="124">
        <f>IF($L699=0,0,$L699*YenidegerKurumlarVergiOran)</f>
        <v/>
      </c>
      <c r="N699" s="124">
        <f>IFERROR(IF(YenidegerIskontoOrani=0,$M699*$G699,$M699*(1-1/(1+YenidegerIskontoOrani)^$G699)/YenidegerIskontoOrani),0)</f>
        <v/>
      </c>
      <c r="O699" s="124">
        <f>$N699-$K699</f>
        <v/>
      </c>
      <c r="P699" s="124">
        <f>IF($J699&lt;=0,"DEĞERLENDİR",IF($O699&gt;0,"YENİDEN DEĞERLE","DEĞERLENDİR"))</f>
        <v/>
      </c>
      <c r="Q699" s="124">
        <f>IF($B699="","",CONCATENATE("Kıymet: ",$B699," | Değer Artışı: ",TEXT($J699,"#,##0")))</f>
        <v/>
      </c>
    </row>
    <row r="700" ht="15.75" customHeight="1" s="81">
      <c r="A700" s="129" t="n"/>
      <c r="B700" s="130" t="n"/>
      <c r="C700" s="127" t="n"/>
      <c r="D700" s="127" t="n"/>
      <c r="E700" s="124">
        <f>IF($C700=0,0,$C700-$D700)</f>
        <v/>
      </c>
      <c r="F700" s="128" t="n"/>
      <c r="G700" s="129" t="n"/>
      <c r="H700" s="131" t="n"/>
      <c r="I700" s="124">
        <f>IF($E700=0,0,$E700*$H700)</f>
        <v/>
      </c>
      <c r="J700" s="124">
        <f>IF($I700=0,0,$I700-$E700)</f>
        <v/>
      </c>
      <c r="K700" s="124">
        <f>IF($J700=0,0,$J700*YenidegerFonOran)</f>
        <v/>
      </c>
      <c r="L700" s="124">
        <f>IF($G700=0,0,$J700/$G700)</f>
        <v/>
      </c>
      <c r="M700" s="124">
        <f>IF($L700=0,0,$L700*YenidegerKurumlarVergiOran)</f>
        <v/>
      </c>
      <c r="N700" s="124">
        <f>IFERROR(IF(YenidegerIskontoOrani=0,$M700*$G700,$M700*(1-1/(1+YenidegerIskontoOrani)^$G700)/YenidegerIskontoOrani),0)</f>
        <v/>
      </c>
      <c r="O700" s="124">
        <f>$N700-$K700</f>
        <v/>
      </c>
      <c r="P700" s="124">
        <f>IF($J700&lt;=0,"DEĞERLENDİR",IF($O700&gt;0,"YENİDEN DEĞERLE","DEĞERLENDİR"))</f>
        <v/>
      </c>
      <c r="Q700" s="124">
        <f>IF($B700="","",CONCATENATE("Kıymet: ",$B700," | Değer Artışı: ",TEXT($J700,"#,##0")))</f>
        <v/>
      </c>
    </row>
    <row r="701" ht="15.75" customHeight="1" s="81">
      <c r="A701" s="129" t="n"/>
      <c r="B701" s="130" t="n"/>
      <c r="C701" s="127" t="n"/>
      <c r="D701" s="127" t="n"/>
      <c r="E701" s="124">
        <f>IF($C701=0,0,$C701-$D701)</f>
        <v/>
      </c>
      <c r="F701" s="128" t="n"/>
      <c r="G701" s="129" t="n"/>
      <c r="H701" s="131" t="n"/>
      <c r="I701" s="124">
        <f>IF($E701=0,0,$E701*$H701)</f>
        <v/>
      </c>
      <c r="J701" s="124">
        <f>IF($I701=0,0,$I701-$E701)</f>
        <v/>
      </c>
      <c r="K701" s="124">
        <f>IF($J701=0,0,$J701*YenidegerFonOran)</f>
        <v/>
      </c>
      <c r="L701" s="124">
        <f>IF($G701=0,0,$J701/$G701)</f>
        <v/>
      </c>
      <c r="M701" s="124">
        <f>IF($L701=0,0,$L701*YenidegerKurumlarVergiOran)</f>
        <v/>
      </c>
      <c r="N701" s="124">
        <f>IFERROR(IF(YenidegerIskontoOrani=0,$M701*$G701,$M701*(1-1/(1+YenidegerIskontoOrani)^$G701)/YenidegerIskontoOrani),0)</f>
        <v/>
      </c>
      <c r="O701" s="124">
        <f>$N701-$K701</f>
        <v/>
      </c>
      <c r="P701" s="124">
        <f>IF($J701&lt;=0,"DEĞERLENDİR",IF($O701&gt;0,"YENİDEN DEĞERLE","DEĞERLENDİR"))</f>
        <v/>
      </c>
      <c r="Q701" s="124">
        <f>IF($B701="","",CONCATENATE("Kıymet: ",$B701," | Değer Artışı: ",TEXT($J701,"#,##0")))</f>
        <v/>
      </c>
    </row>
    <row r="702" ht="15.75" customHeight="1" s="81">
      <c r="A702" s="129" t="n"/>
      <c r="B702" s="130" t="n"/>
      <c r="C702" s="127" t="n"/>
      <c r="D702" s="127" t="n"/>
      <c r="E702" s="124">
        <f>IF($C702=0,0,$C702-$D702)</f>
        <v/>
      </c>
      <c r="F702" s="128" t="n"/>
      <c r="G702" s="129" t="n"/>
      <c r="H702" s="131" t="n"/>
      <c r="I702" s="124">
        <f>IF($E702=0,0,$E702*$H702)</f>
        <v/>
      </c>
      <c r="J702" s="124">
        <f>IF($I702=0,0,$I702-$E702)</f>
        <v/>
      </c>
      <c r="K702" s="124">
        <f>IF($J702=0,0,$J702*YenidegerFonOran)</f>
        <v/>
      </c>
      <c r="L702" s="124">
        <f>IF($G702=0,0,$J702/$G702)</f>
        <v/>
      </c>
      <c r="M702" s="124">
        <f>IF($L702=0,0,$L702*YenidegerKurumlarVergiOran)</f>
        <v/>
      </c>
      <c r="N702" s="124">
        <f>IFERROR(IF(YenidegerIskontoOrani=0,$M702*$G702,$M702*(1-1/(1+YenidegerIskontoOrani)^$G702)/YenidegerIskontoOrani),0)</f>
        <v/>
      </c>
      <c r="O702" s="124">
        <f>$N702-$K702</f>
        <v/>
      </c>
      <c r="P702" s="124">
        <f>IF($J702&lt;=0,"DEĞERLENDİR",IF($O702&gt;0,"YENİDEN DEĞERLE","DEĞERLENDİR"))</f>
        <v/>
      </c>
      <c r="Q702" s="124">
        <f>IF($B702="","",CONCATENATE("Kıymet: ",$B702," | Değer Artışı: ",TEXT($J702,"#,##0")))</f>
        <v/>
      </c>
    </row>
    <row r="703" ht="15.75" customHeight="1" s="81">
      <c r="A703" s="129" t="n"/>
      <c r="B703" s="130" t="n"/>
      <c r="C703" s="127" t="n"/>
      <c r="D703" s="127" t="n"/>
      <c r="E703" s="124">
        <f>IF($C703=0,0,$C703-$D703)</f>
        <v/>
      </c>
      <c r="F703" s="128" t="n"/>
      <c r="G703" s="129" t="n"/>
      <c r="H703" s="131" t="n"/>
      <c r="I703" s="124">
        <f>IF($E703=0,0,$E703*$H703)</f>
        <v/>
      </c>
      <c r="J703" s="124">
        <f>IF($I703=0,0,$I703-$E703)</f>
        <v/>
      </c>
      <c r="K703" s="124">
        <f>IF($J703=0,0,$J703*YenidegerFonOran)</f>
        <v/>
      </c>
      <c r="L703" s="124">
        <f>IF($G703=0,0,$J703/$G703)</f>
        <v/>
      </c>
      <c r="M703" s="124">
        <f>IF($L703=0,0,$L703*YenidegerKurumlarVergiOran)</f>
        <v/>
      </c>
      <c r="N703" s="124">
        <f>IFERROR(IF(YenidegerIskontoOrani=0,$M703*$G703,$M703*(1-1/(1+YenidegerIskontoOrani)^$G703)/YenidegerIskontoOrani),0)</f>
        <v/>
      </c>
      <c r="O703" s="124">
        <f>$N703-$K703</f>
        <v/>
      </c>
      <c r="P703" s="124">
        <f>IF($J703&lt;=0,"DEĞERLENDİR",IF($O703&gt;0,"YENİDEN DEĞERLE","DEĞERLENDİR"))</f>
        <v/>
      </c>
      <c r="Q703" s="124">
        <f>IF($B703="","",CONCATENATE("Kıymet: ",$B703," | Değer Artışı: ",TEXT($J703,"#,##0")))</f>
        <v/>
      </c>
    </row>
    <row r="704" ht="15.75" customHeight="1" s="81">
      <c r="A704" s="129" t="n"/>
      <c r="B704" s="130" t="n"/>
      <c r="C704" s="127" t="n"/>
      <c r="D704" s="127" t="n"/>
      <c r="E704" s="124">
        <f>IF($C704=0,0,$C704-$D704)</f>
        <v/>
      </c>
      <c r="F704" s="128" t="n"/>
      <c r="G704" s="129" t="n"/>
      <c r="H704" s="131" t="n"/>
      <c r="I704" s="124">
        <f>IF($E704=0,0,$E704*$H704)</f>
        <v/>
      </c>
      <c r="J704" s="124">
        <f>IF($I704=0,0,$I704-$E704)</f>
        <v/>
      </c>
      <c r="K704" s="124">
        <f>IF($J704=0,0,$J704*YenidegerFonOran)</f>
        <v/>
      </c>
      <c r="L704" s="124">
        <f>IF($G704=0,0,$J704/$G704)</f>
        <v/>
      </c>
      <c r="M704" s="124">
        <f>IF($L704=0,0,$L704*YenidegerKurumlarVergiOran)</f>
        <v/>
      </c>
      <c r="N704" s="124">
        <f>IFERROR(IF(YenidegerIskontoOrani=0,$M704*$G704,$M704*(1-1/(1+YenidegerIskontoOrani)^$G704)/YenidegerIskontoOrani),0)</f>
        <v/>
      </c>
      <c r="O704" s="124">
        <f>$N704-$K704</f>
        <v/>
      </c>
      <c r="P704" s="124">
        <f>IF($J704&lt;=0,"DEĞERLENDİR",IF($O704&gt;0,"YENİDEN DEĞERLE","DEĞERLENDİR"))</f>
        <v/>
      </c>
      <c r="Q704" s="124">
        <f>IF($B704="","",CONCATENATE("Kıymet: ",$B704," | Değer Artışı: ",TEXT($J704,"#,##0")))</f>
        <v/>
      </c>
    </row>
    <row r="705" ht="15.75" customHeight="1" s="81">
      <c r="A705" s="129" t="n"/>
      <c r="B705" s="130" t="n"/>
      <c r="C705" s="127" t="n"/>
      <c r="D705" s="127" t="n"/>
      <c r="E705" s="124">
        <f>IF($C705=0,0,$C705-$D705)</f>
        <v/>
      </c>
      <c r="F705" s="128" t="n"/>
      <c r="G705" s="129" t="n"/>
      <c r="H705" s="131" t="n"/>
      <c r="I705" s="124">
        <f>IF($E705=0,0,$E705*$H705)</f>
        <v/>
      </c>
      <c r="J705" s="124">
        <f>IF($I705=0,0,$I705-$E705)</f>
        <v/>
      </c>
      <c r="K705" s="124">
        <f>IF($J705=0,0,$J705*YenidegerFonOran)</f>
        <v/>
      </c>
      <c r="L705" s="124">
        <f>IF($G705=0,0,$J705/$G705)</f>
        <v/>
      </c>
      <c r="M705" s="124">
        <f>IF($L705=0,0,$L705*YenidegerKurumlarVergiOran)</f>
        <v/>
      </c>
      <c r="N705" s="124">
        <f>IFERROR(IF(YenidegerIskontoOrani=0,$M705*$G705,$M705*(1-1/(1+YenidegerIskontoOrani)^$G705)/YenidegerIskontoOrani),0)</f>
        <v/>
      </c>
      <c r="O705" s="124">
        <f>$N705-$K705</f>
        <v/>
      </c>
      <c r="P705" s="124">
        <f>IF($J705&lt;=0,"DEĞERLENDİR",IF($O705&gt;0,"YENİDEN DEĞERLE","DEĞERLENDİR"))</f>
        <v/>
      </c>
      <c r="Q705" s="124">
        <f>IF($B705="","",CONCATENATE("Kıymet: ",$B705," | Değer Artışı: ",TEXT($J705,"#,##0")))</f>
        <v/>
      </c>
    </row>
    <row r="706" ht="15.75" customHeight="1" s="81">
      <c r="A706" s="129" t="n"/>
      <c r="B706" s="130" t="n"/>
      <c r="C706" s="127" t="n"/>
      <c r="D706" s="127" t="n"/>
      <c r="E706" s="124">
        <f>IF($C706=0,0,$C706-$D706)</f>
        <v/>
      </c>
      <c r="F706" s="128" t="n"/>
      <c r="G706" s="129" t="n"/>
      <c r="H706" s="131" t="n"/>
      <c r="I706" s="124">
        <f>IF($E706=0,0,$E706*$H706)</f>
        <v/>
      </c>
      <c r="J706" s="124">
        <f>IF($I706=0,0,$I706-$E706)</f>
        <v/>
      </c>
      <c r="K706" s="124">
        <f>IF($J706=0,0,$J706*YenidegerFonOran)</f>
        <v/>
      </c>
      <c r="L706" s="124">
        <f>IF($G706=0,0,$J706/$G706)</f>
        <v/>
      </c>
      <c r="M706" s="124">
        <f>IF($L706=0,0,$L706*YenidegerKurumlarVergiOran)</f>
        <v/>
      </c>
      <c r="N706" s="124">
        <f>IFERROR(IF(YenidegerIskontoOrani=0,$M706*$G706,$M706*(1-1/(1+YenidegerIskontoOrani)^$G706)/YenidegerIskontoOrani),0)</f>
        <v/>
      </c>
      <c r="O706" s="124">
        <f>$N706-$K706</f>
        <v/>
      </c>
      <c r="P706" s="124">
        <f>IF($J706&lt;=0,"DEĞERLENDİR",IF($O706&gt;0,"YENİDEN DEĞERLE","DEĞERLENDİR"))</f>
        <v/>
      </c>
      <c r="Q706" s="124">
        <f>IF($B706="","",CONCATENATE("Kıymet: ",$B706," | Değer Artışı: ",TEXT($J706,"#,##0")))</f>
        <v/>
      </c>
    </row>
    <row r="707" ht="15.75" customHeight="1" s="81">
      <c r="A707" s="129" t="n"/>
      <c r="B707" s="130" t="n"/>
      <c r="C707" s="127" t="n"/>
      <c r="D707" s="127" t="n"/>
      <c r="E707" s="124">
        <f>IF($C707=0,0,$C707-$D707)</f>
        <v/>
      </c>
      <c r="F707" s="128" t="n"/>
      <c r="G707" s="129" t="n"/>
      <c r="H707" s="131" t="n"/>
      <c r="I707" s="124">
        <f>IF($E707=0,0,$E707*$H707)</f>
        <v/>
      </c>
      <c r="J707" s="124">
        <f>IF($I707=0,0,$I707-$E707)</f>
        <v/>
      </c>
      <c r="K707" s="124">
        <f>IF($J707=0,0,$J707*YenidegerFonOran)</f>
        <v/>
      </c>
      <c r="L707" s="124">
        <f>IF($G707=0,0,$J707/$G707)</f>
        <v/>
      </c>
      <c r="M707" s="124">
        <f>IF($L707=0,0,$L707*YenidegerKurumlarVergiOran)</f>
        <v/>
      </c>
      <c r="N707" s="124">
        <f>IFERROR(IF(YenidegerIskontoOrani=0,$M707*$G707,$M707*(1-1/(1+YenidegerIskontoOrani)^$G707)/YenidegerIskontoOrani),0)</f>
        <v/>
      </c>
      <c r="O707" s="124">
        <f>$N707-$K707</f>
        <v/>
      </c>
      <c r="P707" s="124">
        <f>IF($J707&lt;=0,"DEĞERLENDİR",IF($O707&gt;0,"YENİDEN DEĞERLE","DEĞERLENDİR"))</f>
        <v/>
      </c>
      <c r="Q707" s="124">
        <f>IF($B707="","",CONCATENATE("Kıymet: ",$B707," | Değer Artışı: ",TEXT($J707,"#,##0")))</f>
        <v/>
      </c>
    </row>
    <row r="708" ht="15.75" customHeight="1" s="81">
      <c r="A708" s="129" t="n"/>
      <c r="B708" s="130" t="n"/>
      <c r="C708" s="127" t="n"/>
      <c r="D708" s="127" t="n"/>
      <c r="E708" s="124">
        <f>IF($C708=0,0,$C708-$D708)</f>
        <v/>
      </c>
      <c r="F708" s="128" t="n"/>
      <c r="G708" s="129" t="n"/>
      <c r="H708" s="131" t="n"/>
      <c r="I708" s="124">
        <f>IF($E708=0,0,$E708*$H708)</f>
        <v/>
      </c>
      <c r="J708" s="124">
        <f>IF($I708=0,0,$I708-$E708)</f>
        <v/>
      </c>
      <c r="K708" s="124">
        <f>IF($J708=0,0,$J708*YenidegerFonOran)</f>
        <v/>
      </c>
      <c r="L708" s="124">
        <f>IF($G708=0,0,$J708/$G708)</f>
        <v/>
      </c>
      <c r="M708" s="124">
        <f>IF($L708=0,0,$L708*YenidegerKurumlarVergiOran)</f>
        <v/>
      </c>
      <c r="N708" s="124">
        <f>IFERROR(IF(YenidegerIskontoOrani=0,$M708*$G708,$M708*(1-1/(1+YenidegerIskontoOrani)^$G708)/YenidegerIskontoOrani),0)</f>
        <v/>
      </c>
      <c r="O708" s="124">
        <f>$N708-$K708</f>
        <v/>
      </c>
      <c r="P708" s="124">
        <f>IF($J708&lt;=0,"DEĞERLENDİR",IF($O708&gt;0,"YENİDEN DEĞERLE","DEĞERLENDİR"))</f>
        <v/>
      </c>
      <c r="Q708" s="124">
        <f>IF($B708="","",CONCATENATE("Kıymet: ",$B708," | Değer Artışı: ",TEXT($J708,"#,##0")))</f>
        <v/>
      </c>
    </row>
    <row r="709" ht="15.75" customHeight="1" s="81">
      <c r="A709" s="129" t="n"/>
      <c r="B709" s="130" t="n"/>
      <c r="C709" s="127" t="n"/>
      <c r="D709" s="127" t="n"/>
      <c r="E709" s="124">
        <f>IF($C709=0,0,$C709-$D709)</f>
        <v/>
      </c>
      <c r="F709" s="128" t="n"/>
      <c r="G709" s="129" t="n"/>
      <c r="H709" s="131" t="n"/>
      <c r="I709" s="124">
        <f>IF($E709=0,0,$E709*$H709)</f>
        <v/>
      </c>
      <c r="J709" s="124">
        <f>IF($I709=0,0,$I709-$E709)</f>
        <v/>
      </c>
      <c r="K709" s="124">
        <f>IF($J709=0,0,$J709*YenidegerFonOran)</f>
        <v/>
      </c>
      <c r="L709" s="124">
        <f>IF($G709=0,0,$J709/$G709)</f>
        <v/>
      </c>
      <c r="M709" s="124">
        <f>IF($L709=0,0,$L709*YenidegerKurumlarVergiOran)</f>
        <v/>
      </c>
      <c r="N709" s="124">
        <f>IFERROR(IF(YenidegerIskontoOrani=0,$M709*$G709,$M709*(1-1/(1+YenidegerIskontoOrani)^$G709)/YenidegerIskontoOrani),0)</f>
        <v/>
      </c>
      <c r="O709" s="124">
        <f>$N709-$K709</f>
        <v/>
      </c>
      <c r="P709" s="124">
        <f>IF($J709&lt;=0,"DEĞERLENDİR",IF($O709&gt;0,"YENİDEN DEĞERLE","DEĞERLENDİR"))</f>
        <v/>
      </c>
      <c r="Q709" s="124">
        <f>IF($B709="","",CONCATENATE("Kıymet: ",$B709," | Değer Artışı: ",TEXT($J709,"#,##0")))</f>
        <v/>
      </c>
    </row>
    <row r="710" ht="15.75" customHeight="1" s="81">
      <c r="A710" s="129" t="n"/>
      <c r="B710" s="130" t="n"/>
      <c r="C710" s="127" t="n"/>
      <c r="D710" s="127" t="n"/>
      <c r="E710" s="124">
        <f>IF($C710=0,0,$C710-$D710)</f>
        <v/>
      </c>
      <c r="F710" s="128" t="n"/>
      <c r="G710" s="129" t="n"/>
      <c r="H710" s="131" t="n"/>
      <c r="I710" s="124">
        <f>IF($E710=0,0,$E710*$H710)</f>
        <v/>
      </c>
      <c r="J710" s="124">
        <f>IF($I710=0,0,$I710-$E710)</f>
        <v/>
      </c>
      <c r="K710" s="124">
        <f>IF($J710=0,0,$J710*YenidegerFonOran)</f>
        <v/>
      </c>
      <c r="L710" s="124">
        <f>IF($G710=0,0,$J710/$G710)</f>
        <v/>
      </c>
      <c r="M710" s="124">
        <f>IF($L710=0,0,$L710*YenidegerKurumlarVergiOran)</f>
        <v/>
      </c>
      <c r="N710" s="124">
        <f>IFERROR(IF(YenidegerIskontoOrani=0,$M710*$G710,$M710*(1-1/(1+YenidegerIskontoOrani)^$G710)/YenidegerIskontoOrani),0)</f>
        <v/>
      </c>
      <c r="O710" s="124">
        <f>$N710-$K710</f>
        <v/>
      </c>
      <c r="P710" s="124">
        <f>IF($J710&lt;=0,"DEĞERLENDİR",IF($O710&gt;0,"YENİDEN DEĞERLE","DEĞERLENDİR"))</f>
        <v/>
      </c>
      <c r="Q710" s="124">
        <f>IF($B710="","",CONCATENATE("Kıymet: ",$B710," | Değer Artışı: ",TEXT($J710,"#,##0")))</f>
        <v/>
      </c>
    </row>
    <row r="711" ht="15.75" customHeight="1" s="81">
      <c r="A711" s="129" t="n"/>
      <c r="B711" s="130" t="n"/>
      <c r="C711" s="127" t="n"/>
      <c r="D711" s="127" t="n"/>
      <c r="E711" s="124">
        <f>IF($C711=0,0,$C711-$D711)</f>
        <v/>
      </c>
      <c r="F711" s="128" t="n"/>
      <c r="G711" s="129" t="n"/>
      <c r="H711" s="131" t="n"/>
      <c r="I711" s="124">
        <f>IF($E711=0,0,$E711*$H711)</f>
        <v/>
      </c>
      <c r="J711" s="124">
        <f>IF($I711=0,0,$I711-$E711)</f>
        <v/>
      </c>
      <c r="K711" s="124">
        <f>IF($J711=0,0,$J711*YenidegerFonOran)</f>
        <v/>
      </c>
      <c r="L711" s="124">
        <f>IF($G711=0,0,$J711/$G711)</f>
        <v/>
      </c>
      <c r="M711" s="124">
        <f>IF($L711=0,0,$L711*YenidegerKurumlarVergiOran)</f>
        <v/>
      </c>
      <c r="N711" s="124">
        <f>IFERROR(IF(YenidegerIskontoOrani=0,$M711*$G711,$M711*(1-1/(1+YenidegerIskontoOrani)^$G711)/YenidegerIskontoOrani),0)</f>
        <v/>
      </c>
      <c r="O711" s="124">
        <f>$N711-$K711</f>
        <v/>
      </c>
      <c r="P711" s="124">
        <f>IF($J711&lt;=0,"DEĞERLENDİR",IF($O711&gt;0,"YENİDEN DEĞERLE","DEĞERLENDİR"))</f>
        <v/>
      </c>
      <c r="Q711" s="124">
        <f>IF($B711="","",CONCATENATE("Kıymet: ",$B711," | Değer Artışı: ",TEXT($J711,"#,##0")))</f>
        <v/>
      </c>
    </row>
    <row r="712" ht="15.75" customHeight="1" s="81">
      <c r="A712" s="129" t="n"/>
      <c r="B712" s="130" t="n"/>
      <c r="C712" s="127" t="n"/>
      <c r="D712" s="127" t="n"/>
      <c r="E712" s="124">
        <f>IF($C712=0,0,$C712-$D712)</f>
        <v/>
      </c>
      <c r="F712" s="128" t="n"/>
      <c r="G712" s="129" t="n"/>
      <c r="H712" s="131" t="n"/>
      <c r="I712" s="124">
        <f>IF($E712=0,0,$E712*$H712)</f>
        <v/>
      </c>
      <c r="J712" s="124">
        <f>IF($I712=0,0,$I712-$E712)</f>
        <v/>
      </c>
      <c r="K712" s="124">
        <f>IF($J712=0,0,$J712*YenidegerFonOran)</f>
        <v/>
      </c>
      <c r="L712" s="124">
        <f>IF($G712=0,0,$J712/$G712)</f>
        <v/>
      </c>
      <c r="M712" s="124">
        <f>IF($L712=0,0,$L712*YenidegerKurumlarVergiOran)</f>
        <v/>
      </c>
      <c r="N712" s="124">
        <f>IFERROR(IF(YenidegerIskontoOrani=0,$M712*$G712,$M712*(1-1/(1+YenidegerIskontoOrani)^$G712)/YenidegerIskontoOrani),0)</f>
        <v/>
      </c>
      <c r="O712" s="124">
        <f>$N712-$K712</f>
        <v/>
      </c>
      <c r="P712" s="124">
        <f>IF($J712&lt;=0,"DEĞERLENDİR",IF($O712&gt;0,"YENİDEN DEĞERLE","DEĞERLENDİR"))</f>
        <v/>
      </c>
      <c r="Q712" s="124">
        <f>IF($B712="","",CONCATENATE("Kıymet: ",$B712," | Değer Artışı: ",TEXT($J712,"#,##0")))</f>
        <v/>
      </c>
    </row>
    <row r="713" ht="15.75" customHeight="1" s="81">
      <c r="A713" s="129" t="n"/>
      <c r="B713" s="130" t="n"/>
      <c r="C713" s="127" t="n"/>
      <c r="D713" s="127" t="n"/>
      <c r="E713" s="124">
        <f>IF($C713=0,0,$C713-$D713)</f>
        <v/>
      </c>
      <c r="F713" s="128" t="n"/>
      <c r="G713" s="129" t="n"/>
      <c r="H713" s="131" t="n"/>
      <c r="I713" s="124">
        <f>IF($E713=0,0,$E713*$H713)</f>
        <v/>
      </c>
      <c r="J713" s="124">
        <f>IF($I713=0,0,$I713-$E713)</f>
        <v/>
      </c>
      <c r="K713" s="124">
        <f>IF($J713=0,0,$J713*YenidegerFonOran)</f>
        <v/>
      </c>
      <c r="L713" s="124">
        <f>IF($G713=0,0,$J713/$G713)</f>
        <v/>
      </c>
      <c r="M713" s="124">
        <f>IF($L713=0,0,$L713*YenidegerKurumlarVergiOran)</f>
        <v/>
      </c>
      <c r="N713" s="124">
        <f>IFERROR(IF(YenidegerIskontoOrani=0,$M713*$G713,$M713*(1-1/(1+YenidegerIskontoOrani)^$G713)/YenidegerIskontoOrani),0)</f>
        <v/>
      </c>
      <c r="O713" s="124">
        <f>$N713-$K713</f>
        <v/>
      </c>
      <c r="P713" s="124">
        <f>IF($J713&lt;=0,"DEĞERLENDİR",IF($O713&gt;0,"YENİDEN DEĞERLE","DEĞERLENDİR"))</f>
        <v/>
      </c>
      <c r="Q713" s="124">
        <f>IF($B713="","",CONCATENATE("Kıymet: ",$B713," | Değer Artışı: ",TEXT($J713,"#,##0")))</f>
        <v/>
      </c>
    </row>
    <row r="714" ht="15.75" customHeight="1" s="81">
      <c r="A714" s="129" t="n"/>
      <c r="B714" s="130" t="n"/>
      <c r="C714" s="127" t="n"/>
      <c r="D714" s="127" t="n"/>
      <c r="E714" s="124">
        <f>IF($C714=0,0,$C714-$D714)</f>
        <v/>
      </c>
      <c r="F714" s="128" t="n"/>
      <c r="G714" s="129" t="n"/>
      <c r="H714" s="131" t="n"/>
      <c r="I714" s="124">
        <f>IF($E714=0,0,$E714*$H714)</f>
        <v/>
      </c>
      <c r="J714" s="124">
        <f>IF($I714=0,0,$I714-$E714)</f>
        <v/>
      </c>
      <c r="K714" s="124">
        <f>IF($J714=0,0,$J714*YenidegerFonOran)</f>
        <v/>
      </c>
      <c r="L714" s="124">
        <f>IF($G714=0,0,$J714/$G714)</f>
        <v/>
      </c>
      <c r="M714" s="124">
        <f>IF($L714=0,0,$L714*YenidegerKurumlarVergiOran)</f>
        <v/>
      </c>
      <c r="N714" s="124">
        <f>IFERROR(IF(YenidegerIskontoOrani=0,$M714*$G714,$M714*(1-1/(1+YenidegerIskontoOrani)^$G714)/YenidegerIskontoOrani),0)</f>
        <v/>
      </c>
      <c r="O714" s="124">
        <f>$N714-$K714</f>
        <v/>
      </c>
      <c r="P714" s="124">
        <f>IF($J714&lt;=0,"DEĞERLENDİR",IF($O714&gt;0,"YENİDEN DEĞERLE","DEĞERLENDİR"))</f>
        <v/>
      </c>
      <c r="Q714" s="124">
        <f>IF($B714="","",CONCATENATE("Kıymet: ",$B714," | Değer Artışı: ",TEXT($J714,"#,##0")))</f>
        <v/>
      </c>
    </row>
    <row r="715" ht="15.75" customHeight="1" s="81">
      <c r="A715" s="129" t="n"/>
      <c r="B715" s="130" t="n"/>
      <c r="C715" s="127" t="n"/>
      <c r="D715" s="127" t="n"/>
      <c r="E715" s="124">
        <f>IF($C715=0,0,$C715-$D715)</f>
        <v/>
      </c>
      <c r="F715" s="128" t="n"/>
      <c r="G715" s="129" t="n"/>
      <c r="H715" s="131" t="n"/>
      <c r="I715" s="124">
        <f>IF($E715=0,0,$E715*$H715)</f>
        <v/>
      </c>
      <c r="J715" s="124">
        <f>IF($I715=0,0,$I715-$E715)</f>
        <v/>
      </c>
      <c r="K715" s="124">
        <f>IF($J715=0,0,$J715*YenidegerFonOran)</f>
        <v/>
      </c>
      <c r="L715" s="124">
        <f>IF($G715=0,0,$J715/$G715)</f>
        <v/>
      </c>
      <c r="M715" s="124">
        <f>IF($L715=0,0,$L715*YenidegerKurumlarVergiOran)</f>
        <v/>
      </c>
      <c r="N715" s="124">
        <f>IFERROR(IF(YenidegerIskontoOrani=0,$M715*$G715,$M715*(1-1/(1+YenidegerIskontoOrani)^$G715)/YenidegerIskontoOrani),0)</f>
        <v/>
      </c>
      <c r="O715" s="124">
        <f>$N715-$K715</f>
        <v/>
      </c>
      <c r="P715" s="124">
        <f>IF($J715&lt;=0,"DEĞERLENDİR",IF($O715&gt;0,"YENİDEN DEĞERLE","DEĞERLENDİR"))</f>
        <v/>
      </c>
      <c r="Q715" s="124">
        <f>IF($B715="","",CONCATENATE("Kıymet: ",$B715," | Değer Artışı: ",TEXT($J715,"#,##0")))</f>
        <v/>
      </c>
    </row>
    <row r="716" ht="15.75" customHeight="1" s="81">
      <c r="A716" s="129" t="n"/>
      <c r="B716" s="130" t="n"/>
      <c r="C716" s="127" t="n"/>
      <c r="D716" s="127" t="n"/>
      <c r="E716" s="124">
        <f>IF($C716=0,0,$C716-$D716)</f>
        <v/>
      </c>
      <c r="F716" s="128" t="n"/>
      <c r="G716" s="129" t="n"/>
      <c r="H716" s="131" t="n"/>
      <c r="I716" s="124">
        <f>IF($E716=0,0,$E716*$H716)</f>
        <v/>
      </c>
      <c r="J716" s="124">
        <f>IF($I716=0,0,$I716-$E716)</f>
        <v/>
      </c>
      <c r="K716" s="124">
        <f>IF($J716=0,0,$J716*YenidegerFonOran)</f>
        <v/>
      </c>
      <c r="L716" s="124">
        <f>IF($G716=0,0,$J716/$G716)</f>
        <v/>
      </c>
      <c r="M716" s="124">
        <f>IF($L716=0,0,$L716*YenidegerKurumlarVergiOran)</f>
        <v/>
      </c>
      <c r="N716" s="124">
        <f>IFERROR(IF(YenidegerIskontoOrani=0,$M716*$G716,$M716*(1-1/(1+YenidegerIskontoOrani)^$G716)/YenidegerIskontoOrani),0)</f>
        <v/>
      </c>
      <c r="O716" s="124">
        <f>$N716-$K716</f>
        <v/>
      </c>
      <c r="P716" s="124">
        <f>IF($J716&lt;=0,"DEĞERLENDİR",IF($O716&gt;0,"YENİDEN DEĞERLE","DEĞERLENDİR"))</f>
        <v/>
      </c>
      <c r="Q716" s="124">
        <f>IF($B716="","",CONCATENATE("Kıymet: ",$B716," | Değer Artışı: ",TEXT($J716,"#,##0")))</f>
        <v/>
      </c>
    </row>
    <row r="717" ht="15.75" customHeight="1" s="81">
      <c r="A717" s="129" t="n"/>
      <c r="B717" s="130" t="n"/>
      <c r="C717" s="127" t="n"/>
      <c r="D717" s="127" t="n"/>
      <c r="E717" s="124">
        <f>IF($C717=0,0,$C717-$D717)</f>
        <v/>
      </c>
      <c r="F717" s="128" t="n"/>
      <c r="G717" s="129" t="n"/>
      <c r="H717" s="131" t="n"/>
      <c r="I717" s="124">
        <f>IF($E717=0,0,$E717*$H717)</f>
        <v/>
      </c>
      <c r="J717" s="124">
        <f>IF($I717=0,0,$I717-$E717)</f>
        <v/>
      </c>
      <c r="K717" s="124">
        <f>IF($J717=0,0,$J717*YenidegerFonOran)</f>
        <v/>
      </c>
      <c r="L717" s="124">
        <f>IF($G717=0,0,$J717/$G717)</f>
        <v/>
      </c>
      <c r="M717" s="124">
        <f>IF($L717=0,0,$L717*YenidegerKurumlarVergiOran)</f>
        <v/>
      </c>
      <c r="N717" s="124">
        <f>IFERROR(IF(YenidegerIskontoOrani=0,$M717*$G717,$M717*(1-1/(1+YenidegerIskontoOrani)^$G717)/YenidegerIskontoOrani),0)</f>
        <v/>
      </c>
      <c r="O717" s="124">
        <f>$N717-$K717</f>
        <v/>
      </c>
      <c r="P717" s="124">
        <f>IF($J717&lt;=0,"DEĞERLENDİR",IF($O717&gt;0,"YENİDEN DEĞERLE","DEĞERLENDİR"))</f>
        <v/>
      </c>
      <c r="Q717" s="124">
        <f>IF($B717="","",CONCATENATE("Kıymet: ",$B717," | Değer Artışı: ",TEXT($J717,"#,##0")))</f>
        <v/>
      </c>
    </row>
    <row r="718" ht="15.75" customHeight="1" s="81">
      <c r="A718" s="129" t="n"/>
      <c r="B718" s="130" t="n"/>
      <c r="C718" s="127" t="n"/>
      <c r="D718" s="127" t="n"/>
      <c r="E718" s="124">
        <f>IF($C718=0,0,$C718-$D718)</f>
        <v/>
      </c>
      <c r="F718" s="128" t="n"/>
      <c r="G718" s="129" t="n"/>
      <c r="H718" s="131" t="n"/>
      <c r="I718" s="124">
        <f>IF($E718=0,0,$E718*$H718)</f>
        <v/>
      </c>
      <c r="J718" s="124">
        <f>IF($I718=0,0,$I718-$E718)</f>
        <v/>
      </c>
      <c r="K718" s="124">
        <f>IF($J718=0,0,$J718*YenidegerFonOran)</f>
        <v/>
      </c>
      <c r="L718" s="124">
        <f>IF($G718=0,0,$J718/$G718)</f>
        <v/>
      </c>
      <c r="M718" s="124">
        <f>IF($L718=0,0,$L718*YenidegerKurumlarVergiOran)</f>
        <v/>
      </c>
      <c r="N718" s="124">
        <f>IFERROR(IF(YenidegerIskontoOrani=0,$M718*$G718,$M718*(1-1/(1+YenidegerIskontoOrani)^$G718)/YenidegerIskontoOrani),0)</f>
        <v/>
      </c>
      <c r="O718" s="124">
        <f>$N718-$K718</f>
        <v/>
      </c>
      <c r="P718" s="124">
        <f>IF($J718&lt;=0,"DEĞERLENDİR",IF($O718&gt;0,"YENİDEN DEĞERLE","DEĞERLENDİR"))</f>
        <v/>
      </c>
      <c r="Q718" s="124">
        <f>IF($B718="","",CONCATENATE("Kıymet: ",$B718," | Değer Artışı: ",TEXT($J718,"#,##0")))</f>
        <v/>
      </c>
    </row>
    <row r="719" ht="15.75" customHeight="1" s="81">
      <c r="A719" s="129" t="n"/>
      <c r="B719" s="130" t="n"/>
      <c r="C719" s="127" t="n"/>
      <c r="D719" s="127" t="n"/>
      <c r="E719" s="124">
        <f>IF($C719=0,0,$C719-$D719)</f>
        <v/>
      </c>
      <c r="F719" s="128" t="n"/>
      <c r="G719" s="129" t="n"/>
      <c r="H719" s="131" t="n"/>
      <c r="I719" s="124">
        <f>IF($E719=0,0,$E719*$H719)</f>
        <v/>
      </c>
      <c r="J719" s="124">
        <f>IF($I719=0,0,$I719-$E719)</f>
        <v/>
      </c>
      <c r="K719" s="124">
        <f>IF($J719=0,0,$J719*YenidegerFonOran)</f>
        <v/>
      </c>
      <c r="L719" s="124">
        <f>IF($G719=0,0,$J719/$G719)</f>
        <v/>
      </c>
      <c r="M719" s="124">
        <f>IF($L719=0,0,$L719*YenidegerKurumlarVergiOran)</f>
        <v/>
      </c>
      <c r="N719" s="124">
        <f>IFERROR(IF(YenidegerIskontoOrani=0,$M719*$G719,$M719*(1-1/(1+YenidegerIskontoOrani)^$G719)/YenidegerIskontoOrani),0)</f>
        <v/>
      </c>
      <c r="O719" s="124">
        <f>$N719-$K719</f>
        <v/>
      </c>
      <c r="P719" s="124">
        <f>IF($J719&lt;=0,"DEĞERLENDİR",IF($O719&gt;0,"YENİDEN DEĞERLE","DEĞERLENDİR"))</f>
        <v/>
      </c>
      <c r="Q719" s="124">
        <f>IF($B719="","",CONCATENATE("Kıymet: ",$B719," | Değer Artışı: ",TEXT($J719,"#,##0")))</f>
        <v/>
      </c>
    </row>
    <row r="720" ht="15.75" customHeight="1" s="81">
      <c r="A720" s="129" t="n"/>
      <c r="B720" s="130" t="n"/>
      <c r="C720" s="127" t="n"/>
      <c r="D720" s="127" t="n"/>
      <c r="E720" s="124">
        <f>IF($C720=0,0,$C720-$D720)</f>
        <v/>
      </c>
      <c r="F720" s="128" t="n"/>
      <c r="G720" s="129" t="n"/>
      <c r="H720" s="131" t="n"/>
      <c r="I720" s="124">
        <f>IF($E720=0,0,$E720*$H720)</f>
        <v/>
      </c>
      <c r="J720" s="124">
        <f>IF($I720=0,0,$I720-$E720)</f>
        <v/>
      </c>
      <c r="K720" s="124">
        <f>IF($J720=0,0,$J720*YenidegerFonOran)</f>
        <v/>
      </c>
      <c r="L720" s="124">
        <f>IF($G720=0,0,$J720/$G720)</f>
        <v/>
      </c>
      <c r="M720" s="124">
        <f>IF($L720=0,0,$L720*YenidegerKurumlarVergiOran)</f>
        <v/>
      </c>
      <c r="N720" s="124">
        <f>IFERROR(IF(YenidegerIskontoOrani=0,$M720*$G720,$M720*(1-1/(1+YenidegerIskontoOrani)^$G720)/YenidegerIskontoOrani),0)</f>
        <v/>
      </c>
      <c r="O720" s="124">
        <f>$N720-$K720</f>
        <v/>
      </c>
      <c r="P720" s="124">
        <f>IF($J720&lt;=0,"DEĞERLENDİR",IF($O720&gt;0,"YENİDEN DEĞERLE","DEĞERLENDİR"))</f>
        <v/>
      </c>
      <c r="Q720" s="124">
        <f>IF($B720="","",CONCATENATE("Kıymet: ",$B720," | Değer Artışı: ",TEXT($J720,"#,##0")))</f>
        <v/>
      </c>
    </row>
    <row r="721" ht="15.75" customHeight="1" s="81">
      <c r="A721" s="129" t="n"/>
      <c r="B721" s="130" t="n"/>
      <c r="C721" s="127" t="n"/>
      <c r="D721" s="127" t="n"/>
      <c r="E721" s="124">
        <f>IF($C721=0,0,$C721-$D721)</f>
        <v/>
      </c>
      <c r="F721" s="128" t="n"/>
      <c r="G721" s="129" t="n"/>
      <c r="H721" s="131" t="n"/>
      <c r="I721" s="124">
        <f>IF($E721=0,0,$E721*$H721)</f>
        <v/>
      </c>
      <c r="J721" s="124">
        <f>IF($I721=0,0,$I721-$E721)</f>
        <v/>
      </c>
      <c r="K721" s="124">
        <f>IF($J721=0,0,$J721*YenidegerFonOran)</f>
        <v/>
      </c>
      <c r="L721" s="124">
        <f>IF($G721=0,0,$J721/$G721)</f>
        <v/>
      </c>
      <c r="M721" s="124">
        <f>IF($L721=0,0,$L721*YenidegerKurumlarVergiOran)</f>
        <v/>
      </c>
      <c r="N721" s="124">
        <f>IFERROR(IF(YenidegerIskontoOrani=0,$M721*$G721,$M721*(1-1/(1+YenidegerIskontoOrani)^$G721)/YenidegerIskontoOrani),0)</f>
        <v/>
      </c>
      <c r="O721" s="124">
        <f>$N721-$K721</f>
        <v/>
      </c>
      <c r="P721" s="124">
        <f>IF($J721&lt;=0,"DEĞERLENDİR",IF($O721&gt;0,"YENİDEN DEĞERLE","DEĞERLENDİR"))</f>
        <v/>
      </c>
      <c r="Q721" s="124">
        <f>IF($B721="","",CONCATENATE("Kıymet: ",$B721," | Değer Artışı: ",TEXT($J721,"#,##0")))</f>
        <v/>
      </c>
    </row>
    <row r="722" ht="15.75" customHeight="1" s="81">
      <c r="A722" s="129" t="n"/>
      <c r="B722" s="130" t="n"/>
      <c r="C722" s="127" t="n"/>
      <c r="D722" s="127" t="n"/>
      <c r="E722" s="124">
        <f>IF($C722=0,0,$C722-$D722)</f>
        <v/>
      </c>
      <c r="F722" s="128" t="n"/>
      <c r="G722" s="129" t="n"/>
      <c r="H722" s="131" t="n"/>
      <c r="I722" s="124">
        <f>IF($E722=0,0,$E722*$H722)</f>
        <v/>
      </c>
      <c r="J722" s="124">
        <f>IF($I722=0,0,$I722-$E722)</f>
        <v/>
      </c>
      <c r="K722" s="124">
        <f>IF($J722=0,0,$J722*YenidegerFonOran)</f>
        <v/>
      </c>
      <c r="L722" s="124">
        <f>IF($G722=0,0,$J722/$G722)</f>
        <v/>
      </c>
      <c r="M722" s="124">
        <f>IF($L722=0,0,$L722*YenidegerKurumlarVergiOran)</f>
        <v/>
      </c>
      <c r="N722" s="124">
        <f>IFERROR(IF(YenidegerIskontoOrani=0,$M722*$G722,$M722*(1-1/(1+YenidegerIskontoOrani)^$G722)/YenidegerIskontoOrani),0)</f>
        <v/>
      </c>
      <c r="O722" s="124">
        <f>$N722-$K722</f>
        <v/>
      </c>
      <c r="P722" s="124">
        <f>IF($J722&lt;=0,"DEĞERLENDİR",IF($O722&gt;0,"YENİDEN DEĞERLE","DEĞERLENDİR"))</f>
        <v/>
      </c>
      <c r="Q722" s="124">
        <f>IF($B722="","",CONCATENATE("Kıymet: ",$B722," | Değer Artışı: ",TEXT($J722,"#,##0")))</f>
        <v/>
      </c>
    </row>
    <row r="723" ht="15.75" customHeight="1" s="81">
      <c r="A723" s="129" t="n"/>
      <c r="B723" s="130" t="n"/>
      <c r="C723" s="127" t="n"/>
      <c r="D723" s="127" t="n"/>
      <c r="E723" s="124">
        <f>IF($C723=0,0,$C723-$D723)</f>
        <v/>
      </c>
      <c r="F723" s="128" t="n"/>
      <c r="G723" s="129" t="n"/>
      <c r="H723" s="131" t="n"/>
      <c r="I723" s="124">
        <f>IF($E723=0,0,$E723*$H723)</f>
        <v/>
      </c>
      <c r="J723" s="124">
        <f>IF($I723=0,0,$I723-$E723)</f>
        <v/>
      </c>
      <c r="K723" s="124">
        <f>IF($J723=0,0,$J723*YenidegerFonOran)</f>
        <v/>
      </c>
      <c r="L723" s="124">
        <f>IF($G723=0,0,$J723/$G723)</f>
        <v/>
      </c>
      <c r="M723" s="124">
        <f>IF($L723=0,0,$L723*YenidegerKurumlarVergiOran)</f>
        <v/>
      </c>
      <c r="N723" s="124">
        <f>IFERROR(IF(YenidegerIskontoOrani=0,$M723*$G723,$M723*(1-1/(1+YenidegerIskontoOrani)^$G723)/YenidegerIskontoOrani),0)</f>
        <v/>
      </c>
      <c r="O723" s="124">
        <f>$N723-$K723</f>
        <v/>
      </c>
      <c r="P723" s="124">
        <f>IF($J723&lt;=0,"DEĞERLENDİR",IF($O723&gt;0,"YENİDEN DEĞERLE","DEĞERLENDİR"))</f>
        <v/>
      </c>
      <c r="Q723" s="124">
        <f>IF($B723="","",CONCATENATE("Kıymet: ",$B723," | Değer Artışı: ",TEXT($J723,"#,##0")))</f>
        <v/>
      </c>
    </row>
    <row r="724" ht="15.75" customHeight="1" s="81">
      <c r="A724" s="129" t="n"/>
      <c r="B724" s="130" t="n"/>
      <c r="C724" s="127" t="n"/>
      <c r="D724" s="127" t="n"/>
      <c r="E724" s="124">
        <f>IF($C724=0,0,$C724-$D724)</f>
        <v/>
      </c>
      <c r="F724" s="128" t="n"/>
      <c r="G724" s="129" t="n"/>
      <c r="H724" s="131" t="n"/>
      <c r="I724" s="124">
        <f>IF($E724=0,0,$E724*$H724)</f>
        <v/>
      </c>
      <c r="J724" s="124">
        <f>IF($I724=0,0,$I724-$E724)</f>
        <v/>
      </c>
      <c r="K724" s="124">
        <f>IF($J724=0,0,$J724*YenidegerFonOran)</f>
        <v/>
      </c>
      <c r="L724" s="124">
        <f>IF($G724=0,0,$J724/$G724)</f>
        <v/>
      </c>
      <c r="M724" s="124">
        <f>IF($L724=0,0,$L724*YenidegerKurumlarVergiOran)</f>
        <v/>
      </c>
      <c r="N724" s="124">
        <f>IFERROR(IF(YenidegerIskontoOrani=0,$M724*$G724,$M724*(1-1/(1+YenidegerIskontoOrani)^$G724)/YenidegerIskontoOrani),0)</f>
        <v/>
      </c>
      <c r="O724" s="124">
        <f>$N724-$K724</f>
        <v/>
      </c>
      <c r="P724" s="124">
        <f>IF($J724&lt;=0,"DEĞERLENDİR",IF($O724&gt;0,"YENİDEN DEĞERLE","DEĞERLENDİR"))</f>
        <v/>
      </c>
      <c r="Q724" s="124">
        <f>IF($B724="","",CONCATENATE("Kıymet: ",$B724," | Değer Artışı: ",TEXT($J724,"#,##0")))</f>
        <v/>
      </c>
    </row>
    <row r="725" ht="15.75" customHeight="1" s="81">
      <c r="A725" s="129" t="n"/>
      <c r="B725" s="130" t="n"/>
      <c r="C725" s="127" t="n"/>
      <c r="D725" s="127" t="n"/>
      <c r="E725" s="124">
        <f>IF($C725=0,0,$C725-$D725)</f>
        <v/>
      </c>
      <c r="F725" s="128" t="n"/>
      <c r="G725" s="129" t="n"/>
      <c r="H725" s="131" t="n"/>
      <c r="I725" s="124">
        <f>IF($E725=0,0,$E725*$H725)</f>
        <v/>
      </c>
      <c r="J725" s="124">
        <f>IF($I725=0,0,$I725-$E725)</f>
        <v/>
      </c>
      <c r="K725" s="124">
        <f>IF($J725=0,0,$J725*YenidegerFonOran)</f>
        <v/>
      </c>
      <c r="L725" s="124">
        <f>IF($G725=0,0,$J725/$G725)</f>
        <v/>
      </c>
      <c r="M725" s="124">
        <f>IF($L725=0,0,$L725*YenidegerKurumlarVergiOran)</f>
        <v/>
      </c>
      <c r="N725" s="124">
        <f>IFERROR(IF(YenidegerIskontoOrani=0,$M725*$G725,$M725*(1-1/(1+YenidegerIskontoOrani)^$G725)/YenidegerIskontoOrani),0)</f>
        <v/>
      </c>
      <c r="O725" s="124">
        <f>$N725-$K725</f>
        <v/>
      </c>
      <c r="P725" s="124">
        <f>IF($J725&lt;=0,"DEĞERLENDİR",IF($O725&gt;0,"YENİDEN DEĞERLE","DEĞERLENDİR"))</f>
        <v/>
      </c>
      <c r="Q725" s="124">
        <f>IF($B725="","",CONCATENATE("Kıymet: ",$B725," | Değer Artışı: ",TEXT($J725,"#,##0")))</f>
        <v/>
      </c>
    </row>
    <row r="726" ht="15.75" customHeight="1" s="81">
      <c r="A726" s="129" t="n"/>
      <c r="B726" s="130" t="n"/>
      <c r="C726" s="127" t="n"/>
      <c r="D726" s="127" t="n"/>
      <c r="E726" s="124">
        <f>IF($C726=0,0,$C726-$D726)</f>
        <v/>
      </c>
      <c r="F726" s="128" t="n"/>
      <c r="G726" s="129" t="n"/>
      <c r="H726" s="131" t="n"/>
      <c r="I726" s="124">
        <f>IF($E726=0,0,$E726*$H726)</f>
        <v/>
      </c>
      <c r="J726" s="124">
        <f>IF($I726=0,0,$I726-$E726)</f>
        <v/>
      </c>
      <c r="K726" s="124">
        <f>IF($J726=0,0,$J726*YenidegerFonOran)</f>
        <v/>
      </c>
      <c r="L726" s="124">
        <f>IF($G726=0,0,$J726/$G726)</f>
        <v/>
      </c>
      <c r="M726" s="124">
        <f>IF($L726=0,0,$L726*YenidegerKurumlarVergiOran)</f>
        <v/>
      </c>
      <c r="N726" s="124">
        <f>IFERROR(IF(YenidegerIskontoOrani=0,$M726*$G726,$M726*(1-1/(1+YenidegerIskontoOrani)^$G726)/YenidegerIskontoOrani),0)</f>
        <v/>
      </c>
      <c r="O726" s="124">
        <f>$N726-$K726</f>
        <v/>
      </c>
      <c r="P726" s="124">
        <f>IF($J726&lt;=0,"DEĞERLENDİR",IF($O726&gt;0,"YENİDEN DEĞERLE","DEĞERLENDİR"))</f>
        <v/>
      </c>
      <c r="Q726" s="124">
        <f>IF($B726="","",CONCATENATE("Kıymet: ",$B726," | Değer Artışı: ",TEXT($J726,"#,##0")))</f>
        <v/>
      </c>
    </row>
    <row r="727" ht="15.75" customHeight="1" s="81">
      <c r="A727" s="129" t="n"/>
      <c r="B727" s="130" t="n"/>
      <c r="C727" s="127" t="n"/>
      <c r="D727" s="127" t="n"/>
      <c r="E727" s="124">
        <f>IF($C727=0,0,$C727-$D727)</f>
        <v/>
      </c>
      <c r="F727" s="128" t="n"/>
      <c r="G727" s="129" t="n"/>
      <c r="H727" s="131" t="n"/>
      <c r="I727" s="124">
        <f>IF($E727=0,0,$E727*$H727)</f>
        <v/>
      </c>
      <c r="J727" s="124">
        <f>IF($I727=0,0,$I727-$E727)</f>
        <v/>
      </c>
      <c r="K727" s="124">
        <f>IF($J727=0,0,$J727*YenidegerFonOran)</f>
        <v/>
      </c>
      <c r="L727" s="124">
        <f>IF($G727=0,0,$J727/$G727)</f>
        <v/>
      </c>
      <c r="M727" s="124">
        <f>IF($L727=0,0,$L727*YenidegerKurumlarVergiOran)</f>
        <v/>
      </c>
      <c r="N727" s="124">
        <f>IFERROR(IF(YenidegerIskontoOrani=0,$M727*$G727,$M727*(1-1/(1+YenidegerIskontoOrani)^$G727)/YenidegerIskontoOrani),0)</f>
        <v/>
      </c>
      <c r="O727" s="124">
        <f>$N727-$K727</f>
        <v/>
      </c>
      <c r="P727" s="124">
        <f>IF($J727&lt;=0,"DEĞERLENDİR",IF($O727&gt;0,"YENİDEN DEĞERLE","DEĞERLENDİR"))</f>
        <v/>
      </c>
      <c r="Q727" s="124">
        <f>IF($B727="","",CONCATENATE("Kıymet: ",$B727," | Değer Artışı: ",TEXT($J727,"#,##0")))</f>
        <v/>
      </c>
    </row>
    <row r="728" ht="15.75" customHeight="1" s="81">
      <c r="A728" s="129" t="n"/>
      <c r="B728" s="130" t="n"/>
      <c r="C728" s="127" t="n"/>
      <c r="D728" s="127" t="n"/>
      <c r="E728" s="124">
        <f>IF($C728=0,0,$C728-$D728)</f>
        <v/>
      </c>
      <c r="F728" s="128" t="n"/>
      <c r="G728" s="129" t="n"/>
      <c r="H728" s="131" t="n"/>
      <c r="I728" s="124">
        <f>IF($E728=0,0,$E728*$H728)</f>
        <v/>
      </c>
      <c r="J728" s="124">
        <f>IF($I728=0,0,$I728-$E728)</f>
        <v/>
      </c>
      <c r="K728" s="124">
        <f>IF($J728=0,0,$J728*YenidegerFonOran)</f>
        <v/>
      </c>
      <c r="L728" s="124">
        <f>IF($G728=0,0,$J728/$G728)</f>
        <v/>
      </c>
      <c r="M728" s="124">
        <f>IF($L728=0,0,$L728*YenidegerKurumlarVergiOran)</f>
        <v/>
      </c>
      <c r="N728" s="124">
        <f>IFERROR(IF(YenidegerIskontoOrani=0,$M728*$G728,$M728*(1-1/(1+YenidegerIskontoOrani)^$G728)/YenidegerIskontoOrani),0)</f>
        <v/>
      </c>
      <c r="O728" s="124">
        <f>$N728-$K728</f>
        <v/>
      </c>
      <c r="P728" s="124">
        <f>IF($J728&lt;=0,"DEĞERLENDİR",IF($O728&gt;0,"YENİDEN DEĞERLE","DEĞERLENDİR"))</f>
        <v/>
      </c>
      <c r="Q728" s="124">
        <f>IF($B728="","",CONCATENATE("Kıymet: ",$B728," | Değer Artışı: ",TEXT($J728,"#,##0")))</f>
        <v/>
      </c>
    </row>
    <row r="729" ht="15.75" customHeight="1" s="81">
      <c r="A729" s="129" t="n"/>
      <c r="B729" s="130" t="n"/>
      <c r="C729" s="127" t="n"/>
      <c r="D729" s="127" t="n"/>
      <c r="E729" s="124">
        <f>IF($C729=0,0,$C729-$D729)</f>
        <v/>
      </c>
      <c r="F729" s="128" t="n"/>
      <c r="G729" s="129" t="n"/>
      <c r="H729" s="131" t="n"/>
      <c r="I729" s="124">
        <f>IF($E729=0,0,$E729*$H729)</f>
        <v/>
      </c>
      <c r="J729" s="124">
        <f>IF($I729=0,0,$I729-$E729)</f>
        <v/>
      </c>
      <c r="K729" s="124">
        <f>IF($J729=0,0,$J729*YenidegerFonOran)</f>
        <v/>
      </c>
      <c r="L729" s="124">
        <f>IF($G729=0,0,$J729/$G729)</f>
        <v/>
      </c>
      <c r="M729" s="124">
        <f>IF($L729=0,0,$L729*YenidegerKurumlarVergiOran)</f>
        <v/>
      </c>
      <c r="N729" s="124">
        <f>IFERROR(IF(YenidegerIskontoOrani=0,$M729*$G729,$M729*(1-1/(1+YenidegerIskontoOrani)^$G729)/YenidegerIskontoOrani),0)</f>
        <v/>
      </c>
      <c r="O729" s="124">
        <f>$N729-$K729</f>
        <v/>
      </c>
      <c r="P729" s="124">
        <f>IF($J729&lt;=0,"DEĞERLENDİR",IF($O729&gt;0,"YENİDEN DEĞERLE","DEĞERLENDİR"))</f>
        <v/>
      </c>
      <c r="Q729" s="124">
        <f>IF($B729="","",CONCATENATE("Kıymet: ",$B729," | Değer Artışı: ",TEXT($J729,"#,##0")))</f>
        <v/>
      </c>
    </row>
    <row r="730" ht="15.75" customHeight="1" s="81">
      <c r="A730" s="129" t="n"/>
      <c r="B730" s="130" t="n"/>
      <c r="C730" s="127" t="n"/>
      <c r="D730" s="127" t="n"/>
      <c r="E730" s="124">
        <f>IF($C730=0,0,$C730-$D730)</f>
        <v/>
      </c>
      <c r="F730" s="128" t="n"/>
      <c r="G730" s="129" t="n"/>
      <c r="H730" s="131" t="n"/>
      <c r="I730" s="124">
        <f>IF($E730=0,0,$E730*$H730)</f>
        <v/>
      </c>
      <c r="J730" s="124">
        <f>IF($I730=0,0,$I730-$E730)</f>
        <v/>
      </c>
      <c r="K730" s="124">
        <f>IF($J730=0,0,$J730*YenidegerFonOran)</f>
        <v/>
      </c>
      <c r="L730" s="124">
        <f>IF($G730=0,0,$J730/$G730)</f>
        <v/>
      </c>
      <c r="M730" s="124">
        <f>IF($L730=0,0,$L730*YenidegerKurumlarVergiOran)</f>
        <v/>
      </c>
      <c r="N730" s="124">
        <f>IFERROR(IF(YenidegerIskontoOrani=0,$M730*$G730,$M730*(1-1/(1+YenidegerIskontoOrani)^$G730)/YenidegerIskontoOrani),0)</f>
        <v/>
      </c>
      <c r="O730" s="124">
        <f>$N730-$K730</f>
        <v/>
      </c>
      <c r="P730" s="124">
        <f>IF($J730&lt;=0,"DEĞERLENDİR",IF($O730&gt;0,"YENİDEN DEĞERLE","DEĞERLENDİR"))</f>
        <v/>
      </c>
      <c r="Q730" s="124">
        <f>IF($B730="","",CONCATENATE("Kıymet: ",$B730," | Değer Artışı: ",TEXT($J730,"#,##0")))</f>
        <v/>
      </c>
    </row>
    <row r="731" ht="15.75" customHeight="1" s="81">
      <c r="A731" s="129" t="n"/>
      <c r="B731" s="130" t="n"/>
      <c r="C731" s="127" t="n"/>
      <c r="D731" s="127" t="n"/>
      <c r="E731" s="124">
        <f>IF($C731=0,0,$C731-$D731)</f>
        <v/>
      </c>
      <c r="F731" s="128" t="n"/>
      <c r="G731" s="129" t="n"/>
      <c r="H731" s="131" t="n"/>
      <c r="I731" s="124">
        <f>IF($E731=0,0,$E731*$H731)</f>
        <v/>
      </c>
      <c r="J731" s="124">
        <f>IF($I731=0,0,$I731-$E731)</f>
        <v/>
      </c>
      <c r="K731" s="124">
        <f>IF($J731=0,0,$J731*YenidegerFonOran)</f>
        <v/>
      </c>
      <c r="L731" s="124">
        <f>IF($G731=0,0,$J731/$G731)</f>
        <v/>
      </c>
      <c r="M731" s="124">
        <f>IF($L731=0,0,$L731*YenidegerKurumlarVergiOran)</f>
        <v/>
      </c>
      <c r="N731" s="124">
        <f>IFERROR(IF(YenidegerIskontoOrani=0,$M731*$G731,$M731*(1-1/(1+YenidegerIskontoOrani)^$G731)/YenidegerIskontoOrani),0)</f>
        <v/>
      </c>
      <c r="O731" s="124">
        <f>$N731-$K731</f>
        <v/>
      </c>
      <c r="P731" s="124">
        <f>IF($J731&lt;=0,"DEĞERLENDİR",IF($O731&gt;0,"YENİDEN DEĞERLE","DEĞERLENDİR"))</f>
        <v/>
      </c>
      <c r="Q731" s="124">
        <f>IF($B731="","",CONCATENATE("Kıymet: ",$B731," | Değer Artışı: ",TEXT($J731,"#,##0")))</f>
        <v/>
      </c>
    </row>
    <row r="732" ht="15.75" customHeight="1" s="81">
      <c r="A732" s="129" t="n"/>
      <c r="B732" s="130" t="n"/>
      <c r="C732" s="127" t="n"/>
      <c r="D732" s="127" t="n"/>
      <c r="E732" s="124">
        <f>IF($C732=0,0,$C732-$D732)</f>
        <v/>
      </c>
      <c r="F732" s="128" t="n"/>
      <c r="G732" s="129" t="n"/>
      <c r="H732" s="131" t="n"/>
      <c r="I732" s="124">
        <f>IF($E732=0,0,$E732*$H732)</f>
        <v/>
      </c>
      <c r="J732" s="124">
        <f>IF($I732=0,0,$I732-$E732)</f>
        <v/>
      </c>
      <c r="K732" s="124">
        <f>IF($J732=0,0,$J732*YenidegerFonOran)</f>
        <v/>
      </c>
      <c r="L732" s="124">
        <f>IF($G732=0,0,$J732/$G732)</f>
        <v/>
      </c>
      <c r="M732" s="124">
        <f>IF($L732=0,0,$L732*YenidegerKurumlarVergiOran)</f>
        <v/>
      </c>
      <c r="N732" s="124">
        <f>IFERROR(IF(YenidegerIskontoOrani=0,$M732*$G732,$M732*(1-1/(1+YenidegerIskontoOrani)^$G732)/YenidegerIskontoOrani),0)</f>
        <v/>
      </c>
      <c r="O732" s="124">
        <f>$N732-$K732</f>
        <v/>
      </c>
      <c r="P732" s="124">
        <f>IF($J732&lt;=0,"DEĞERLENDİR",IF($O732&gt;0,"YENİDEN DEĞERLE","DEĞERLENDİR"))</f>
        <v/>
      </c>
      <c r="Q732" s="124">
        <f>IF($B732="","",CONCATENATE("Kıymet: ",$B732," | Değer Artışı: ",TEXT($J732,"#,##0")))</f>
        <v/>
      </c>
    </row>
    <row r="733" ht="15.75" customHeight="1" s="81">
      <c r="A733" s="129" t="n"/>
      <c r="B733" s="130" t="n"/>
      <c r="C733" s="127" t="n"/>
      <c r="D733" s="127" t="n"/>
      <c r="E733" s="124">
        <f>IF($C733=0,0,$C733-$D733)</f>
        <v/>
      </c>
      <c r="F733" s="128" t="n"/>
      <c r="G733" s="129" t="n"/>
      <c r="H733" s="131" t="n"/>
      <c r="I733" s="124">
        <f>IF($E733=0,0,$E733*$H733)</f>
        <v/>
      </c>
      <c r="J733" s="124">
        <f>IF($I733=0,0,$I733-$E733)</f>
        <v/>
      </c>
      <c r="K733" s="124">
        <f>IF($J733=0,0,$J733*YenidegerFonOran)</f>
        <v/>
      </c>
      <c r="L733" s="124">
        <f>IF($G733=0,0,$J733/$G733)</f>
        <v/>
      </c>
      <c r="M733" s="124">
        <f>IF($L733=0,0,$L733*YenidegerKurumlarVergiOran)</f>
        <v/>
      </c>
      <c r="N733" s="124">
        <f>IFERROR(IF(YenidegerIskontoOrani=0,$M733*$G733,$M733*(1-1/(1+YenidegerIskontoOrani)^$G733)/YenidegerIskontoOrani),0)</f>
        <v/>
      </c>
      <c r="O733" s="124">
        <f>$N733-$K733</f>
        <v/>
      </c>
      <c r="P733" s="124">
        <f>IF($J733&lt;=0,"DEĞERLENDİR",IF($O733&gt;0,"YENİDEN DEĞERLE","DEĞERLENDİR"))</f>
        <v/>
      </c>
      <c r="Q733" s="124">
        <f>IF($B733="","",CONCATENATE("Kıymet: ",$B733," | Değer Artışı: ",TEXT($J733,"#,##0")))</f>
        <v/>
      </c>
    </row>
    <row r="734" ht="15.75" customHeight="1" s="81">
      <c r="A734" s="129" t="n"/>
      <c r="B734" s="130" t="n"/>
      <c r="C734" s="127" t="n"/>
      <c r="D734" s="127" t="n"/>
      <c r="E734" s="124">
        <f>IF($C734=0,0,$C734-$D734)</f>
        <v/>
      </c>
      <c r="F734" s="128" t="n"/>
      <c r="G734" s="129" t="n"/>
      <c r="H734" s="131" t="n"/>
      <c r="I734" s="124">
        <f>IF($E734=0,0,$E734*$H734)</f>
        <v/>
      </c>
      <c r="J734" s="124">
        <f>IF($I734=0,0,$I734-$E734)</f>
        <v/>
      </c>
      <c r="K734" s="124">
        <f>IF($J734=0,0,$J734*YenidegerFonOran)</f>
        <v/>
      </c>
      <c r="L734" s="124">
        <f>IF($G734=0,0,$J734/$G734)</f>
        <v/>
      </c>
      <c r="M734" s="124">
        <f>IF($L734=0,0,$L734*YenidegerKurumlarVergiOran)</f>
        <v/>
      </c>
      <c r="N734" s="124">
        <f>IFERROR(IF(YenidegerIskontoOrani=0,$M734*$G734,$M734*(1-1/(1+YenidegerIskontoOrani)^$G734)/YenidegerIskontoOrani),0)</f>
        <v/>
      </c>
      <c r="O734" s="124">
        <f>$N734-$K734</f>
        <v/>
      </c>
      <c r="P734" s="124">
        <f>IF($J734&lt;=0,"DEĞERLENDİR",IF($O734&gt;0,"YENİDEN DEĞERLE","DEĞERLENDİR"))</f>
        <v/>
      </c>
      <c r="Q734" s="124">
        <f>IF($B734="","",CONCATENATE("Kıymet: ",$B734," | Değer Artışı: ",TEXT($J734,"#,##0")))</f>
        <v/>
      </c>
    </row>
    <row r="735" ht="15.75" customHeight="1" s="81">
      <c r="A735" s="129" t="n"/>
      <c r="B735" s="130" t="n"/>
      <c r="C735" s="127" t="n"/>
      <c r="D735" s="127" t="n"/>
      <c r="E735" s="124">
        <f>IF($C735=0,0,$C735-$D735)</f>
        <v/>
      </c>
      <c r="F735" s="128" t="n"/>
      <c r="G735" s="129" t="n"/>
      <c r="H735" s="131" t="n"/>
      <c r="I735" s="124">
        <f>IF($E735=0,0,$E735*$H735)</f>
        <v/>
      </c>
      <c r="J735" s="124">
        <f>IF($I735=0,0,$I735-$E735)</f>
        <v/>
      </c>
      <c r="K735" s="124">
        <f>IF($J735=0,0,$J735*YenidegerFonOran)</f>
        <v/>
      </c>
      <c r="L735" s="124">
        <f>IF($G735=0,0,$J735/$G735)</f>
        <v/>
      </c>
      <c r="M735" s="124">
        <f>IF($L735=0,0,$L735*YenidegerKurumlarVergiOran)</f>
        <v/>
      </c>
      <c r="N735" s="124">
        <f>IFERROR(IF(YenidegerIskontoOrani=0,$M735*$G735,$M735*(1-1/(1+YenidegerIskontoOrani)^$G735)/YenidegerIskontoOrani),0)</f>
        <v/>
      </c>
      <c r="O735" s="124">
        <f>$N735-$K735</f>
        <v/>
      </c>
      <c r="P735" s="124">
        <f>IF($J735&lt;=0,"DEĞERLENDİR",IF($O735&gt;0,"YENİDEN DEĞERLE","DEĞERLENDİR"))</f>
        <v/>
      </c>
      <c r="Q735" s="124">
        <f>IF($B735="","",CONCATENATE("Kıymet: ",$B735," | Değer Artışı: ",TEXT($J735,"#,##0")))</f>
        <v/>
      </c>
    </row>
    <row r="736" ht="15.75" customHeight="1" s="81">
      <c r="A736" s="129" t="n"/>
      <c r="B736" s="130" t="n"/>
      <c r="C736" s="127" t="n"/>
      <c r="D736" s="127" t="n"/>
      <c r="E736" s="124">
        <f>IF($C736=0,0,$C736-$D736)</f>
        <v/>
      </c>
      <c r="F736" s="128" t="n"/>
      <c r="G736" s="129" t="n"/>
      <c r="H736" s="131" t="n"/>
      <c r="I736" s="124">
        <f>IF($E736=0,0,$E736*$H736)</f>
        <v/>
      </c>
      <c r="J736" s="124">
        <f>IF($I736=0,0,$I736-$E736)</f>
        <v/>
      </c>
      <c r="K736" s="124">
        <f>IF($J736=0,0,$J736*YenidegerFonOran)</f>
        <v/>
      </c>
      <c r="L736" s="124">
        <f>IF($G736=0,0,$J736/$G736)</f>
        <v/>
      </c>
      <c r="M736" s="124">
        <f>IF($L736=0,0,$L736*YenidegerKurumlarVergiOran)</f>
        <v/>
      </c>
      <c r="N736" s="124">
        <f>IFERROR(IF(YenidegerIskontoOrani=0,$M736*$G736,$M736*(1-1/(1+YenidegerIskontoOrani)^$G736)/YenidegerIskontoOrani),0)</f>
        <v/>
      </c>
      <c r="O736" s="124">
        <f>$N736-$K736</f>
        <v/>
      </c>
      <c r="P736" s="124">
        <f>IF($J736&lt;=0,"DEĞERLENDİR",IF($O736&gt;0,"YENİDEN DEĞERLE","DEĞERLENDİR"))</f>
        <v/>
      </c>
      <c r="Q736" s="124">
        <f>IF($B736="","",CONCATENATE("Kıymet: ",$B736," | Değer Artışı: ",TEXT($J736,"#,##0")))</f>
        <v/>
      </c>
    </row>
    <row r="737" ht="15.75" customHeight="1" s="81">
      <c r="A737" s="129" t="n"/>
      <c r="B737" s="130" t="n"/>
      <c r="C737" s="127" t="n"/>
      <c r="D737" s="127" t="n"/>
      <c r="E737" s="124">
        <f>IF($C737=0,0,$C737-$D737)</f>
        <v/>
      </c>
      <c r="F737" s="128" t="n"/>
      <c r="G737" s="129" t="n"/>
      <c r="H737" s="131" t="n"/>
      <c r="I737" s="124">
        <f>IF($E737=0,0,$E737*$H737)</f>
        <v/>
      </c>
      <c r="J737" s="124">
        <f>IF($I737=0,0,$I737-$E737)</f>
        <v/>
      </c>
      <c r="K737" s="124">
        <f>IF($J737=0,0,$J737*YenidegerFonOran)</f>
        <v/>
      </c>
      <c r="L737" s="124">
        <f>IF($G737=0,0,$J737/$G737)</f>
        <v/>
      </c>
      <c r="M737" s="124">
        <f>IF($L737=0,0,$L737*YenidegerKurumlarVergiOran)</f>
        <v/>
      </c>
      <c r="N737" s="124">
        <f>IFERROR(IF(YenidegerIskontoOrani=0,$M737*$G737,$M737*(1-1/(1+YenidegerIskontoOrani)^$G737)/YenidegerIskontoOrani),0)</f>
        <v/>
      </c>
      <c r="O737" s="124">
        <f>$N737-$K737</f>
        <v/>
      </c>
      <c r="P737" s="124">
        <f>IF($J737&lt;=0,"DEĞERLENDİR",IF($O737&gt;0,"YENİDEN DEĞERLE","DEĞERLENDİR"))</f>
        <v/>
      </c>
      <c r="Q737" s="124">
        <f>IF($B737="","",CONCATENATE("Kıymet: ",$B737," | Değer Artışı: ",TEXT($J737,"#,##0")))</f>
        <v/>
      </c>
    </row>
    <row r="738" ht="15.75" customHeight="1" s="81">
      <c r="A738" s="129" t="n"/>
      <c r="B738" s="130" t="n"/>
      <c r="C738" s="127" t="n"/>
      <c r="D738" s="127" t="n"/>
      <c r="E738" s="124">
        <f>IF($C738=0,0,$C738-$D738)</f>
        <v/>
      </c>
      <c r="F738" s="128" t="n"/>
      <c r="G738" s="129" t="n"/>
      <c r="H738" s="131" t="n"/>
      <c r="I738" s="124">
        <f>IF($E738=0,0,$E738*$H738)</f>
        <v/>
      </c>
      <c r="J738" s="124">
        <f>IF($I738=0,0,$I738-$E738)</f>
        <v/>
      </c>
      <c r="K738" s="124">
        <f>IF($J738=0,0,$J738*YenidegerFonOran)</f>
        <v/>
      </c>
      <c r="L738" s="124">
        <f>IF($G738=0,0,$J738/$G738)</f>
        <v/>
      </c>
      <c r="M738" s="124">
        <f>IF($L738=0,0,$L738*YenidegerKurumlarVergiOran)</f>
        <v/>
      </c>
      <c r="N738" s="124">
        <f>IFERROR(IF(YenidegerIskontoOrani=0,$M738*$G738,$M738*(1-1/(1+YenidegerIskontoOrani)^$G738)/YenidegerIskontoOrani),0)</f>
        <v/>
      </c>
      <c r="O738" s="124">
        <f>$N738-$K738</f>
        <v/>
      </c>
      <c r="P738" s="124">
        <f>IF($J738&lt;=0,"DEĞERLENDİR",IF($O738&gt;0,"YENİDEN DEĞERLE","DEĞERLENDİR"))</f>
        <v/>
      </c>
      <c r="Q738" s="124">
        <f>IF($B738="","",CONCATENATE("Kıymet: ",$B738," | Değer Artışı: ",TEXT($J738,"#,##0")))</f>
        <v/>
      </c>
    </row>
    <row r="739" ht="15.75" customHeight="1" s="81">
      <c r="A739" s="129" t="n"/>
      <c r="B739" s="130" t="n"/>
      <c r="C739" s="127" t="n"/>
      <c r="D739" s="127" t="n"/>
      <c r="E739" s="124">
        <f>IF($C739=0,0,$C739-$D739)</f>
        <v/>
      </c>
      <c r="F739" s="128" t="n"/>
      <c r="G739" s="129" t="n"/>
      <c r="H739" s="131" t="n"/>
      <c r="I739" s="124">
        <f>IF($E739=0,0,$E739*$H739)</f>
        <v/>
      </c>
      <c r="J739" s="124">
        <f>IF($I739=0,0,$I739-$E739)</f>
        <v/>
      </c>
      <c r="K739" s="124">
        <f>IF($J739=0,0,$J739*YenidegerFonOran)</f>
        <v/>
      </c>
      <c r="L739" s="124">
        <f>IF($G739=0,0,$J739/$G739)</f>
        <v/>
      </c>
      <c r="M739" s="124">
        <f>IF($L739=0,0,$L739*YenidegerKurumlarVergiOran)</f>
        <v/>
      </c>
      <c r="N739" s="124">
        <f>IFERROR(IF(YenidegerIskontoOrani=0,$M739*$G739,$M739*(1-1/(1+YenidegerIskontoOrani)^$G739)/YenidegerIskontoOrani),0)</f>
        <v/>
      </c>
      <c r="O739" s="124">
        <f>$N739-$K739</f>
        <v/>
      </c>
      <c r="P739" s="124">
        <f>IF($J739&lt;=0,"DEĞERLENDİR",IF($O739&gt;0,"YENİDEN DEĞERLE","DEĞERLENDİR"))</f>
        <v/>
      </c>
      <c r="Q739" s="124">
        <f>IF($B739="","",CONCATENATE("Kıymet: ",$B739," | Değer Artışı: ",TEXT($J739,"#,##0")))</f>
        <v/>
      </c>
    </row>
    <row r="740" ht="15.75" customHeight="1" s="81">
      <c r="A740" s="129" t="n"/>
      <c r="B740" s="130" t="n"/>
      <c r="C740" s="127" t="n"/>
      <c r="D740" s="127" t="n"/>
      <c r="E740" s="124">
        <f>IF($C740=0,0,$C740-$D740)</f>
        <v/>
      </c>
      <c r="F740" s="128" t="n"/>
      <c r="G740" s="129" t="n"/>
      <c r="H740" s="131" t="n"/>
      <c r="I740" s="124">
        <f>IF($E740=0,0,$E740*$H740)</f>
        <v/>
      </c>
      <c r="J740" s="124">
        <f>IF($I740=0,0,$I740-$E740)</f>
        <v/>
      </c>
      <c r="K740" s="124">
        <f>IF($J740=0,0,$J740*YenidegerFonOran)</f>
        <v/>
      </c>
      <c r="L740" s="124">
        <f>IF($G740=0,0,$J740/$G740)</f>
        <v/>
      </c>
      <c r="M740" s="124">
        <f>IF($L740=0,0,$L740*YenidegerKurumlarVergiOran)</f>
        <v/>
      </c>
      <c r="N740" s="124">
        <f>IFERROR(IF(YenidegerIskontoOrani=0,$M740*$G740,$M740*(1-1/(1+YenidegerIskontoOrani)^$G740)/YenidegerIskontoOrani),0)</f>
        <v/>
      </c>
      <c r="O740" s="124">
        <f>$N740-$K740</f>
        <v/>
      </c>
      <c r="P740" s="124">
        <f>IF($J740&lt;=0,"DEĞERLENDİR",IF($O740&gt;0,"YENİDEN DEĞERLE","DEĞERLENDİR"))</f>
        <v/>
      </c>
      <c r="Q740" s="124">
        <f>IF($B740="","",CONCATENATE("Kıymet: ",$B740," | Değer Artışı: ",TEXT($J740,"#,##0")))</f>
        <v/>
      </c>
    </row>
    <row r="741" ht="15.75" customHeight="1" s="81">
      <c r="A741" s="129" t="n"/>
      <c r="B741" s="130" t="n"/>
      <c r="C741" s="127" t="n"/>
      <c r="D741" s="127" t="n"/>
      <c r="E741" s="124">
        <f>IF($C741=0,0,$C741-$D741)</f>
        <v/>
      </c>
      <c r="F741" s="128" t="n"/>
      <c r="G741" s="129" t="n"/>
      <c r="H741" s="131" t="n"/>
      <c r="I741" s="124">
        <f>IF($E741=0,0,$E741*$H741)</f>
        <v/>
      </c>
      <c r="J741" s="124">
        <f>IF($I741=0,0,$I741-$E741)</f>
        <v/>
      </c>
      <c r="K741" s="124">
        <f>IF($J741=0,0,$J741*YenidegerFonOran)</f>
        <v/>
      </c>
      <c r="L741" s="124">
        <f>IF($G741=0,0,$J741/$G741)</f>
        <v/>
      </c>
      <c r="M741" s="124">
        <f>IF($L741=0,0,$L741*YenidegerKurumlarVergiOran)</f>
        <v/>
      </c>
      <c r="N741" s="124">
        <f>IFERROR(IF(YenidegerIskontoOrani=0,$M741*$G741,$M741*(1-1/(1+YenidegerIskontoOrani)^$G741)/YenidegerIskontoOrani),0)</f>
        <v/>
      </c>
      <c r="O741" s="124">
        <f>$N741-$K741</f>
        <v/>
      </c>
      <c r="P741" s="124">
        <f>IF($J741&lt;=0,"DEĞERLENDİR",IF($O741&gt;0,"YENİDEN DEĞERLE","DEĞERLENDİR"))</f>
        <v/>
      </c>
      <c r="Q741" s="124">
        <f>IF($B741="","",CONCATENATE("Kıymet: ",$B741," | Değer Artışı: ",TEXT($J741,"#,##0")))</f>
        <v/>
      </c>
    </row>
    <row r="742" ht="15.75" customHeight="1" s="81">
      <c r="A742" s="129" t="n"/>
      <c r="B742" s="130" t="n"/>
      <c r="C742" s="127" t="n"/>
      <c r="D742" s="127" t="n"/>
      <c r="E742" s="124">
        <f>IF($C742=0,0,$C742-$D742)</f>
        <v/>
      </c>
      <c r="F742" s="128" t="n"/>
      <c r="G742" s="129" t="n"/>
      <c r="H742" s="131" t="n"/>
      <c r="I742" s="124">
        <f>IF($E742=0,0,$E742*$H742)</f>
        <v/>
      </c>
      <c r="J742" s="124">
        <f>IF($I742=0,0,$I742-$E742)</f>
        <v/>
      </c>
      <c r="K742" s="124">
        <f>IF($J742=0,0,$J742*YenidegerFonOran)</f>
        <v/>
      </c>
      <c r="L742" s="124">
        <f>IF($G742=0,0,$J742/$G742)</f>
        <v/>
      </c>
      <c r="M742" s="124">
        <f>IF($L742=0,0,$L742*YenidegerKurumlarVergiOran)</f>
        <v/>
      </c>
      <c r="N742" s="124">
        <f>IFERROR(IF(YenidegerIskontoOrani=0,$M742*$G742,$M742*(1-1/(1+YenidegerIskontoOrani)^$G742)/YenidegerIskontoOrani),0)</f>
        <v/>
      </c>
      <c r="O742" s="124">
        <f>$N742-$K742</f>
        <v/>
      </c>
      <c r="P742" s="124">
        <f>IF($J742&lt;=0,"DEĞERLENDİR",IF($O742&gt;0,"YENİDEN DEĞERLE","DEĞERLENDİR"))</f>
        <v/>
      </c>
      <c r="Q742" s="124">
        <f>IF($B742="","",CONCATENATE("Kıymet: ",$B742," | Değer Artışı: ",TEXT($J742,"#,##0")))</f>
        <v/>
      </c>
    </row>
    <row r="743" ht="15.75" customHeight="1" s="81">
      <c r="A743" s="129" t="n"/>
      <c r="B743" s="130" t="n"/>
      <c r="C743" s="127" t="n"/>
      <c r="D743" s="127" t="n"/>
      <c r="E743" s="124">
        <f>IF($C743=0,0,$C743-$D743)</f>
        <v/>
      </c>
      <c r="F743" s="128" t="n"/>
      <c r="G743" s="129" t="n"/>
      <c r="H743" s="131" t="n"/>
      <c r="I743" s="124">
        <f>IF($E743=0,0,$E743*$H743)</f>
        <v/>
      </c>
      <c r="J743" s="124">
        <f>IF($I743=0,0,$I743-$E743)</f>
        <v/>
      </c>
      <c r="K743" s="124">
        <f>IF($J743=0,0,$J743*YenidegerFonOran)</f>
        <v/>
      </c>
      <c r="L743" s="124">
        <f>IF($G743=0,0,$J743/$G743)</f>
        <v/>
      </c>
      <c r="M743" s="124">
        <f>IF($L743=0,0,$L743*YenidegerKurumlarVergiOran)</f>
        <v/>
      </c>
      <c r="N743" s="124">
        <f>IFERROR(IF(YenidegerIskontoOrani=0,$M743*$G743,$M743*(1-1/(1+YenidegerIskontoOrani)^$G743)/YenidegerIskontoOrani),0)</f>
        <v/>
      </c>
      <c r="O743" s="124">
        <f>$N743-$K743</f>
        <v/>
      </c>
      <c r="P743" s="124">
        <f>IF($J743&lt;=0,"DEĞERLENDİR",IF($O743&gt;0,"YENİDEN DEĞERLE","DEĞERLENDİR"))</f>
        <v/>
      </c>
      <c r="Q743" s="124">
        <f>IF($B743="","",CONCATENATE("Kıymet: ",$B743," | Değer Artışı: ",TEXT($J743,"#,##0")))</f>
        <v/>
      </c>
    </row>
    <row r="744" ht="15.75" customHeight="1" s="81">
      <c r="A744" s="129" t="n"/>
      <c r="B744" s="130" t="n"/>
      <c r="C744" s="127" t="n"/>
      <c r="D744" s="127" t="n"/>
      <c r="E744" s="124">
        <f>IF($C744=0,0,$C744-$D744)</f>
        <v/>
      </c>
      <c r="F744" s="128" t="n"/>
      <c r="G744" s="129" t="n"/>
      <c r="H744" s="131" t="n"/>
      <c r="I744" s="124">
        <f>IF($E744=0,0,$E744*$H744)</f>
        <v/>
      </c>
      <c r="J744" s="124">
        <f>IF($I744=0,0,$I744-$E744)</f>
        <v/>
      </c>
      <c r="K744" s="124">
        <f>IF($J744=0,0,$J744*YenidegerFonOran)</f>
        <v/>
      </c>
      <c r="L744" s="124">
        <f>IF($G744=0,0,$J744/$G744)</f>
        <v/>
      </c>
      <c r="M744" s="124">
        <f>IF($L744=0,0,$L744*YenidegerKurumlarVergiOran)</f>
        <v/>
      </c>
      <c r="N744" s="124">
        <f>IFERROR(IF(YenidegerIskontoOrani=0,$M744*$G744,$M744*(1-1/(1+YenidegerIskontoOrani)^$G744)/YenidegerIskontoOrani),0)</f>
        <v/>
      </c>
      <c r="O744" s="124">
        <f>$N744-$K744</f>
        <v/>
      </c>
      <c r="P744" s="124">
        <f>IF($J744&lt;=0,"DEĞERLENDİR",IF($O744&gt;0,"YENİDEN DEĞERLE","DEĞERLENDİR"))</f>
        <v/>
      </c>
      <c r="Q744" s="124">
        <f>IF($B744="","",CONCATENATE("Kıymet: ",$B744," | Değer Artışı: ",TEXT($J744,"#,##0")))</f>
        <v/>
      </c>
    </row>
    <row r="745" ht="15.75" customHeight="1" s="81">
      <c r="A745" s="129" t="n"/>
      <c r="B745" s="130" t="n"/>
      <c r="C745" s="127" t="n"/>
      <c r="D745" s="127" t="n"/>
      <c r="E745" s="124">
        <f>IF($C745=0,0,$C745-$D745)</f>
        <v/>
      </c>
      <c r="F745" s="128" t="n"/>
      <c r="G745" s="129" t="n"/>
      <c r="H745" s="131" t="n"/>
      <c r="I745" s="124">
        <f>IF($E745=0,0,$E745*$H745)</f>
        <v/>
      </c>
      <c r="J745" s="124">
        <f>IF($I745=0,0,$I745-$E745)</f>
        <v/>
      </c>
      <c r="K745" s="124">
        <f>IF($J745=0,0,$J745*YenidegerFonOran)</f>
        <v/>
      </c>
      <c r="L745" s="124">
        <f>IF($G745=0,0,$J745/$G745)</f>
        <v/>
      </c>
      <c r="M745" s="124">
        <f>IF($L745=0,0,$L745*YenidegerKurumlarVergiOran)</f>
        <v/>
      </c>
      <c r="N745" s="124">
        <f>IFERROR(IF(YenidegerIskontoOrani=0,$M745*$G745,$M745*(1-1/(1+YenidegerIskontoOrani)^$G745)/YenidegerIskontoOrani),0)</f>
        <v/>
      </c>
      <c r="O745" s="124">
        <f>$N745-$K745</f>
        <v/>
      </c>
      <c r="P745" s="124">
        <f>IF($J745&lt;=0,"DEĞERLENDİR",IF($O745&gt;0,"YENİDEN DEĞERLE","DEĞERLENDİR"))</f>
        <v/>
      </c>
      <c r="Q745" s="124">
        <f>IF($B745="","",CONCATENATE("Kıymet: ",$B745," | Değer Artışı: ",TEXT($J745,"#,##0")))</f>
        <v/>
      </c>
    </row>
    <row r="746" ht="15.75" customHeight="1" s="81">
      <c r="A746" s="129" t="n"/>
      <c r="B746" s="130" t="n"/>
      <c r="C746" s="127" t="n"/>
      <c r="D746" s="127" t="n"/>
      <c r="E746" s="124">
        <f>IF($C746=0,0,$C746-$D746)</f>
        <v/>
      </c>
      <c r="F746" s="128" t="n"/>
      <c r="G746" s="129" t="n"/>
      <c r="H746" s="131" t="n"/>
      <c r="I746" s="124">
        <f>IF($E746=0,0,$E746*$H746)</f>
        <v/>
      </c>
      <c r="J746" s="124">
        <f>IF($I746=0,0,$I746-$E746)</f>
        <v/>
      </c>
      <c r="K746" s="124">
        <f>IF($J746=0,0,$J746*YenidegerFonOran)</f>
        <v/>
      </c>
      <c r="L746" s="124">
        <f>IF($G746=0,0,$J746/$G746)</f>
        <v/>
      </c>
      <c r="M746" s="124">
        <f>IF($L746=0,0,$L746*YenidegerKurumlarVergiOran)</f>
        <v/>
      </c>
      <c r="N746" s="124">
        <f>IFERROR(IF(YenidegerIskontoOrani=0,$M746*$G746,$M746*(1-1/(1+YenidegerIskontoOrani)^$G746)/YenidegerIskontoOrani),0)</f>
        <v/>
      </c>
      <c r="O746" s="124">
        <f>$N746-$K746</f>
        <v/>
      </c>
      <c r="P746" s="124">
        <f>IF($J746&lt;=0,"DEĞERLENDİR",IF($O746&gt;0,"YENİDEN DEĞERLE","DEĞERLENDİR"))</f>
        <v/>
      </c>
      <c r="Q746" s="124">
        <f>IF($B746="","",CONCATENATE("Kıymet: ",$B746," | Değer Artışı: ",TEXT($J746,"#,##0")))</f>
        <v/>
      </c>
    </row>
    <row r="747" ht="15.75" customHeight="1" s="81">
      <c r="A747" s="129" t="n"/>
      <c r="B747" s="130" t="n"/>
      <c r="C747" s="127" t="n"/>
      <c r="D747" s="127" t="n"/>
      <c r="E747" s="124">
        <f>IF($C747=0,0,$C747-$D747)</f>
        <v/>
      </c>
      <c r="F747" s="128" t="n"/>
      <c r="G747" s="129" t="n"/>
      <c r="H747" s="131" t="n"/>
      <c r="I747" s="124">
        <f>IF($E747=0,0,$E747*$H747)</f>
        <v/>
      </c>
      <c r="J747" s="124">
        <f>IF($I747=0,0,$I747-$E747)</f>
        <v/>
      </c>
      <c r="K747" s="124">
        <f>IF($J747=0,0,$J747*YenidegerFonOran)</f>
        <v/>
      </c>
      <c r="L747" s="124">
        <f>IF($G747=0,0,$J747/$G747)</f>
        <v/>
      </c>
      <c r="M747" s="124">
        <f>IF($L747=0,0,$L747*YenidegerKurumlarVergiOran)</f>
        <v/>
      </c>
      <c r="N747" s="124">
        <f>IFERROR(IF(YenidegerIskontoOrani=0,$M747*$G747,$M747*(1-1/(1+YenidegerIskontoOrani)^$G747)/YenidegerIskontoOrani),0)</f>
        <v/>
      </c>
      <c r="O747" s="124">
        <f>$N747-$K747</f>
        <v/>
      </c>
      <c r="P747" s="124">
        <f>IF($J747&lt;=0,"DEĞERLENDİR",IF($O747&gt;0,"YENİDEN DEĞERLE","DEĞERLENDİR"))</f>
        <v/>
      </c>
      <c r="Q747" s="124">
        <f>IF($B747="","",CONCATENATE("Kıymet: ",$B747," | Değer Artışı: ",TEXT($J747,"#,##0")))</f>
        <v/>
      </c>
    </row>
    <row r="748" ht="15.75" customHeight="1" s="81">
      <c r="A748" s="129" t="n"/>
      <c r="B748" s="130" t="n"/>
      <c r="C748" s="127" t="n"/>
      <c r="D748" s="127" t="n"/>
      <c r="E748" s="124">
        <f>IF($C748=0,0,$C748-$D748)</f>
        <v/>
      </c>
      <c r="F748" s="128" t="n"/>
      <c r="G748" s="129" t="n"/>
      <c r="H748" s="131" t="n"/>
      <c r="I748" s="124">
        <f>IF($E748=0,0,$E748*$H748)</f>
        <v/>
      </c>
      <c r="J748" s="124">
        <f>IF($I748=0,0,$I748-$E748)</f>
        <v/>
      </c>
      <c r="K748" s="124">
        <f>IF($J748=0,0,$J748*YenidegerFonOran)</f>
        <v/>
      </c>
      <c r="L748" s="124">
        <f>IF($G748=0,0,$J748/$G748)</f>
        <v/>
      </c>
      <c r="M748" s="124">
        <f>IF($L748=0,0,$L748*YenidegerKurumlarVergiOran)</f>
        <v/>
      </c>
      <c r="N748" s="124">
        <f>IFERROR(IF(YenidegerIskontoOrani=0,$M748*$G748,$M748*(1-1/(1+YenidegerIskontoOrani)^$G748)/YenidegerIskontoOrani),0)</f>
        <v/>
      </c>
      <c r="O748" s="124">
        <f>$N748-$K748</f>
        <v/>
      </c>
      <c r="P748" s="124">
        <f>IF($J748&lt;=0,"DEĞERLENDİR",IF($O748&gt;0,"YENİDEN DEĞERLE","DEĞERLENDİR"))</f>
        <v/>
      </c>
      <c r="Q748" s="124">
        <f>IF($B748="","",CONCATENATE("Kıymet: ",$B748," | Değer Artışı: ",TEXT($J748,"#,##0")))</f>
        <v/>
      </c>
    </row>
    <row r="749" ht="15.75" customHeight="1" s="81">
      <c r="A749" s="129" t="n"/>
      <c r="B749" s="130" t="n"/>
      <c r="C749" s="127" t="n"/>
      <c r="D749" s="127" t="n"/>
      <c r="E749" s="124">
        <f>IF($C749=0,0,$C749-$D749)</f>
        <v/>
      </c>
      <c r="F749" s="128" t="n"/>
      <c r="G749" s="129" t="n"/>
      <c r="H749" s="131" t="n"/>
      <c r="I749" s="124">
        <f>IF($E749=0,0,$E749*$H749)</f>
        <v/>
      </c>
      <c r="J749" s="124">
        <f>IF($I749=0,0,$I749-$E749)</f>
        <v/>
      </c>
      <c r="K749" s="124">
        <f>IF($J749=0,0,$J749*YenidegerFonOran)</f>
        <v/>
      </c>
      <c r="L749" s="124">
        <f>IF($G749=0,0,$J749/$G749)</f>
        <v/>
      </c>
      <c r="M749" s="124">
        <f>IF($L749=0,0,$L749*YenidegerKurumlarVergiOran)</f>
        <v/>
      </c>
      <c r="N749" s="124">
        <f>IFERROR(IF(YenidegerIskontoOrani=0,$M749*$G749,$M749*(1-1/(1+YenidegerIskontoOrani)^$G749)/YenidegerIskontoOrani),0)</f>
        <v/>
      </c>
      <c r="O749" s="124">
        <f>$N749-$K749</f>
        <v/>
      </c>
      <c r="P749" s="124">
        <f>IF($J749&lt;=0,"DEĞERLENDİR",IF($O749&gt;0,"YENİDEN DEĞERLE","DEĞERLENDİR"))</f>
        <v/>
      </c>
      <c r="Q749" s="124">
        <f>IF($B749="","",CONCATENATE("Kıymet: ",$B749," | Değer Artışı: ",TEXT($J749,"#,##0")))</f>
        <v/>
      </c>
    </row>
    <row r="750" ht="15.75" customHeight="1" s="81">
      <c r="A750" s="129" t="n"/>
      <c r="B750" s="130" t="n"/>
      <c r="C750" s="127" t="n"/>
      <c r="D750" s="127" t="n"/>
      <c r="E750" s="124">
        <f>IF($C750=0,0,$C750-$D750)</f>
        <v/>
      </c>
      <c r="F750" s="128" t="n"/>
      <c r="G750" s="129" t="n"/>
      <c r="H750" s="131" t="n"/>
      <c r="I750" s="124">
        <f>IF($E750=0,0,$E750*$H750)</f>
        <v/>
      </c>
      <c r="J750" s="124">
        <f>IF($I750=0,0,$I750-$E750)</f>
        <v/>
      </c>
      <c r="K750" s="124">
        <f>IF($J750=0,0,$J750*YenidegerFonOran)</f>
        <v/>
      </c>
      <c r="L750" s="124">
        <f>IF($G750=0,0,$J750/$G750)</f>
        <v/>
      </c>
      <c r="M750" s="124">
        <f>IF($L750=0,0,$L750*YenidegerKurumlarVergiOran)</f>
        <v/>
      </c>
      <c r="N750" s="124">
        <f>IFERROR(IF(YenidegerIskontoOrani=0,$M750*$G750,$M750*(1-1/(1+YenidegerIskontoOrani)^$G750)/YenidegerIskontoOrani),0)</f>
        <v/>
      </c>
      <c r="O750" s="124">
        <f>$N750-$K750</f>
        <v/>
      </c>
      <c r="P750" s="124">
        <f>IF($J750&lt;=0,"DEĞERLENDİR",IF($O750&gt;0,"YENİDEN DEĞERLE","DEĞERLENDİR"))</f>
        <v/>
      </c>
      <c r="Q750" s="124">
        <f>IF($B750="","",CONCATENATE("Kıymet: ",$B750," | Değer Artışı: ",TEXT($J750,"#,##0")))</f>
        <v/>
      </c>
    </row>
    <row r="751" ht="15.75" customHeight="1" s="81">
      <c r="A751" s="129" t="n"/>
      <c r="B751" s="130" t="n"/>
      <c r="C751" s="127" t="n"/>
      <c r="D751" s="127" t="n"/>
      <c r="E751" s="124">
        <f>IF($C751=0,0,$C751-$D751)</f>
        <v/>
      </c>
      <c r="F751" s="128" t="n"/>
      <c r="G751" s="129" t="n"/>
      <c r="H751" s="131" t="n"/>
      <c r="I751" s="124">
        <f>IF($E751=0,0,$E751*$H751)</f>
        <v/>
      </c>
      <c r="J751" s="124">
        <f>IF($I751=0,0,$I751-$E751)</f>
        <v/>
      </c>
      <c r="K751" s="124">
        <f>IF($J751=0,0,$J751*YenidegerFonOran)</f>
        <v/>
      </c>
      <c r="L751" s="124">
        <f>IF($G751=0,0,$J751/$G751)</f>
        <v/>
      </c>
      <c r="M751" s="124">
        <f>IF($L751=0,0,$L751*YenidegerKurumlarVergiOran)</f>
        <v/>
      </c>
      <c r="N751" s="124">
        <f>IFERROR(IF(YenidegerIskontoOrani=0,$M751*$G751,$M751*(1-1/(1+YenidegerIskontoOrani)^$G751)/YenidegerIskontoOrani),0)</f>
        <v/>
      </c>
      <c r="O751" s="124">
        <f>$N751-$K751</f>
        <v/>
      </c>
      <c r="P751" s="124">
        <f>IF($J751&lt;=0,"DEĞERLENDİR",IF($O751&gt;0,"YENİDEN DEĞERLE","DEĞERLENDİR"))</f>
        <v/>
      </c>
      <c r="Q751" s="124">
        <f>IF($B751="","",CONCATENATE("Kıymet: ",$B751," | Değer Artışı: ",TEXT($J751,"#,##0")))</f>
        <v/>
      </c>
    </row>
    <row r="752" ht="15.75" customHeight="1" s="81">
      <c r="A752" s="129" t="n"/>
      <c r="B752" s="130" t="n"/>
      <c r="C752" s="127" t="n"/>
      <c r="D752" s="127" t="n"/>
      <c r="E752" s="124">
        <f>IF($C752=0,0,$C752-$D752)</f>
        <v/>
      </c>
      <c r="F752" s="128" t="n"/>
      <c r="G752" s="129" t="n"/>
      <c r="H752" s="131" t="n"/>
      <c r="I752" s="124">
        <f>IF($E752=0,0,$E752*$H752)</f>
        <v/>
      </c>
      <c r="J752" s="124">
        <f>IF($I752=0,0,$I752-$E752)</f>
        <v/>
      </c>
      <c r="K752" s="124">
        <f>IF($J752=0,0,$J752*YenidegerFonOran)</f>
        <v/>
      </c>
      <c r="L752" s="124">
        <f>IF($G752=0,0,$J752/$G752)</f>
        <v/>
      </c>
      <c r="M752" s="124">
        <f>IF($L752=0,0,$L752*YenidegerKurumlarVergiOran)</f>
        <v/>
      </c>
      <c r="N752" s="124">
        <f>IFERROR(IF(YenidegerIskontoOrani=0,$M752*$G752,$M752*(1-1/(1+YenidegerIskontoOrani)^$G752)/YenidegerIskontoOrani),0)</f>
        <v/>
      </c>
      <c r="O752" s="124">
        <f>$N752-$K752</f>
        <v/>
      </c>
      <c r="P752" s="124">
        <f>IF($J752&lt;=0,"DEĞERLENDİR",IF($O752&gt;0,"YENİDEN DEĞERLE","DEĞERLENDİR"))</f>
        <v/>
      </c>
      <c r="Q752" s="124">
        <f>IF($B752="","",CONCATENATE("Kıymet: ",$B752," | Değer Artışı: ",TEXT($J752,"#,##0")))</f>
        <v/>
      </c>
    </row>
    <row r="753" ht="15.75" customHeight="1" s="81">
      <c r="A753" s="129" t="n"/>
      <c r="B753" s="130" t="n"/>
      <c r="C753" s="127" t="n"/>
      <c r="D753" s="127" t="n"/>
      <c r="E753" s="124">
        <f>IF($C753=0,0,$C753-$D753)</f>
        <v/>
      </c>
      <c r="F753" s="128" t="n"/>
      <c r="G753" s="129" t="n"/>
      <c r="H753" s="131" t="n"/>
      <c r="I753" s="124">
        <f>IF($E753=0,0,$E753*$H753)</f>
        <v/>
      </c>
      <c r="J753" s="124">
        <f>IF($I753=0,0,$I753-$E753)</f>
        <v/>
      </c>
      <c r="K753" s="124">
        <f>IF($J753=0,0,$J753*YenidegerFonOran)</f>
        <v/>
      </c>
      <c r="L753" s="124">
        <f>IF($G753=0,0,$J753/$G753)</f>
        <v/>
      </c>
      <c r="M753" s="124">
        <f>IF($L753=0,0,$L753*YenidegerKurumlarVergiOran)</f>
        <v/>
      </c>
      <c r="N753" s="124">
        <f>IFERROR(IF(YenidegerIskontoOrani=0,$M753*$G753,$M753*(1-1/(1+YenidegerIskontoOrani)^$G753)/YenidegerIskontoOrani),0)</f>
        <v/>
      </c>
      <c r="O753" s="124">
        <f>$N753-$K753</f>
        <v/>
      </c>
      <c r="P753" s="124">
        <f>IF($J753&lt;=0,"DEĞERLENDİR",IF($O753&gt;0,"YENİDEN DEĞERLE","DEĞERLENDİR"))</f>
        <v/>
      </c>
      <c r="Q753" s="124">
        <f>IF($B753="","",CONCATENATE("Kıymet: ",$B753," | Değer Artışı: ",TEXT($J753,"#,##0")))</f>
        <v/>
      </c>
    </row>
    <row r="754" ht="15.75" customHeight="1" s="81">
      <c r="A754" s="129" t="n"/>
      <c r="B754" s="130" t="n"/>
      <c r="C754" s="127" t="n"/>
      <c r="D754" s="127" t="n"/>
      <c r="E754" s="124">
        <f>IF($C754=0,0,$C754-$D754)</f>
        <v/>
      </c>
      <c r="F754" s="128" t="n"/>
      <c r="G754" s="129" t="n"/>
      <c r="H754" s="131" t="n"/>
      <c r="I754" s="124">
        <f>IF($E754=0,0,$E754*$H754)</f>
        <v/>
      </c>
      <c r="J754" s="124">
        <f>IF($I754=0,0,$I754-$E754)</f>
        <v/>
      </c>
      <c r="K754" s="124">
        <f>IF($J754=0,0,$J754*YenidegerFonOran)</f>
        <v/>
      </c>
      <c r="L754" s="124">
        <f>IF($G754=0,0,$J754/$G754)</f>
        <v/>
      </c>
      <c r="M754" s="124">
        <f>IF($L754=0,0,$L754*YenidegerKurumlarVergiOran)</f>
        <v/>
      </c>
      <c r="N754" s="124">
        <f>IFERROR(IF(YenidegerIskontoOrani=0,$M754*$G754,$M754*(1-1/(1+YenidegerIskontoOrani)^$G754)/YenidegerIskontoOrani),0)</f>
        <v/>
      </c>
      <c r="O754" s="124">
        <f>$N754-$K754</f>
        <v/>
      </c>
      <c r="P754" s="124">
        <f>IF($J754&lt;=0,"DEĞERLENDİR",IF($O754&gt;0,"YENİDEN DEĞERLE","DEĞERLENDİR"))</f>
        <v/>
      </c>
      <c r="Q754" s="124">
        <f>IF($B754="","",CONCATENATE("Kıymet: ",$B754," | Değer Artışı: ",TEXT($J754,"#,##0")))</f>
        <v/>
      </c>
    </row>
    <row r="755" ht="15.75" customHeight="1" s="81">
      <c r="A755" s="129" t="n"/>
      <c r="B755" s="130" t="n"/>
      <c r="C755" s="127" t="n"/>
      <c r="D755" s="127" t="n"/>
      <c r="E755" s="124">
        <f>IF($C755=0,0,$C755-$D755)</f>
        <v/>
      </c>
      <c r="F755" s="128" t="n"/>
      <c r="G755" s="129" t="n"/>
      <c r="H755" s="131" t="n"/>
      <c r="I755" s="124">
        <f>IF($E755=0,0,$E755*$H755)</f>
        <v/>
      </c>
      <c r="J755" s="124">
        <f>IF($I755=0,0,$I755-$E755)</f>
        <v/>
      </c>
      <c r="K755" s="124">
        <f>IF($J755=0,0,$J755*YenidegerFonOran)</f>
        <v/>
      </c>
      <c r="L755" s="124">
        <f>IF($G755=0,0,$J755/$G755)</f>
        <v/>
      </c>
      <c r="M755" s="124">
        <f>IF($L755=0,0,$L755*YenidegerKurumlarVergiOran)</f>
        <v/>
      </c>
      <c r="N755" s="124">
        <f>IFERROR(IF(YenidegerIskontoOrani=0,$M755*$G755,$M755*(1-1/(1+YenidegerIskontoOrani)^$G755)/YenidegerIskontoOrani),0)</f>
        <v/>
      </c>
      <c r="O755" s="124">
        <f>$N755-$K755</f>
        <v/>
      </c>
      <c r="P755" s="124">
        <f>IF($J755&lt;=0,"DEĞERLENDİR",IF($O755&gt;0,"YENİDEN DEĞERLE","DEĞERLENDİR"))</f>
        <v/>
      </c>
      <c r="Q755" s="124">
        <f>IF($B755="","",CONCATENATE("Kıymet: ",$B755," | Değer Artışı: ",TEXT($J755,"#,##0")))</f>
        <v/>
      </c>
    </row>
    <row r="756" ht="15.75" customHeight="1" s="81">
      <c r="A756" s="129" t="n"/>
      <c r="B756" s="130" t="n"/>
      <c r="C756" s="127" t="n"/>
      <c r="D756" s="127" t="n"/>
      <c r="E756" s="124">
        <f>IF($C756=0,0,$C756-$D756)</f>
        <v/>
      </c>
      <c r="F756" s="128" t="n"/>
      <c r="G756" s="129" t="n"/>
      <c r="H756" s="131" t="n"/>
      <c r="I756" s="124">
        <f>IF($E756=0,0,$E756*$H756)</f>
        <v/>
      </c>
      <c r="J756" s="124">
        <f>IF($I756=0,0,$I756-$E756)</f>
        <v/>
      </c>
      <c r="K756" s="124">
        <f>IF($J756=0,0,$J756*YenidegerFonOran)</f>
        <v/>
      </c>
      <c r="L756" s="124">
        <f>IF($G756=0,0,$J756/$G756)</f>
        <v/>
      </c>
      <c r="M756" s="124">
        <f>IF($L756=0,0,$L756*YenidegerKurumlarVergiOran)</f>
        <v/>
      </c>
      <c r="N756" s="124">
        <f>IFERROR(IF(YenidegerIskontoOrani=0,$M756*$G756,$M756*(1-1/(1+YenidegerIskontoOrani)^$G756)/YenidegerIskontoOrani),0)</f>
        <v/>
      </c>
      <c r="O756" s="124">
        <f>$N756-$K756</f>
        <v/>
      </c>
      <c r="P756" s="124">
        <f>IF($J756&lt;=0,"DEĞERLENDİR",IF($O756&gt;0,"YENİDEN DEĞERLE","DEĞERLENDİR"))</f>
        <v/>
      </c>
      <c r="Q756" s="124">
        <f>IF($B756="","",CONCATENATE("Kıymet: ",$B756," | Değer Artışı: ",TEXT($J756,"#,##0")))</f>
        <v/>
      </c>
    </row>
    <row r="757" ht="15.75" customHeight="1" s="81">
      <c r="A757" s="129" t="n"/>
      <c r="B757" s="130" t="n"/>
      <c r="C757" s="127" t="n"/>
      <c r="D757" s="127" t="n"/>
      <c r="E757" s="124">
        <f>IF($C757=0,0,$C757-$D757)</f>
        <v/>
      </c>
      <c r="F757" s="128" t="n"/>
      <c r="G757" s="129" t="n"/>
      <c r="H757" s="131" t="n"/>
      <c r="I757" s="124">
        <f>IF($E757=0,0,$E757*$H757)</f>
        <v/>
      </c>
      <c r="J757" s="124">
        <f>IF($I757=0,0,$I757-$E757)</f>
        <v/>
      </c>
      <c r="K757" s="124">
        <f>IF($J757=0,0,$J757*YenidegerFonOran)</f>
        <v/>
      </c>
      <c r="L757" s="124">
        <f>IF($G757=0,0,$J757/$G757)</f>
        <v/>
      </c>
      <c r="M757" s="124">
        <f>IF($L757=0,0,$L757*YenidegerKurumlarVergiOran)</f>
        <v/>
      </c>
      <c r="N757" s="124">
        <f>IFERROR(IF(YenidegerIskontoOrani=0,$M757*$G757,$M757*(1-1/(1+YenidegerIskontoOrani)^$G757)/YenidegerIskontoOrani),0)</f>
        <v/>
      </c>
      <c r="O757" s="124">
        <f>$N757-$K757</f>
        <v/>
      </c>
      <c r="P757" s="124">
        <f>IF($J757&lt;=0,"DEĞERLENDİR",IF($O757&gt;0,"YENİDEN DEĞERLE","DEĞERLENDİR"))</f>
        <v/>
      </c>
      <c r="Q757" s="124">
        <f>IF($B757="","",CONCATENATE("Kıymet: ",$B757," | Değer Artışı: ",TEXT($J757,"#,##0")))</f>
        <v/>
      </c>
    </row>
    <row r="758" ht="15.75" customHeight="1" s="81">
      <c r="A758" s="129" t="n"/>
      <c r="B758" s="130" t="n"/>
      <c r="C758" s="127" t="n"/>
      <c r="D758" s="127" t="n"/>
      <c r="E758" s="124">
        <f>IF($C758=0,0,$C758-$D758)</f>
        <v/>
      </c>
      <c r="F758" s="128" t="n"/>
      <c r="G758" s="129" t="n"/>
      <c r="H758" s="131" t="n"/>
      <c r="I758" s="124">
        <f>IF($E758=0,0,$E758*$H758)</f>
        <v/>
      </c>
      <c r="J758" s="124">
        <f>IF($I758=0,0,$I758-$E758)</f>
        <v/>
      </c>
      <c r="K758" s="124">
        <f>IF($J758=0,0,$J758*YenidegerFonOran)</f>
        <v/>
      </c>
      <c r="L758" s="124">
        <f>IF($G758=0,0,$J758/$G758)</f>
        <v/>
      </c>
      <c r="M758" s="124">
        <f>IF($L758=0,0,$L758*YenidegerKurumlarVergiOran)</f>
        <v/>
      </c>
      <c r="N758" s="124">
        <f>IFERROR(IF(YenidegerIskontoOrani=0,$M758*$G758,$M758*(1-1/(1+YenidegerIskontoOrani)^$G758)/YenidegerIskontoOrani),0)</f>
        <v/>
      </c>
      <c r="O758" s="124">
        <f>$N758-$K758</f>
        <v/>
      </c>
      <c r="P758" s="124">
        <f>IF($J758&lt;=0,"DEĞERLENDİR",IF($O758&gt;0,"YENİDEN DEĞERLE","DEĞERLENDİR"))</f>
        <v/>
      </c>
      <c r="Q758" s="124">
        <f>IF($B758="","",CONCATENATE("Kıymet: ",$B758," | Değer Artışı: ",TEXT($J758,"#,##0")))</f>
        <v/>
      </c>
    </row>
    <row r="759" ht="15.75" customHeight="1" s="81">
      <c r="A759" s="129" t="n"/>
      <c r="B759" s="130" t="n"/>
      <c r="C759" s="127" t="n"/>
      <c r="D759" s="127" t="n"/>
      <c r="E759" s="124">
        <f>IF($C759=0,0,$C759-$D759)</f>
        <v/>
      </c>
      <c r="F759" s="128" t="n"/>
      <c r="G759" s="129" t="n"/>
      <c r="H759" s="131" t="n"/>
      <c r="I759" s="124">
        <f>IF($E759=0,0,$E759*$H759)</f>
        <v/>
      </c>
      <c r="J759" s="124">
        <f>IF($I759=0,0,$I759-$E759)</f>
        <v/>
      </c>
      <c r="K759" s="124">
        <f>IF($J759=0,0,$J759*YenidegerFonOran)</f>
        <v/>
      </c>
      <c r="L759" s="124">
        <f>IF($G759=0,0,$J759/$G759)</f>
        <v/>
      </c>
      <c r="M759" s="124">
        <f>IF($L759=0,0,$L759*YenidegerKurumlarVergiOran)</f>
        <v/>
      </c>
      <c r="N759" s="124">
        <f>IFERROR(IF(YenidegerIskontoOrani=0,$M759*$G759,$M759*(1-1/(1+YenidegerIskontoOrani)^$G759)/YenidegerIskontoOrani),0)</f>
        <v/>
      </c>
      <c r="O759" s="124">
        <f>$N759-$K759</f>
        <v/>
      </c>
      <c r="P759" s="124">
        <f>IF($J759&lt;=0,"DEĞERLENDİR",IF($O759&gt;0,"YENİDEN DEĞERLE","DEĞERLENDİR"))</f>
        <v/>
      </c>
      <c r="Q759" s="124">
        <f>IF($B759="","",CONCATENATE("Kıymet: ",$B759," | Değer Artışı: ",TEXT($J759,"#,##0")))</f>
        <v/>
      </c>
    </row>
    <row r="760" ht="15.75" customHeight="1" s="81">
      <c r="A760" s="129" t="n"/>
      <c r="B760" s="130" t="n"/>
      <c r="C760" s="127" t="n"/>
      <c r="D760" s="127" t="n"/>
      <c r="E760" s="124">
        <f>IF($C760=0,0,$C760-$D760)</f>
        <v/>
      </c>
      <c r="F760" s="128" t="n"/>
      <c r="G760" s="129" t="n"/>
      <c r="H760" s="131" t="n"/>
      <c r="I760" s="124">
        <f>IF($E760=0,0,$E760*$H760)</f>
        <v/>
      </c>
      <c r="J760" s="124">
        <f>IF($I760=0,0,$I760-$E760)</f>
        <v/>
      </c>
      <c r="K760" s="124">
        <f>IF($J760=0,0,$J760*YenidegerFonOran)</f>
        <v/>
      </c>
      <c r="L760" s="124">
        <f>IF($G760=0,0,$J760/$G760)</f>
        <v/>
      </c>
      <c r="M760" s="124">
        <f>IF($L760=0,0,$L760*YenidegerKurumlarVergiOran)</f>
        <v/>
      </c>
      <c r="N760" s="124">
        <f>IFERROR(IF(YenidegerIskontoOrani=0,$M760*$G760,$M760*(1-1/(1+YenidegerIskontoOrani)^$G760)/YenidegerIskontoOrani),0)</f>
        <v/>
      </c>
      <c r="O760" s="124">
        <f>$N760-$K760</f>
        <v/>
      </c>
      <c r="P760" s="124">
        <f>IF($J760&lt;=0,"DEĞERLENDİR",IF($O760&gt;0,"YENİDEN DEĞERLE","DEĞERLENDİR"))</f>
        <v/>
      </c>
      <c r="Q760" s="124">
        <f>IF($B760="","",CONCATENATE("Kıymet: ",$B760," | Değer Artışı: ",TEXT($J760,"#,##0")))</f>
        <v/>
      </c>
    </row>
    <row r="761" ht="15.75" customHeight="1" s="81">
      <c r="A761" s="129" t="n"/>
      <c r="B761" s="130" t="n"/>
      <c r="C761" s="127" t="n"/>
      <c r="D761" s="127" t="n"/>
      <c r="E761" s="124">
        <f>IF($C761=0,0,$C761-$D761)</f>
        <v/>
      </c>
      <c r="F761" s="128" t="n"/>
      <c r="G761" s="129" t="n"/>
      <c r="H761" s="131" t="n"/>
      <c r="I761" s="124">
        <f>IF($E761=0,0,$E761*$H761)</f>
        <v/>
      </c>
      <c r="J761" s="124">
        <f>IF($I761=0,0,$I761-$E761)</f>
        <v/>
      </c>
      <c r="K761" s="124">
        <f>IF($J761=0,0,$J761*YenidegerFonOran)</f>
        <v/>
      </c>
      <c r="L761" s="124">
        <f>IF($G761=0,0,$J761/$G761)</f>
        <v/>
      </c>
      <c r="M761" s="124">
        <f>IF($L761=0,0,$L761*YenidegerKurumlarVergiOran)</f>
        <v/>
      </c>
      <c r="N761" s="124">
        <f>IFERROR(IF(YenidegerIskontoOrani=0,$M761*$G761,$M761*(1-1/(1+YenidegerIskontoOrani)^$G761)/YenidegerIskontoOrani),0)</f>
        <v/>
      </c>
      <c r="O761" s="124">
        <f>$N761-$K761</f>
        <v/>
      </c>
      <c r="P761" s="124">
        <f>IF($J761&lt;=0,"DEĞERLENDİR",IF($O761&gt;0,"YENİDEN DEĞERLE","DEĞERLENDİR"))</f>
        <v/>
      </c>
      <c r="Q761" s="124">
        <f>IF($B761="","",CONCATENATE("Kıymet: ",$B761," | Değer Artışı: ",TEXT($J761,"#,##0")))</f>
        <v/>
      </c>
    </row>
    <row r="762" ht="15.75" customHeight="1" s="81">
      <c r="A762" s="129" t="n"/>
      <c r="B762" s="130" t="n"/>
      <c r="C762" s="127" t="n"/>
      <c r="D762" s="127" t="n"/>
      <c r="E762" s="124">
        <f>IF($C762=0,0,$C762-$D762)</f>
        <v/>
      </c>
      <c r="F762" s="128" t="n"/>
      <c r="G762" s="129" t="n"/>
      <c r="H762" s="131" t="n"/>
      <c r="I762" s="124">
        <f>IF($E762=0,0,$E762*$H762)</f>
        <v/>
      </c>
      <c r="J762" s="124">
        <f>IF($I762=0,0,$I762-$E762)</f>
        <v/>
      </c>
      <c r="K762" s="124">
        <f>IF($J762=0,0,$J762*YenidegerFonOran)</f>
        <v/>
      </c>
      <c r="L762" s="124">
        <f>IF($G762=0,0,$J762/$G762)</f>
        <v/>
      </c>
      <c r="M762" s="124">
        <f>IF($L762=0,0,$L762*YenidegerKurumlarVergiOran)</f>
        <v/>
      </c>
      <c r="N762" s="124">
        <f>IFERROR(IF(YenidegerIskontoOrani=0,$M762*$G762,$M762*(1-1/(1+YenidegerIskontoOrani)^$G762)/YenidegerIskontoOrani),0)</f>
        <v/>
      </c>
      <c r="O762" s="124">
        <f>$N762-$K762</f>
        <v/>
      </c>
      <c r="P762" s="124">
        <f>IF($J762&lt;=0,"DEĞERLENDİR",IF($O762&gt;0,"YENİDEN DEĞERLE","DEĞERLENDİR"))</f>
        <v/>
      </c>
      <c r="Q762" s="124">
        <f>IF($B762="","",CONCATENATE("Kıymet: ",$B762," | Değer Artışı: ",TEXT($J762,"#,##0")))</f>
        <v/>
      </c>
    </row>
    <row r="763" ht="15.75" customHeight="1" s="81">
      <c r="A763" s="129" t="n"/>
      <c r="B763" s="130" t="n"/>
      <c r="C763" s="127" t="n"/>
      <c r="D763" s="127" t="n"/>
      <c r="E763" s="124">
        <f>IF($C763=0,0,$C763-$D763)</f>
        <v/>
      </c>
      <c r="F763" s="128" t="n"/>
      <c r="G763" s="129" t="n"/>
      <c r="H763" s="131" t="n"/>
      <c r="I763" s="124">
        <f>IF($E763=0,0,$E763*$H763)</f>
        <v/>
      </c>
      <c r="J763" s="124">
        <f>IF($I763=0,0,$I763-$E763)</f>
        <v/>
      </c>
      <c r="K763" s="124">
        <f>IF($J763=0,0,$J763*YenidegerFonOran)</f>
        <v/>
      </c>
      <c r="L763" s="124">
        <f>IF($G763=0,0,$J763/$G763)</f>
        <v/>
      </c>
      <c r="M763" s="124">
        <f>IF($L763=0,0,$L763*YenidegerKurumlarVergiOran)</f>
        <v/>
      </c>
      <c r="N763" s="124">
        <f>IFERROR(IF(YenidegerIskontoOrani=0,$M763*$G763,$M763*(1-1/(1+YenidegerIskontoOrani)^$G763)/YenidegerIskontoOrani),0)</f>
        <v/>
      </c>
      <c r="O763" s="124">
        <f>$N763-$K763</f>
        <v/>
      </c>
      <c r="P763" s="124">
        <f>IF($J763&lt;=0,"DEĞERLENDİR",IF($O763&gt;0,"YENİDEN DEĞERLE","DEĞERLENDİR"))</f>
        <v/>
      </c>
      <c r="Q763" s="124">
        <f>IF($B763="","",CONCATENATE("Kıymet: ",$B763," | Değer Artışı: ",TEXT($J763,"#,##0")))</f>
        <v/>
      </c>
    </row>
    <row r="764" ht="15.75" customHeight="1" s="81">
      <c r="A764" s="129" t="n"/>
      <c r="B764" s="130" t="n"/>
      <c r="C764" s="127" t="n"/>
      <c r="D764" s="127" t="n"/>
      <c r="E764" s="124">
        <f>IF($C764=0,0,$C764-$D764)</f>
        <v/>
      </c>
      <c r="F764" s="128" t="n"/>
      <c r="G764" s="129" t="n"/>
      <c r="H764" s="131" t="n"/>
      <c r="I764" s="124">
        <f>IF($E764=0,0,$E764*$H764)</f>
        <v/>
      </c>
      <c r="J764" s="124">
        <f>IF($I764=0,0,$I764-$E764)</f>
        <v/>
      </c>
      <c r="K764" s="124">
        <f>IF($J764=0,0,$J764*YenidegerFonOran)</f>
        <v/>
      </c>
      <c r="L764" s="124">
        <f>IF($G764=0,0,$J764/$G764)</f>
        <v/>
      </c>
      <c r="M764" s="124">
        <f>IF($L764=0,0,$L764*YenidegerKurumlarVergiOran)</f>
        <v/>
      </c>
      <c r="N764" s="124">
        <f>IFERROR(IF(YenidegerIskontoOrani=0,$M764*$G764,$M764*(1-1/(1+YenidegerIskontoOrani)^$G764)/YenidegerIskontoOrani),0)</f>
        <v/>
      </c>
      <c r="O764" s="124">
        <f>$N764-$K764</f>
        <v/>
      </c>
      <c r="P764" s="124">
        <f>IF($J764&lt;=0,"DEĞERLENDİR",IF($O764&gt;0,"YENİDEN DEĞERLE","DEĞERLENDİR"))</f>
        <v/>
      </c>
      <c r="Q764" s="124">
        <f>IF($B764="","",CONCATENATE("Kıymet: ",$B764," | Değer Artışı: ",TEXT($J764,"#,##0")))</f>
        <v/>
      </c>
    </row>
    <row r="765" ht="15.75" customHeight="1" s="81">
      <c r="A765" s="129" t="n"/>
      <c r="B765" s="130" t="n"/>
      <c r="C765" s="127" t="n"/>
      <c r="D765" s="127" t="n"/>
      <c r="E765" s="124">
        <f>IF($C765=0,0,$C765-$D765)</f>
        <v/>
      </c>
      <c r="F765" s="128" t="n"/>
      <c r="G765" s="129" t="n"/>
      <c r="H765" s="131" t="n"/>
      <c r="I765" s="124">
        <f>IF($E765=0,0,$E765*$H765)</f>
        <v/>
      </c>
      <c r="J765" s="124">
        <f>IF($I765=0,0,$I765-$E765)</f>
        <v/>
      </c>
      <c r="K765" s="124">
        <f>IF($J765=0,0,$J765*YenidegerFonOran)</f>
        <v/>
      </c>
      <c r="L765" s="124">
        <f>IF($G765=0,0,$J765/$G765)</f>
        <v/>
      </c>
      <c r="M765" s="124">
        <f>IF($L765=0,0,$L765*YenidegerKurumlarVergiOran)</f>
        <v/>
      </c>
      <c r="N765" s="124">
        <f>IFERROR(IF(YenidegerIskontoOrani=0,$M765*$G765,$M765*(1-1/(1+YenidegerIskontoOrani)^$G765)/YenidegerIskontoOrani),0)</f>
        <v/>
      </c>
      <c r="O765" s="124">
        <f>$N765-$K765</f>
        <v/>
      </c>
      <c r="P765" s="124">
        <f>IF($J765&lt;=0,"DEĞERLENDİR",IF($O765&gt;0,"YENİDEN DEĞERLE","DEĞERLENDİR"))</f>
        <v/>
      </c>
      <c r="Q765" s="124">
        <f>IF($B765="","",CONCATENATE("Kıymet: ",$B765," | Değer Artışı: ",TEXT($J765,"#,##0")))</f>
        <v/>
      </c>
    </row>
    <row r="766" ht="15.75" customHeight="1" s="81">
      <c r="A766" s="129" t="n"/>
      <c r="B766" s="130" t="n"/>
      <c r="C766" s="127" t="n"/>
      <c r="D766" s="127" t="n"/>
      <c r="E766" s="124">
        <f>IF($C766=0,0,$C766-$D766)</f>
        <v/>
      </c>
      <c r="F766" s="128" t="n"/>
      <c r="G766" s="129" t="n"/>
      <c r="H766" s="131" t="n"/>
      <c r="I766" s="124">
        <f>IF($E766=0,0,$E766*$H766)</f>
        <v/>
      </c>
      <c r="J766" s="124">
        <f>IF($I766=0,0,$I766-$E766)</f>
        <v/>
      </c>
      <c r="K766" s="124">
        <f>IF($J766=0,0,$J766*YenidegerFonOran)</f>
        <v/>
      </c>
      <c r="L766" s="124">
        <f>IF($G766=0,0,$J766/$G766)</f>
        <v/>
      </c>
      <c r="M766" s="124">
        <f>IF($L766=0,0,$L766*YenidegerKurumlarVergiOran)</f>
        <v/>
      </c>
      <c r="N766" s="124">
        <f>IFERROR(IF(YenidegerIskontoOrani=0,$M766*$G766,$M766*(1-1/(1+YenidegerIskontoOrani)^$G766)/YenidegerIskontoOrani),0)</f>
        <v/>
      </c>
      <c r="O766" s="124">
        <f>$N766-$K766</f>
        <v/>
      </c>
      <c r="P766" s="124">
        <f>IF($J766&lt;=0,"DEĞERLENDİR",IF($O766&gt;0,"YENİDEN DEĞERLE","DEĞERLENDİR"))</f>
        <v/>
      </c>
      <c r="Q766" s="124">
        <f>IF($B766="","",CONCATENATE("Kıymet: ",$B766," | Değer Artışı: ",TEXT($J766,"#,##0")))</f>
        <v/>
      </c>
    </row>
    <row r="767" ht="15.75" customHeight="1" s="81">
      <c r="A767" s="129" t="n"/>
      <c r="B767" s="130" t="n"/>
      <c r="C767" s="127" t="n"/>
      <c r="D767" s="127" t="n"/>
      <c r="E767" s="124">
        <f>IF($C767=0,0,$C767-$D767)</f>
        <v/>
      </c>
      <c r="F767" s="128" t="n"/>
      <c r="G767" s="129" t="n"/>
      <c r="H767" s="131" t="n"/>
      <c r="I767" s="124">
        <f>IF($E767=0,0,$E767*$H767)</f>
        <v/>
      </c>
      <c r="J767" s="124">
        <f>IF($I767=0,0,$I767-$E767)</f>
        <v/>
      </c>
      <c r="K767" s="124">
        <f>IF($J767=0,0,$J767*YenidegerFonOran)</f>
        <v/>
      </c>
      <c r="L767" s="124">
        <f>IF($G767=0,0,$J767/$G767)</f>
        <v/>
      </c>
      <c r="M767" s="124">
        <f>IF($L767=0,0,$L767*YenidegerKurumlarVergiOran)</f>
        <v/>
      </c>
      <c r="N767" s="124">
        <f>IFERROR(IF(YenidegerIskontoOrani=0,$M767*$G767,$M767*(1-1/(1+YenidegerIskontoOrani)^$G767)/YenidegerIskontoOrani),0)</f>
        <v/>
      </c>
      <c r="O767" s="124">
        <f>$N767-$K767</f>
        <v/>
      </c>
      <c r="P767" s="124">
        <f>IF($J767&lt;=0,"DEĞERLENDİR",IF($O767&gt;0,"YENİDEN DEĞERLE","DEĞERLENDİR"))</f>
        <v/>
      </c>
      <c r="Q767" s="124">
        <f>IF($B767="","",CONCATENATE("Kıymet: ",$B767," | Değer Artışı: ",TEXT($J767,"#,##0")))</f>
        <v/>
      </c>
    </row>
    <row r="768" ht="15.75" customHeight="1" s="81">
      <c r="A768" s="129" t="n"/>
      <c r="B768" s="130" t="n"/>
      <c r="C768" s="127" t="n"/>
      <c r="D768" s="127" t="n"/>
      <c r="E768" s="124">
        <f>IF($C768=0,0,$C768-$D768)</f>
        <v/>
      </c>
      <c r="F768" s="128" t="n"/>
      <c r="G768" s="129" t="n"/>
      <c r="H768" s="131" t="n"/>
      <c r="I768" s="124">
        <f>IF($E768=0,0,$E768*$H768)</f>
        <v/>
      </c>
      <c r="J768" s="124">
        <f>IF($I768=0,0,$I768-$E768)</f>
        <v/>
      </c>
      <c r="K768" s="124">
        <f>IF($J768=0,0,$J768*YenidegerFonOran)</f>
        <v/>
      </c>
      <c r="L768" s="124">
        <f>IF($G768=0,0,$J768/$G768)</f>
        <v/>
      </c>
      <c r="M768" s="124">
        <f>IF($L768=0,0,$L768*YenidegerKurumlarVergiOran)</f>
        <v/>
      </c>
      <c r="N768" s="124">
        <f>IFERROR(IF(YenidegerIskontoOrani=0,$M768*$G768,$M768*(1-1/(1+YenidegerIskontoOrani)^$G768)/YenidegerIskontoOrani),0)</f>
        <v/>
      </c>
      <c r="O768" s="124">
        <f>$N768-$K768</f>
        <v/>
      </c>
      <c r="P768" s="124">
        <f>IF($J768&lt;=0,"DEĞERLENDİR",IF($O768&gt;0,"YENİDEN DEĞERLE","DEĞERLENDİR"))</f>
        <v/>
      </c>
      <c r="Q768" s="124">
        <f>IF($B768="","",CONCATENATE("Kıymet: ",$B768," | Değer Artışı: ",TEXT($J768,"#,##0")))</f>
        <v/>
      </c>
    </row>
    <row r="769" ht="15.75" customHeight="1" s="81">
      <c r="A769" s="129" t="n"/>
      <c r="B769" s="130" t="n"/>
      <c r="C769" s="127" t="n"/>
      <c r="D769" s="127" t="n"/>
      <c r="E769" s="124">
        <f>IF($C769=0,0,$C769-$D769)</f>
        <v/>
      </c>
      <c r="F769" s="128" t="n"/>
      <c r="G769" s="129" t="n"/>
      <c r="H769" s="131" t="n"/>
      <c r="I769" s="124">
        <f>IF($E769=0,0,$E769*$H769)</f>
        <v/>
      </c>
      <c r="J769" s="124">
        <f>IF($I769=0,0,$I769-$E769)</f>
        <v/>
      </c>
      <c r="K769" s="124">
        <f>IF($J769=0,0,$J769*YenidegerFonOran)</f>
        <v/>
      </c>
      <c r="L769" s="124">
        <f>IF($G769=0,0,$J769/$G769)</f>
        <v/>
      </c>
      <c r="M769" s="124">
        <f>IF($L769=0,0,$L769*YenidegerKurumlarVergiOran)</f>
        <v/>
      </c>
      <c r="N769" s="124">
        <f>IFERROR(IF(YenidegerIskontoOrani=0,$M769*$G769,$M769*(1-1/(1+YenidegerIskontoOrani)^$G769)/YenidegerIskontoOrani),0)</f>
        <v/>
      </c>
      <c r="O769" s="124">
        <f>$N769-$K769</f>
        <v/>
      </c>
      <c r="P769" s="124">
        <f>IF($J769&lt;=0,"DEĞERLENDİR",IF($O769&gt;0,"YENİDEN DEĞERLE","DEĞERLENDİR"))</f>
        <v/>
      </c>
      <c r="Q769" s="124">
        <f>IF($B769="","",CONCATENATE("Kıymet: ",$B769," | Değer Artışı: ",TEXT($J769,"#,##0")))</f>
        <v/>
      </c>
    </row>
    <row r="770" ht="15.75" customHeight="1" s="81">
      <c r="A770" s="129" t="n"/>
      <c r="B770" s="130" t="n"/>
      <c r="C770" s="127" t="n"/>
      <c r="D770" s="127" t="n"/>
      <c r="E770" s="124">
        <f>IF($C770=0,0,$C770-$D770)</f>
        <v/>
      </c>
      <c r="F770" s="128" t="n"/>
      <c r="G770" s="129" t="n"/>
      <c r="H770" s="131" t="n"/>
      <c r="I770" s="124">
        <f>IF($E770=0,0,$E770*$H770)</f>
        <v/>
      </c>
      <c r="J770" s="124">
        <f>IF($I770=0,0,$I770-$E770)</f>
        <v/>
      </c>
      <c r="K770" s="124">
        <f>IF($J770=0,0,$J770*YenidegerFonOran)</f>
        <v/>
      </c>
      <c r="L770" s="124">
        <f>IF($G770=0,0,$J770/$G770)</f>
        <v/>
      </c>
      <c r="M770" s="124">
        <f>IF($L770=0,0,$L770*YenidegerKurumlarVergiOran)</f>
        <v/>
      </c>
      <c r="N770" s="124">
        <f>IFERROR(IF(YenidegerIskontoOrani=0,$M770*$G770,$M770*(1-1/(1+YenidegerIskontoOrani)^$G770)/YenidegerIskontoOrani),0)</f>
        <v/>
      </c>
      <c r="O770" s="124">
        <f>$N770-$K770</f>
        <v/>
      </c>
      <c r="P770" s="124">
        <f>IF($J770&lt;=0,"DEĞERLENDİR",IF($O770&gt;0,"YENİDEN DEĞERLE","DEĞERLENDİR"))</f>
        <v/>
      </c>
      <c r="Q770" s="124">
        <f>IF($B770="","",CONCATENATE("Kıymet: ",$B770," | Değer Artışı: ",TEXT($J770,"#,##0")))</f>
        <v/>
      </c>
    </row>
    <row r="771" ht="15.75" customHeight="1" s="81">
      <c r="A771" s="129" t="n"/>
      <c r="B771" s="130" t="n"/>
      <c r="C771" s="127" t="n"/>
      <c r="D771" s="127" t="n"/>
      <c r="E771" s="124">
        <f>IF($C771=0,0,$C771-$D771)</f>
        <v/>
      </c>
      <c r="F771" s="128" t="n"/>
      <c r="G771" s="129" t="n"/>
      <c r="H771" s="131" t="n"/>
      <c r="I771" s="124">
        <f>IF($E771=0,0,$E771*$H771)</f>
        <v/>
      </c>
      <c r="J771" s="124">
        <f>IF($I771=0,0,$I771-$E771)</f>
        <v/>
      </c>
      <c r="K771" s="124">
        <f>IF($J771=0,0,$J771*YenidegerFonOran)</f>
        <v/>
      </c>
      <c r="L771" s="124">
        <f>IF($G771=0,0,$J771/$G771)</f>
        <v/>
      </c>
      <c r="M771" s="124">
        <f>IF($L771=0,0,$L771*YenidegerKurumlarVergiOran)</f>
        <v/>
      </c>
      <c r="N771" s="124">
        <f>IFERROR(IF(YenidegerIskontoOrani=0,$M771*$G771,$M771*(1-1/(1+YenidegerIskontoOrani)^$G771)/YenidegerIskontoOrani),0)</f>
        <v/>
      </c>
      <c r="O771" s="124">
        <f>$N771-$K771</f>
        <v/>
      </c>
      <c r="P771" s="124">
        <f>IF($J771&lt;=0,"DEĞERLENDİR",IF($O771&gt;0,"YENİDEN DEĞERLE","DEĞERLENDİR"))</f>
        <v/>
      </c>
      <c r="Q771" s="124">
        <f>IF($B771="","",CONCATENATE("Kıymet: ",$B771," | Değer Artışı: ",TEXT($J771,"#,##0")))</f>
        <v/>
      </c>
    </row>
    <row r="772" ht="15.75" customHeight="1" s="81">
      <c r="A772" s="129" t="n"/>
      <c r="B772" s="130" t="n"/>
      <c r="C772" s="127" t="n"/>
      <c r="D772" s="127" t="n"/>
      <c r="E772" s="124">
        <f>IF($C772=0,0,$C772-$D772)</f>
        <v/>
      </c>
      <c r="F772" s="128" t="n"/>
      <c r="G772" s="129" t="n"/>
      <c r="H772" s="131" t="n"/>
      <c r="I772" s="124">
        <f>IF($E772=0,0,$E772*$H772)</f>
        <v/>
      </c>
      <c r="J772" s="124">
        <f>IF($I772=0,0,$I772-$E772)</f>
        <v/>
      </c>
      <c r="K772" s="124">
        <f>IF($J772=0,0,$J772*YenidegerFonOran)</f>
        <v/>
      </c>
      <c r="L772" s="124">
        <f>IF($G772=0,0,$J772/$G772)</f>
        <v/>
      </c>
      <c r="M772" s="124">
        <f>IF($L772=0,0,$L772*YenidegerKurumlarVergiOran)</f>
        <v/>
      </c>
      <c r="N772" s="124">
        <f>IFERROR(IF(YenidegerIskontoOrani=0,$M772*$G772,$M772*(1-1/(1+YenidegerIskontoOrani)^$G772)/YenidegerIskontoOrani),0)</f>
        <v/>
      </c>
      <c r="O772" s="124">
        <f>$N772-$K772</f>
        <v/>
      </c>
      <c r="P772" s="124">
        <f>IF($J772&lt;=0,"DEĞERLENDİR",IF($O772&gt;0,"YENİDEN DEĞERLE","DEĞERLENDİR"))</f>
        <v/>
      </c>
      <c r="Q772" s="124">
        <f>IF($B772="","",CONCATENATE("Kıymet: ",$B772," | Değer Artışı: ",TEXT($J772,"#,##0")))</f>
        <v/>
      </c>
    </row>
    <row r="773" ht="15.75" customHeight="1" s="81">
      <c r="A773" s="129" t="n"/>
      <c r="B773" s="130" t="n"/>
      <c r="C773" s="127" t="n"/>
      <c r="D773" s="127" t="n"/>
      <c r="E773" s="124">
        <f>IF($C773=0,0,$C773-$D773)</f>
        <v/>
      </c>
      <c r="F773" s="128" t="n"/>
      <c r="G773" s="129" t="n"/>
      <c r="H773" s="131" t="n"/>
      <c r="I773" s="124">
        <f>IF($E773=0,0,$E773*$H773)</f>
        <v/>
      </c>
      <c r="J773" s="124">
        <f>IF($I773=0,0,$I773-$E773)</f>
        <v/>
      </c>
      <c r="K773" s="124">
        <f>IF($J773=0,0,$J773*YenidegerFonOran)</f>
        <v/>
      </c>
      <c r="L773" s="124">
        <f>IF($G773=0,0,$J773/$G773)</f>
        <v/>
      </c>
      <c r="M773" s="124">
        <f>IF($L773=0,0,$L773*YenidegerKurumlarVergiOran)</f>
        <v/>
      </c>
      <c r="N773" s="124">
        <f>IFERROR(IF(YenidegerIskontoOrani=0,$M773*$G773,$M773*(1-1/(1+YenidegerIskontoOrani)^$G773)/YenidegerIskontoOrani),0)</f>
        <v/>
      </c>
      <c r="O773" s="124">
        <f>$N773-$K773</f>
        <v/>
      </c>
      <c r="P773" s="124">
        <f>IF($J773&lt;=0,"DEĞERLENDİR",IF($O773&gt;0,"YENİDEN DEĞERLE","DEĞERLENDİR"))</f>
        <v/>
      </c>
      <c r="Q773" s="124">
        <f>IF($B773="","",CONCATENATE("Kıymet: ",$B773," | Değer Artışı: ",TEXT($J773,"#,##0")))</f>
        <v/>
      </c>
    </row>
    <row r="774" ht="15.75" customHeight="1" s="81">
      <c r="A774" s="129" t="n"/>
      <c r="B774" s="130" t="n"/>
      <c r="C774" s="127" t="n"/>
      <c r="D774" s="127" t="n"/>
      <c r="E774" s="124">
        <f>IF($C774=0,0,$C774-$D774)</f>
        <v/>
      </c>
      <c r="F774" s="128" t="n"/>
      <c r="G774" s="129" t="n"/>
      <c r="H774" s="131" t="n"/>
      <c r="I774" s="124">
        <f>IF($E774=0,0,$E774*$H774)</f>
        <v/>
      </c>
      <c r="J774" s="124">
        <f>IF($I774=0,0,$I774-$E774)</f>
        <v/>
      </c>
      <c r="K774" s="124">
        <f>IF($J774=0,0,$J774*YenidegerFonOran)</f>
        <v/>
      </c>
      <c r="L774" s="124">
        <f>IF($G774=0,0,$J774/$G774)</f>
        <v/>
      </c>
      <c r="M774" s="124">
        <f>IF($L774=0,0,$L774*YenidegerKurumlarVergiOran)</f>
        <v/>
      </c>
      <c r="N774" s="124">
        <f>IFERROR(IF(YenidegerIskontoOrani=0,$M774*$G774,$M774*(1-1/(1+YenidegerIskontoOrani)^$G774)/YenidegerIskontoOrani),0)</f>
        <v/>
      </c>
      <c r="O774" s="124">
        <f>$N774-$K774</f>
        <v/>
      </c>
      <c r="P774" s="124">
        <f>IF($J774&lt;=0,"DEĞERLENDİR",IF($O774&gt;0,"YENİDEN DEĞERLE","DEĞERLENDİR"))</f>
        <v/>
      </c>
      <c r="Q774" s="124">
        <f>IF($B774="","",CONCATENATE("Kıymet: ",$B774," | Değer Artışı: ",TEXT($J774,"#,##0")))</f>
        <v/>
      </c>
    </row>
    <row r="775" ht="15.75" customHeight="1" s="81">
      <c r="A775" s="129" t="n"/>
      <c r="B775" s="130" t="n"/>
      <c r="C775" s="127" t="n"/>
      <c r="D775" s="127" t="n"/>
      <c r="E775" s="124">
        <f>IF($C775=0,0,$C775-$D775)</f>
        <v/>
      </c>
      <c r="F775" s="128" t="n"/>
      <c r="G775" s="129" t="n"/>
      <c r="H775" s="131" t="n"/>
      <c r="I775" s="124">
        <f>IF($E775=0,0,$E775*$H775)</f>
        <v/>
      </c>
      <c r="J775" s="124">
        <f>IF($I775=0,0,$I775-$E775)</f>
        <v/>
      </c>
      <c r="K775" s="124">
        <f>IF($J775=0,0,$J775*YenidegerFonOran)</f>
        <v/>
      </c>
      <c r="L775" s="124">
        <f>IF($G775=0,0,$J775/$G775)</f>
        <v/>
      </c>
      <c r="M775" s="124">
        <f>IF($L775=0,0,$L775*YenidegerKurumlarVergiOran)</f>
        <v/>
      </c>
      <c r="N775" s="124">
        <f>IFERROR(IF(YenidegerIskontoOrani=0,$M775*$G775,$M775*(1-1/(1+YenidegerIskontoOrani)^$G775)/YenidegerIskontoOrani),0)</f>
        <v/>
      </c>
      <c r="O775" s="124">
        <f>$N775-$K775</f>
        <v/>
      </c>
      <c r="P775" s="124">
        <f>IF($J775&lt;=0,"DEĞERLENDİR",IF($O775&gt;0,"YENİDEN DEĞERLE","DEĞERLENDİR"))</f>
        <v/>
      </c>
      <c r="Q775" s="124">
        <f>IF($B775="","",CONCATENATE("Kıymet: ",$B775," | Değer Artışı: ",TEXT($J775,"#,##0")))</f>
        <v/>
      </c>
    </row>
    <row r="776" ht="15.75" customHeight="1" s="81">
      <c r="A776" s="129" t="n"/>
      <c r="B776" s="130" t="n"/>
      <c r="C776" s="127" t="n"/>
      <c r="D776" s="127" t="n"/>
      <c r="E776" s="124">
        <f>IF($C776=0,0,$C776-$D776)</f>
        <v/>
      </c>
      <c r="F776" s="128" t="n"/>
      <c r="G776" s="129" t="n"/>
      <c r="H776" s="131" t="n"/>
      <c r="I776" s="124">
        <f>IF($E776=0,0,$E776*$H776)</f>
        <v/>
      </c>
      <c r="J776" s="124">
        <f>IF($I776=0,0,$I776-$E776)</f>
        <v/>
      </c>
      <c r="K776" s="124">
        <f>IF($J776=0,0,$J776*YenidegerFonOran)</f>
        <v/>
      </c>
      <c r="L776" s="124">
        <f>IF($G776=0,0,$J776/$G776)</f>
        <v/>
      </c>
      <c r="M776" s="124">
        <f>IF($L776=0,0,$L776*YenidegerKurumlarVergiOran)</f>
        <v/>
      </c>
      <c r="N776" s="124">
        <f>IFERROR(IF(YenidegerIskontoOrani=0,$M776*$G776,$M776*(1-1/(1+YenidegerIskontoOrani)^$G776)/YenidegerIskontoOrani),0)</f>
        <v/>
      </c>
      <c r="O776" s="124">
        <f>$N776-$K776</f>
        <v/>
      </c>
      <c r="P776" s="124">
        <f>IF($J776&lt;=0,"DEĞERLENDİR",IF($O776&gt;0,"YENİDEN DEĞERLE","DEĞERLENDİR"))</f>
        <v/>
      </c>
      <c r="Q776" s="124">
        <f>IF($B776="","",CONCATENATE("Kıymet: ",$B776," | Değer Artışı: ",TEXT($J776,"#,##0")))</f>
        <v/>
      </c>
    </row>
    <row r="777" ht="15.75" customHeight="1" s="81">
      <c r="A777" s="129" t="n"/>
      <c r="B777" s="130" t="n"/>
      <c r="C777" s="127" t="n"/>
      <c r="D777" s="127" t="n"/>
      <c r="E777" s="124">
        <f>IF($C777=0,0,$C777-$D777)</f>
        <v/>
      </c>
      <c r="F777" s="128" t="n"/>
      <c r="G777" s="129" t="n"/>
      <c r="H777" s="131" t="n"/>
      <c r="I777" s="124">
        <f>IF($E777=0,0,$E777*$H777)</f>
        <v/>
      </c>
      <c r="J777" s="124">
        <f>IF($I777=0,0,$I777-$E777)</f>
        <v/>
      </c>
      <c r="K777" s="124">
        <f>IF($J777=0,0,$J777*YenidegerFonOran)</f>
        <v/>
      </c>
      <c r="L777" s="124">
        <f>IF($G777=0,0,$J777/$G777)</f>
        <v/>
      </c>
      <c r="M777" s="124">
        <f>IF($L777=0,0,$L777*YenidegerKurumlarVergiOran)</f>
        <v/>
      </c>
      <c r="N777" s="124">
        <f>IFERROR(IF(YenidegerIskontoOrani=0,$M777*$G777,$M777*(1-1/(1+YenidegerIskontoOrani)^$G777)/YenidegerIskontoOrani),0)</f>
        <v/>
      </c>
      <c r="O777" s="124">
        <f>$N777-$K777</f>
        <v/>
      </c>
      <c r="P777" s="124">
        <f>IF($J777&lt;=0,"DEĞERLENDİR",IF($O777&gt;0,"YENİDEN DEĞERLE","DEĞERLENDİR"))</f>
        <v/>
      </c>
      <c r="Q777" s="124">
        <f>IF($B777="","",CONCATENATE("Kıymet: ",$B777," | Değer Artışı: ",TEXT($J777,"#,##0")))</f>
        <v/>
      </c>
    </row>
    <row r="778" ht="15.75" customHeight="1" s="81">
      <c r="A778" s="129" t="n"/>
      <c r="B778" s="130" t="n"/>
      <c r="C778" s="127" t="n"/>
      <c r="D778" s="127" t="n"/>
      <c r="E778" s="124">
        <f>IF($C778=0,0,$C778-$D778)</f>
        <v/>
      </c>
      <c r="F778" s="128" t="n"/>
      <c r="G778" s="129" t="n"/>
      <c r="H778" s="131" t="n"/>
      <c r="I778" s="124">
        <f>IF($E778=0,0,$E778*$H778)</f>
        <v/>
      </c>
      <c r="J778" s="124">
        <f>IF($I778=0,0,$I778-$E778)</f>
        <v/>
      </c>
      <c r="K778" s="124">
        <f>IF($J778=0,0,$J778*YenidegerFonOran)</f>
        <v/>
      </c>
      <c r="L778" s="124">
        <f>IF($G778=0,0,$J778/$G778)</f>
        <v/>
      </c>
      <c r="M778" s="124">
        <f>IF($L778=0,0,$L778*YenidegerKurumlarVergiOran)</f>
        <v/>
      </c>
      <c r="N778" s="124">
        <f>IFERROR(IF(YenidegerIskontoOrani=0,$M778*$G778,$M778*(1-1/(1+YenidegerIskontoOrani)^$G778)/YenidegerIskontoOrani),0)</f>
        <v/>
      </c>
      <c r="O778" s="124">
        <f>$N778-$K778</f>
        <v/>
      </c>
      <c r="P778" s="124">
        <f>IF($J778&lt;=0,"DEĞERLENDİR",IF($O778&gt;0,"YENİDEN DEĞERLE","DEĞERLENDİR"))</f>
        <v/>
      </c>
      <c r="Q778" s="124">
        <f>IF($B778="","",CONCATENATE("Kıymet: ",$B778," | Değer Artışı: ",TEXT($J778,"#,##0")))</f>
        <v/>
      </c>
    </row>
    <row r="779" ht="15.75" customHeight="1" s="81">
      <c r="A779" s="129" t="n"/>
      <c r="B779" s="130" t="n"/>
      <c r="C779" s="127" t="n"/>
      <c r="D779" s="127" t="n"/>
      <c r="E779" s="124">
        <f>IF($C779=0,0,$C779-$D779)</f>
        <v/>
      </c>
      <c r="F779" s="128" t="n"/>
      <c r="G779" s="129" t="n"/>
      <c r="H779" s="131" t="n"/>
      <c r="I779" s="124">
        <f>IF($E779=0,0,$E779*$H779)</f>
        <v/>
      </c>
      <c r="J779" s="124">
        <f>IF($I779=0,0,$I779-$E779)</f>
        <v/>
      </c>
      <c r="K779" s="124">
        <f>IF($J779=0,0,$J779*YenidegerFonOran)</f>
        <v/>
      </c>
      <c r="L779" s="124">
        <f>IF($G779=0,0,$J779/$G779)</f>
        <v/>
      </c>
      <c r="M779" s="124">
        <f>IF($L779=0,0,$L779*YenidegerKurumlarVergiOran)</f>
        <v/>
      </c>
      <c r="N779" s="124">
        <f>IFERROR(IF(YenidegerIskontoOrani=0,$M779*$G779,$M779*(1-1/(1+YenidegerIskontoOrani)^$G779)/YenidegerIskontoOrani),0)</f>
        <v/>
      </c>
      <c r="O779" s="124">
        <f>$N779-$K779</f>
        <v/>
      </c>
      <c r="P779" s="124">
        <f>IF($J779&lt;=0,"DEĞERLENDİR",IF($O779&gt;0,"YENİDEN DEĞERLE","DEĞERLENDİR"))</f>
        <v/>
      </c>
      <c r="Q779" s="124">
        <f>IF($B779="","",CONCATENATE("Kıymet: ",$B779," | Değer Artışı: ",TEXT($J779,"#,##0")))</f>
        <v/>
      </c>
    </row>
    <row r="780" ht="15.75" customHeight="1" s="81">
      <c r="A780" s="129" t="n"/>
      <c r="B780" s="130" t="n"/>
      <c r="C780" s="127" t="n"/>
      <c r="D780" s="127" t="n"/>
      <c r="E780" s="124">
        <f>IF($C780=0,0,$C780-$D780)</f>
        <v/>
      </c>
      <c r="F780" s="128" t="n"/>
      <c r="G780" s="129" t="n"/>
      <c r="H780" s="131" t="n"/>
      <c r="I780" s="124">
        <f>IF($E780=0,0,$E780*$H780)</f>
        <v/>
      </c>
      <c r="J780" s="124">
        <f>IF($I780=0,0,$I780-$E780)</f>
        <v/>
      </c>
      <c r="K780" s="124">
        <f>IF($J780=0,0,$J780*YenidegerFonOran)</f>
        <v/>
      </c>
      <c r="L780" s="124">
        <f>IF($G780=0,0,$J780/$G780)</f>
        <v/>
      </c>
      <c r="M780" s="124">
        <f>IF($L780=0,0,$L780*YenidegerKurumlarVergiOran)</f>
        <v/>
      </c>
      <c r="N780" s="124">
        <f>IFERROR(IF(YenidegerIskontoOrani=0,$M780*$G780,$M780*(1-1/(1+YenidegerIskontoOrani)^$G780)/YenidegerIskontoOrani),0)</f>
        <v/>
      </c>
      <c r="O780" s="124">
        <f>$N780-$K780</f>
        <v/>
      </c>
      <c r="P780" s="124">
        <f>IF($J780&lt;=0,"DEĞERLENDİR",IF($O780&gt;0,"YENİDEN DEĞERLE","DEĞERLENDİR"))</f>
        <v/>
      </c>
      <c r="Q780" s="124">
        <f>IF($B780="","",CONCATENATE("Kıymet: ",$B780," | Değer Artışı: ",TEXT($J780,"#,##0")))</f>
        <v/>
      </c>
    </row>
    <row r="781" ht="15.75" customHeight="1" s="81">
      <c r="A781" s="129" t="n"/>
      <c r="B781" s="130" t="n"/>
      <c r="C781" s="127" t="n"/>
      <c r="D781" s="127" t="n"/>
      <c r="E781" s="124">
        <f>IF($C781=0,0,$C781-$D781)</f>
        <v/>
      </c>
      <c r="F781" s="128" t="n"/>
      <c r="G781" s="129" t="n"/>
      <c r="H781" s="131" t="n"/>
      <c r="I781" s="124">
        <f>IF($E781=0,0,$E781*$H781)</f>
        <v/>
      </c>
      <c r="J781" s="124">
        <f>IF($I781=0,0,$I781-$E781)</f>
        <v/>
      </c>
      <c r="K781" s="124">
        <f>IF($J781=0,0,$J781*YenidegerFonOran)</f>
        <v/>
      </c>
      <c r="L781" s="124">
        <f>IF($G781=0,0,$J781/$G781)</f>
        <v/>
      </c>
      <c r="M781" s="124">
        <f>IF($L781=0,0,$L781*YenidegerKurumlarVergiOran)</f>
        <v/>
      </c>
      <c r="N781" s="124">
        <f>IFERROR(IF(YenidegerIskontoOrani=0,$M781*$G781,$M781*(1-1/(1+YenidegerIskontoOrani)^$G781)/YenidegerIskontoOrani),0)</f>
        <v/>
      </c>
      <c r="O781" s="124">
        <f>$N781-$K781</f>
        <v/>
      </c>
      <c r="P781" s="124">
        <f>IF($J781&lt;=0,"DEĞERLENDİR",IF($O781&gt;0,"YENİDEN DEĞERLE","DEĞERLENDİR"))</f>
        <v/>
      </c>
      <c r="Q781" s="124">
        <f>IF($B781="","",CONCATENATE("Kıymet: ",$B781," | Değer Artışı: ",TEXT($J781,"#,##0")))</f>
        <v/>
      </c>
    </row>
    <row r="782" ht="15.75" customHeight="1" s="81">
      <c r="A782" s="129" t="n"/>
      <c r="B782" s="130" t="n"/>
      <c r="C782" s="127" t="n"/>
      <c r="D782" s="127" t="n"/>
      <c r="E782" s="124">
        <f>IF($C782=0,0,$C782-$D782)</f>
        <v/>
      </c>
      <c r="F782" s="128" t="n"/>
      <c r="G782" s="129" t="n"/>
      <c r="H782" s="131" t="n"/>
      <c r="I782" s="124">
        <f>IF($E782=0,0,$E782*$H782)</f>
        <v/>
      </c>
      <c r="J782" s="124">
        <f>IF($I782=0,0,$I782-$E782)</f>
        <v/>
      </c>
      <c r="K782" s="124">
        <f>IF($J782=0,0,$J782*YenidegerFonOran)</f>
        <v/>
      </c>
      <c r="L782" s="124">
        <f>IF($G782=0,0,$J782/$G782)</f>
        <v/>
      </c>
      <c r="M782" s="124">
        <f>IF($L782=0,0,$L782*YenidegerKurumlarVergiOran)</f>
        <v/>
      </c>
      <c r="N782" s="124">
        <f>IFERROR(IF(YenidegerIskontoOrani=0,$M782*$G782,$M782*(1-1/(1+YenidegerIskontoOrani)^$G782)/YenidegerIskontoOrani),0)</f>
        <v/>
      </c>
      <c r="O782" s="124">
        <f>$N782-$K782</f>
        <v/>
      </c>
      <c r="P782" s="124">
        <f>IF($J782&lt;=0,"DEĞERLENDİR",IF($O782&gt;0,"YENİDEN DEĞERLE","DEĞERLENDİR"))</f>
        <v/>
      </c>
      <c r="Q782" s="124">
        <f>IF($B782="","",CONCATENATE("Kıymet: ",$B782," | Değer Artışı: ",TEXT($J782,"#,##0")))</f>
        <v/>
      </c>
    </row>
    <row r="783" ht="15.75" customHeight="1" s="81">
      <c r="A783" s="129" t="n"/>
      <c r="B783" s="130" t="n"/>
      <c r="C783" s="127" t="n"/>
      <c r="D783" s="127" t="n"/>
      <c r="E783" s="124">
        <f>IF($C783=0,0,$C783-$D783)</f>
        <v/>
      </c>
      <c r="F783" s="128" t="n"/>
      <c r="G783" s="129" t="n"/>
      <c r="H783" s="131" t="n"/>
      <c r="I783" s="124">
        <f>IF($E783=0,0,$E783*$H783)</f>
        <v/>
      </c>
      <c r="J783" s="124">
        <f>IF($I783=0,0,$I783-$E783)</f>
        <v/>
      </c>
      <c r="K783" s="124">
        <f>IF($J783=0,0,$J783*YenidegerFonOran)</f>
        <v/>
      </c>
      <c r="L783" s="124">
        <f>IF($G783=0,0,$J783/$G783)</f>
        <v/>
      </c>
      <c r="M783" s="124">
        <f>IF($L783=0,0,$L783*YenidegerKurumlarVergiOran)</f>
        <v/>
      </c>
      <c r="N783" s="124">
        <f>IFERROR(IF(YenidegerIskontoOrani=0,$M783*$G783,$M783*(1-1/(1+YenidegerIskontoOrani)^$G783)/YenidegerIskontoOrani),0)</f>
        <v/>
      </c>
      <c r="O783" s="124">
        <f>$N783-$K783</f>
        <v/>
      </c>
      <c r="P783" s="124">
        <f>IF($J783&lt;=0,"DEĞERLENDİR",IF($O783&gt;0,"YENİDEN DEĞERLE","DEĞERLENDİR"))</f>
        <v/>
      </c>
      <c r="Q783" s="124">
        <f>IF($B783="","",CONCATENATE("Kıymet: ",$B783," | Değer Artışı: ",TEXT($J783,"#,##0")))</f>
        <v/>
      </c>
    </row>
    <row r="784" ht="15.75" customHeight="1" s="81">
      <c r="A784" s="129" t="n"/>
      <c r="B784" s="130" t="n"/>
      <c r="C784" s="127" t="n"/>
      <c r="D784" s="127" t="n"/>
      <c r="E784" s="124">
        <f>IF($C784=0,0,$C784-$D784)</f>
        <v/>
      </c>
      <c r="F784" s="128" t="n"/>
      <c r="G784" s="129" t="n"/>
      <c r="H784" s="131" t="n"/>
      <c r="I784" s="124">
        <f>IF($E784=0,0,$E784*$H784)</f>
        <v/>
      </c>
      <c r="J784" s="124">
        <f>IF($I784=0,0,$I784-$E784)</f>
        <v/>
      </c>
      <c r="K784" s="124">
        <f>IF($J784=0,0,$J784*YenidegerFonOran)</f>
        <v/>
      </c>
      <c r="L784" s="124">
        <f>IF($G784=0,0,$J784/$G784)</f>
        <v/>
      </c>
      <c r="M784" s="124">
        <f>IF($L784=0,0,$L784*YenidegerKurumlarVergiOran)</f>
        <v/>
      </c>
      <c r="N784" s="124">
        <f>IFERROR(IF(YenidegerIskontoOrani=0,$M784*$G784,$M784*(1-1/(1+YenidegerIskontoOrani)^$G784)/YenidegerIskontoOrani),0)</f>
        <v/>
      </c>
      <c r="O784" s="124">
        <f>$N784-$K784</f>
        <v/>
      </c>
      <c r="P784" s="124">
        <f>IF($J784&lt;=0,"DEĞERLENDİR",IF($O784&gt;0,"YENİDEN DEĞERLE","DEĞERLENDİR"))</f>
        <v/>
      </c>
      <c r="Q784" s="124">
        <f>IF($B784="","",CONCATENATE("Kıymet: ",$B784," | Değer Artışı: ",TEXT($J784,"#,##0")))</f>
        <v/>
      </c>
    </row>
    <row r="785" ht="15.75" customHeight="1" s="81">
      <c r="A785" s="129" t="n"/>
      <c r="B785" s="130" t="n"/>
      <c r="C785" s="127" t="n"/>
      <c r="D785" s="127" t="n"/>
      <c r="E785" s="124">
        <f>IF($C785=0,0,$C785-$D785)</f>
        <v/>
      </c>
      <c r="F785" s="128" t="n"/>
      <c r="G785" s="129" t="n"/>
      <c r="H785" s="131" t="n"/>
      <c r="I785" s="124">
        <f>IF($E785=0,0,$E785*$H785)</f>
        <v/>
      </c>
      <c r="J785" s="124">
        <f>IF($I785=0,0,$I785-$E785)</f>
        <v/>
      </c>
      <c r="K785" s="124">
        <f>IF($J785=0,0,$J785*YenidegerFonOran)</f>
        <v/>
      </c>
      <c r="L785" s="124">
        <f>IF($G785=0,0,$J785/$G785)</f>
        <v/>
      </c>
      <c r="M785" s="124">
        <f>IF($L785=0,0,$L785*YenidegerKurumlarVergiOran)</f>
        <v/>
      </c>
      <c r="N785" s="124">
        <f>IFERROR(IF(YenidegerIskontoOrani=0,$M785*$G785,$M785*(1-1/(1+YenidegerIskontoOrani)^$G785)/YenidegerIskontoOrani),0)</f>
        <v/>
      </c>
      <c r="O785" s="124">
        <f>$N785-$K785</f>
        <v/>
      </c>
      <c r="P785" s="124">
        <f>IF($J785&lt;=0,"DEĞERLENDİR",IF($O785&gt;0,"YENİDEN DEĞERLE","DEĞERLENDİR"))</f>
        <v/>
      </c>
      <c r="Q785" s="124">
        <f>IF($B785="","",CONCATENATE("Kıymet: ",$B785," | Değer Artışı: ",TEXT($J785,"#,##0")))</f>
        <v/>
      </c>
    </row>
    <row r="786" ht="15.75" customHeight="1" s="81">
      <c r="A786" s="129" t="n"/>
      <c r="B786" s="130" t="n"/>
      <c r="C786" s="127" t="n"/>
      <c r="D786" s="127" t="n"/>
      <c r="E786" s="124">
        <f>IF($C786=0,0,$C786-$D786)</f>
        <v/>
      </c>
      <c r="F786" s="128" t="n"/>
      <c r="G786" s="129" t="n"/>
      <c r="H786" s="131" t="n"/>
      <c r="I786" s="124">
        <f>IF($E786=0,0,$E786*$H786)</f>
        <v/>
      </c>
      <c r="J786" s="124">
        <f>IF($I786=0,0,$I786-$E786)</f>
        <v/>
      </c>
      <c r="K786" s="124">
        <f>IF($J786=0,0,$J786*YenidegerFonOran)</f>
        <v/>
      </c>
      <c r="L786" s="124">
        <f>IF($G786=0,0,$J786/$G786)</f>
        <v/>
      </c>
      <c r="M786" s="124">
        <f>IF($L786=0,0,$L786*YenidegerKurumlarVergiOran)</f>
        <v/>
      </c>
      <c r="N786" s="124">
        <f>IFERROR(IF(YenidegerIskontoOrani=0,$M786*$G786,$M786*(1-1/(1+YenidegerIskontoOrani)^$G786)/YenidegerIskontoOrani),0)</f>
        <v/>
      </c>
      <c r="O786" s="124">
        <f>$N786-$K786</f>
        <v/>
      </c>
      <c r="P786" s="124">
        <f>IF($J786&lt;=0,"DEĞERLENDİR",IF($O786&gt;0,"YENİDEN DEĞERLE","DEĞERLENDİR"))</f>
        <v/>
      </c>
      <c r="Q786" s="124">
        <f>IF($B786="","",CONCATENATE("Kıymet: ",$B786," | Değer Artışı: ",TEXT($J786,"#,##0")))</f>
        <v/>
      </c>
    </row>
    <row r="787" ht="15.75" customHeight="1" s="81">
      <c r="A787" s="129" t="n"/>
      <c r="B787" s="130" t="n"/>
      <c r="C787" s="127" t="n"/>
      <c r="D787" s="127" t="n"/>
      <c r="E787" s="124">
        <f>IF($C787=0,0,$C787-$D787)</f>
        <v/>
      </c>
      <c r="F787" s="128" t="n"/>
      <c r="G787" s="129" t="n"/>
      <c r="H787" s="131" t="n"/>
      <c r="I787" s="124">
        <f>IF($E787=0,0,$E787*$H787)</f>
        <v/>
      </c>
      <c r="J787" s="124">
        <f>IF($I787=0,0,$I787-$E787)</f>
        <v/>
      </c>
      <c r="K787" s="124">
        <f>IF($J787=0,0,$J787*YenidegerFonOran)</f>
        <v/>
      </c>
      <c r="L787" s="124">
        <f>IF($G787=0,0,$J787/$G787)</f>
        <v/>
      </c>
      <c r="M787" s="124">
        <f>IF($L787=0,0,$L787*YenidegerKurumlarVergiOran)</f>
        <v/>
      </c>
      <c r="N787" s="124">
        <f>IFERROR(IF(YenidegerIskontoOrani=0,$M787*$G787,$M787*(1-1/(1+YenidegerIskontoOrani)^$G787)/YenidegerIskontoOrani),0)</f>
        <v/>
      </c>
      <c r="O787" s="124">
        <f>$N787-$K787</f>
        <v/>
      </c>
      <c r="P787" s="124">
        <f>IF($J787&lt;=0,"DEĞERLENDİR",IF($O787&gt;0,"YENİDEN DEĞERLE","DEĞERLENDİR"))</f>
        <v/>
      </c>
      <c r="Q787" s="124">
        <f>IF($B787="","",CONCATENATE("Kıymet: ",$B787," | Değer Artışı: ",TEXT($J787,"#,##0")))</f>
        <v/>
      </c>
    </row>
    <row r="788" ht="15.75" customHeight="1" s="81">
      <c r="A788" s="129" t="n"/>
      <c r="B788" s="130" t="n"/>
      <c r="C788" s="127" t="n"/>
      <c r="D788" s="127" t="n"/>
      <c r="E788" s="124">
        <f>IF($C788=0,0,$C788-$D788)</f>
        <v/>
      </c>
      <c r="F788" s="128" t="n"/>
      <c r="G788" s="129" t="n"/>
      <c r="H788" s="131" t="n"/>
      <c r="I788" s="124">
        <f>IF($E788=0,0,$E788*$H788)</f>
        <v/>
      </c>
      <c r="J788" s="124">
        <f>IF($I788=0,0,$I788-$E788)</f>
        <v/>
      </c>
      <c r="K788" s="124">
        <f>IF($J788=0,0,$J788*YenidegerFonOran)</f>
        <v/>
      </c>
      <c r="L788" s="124">
        <f>IF($G788=0,0,$J788/$G788)</f>
        <v/>
      </c>
      <c r="M788" s="124">
        <f>IF($L788=0,0,$L788*YenidegerKurumlarVergiOran)</f>
        <v/>
      </c>
      <c r="N788" s="124">
        <f>IFERROR(IF(YenidegerIskontoOrani=0,$M788*$G788,$M788*(1-1/(1+YenidegerIskontoOrani)^$G788)/YenidegerIskontoOrani),0)</f>
        <v/>
      </c>
      <c r="O788" s="124">
        <f>$N788-$K788</f>
        <v/>
      </c>
      <c r="P788" s="124">
        <f>IF($J788&lt;=0,"DEĞERLENDİR",IF($O788&gt;0,"YENİDEN DEĞERLE","DEĞERLENDİR"))</f>
        <v/>
      </c>
      <c r="Q788" s="124">
        <f>IF($B788="","",CONCATENATE("Kıymet: ",$B788," | Değer Artışı: ",TEXT($J788,"#,##0")))</f>
        <v/>
      </c>
    </row>
    <row r="789" ht="15.75" customHeight="1" s="81">
      <c r="A789" s="129" t="n"/>
      <c r="B789" s="130" t="n"/>
      <c r="C789" s="127" t="n"/>
      <c r="D789" s="127" t="n"/>
      <c r="E789" s="124">
        <f>IF($C789=0,0,$C789-$D789)</f>
        <v/>
      </c>
      <c r="F789" s="128" t="n"/>
      <c r="G789" s="129" t="n"/>
      <c r="H789" s="131" t="n"/>
      <c r="I789" s="124">
        <f>IF($E789=0,0,$E789*$H789)</f>
        <v/>
      </c>
      <c r="J789" s="124">
        <f>IF($I789=0,0,$I789-$E789)</f>
        <v/>
      </c>
      <c r="K789" s="124">
        <f>IF($J789=0,0,$J789*YenidegerFonOran)</f>
        <v/>
      </c>
      <c r="L789" s="124">
        <f>IF($G789=0,0,$J789/$G789)</f>
        <v/>
      </c>
      <c r="M789" s="124">
        <f>IF($L789=0,0,$L789*YenidegerKurumlarVergiOran)</f>
        <v/>
      </c>
      <c r="N789" s="124">
        <f>IFERROR(IF(YenidegerIskontoOrani=0,$M789*$G789,$M789*(1-1/(1+YenidegerIskontoOrani)^$G789)/YenidegerIskontoOrani),0)</f>
        <v/>
      </c>
      <c r="O789" s="124">
        <f>$N789-$K789</f>
        <v/>
      </c>
      <c r="P789" s="124">
        <f>IF($J789&lt;=0,"DEĞERLENDİR",IF($O789&gt;0,"YENİDEN DEĞERLE","DEĞERLENDİR"))</f>
        <v/>
      </c>
      <c r="Q789" s="124">
        <f>IF($B789="","",CONCATENATE("Kıymet: ",$B789," | Değer Artışı: ",TEXT($J789,"#,##0")))</f>
        <v/>
      </c>
    </row>
    <row r="790" ht="15.75" customHeight="1" s="81">
      <c r="A790" s="129" t="n"/>
      <c r="B790" s="130" t="n"/>
      <c r="C790" s="127" t="n"/>
      <c r="D790" s="127" t="n"/>
      <c r="E790" s="124">
        <f>IF($C790=0,0,$C790-$D790)</f>
        <v/>
      </c>
      <c r="F790" s="128" t="n"/>
      <c r="G790" s="129" t="n"/>
      <c r="H790" s="131" t="n"/>
      <c r="I790" s="124">
        <f>IF($E790=0,0,$E790*$H790)</f>
        <v/>
      </c>
      <c r="J790" s="124">
        <f>IF($I790=0,0,$I790-$E790)</f>
        <v/>
      </c>
      <c r="K790" s="124">
        <f>IF($J790=0,0,$J790*YenidegerFonOran)</f>
        <v/>
      </c>
      <c r="L790" s="124">
        <f>IF($G790=0,0,$J790/$G790)</f>
        <v/>
      </c>
      <c r="M790" s="124">
        <f>IF($L790=0,0,$L790*YenidegerKurumlarVergiOran)</f>
        <v/>
      </c>
      <c r="N790" s="124">
        <f>IFERROR(IF(YenidegerIskontoOrani=0,$M790*$G790,$M790*(1-1/(1+YenidegerIskontoOrani)^$G790)/YenidegerIskontoOrani),0)</f>
        <v/>
      </c>
      <c r="O790" s="124">
        <f>$N790-$K790</f>
        <v/>
      </c>
      <c r="P790" s="124">
        <f>IF($J790&lt;=0,"DEĞERLENDİR",IF($O790&gt;0,"YENİDEN DEĞERLE","DEĞERLENDİR"))</f>
        <v/>
      </c>
      <c r="Q790" s="124">
        <f>IF($B790="","",CONCATENATE("Kıymet: ",$B790," | Değer Artışı: ",TEXT($J790,"#,##0")))</f>
        <v/>
      </c>
    </row>
    <row r="791" ht="15.75" customHeight="1" s="81">
      <c r="A791" s="129" t="n"/>
      <c r="B791" s="130" t="n"/>
      <c r="C791" s="127" t="n"/>
      <c r="D791" s="127" t="n"/>
      <c r="E791" s="124">
        <f>IF($C791=0,0,$C791-$D791)</f>
        <v/>
      </c>
      <c r="F791" s="128" t="n"/>
      <c r="G791" s="129" t="n"/>
      <c r="H791" s="131" t="n"/>
      <c r="I791" s="124">
        <f>IF($E791=0,0,$E791*$H791)</f>
        <v/>
      </c>
      <c r="J791" s="124">
        <f>IF($I791=0,0,$I791-$E791)</f>
        <v/>
      </c>
      <c r="K791" s="124">
        <f>IF($J791=0,0,$J791*YenidegerFonOran)</f>
        <v/>
      </c>
      <c r="L791" s="124">
        <f>IF($G791=0,0,$J791/$G791)</f>
        <v/>
      </c>
      <c r="M791" s="124">
        <f>IF($L791=0,0,$L791*YenidegerKurumlarVergiOran)</f>
        <v/>
      </c>
      <c r="N791" s="124">
        <f>IFERROR(IF(YenidegerIskontoOrani=0,$M791*$G791,$M791*(1-1/(1+YenidegerIskontoOrani)^$G791)/YenidegerIskontoOrani),0)</f>
        <v/>
      </c>
      <c r="O791" s="124">
        <f>$N791-$K791</f>
        <v/>
      </c>
      <c r="P791" s="124">
        <f>IF($J791&lt;=0,"DEĞERLENDİR",IF($O791&gt;0,"YENİDEN DEĞERLE","DEĞERLENDİR"))</f>
        <v/>
      </c>
      <c r="Q791" s="124">
        <f>IF($B791="","",CONCATENATE("Kıymet: ",$B791," | Değer Artışı: ",TEXT($J791,"#,##0")))</f>
        <v/>
      </c>
    </row>
    <row r="792" ht="15.75" customHeight="1" s="81">
      <c r="A792" s="129" t="n"/>
      <c r="B792" s="130" t="n"/>
      <c r="C792" s="127" t="n"/>
      <c r="D792" s="127" t="n"/>
      <c r="E792" s="124">
        <f>IF($C792=0,0,$C792-$D792)</f>
        <v/>
      </c>
      <c r="F792" s="128" t="n"/>
      <c r="G792" s="129" t="n"/>
      <c r="H792" s="131" t="n"/>
      <c r="I792" s="124">
        <f>IF($E792=0,0,$E792*$H792)</f>
        <v/>
      </c>
      <c r="J792" s="124">
        <f>IF($I792=0,0,$I792-$E792)</f>
        <v/>
      </c>
      <c r="K792" s="124">
        <f>IF($J792=0,0,$J792*YenidegerFonOran)</f>
        <v/>
      </c>
      <c r="L792" s="124">
        <f>IF($G792=0,0,$J792/$G792)</f>
        <v/>
      </c>
      <c r="M792" s="124">
        <f>IF($L792=0,0,$L792*YenidegerKurumlarVergiOran)</f>
        <v/>
      </c>
      <c r="N792" s="124">
        <f>IFERROR(IF(YenidegerIskontoOrani=0,$M792*$G792,$M792*(1-1/(1+YenidegerIskontoOrani)^$G792)/YenidegerIskontoOrani),0)</f>
        <v/>
      </c>
      <c r="O792" s="124">
        <f>$N792-$K792</f>
        <v/>
      </c>
      <c r="P792" s="124">
        <f>IF($J792&lt;=0,"DEĞERLENDİR",IF($O792&gt;0,"YENİDEN DEĞERLE","DEĞERLENDİR"))</f>
        <v/>
      </c>
      <c r="Q792" s="124">
        <f>IF($B792="","",CONCATENATE("Kıymet: ",$B792," | Değer Artışı: ",TEXT($J792,"#,##0")))</f>
        <v/>
      </c>
    </row>
    <row r="793" ht="15.75" customHeight="1" s="81">
      <c r="A793" s="129" t="n"/>
      <c r="B793" s="130" t="n"/>
      <c r="C793" s="127" t="n"/>
      <c r="D793" s="127" t="n"/>
      <c r="E793" s="124">
        <f>IF($C793=0,0,$C793-$D793)</f>
        <v/>
      </c>
      <c r="F793" s="128" t="n"/>
      <c r="G793" s="129" t="n"/>
      <c r="H793" s="131" t="n"/>
      <c r="I793" s="124">
        <f>IF($E793=0,0,$E793*$H793)</f>
        <v/>
      </c>
      <c r="J793" s="124">
        <f>IF($I793=0,0,$I793-$E793)</f>
        <v/>
      </c>
      <c r="K793" s="124">
        <f>IF($J793=0,0,$J793*YenidegerFonOran)</f>
        <v/>
      </c>
      <c r="L793" s="124">
        <f>IF($G793=0,0,$J793/$G793)</f>
        <v/>
      </c>
      <c r="M793" s="124">
        <f>IF($L793=0,0,$L793*YenidegerKurumlarVergiOran)</f>
        <v/>
      </c>
      <c r="N793" s="124">
        <f>IFERROR(IF(YenidegerIskontoOrani=0,$M793*$G793,$M793*(1-1/(1+YenidegerIskontoOrani)^$G793)/YenidegerIskontoOrani),0)</f>
        <v/>
      </c>
      <c r="O793" s="124">
        <f>$N793-$K793</f>
        <v/>
      </c>
      <c r="P793" s="124">
        <f>IF($J793&lt;=0,"DEĞERLENDİR",IF($O793&gt;0,"YENİDEN DEĞERLE","DEĞERLENDİR"))</f>
        <v/>
      </c>
      <c r="Q793" s="124">
        <f>IF($B793="","",CONCATENATE("Kıymet: ",$B793," | Değer Artışı: ",TEXT($J793,"#,##0")))</f>
        <v/>
      </c>
    </row>
    <row r="794" ht="15.75" customHeight="1" s="81">
      <c r="A794" s="129" t="n"/>
      <c r="B794" s="130" t="n"/>
      <c r="C794" s="127" t="n"/>
      <c r="D794" s="127" t="n"/>
      <c r="E794" s="124">
        <f>IF($C794=0,0,$C794-$D794)</f>
        <v/>
      </c>
      <c r="F794" s="128" t="n"/>
      <c r="G794" s="129" t="n"/>
      <c r="H794" s="131" t="n"/>
      <c r="I794" s="124">
        <f>IF($E794=0,0,$E794*$H794)</f>
        <v/>
      </c>
      <c r="J794" s="124">
        <f>IF($I794=0,0,$I794-$E794)</f>
        <v/>
      </c>
      <c r="K794" s="124">
        <f>IF($J794=0,0,$J794*YenidegerFonOran)</f>
        <v/>
      </c>
      <c r="L794" s="124">
        <f>IF($G794=0,0,$J794/$G794)</f>
        <v/>
      </c>
      <c r="M794" s="124">
        <f>IF($L794=0,0,$L794*YenidegerKurumlarVergiOran)</f>
        <v/>
      </c>
      <c r="N794" s="124">
        <f>IFERROR(IF(YenidegerIskontoOrani=0,$M794*$G794,$M794*(1-1/(1+YenidegerIskontoOrani)^$G794)/YenidegerIskontoOrani),0)</f>
        <v/>
      </c>
      <c r="O794" s="124">
        <f>$N794-$K794</f>
        <v/>
      </c>
      <c r="P794" s="124">
        <f>IF($J794&lt;=0,"DEĞERLENDİR",IF($O794&gt;0,"YENİDEN DEĞERLE","DEĞERLENDİR"))</f>
        <v/>
      </c>
      <c r="Q794" s="124">
        <f>IF($B794="","",CONCATENATE("Kıymet: ",$B794," | Değer Artışı: ",TEXT($J794,"#,##0")))</f>
        <v/>
      </c>
    </row>
    <row r="795" ht="15.75" customHeight="1" s="81">
      <c r="A795" s="129" t="n"/>
      <c r="B795" s="130" t="n"/>
      <c r="C795" s="127" t="n"/>
      <c r="D795" s="127" t="n"/>
      <c r="E795" s="124">
        <f>IF($C795=0,0,$C795-$D795)</f>
        <v/>
      </c>
      <c r="F795" s="128" t="n"/>
      <c r="G795" s="129" t="n"/>
      <c r="H795" s="131" t="n"/>
      <c r="I795" s="124">
        <f>IF($E795=0,0,$E795*$H795)</f>
        <v/>
      </c>
      <c r="J795" s="124">
        <f>IF($I795=0,0,$I795-$E795)</f>
        <v/>
      </c>
      <c r="K795" s="124">
        <f>IF($J795=0,0,$J795*YenidegerFonOran)</f>
        <v/>
      </c>
      <c r="L795" s="124">
        <f>IF($G795=0,0,$J795/$G795)</f>
        <v/>
      </c>
      <c r="M795" s="124">
        <f>IF($L795=0,0,$L795*YenidegerKurumlarVergiOran)</f>
        <v/>
      </c>
      <c r="N795" s="124">
        <f>IFERROR(IF(YenidegerIskontoOrani=0,$M795*$G795,$M795*(1-1/(1+YenidegerIskontoOrani)^$G795)/YenidegerIskontoOrani),0)</f>
        <v/>
      </c>
      <c r="O795" s="124">
        <f>$N795-$K795</f>
        <v/>
      </c>
      <c r="P795" s="124">
        <f>IF($J795&lt;=0,"DEĞERLENDİR",IF($O795&gt;0,"YENİDEN DEĞERLE","DEĞERLENDİR"))</f>
        <v/>
      </c>
      <c r="Q795" s="124">
        <f>IF($B795="","",CONCATENATE("Kıymet: ",$B795," | Değer Artışı: ",TEXT($J795,"#,##0")))</f>
        <v/>
      </c>
    </row>
    <row r="796" ht="15.75" customHeight="1" s="81">
      <c r="A796" s="129" t="n"/>
      <c r="B796" s="130" t="n"/>
      <c r="C796" s="127" t="n"/>
      <c r="D796" s="127" t="n"/>
      <c r="E796" s="124">
        <f>IF($C796=0,0,$C796-$D796)</f>
        <v/>
      </c>
      <c r="F796" s="128" t="n"/>
      <c r="G796" s="129" t="n"/>
      <c r="H796" s="131" t="n"/>
      <c r="I796" s="124">
        <f>IF($E796=0,0,$E796*$H796)</f>
        <v/>
      </c>
      <c r="J796" s="124">
        <f>IF($I796=0,0,$I796-$E796)</f>
        <v/>
      </c>
      <c r="K796" s="124">
        <f>IF($J796=0,0,$J796*YenidegerFonOran)</f>
        <v/>
      </c>
      <c r="L796" s="124">
        <f>IF($G796=0,0,$J796/$G796)</f>
        <v/>
      </c>
      <c r="M796" s="124">
        <f>IF($L796=0,0,$L796*YenidegerKurumlarVergiOran)</f>
        <v/>
      </c>
      <c r="N796" s="124">
        <f>IFERROR(IF(YenidegerIskontoOrani=0,$M796*$G796,$M796*(1-1/(1+YenidegerIskontoOrani)^$G796)/YenidegerIskontoOrani),0)</f>
        <v/>
      </c>
      <c r="O796" s="124">
        <f>$N796-$K796</f>
        <v/>
      </c>
      <c r="P796" s="124">
        <f>IF($J796&lt;=0,"DEĞERLENDİR",IF($O796&gt;0,"YENİDEN DEĞERLE","DEĞERLENDİR"))</f>
        <v/>
      </c>
      <c r="Q796" s="124">
        <f>IF($B796="","",CONCATENATE("Kıymet: ",$B796," | Değer Artışı: ",TEXT($J796,"#,##0")))</f>
        <v/>
      </c>
    </row>
    <row r="797" ht="15.75" customHeight="1" s="81">
      <c r="A797" s="129" t="n"/>
      <c r="B797" s="130" t="n"/>
      <c r="C797" s="127" t="n"/>
      <c r="D797" s="127" t="n"/>
      <c r="E797" s="124">
        <f>IF($C797=0,0,$C797-$D797)</f>
        <v/>
      </c>
      <c r="F797" s="128" t="n"/>
      <c r="G797" s="129" t="n"/>
      <c r="H797" s="131" t="n"/>
      <c r="I797" s="124">
        <f>IF($E797=0,0,$E797*$H797)</f>
        <v/>
      </c>
      <c r="J797" s="124">
        <f>IF($I797=0,0,$I797-$E797)</f>
        <v/>
      </c>
      <c r="K797" s="124">
        <f>IF($J797=0,0,$J797*YenidegerFonOran)</f>
        <v/>
      </c>
      <c r="L797" s="124">
        <f>IF($G797=0,0,$J797/$G797)</f>
        <v/>
      </c>
      <c r="M797" s="124">
        <f>IF($L797=0,0,$L797*YenidegerKurumlarVergiOran)</f>
        <v/>
      </c>
      <c r="N797" s="124">
        <f>IFERROR(IF(YenidegerIskontoOrani=0,$M797*$G797,$M797*(1-1/(1+YenidegerIskontoOrani)^$G797)/YenidegerIskontoOrani),0)</f>
        <v/>
      </c>
      <c r="O797" s="124">
        <f>$N797-$K797</f>
        <v/>
      </c>
      <c r="P797" s="124">
        <f>IF($J797&lt;=0,"DEĞERLENDİR",IF($O797&gt;0,"YENİDEN DEĞERLE","DEĞERLENDİR"))</f>
        <v/>
      </c>
      <c r="Q797" s="124">
        <f>IF($B797="","",CONCATENATE("Kıymet: ",$B797," | Değer Artışı: ",TEXT($J797,"#,##0")))</f>
        <v/>
      </c>
    </row>
    <row r="798" ht="15.75" customHeight="1" s="81">
      <c r="A798" s="129" t="n"/>
      <c r="B798" s="130" t="n"/>
      <c r="C798" s="127" t="n"/>
      <c r="D798" s="127" t="n"/>
      <c r="E798" s="124">
        <f>IF($C798=0,0,$C798-$D798)</f>
        <v/>
      </c>
      <c r="F798" s="128" t="n"/>
      <c r="G798" s="129" t="n"/>
      <c r="H798" s="131" t="n"/>
      <c r="I798" s="124">
        <f>IF($E798=0,0,$E798*$H798)</f>
        <v/>
      </c>
      <c r="J798" s="124">
        <f>IF($I798=0,0,$I798-$E798)</f>
        <v/>
      </c>
      <c r="K798" s="124">
        <f>IF($J798=0,0,$J798*YenidegerFonOran)</f>
        <v/>
      </c>
      <c r="L798" s="124">
        <f>IF($G798=0,0,$J798/$G798)</f>
        <v/>
      </c>
      <c r="M798" s="124">
        <f>IF($L798=0,0,$L798*YenidegerKurumlarVergiOran)</f>
        <v/>
      </c>
      <c r="N798" s="124">
        <f>IFERROR(IF(YenidegerIskontoOrani=0,$M798*$G798,$M798*(1-1/(1+YenidegerIskontoOrani)^$G798)/YenidegerIskontoOrani),0)</f>
        <v/>
      </c>
      <c r="O798" s="124">
        <f>$N798-$K798</f>
        <v/>
      </c>
      <c r="P798" s="124">
        <f>IF($J798&lt;=0,"DEĞERLENDİR",IF($O798&gt;0,"YENİDEN DEĞERLE","DEĞERLENDİR"))</f>
        <v/>
      </c>
      <c r="Q798" s="124">
        <f>IF($B798="","",CONCATENATE("Kıymet: ",$B798," | Değer Artışı: ",TEXT($J798,"#,##0")))</f>
        <v/>
      </c>
    </row>
    <row r="799" ht="15.75" customHeight="1" s="81">
      <c r="A799" s="129" t="n"/>
      <c r="B799" s="130" t="n"/>
      <c r="C799" s="127" t="n"/>
      <c r="D799" s="127" t="n"/>
      <c r="E799" s="124">
        <f>IF($C799=0,0,$C799-$D799)</f>
        <v/>
      </c>
      <c r="F799" s="128" t="n"/>
      <c r="G799" s="129" t="n"/>
      <c r="H799" s="131" t="n"/>
      <c r="I799" s="124">
        <f>IF($E799=0,0,$E799*$H799)</f>
        <v/>
      </c>
      <c r="J799" s="124">
        <f>IF($I799=0,0,$I799-$E799)</f>
        <v/>
      </c>
      <c r="K799" s="124">
        <f>IF($J799=0,0,$J799*YenidegerFonOran)</f>
        <v/>
      </c>
      <c r="L799" s="124">
        <f>IF($G799=0,0,$J799/$G799)</f>
        <v/>
      </c>
      <c r="M799" s="124">
        <f>IF($L799=0,0,$L799*YenidegerKurumlarVergiOran)</f>
        <v/>
      </c>
      <c r="N799" s="124">
        <f>IFERROR(IF(YenidegerIskontoOrani=0,$M799*$G799,$M799*(1-1/(1+YenidegerIskontoOrani)^$G799)/YenidegerIskontoOrani),0)</f>
        <v/>
      </c>
      <c r="O799" s="124">
        <f>$N799-$K799</f>
        <v/>
      </c>
      <c r="P799" s="124">
        <f>IF($J799&lt;=0,"DEĞERLENDİR",IF($O799&gt;0,"YENİDEN DEĞERLE","DEĞERLENDİR"))</f>
        <v/>
      </c>
      <c r="Q799" s="124">
        <f>IF($B799="","",CONCATENATE("Kıymet: ",$B799," | Değer Artışı: ",TEXT($J799,"#,##0")))</f>
        <v/>
      </c>
    </row>
    <row r="800" ht="15.75" customHeight="1" s="81">
      <c r="A800" s="129" t="n"/>
      <c r="B800" s="130" t="n"/>
      <c r="C800" s="127" t="n"/>
      <c r="D800" s="127" t="n"/>
      <c r="E800" s="124">
        <f>IF($C800=0,0,$C800-$D800)</f>
        <v/>
      </c>
      <c r="F800" s="128" t="n"/>
      <c r="G800" s="129" t="n"/>
      <c r="H800" s="131" t="n"/>
      <c r="I800" s="124">
        <f>IF($E800=0,0,$E800*$H800)</f>
        <v/>
      </c>
      <c r="J800" s="124">
        <f>IF($I800=0,0,$I800-$E800)</f>
        <v/>
      </c>
      <c r="K800" s="124">
        <f>IF($J800=0,0,$J800*YenidegerFonOran)</f>
        <v/>
      </c>
      <c r="L800" s="124">
        <f>IF($G800=0,0,$J800/$G800)</f>
        <v/>
      </c>
      <c r="M800" s="124">
        <f>IF($L800=0,0,$L800*YenidegerKurumlarVergiOran)</f>
        <v/>
      </c>
      <c r="N800" s="124">
        <f>IFERROR(IF(YenidegerIskontoOrani=0,$M800*$G800,$M800*(1-1/(1+YenidegerIskontoOrani)^$G800)/YenidegerIskontoOrani),0)</f>
        <v/>
      </c>
      <c r="O800" s="124">
        <f>$N800-$K800</f>
        <v/>
      </c>
      <c r="P800" s="124">
        <f>IF($J800&lt;=0,"DEĞERLENDİR",IF($O800&gt;0,"YENİDEN DEĞERLE","DEĞERLENDİR"))</f>
        <v/>
      </c>
      <c r="Q800" s="124">
        <f>IF($B800="","",CONCATENATE("Kıymet: ",$B800," | Değer Artışı: ",TEXT($J800,"#,##0")))</f>
        <v/>
      </c>
    </row>
    <row r="801" ht="15.75" customHeight="1" s="81">
      <c r="A801" s="129" t="n"/>
      <c r="B801" s="130" t="n"/>
      <c r="C801" s="127" t="n"/>
      <c r="D801" s="127" t="n"/>
      <c r="E801" s="124">
        <f>IF($C801=0,0,$C801-$D801)</f>
        <v/>
      </c>
      <c r="F801" s="128" t="n"/>
      <c r="G801" s="129" t="n"/>
      <c r="H801" s="131" t="n"/>
      <c r="I801" s="124">
        <f>IF($E801=0,0,$E801*$H801)</f>
        <v/>
      </c>
      <c r="J801" s="124">
        <f>IF($I801=0,0,$I801-$E801)</f>
        <v/>
      </c>
      <c r="K801" s="124">
        <f>IF($J801=0,0,$J801*YenidegerFonOran)</f>
        <v/>
      </c>
      <c r="L801" s="124">
        <f>IF($G801=0,0,$J801/$G801)</f>
        <v/>
      </c>
      <c r="M801" s="124">
        <f>IF($L801=0,0,$L801*YenidegerKurumlarVergiOran)</f>
        <v/>
      </c>
      <c r="N801" s="124">
        <f>IFERROR(IF(YenidegerIskontoOrani=0,$M801*$G801,$M801*(1-1/(1+YenidegerIskontoOrani)^$G801)/YenidegerIskontoOrani),0)</f>
        <v/>
      </c>
      <c r="O801" s="124">
        <f>$N801-$K801</f>
        <v/>
      </c>
      <c r="P801" s="124">
        <f>IF($J801&lt;=0,"DEĞERLENDİR",IF($O801&gt;0,"YENİDEN DEĞERLE","DEĞERLENDİR"))</f>
        <v/>
      </c>
      <c r="Q801" s="124">
        <f>IF($B801="","",CONCATENATE("Kıymet: ",$B801," | Değer Artışı: ",TEXT($J801,"#,##0")))</f>
        <v/>
      </c>
    </row>
    <row r="802" ht="15.75" customHeight="1" s="81">
      <c r="A802" s="129" t="n"/>
      <c r="B802" s="130" t="n"/>
      <c r="C802" s="127" t="n"/>
      <c r="D802" s="127" t="n"/>
      <c r="E802" s="124">
        <f>IF($C802=0,0,$C802-$D802)</f>
        <v/>
      </c>
      <c r="F802" s="128" t="n"/>
      <c r="G802" s="129" t="n"/>
      <c r="H802" s="131" t="n"/>
      <c r="I802" s="124">
        <f>IF($E802=0,0,$E802*$H802)</f>
        <v/>
      </c>
      <c r="J802" s="124">
        <f>IF($I802=0,0,$I802-$E802)</f>
        <v/>
      </c>
      <c r="K802" s="124">
        <f>IF($J802=0,0,$J802*YenidegerFonOran)</f>
        <v/>
      </c>
      <c r="L802" s="124">
        <f>IF($G802=0,0,$J802/$G802)</f>
        <v/>
      </c>
      <c r="M802" s="124">
        <f>IF($L802=0,0,$L802*YenidegerKurumlarVergiOran)</f>
        <v/>
      </c>
      <c r="N802" s="124">
        <f>IFERROR(IF(YenidegerIskontoOrani=0,$M802*$G802,$M802*(1-1/(1+YenidegerIskontoOrani)^$G802)/YenidegerIskontoOrani),0)</f>
        <v/>
      </c>
      <c r="O802" s="124">
        <f>$N802-$K802</f>
        <v/>
      </c>
      <c r="P802" s="124">
        <f>IF($J802&lt;=0,"DEĞERLENDİR",IF($O802&gt;0,"YENİDEN DEĞERLE","DEĞERLENDİR"))</f>
        <v/>
      </c>
      <c r="Q802" s="124">
        <f>IF($B802="","",CONCATENATE("Kıymet: ",$B802," | Değer Artışı: ",TEXT($J802,"#,##0")))</f>
        <v/>
      </c>
    </row>
    <row r="803" ht="15.75" customHeight="1" s="81">
      <c r="A803" s="129" t="n"/>
      <c r="B803" s="130" t="n"/>
      <c r="C803" s="127" t="n"/>
      <c r="D803" s="127" t="n"/>
      <c r="E803" s="124">
        <f>IF($C803=0,0,$C803-$D803)</f>
        <v/>
      </c>
      <c r="F803" s="128" t="n"/>
      <c r="G803" s="129" t="n"/>
      <c r="H803" s="131" t="n"/>
      <c r="I803" s="124">
        <f>IF($E803=0,0,$E803*$H803)</f>
        <v/>
      </c>
      <c r="J803" s="124">
        <f>IF($I803=0,0,$I803-$E803)</f>
        <v/>
      </c>
      <c r="K803" s="124">
        <f>IF($J803=0,0,$J803*YenidegerFonOran)</f>
        <v/>
      </c>
      <c r="L803" s="124">
        <f>IF($G803=0,0,$J803/$G803)</f>
        <v/>
      </c>
      <c r="M803" s="124">
        <f>IF($L803=0,0,$L803*YenidegerKurumlarVergiOran)</f>
        <v/>
      </c>
      <c r="N803" s="124">
        <f>IFERROR(IF(YenidegerIskontoOrani=0,$M803*$G803,$M803*(1-1/(1+YenidegerIskontoOrani)^$G803)/YenidegerIskontoOrani),0)</f>
        <v/>
      </c>
      <c r="O803" s="124">
        <f>$N803-$K803</f>
        <v/>
      </c>
      <c r="P803" s="124">
        <f>IF($J803&lt;=0,"DEĞERLENDİR",IF($O803&gt;0,"YENİDEN DEĞERLE","DEĞERLENDİR"))</f>
        <v/>
      </c>
      <c r="Q803" s="124">
        <f>IF($B803="","",CONCATENATE("Kıymet: ",$B803," | Değer Artışı: ",TEXT($J803,"#,##0")))</f>
        <v/>
      </c>
    </row>
    <row r="804" ht="15.75" customHeight="1" s="81">
      <c r="A804" s="129" t="n"/>
      <c r="B804" s="130" t="n"/>
      <c r="C804" s="127" t="n"/>
      <c r="D804" s="127" t="n"/>
      <c r="E804" s="124">
        <f>IF($C804=0,0,$C804-$D804)</f>
        <v/>
      </c>
      <c r="F804" s="128" t="n"/>
      <c r="G804" s="129" t="n"/>
      <c r="H804" s="131" t="n"/>
      <c r="I804" s="124">
        <f>IF($E804=0,0,$E804*$H804)</f>
        <v/>
      </c>
      <c r="J804" s="124">
        <f>IF($I804=0,0,$I804-$E804)</f>
        <v/>
      </c>
      <c r="K804" s="124">
        <f>IF($J804=0,0,$J804*YenidegerFonOran)</f>
        <v/>
      </c>
      <c r="L804" s="124">
        <f>IF($G804=0,0,$J804/$G804)</f>
        <v/>
      </c>
      <c r="M804" s="124">
        <f>IF($L804=0,0,$L804*YenidegerKurumlarVergiOran)</f>
        <v/>
      </c>
      <c r="N804" s="124">
        <f>IFERROR(IF(YenidegerIskontoOrani=0,$M804*$G804,$M804*(1-1/(1+YenidegerIskontoOrani)^$G804)/YenidegerIskontoOrani),0)</f>
        <v/>
      </c>
      <c r="O804" s="124">
        <f>$N804-$K804</f>
        <v/>
      </c>
      <c r="P804" s="124">
        <f>IF($J804&lt;=0,"DEĞERLENDİR",IF($O804&gt;0,"YENİDEN DEĞERLE","DEĞERLENDİR"))</f>
        <v/>
      </c>
      <c r="Q804" s="124">
        <f>IF($B804="","",CONCATENATE("Kıymet: ",$B804," | Değer Artışı: ",TEXT($J804,"#,##0")))</f>
        <v/>
      </c>
    </row>
    <row r="805" ht="15.75" customHeight="1" s="81">
      <c r="A805" s="129" t="n"/>
      <c r="B805" s="130" t="n"/>
      <c r="C805" s="127" t="n"/>
      <c r="D805" s="127" t="n"/>
      <c r="E805" s="124">
        <f>IF($C805=0,0,$C805-$D805)</f>
        <v/>
      </c>
      <c r="F805" s="128" t="n"/>
      <c r="G805" s="129" t="n"/>
      <c r="H805" s="131" t="n"/>
      <c r="I805" s="124">
        <f>IF($E805=0,0,$E805*$H805)</f>
        <v/>
      </c>
      <c r="J805" s="124">
        <f>IF($I805=0,0,$I805-$E805)</f>
        <v/>
      </c>
      <c r="K805" s="124">
        <f>IF($J805=0,0,$J805*YenidegerFonOran)</f>
        <v/>
      </c>
      <c r="L805" s="124">
        <f>IF($G805=0,0,$J805/$G805)</f>
        <v/>
      </c>
      <c r="M805" s="124">
        <f>IF($L805=0,0,$L805*YenidegerKurumlarVergiOran)</f>
        <v/>
      </c>
      <c r="N805" s="124">
        <f>IFERROR(IF(YenidegerIskontoOrani=0,$M805*$G805,$M805*(1-1/(1+YenidegerIskontoOrani)^$G805)/YenidegerIskontoOrani),0)</f>
        <v/>
      </c>
      <c r="O805" s="124">
        <f>$N805-$K805</f>
        <v/>
      </c>
      <c r="P805" s="124">
        <f>IF($J805&lt;=0,"DEĞERLENDİR",IF($O805&gt;0,"YENİDEN DEĞERLE","DEĞERLENDİR"))</f>
        <v/>
      </c>
      <c r="Q805" s="124">
        <f>IF($B805="","",CONCATENATE("Kıymet: ",$B805," | Değer Artışı: ",TEXT($J805,"#,##0")))</f>
        <v/>
      </c>
    </row>
    <row r="806" ht="15.75" customHeight="1" s="81">
      <c r="A806" s="129" t="n"/>
      <c r="B806" s="130" t="n"/>
      <c r="C806" s="127" t="n"/>
      <c r="D806" s="127" t="n"/>
      <c r="E806" s="124">
        <f>IF($C806=0,0,$C806-$D806)</f>
        <v/>
      </c>
      <c r="F806" s="128" t="n"/>
      <c r="G806" s="129" t="n"/>
      <c r="H806" s="131" t="n"/>
      <c r="I806" s="124">
        <f>IF($E806=0,0,$E806*$H806)</f>
        <v/>
      </c>
      <c r="J806" s="124">
        <f>IF($I806=0,0,$I806-$E806)</f>
        <v/>
      </c>
      <c r="K806" s="124">
        <f>IF($J806=0,0,$J806*YenidegerFonOran)</f>
        <v/>
      </c>
      <c r="L806" s="124">
        <f>IF($G806=0,0,$J806/$G806)</f>
        <v/>
      </c>
      <c r="M806" s="124">
        <f>IF($L806=0,0,$L806*YenidegerKurumlarVergiOran)</f>
        <v/>
      </c>
      <c r="N806" s="124">
        <f>IFERROR(IF(YenidegerIskontoOrani=0,$M806*$G806,$M806*(1-1/(1+YenidegerIskontoOrani)^$G806)/YenidegerIskontoOrani),0)</f>
        <v/>
      </c>
      <c r="O806" s="124">
        <f>$N806-$K806</f>
        <v/>
      </c>
      <c r="P806" s="124">
        <f>IF($J806&lt;=0,"DEĞERLENDİR",IF($O806&gt;0,"YENİDEN DEĞERLE","DEĞERLENDİR"))</f>
        <v/>
      </c>
      <c r="Q806" s="124">
        <f>IF($B806="","",CONCATENATE("Kıymet: ",$B806," | Değer Artışı: ",TEXT($J806,"#,##0")))</f>
        <v/>
      </c>
    </row>
    <row r="807" ht="15.75" customHeight="1" s="81">
      <c r="A807" s="129" t="n"/>
      <c r="B807" s="130" t="n"/>
      <c r="C807" s="127" t="n"/>
      <c r="D807" s="127" t="n"/>
      <c r="E807" s="124">
        <f>IF($C807=0,0,$C807-$D807)</f>
        <v/>
      </c>
      <c r="F807" s="128" t="n"/>
      <c r="G807" s="129" t="n"/>
      <c r="H807" s="131" t="n"/>
      <c r="I807" s="124">
        <f>IF($E807=0,0,$E807*$H807)</f>
        <v/>
      </c>
      <c r="J807" s="124">
        <f>IF($I807=0,0,$I807-$E807)</f>
        <v/>
      </c>
      <c r="K807" s="124">
        <f>IF($J807=0,0,$J807*YenidegerFonOran)</f>
        <v/>
      </c>
      <c r="L807" s="124">
        <f>IF($G807=0,0,$J807/$G807)</f>
        <v/>
      </c>
      <c r="M807" s="124">
        <f>IF($L807=0,0,$L807*YenidegerKurumlarVergiOran)</f>
        <v/>
      </c>
      <c r="N807" s="124">
        <f>IFERROR(IF(YenidegerIskontoOrani=0,$M807*$G807,$M807*(1-1/(1+YenidegerIskontoOrani)^$G807)/YenidegerIskontoOrani),0)</f>
        <v/>
      </c>
      <c r="O807" s="124">
        <f>$N807-$K807</f>
        <v/>
      </c>
      <c r="P807" s="124">
        <f>IF($J807&lt;=0,"DEĞERLENDİR",IF($O807&gt;0,"YENİDEN DEĞERLE","DEĞERLENDİR"))</f>
        <v/>
      </c>
      <c r="Q807" s="124">
        <f>IF($B807="","",CONCATENATE("Kıymet: ",$B807," | Değer Artışı: ",TEXT($J807,"#,##0")))</f>
        <v/>
      </c>
    </row>
    <row r="808" ht="15.75" customHeight="1" s="81">
      <c r="A808" s="129" t="n"/>
      <c r="B808" s="130" t="n"/>
      <c r="C808" s="127" t="n"/>
      <c r="D808" s="127" t="n"/>
      <c r="E808" s="124">
        <f>IF($C808=0,0,$C808-$D808)</f>
        <v/>
      </c>
      <c r="F808" s="128" t="n"/>
      <c r="G808" s="129" t="n"/>
      <c r="H808" s="131" t="n"/>
      <c r="I808" s="124">
        <f>IF($E808=0,0,$E808*$H808)</f>
        <v/>
      </c>
      <c r="J808" s="124">
        <f>IF($I808=0,0,$I808-$E808)</f>
        <v/>
      </c>
      <c r="K808" s="124">
        <f>IF($J808=0,0,$J808*YenidegerFonOran)</f>
        <v/>
      </c>
      <c r="L808" s="124">
        <f>IF($G808=0,0,$J808/$G808)</f>
        <v/>
      </c>
      <c r="M808" s="124">
        <f>IF($L808=0,0,$L808*YenidegerKurumlarVergiOran)</f>
        <v/>
      </c>
      <c r="N808" s="124">
        <f>IFERROR(IF(YenidegerIskontoOrani=0,$M808*$G808,$M808*(1-1/(1+YenidegerIskontoOrani)^$G808)/YenidegerIskontoOrani),0)</f>
        <v/>
      </c>
      <c r="O808" s="124">
        <f>$N808-$K808</f>
        <v/>
      </c>
      <c r="P808" s="124">
        <f>IF($J808&lt;=0,"DEĞERLENDİR",IF($O808&gt;0,"YENİDEN DEĞERLE","DEĞERLENDİR"))</f>
        <v/>
      </c>
      <c r="Q808" s="124">
        <f>IF($B808="","",CONCATENATE("Kıymet: ",$B808," | Değer Artışı: ",TEXT($J808,"#,##0")))</f>
        <v/>
      </c>
    </row>
    <row r="809" ht="15.75" customHeight="1" s="81">
      <c r="A809" s="129" t="n"/>
      <c r="B809" s="130" t="n"/>
      <c r="C809" s="127" t="n"/>
      <c r="D809" s="127" t="n"/>
      <c r="E809" s="124">
        <f>IF($C809=0,0,$C809-$D809)</f>
        <v/>
      </c>
      <c r="F809" s="128" t="n"/>
      <c r="G809" s="129" t="n"/>
      <c r="H809" s="131" t="n"/>
      <c r="I809" s="124">
        <f>IF($E809=0,0,$E809*$H809)</f>
        <v/>
      </c>
      <c r="J809" s="124">
        <f>IF($I809=0,0,$I809-$E809)</f>
        <v/>
      </c>
      <c r="K809" s="124">
        <f>IF($J809=0,0,$J809*YenidegerFonOran)</f>
        <v/>
      </c>
      <c r="L809" s="124">
        <f>IF($G809=0,0,$J809/$G809)</f>
        <v/>
      </c>
      <c r="M809" s="124">
        <f>IF($L809=0,0,$L809*YenidegerKurumlarVergiOran)</f>
        <v/>
      </c>
      <c r="N809" s="124">
        <f>IFERROR(IF(YenidegerIskontoOrani=0,$M809*$G809,$M809*(1-1/(1+YenidegerIskontoOrani)^$G809)/YenidegerIskontoOrani),0)</f>
        <v/>
      </c>
      <c r="O809" s="124">
        <f>$N809-$K809</f>
        <v/>
      </c>
      <c r="P809" s="124">
        <f>IF($J809&lt;=0,"DEĞERLENDİR",IF($O809&gt;0,"YENİDEN DEĞERLE","DEĞERLENDİR"))</f>
        <v/>
      </c>
      <c r="Q809" s="124">
        <f>IF($B809="","",CONCATENATE("Kıymet: ",$B809," | Değer Artışı: ",TEXT($J809,"#,##0")))</f>
        <v/>
      </c>
    </row>
    <row r="810" ht="15.75" customHeight="1" s="81">
      <c r="A810" s="129" t="n"/>
      <c r="B810" s="130" t="n"/>
      <c r="C810" s="127" t="n"/>
      <c r="D810" s="127" t="n"/>
      <c r="E810" s="124">
        <f>IF($C810=0,0,$C810-$D810)</f>
        <v/>
      </c>
      <c r="F810" s="128" t="n"/>
      <c r="G810" s="129" t="n"/>
      <c r="H810" s="131" t="n"/>
      <c r="I810" s="124">
        <f>IF($E810=0,0,$E810*$H810)</f>
        <v/>
      </c>
      <c r="J810" s="124">
        <f>IF($I810=0,0,$I810-$E810)</f>
        <v/>
      </c>
      <c r="K810" s="124">
        <f>IF($J810=0,0,$J810*YenidegerFonOran)</f>
        <v/>
      </c>
      <c r="L810" s="124">
        <f>IF($G810=0,0,$J810/$G810)</f>
        <v/>
      </c>
      <c r="M810" s="124">
        <f>IF($L810=0,0,$L810*YenidegerKurumlarVergiOran)</f>
        <v/>
      </c>
      <c r="N810" s="124">
        <f>IFERROR(IF(YenidegerIskontoOrani=0,$M810*$G810,$M810*(1-1/(1+YenidegerIskontoOrani)^$G810)/YenidegerIskontoOrani),0)</f>
        <v/>
      </c>
      <c r="O810" s="124">
        <f>$N810-$K810</f>
        <v/>
      </c>
      <c r="P810" s="124">
        <f>IF($J810&lt;=0,"DEĞERLENDİR",IF($O810&gt;0,"YENİDEN DEĞERLE","DEĞERLENDİR"))</f>
        <v/>
      </c>
      <c r="Q810" s="124">
        <f>IF($B810="","",CONCATENATE("Kıymet: ",$B810," | Değer Artışı: ",TEXT($J810,"#,##0")))</f>
        <v/>
      </c>
    </row>
    <row r="811" ht="15.75" customHeight="1" s="81">
      <c r="A811" s="129" t="n"/>
      <c r="B811" s="130" t="n"/>
      <c r="C811" s="127" t="n"/>
      <c r="D811" s="127" t="n"/>
      <c r="E811" s="124">
        <f>IF($C811=0,0,$C811-$D811)</f>
        <v/>
      </c>
      <c r="F811" s="128" t="n"/>
      <c r="G811" s="129" t="n"/>
      <c r="H811" s="131" t="n"/>
      <c r="I811" s="124">
        <f>IF($E811=0,0,$E811*$H811)</f>
        <v/>
      </c>
      <c r="J811" s="124">
        <f>IF($I811=0,0,$I811-$E811)</f>
        <v/>
      </c>
      <c r="K811" s="124">
        <f>IF($J811=0,0,$J811*YenidegerFonOran)</f>
        <v/>
      </c>
      <c r="L811" s="124">
        <f>IF($G811=0,0,$J811/$G811)</f>
        <v/>
      </c>
      <c r="M811" s="124">
        <f>IF($L811=0,0,$L811*YenidegerKurumlarVergiOran)</f>
        <v/>
      </c>
      <c r="N811" s="124">
        <f>IFERROR(IF(YenidegerIskontoOrani=0,$M811*$G811,$M811*(1-1/(1+YenidegerIskontoOrani)^$G811)/YenidegerIskontoOrani),0)</f>
        <v/>
      </c>
      <c r="O811" s="124">
        <f>$N811-$K811</f>
        <v/>
      </c>
      <c r="P811" s="124">
        <f>IF($J811&lt;=0,"DEĞERLENDİR",IF($O811&gt;0,"YENİDEN DEĞERLE","DEĞERLENDİR"))</f>
        <v/>
      </c>
      <c r="Q811" s="124">
        <f>IF($B811="","",CONCATENATE("Kıymet: ",$B811," | Değer Artışı: ",TEXT($J811,"#,##0")))</f>
        <v/>
      </c>
    </row>
    <row r="812" ht="15.75" customHeight="1" s="81">
      <c r="A812" s="129" t="n"/>
      <c r="B812" s="130" t="n"/>
      <c r="C812" s="127" t="n"/>
      <c r="D812" s="127" t="n"/>
      <c r="E812" s="124">
        <f>IF($C812=0,0,$C812-$D812)</f>
        <v/>
      </c>
      <c r="F812" s="128" t="n"/>
      <c r="G812" s="129" t="n"/>
      <c r="H812" s="131" t="n"/>
      <c r="I812" s="124">
        <f>IF($E812=0,0,$E812*$H812)</f>
        <v/>
      </c>
      <c r="J812" s="124">
        <f>IF($I812=0,0,$I812-$E812)</f>
        <v/>
      </c>
      <c r="K812" s="124">
        <f>IF($J812=0,0,$J812*YenidegerFonOran)</f>
        <v/>
      </c>
      <c r="L812" s="124">
        <f>IF($G812=0,0,$J812/$G812)</f>
        <v/>
      </c>
      <c r="M812" s="124">
        <f>IF($L812=0,0,$L812*YenidegerKurumlarVergiOran)</f>
        <v/>
      </c>
      <c r="N812" s="124">
        <f>IFERROR(IF(YenidegerIskontoOrani=0,$M812*$G812,$M812*(1-1/(1+YenidegerIskontoOrani)^$G812)/YenidegerIskontoOrani),0)</f>
        <v/>
      </c>
      <c r="O812" s="124">
        <f>$N812-$K812</f>
        <v/>
      </c>
      <c r="P812" s="124">
        <f>IF($J812&lt;=0,"DEĞERLENDİR",IF($O812&gt;0,"YENİDEN DEĞERLE","DEĞERLENDİR"))</f>
        <v/>
      </c>
      <c r="Q812" s="124">
        <f>IF($B812="","",CONCATENATE("Kıymet: ",$B812," | Değer Artışı: ",TEXT($J812,"#,##0")))</f>
        <v/>
      </c>
    </row>
    <row r="813" ht="15.75" customHeight="1" s="81">
      <c r="A813" s="129" t="n"/>
      <c r="B813" s="130" t="n"/>
      <c r="C813" s="127" t="n"/>
      <c r="D813" s="127" t="n"/>
      <c r="E813" s="124">
        <f>IF($C813=0,0,$C813-$D813)</f>
        <v/>
      </c>
      <c r="F813" s="128" t="n"/>
      <c r="G813" s="129" t="n"/>
      <c r="H813" s="131" t="n"/>
      <c r="I813" s="124">
        <f>IF($E813=0,0,$E813*$H813)</f>
        <v/>
      </c>
      <c r="J813" s="124">
        <f>IF($I813=0,0,$I813-$E813)</f>
        <v/>
      </c>
      <c r="K813" s="124">
        <f>IF($J813=0,0,$J813*YenidegerFonOran)</f>
        <v/>
      </c>
      <c r="L813" s="124">
        <f>IF($G813=0,0,$J813/$G813)</f>
        <v/>
      </c>
      <c r="M813" s="124">
        <f>IF($L813=0,0,$L813*YenidegerKurumlarVergiOran)</f>
        <v/>
      </c>
      <c r="N813" s="124">
        <f>IFERROR(IF(YenidegerIskontoOrani=0,$M813*$G813,$M813*(1-1/(1+YenidegerIskontoOrani)^$G813)/YenidegerIskontoOrani),0)</f>
        <v/>
      </c>
      <c r="O813" s="124">
        <f>$N813-$K813</f>
        <v/>
      </c>
      <c r="P813" s="124">
        <f>IF($J813&lt;=0,"DEĞERLENDİR",IF($O813&gt;0,"YENİDEN DEĞERLE","DEĞERLENDİR"))</f>
        <v/>
      </c>
      <c r="Q813" s="124">
        <f>IF($B813="","",CONCATENATE("Kıymet: ",$B813," | Değer Artışı: ",TEXT($J813,"#,##0")))</f>
        <v/>
      </c>
    </row>
    <row r="814" ht="15.75" customHeight="1" s="81">
      <c r="A814" s="129" t="n"/>
      <c r="B814" s="130" t="n"/>
      <c r="C814" s="127" t="n"/>
      <c r="D814" s="127" t="n"/>
      <c r="E814" s="124">
        <f>IF($C814=0,0,$C814-$D814)</f>
        <v/>
      </c>
      <c r="F814" s="128" t="n"/>
      <c r="G814" s="129" t="n"/>
      <c r="H814" s="131" t="n"/>
      <c r="I814" s="124">
        <f>IF($E814=0,0,$E814*$H814)</f>
        <v/>
      </c>
      <c r="J814" s="124">
        <f>IF($I814=0,0,$I814-$E814)</f>
        <v/>
      </c>
      <c r="K814" s="124">
        <f>IF($J814=0,0,$J814*YenidegerFonOran)</f>
        <v/>
      </c>
      <c r="L814" s="124">
        <f>IF($G814=0,0,$J814/$G814)</f>
        <v/>
      </c>
      <c r="M814" s="124">
        <f>IF($L814=0,0,$L814*YenidegerKurumlarVergiOran)</f>
        <v/>
      </c>
      <c r="N814" s="124">
        <f>IFERROR(IF(YenidegerIskontoOrani=0,$M814*$G814,$M814*(1-1/(1+YenidegerIskontoOrani)^$G814)/YenidegerIskontoOrani),0)</f>
        <v/>
      </c>
      <c r="O814" s="124">
        <f>$N814-$K814</f>
        <v/>
      </c>
      <c r="P814" s="124">
        <f>IF($J814&lt;=0,"DEĞERLENDİR",IF($O814&gt;0,"YENİDEN DEĞERLE","DEĞERLENDİR"))</f>
        <v/>
      </c>
      <c r="Q814" s="124">
        <f>IF($B814="","",CONCATENATE("Kıymet: ",$B814," | Değer Artışı: ",TEXT($J814,"#,##0")))</f>
        <v/>
      </c>
    </row>
    <row r="815" ht="15.75" customHeight="1" s="81">
      <c r="A815" s="129" t="n"/>
      <c r="B815" s="130" t="n"/>
      <c r="C815" s="127" t="n"/>
      <c r="D815" s="127" t="n"/>
      <c r="E815" s="124">
        <f>IF($C815=0,0,$C815-$D815)</f>
        <v/>
      </c>
      <c r="F815" s="128" t="n"/>
      <c r="G815" s="129" t="n"/>
      <c r="H815" s="131" t="n"/>
      <c r="I815" s="124">
        <f>IF($E815=0,0,$E815*$H815)</f>
        <v/>
      </c>
      <c r="J815" s="124">
        <f>IF($I815=0,0,$I815-$E815)</f>
        <v/>
      </c>
      <c r="K815" s="124">
        <f>IF($J815=0,0,$J815*YenidegerFonOran)</f>
        <v/>
      </c>
      <c r="L815" s="124">
        <f>IF($G815=0,0,$J815/$G815)</f>
        <v/>
      </c>
      <c r="M815" s="124">
        <f>IF($L815=0,0,$L815*YenidegerKurumlarVergiOran)</f>
        <v/>
      </c>
      <c r="N815" s="124">
        <f>IFERROR(IF(YenidegerIskontoOrani=0,$M815*$G815,$M815*(1-1/(1+YenidegerIskontoOrani)^$G815)/YenidegerIskontoOrani),0)</f>
        <v/>
      </c>
      <c r="O815" s="124">
        <f>$N815-$K815</f>
        <v/>
      </c>
      <c r="P815" s="124">
        <f>IF($J815&lt;=0,"DEĞERLENDİR",IF($O815&gt;0,"YENİDEN DEĞERLE","DEĞERLENDİR"))</f>
        <v/>
      </c>
      <c r="Q815" s="124">
        <f>IF($B815="","",CONCATENATE("Kıymet: ",$B815," | Değer Artışı: ",TEXT($J815,"#,##0")))</f>
        <v/>
      </c>
    </row>
    <row r="816" ht="15.75" customHeight="1" s="81">
      <c r="A816" s="129" t="n"/>
      <c r="B816" s="130" t="n"/>
      <c r="C816" s="127" t="n"/>
      <c r="D816" s="127" t="n"/>
      <c r="E816" s="124">
        <f>IF($C816=0,0,$C816-$D816)</f>
        <v/>
      </c>
      <c r="F816" s="128" t="n"/>
      <c r="G816" s="129" t="n"/>
      <c r="H816" s="131" t="n"/>
      <c r="I816" s="124">
        <f>IF($E816=0,0,$E816*$H816)</f>
        <v/>
      </c>
      <c r="J816" s="124">
        <f>IF($I816=0,0,$I816-$E816)</f>
        <v/>
      </c>
      <c r="K816" s="124">
        <f>IF($J816=0,0,$J816*YenidegerFonOran)</f>
        <v/>
      </c>
      <c r="L816" s="124">
        <f>IF($G816=0,0,$J816/$G816)</f>
        <v/>
      </c>
      <c r="M816" s="124">
        <f>IF($L816=0,0,$L816*YenidegerKurumlarVergiOran)</f>
        <v/>
      </c>
      <c r="N816" s="124">
        <f>IFERROR(IF(YenidegerIskontoOrani=0,$M816*$G816,$M816*(1-1/(1+YenidegerIskontoOrani)^$G816)/YenidegerIskontoOrani),0)</f>
        <v/>
      </c>
      <c r="O816" s="124">
        <f>$N816-$K816</f>
        <v/>
      </c>
      <c r="P816" s="124">
        <f>IF($J816&lt;=0,"DEĞERLENDİR",IF($O816&gt;0,"YENİDEN DEĞERLE","DEĞERLENDİR"))</f>
        <v/>
      </c>
      <c r="Q816" s="124">
        <f>IF($B816="","",CONCATENATE("Kıymet: ",$B816," | Değer Artışı: ",TEXT($J816,"#,##0")))</f>
        <v/>
      </c>
    </row>
    <row r="817" ht="15.75" customHeight="1" s="81">
      <c r="A817" s="129" t="n"/>
      <c r="B817" s="130" t="n"/>
      <c r="C817" s="127" t="n"/>
      <c r="D817" s="127" t="n"/>
      <c r="E817" s="124">
        <f>IF($C817=0,0,$C817-$D817)</f>
        <v/>
      </c>
      <c r="F817" s="128" t="n"/>
      <c r="G817" s="129" t="n"/>
      <c r="H817" s="131" t="n"/>
      <c r="I817" s="124">
        <f>IF($E817=0,0,$E817*$H817)</f>
        <v/>
      </c>
      <c r="J817" s="124">
        <f>IF($I817=0,0,$I817-$E817)</f>
        <v/>
      </c>
      <c r="K817" s="124">
        <f>IF($J817=0,0,$J817*YenidegerFonOran)</f>
        <v/>
      </c>
      <c r="L817" s="124">
        <f>IF($G817=0,0,$J817/$G817)</f>
        <v/>
      </c>
      <c r="M817" s="124">
        <f>IF($L817=0,0,$L817*YenidegerKurumlarVergiOran)</f>
        <v/>
      </c>
      <c r="N817" s="124">
        <f>IFERROR(IF(YenidegerIskontoOrani=0,$M817*$G817,$M817*(1-1/(1+YenidegerIskontoOrani)^$G817)/YenidegerIskontoOrani),0)</f>
        <v/>
      </c>
      <c r="O817" s="124">
        <f>$N817-$K817</f>
        <v/>
      </c>
      <c r="P817" s="124">
        <f>IF($J817&lt;=0,"DEĞERLENDİR",IF($O817&gt;0,"YENİDEN DEĞERLE","DEĞERLENDİR"))</f>
        <v/>
      </c>
      <c r="Q817" s="124">
        <f>IF($B817="","",CONCATENATE("Kıymet: ",$B817," | Değer Artışı: ",TEXT($J817,"#,##0")))</f>
        <v/>
      </c>
    </row>
    <row r="818" ht="15.75" customHeight="1" s="81">
      <c r="A818" s="129" t="n"/>
      <c r="B818" s="130" t="n"/>
      <c r="C818" s="127" t="n"/>
      <c r="D818" s="127" t="n"/>
      <c r="E818" s="124">
        <f>IF($C818=0,0,$C818-$D818)</f>
        <v/>
      </c>
      <c r="F818" s="128" t="n"/>
      <c r="G818" s="129" t="n"/>
      <c r="H818" s="131" t="n"/>
      <c r="I818" s="124">
        <f>IF($E818=0,0,$E818*$H818)</f>
        <v/>
      </c>
      <c r="J818" s="124">
        <f>IF($I818=0,0,$I818-$E818)</f>
        <v/>
      </c>
      <c r="K818" s="124">
        <f>IF($J818=0,0,$J818*YenidegerFonOran)</f>
        <v/>
      </c>
      <c r="L818" s="124">
        <f>IF($G818=0,0,$J818/$G818)</f>
        <v/>
      </c>
      <c r="M818" s="124">
        <f>IF($L818=0,0,$L818*YenidegerKurumlarVergiOran)</f>
        <v/>
      </c>
      <c r="N818" s="124">
        <f>IFERROR(IF(YenidegerIskontoOrani=0,$M818*$G818,$M818*(1-1/(1+YenidegerIskontoOrani)^$G818)/YenidegerIskontoOrani),0)</f>
        <v/>
      </c>
      <c r="O818" s="124">
        <f>$N818-$K818</f>
        <v/>
      </c>
      <c r="P818" s="124">
        <f>IF($J818&lt;=0,"DEĞERLENDİR",IF($O818&gt;0,"YENİDEN DEĞERLE","DEĞERLENDİR"))</f>
        <v/>
      </c>
      <c r="Q818" s="124">
        <f>IF($B818="","",CONCATENATE("Kıymet: ",$B818," | Değer Artışı: ",TEXT($J818,"#,##0")))</f>
        <v/>
      </c>
    </row>
    <row r="819" ht="15.75" customHeight="1" s="81">
      <c r="A819" s="129" t="n"/>
      <c r="B819" s="130" t="n"/>
      <c r="C819" s="127" t="n"/>
      <c r="D819" s="127" t="n"/>
      <c r="E819" s="124">
        <f>IF($C819=0,0,$C819-$D819)</f>
        <v/>
      </c>
      <c r="F819" s="128" t="n"/>
      <c r="G819" s="129" t="n"/>
      <c r="H819" s="131" t="n"/>
      <c r="I819" s="124">
        <f>IF($E819=0,0,$E819*$H819)</f>
        <v/>
      </c>
      <c r="J819" s="124">
        <f>IF($I819=0,0,$I819-$E819)</f>
        <v/>
      </c>
      <c r="K819" s="124">
        <f>IF($J819=0,0,$J819*YenidegerFonOran)</f>
        <v/>
      </c>
      <c r="L819" s="124">
        <f>IF($G819=0,0,$J819/$G819)</f>
        <v/>
      </c>
      <c r="M819" s="124">
        <f>IF($L819=0,0,$L819*YenidegerKurumlarVergiOran)</f>
        <v/>
      </c>
      <c r="N819" s="124">
        <f>IFERROR(IF(YenidegerIskontoOrani=0,$M819*$G819,$M819*(1-1/(1+YenidegerIskontoOrani)^$G819)/YenidegerIskontoOrani),0)</f>
        <v/>
      </c>
      <c r="O819" s="124">
        <f>$N819-$K819</f>
        <v/>
      </c>
      <c r="P819" s="124">
        <f>IF($J819&lt;=0,"DEĞERLENDİR",IF($O819&gt;0,"YENİDEN DEĞERLE","DEĞERLENDİR"))</f>
        <v/>
      </c>
      <c r="Q819" s="124">
        <f>IF($B819="","",CONCATENATE("Kıymet: ",$B819," | Değer Artışı: ",TEXT($J819,"#,##0")))</f>
        <v/>
      </c>
    </row>
    <row r="820" ht="15.75" customHeight="1" s="81">
      <c r="A820" s="129" t="n"/>
      <c r="B820" s="130" t="n"/>
      <c r="C820" s="127" t="n"/>
      <c r="D820" s="127" t="n"/>
      <c r="E820" s="124">
        <f>IF($C820=0,0,$C820-$D820)</f>
        <v/>
      </c>
      <c r="F820" s="128" t="n"/>
      <c r="G820" s="129" t="n"/>
      <c r="H820" s="131" t="n"/>
      <c r="I820" s="124">
        <f>IF($E820=0,0,$E820*$H820)</f>
        <v/>
      </c>
      <c r="J820" s="124">
        <f>IF($I820=0,0,$I820-$E820)</f>
        <v/>
      </c>
      <c r="K820" s="124">
        <f>IF($J820=0,0,$J820*YenidegerFonOran)</f>
        <v/>
      </c>
      <c r="L820" s="124">
        <f>IF($G820=0,0,$J820/$G820)</f>
        <v/>
      </c>
      <c r="M820" s="124">
        <f>IF($L820=0,0,$L820*YenidegerKurumlarVergiOran)</f>
        <v/>
      </c>
      <c r="N820" s="124">
        <f>IFERROR(IF(YenidegerIskontoOrani=0,$M820*$G820,$M820*(1-1/(1+YenidegerIskontoOrani)^$G820)/YenidegerIskontoOrani),0)</f>
        <v/>
      </c>
      <c r="O820" s="124">
        <f>$N820-$K820</f>
        <v/>
      </c>
      <c r="P820" s="124">
        <f>IF($J820&lt;=0,"DEĞERLENDİR",IF($O820&gt;0,"YENİDEN DEĞERLE","DEĞERLENDİR"))</f>
        <v/>
      </c>
      <c r="Q820" s="124">
        <f>IF($B820="","",CONCATENATE("Kıymet: ",$B820," | Değer Artışı: ",TEXT($J820,"#,##0")))</f>
        <v/>
      </c>
    </row>
    <row r="821" ht="15.75" customHeight="1" s="81">
      <c r="A821" s="129" t="n"/>
      <c r="B821" s="130" t="n"/>
      <c r="C821" s="127" t="n"/>
      <c r="D821" s="127" t="n"/>
      <c r="E821" s="124">
        <f>IF($C821=0,0,$C821-$D821)</f>
        <v/>
      </c>
      <c r="F821" s="128" t="n"/>
      <c r="G821" s="129" t="n"/>
      <c r="H821" s="131" t="n"/>
      <c r="I821" s="124">
        <f>IF($E821=0,0,$E821*$H821)</f>
        <v/>
      </c>
      <c r="J821" s="124">
        <f>IF($I821=0,0,$I821-$E821)</f>
        <v/>
      </c>
      <c r="K821" s="124">
        <f>IF($J821=0,0,$J821*YenidegerFonOran)</f>
        <v/>
      </c>
      <c r="L821" s="124">
        <f>IF($G821=0,0,$J821/$G821)</f>
        <v/>
      </c>
      <c r="M821" s="124">
        <f>IF($L821=0,0,$L821*YenidegerKurumlarVergiOran)</f>
        <v/>
      </c>
      <c r="N821" s="124">
        <f>IFERROR(IF(YenidegerIskontoOrani=0,$M821*$G821,$M821*(1-1/(1+YenidegerIskontoOrani)^$G821)/YenidegerIskontoOrani),0)</f>
        <v/>
      </c>
      <c r="O821" s="124">
        <f>$N821-$K821</f>
        <v/>
      </c>
      <c r="P821" s="124">
        <f>IF($J821&lt;=0,"DEĞERLENDİR",IF($O821&gt;0,"YENİDEN DEĞERLE","DEĞERLENDİR"))</f>
        <v/>
      </c>
      <c r="Q821" s="124">
        <f>IF($B821="","",CONCATENATE("Kıymet: ",$B821," | Değer Artışı: ",TEXT($J821,"#,##0")))</f>
        <v/>
      </c>
    </row>
    <row r="822" ht="15.75" customHeight="1" s="81">
      <c r="A822" s="129" t="n"/>
      <c r="B822" s="130" t="n"/>
      <c r="C822" s="127" t="n"/>
      <c r="D822" s="127" t="n"/>
      <c r="E822" s="124">
        <f>IF($C822=0,0,$C822-$D822)</f>
        <v/>
      </c>
      <c r="F822" s="128" t="n"/>
      <c r="G822" s="129" t="n"/>
      <c r="H822" s="131" t="n"/>
      <c r="I822" s="124">
        <f>IF($E822=0,0,$E822*$H822)</f>
        <v/>
      </c>
      <c r="J822" s="124">
        <f>IF($I822=0,0,$I822-$E822)</f>
        <v/>
      </c>
      <c r="K822" s="124">
        <f>IF($J822=0,0,$J822*YenidegerFonOran)</f>
        <v/>
      </c>
      <c r="L822" s="124">
        <f>IF($G822=0,0,$J822/$G822)</f>
        <v/>
      </c>
      <c r="M822" s="124">
        <f>IF($L822=0,0,$L822*YenidegerKurumlarVergiOran)</f>
        <v/>
      </c>
      <c r="N822" s="124">
        <f>IFERROR(IF(YenidegerIskontoOrani=0,$M822*$G822,$M822*(1-1/(1+YenidegerIskontoOrani)^$G822)/YenidegerIskontoOrani),0)</f>
        <v/>
      </c>
      <c r="O822" s="124">
        <f>$N822-$K822</f>
        <v/>
      </c>
      <c r="P822" s="124">
        <f>IF($J822&lt;=0,"DEĞERLENDİR",IF($O822&gt;0,"YENİDEN DEĞERLE","DEĞERLENDİR"))</f>
        <v/>
      </c>
      <c r="Q822" s="124">
        <f>IF($B822="","",CONCATENATE("Kıymet: ",$B822," | Değer Artışı: ",TEXT($J822,"#,##0")))</f>
        <v/>
      </c>
    </row>
    <row r="823" ht="15.75" customHeight="1" s="81">
      <c r="A823" s="129" t="n"/>
      <c r="B823" s="130" t="n"/>
      <c r="C823" s="127" t="n"/>
      <c r="D823" s="127" t="n"/>
      <c r="E823" s="124">
        <f>IF($C823=0,0,$C823-$D823)</f>
        <v/>
      </c>
      <c r="F823" s="128" t="n"/>
      <c r="G823" s="129" t="n"/>
      <c r="H823" s="131" t="n"/>
      <c r="I823" s="124">
        <f>IF($E823=0,0,$E823*$H823)</f>
        <v/>
      </c>
      <c r="J823" s="124">
        <f>IF($I823=0,0,$I823-$E823)</f>
        <v/>
      </c>
      <c r="K823" s="124">
        <f>IF($J823=0,0,$J823*YenidegerFonOran)</f>
        <v/>
      </c>
      <c r="L823" s="124">
        <f>IF($G823=0,0,$J823/$G823)</f>
        <v/>
      </c>
      <c r="M823" s="124">
        <f>IF($L823=0,0,$L823*YenidegerKurumlarVergiOran)</f>
        <v/>
      </c>
      <c r="N823" s="124">
        <f>IFERROR(IF(YenidegerIskontoOrani=0,$M823*$G823,$M823*(1-1/(1+YenidegerIskontoOrani)^$G823)/YenidegerIskontoOrani),0)</f>
        <v/>
      </c>
      <c r="O823" s="124">
        <f>$N823-$K823</f>
        <v/>
      </c>
      <c r="P823" s="124">
        <f>IF($J823&lt;=0,"DEĞERLENDİR",IF($O823&gt;0,"YENİDEN DEĞERLE","DEĞERLENDİR"))</f>
        <v/>
      </c>
      <c r="Q823" s="124">
        <f>IF($B823="","",CONCATENATE("Kıymet: ",$B823," | Değer Artışı: ",TEXT($J823,"#,##0")))</f>
        <v/>
      </c>
    </row>
    <row r="824" ht="15.75" customHeight="1" s="81">
      <c r="A824" s="129" t="n"/>
      <c r="B824" s="130" t="n"/>
      <c r="C824" s="127" t="n"/>
      <c r="D824" s="127" t="n"/>
      <c r="E824" s="124">
        <f>IF($C824=0,0,$C824-$D824)</f>
        <v/>
      </c>
      <c r="F824" s="128" t="n"/>
      <c r="G824" s="129" t="n"/>
      <c r="H824" s="131" t="n"/>
      <c r="I824" s="124">
        <f>IF($E824=0,0,$E824*$H824)</f>
        <v/>
      </c>
      <c r="J824" s="124">
        <f>IF($I824=0,0,$I824-$E824)</f>
        <v/>
      </c>
      <c r="K824" s="124">
        <f>IF($J824=0,0,$J824*YenidegerFonOran)</f>
        <v/>
      </c>
      <c r="L824" s="124">
        <f>IF($G824=0,0,$J824/$G824)</f>
        <v/>
      </c>
      <c r="M824" s="124">
        <f>IF($L824=0,0,$L824*YenidegerKurumlarVergiOran)</f>
        <v/>
      </c>
      <c r="N824" s="124">
        <f>IFERROR(IF(YenidegerIskontoOrani=0,$M824*$G824,$M824*(1-1/(1+YenidegerIskontoOrani)^$G824)/YenidegerIskontoOrani),0)</f>
        <v/>
      </c>
      <c r="O824" s="124">
        <f>$N824-$K824</f>
        <v/>
      </c>
      <c r="P824" s="124">
        <f>IF($J824&lt;=0,"DEĞERLENDİR",IF($O824&gt;0,"YENİDEN DEĞERLE","DEĞERLENDİR"))</f>
        <v/>
      </c>
      <c r="Q824" s="124">
        <f>IF($B824="","",CONCATENATE("Kıymet: ",$B824," | Değer Artışı: ",TEXT($J824,"#,##0")))</f>
        <v/>
      </c>
    </row>
    <row r="825" ht="15.75" customHeight="1" s="81">
      <c r="A825" s="129" t="n"/>
      <c r="B825" s="130" t="n"/>
      <c r="C825" s="127" t="n"/>
      <c r="D825" s="127" t="n"/>
      <c r="E825" s="124">
        <f>IF($C825=0,0,$C825-$D825)</f>
        <v/>
      </c>
      <c r="F825" s="128" t="n"/>
      <c r="G825" s="129" t="n"/>
      <c r="H825" s="131" t="n"/>
      <c r="I825" s="124">
        <f>IF($E825=0,0,$E825*$H825)</f>
        <v/>
      </c>
      <c r="J825" s="124">
        <f>IF($I825=0,0,$I825-$E825)</f>
        <v/>
      </c>
      <c r="K825" s="124">
        <f>IF($J825=0,0,$J825*YenidegerFonOran)</f>
        <v/>
      </c>
      <c r="L825" s="124">
        <f>IF($G825=0,0,$J825/$G825)</f>
        <v/>
      </c>
      <c r="M825" s="124">
        <f>IF($L825=0,0,$L825*YenidegerKurumlarVergiOran)</f>
        <v/>
      </c>
      <c r="N825" s="124">
        <f>IFERROR(IF(YenidegerIskontoOrani=0,$M825*$G825,$M825*(1-1/(1+YenidegerIskontoOrani)^$G825)/YenidegerIskontoOrani),0)</f>
        <v/>
      </c>
      <c r="O825" s="124">
        <f>$N825-$K825</f>
        <v/>
      </c>
      <c r="P825" s="124">
        <f>IF($J825&lt;=0,"DEĞERLENDİR",IF($O825&gt;0,"YENİDEN DEĞERLE","DEĞERLENDİR"))</f>
        <v/>
      </c>
      <c r="Q825" s="124">
        <f>IF($B825="","",CONCATENATE("Kıymet: ",$B825," | Değer Artışı: ",TEXT($J825,"#,##0")))</f>
        <v/>
      </c>
    </row>
    <row r="826" ht="15.75" customHeight="1" s="81">
      <c r="A826" s="129" t="n"/>
      <c r="B826" s="130" t="n"/>
      <c r="C826" s="127" t="n"/>
      <c r="D826" s="127" t="n"/>
      <c r="E826" s="124">
        <f>IF($C826=0,0,$C826-$D826)</f>
        <v/>
      </c>
      <c r="F826" s="128" t="n"/>
      <c r="G826" s="129" t="n"/>
      <c r="H826" s="131" t="n"/>
      <c r="I826" s="124">
        <f>IF($E826=0,0,$E826*$H826)</f>
        <v/>
      </c>
      <c r="J826" s="124">
        <f>IF($I826=0,0,$I826-$E826)</f>
        <v/>
      </c>
      <c r="K826" s="124">
        <f>IF($J826=0,0,$J826*YenidegerFonOran)</f>
        <v/>
      </c>
      <c r="L826" s="124">
        <f>IF($G826=0,0,$J826/$G826)</f>
        <v/>
      </c>
      <c r="M826" s="124">
        <f>IF($L826=0,0,$L826*YenidegerKurumlarVergiOran)</f>
        <v/>
      </c>
      <c r="N826" s="124">
        <f>IFERROR(IF(YenidegerIskontoOrani=0,$M826*$G826,$M826*(1-1/(1+YenidegerIskontoOrani)^$G826)/YenidegerIskontoOrani),0)</f>
        <v/>
      </c>
      <c r="O826" s="124">
        <f>$N826-$K826</f>
        <v/>
      </c>
      <c r="P826" s="124">
        <f>IF($J826&lt;=0,"DEĞERLENDİR",IF($O826&gt;0,"YENİDEN DEĞERLE","DEĞERLENDİR"))</f>
        <v/>
      </c>
      <c r="Q826" s="124">
        <f>IF($B826="","",CONCATENATE("Kıymet: ",$B826," | Değer Artışı: ",TEXT($J826,"#,##0")))</f>
        <v/>
      </c>
    </row>
    <row r="827" ht="15.75" customHeight="1" s="81">
      <c r="A827" s="129" t="n"/>
      <c r="B827" s="130" t="n"/>
      <c r="C827" s="127" t="n"/>
      <c r="D827" s="127" t="n"/>
      <c r="E827" s="124">
        <f>IF($C827=0,0,$C827-$D827)</f>
        <v/>
      </c>
      <c r="F827" s="128" t="n"/>
      <c r="G827" s="129" t="n"/>
      <c r="H827" s="131" t="n"/>
      <c r="I827" s="124">
        <f>IF($E827=0,0,$E827*$H827)</f>
        <v/>
      </c>
      <c r="J827" s="124">
        <f>IF($I827=0,0,$I827-$E827)</f>
        <v/>
      </c>
      <c r="K827" s="124">
        <f>IF($J827=0,0,$J827*YenidegerFonOran)</f>
        <v/>
      </c>
      <c r="L827" s="124">
        <f>IF($G827=0,0,$J827/$G827)</f>
        <v/>
      </c>
      <c r="M827" s="124">
        <f>IF($L827=0,0,$L827*YenidegerKurumlarVergiOran)</f>
        <v/>
      </c>
      <c r="N827" s="124">
        <f>IFERROR(IF(YenidegerIskontoOrani=0,$M827*$G827,$M827*(1-1/(1+YenidegerIskontoOrani)^$G827)/YenidegerIskontoOrani),0)</f>
        <v/>
      </c>
      <c r="O827" s="124">
        <f>$N827-$K827</f>
        <v/>
      </c>
      <c r="P827" s="124">
        <f>IF($J827&lt;=0,"DEĞERLENDİR",IF($O827&gt;0,"YENİDEN DEĞERLE","DEĞERLENDİR"))</f>
        <v/>
      </c>
      <c r="Q827" s="124">
        <f>IF($B827="","",CONCATENATE("Kıymet: ",$B827," | Değer Artışı: ",TEXT($J827,"#,##0")))</f>
        <v/>
      </c>
    </row>
    <row r="828" ht="15.75" customHeight="1" s="81">
      <c r="A828" s="129" t="n"/>
      <c r="B828" s="130" t="n"/>
      <c r="C828" s="127" t="n"/>
      <c r="D828" s="127" t="n"/>
      <c r="E828" s="124">
        <f>IF($C828=0,0,$C828-$D828)</f>
        <v/>
      </c>
      <c r="F828" s="128" t="n"/>
      <c r="G828" s="129" t="n"/>
      <c r="H828" s="131" t="n"/>
      <c r="I828" s="124">
        <f>IF($E828=0,0,$E828*$H828)</f>
        <v/>
      </c>
      <c r="J828" s="124">
        <f>IF($I828=0,0,$I828-$E828)</f>
        <v/>
      </c>
      <c r="K828" s="124">
        <f>IF($J828=0,0,$J828*YenidegerFonOran)</f>
        <v/>
      </c>
      <c r="L828" s="124">
        <f>IF($G828=0,0,$J828/$G828)</f>
        <v/>
      </c>
      <c r="M828" s="124">
        <f>IF($L828=0,0,$L828*YenidegerKurumlarVergiOran)</f>
        <v/>
      </c>
      <c r="N828" s="124">
        <f>IFERROR(IF(YenidegerIskontoOrani=0,$M828*$G828,$M828*(1-1/(1+YenidegerIskontoOrani)^$G828)/YenidegerIskontoOrani),0)</f>
        <v/>
      </c>
      <c r="O828" s="124">
        <f>$N828-$K828</f>
        <v/>
      </c>
      <c r="P828" s="124">
        <f>IF($J828&lt;=0,"DEĞERLENDİR",IF($O828&gt;0,"YENİDEN DEĞERLE","DEĞERLENDİR"))</f>
        <v/>
      </c>
      <c r="Q828" s="124">
        <f>IF($B828="","",CONCATENATE("Kıymet: ",$B828," | Değer Artışı: ",TEXT($J828,"#,##0")))</f>
        <v/>
      </c>
    </row>
    <row r="829" ht="15.75" customHeight="1" s="81">
      <c r="A829" s="129" t="n"/>
      <c r="B829" s="130" t="n"/>
      <c r="C829" s="127" t="n"/>
      <c r="D829" s="127" t="n"/>
      <c r="E829" s="124">
        <f>IF($C829=0,0,$C829-$D829)</f>
        <v/>
      </c>
      <c r="F829" s="128" t="n"/>
      <c r="G829" s="129" t="n"/>
      <c r="H829" s="131" t="n"/>
      <c r="I829" s="124">
        <f>IF($E829=0,0,$E829*$H829)</f>
        <v/>
      </c>
      <c r="J829" s="124">
        <f>IF($I829=0,0,$I829-$E829)</f>
        <v/>
      </c>
      <c r="K829" s="124">
        <f>IF($J829=0,0,$J829*YenidegerFonOran)</f>
        <v/>
      </c>
      <c r="L829" s="124">
        <f>IF($G829=0,0,$J829/$G829)</f>
        <v/>
      </c>
      <c r="M829" s="124">
        <f>IF($L829=0,0,$L829*YenidegerKurumlarVergiOran)</f>
        <v/>
      </c>
      <c r="N829" s="124">
        <f>IFERROR(IF(YenidegerIskontoOrani=0,$M829*$G829,$M829*(1-1/(1+YenidegerIskontoOrani)^$G829)/YenidegerIskontoOrani),0)</f>
        <v/>
      </c>
      <c r="O829" s="124">
        <f>$N829-$K829</f>
        <v/>
      </c>
      <c r="P829" s="124">
        <f>IF($J829&lt;=0,"DEĞERLENDİR",IF($O829&gt;0,"YENİDEN DEĞERLE","DEĞERLENDİR"))</f>
        <v/>
      </c>
      <c r="Q829" s="124">
        <f>IF($B829="","",CONCATENATE("Kıymet: ",$B829," | Değer Artışı: ",TEXT($J829,"#,##0")))</f>
        <v/>
      </c>
    </row>
    <row r="830" ht="15.75" customHeight="1" s="81">
      <c r="A830" s="129" t="n"/>
      <c r="B830" s="130" t="n"/>
      <c r="C830" s="127" t="n"/>
      <c r="D830" s="127" t="n"/>
      <c r="E830" s="124">
        <f>IF($C830=0,0,$C830-$D830)</f>
        <v/>
      </c>
      <c r="F830" s="128" t="n"/>
      <c r="G830" s="129" t="n"/>
      <c r="H830" s="131" t="n"/>
      <c r="I830" s="124">
        <f>IF($E830=0,0,$E830*$H830)</f>
        <v/>
      </c>
      <c r="J830" s="124">
        <f>IF($I830=0,0,$I830-$E830)</f>
        <v/>
      </c>
      <c r="K830" s="124">
        <f>IF($J830=0,0,$J830*YenidegerFonOran)</f>
        <v/>
      </c>
      <c r="L830" s="124">
        <f>IF($G830=0,0,$J830/$G830)</f>
        <v/>
      </c>
      <c r="M830" s="124">
        <f>IF($L830=0,0,$L830*YenidegerKurumlarVergiOran)</f>
        <v/>
      </c>
      <c r="N830" s="124">
        <f>IFERROR(IF(YenidegerIskontoOrani=0,$M830*$G830,$M830*(1-1/(1+YenidegerIskontoOrani)^$G830)/YenidegerIskontoOrani),0)</f>
        <v/>
      </c>
      <c r="O830" s="124">
        <f>$N830-$K830</f>
        <v/>
      </c>
      <c r="P830" s="124">
        <f>IF($J830&lt;=0,"DEĞERLENDİR",IF($O830&gt;0,"YENİDEN DEĞERLE","DEĞERLENDİR"))</f>
        <v/>
      </c>
      <c r="Q830" s="124">
        <f>IF($B830="","",CONCATENATE("Kıymet: ",$B830," | Değer Artışı: ",TEXT($J830,"#,##0")))</f>
        <v/>
      </c>
    </row>
    <row r="831" ht="15.75" customHeight="1" s="81">
      <c r="A831" s="129" t="n"/>
      <c r="B831" s="130" t="n"/>
      <c r="C831" s="127" t="n"/>
      <c r="D831" s="127" t="n"/>
      <c r="E831" s="124">
        <f>IF($C831=0,0,$C831-$D831)</f>
        <v/>
      </c>
      <c r="F831" s="128" t="n"/>
      <c r="G831" s="129" t="n"/>
      <c r="H831" s="131" t="n"/>
      <c r="I831" s="124">
        <f>IF($E831=0,0,$E831*$H831)</f>
        <v/>
      </c>
      <c r="J831" s="124">
        <f>IF($I831=0,0,$I831-$E831)</f>
        <v/>
      </c>
      <c r="K831" s="124">
        <f>IF($J831=0,0,$J831*YenidegerFonOran)</f>
        <v/>
      </c>
      <c r="L831" s="124">
        <f>IF($G831=0,0,$J831/$G831)</f>
        <v/>
      </c>
      <c r="M831" s="124">
        <f>IF($L831=0,0,$L831*YenidegerKurumlarVergiOran)</f>
        <v/>
      </c>
      <c r="N831" s="124">
        <f>IFERROR(IF(YenidegerIskontoOrani=0,$M831*$G831,$M831*(1-1/(1+YenidegerIskontoOrani)^$G831)/YenidegerIskontoOrani),0)</f>
        <v/>
      </c>
      <c r="O831" s="124">
        <f>$N831-$K831</f>
        <v/>
      </c>
      <c r="P831" s="124">
        <f>IF($J831&lt;=0,"DEĞERLENDİR",IF($O831&gt;0,"YENİDEN DEĞERLE","DEĞERLENDİR"))</f>
        <v/>
      </c>
      <c r="Q831" s="124">
        <f>IF($B831="","",CONCATENATE("Kıymet: ",$B831," | Değer Artışı: ",TEXT($J831,"#,##0")))</f>
        <v/>
      </c>
    </row>
    <row r="832" ht="15.75" customHeight="1" s="81">
      <c r="A832" s="129" t="n"/>
      <c r="B832" s="130" t="n"/>
      <c r="C832" s="127" t="n"/>
      <c r="D832" s="127" t="n"/>
      <c r="E832" s="124">
        <f>IF($C832=0,0,$C832-$D832)</f>
        <v/>
      </c>
      <c r="F832" s="128" t="n"/>
      <c r="G832" s="129" t="n"/>
      <c r="H832" s="131" t="n"/>
      <c r="I832" s="124">
        <f>IF($E832=0,0,$E832*$H832)</f>
        <v/>
      </c>
      <c r="J832" s="124">
        <f>IF($I832=0,0,$I832-$E832)</f>
        <v/>
      </c>
      <c r="K832" s="124">
        <f>IF($J832=0,0,$J832*YenidegerFonOran)</f>
        <v/>
      </c>
      <c r="L832" s="124">
        <f>IF($G832=0,0,$J832/$G832)</f>
        <v/>
      </c>
      <c r="M832" s="124">
        <f>IF($L832=0,0,$L832*YenidegerKurumlarVergiOran)</f>
        <v/>
      </c>
      <c r="N832" s="124">
        <f>IFERROR(IF(YenidegerIskontoOrani=0,$M832*$G832,$M832*(1-1/(1+YenidegerIskontoOrani)^$G832)/YenidegerIskontoOrani),0)</f>
        <v/>
      </c>
      <c r="O832" s="124">
        <f>$N832-$K832</f>
        <v/>
      </c>
      <c r="P832" s="124">
        <f>IF($J832&lt;=0,"DEĞERLENDİR",IF($O832&gt;0,"YENİDEN DEĞERLE","DEĞERLENDİR"))</f>
        <v/>
      </c>
      <c r="Q832" s="124">
        <f>IF($B832="","",CONCATENATE("Kıymet: ",$B832," | Değer Artışı: ",TEXT($J832,"#,##0")))</f>
        <v/>
      </c>
    </row>
    <row r="833" ht="15.75" customHeight="1" s="81">
      <c r="A833" s="129" t="n"/>
      <c r="B833" s="130" t="n"/>
      <c r="C833" s="127" t="n"/>
      <c r="D833" s="127" t="n"/>
      <c r="E833" s="124">
        <f>IF($C833=0,0,$C833-$D833)</f>
        <v/>
      </c>
      <c r="F833" s="128" t="n"/>
      <c r="G833" s="129" t="n"/>
      <c r="H833" s="131" t="n"/>
      <c r="I833" s="124">
        <f>IF($E833=0,0,$E833*$H833)</f>
        <v/>
      </c>
      <c r="J833" s="124">
        <f>IF($I833=0,0,$I833-$E833)</f>
        <v/>
      </c>
      <c r="K833" s="124">
        <f>IF($J833=0,0,$J833*YenidegerFonOran)</f>
        <v/>
      </c>
      <c r="L833" s="124">
        <f>IF($G833=0,0,$J833/$G833)</f>
        <v/>
      </c>
      <c r="M833" s="124">
        <f>IF($L833=0,0,$L833*YenidegerKurumlarVergiOran)</f>
        <v/>
      </c>
      <c r="N833" s="124">
        <f>IFERROR(IF(YenidegerIskontoOrani=0,$M833*$G833,$M833*(1-1/(1+YenidegerIskontoOrani)^$G833)/YenidegerIskontoOrani),0)</f>
        <v/>
      </c>
      <c r="O833" s="124">
        <f>$N833-$K833</f>
        <v/>
      </c>
      <c r="P833" s="124">
        <f>IF($J833&lt;=0,"DEĞERLENDİR",IF($O833&gt;0,"YENİDEN DEĞERLE","DEĞERLENDİR"))</f>
        <v/>
      </c>
      <c r="Q833" s="124">
        <f>IF($B833="","",CONCATENATE("Kıymet: ",$B833," | Değer Artışı: ",TEXT($J833,"#,##0")))</f>
        <v/>
      </c>
    </row>
    <row r="834" ht="15.75" customHeight="1" s="81">
      <c r="A834" s="129" t="n"/>
      <c r="B834" s="130" t="n"/>
      <c r="C834" s="127" t="n"/>
      <c r="D834" s="127" t="n"/>
      <c r="E834" s="124">
        <f>IF($C834=0,0,$C834-$D834)</f>
        <v/>
      </c>
      <c r="F834" s="128" t="n"/>
      <c r="G834" s="129" t="n"/>
      <c r="H834" s="131" t="n"/>
      <c r="I834" s="124">
        <f>IF($E834=0,0,$E834*$H834)</f>
        <v/>
      </c>
      <c r="J834" s="124">
        <f>IF($I834=0,0,$I834-$E834)</f>
        <v/>
      </c>
      <c r="K834" s="124">
        <f>IF($J834=0,0,$J834*YenidegerFonOran)</f>
        <v/>
      </c>
      <c r="L834" s="124">
        <f>IF($G834=0,0,$J834/$G834)</f>
        <v/>
      </c>
      <c r="M834" s="124">
        <f>IF($L834=0,0,$L834*YenidegerKurumlarVergiOran)</f>
        <v/>
      </c>
      <c r="N834" s="124">
        <f>IFERROR(IF(YenidegerIskontoOrani=0,$M834*$G834,$M834*(1-1/(1+YenidegerIskontoOrani)^$G834)/YenidegerIskontoOrani),0)</f>
        <v/>
      </c>
      <c r="O834" s="124">
        <f>$N834-$K834</f>
        <v/>
      </c>
      <c r="P834" s="124">
        <f>IF($J834&lt;=0,"DEĞERLENDİR",IF($O834&gt;0,"YENİDEN DEĞERLE","DEĞERLENDİR"))</f>
        <v/>
      </c>
      <c r="Q834" s="124">
        <f>IF($B834="","",CONCATENATE("Kıymet: ",$B834," | Değer Artışı: ",TEXT($J834,"#,##0")))</f>
        <v/>
      </c>
    </row>
    <row r="835" ht="15.75" customHeight="1" s="81">
      <c r="A835" s="129" t="n"/>
      <c r="B835" s="130" t="n"/>
      <c r="C835" s="127" t="n"/>
      <c r="D835" s="127" t="n"/>
      <c r="E835" s="124">
        <f>IF($C835=0,0,$C835-$D835)</f>
        <v/>
      </c>
      <c r="F835" s="128" t="n"/>
      <c r="G835" s="129" t="n"/>
      <c r="H835" s="131" t="n"/>
      <c r="I835" s="124">
        <f>IF($E835=0,0,$E835*$H835)</f>
        <v/>
      </c>
      <c r="J835" s="124">
        <f>IF($I835=0,0,$I835-$E835)</f>
        <v/>
      </c>
      <c r="K835" s="124">
        <f>IF($J835=0,0,$J835*YenidegerFonOran)</f>
        <v/>
      </c>
      <c r="L835" s="124">
        <f>IF($G835=0,0,$J835/$G835)</f>
        <v/>
      </c>
      <c r="M835" s="124">
        <f>IF($L835=0,0,$L835*YenidegerKurumlarVergiOran)</f>
        <v/>
      </c>
      <c r="N835" s="124">
        <f>IFERROR(IF(YenidegerIskontoOrani=0,$M835*$G835,$M835*(1-1/(1+YenidegerIskontoOrani)^$G835)/YenidegerIskontoOrani),0)</f>
        <v/>
      </c>
      <c r="O835" s="124">
        <f>$N835-$K835</f>
        <v/>
      </c>
      <c r="P835" s="124">
        <f>IF($J835&lt;=0,"DEĞERLENDİR",IF($O835&gt;0,"YENİDEN DEĞERLE","DEĞERLENDİR"))</f>
        <v/>
      </c>
      <c r="Q835" s="124">
        <f>IF($B835="","",CONCATENATE("Kıymet: ",$B835," | Değer Artışı: ",TEXT($J835,"#,##0")))</f>
        <v/>
      </c>
    </row>
    <row r="836" ht="15.75" customHeight="1" s="81">
      <c r="A836" s="129" t="n"/>
      <c r="B836" s="130" t="n"/>
      <c r="C836" s="127" t="n"/>
      <c r="D836" s="127" t="n"/>
      <c r="E836" s="124">
        <f>IF($C836=0,0,$C836-$D836)</f>
        <v/>
      </c>
      <c r="F836" s="128" t="n"/>
      <c r="G836" s="129" t="n"/>
      <c r="H836" s="131" t="n"/>
      <c r="I836" s="124">
        <f>IF($E836=0,0,$E836*$H836)</f>
        <v/>
      </c>
      <c r="J836" s="124">
        <f>IF($I836=0,0,$I836-$E836)</f>
        <v/>
      </c>
      <c r="K836" s="124">
        <f>IF($J836=0,0,$J836*YenidegerFonOran)</f>
        <v/>
      </c>
      <c r="L836" s="124">
        <f>IF($G836=0,0,$J836/$G836)</f>
        <v/>
      </c>
      <c r="M836" s="124">
        <f>IF($L836=0,0,$L836*YenidegerKurumlarVergiOran)</f>
        <v/>
      </c>
      <c r="N836" s="124">
        <f>IFERROR(IF(YenidegerIskontoOrani=0,$M836*$G836,$M836*(1-1/(1+YenidegerIskontoOrani)^$G836)/YenidegerIskontoOrani),0)</f>
        <v/>
      </c>
      <c r="O836" s="124">
        <f>$N836-$K836</f>
        <v/>
      </c>
      <c r="P836" s="124">
        <f>IF($J836&lt;=0,"DEĞERLENDİR",IF($O836&gt;0,"YENİDEN DEĞERLE","DEĞERLENDİR"))</f>
        <v/>
      </c>
      <c r="Q836" s="124">
        <f>IF($B836="","",CONCATENATE("Kıymet: ",$B836," | Değer Artışı: ",TEXT($J836,"#,##0")))</f>
        <v/>
      </c>
    </row>
    <row r="837" ht="15.75" customHeight="1" s="81">
      <c r="A837" s="129" t="n"/>
      <c r="B837" s="130" t="n"/>
      <c r="C837" s="127" t="n"/>
      <c r="D837" s="127" t="n"/>
      <c r="E837" s="124">
        <f>IF($C837=0,0,$C837-$D837)</f>
        <v/>
      </c>
      <c r="F837" s="128" t="n"/>
      <c r="G837" s="129" t="n"/>
      <c r="H837" s="131" t="n"/>
      <c r="I837" s="124">
        <f>IF($E837=0,0,$E837*$H837)</f>
        <v/>
      </c>
      <c r="J837" s="124">
        <f>IF($I837=0,0,$I837-$E837)</f>
        <v/>
      </c>
      <c r="K837" s="124">
        <f>IF($J837=0,0,$J837*YenidegerFonOran)</f>
        <v/>
      </c>
      <c r="L837" s="124">
        <f>IF($G837=0,0,$J837/$G837)</f>
        <v/>
      </c>
      <c r="M837" s="124">
        <f>IF($L837=0,0,$L837*YenidegerKurumlarVergiOran)</f>
        <v/>
      </c>
      <c r="N837" s="124">
        <f>IFERROR(IF(YenidegerIskontoOrani=0,$M837*$G837,$M837*(1-1/(1+YenidegerIskontoOrani)^$G837)/YenidegerIskontoOrani),0)</f>
        <v/>
      </c>
      <c r="O837" s="124">
        <f>$N837-$K837</f>
        <v/>
      </c>
      <c r="P837" s="124">
        <f>IF($J837&lt;=0,"DEĞERLENDİR",IF($O837&gt;0,"YENİDEN DEĞERLE","DEĞERLENDİR"))</f>
        <v/>
      </c>
      <c r="Q837" s="124">
        <f>IF($B837="","",CONCATENATE("Kıymet: ",$B837," | Değer Artışı: ",TEXT($J837,"#,##0")))</f>
        <v/>
      </c>
    </row>
    <row r="838" ht="15.75" customHeight="1" s="81">
      <c r="A838" s="129" t="n"/>
      <c r="B838" s="130" t="n"/>
      <c r="C838" s="127" t="n"/>
      <c r="D838" s="127" t="n"/>
      <c r="E838" s="124">
        <f>IF($C838=0,0,$C838-$D838)</f>
        <v/>
      </c>
      <c r="F838" s="128" t="n"/>
      <c r="G838" s="129" t="n"/>
      <c r="H838" s="131" t="n"/>
      <c r="I838" s="124">
        <f>IF($E838=0,0,$E838*$H838)</f>
        <v/>
      </c>
      <c r="J838" s="124">
        <f>IF($I838=0,0,$I838-$E838)</f>
        <v/>
      </c>
      <c r="K838" s="124">
        <f>IF($J838=0,0,$J838*YenidegerFonOran)</f>
        <v/>
      </c>
      <c r="L838" s="124">
        <f>IF($G838=0,0,$J838/$G838)</f>
        <v/>
      </c>
      <c r="M838" s="124">
        <f>IF($L838=0,0,$L838*YenidegerKurumlarVergiOran)</f>
        <v/>
      </c>
      <c r="N838" s="124">
        <f>IFERROR(IF(YenidegerIskontoOrani=0,$M838*$G838,$M838*(1-1/(1+YenidegerIskontoOrani)^$G838)/YenidegerIskontoOrani),0)</f>
        <v/>
      </c>
      <c r="O838" s="124">
        <f>$N838-$K838</f>
        <v/>
      </c>
      <c r="P838" s="124">
        <f>IF($J838&lt;=0,"DEĞERLENDİR",IF($O838&gt;0,"YENİDEN DEĞERLE","DEĞERLENDİR"))</f>
        <v/>
      </c>
      <c r="Q838" s="124">
        <f>IF($B838="","",CONCATENATE("Kıymet: ",$B838," | Değer Artışı: ",TEXT($J838,"#,##0")))</f>
        <v/>
      </c>
    </row>
    <row r="839" ht="15.75" customHeight="1" s="81">
      <c r="A839" s="129" t="n"/>
      <c r="B839" s="130" t="n"/>
      <c r="C839" s="127" t="n"/>
      <c r="D839" s="127" t="n"/>
      <c r="E839" s="124">
        <f>IF($C839=0,0,$C839-$D839)</f>
        <v/>
      </c>
      <c r="F839" s="128" t="n"/>
      <c r="G839" s="129" t="n"/>
      <c r="H839" s="131" t="n"/>
      <c r="I839" s="124">
        <f>IF($E839=0,0,$E839*$H839)</f>
        <v/>
      </c>
      <c r="J839" s="124">
        <f>IF($I839=0,0,$I839-$E839)</f>
        <v/>
      </c>
      <c r="K839" s="124">
        <f>IF($J839=0,0,$J839*YenidegerFonOran)</f>
        <v/>
      </c>
      <c r="L839" s="124">
        <f>IF($G839=0,0,$J839/$G839)</f>
        <v/>
      </c>
      <c r="M839" s="124">
        <f>IF($L839=0,0,$L839*YenidegerKurumlarVergiOran)</f>
        <v/>
      </c>
      <c r="N839" s="124">
        <f>IFERROR(IF(YenidegerIskontoOrani=0,$M839*$G839,$M839*(1-1/(1+YenidegerIskontoOrani)^$G839)/YenidegerIskontoOrani),0)</f>
        <v/>
      </c>
      <c r="O839" s="124">
        <f>$N839-$K839</f>
        <v/>
      </c>
      <c r="P839" s="124">
        <f>IF($J839&lt;=0,"DEĞERLENDİR",IF($O839&gt;0,"YENİDEN DEĞERLE","DEĞERLENDİR"))</f>
        <v/>
      </c>
      <c r="Q839" s="124">
        <f>IF($B839="","",CONCATENATE("Kıymet: ",$B839," | Değer Artışı: ",TEXT($J839,"#,##0")))</f>
        <v/>
      </c>
    </row>
    <row r="840" ht="15.75" customHeight="1" s="81">
      <c r="A840" s="129" t="n"/>
      <c r="B840" s="130" t="n"/>
      <c r="C840" s="127" t="n"/>
      <c r="D840" s="127" t="n"/>
      <c r="E840" s="124">
        <f>IF($C840=0,0,$C840-$D840)</f>
        <v/>
      </c>
      <c r="F840" s="128" t="n"/>
      <c r="G840" s="129" t="n"/>
      <c r="H840" s="131" t="n"/>
      <c r="I840" s="124">
        <f>IF($E840=0,0,$E840*$H840)</f>
        <v/>
      </c>
      <c r="J840" s="124">
        <f>IF($I840=0,0,$I840-$E840)</f>
        <v/>
      </c>
      <c r="K840" s="124">
        <f>IF($J840=0,0,$J840*YenidegerFonOran)</f>
        <v/>
      </c>
      <c r="L840" s="124">
        <f>IF($G840=0,0,$J840/$G840)</f>
        <v/>
      </c>
      <c r="M840" s="124">
        <f>IF($L840=0,0,$L840*YenidegerKurumlarVergiOran)</f>
        <v/>
      </c>
      <c r="N840" s="124">
        <f>IFERROR(IF(YenidegerIskontoOrani=0,$M840*$G840,$M840*(1-1/(1+YenidegerIskontoOrani)^$G840)/YenidegerIskontoOrani),0)</f>
        <v/>
      </c>
      <c r="O840" s="124">
        <f>$N840-$K840</f>
        <v/>
      </c>
      <c r="P840" s="124">
        <f>IF($J840&lt;=0,"DEĞERLENDİR",IF($O840&gt;0,"YENİDEN DEĞERLE","DEĞERLENDİR"))</f>
        <v/>
      </c>
      <c r="Q840" s="124">
        <f>IF($B840="","",CONCATENATE("Kıymet: ",$B840," | Değer Artışı: ",TEXT($J840,"#,##0")))</f>
        <v/>
      </c>
    </row>
    <row r="841" ht="15.75" customHeight="1" s="81">
      <c r="A841" s="129" t="n"/>
      <c r="B841" s="130" t="n"/>
      <c r="C841" s="127" t="n"/>
      <c r="D841" s="127" t="n"/>
      <c r="E841" s="124">
        <f>IF($C841=0,0,$C841-$D841)</f>
        <v/>
      </c>
      <c r="F841" s="128" t="n"/>
      <c r="G841" s="129" t="n"/>
      <c r="H841" s="131" t="n"/>
      <c r="I841" s="124">
        <f>IF($E841=0,0,$E841*$H841)</f>
        <v/>
      </c>
      <c r="J841" s="124">
        <f>IF($I841=0,0,$I841-$E841)</f>
        <v/>
      </c>
      <c r="K841" s="124">
        <f>IF($J841=0,0,$J841*YenidegerFonOran)</f>
        <v/>
      </c>
      <c r="L841" s="124">
        <f>IF($G841=0,0,$J841/$G841)</f>
        <v/>
      </c>
      <c r="M841" s="124">
        <f>IF($L841=0,0,$L841*YenidegerKurumlarVergiOran)</f>
        <v/>
      </c>
      <c r="N841" s="124">
        <f>IFERROR(IF(YenidegerIskontoOrani=0,$M841*$G841,$M841*(1-1/(1+YenidegerIskontoOrani)^$G841)/YenidegerIskontoOrani),0)</f>
        <v/>
      </c>
      <c r="O841" s="124">
        <f>$N841-$K841</f>
        <v/>
      </c>
      <c r="P841" s="124">
        <f>IF($J841&lt;=0,"DEĞERLENDİR",IF($O841&gt;0,"YENİDEN DEĞERLE","DEĞERLENDİR"))</f>
        <v/>
      </c>
      <c r="Q841" s="124">
        <f>IF($B841="","",CONCATENATE("Kıymet: ",$B841," | Değer Artışı: ",TEXT($J841,"#,##0")))</f>
        <v/>
      </c>
    </row>
    <row r="842" ht="15.75" customHeight="1" s="81">
      <c r="A842" s="129" t="n"/>
      <c r="B842" s="130" t="n"/>
      <c r="C842" s="127" t="n"/>
      <c r="D842" s="127" t="n"/>
      <c r="E842" s="124">
        <f>IF($C842=0,0,$C842-$D842)</f>
        <v/>
      </c>
      <c r="F842" s="128" t="n"/>
      <c r="G842" s="129" t="n"/>
      <c r="H842" s="131" t="n"/>
      <c r="I842" s="124">
        <f>IF($E842=0,0,$E842*$H842)</f>
        <v/>
      </c>
      <c r="J842" s="124">
        <f>IF($I842=0,0,$I842-$E842)</f>
        <v/>
      </c>
      <c r="K842" s="124">
        <f>IF($J842=0,0,$J842*YenidegerFonOran)</f>
        <v/>
      </c>
      <c r="L842" s="124">
        <f>IF($G842=0,0,$J842/$G842)</f>
        <v/>
      </c>
      <c r="M842" s="124">
        <f>IF($L842=0,0,$L842*YenidegerKurumlarVergiOran)</f>
        <v/>
      </c>
      <c r="N842" s="124">
        <f>IFERROR(IF(YenidegerIskontoOrani=0,$M842*$G842,$M842*(1-1/(1+YenidegerIskontoOrani)^$G842)/YenidegerIskontoOrani),0)</f>
        <v/>
      </c>
      <c r="O842" s="124">
        <f>$N842-$K842</f>
        <v/>
      </c>
      <c r="P842" s="124">
        <f>IF($J842&lt;=0,"DEĞERLENDİR",IF($O842&gt;0,"YENİDEN DEĞERLE","DEĞERLENDİR"))</f>
        <v/>
      </c>
      <c r="Q842" s="124">
        <f>IF($B842="","",CONCATENATE("Kıymet: ",$B842," | Değer Artışı: ",TEXT($J842,"#,##0")))</f>
        <v/>
      </c>
    </row>
    <row r="843" ht="15.75" customHeight="1" s="81">
      <c r="A843" s="129" t="n"/>
      <c r="B843" s="130" t="n"/>
      <c r="C843" s="127" t="n"/>
      <c r="D843" s="127" t="n"/>
      <c r="E843" s="124">
        <f>IF($C843=0,0,$C843-$D843)</f>
        <v/>
      </c>
      <c r="F843" s="128" t="n"/>
      <c r="G843" s="129" t="n"/>
      <c r="H843" s="131" t="n"/>
      <c r="I843" s="124">
        <f>IF($E843=0,0,$E843*$H843)</f>
        <v/>
      </c>
      <c r="J843" s="124">
        <f>IF($I843=0,0,$I843-$E843)</f>
        <v/>
      </c>
      <c r="K843" s="124">
        <f>IF($J843=0,0,$J843*YenidegerFonOran)</f>
        <v/>
      </c>
      <c r="L843" s="124">
        <f>IF($G843=0,0,$J843/$G843)</f>
        <v/>
      </c>
      <c r="M843" s="124">
        <f>IF($L843=0,0,$L843*YenidegerKurumlarVergiOran)</f>
        <v/>
      </c>
      <c r="N843" s="124">
        <f>IFERROR(IF(YenidegerIskontoOrani=0,$M843*$G843,$M843*(1-1/(1+YenidegerIskontoOrani)^$G843)/YenidegerIskontoOrani),0)</f>
        <v/>
      </c>
      <c r="O843" s="124">
        <f>$N843-$K843</f>
        <v/>
      </c>
      <c r="P843" s="124">
        <f>IF($J843&lt;=0,"DEĞERLENDİR",IF($O843&gt;0,"YENİDEN DEĞERLE","DEĞERLENDİR"))</f>
        <v/>
      </c>
      <c r="Q843" s="124">
        <f>IF($B843="","",CONCATENATE("Kıymet: ",$B843," | Değer Artışı: ",TEXT($J843,"#,##0")))</f>
        <v/>
      </c>
    </row>
    <row r="844" ht="15.75" customHeight="1" s="81">
      <c r="A844" s="129" t="n"/>
      <c r="B844" s="130" t="n"/>
      <c r="C844" s="127" t="n"/>
      <c r="D844" s="127" t="n"/>
      <c r="E844" s="124">
        <f>IF($C844=0,0,$C844-$D844)</f>
        <v/>
      </c>
      <c r="F844" s="128" t="n"/>
      <c r="G844" s="129" t="n"/>
      <c r="H844" s="131" t="n"/>
      <c r="I844" s="124">
        <f>IF($E844=0,0,$E844*$H844)</f>
        <v/>
      </c>
      <c r="J844" s="124">
        <f>IF($I844=0,0,$I844-$E844)</f>
        <v/>
      </c>
      <c r="K844" s="124">
        <f>IF($J844=0,0,$J844*YenidegerFonOran)</f>
        <v/>
      </c>
      <c r="L844" s="124">
        <f>IF($G844=0,0,$J844/$G844)</f>
        <v/>
      </c>
      <c r="M844" s="124">
        <f>IF($L844=0,0,$L844*YenidegerKurumlarVergiOran)</f>
        <v/>
      </c>
      <c r="N844" s="124">
        <f>IFERROR(IF(YenidegerIskontoOrani=0,$M844*$G844,$M844*(1-1/(1+YenidegerIskontoOrani)^$G844)/YenidegerIskontoOrani),0)</f>
        <v/>
      </c>
      <c r="O844" s="124">
        <f>$N844-$K844</f>
        <v/>
      </c>
      <c r="P844" s="124">
        <f>IF($J844&lt;=0,"DEĞERLENDİR",IF($O844&gt;0,"YENİDEN DEĞERLE","DEĞERLENDİR"))</f>
        <v/>
      </c>
      <c r="Q844" s="124">
        <f>IF($B844="","",CONCATENATE("Kıymet: ",$B844," | Değer Artışı: ",TEXT($J844,"#,##0")))</f>
        <v/>
      </c>
    </row>
    <row r="845" ht="15.75" customHeight="1" s="81">
      <c r="A845" s="129" t="n"/>
      <c r="B845" s="130" t="n"/>
      <c r="C845" s="127" t="n"/>
      <c r="D845" s="127" t="n"/>
      <c r="E845" s="124">
        <f>IF($C845=0,0,$C845-$D845)</f>
        <v/>
      </c>
      <c r="F845" s="128" t="n"/>
      <c r="G845" s="129" t="n"/>
      <c r="H845" s="131" t="n"/>
      <c r="I845" s="124">
        <f>IF($E845=0,0,$E845*$H845)</f>
        <v/>
      </c>
      <c r="J845" s="124">
        <f>IF($I845=0,0,$I845-$E845)</f>
        <v/>
      </c>
      <c r="K845" s="124">
        <f>IF($J845=0,0,$J845*YenidegerFonOran)</f>
        <v/>
      </c>
      <c r="L845" s="124">
        <f>IF($G845=0,0,$J845/$G845)</f>
        <v/>
      </c>
      <c r="M845" s="124">
        <f>IF($L845=0,0,$L845*YenidegerKurumlarVergiOran)</f>
        <v/>
      </c>
      <c r="N845" s="124">
        <f>IFERROR(IF(YenidegerIskontoOrani=0,$M845*$G845,$M845*(1-1/(1+YenidegerIskontoOrani)^$G845)/YenidegerIskontoOrani),0)</f>
        <v/>
      </c>
      <c r="O845" s="124">
        <f>$N845-$K845</f>
        <v/>
      </c>
      <c r="P845" s="124">
        <f>IF($J845&lt;=0,"DEĞERLENDİR",IF($O845&gt;0,"YENİDEN DEĞERLE","DEĞERLENDİR"))</f>
        <v/>
      </c>
      <c r="Q845" s="124">
        <f>IF($B845="","",CONCATENATE("Kıymet: ",$B845," | Değer Artışı: ",TEXT($J845,"#,##0")))</f>
        <v/>
      </c>
    </row>
    <row r="846" ht="15.75" customHeight="1" s="81">
      <c r="A846" s="129" t="n"/>
      <c r="B846" s="130" t="n"/>
      <c r="C846" s="127" t="n"/>
      <c r="D846" s="127" t="n"/>
      <c r="E846" s="124">
        <f>IF($C846=0,0,$C846-$D846)</f>
        <v/>
      </c>
      <c r="F846" s="128" t="n"/>
      <c r="G846" s="129" t="n"/>
      <c r="H846" s="131" t="n"/>
      <c r="I846" s="124">
        <f>IF($E846=0,0,$E846*$H846)</f>
        <v/>
      </c>
      <c r="J846" s="124">
        <f>IF($I846=0,0,$I846-$E846)</f>
        <v/>
      </c>
      <c r="K846" s="124">
        <f>IF($J846=0,0,$J846*YenidegerFonOran)</f>
        <v/>
      </c>
      <c r="L846" s="124">
        <f>IF($G846=0,0,$J846/$G846)</f>
        <v/>
      </c>
      <c r="M846" s="124">
        <f>IF($L846=0,0,$L846*YenidegerKurumlarVergiOran)</f>
        <v/>
      </c>
      <c r="N846" s="124">
        <f>IFERROR(IF(YenidegerIskontoOrani=0,$M846*$G846,$M846*(1-1/(1+YenidegerIskontoOrani)^$G846)/YenidegerIskontoOrani),0)</f>
        <v/>
      </c>
      <c r="O846" s="124">
        <f>$N846-$K846</f>
        <v/>
      </c>
      <c r="P846" s="124">
        <f>IF($J846&lt;=0,"DEĞERLENDİR",IF($O846&gt;0,"YENİDEN DEĞERLE","DEĞERLENDİR"))</f>
        <v/>
      </c>
      <c r="Q846" s="124">
        <f>IF($B846="","",CONCATENATE("Kıymet: ",$B846," | Değer Artışı: ",TEXT($J846,"#,##0")))</f>
        <v/>
      </c>
    </row>
    <row r="847" ht="15.75" customHeight="1" s="81">
      <c r="A847" s="129" t="n"/>
      <c r="B847" s="130" t="n"/>
      <c r="C847" s="127" t="n"/>
      <c r="D847" s="127" t="n"/>
      <c r="E847" s="124">
        <f>IF($C847=0,0,$C847-$D847)</f>
        <v/>
      </c>
      <c r="F847" s="128" t="n"/>
      <c r="G847" s="129" t="n"/>
      <c r="H847" s="131" t="n"/>
      <c r="I847" s="124">
        <f>IF($E847=0,0,$E847*$H847)</f>
        <v/>
      </c>
      <c r="J847" s="124">
        <f>IF($I847=0,0,$I847-$E847)</f>
        <v/>
      </c>
      <c r="K847" s="124">
        <f>IF($J847=0,0,$J847*YenidegerFonOran)</f>
        <v/>
      </c>
      <c r="L847" s="124">
        <f>IF($G847=0,0,$J847/$G847)</f>
        <v/>
      </c>
      <c r="M847" s="124">
        <f>IF($L847=0,0,$L847*YenidegerKurumlarVergiOran)</f>
        <v/>
      </c>
      <c r="N847" s="124">
        <f>IFERROR(IF(YenidegerIskontoOrani=0,$M847*$G847,$M847*(1-1/(1+YenidegerIskontoOrani)^$G847)/YenidegerIskontoOrani),0)</f>
        <v/>
      </c>
      <c r="O847" s="124">
        <f>$N847-$K847</f>
        <v/>
      </c>
      <c r="P847" s="124">
        <f>IF($J847&lt;=0,"DEĞERLENDİR",IF($O847&gt;0,"YENİDEN DEĞERLE","DEĞERLENDİR"))</f>
        <v/>
      </c>
      <c r="Q847" s="124">
        <f>IF($B847="","",CONCATENATE("Kıymet: ",$B847," | Değer Artışı: ",TEXT($J847,"#,##0")))</f>
        <v/>
      </c>
    </row>
    <row r="848" ht="15.75" customHeight="1" s="81">
      <c r="A848" s="129" t="n"/>
      <c r="B848" s="130" t="n"/>
      <c r="C848" s="127" t="n"/>
      <c r="D848" s="127" t="n"/>
      <c r="E848" s="124">
        <f>IF($C848=0,0,$C848-$D848)</f>
        <v/>
      </c>
      <c r="F848" s="128" t="n"/>
      <c r="G848" s="129" t="n"/>
      <c r="H848" s="131" t="n"/>
      <c r="I848" s="124">
        <f>IF($E848=0,0,$E848*$H848)</f>
        <v/>
      </c>
      <c r="J848" s="124">
        <f>IF($I848=0,0,$I848-$E848)</f>
        <v/>
      </c>
      <c r="K848" s="124">
        <f>IF($J848=0,0,$J848*YenidegerFonOran)</f>
        <v/>
      </c>
      <c r="L848" s="124">
        <f>IF($G848=0,0,$J848/$G848)</f>
        <v/>
      </c>
      <c r="M848" s="124">
        <f>IF($L848=0,0,$L848*YenidegerKurumlarVergiOran)</f>
        <v/>
      </c>
      <c r="N848" s="124">
        <f>IFERROR(IF(YenidegerIskontoOrani=0,$M848*$G848,$M848*(1-1/(1+YenidegerIskontoOrani)^$G848)/YenidegerIskontoOrani),0)</f>
        <v/>
      </c>
      <c r="O848" s="124">
        <f>$N848-$K848</f>
        <v/>
      </c>
      <c r="P848" s="124">
        <f>IF($J848&lt;=0,"DEĞERLENDİR",IF($O848&gt;0,"YENİDEN DEĞERLE","DEĞERLENDİR"))</f>
        <v/>
      </c>
      <c r="Q848" s="124">
        <f>IF($B848="","",CONCATENATE("Kıymet: ",$B848," | Değer Artışı: ",TEXT($J848,"#,##0")))</f>
        <v/>
      </c>
    </row>
    <row r="849" ht="15.75" customHeight="1" s="81">
      <c r="A849" s="129" t="n"/>
      <c r="B849" s="130" t="n"/>
      <c r="C849" s="127" t="n"/>
      <c r="D849" s="127" t="n"/>
      <c r="E849" s="124">
        <f>IF($C849=0,0,$C849-$D849)</f>
        <v/>
      </c>
      <c r="F849" s="128" t="n"/>
      <c r="G849" s="129" t="n"/>
      <c r="H849" s="131" t="n"/>
      <c r="I849" s="124">
        <f>IF($E849=0,0,$E849*$H849)</f>
        <v/>
      </c>
      <c r="J849" s="124">
        <f>IF($I849=0,0,$I849-$E849)</f>
        <v/>
      </c>
      <c r="K849" s="124">
        <f>IF($J849=0,0,$J849*YenidegerFonOran)</f>
        <v/>
      </c>
      <c r="L849" s="124">
        <f>IF($G849=0,0,$J849/$G849)</f>
        <v/>
      </c>
      <c r="M849" s="124">
        <f>IF($L849=0,0,$L849*YenidegerKurumlarVergiOran)</f>
        <v/>
      </c>
      <c r="N849" s="124">
        <f>IFERROR(IF(YenidegerIskontoOrani=0,$M849*$G849,$M849*(1-1/(1+YenidegerIskontoOrani)^$G849)/YenidegerIskontoOrani),0)</f>
        <v/>
      </c>
      <c r="O849" s="124">
        <f>$N849-$K849</f>
        <v/>
      </c>
      <c r="P849" s="124">
        <f>IF($J849&lt;=0,"DEĞERLENDİR",IF($O849&gt;0,"YENİDEN DEĞERLE","DEĞERLENDİR"))</f>
        <v/>
      </c>
      <c r="Q849" s="124">
        <f>IF($B849="","",CONCATENATE("Kıymet: ",$B849," | Değer Artışı: ",TEXT($J849,"#,##0")))</f>
        <v/>
      </c>
    </row>
    <row r="850" ht="15.75" customHeight="1" s="81">
      <c r="A850" s="129" t="n"/>
      <c r="B850" s="130" t="n"/>
      <c r="C850" s="127" t="n"/>
      <c r="D850" s="127" t="n"/>
      <c r="E850" s="124">
        <f>IF($C850=0,0,$C850-$D850)</f>
        <v/>
      </c>
      <c r="F850" s="128" t="n"/>
      <c r="G850" s="129" t="n"/>
      <c r="H850" s="131" t="n"/>
      <c r="I850" s="124">
        <f>IF($E850=0,0,$E850*$H850)</f>
        <v/>
      </c>
      <c r="J850" s="124">
        <f>IF($I850=0,0,$I850-$E850)</f>
        <v/>
      </c>
      <c r="K850" s="124">
        <f>IF($J850=0,0,$J850*YenidegerFonOran)</f>
        <v/>
      </c>
      <c r="L850" s="124">
        <f>IF($G850=0,0,$J850/$G850)</f>
        <v/>
      </c>
      <c r="M850" s="124">
        <f>IF($L850=0,0,$L850*YenidegerKurumlarVergiOran)</f>
        <v/>
      </c>
      <c r="N850" s="124">
        <f>IFERROR(IF(YenidegerIskontoOrani=0,$M850*$G850,$M850*(1-1/(1+YenidegerIskontoOrani)^$G850)/YenidegerIskontoOrani),0)</f>
        <v/>
      </c>
      <c r="O850" s="124">
        <f>$N850-$K850</f>
        <v/>
      </c>
      <c r="P850" s="124">
        <f>IF($J850&lt;=0,"DEĞERLENDİR",IF($O850&gt;0,"YENİDEN DEĞERLE","DEĞERLENDİR"))</f>
        <v/>
      </c>
      <c r="Q850" s="124">
        <f>IF($B850="","",CONCATENATE("Kıymet: ",$B850," | Değer Artışı: ",TEXT($J850,"#,##0")))</f>
        <v/>
      </c>
    </row>
    <row r="851" ht="15.75" customHeight="1" s="81">
      <c r="A851" s="129" t="n"/>
      <c r="B851" s="130" t="n"/>
      <c r="C851" s="127" t="n"/>
      <c r="D851" s="127" t="n"/>
      <c r="E851" s="124">
        <f>IF($C851=0,0,$C851-$D851)</f>
        <v/>
      </c>
      <c r="F851" s="128" t="n"/>
      <c r="G851" s="129" t="n"/>
      <c r="H851" s="131" t="n"/>
      <c r="I851" s="124">
        <f>IF($E851=0,0,$E851*$H851)</f>
        <v/>
      </c>
      <c r="J851" s="124">
        <f>IF($I851=0,0,$I851-$E851)</f>
        <v/>
      </c>
      <c r="K851" s="124">
        <f>IF($J851=0,0,$J851*YenidegerFonOran)</f>
        <v/>
      </c>
      <c r="L851" s="124">
        <f>IF($G851=0,0,$J851/$G851)</f>
        <v/>
      </c>
      <c r="M851" s="124">
        <f>IF($L851=0,0,$L851*YenidegerKurumlarVergiOran)</f>
        <v/>
      </c>
      <c r="N851" s="124">
        <f>IFERROR(IF(YenidegerIskontoOrani=0,$M851*$G851,$M851*(1-1/(1+YenidegerIskontoOrani)^$G851)/YenidegerIskontoOrani),0)</f>
        <v/>
      </c>
      <c r="O851" s="124">
        <f>$N851-$K851</f>
        <v/>
      </c>
      <c r="P851" s="124">
        <f>IF($J851&lt;=0,"DEĞERLENDİR",IF($O851&gt;0,"YENİDEN DEĞERLE","DEĞERLENDİR"))</f>
        <v/>
      </c>
      <c r="Q851" s="124">
        <f>IF($B851="","",CONCATENATE("Kıymet: ",$B851," | Değer Artışı: ",TEXT($J851,"#,##0")))</f>
        <v/>
      </c>
    </row>
    <row r="852" ht="15.75" customHeight="1" s="81">
      <c r="A852" s="129" t="n"/>
      <c r="B852" s="130" t="n"/>
      <c r="C852" s="127" t="n"/>
      <c r="D852" s="127" t="n"/>
      <c r="E852" s="124">
        <f>IF($C852=0,0,$C852-$D852)</f>
        <v/>
      </c>
      <c r="F852" s="128" t="n"/>
      <c r="G852" s="129" t="n"/>
      <c r="H852" s="131" t="n"/>
      <c r="I852" s="124">
        <f>IF($E852=0,0,$E852*$H852)</f>
        <v/>
      </c>
      <c r="J852" s="124">
        <f>IF($I852=0,0,$I852-$E852)</f>
        <v/>
      </c>
      <c r="K852" s="124">
        <f>IF($J852=0,0,$J852*YenidegerFonOran)</f>
        <v/>
      </c>
      <c r="L852" s="124">
        <f>IF($G852=0,0,$J852/$G852)</f>
        <v/>
      </c>
      <c r="M852" s="124">
        <f>IF($L852=0,0,$L852*YenidegerKurumlarVergiOran)</f>
        <v/>
      </c>
      <c r="N852" s="124">
        <f>IFERROR(IF(YenidegerIskontoOrani=0,$M852*$G852,$M852*(1-1/(1+YenidegerIskontoOrani)^$G852)/YenidegerIskontoOrani),0)</f>
        <v/>
      </c>
      <c r="O852" s="124">
        <f>$N852-$K852</f>
        <v/>
      </c>
      <c r="P852" s="124">
        <f>IF($J852&lt;=0,"DEĞERLENDİR",IF($O852&gt;0,"YENİDEN DEĞERLE","DEĞERLENDİR"))</f>
        <v/>
      </c>
      <c r="Q852" s="124">
        <f>IF($B852="","",CONCATENATE("Kıymet: ",$B852," | Değer Artışı: ",TEXT($J852,"#,##0")))</f>
        <v/>
      </c>
    </row>
    <row r="853" ht="15.75" customHeight="1" s="81">
      <c r="A853" s="129" t="n"/>
      <c r="B853" s="130" t="n"/>
      <c r="C853" s="127" t="n"/>
      <c r="D853" s="127" t="n"/>
      <c r="E853" s="124">
        <f>IF($C853=0,0,$C853-$D853)</f>
        <v/>
      </c>
      <c r="F853" s="128" t="n"/>
      <c r="G853" s="129" t="n"/>
      <c r="H853" s="131" t="n"/>
      <c r="I853" s="124">
        <f>IF($E853=0,0,$E853*$H853)</f>
        <v/>
      </c>
      <c r="J853" s="124">
        <f>IF($I853=0,0,$I853-$E853)</f>
        <v/>
      </c>
      <c r="K853" s="124">
        <f>IF($J853=0,0,$J853*YenidegerFonOran)</f>
        <v/>
      </c>
      <c r="L853" s="124">
        <f>IF($G853=0,0,$J853/$G853)</f>
        <v/>
      </c>
      <c r="M853" s="124">
        <f>IF($L853=0,0,$L853*YenidegerKurumlarVergiOran)</f>
        <v/>
      </c>
      <c r="N853" s="124">
        <f>IFERROR(IF(YenidegerIskontoOrani=0,$M853*$G853,$M853*(1-1/(1+YenidegerIskontoOrani)^$G853)/YenidegerIskontoOrani),0)</f>
        <v/>
      </c>
      <c r="O853" s="124">
        <f>$N853-$K853</f>
        <v/>
      </c>
      <c r="P853" s="124">
        <f>IF($J853&lt;=0,"DEĞERLENDİR",IF($O853&gt;0,"YENİDEN DEĞERLE","DEĞERLENDİR"))</f>
        <v/>
      </c>
      <c r="Q853" s="124">
        <f>IF($B853="","",CONCATENATE("Kıymet: ",$B853," | Değer Artışı: ",TEXT($J853,"#,##0")))</f>
        <v/>
      </c>
    </row>
    <row r="854" ht="15.75" customHeight="1" s="81">
      <c r="A854" s="129" t="n"/>
      <c r="B854" s="130" t="n"/>
      <c r="C854" s="127" t="n"/>
      <c r="D854" s="127" t="n"/>
      <c r="E854" s="124">
        <f>IF($C854=0,0,$C854-$D854)</f>
        <v/>
      </c>
      <c r="F854" s="128" t="n"/>
      <c r="G854" s="129" t="n"/>
      <c r="H854" s="131" t="n"/>
      <c r="I854" s="124">
        <f>IF($E854=0,0,$E854*$H854)</f>
        <v/>
      </c>
      <c r="J854" s="124">
        <f>IF($I854=0,0,$I854-$E854)</f>
        <v/>
      </c>
      <c r="K854" s="124">
        <f>IF($J854=0,0,$J854*YenidegerFonOran)</f>
        <v/>
      </c>
      <c r="L854" s="124">
        <f>IF($G854=0,0,$J854/$G854)</f>
        <v/>
      </c>
      <c r="M854" s="124">
        <f>IF($L854=0,0,$L854*YenidegerKurumlarVergiOran)</f>
        <v/>
      </c>
      <c r="N854" s="124">
        <f>IFERROR(IF(YenidegerIskontoOrani=0,$M854*$G854,$M854*(1-1/(1+YenidegerIskontoOrani)^$G854)/YenidegerIskontoOrani),0)</f>
        <v/>
      </c>
      <c r="O854" s="124">
        <f>$N854-$K854</f>
        <v/>
      </c>
      <c r="P854" s="124">
        <f>IF($J854&lt;=0,"DEĞERLENDİR",IF($O854&gt;0,"YENİDEN DEĞERLE","DEĞERLENDİR"))</f>
        <v/>
      </c>
      <c r="Q854" s="124">
        <f>IF($B854="","",CONCATENATE("Kıymet: ",$B854," | Değer Artışı: ",TEXT($J854,"#,##0")))</f>
        <v/>
      </c>
    </row>
    <row r="855" ht="15.75" customHeight="1" s="81">
      <c r="A855" s="129" t="n"/>
      <c r="B855" s="130" t="n"/>
      <c r="C855" s="127" t="n"/>
      <c r="D855" s="127" t="n"/>
      <c r="E855" s="124">
        <f>IF($C855=0,0,$C855-$D855)</f>
        <v/>
      </c>
      <c r="F855" s="128" t="n"/>
      <c r="G855" s="129" t="n"/>
      <c r="H855" s="131" t="n"/>
      <c r="I855" s="124">
        <f>IF($E855=0,0,$E855*$H855)</f>
        <v/>
      </c>
      <c r="J855" s="124">
        <f>IF($I855=0,0,$I855-$E855)</f>
        <v/>
      </c>
      <c r="K855" s="124">
        <f>IF($J855=0,0,$J855*YenidegerFonOran)</f>
        <v/>
      </c>
      <c r="L855" s="124">
        <f>IF($G855=0,0,$J855/$G855)</f>
        <v/>
      </c>
      <c r="M855" s="124">
        <f>IF($L855=0,0,$L855*YenidegerKurumlarVergiOran)</f>
        <v/>
      </c>
      <c r="N855" s="124">
        <f>IFERROR(IF(YenidegerIskontoOrani=0,$M855*$G855,$M855*(1-1/(1+YenidegerIskontoOrani)^$G855)/YenidegerIskontoOrani),0)</f>
        <v/>
      </c>
      <c r="O855" s="124">
        <f>$N855-$K855</f>
        <v/>
      </c>
      <c r="P855" s="124">
        <f>IF($J855&lt;=0,"DEĞERLENDİR",IF($O855&gt;0,"YENİDEN DEĞERLE","DEĞERLENDİR"))</f>
        <v/>
      </c>
      <c r="Q855" s="124">
        <f>IF($B855="","",CONCATENATE("Kıymet: ",$B855," | Değer Artışı: ",TEXT($J855,"#,##0")))</f>
        <v/>
      </c>
    </row>
    <row r="856" ht="15.75" customHeight="1" s="81">
      <c r="A856" s="129" t="n"/>
      <c r="B856" s="130" t="n"/>
      <c r="C856" s="127" t="n"/>
      <c r="D856" s="127" t="n"/>
      <c r="E856" s="124">
        <f>IF($C856=0,0,$C856-$D856)</f>
        <v/>
      </c>
      <c r="F856" s="128" t="n"/>
      <c r="G856" s="129" t="n"/>
      <c r="H856" s="131" t="n"/>
      <c r="I856" s="124">
        <f>IF($E856=0,0,$E856*$H856)</f>
        <v/>
      </c>
      <c r="J856" s="124">
        <f>IF($I856=0,0,$I856-$E856)</f>
        <v/>
      </c>
      <c r="K856" s="124">
        <f>IF($J856=0,0,$J856*YenidegerFonOran)</f>
        <v/>
      </c>
      <c r="L856" s="124">
        <f>IF($G856=0,0,$J856/$G856)</f>
        <v/>
      </c>
      <c r="M856" s="124">
        <f>IF($L856=0,0,$L856*YenidegerKurumlarVergiOran)</f>
        <v/>
      </c>
      <c r="N856" s="124">
        <f>IFERROR(IF(YenidegerIskontoOrani=0,$M856*$G856,$M856*(1-1/(1+YenidegerIskontoOrani)^$G856)/YenidegerIskontoOrani),0)</f>
        <v/>
      </c>
      <c r="O856" s="124">
        <f>$N856-$K856</f>
        <v/>
      </c>
      <c r="P856" s="124">
        <f>IF($J856&lt;=0,"DEĞERLENDİR",IF($O856&gt;0,"YENİDEN DEĞERLE","DEĞERLENDİR"))</f>
        <v/>
      </c>
      <c r="Q856" s="124">
        <f>IF($B856="","",CONCATENATE("Kıymet: ",$B856," | Değer Artışı: ",TEXT($J856,"#,##0")))</f>
        <v/>
      </c>
    </row>
    <row r="857" ht="15.75" customHeight="1" s="81">
      <c r="A857" s="129" t="n"/>
      <c r="B857" s="130" t="n"/>
      <c r="C857" s="127" t="n"/>
      <c r="D857" s="127" t="n"/>
      <c r="E857" s="124">
        <f>IF($C857=0,0,$C857-$D857)</f>
        <v/>
      </c>
      <c r="F857" s="128" t="n"/>
      <c r="G857" s="129" t="n"/>
      <c r="H857" s="131" t="n"/>
      <c r="I857" s="124">
        <f>IF($E857=0,0,$E857*$H857)</f>
        <v/>
      </c>
      <c r="J857" s="124">
        <f>IF($I857=0,0,$I857-$E857)</f>
        <v/>
      </c>
      <c r="K857" s="124">
        <f>IF($J857=0,0,$J857*YenidegerFonOran)</f>
        <v/>
      </c>
      <c r="L857" s="124">
        <f>IF($G857=0,0,$J857/$G857)</f>
        <v/>
      </c>
      <c r="M857" s="124">
        <f>IF($L857=0,0,$L857*YenidegerKurumlarVergiOran)</f>
        <v/>
      </c>
      <c r="N857" s="124">
        <f>IFERROR(IF(YenidegerIskontoOrani=0,$M857*$G857,$M857*(1-1/(1+YenidegerIskontoOrani)^$G857)/YenidegerIskontoOrani),0)</f>
        <v/>
      </c>
      <c r="O857" s="124">
        <f>$N857-$K857</f>
        <v/>
      </c>
      <c r="P857" s="124">
        <f>IF($J857&lt;=0,"DEĞERLENDİR",IF($O857&gt;0,"YENİDEN DEĞERLE","DEĞERLENDİR"))</f>
        <v/>
      </c>
      <c r="Q857" s="124">
        <f>IF($B857="","",CONCATENATE("Kıymet: ",$B857," | Değer Artışı: ",TEXT($J857,"#,##0")))</f>
        <v/>
      </c>
    </row>
    <row r="858" ht="15.75" customHeight="1" s="81">
      <c r="A858" s="129" t="n"/>
      <c r="B858" s="130" t="n"/>
      <c r="C858" s="127" t="n"/>
      <c r="D858" s="127" t="n"/>
      <c r="E858" s="124">
        <f>IF($C858=0,0,$C858-$D858)</f>
        <v/>
      </c>
      <c r="F858" s="128" t="n"/>
      <c r="G858" s="129" t="n"/>
      <c r="H858" s="131" t="n"/>
      <c r="I858" s="124">
        <f>IF($E858=0,0,$E858*$H858)</f>
        <v/>
      </c>
      <c r="J858" s="124">
        <f>IF($I858=0,0,$I858-$E858)</f>
        <v/>
      </c>
      <c r="K858" s="124">
        <f>IF($J858=0,0,$J858*YenidegerFonOran)</f>
        <v/>
      </c>
      <c r="L858" s="124">
        <f>IF($G858=0,0,$J858/$G858)</f>
        <v/>
      </c>
      <c r="M858" s="124">
        <f>IF($L858=0,0,$L858*YenidegerKurumlarVergiOran)</f>
        <v/>
      </c>
      <c r="N858" s="124">
        <f>IFERROR(IF(YenidegerIskontoOrani=0,$M858*$G858,$M858*(1-1/(1+YenidegerIskontoOrani)^$G858)/YenidegerIskontoOrani),0)</f>
        <v/>
      </c>
      <c r="O858" s="124">
        <f>$N858-$K858</f>
        <v/>
      </c>
      <c r="P858" s="124">
        <f>IF($J858&lt;=0,"DEĞERLENDİR",IF($O858&gt;0,"YENİDEN DEĞERLE","DEĞERLENDİR"))</f>
        <v/>
      </c>
      <c r="Q858" s="124">
        <f>IF($B858="","",CONCATENATE("Kıymet: ",$B858," | Değer Artışı: ",TEXT($J858,"#,##0")))</f>
        <v/>
      </c>
    </row>
    <row r="859" ht="15.75" customHeight="1" s="81">
      <c r="A859" s="129" t="n"/>
      <c r="B859" s="130" t="n"/>
      <c r="C859" s="127" t="n"/>
      <c r="D859" s="127" t="n"/>
      <c r="E859" s="124">
        <f>IF($C859=0,0,$C859-$D859)</f>
        <v/>
      </c>
      <c r="F859" s="128" t="n"/>
      <c r="G859" s="129" t="n"/>
      <c r="H859" s="131" t="n"/>
      <c r="I859" s="124">
        <f>IF($E859=0,0,$E859*$H859)</f>
        <v/>
      </c>
      <c r="J859" s="124">
        <f>IF($I859=0,0,$I859-$E859)</f>
        <v/>
      </c>
      <c r="K859" s="124">
        <f>IF($J859=0,0,$J859*YenidegerFonOran)</f>
        <v/>
      </c>
      <c r="L859" s="124">
        <f>IF($G859=0,0,$J859/$G859)</f>
        <v/>
      </c>
      <c r="M859" s="124">
        <f>IF($L859=0,0,$L859*YenidegerKurumlarVergiOran)</f>
        <v/>
      </c>
      <c r="N859" s="124">
        <f>IFERROR(IF(YenidegerIskontoOrani=0,$M859*$G859,$M859*(1-1/(1+YenidegerIskontoOrani)^$G859)/YenidegerIskontoOrani),0)</f>
        <v/>
      </c>
      <c r="O859" s="124">
        <f>$N859-$K859</f>
        <v/>
      </c>
      <c r="P859" s="124">
        <f>IF($J859&lt;=0,"DEĞERLENDİR",IF($O859&gt;0,"YENİDEN DEĞERLE","DEĞERLENDİR"))</f>
        <v/>
      </c>
      <c r="Q859" s="124">
        <f>IF($B859="","",CONCATENATE("Kıymet: ",$B859," | Değer Artışı: ",TEXT($J859,"#,##0")))</f>
        <v/>
      </c>
    </row>
    <row r="860" ht="15.75" customHeight="1" s="81">
      <c r="A860" s="129" t="n"/>
      <c r="B860" s="130" t="n"/>
      <c r="C860" s="127" t="n"/>
      <c r="D860" s="127" t="n"/>
      <c r="E860" s="124">
        <f>IF($C860=0,0,$C860-$D860)</f>
        <v/>
      </c>
      <c r="F860" s="128" t="n"/>
      <c r="G860" s="129" t="n"/>
      <c r="H860" s="131" t="n"/>
      <c r="I860" s="124">
        <f>IF($E860=0,0,$E860*$H860)</f>
        <v/>
      </c>
      <c r="J860" s="124">
        <f>IF($I860=0,0,$I860-$E860)</f>
        <v/>
      </c>
      <c r="K860" s="124">
        <f>IF($J860=0,0,$J860*YenidegerFonOran)</f>
        <v/>
      </c>
      <c r="L860" s="124">
        <f>IF($G860=0,0,$J860/$G860)</f>
        <v/>
      </c>
      <c r="M860" s="124">
        <f>IF($L860=0,0,$L860*YenidegerKurumlarVergiOran)</f>
        <v/>
      </c>
      <c r="N860" s="124">
        <f>IFERROR(IF(YenidegerIskontoOrani=0,$M860*$G860,$M860*(1-1/(1+YenidegerIskontoOrani)^$G860)/YenidegerIskontoOrani),0)</f>
        <v/>
      </c>
      <c r="O860" s="124">
        <f>$N860-$K860</f>
        <v/>
      </c>
      <c r="P860" s="124">
        <f>IF($J860&lt;=0,"DEĞERLENDİR",IF($O860&gt;0,"YENİDEN DEĞERLE","DEĞERLENDİR"))</f>
        <v/>
      </c>
      <c r="Q860" s="124">
        <f>IF($B860="","",CONCATENATE("Kıymet: ",$B860," | Değer Artışı: ",TEXT($J860,"#,##0")))</f>
        <v/>
      </c>
    </row>
    <row r="861" ht="15.75" customHeight="1" s="81">
      <c r="A861" s="129" t="n"/>
      <c r="B861" s="130" t="n"/>
      <c r="C861" s="127" t="n"/>
      <c r="D861" s="127" t="n"/>
      <c r="E861" s="124">
        <f>IF($C861=0,0,$C861-$D861)</f>
        <v/>
      </c>
      <c r="F861" s="128" t="n"/>
      <c r="G861" s="129" t="n"/>
      <c r="H861" s="131" t="n"/>
      <c r="I861" s="124">
        <f>IF($E861=0,0,$E861*$H861)</f>
        <v/>
      </c>
      <c r="J861" s="124">
        <f>IF($I861=0,0,$I861-$E861)</f>
        <v/>
      </c>
      <c r="K861" s="124">
        <f>IF($J861=0,0,$J861*YenidegerFonOran)</f>
        <v/>
      </c>
      <c r="L861" s="124">
        <f>IF($G861=0,0,$J861/$G861)</f>
        <v/>
      </c>
      <c r="M861" s="124">
        <f>IF($L861=0,0,$L861*YenidegerKurumlarVergiOran)</f>
        <v/>
      </c>
      <c r="N861" s="124">
        <f>IFERROR(IF(YenidegerIskontoOrani=0,$M861*$G861,$M861*(1-1/(1+YenidegerIskontoOrani)^$G861)/YenidegerIskontoOrani),0)</f>
        <v/>
      </c>
      <c r="O861" s="124">
        <f>$N861-$K861</f>
        <v/>
      </c>
      <c r="P861" s="124">
        <f>IF($J861&lt;=0,"DEĞERLENDİR",IF($O861&gt;0,"YENİDEN DEĞERLE","DEĞERLENDİR"))</f>
        <v/>
      </c>
      <c r="Q861" s="124">
        <f>IF($B861="","",CONCATENATE("Kıymet: ",$B861," | Değer Artışı: ",TEXT($J861,"#,##0")))</f>
        <v/>
      </c>
    </row>
    <row r="862" ht="15.75" customHeight="1" s="81">
      <c r="A862" s="129" t="n"/>
      <c r="B862" s="130" t="n"/>
      <c r="C862" s="127" t="n"/>
      <c r="D862" s="127" t="n"/>
      <c r="E862" s="124">
        <f>IF($C862=0,0,$C862-$D862)</f>
        <v/>
      </c>
      <c r="F862" s="128" t="n"/>
      <c r="G862" s="129" t="n"/>
      <c r="H862" s="131" t="n"/>
      <c r="I862" s="124">
        <f>IF($E862=0,0,$E862*$H862)</f>
        <v/>
      </c>
      <c r="J862" s="124">
        <f>IF($I862=0,0,$I862-$E862)</f>
        <v/>
      </c>
      <c r="K862" s="124">
        <f>IF($J862=0,0,$J862*YenidegerFonOran)</f>
        <v/>
      </c>
      <c r="L862" s="124">
        <f>IF($G862=0,0,$J862/$G862)</f>
        <v/>
      </c>
      <c r="M862" s="124">
        <f>IF($L862=0,0,$L862*YenidegerKurumlarVergiOran)</f>
        <v/>
      </c>
      <c r="N862" s="124">
        <f>IFERROR(IF(YenidegerIskontoOrani=0,$M862*$G862,$M862*(1-1/(1+YenidegerIskontoOrani)^$G862)/YenidegerIskontoOrani),0)</f>
        <v/>
      </c>
      <c r="O862" s="124">
        <f>$N862-$K862</f>
        <v/>
      </c>
      <c r="P862" s="124">
        <f>IF($J862&lt;=0,"DEĞERLENDİR",IF($O862&gt;0,"YENİDEN DEĞERLE","DEĞERLENDİR"))</f>
        <v/>
      </c>
      <c r="Q862" s="124">
        <f>IF($B862="","",CONCATENATE("Kıymet: ",$B862," | Değer Artışı: ",TEXT($J862,"#,##0")))</f>
        <v/>
      </c>
    </row>
    <row r="863" ht="15.75" customHeight="1" s="81">
      <c r="A863" s="129" t="n"/>
      <c r="B863" s="130" t="n"/>
      <c r="C863" s="127" t="n"/>
      <c r="D863" s="127" t="n"/>
      <c r="E863" s="124">
        <f>IF($C863=0,0,$C863-$D863)</f>
        <v/>
      </c>
      <c r="F863" s="128" t="n"/>
      <c r="G863" s="129" t="n"/>
      <c r="H863" s="131" t="n"/>
      <c r="I863" s="124">
        <f>IF($E863=0,0,$E863*$H863)</f>
        <v/>
      </c>
      <c r="J863" s="124">
        <f>IF($I863=0,0,$I863-$E863)</f>
        <v/>
      </c>
      <c r="K863" s="124">
        <f>IF($J863=0,0,$J863*YenidegerFonOran)</f>
        <v/>
      </c>
      <c r="L863" s="124">
        <f>IF($G863=0,0,$J863/$G863)</f>
        <v/>
      </c>
      <c r="M863" s="124">
        <f>IF($L863=0,0,$L863*YenidegerKurumlarVergiOran)</f>
        <v/>
      </c>
      <c r="N863" s="124">
        <f>IFERROR(IF(YenidegerIskontoOrani=0,$M863*$G863,$M863*(1-1/(1+YenidegerIskontoOrani)^$G863)/YenidegerIskontoOrani),0)</f>
        <v/>
      </c>
      <c r="O863" s="124">
        <f>$N863-$K863</f>
        <v/>
      </c>
      <c r="P863" s="124">
        <f>IF($J863&lt;=0,"DEĞERLENDİR",IF($O863&gt;0,"YENİDEN DEĞERLE","DEĞERLENDİR"))</f>
        <v/>
      </c>
      <c r="Q863" s="124">
        <f>IF($B863="","",CONCATENATE("Kıymet: ",$B863," | Değer Artışı: ",TEXT($J863,"#,##0")))</f>
        <v/>
      </c>
    </row>
    <row r="864" ht="15.75" customHeight="1" s="81">
      <c r="A864" s="129" t="n"/>
      <c r="B864" s="130" t="n"/>
      <c r="C864" s="127" t="n"/>
      <c r="D864" s="127" t="n"/>
      <c r="E864" s="124">
        <f>IF($C864=0,0,$C864-$D864)</f>
        <v/>
      </c>
      <c r="F864" s="128" t="n"/>
      <c r="G864" s="129" t="n"/>
      <c r="H864" s="131" t="n"/>
      <c r="I864" s="124">
        <f>IF($E864=0,0,$E864*$H864)</f>
        <v/>
      </c>
      <c r="J864" s="124">
        <f>IF($I864=0,0,$I864-$E864)</f>
        <v/>
      </c>
      <c r="K864" s="124">
        <f>IF($J864=0,0,$J864*YenidegerFonOran)</f>
        <v/>
      </c>
      <c r="L864" s="124">
        <f>IF($G864=0,0,$J864/$G864)</f>
        <v/>
      </c>
      <c r="M864" s="124">
        <f>IF($L864=0,0,$L864*YenidegerKurumlarVergiOran)</f>
        <v/>
      </c>
      <c r="N864" s="124">
        <f>IFERROR(IF(YenidegerIskontoOrani=0,$M864*$G864,$M864*(1-1/(1+YenidegerIskontoOrani)^$G864)/YenidegerIskontoOrani),0)</f>
        <v/>
      </c>
      <c r="O864" s="124">
        <f>$N864-$K864</f>
        <v/>
      </c>
      <c r="P864" s="124">
        <f>IF($J864&lt;=0,"DEĞERLENDİR",IF($O864&gt;0,"YENİDEN DEĞERLE","DEĞERLENDİR"))</f>
        <v/>
      </c>
      <c r="Q864" s="124">
        <f>IF($B864="","",CONCATENATE("Kıymet: ",$B864," | Değer Artışı: ",TEXT($J864,"#,##0")))</f>
        <v/>
      </c>
    </row>
    <row r="865" ht="15.75" customHeight="1" s="81">
      <c r="A865" s="129" t="n"/>
      <c r="B865" s="130" t="n"/>
      <c r="C865" s="127" t="n"/>
      <c r="D865" s="127" t="n"/>
      <c r="E865" s="124">
        <f>IF($C865=0,0,$C865-$D865)</f>
        <v/>
      </c>
      <c r="F865" s="128" t="n"/>
      <c r="G865" s="129" t="n"/>
      <c r="H865" s="131" t="n"/>
      <c r="I865" s="124">
        <f>IF($E865=0,0,$E865*$H865)</f>
        <v/>
      </c>
      <c r="J865" s="124">
        <f>IF($I865=0,0,$I865-$E865)</f>
        <v/>
      </c>
      <c r="K865" s="124">
        <f>IF($J865=0,0,$J865*YenidegerFonOran)</f>
        <v/>
      </c>
      <c r="L865" s="124">
        <f>IF($G865=0,0,$J865/$G865)</f>
        <v/>
      </c>
      <c r="M865" s="124">
        <f>IF($L865=0,0,$L865*YenidegerKurumlarVergiOran)</f>
        <v/>
      </c>
      <c r="N865" s="124">
        <f>IFERROR(IF(YenidegerIskontoOrani=0,$M865*$G865,$M865*(1-1/(1+YenidegerIskontoOrani)^$G865)/YenidegerIskontoOrani),0)</f>
        <v/>
      </c>
      <c r="O865" s="124">
        <f>$N865-$K865</f>
        <v/>
      </c>
      <c r="P865" s="124">
        <f>IF($J865&lt;=0,"DEĞERLENDİR",IF($O865&gt;0,"YENİDEN DEĞERLE","DEĞERLENDİR"))</f>
        <v/>
      </c>
      <c r="Q865" s="124">
        <f>IF($B865="","",CONCATENATE("Kıymet: ",$B865," | Değer Artışı: ",TEXT($J865,"#,##0")))</f>
        <v/>
      </c>
    </row>
    <row r="866" ht="15.75" customHeight="1" s="81">
      <c r="A866" s="129" t="n"/>
      <c r="B866" s="130" t="n"/>
      <c r="C866" s="127" t="n"/>
      <c r="D866" s="127" t="n"/>
      <c r="E866" s="124">
        <f>IF($C866=0,0,$C866-$D866)</f>
        <v/>
      </c>
      <c r="F866" s="128" t="n"/>
      <c r="G866" s="129" t="n"/>
      <c r="H866" s="131" t="n"/>
      <c r="I866" s="124">
        <f>IF($E866=0,0,$E866*$H866)</f>
        <v/>
      </c>
      <c r="J866" s="124">
        <f>IF($I866=0,0,$I866-$E866)</f>
        <v/>
      </c>
      <c r="K866" s="124">
        <f>IF($J866=0,0,$J866*YenidegerFonOran)</f>
        <v/>
      </c>
      <c r="L866" s="124">
        <f>IF($G866=0,0,$J866/$G866)</f>
        <v/>
      </c>
      <c r="M866" s="124">
        <f>IF($L866=0,0,$L866*YenidegerKurumlarVergiOran)</f>
        <v/>
      </c>
      <c r="N866" s="124">
        <f>IFERROR(IF(YenidegerIskontoOrani=0,$M866*$G866,$M866*(1-1/(1+YenidegerIskontoOrani)^$G866)/YenidegerIskontoOrani),0)</f>
        <v/>
      </c>
      <c r="O866" s="124">
        <f>$N866-$K866</f>
        <v/>
      </c>
      <c r="P866" s="124">
        <f>IF($J866&lt;=0,"DEĞERLENDİR",IF($O866&gt;0,"YENİDEN DEĞERLE","DEĞERLENDİR"))</f>
        <v/>
      </c>
      <c r="Q866" s="124">
        <f>IF($B866="","",CONCATENATE("Kıymet: ",$B866," | Değer Artışı: ",TEXT($J866,"#,##0")))</f>
        <v/>
      </c>
    </row>
    <row r="867" ht="15.75" customHeight="1" s="81">
      <c r="A867" s="129" t="n"/>
      <c r="B867" s="130" t="n"/>
      <c r="C867" s="127" t="n"/>
      <c r="D867" s="127" t="n"/>
      <c r="E867" s="124">
        <f>IF($C867=0,0,$C867-$D867)</f>
        <v/>
      </c>
      <c r="F867" s="128" t="n"/>
      <c r="G867" s="129" t="n"/>
      <c r="H867" s="131" t="n"/>
      <c r="I867" s="124">
        <f>IF($E867=0,0,$E867*$H867)</f>
        <v/>
      </c>
      <c r="J867" s="124">
        <f>IF($I867=0,0,$I867-$E867)</f>
        <v/>
      </c>
      <c r="K867" s="124">
        <f>IF($J867=0,0,$J867*YenidegerFonOran)</f>
        <v/>
      </c>
      <c r="L867" s="124">
        <f>IF($G867=0,0,$J867/$G867)</f>
        <v/>
      </c>
      <c r="M867" s="124">
        <f>IF($L867=0,0,$L867*YenidegerKurumlarVergiOran)</f>
        <v/>
      </c>
      <c r="N867" s="124">
        <f>IFERROR(IF(YenidegerIskontoOrani=0,$M867*$G867,$M867*(1-1/(1+YenidegerIskontoOrani)^$G867)/YenidegerIskontoOrani),0)</f>
        <v/>
      </c>
      <c r="O867" s="124">
        <f>$N867-$K867</f>
        <v/>
      </c>
      <c r="P867" s="124">
        <f>IF($J867&lt;=0,"DEĞERLENDİR",IF($O867&gt;0,"YENİDEN DEĞERLE","DEĞERLENDİR"))</f>
        <v/>
      </c>
      <c r="Q867" s="124">
        <f>IF($B867="","",CONCATENATE("Kıymet: ",$B867," | Değer Artışı: ",TEXT($J867,"#,##0")))</f>
        <v/>
      </c>
    </row>
    <row r="868" ht="15.75" customHeight="1" s="81">
      <c r="A868" s="129" t="n"/>
      <c r="B868" s="130" t="n"/>
      <c r="C868" s="127" t="n"/>
      <c r="D868" s="127" t="n"/>
      <c r="E868" s="124">
        <f>IF($C868=0,0,$C868-$D868)</f>
        <v/>
      </c>
      <c r="F868" s="128" t="n"/>
      <c r="G868" s="129" t="n"/>
      <c r="H868" s="131" t="n"/>
      <c r="I868" s="124">
        <f>IF($E868=0,0,$E868*$H868)</f>
        <v/>
      </c>
      <c r="J868" s="124">
        <f>IF($I868=0,0,$I868-$E868)</f>
        <v/>
      </c>
      <c r="K868" s="124">
        <f>IF($J868=0,0,$J868*YenidegerFonOran)</f>
        <v/>
      </c>
      <c r="L868" s="124">
        <f>IF($G868=0,0,$J868/$G868)</f>
        <v/>
      </c>
      <c r="M868" s="124">
        <f>IF($L868=0,0,$L868*YenidegerKurumlarVergiOran)</f>
        <v/>
      </c>
      <c r="N868" s="124">
        <f>IFERROR(IF(YenidegerIskontoOrani=0,$M868*$G868,$M868*(1-1/(1+YenidegerIskontoOrani)^$G868)/YenidegerIskontoOrani),0)</f>
        <v/>
      </c>
      <c r="O868" s="124">
        <f>$N868-$K868</f>
        <v/>
      </c>
      <c r="P868" s="124">
        <f>IF($J868&lt;=0,"DEĞERLENDİR",IF($O868&gt;0,"YENİDEN DEĞERLE","DEĞERLENDİR"))</f>
        <v/>
      </c>
      <c r="Q868" s="124">
        <f>IF($B868="","",CONCATENATE("Kıymet: ",$B868," | Değer Artışı: ",TEXT($J868,"#,##0")))</f>
        <v/>
      </c>
    </row>
    <row r="869" ht="15.75" customHeight="1" s="81">
      <c r="A869" s="129" t="n"/>
      <c r="B869" s="130" t="n"/>
      <c r="C869" s="127" t="n"/>
      <c r="D869" s="127" t="n"/>
      <c r="E869" s="124">
        <f>IF($C869=0,0,$C869-$D869)</f>
        <v/>
      </c>
      <c r="F869" s="128" t="n"/>
      <c r="G869" s="129" t="n"/>
      <c r="H869" s="131" t="n"/>
      <c r="I869" s="124">
        <f>IF($E869=0,0,$E869*$H869)</f>
        <v/>
      </c>
      <c r="J869" s="124">
        <f>IF($I869=0,0,$I869-$E869)</f>
        <v/>
      </c>
      <c r="K869" s="124">
        <f>IF($J869=0,0,$J869*YenidegerFonOran)</f>
        <v/>
      </c>
      <c r="L869" s="124">
        <f>IF($G869=0,0,$J869/$G869)</f>
        <v/>
      </c>
      <c r="M869" s="124">
        <f>IF($L869=0,0,$L869*YenidegerKurumlarVergiOran)</f>
        <v/>
      </c>
      <c r="N869" s="124">
        <f>IFERROR(IF(YenidegerIskontoOrani=0,$M869*$G869,$M869*(1-1/(1+YenidegerIskontoOrani)^$G869)/YenidegerIskontoOrani),0)</f>
        <v/>
      </c>
      <c r="O869" s="124">
        <f>$N869-$K869</f>
        <v/>
      </c>
      <c r="P869" s="124">
        <f>IF($J869&lt;=0,"DEĞERLENDİR",IF($O869&gt;0,"YENİDEN DEĞERLE","DEĞERLENDİR"))</f>
        <v/>
      </c>
      <c r="Q869" s="124">
        <f>IF($B869="","",CONCATENATE("Kıymet: ",$B869," | Değer Artışı: ",TEXT($J869,"#,##0")))</f>
        <v/>
      </c>
    </row>
    <row r="870" ht="15.75" customHeight="1" s="81">
      <c r="A870" s="129" t="n"/>
      <c r="B870" s="130" t="n"/>
      <c r="C870" s="127" t="n"/>
      <c r="D870" s="127" t="n"/>
      <c r="E870" s="124">
        <f>IF($C870=0,0,$C870-$D870)</f>
        <v/>
      </c>
      <c r="F870" s="128" t="n"/>
      <c r="G870" s="129" t="n"/>
      <c r="H870" s="131" t="n"/>
      <c r="I870" s="124">
        <f>IF($E870=0,0,$E870*$H870)</f>
        <v/>
      </c>
      <c r="J870" s="124">
        <f>IF($I870=0,0,$I870-$E870)</f>
        <v/>
      </c>
      <c r="K870" s="124">
        <f>IF($J870=0,0,$J870*YenidegerFonOran)</f>
        <v/>
      </c>
      <c r="L870" s="124">
        <f>IF($G870=0,0,$J870/$G870)</f>
        <v/>
      </c>
      <c r="M870" s="124">
        <f>IF($L870=0,0,$L870*YenidegerKurumlarVergiOran)</f>
        <v/>
      </c>
      <c r="N870" s="124">
        <f>IFERROR(IF(YenidegerIskontoOrani=0,$M870*$G870,$M870*(1-1/(1+YenidegerIskontoOrani)^$G870)/YenidegerIskontoOrani),0)</f>
        <v/>
      </c>
      <c r="O870" s="124">
        <f>$N870-$K870</f>
        <v/>
      </c>
      <c r="P870" s="124">
        <f>IF($J870&lt;=0,"DEĞERLENDİR",IF($O870&gt;0,"YENİDEN DEĞERLE","DEĞERLENDİR"))</f>
        <v/>
      </c>
      <c r="Q870" s="124">
        <f>IF($B870="","",CONCATENATE("Kıymet: ",$B870," | Değer Artışı: ",TEXT($J870,"#,##0")))</f>
        <v/>
      </c>
    </row>
    <row r="871" ht="15.75" customHeight="1" s="81">
      <c r="A871" s="129" t="n"/>
      <c r="B871" s="130" t="n"/>
      <c r="C871" s="127" t="n"/>
      <c r="D871" s="127" t="n"/>
      <c r="E871" s="124">
        <f>IF($C871=0,0,$C871-$D871)</f>
        <v/>
      </c>
      <c r="F871" s="128" t="n"/>
      <c r="G871" s="129" t="n"/>
      <c r="H871" s="131" t="n"/>
      <c r="I871" s="124">
        <f>IF($E871=0,0,$E871*$H871)</f>
        <v/>
      </c>
      <c r="J871" s="124">
        <f>IF($I871=0,0,$I871-$E871)</f>
        <v/>
      </c>
      <c r="K871" s="124">
        <f>IF($J871=0,0,$J871*YenidegerFonOran)</f>
        <v/>
      </c>
      <c r="L871" s="124">
        <f>IF($G871=0,0,$J871/$G871)</f>
        <v/>
      </c>
      <c r="M871" s="124">
        <f>IF($L871=0,0,$L871*YenidegerKurumlarVergiOran)</f>
        <v/>
      </c>
      <c r="N871" s="124">
        <f>IFERROR(IF(YenidegerIskontoOrani=0,$M871*$G871,$M871*(1-1/(1+YenidegerIskontoOrani)^$G871)/YenidegerIskontoOrani),0)</f>
        <v/>
      </c>
      <c r="O871" s="124">
        <f>$N871-$K871</f>
        <v/>
      </c>
      <c r="P871" s="124">
        <f>IF($J871&lt;=0,"DEĞERLENDİR",IF($O871&gt;0,"YENİDEN DEĞERLE","DEĞERLENDİR"))</f>
        <v/>
      </c>
      <c r="Q871" s="124">
        <f>IF($B871="","",CONCATENATE("Kıymet: ",$B871," | Değer Artışı: ",TEXT($J871,"#,##0")))</f>
        <v/>
      </c>
    </row>
    <row r="872" ht="15.75" customHeight="1" s="81">
      <c r="A872" s="129" t="n"/>
      <c r="B872" s="130" t="n"/>
      <c r="C872" s="127" t="n"/>
      <c r="D872" s="127" t="n"/>
      <c r="E872" s="124">
        <f>IF($C872=0,0,$C872-$D872)</f>
        <v/>
      </c>
      <c r="F872" s="128" t="n"/>
      <c r="G872" s="129" t="n"/>
      <c r="H872" s="131" t="n"/>
      <c r="I872" s="124">
        <f>IF($E872=0,0,$E872*$H872)</f>
        <v/>
      </c>
      <c r="J872" s="124">
        <f>IF($I872=0,0,$I872-$E872)</f>
        <v/>
      </c>
      <c r="K872" s="124">
        <f>IF($J872=0,0,$J872*YenidegerFonOran)</f>
        <v/>
      </c>
      <c r="L872" s="124">
        <f>IF($G872=0,0,$J872/$G872)</f>
        <v/>
      </c>
      <c r="M872" s="124">
        <f>IF($L872=0,0,$L872*YenidegerKurumlarVergiOran)</f>
        <v/>
      </c>
      <c r="N872" s="124">
        <f>IFERROR(IF(YenidegerIskontoOrani=0,$M872*$G872,$M872*(1-1/(1+YenidegerIskontoOrani)^$G872)/YenidegerIskontoOrani),0)</f>
        <v/>
      </c>
      <c r="O872" s="124">
        <f>$N872-$K872</f>
        <v/>
      </c>
      <c r="P872" s="124">
        <f>IF($J872&lt;=0,"DEĞERLENDİR",IF($O872&gt;0,"YENİDEN DEĞERLE","DEĞERLENDİR"))</f>
        <v/>
      </c>
      <c r="Q872" s="124">
        <f>IF($B872="","",CONCATENATE("Kıymet: ",$B872," | Değer Artışı: ",TEXT($J872,"#,##0")))</f>
        <v/>
      </c>
    </row>
    <row r="873" ht="15.75" customHeight="1" s="81">
      <c r="A873" s="129" t="n"/>
      <c r="B873" s="130" t="n"/>
      <c r="C873" s="127" t="n"/>
      <c r="D873" s="127" t="n"/>
      <c r="E873" s="124">
        <f>IF($C873=0,0,$C873-$D873)</f>
        <v/>
      </c>
      <c r="F873" s="128" t="n"/>
      <c r="G873" s="129" t="n"/>
      <c r="H873" s="131" t="n"/>
      <c r="I873" s="124">
        <f>IF($E873=0,0,$E873*$H873)</f>
        <v/>
      </c>
      <c r="J873" s="124">
        <f>IF($I873=0,0,$I873-$E873)</f>
        <v/>
      </c>
      <c r="K873" s="124">
        <f>IF($J873=0,0,$J873*YenidegerFonOran)</f>
        <v/>
      </c>
      <c r="L873" s="124">
        <f>IF($G873=0,0,$J873/$G873)</f>
        <v/>
      </c>
      <c r="M873" s="124">
        <f>IF($L873=0,0,$L873*YenidegerKurumlarVergiOran)</f>
        <v/>
      </c>
      <c r="N873" s="124">
        <f>IFERROR(IF(YenidegerIskontoOrani=0,$M873*$G873,$M873*(1-1/(1+YenidegerIskontoOrani)^$G873)/YenidegerIskontoOrani),0)</f>
        <v/>
      </c>
      <c r="O873" s="124">
        <f>$N873-$K873</f>
        <v/>
      </c>
      <c r="P873" s="124">
        <f>IF($J873&lt;=0,"DEĞERLENDİR",IF($O873&gt;0,"YENİDEN DEĞERLE","DEĞERLENDİR"))</f>
        <v/>
      </c>
      <c r="Q873" s="124">
        <f>IF($B873="","",CONCATENATE("Kıymet: ",$B873," | Değer Artışı: ",TEXT($J873,"#,##0")))</f>
        <v/>
      </c>
    </row>
    <row r="874" ht="15.75" customHeight="1" s="81">
      <c r="A874" s="129" t="n"/>
      <c r="B874" s="130" t="n"/>
      <c r="C874" s="127" t="n"/>
      <c r="D874" s="127" t="n"/>
      <c r="E874" s="124">
        <f>IF($C874=0,0,$C874-$D874)</f>
        <v/>
      </c>
      <c r="F874" s="128" t="n"/>
      <c r="G874" s="129" t="n"/>
      <c r="H874" s="131" t="n"/>
      <c r="I874" s="124">
        <f>IF($E874=0,0,$E874*$H874)</f>
        <v/>
      </c>
      <c r="J874" s="124">
        <f>IF($I874=0,0,$I874-$E874)</f>
        <v/>
      </c>
      <c r="K874" s="124">
        <f>IF($J874=0,0,$J874*YenidegerFonOran)</f>
        <v/>
      </c>
      <c r="L874" s="124">
        <f>IF($G874=0,0,$J874/$G874)</f>
        <v/>
      </c>
      <c r="M874" s="124">
        <f>IF($L874=0,0,$L874*YenidegerKurumlarVergiOran)</f>
        <v/>
      </c>
      <c r="N874" s="124">
        <f>IFERROR(IF(YenidegerIskontoOrani=0,$M874*$G874,$M874*(1-1/(1+YenidegerIskontoOrani)^$G874)/YenidegerIskontoOrani),0)</f>
        <v/>
      </c>
      <c r="O874" s="124">
        <f>$N874-$K874</f>
        <v/>
      </c>
      <c r="P874" s="124">
        <f>IF($J874&lt;=0,"DEĞERLENDİR",IF($O874&gt;0,"YENİDEN DEĞERLE","DEĞERLENDİR"))</f>
        <v/>
      </c>
      <c r="Q874" s="124">
        <f>IF($B874="","",CONCATENATE("Kıymet: ",$B874," | Değer Artışı: ",TEXT($J874,"#,##0")))</f>
        <v/>
      </c>
    </row>
    <row r="875" ht="15.75" customHeight="1" s="81">
      <c r="A875" s="129" t="n"/>
      <c r="B875" s="130" t="n"/>
      <c r="C875" s="127" t="n"/>
      <c r="D875" s="127" t="n"/>
      <c r="E875" s="124">
        <f>IF($C875=0,0,$C875-$D875)</f>
        <v/>
      </c>
      <c r="F875" s="128" t="n"/>
      <c r="G875" s="129" t="n"/>
      <c r="H875" s="131" t="n"/>
      <c r="I875" s="124">
        <f>IF($E875=0,0,$E875*$H875)</f>
        <v/>
      </c>
      <c r="J875" s="124">
        <f>IF($I875=0,0,$I875-$E875)</f>
        <v/>
      </c>
      <c r="K875" s="124">
        <f>IF($J875=0,0,$J875*YenidegerFonOran)</f>
        <v/>
      </c>
      <c r="L875" s="124">
        <f>IF($G875=0,0,$J875/$G875)</f>
        <v/>
      </c>
      <c r="M875" s="124">
        <f>IF($L875=0,0,$L875*YenidegerKurumlarVergiOran)</f>
        <v/>
      </c>
      <c r="N875" s="124">
        <f>IFERROR(IF(YenidegerIskontoOrani=0,$M875*$G875,$M875*(1-1/(1+YenidegerIskontoOrani)^$G875)/YenidegerIskontoOrani),0)</f>
        <v/>
      </c>
      <c r="O875" s="124">
        <f>$N875-$K875</f>
        <v/>
      </c>
      <c r="P875" s="124">
        <f>IF($J875&lt;=0,"DEĞERLENDİR",IF($O875&gt;0,"YENİDEN DEĞERLE","DEĞERLENDİR"))</f>
        <v/>
      </c>
      <c r="Q875" s="124">
        <f>IF($B875="","",CONCATENATE("Kıymet: ",$B875," | Değer Artışı: ",TEXT($J875,"#,##0")))</f>
        <v/>
      </c>
    </row>
    <row r="876" ht="15.75" customHeight="1" s="81">
      <c r="A876" s="129" t="n"/>
      <c r="B876" s="130" t="n"/>
      <c r="C876" s="127" t="n"/>
      <c r="D876" s="127" t="n"/>
      <c r="E876" s="124">
        <f>IF($C876=0,0,$C876-$D876)</f>
        <v/>
      </c>
      <c r="F876" s="128" t="n"/>
      <c r="G876" s="129" t="n"/>
      <c r="H876" s="131" t="n"/>
      <c r="I876" s="124">
        <f>IF($E876=0,0,$E876*$H876)</f>
        <v/>
      </c>
      <c r="J876" s="124">
        <f>IF($I876=0,0,$I876-$E876)</f>
        <v/>
      </c>
      <c r="K876" s="124">
        <f>IF($J876=0,0,$J876*YenidegerFonOran)</f>
        <v/>
      </c>
      <c r="L876" s="124">
        <f>IF($G876=0,0,$J876/$G876)</f>
        <v/>
      </c>
      <c r="M876" s="124">
        <f>IF($L876=0,0,$L876*YenidegerKurumlarVergiOran)</f>
        <v/>
      </c>
      <c r="N876" s="124">
        <f>IFERROR(IF(YenidegerIskontoOrani=0,$M876*$G876,$M876*(1-1/(1+YenidegerIskontoOrani)^$G876)/YenidegerIskontoOrani),0)</f>
        <v/>
      </c>
      <c r="O876" s="124">
        <f>$N876-$K876</f>
        <v/>
      </c>
      <c r="P876" s="124">
        <f>IF($J876&lt;=0,"DEĞERLENDİR",IF($O876&gt;0,"YENİDEN DEĞERLE","DEĞERLENDİR"))</f>
        <v/>
      </c>
      <c r="Q876" s="124">
        <f>IF($B876="","",CONCATENATE("Kıymet: ",$B876," | Değer Artışı: ",TEXT($J876,"#,##0")))</f>
        <v/>
      </c>
    </row>
    <row r="877" ht="15.75" customHeight="1" s="81">
      <c r="A877" s="129" t="n"/>
      <c r="B877" s="130" t="n"/>
      <c r="C877" s="127" t="n"/>
      <c r="D877" s="127" t="n"/>
      <c r="E877" s="124">
        <f>IF($C877=0,0,$C877-$D877)</f>
        <v/>
      </c>
      <c r="F877" s="128" t="n"/>
      <c r="G877" s="129" t="n"/>
      <c r="H877" s="131" t="n"/>
      <c r="I877" s="124">
        <f>IF($E877=0,0,$E877*$H877)</f>
        <v/>
      </c>
      <c r="J877" s="124">
        <f>IF($I877=0,0,$I877-$E877)</f>
        <v/>
      </c>
      <c r="K877" s="124">
        <f>IF($J877=0,0,$J877*YenidegerFonOran)</f>
        <v/>
      </c>
      <c r="L877" s="124">
        <f>IF($G877=0,0,$J877/$G877)</f>
        <v/>
      </c>
      <c r="M877" s="124">
        <f>IF($L877=0,0,$L877*YenidegerKurumlarVergiOran)</f>
        <v/>
      </c>
      <c r="N877" s="124">
        <f>IFERROR(IF(YenidegerIskontoOrani=0,$M877*$G877,$M877*(1-1/(1+YenidegerIskontoOrani)^$G877)/YenidegerIskontoOrani),0)</f>
        <v/>
      </c>
      <c r="O877" s="124">
        <f>$N877-$K877</f>
        <v/>
      </c>
      <c r="P877" s="124">
        <f>IF($J877&lt;=0,"DEĞERLENDİR",IF($O877&gt;0,"YENİDEN DEĞERLE","DEĞERLENDİR"))</f>
        <v/>
      </c>
      <c r="Q877" s="124">
        <f>IF($B877="","",CONCATENATE("Kıymet: ",$B877," | Değer Artışı: ",TEXT($J877,"#,##0")))</f>
        <v/>
      </c>
    </row>
    <row r="878" ht="15.75" customHeight="1" s="81">
      <c r="A878" s="129" t="n"/>
      <c r="B878" s="130" t="n"/>
      <c r="C878" s="127" t="n"/>
      <c r="D878" s="127" t="n"/>
      <c r="E878" s="124">
        <f>IF($C878=0,0,$C878-$D878)</f>
        <v/>
      </c>
      <c r="F878" s="128" t="n"/>
      <c r="G878" s="129" t="n"/>
      <c r="H878" s="131" t="n"/>
      <c r="I878" s="124">
        <f>IF($E878=0,0,$E878*$H878)</f>
        <v/>
      </c>
      <c r="J878" s="124">
        <f>IF($I878=0,0,$I878-$E878)</f>
        <v/>
      </c>
      <c r="K878" s="124">
        <f>IF($J878=0,0,$J878*YenidegerFonOran)</f>
        <v/>
      </c>
      <c r="L878" s="124">
        <f>IF($G878=0,0,$J878/$G878)</f>
        <v/>
      </c>
      <c r="M878" s="124">
        <f>IF($L878=0,0,$L878*YenidegerKurumlarVergiOran)</f>
        <v/>
      </c>
      <c r="N878" s="124">
        <f>IFERROR(IF(YenidegerIskontoOrani=0,$M878*$G878,$M878*(1-1/(1+YenidegerIskontoOrani)^$G878)/YenidegerIskontoOrani),0)</f>
        <v/>
      </c>
      <c r="O878" s="124">
        <f>$N878-$K878</f>
        <v/>
      </c>
      <c r="P878" s="124">
        <f>IF($J878&lt;=0,"DEĞERLENDİR",IF($O878&gt;0,"YENİDEN DEĞERLE","DEĞERLENDİR"))</f>
        <v/>
      </c>
      <c r="Q878" s="124">
        <f>IF($B878="","",CONCATENATE("Kıymet: ",$B878," | Değer Artışı: ",TEXT($J878,"#,##0")))</f>
        <v/>
      </c>
    </row>
    <row r="879" ht="15.75" customHeight="1" s="81">
      <c r="A879" s="129" t="n"/>
      <c r="B879" s="130" t="n"/>
      <c r="C879" s="127" t="n"/>
      <c r="D879" s="127" t="n"/>
      <c r="E879" s="124">
        <f>IF($C879=0,0,$C879-$D879)</f>
        <v/>
      </c>
      <c r="F879" s="128" t="n"/>
      <c r="G879" s="129" t="n"/>
      <c r="H879" s="131" t="n"/>
      <c r="I879" s="124">
        <f>IF($E879=0,0,$E879*$H879)</f>
        <v/>
      </c>
      <c r="J879" s="124">
        <f>IF($I879=0,0,$I879-$E879)</f>
        <v/>
      </c>
      <c r="K879" s="124">
        <f>IF($J879=0,0,$J879*YenidegerFonOran)</f>
        <v/>
      </c>
      <c r="L879" s="124">
        <f>IF($G879=0,0,$J879/$G879)</f>
        <v/>
      </c>
      <c r="M879" s="124">
        <f>IF($L879=0,0,$L879*YenidegerKurumlarVergiOran)</f>
        <v/>
      </c>
      <c r="N879" s="124">
        <f>IFERROR(IF(YenidegerIskontoOrani=0,$M879*$G879,$M879*(1-1/(1+YenidegerIskontoOrani)^$G879)/YenidegerIskontoOrani),0)</f>
        <v/>
      </c>
      <c r="O879" s="124">
        <f>$N879-$K879</f>
        <v/>
      </c>
      <c r="P879" s="124">
        <f>IF($J879&lt;=0,"DEĞERLENDİR",IF($O879&gt;0,"YENİDEN DEĞERLE","DEĞERLENDİR"))</f>
        <v/>
      </c>
      <c r="Q879" s="124">
        <f>IF($B879="","",CONCATENATE("Kıymet: ",$B879," | Değer Artışı: ",TEXT($J879,"#,##0")))</f>
        <v/>
      </c>
    </row>
    <row r="880" ht="15.75" customHeight="1" s="81">
      <c r="A880" s="129" t="n"/>
      <c r="B880" s="130" t="n"/>
      <c r="C880" s="127" t="n"/>
      <c r="D880" s="127" t="n"/>
      <c r="E880" s="124">
        <f>IF($C880=0,0,$C880-$D880)</f>
        <v/>
      </c>
      <c r="F880" s="128" t="n"/>
      <c r="G880" s="129" t="n"/>
      <c r="H880" s="131" t="n"/>
      <c r="I880" s="124">
        <f>IF($E880=0,0,$E880*$H880)</f>
        <v/>
      </c>
      <c r="J880" s="124">
        <f>IF($I880=0,0,$I880-$E880)</f>
        <v/>
      </c>
      <c r="K880" s="124">
        <f>IF($J880=0,0,$J880*YenidegerFonOran)</f>
        <v/>
      </c>
      <c r="L880" s="124">
        <f>IF($G880=0,0,$J880/$G880)</f>
        <v/>
      </c>
      <c r="M880" s="124">
        <f>IF($L880=0,0,$L880*YenidegerKurumlarVergiOran)</f>
        <v/>
      </c>
      <c r="N880" s="124">
        <f>IFERROR(IF(YenidegerIskontoOrani=0,$M880*$G880,$M880*(1-1/(1+YenidegerIskontoOrani)^$G880)/YenidegerIskontoOrani),0)</f>
        <v/>
      </c>
      <c r="O880" s="124">
        <f>$N880-$K880</f>
        <v/>
      </c>
      <c r="P880" s="124">
        <f>IF($J880&lt;=0,"DEĞERLENDİR",IF($O880&gt;0,"YENİDEN DEĞERLE","DEĞERLENDİR"))</f>
        <v/>
      </c>
      <c r="Q880" s="124">
        <f>IF($B880="","",CONCATENATE("Kıymet: ",$B880," | Değer Artışı: ",TEXT($J880,"#,##0")))</f>
        <v/>
      </c>
    </row>
    <row r="881" ht="15.75" customHeight="1" s="81">
      <c r="A881" s="129" t="n"/>
      <c r="B881" s="130" t="n"/>
      <c r="C881" s="127" t="n"/>
      <c r="D881" s="127" t="n"/>
      <c r="E881" s="124">
        <f>IF($C881=0,0,$C881-$D881)</f>
        <v/>
      </c>
      <c r="F881" s="128" t="n"/>
      <c r="G881" s="129" t="n"/>
      <c r="H881" s="131" t="n"/>
      <c r="I881" s="124">
        <f>IF($E881=0,0,$E881*$H881)</f>
        <v/>
      </c>
      <c r="J881" s="124">
        <f>IF($I881=0,0,$I881-$E881)</f>
        <v/>
      </c>
      <c r="K881" s="124">
        <f>IF($J881=0,0,$J881*YenidegerFonOran)</f>
        <v/>
      </c>
      <c r="L881" s="124">
        <f>IF($G881=0,0,$J881/$G881)</f>
        <v/>
      </c>
      <c r="M881" s="124">
        <f>IF($L881=0,0,$L881*YenidegerKurumlarVergiOran)</f>
        <v/>
      </c>
      <c r="N881" s="124">
        <f>IFERROR(IF(YenidegerIskontoOrani=0,$M881*$G881,$M881*(1-1/(1+YenidegerIskontoOrani)^$G881)/YenidegerIskontoOrani),0)</f>
        <v/>
      </c>
      <c r="O881" s="124">
        <f>$N881-$K881</f>
        <v/>
      </c>
      <c r="P881" s="124">
        <f>IF($J881&lt;=0,"DEĞERLENDİR",IF($O881&gt;0,"YENİDEN DEĞERLE","DEĞERLENDİR"))</f>
        <v/>
      </c>
      <c r="Q881" s="124">
        <f>IF($B881="","",CONCATENATE("Kıymet: ",$B881," | Değer Artışı: ",TEXT($J881,"#,##0")))</f>
        <v/>
      </c>
    </row>
    <row r="882" ht="15.75" customHeight="1" s="81">
      <c r="A882" s="129" t="n"/>
      <c r="B882" s="130" t="n"/>
      <c r="C882" s="127" t="n"/>
      <c r="D882" s="127" t="n"/>
      <c r="E882" s="124">
        <f>IF($C882=0,0,$C882-$D882)</f>
        <v/>
      </c>
      <c r="F882" s="128" t="n"/>
      <c r="G882" s="129" t="n"/>
      <c r="H882" s="131" t="n"/>
      <c r="I882" s="124">
        <f>IF($E882=0,0,$E882*$H882)</f>
        <v/>
      </c>
      <c r="J882" s="124">
        <f>IF($I882=0,0,$I882-$E882)</f>
        <v/>
      </c>
      <c r="K882" s="124">
        <f>IF($J882=0,0,$J882*YenidegerFonOran)</f>
        <v/>
      </c>
      <c r="L882" s="124">
        <f>IF($G882=0,0,$J882/$G882)</f>
        <v/>
      </c>
      <c r="M882" s="124">
        <f>IF($L882=0,0,$L882*YenidegerKurumlarVergiOran)</f>
        <v/>
      </c>
      <c r="N882" s="124">
        <f>IFERROR(IF(YenidegerIskontoOrani=0,$M882*$G882,$M882*(1-1/(1+YenidegerIskontoOrani)^$G882)/YenidegerIskontoOrani),0)</f>
        <v/>
      </c>
      <c r="O882" s="124">
        <f>$N882-$K882</f>
        <v/>
      </c>
      <c r="P882" s="124">
        <f>IF($J882&lt;=0,"DEĞERLENDİR",IF($O882&gt;0,"YENİDEN DEĞERLE","DEĞERLENDİR"))</f>
        <v/>
      </c>
      <c r="Q882" s="124">
        <f>IF($B882="","",CONCATENATE("Kıymet: ",$B882," | Değer Artışı: ",TEXT($J882,"#,##0")))</f>
        <v/>
      </c>
    </row>
    <row r="883" ht="15.75" customHeight="1" s="81">
      <c r="A883" s="129" t="n"/>
      <c r="B883" s="130" t="n"/>
      <c r="C883" s="127" t="n"/>
      <c r="D883" s="127" t="n"/>
      <c r="E883" s="124">
        <f>IF($C883=0,0,$C883-$D883)</f>
        <v/>
      </c>
      <c r="F883" s="128" t="n"/>
      <c r="G883" s="129" t="n"/>
      <c r="H883" s="131" t="n"/>
      <c r="I883" s="124">
        <f>IF($E883=0,0,$E883*$H883)</f>
        <v/>
      </c>
      <c r="J883" s="124">
        <f>IF($I883=0,0,$I883-$E883)</f>
        <v/>
      </c>
      <c r="K883" s="124">
        <f>IF($J883=0,0,$J883*YenidegerFonOran)</f>
        <v/>
      </c>
      <c r="L883" s="124">
        <f>IF($G883=0,0,$J883/$G883)</f>
        <v/>
      </c>
      <c r="M883" s="124">
        <f>IF($L883=0,0,$L883*YenidegerKurumlarVergiOran)</f>
        <v/>
      </c>
      <c r="N883" s="124">
        <f>IFERROR(IF(YenidegerIskontoOrani=0,$M883*$G883,$M883*(1-1/(1+YenidegerIskontoOrani)^$G883)/YenidegerIskontoOrani),0)</f>
        <v/>
      </c>
      <c r="O883" s="124">
        <f>$N883-$K883</f>
        <v/>
      </c>
      <c r="P883" s="124">
        <f>IF($J883&lt;=0,"DEĞERLENDİR",IF($O883&gt;0,"YENİDEN DEĞERLE","DEĞERLENDİR"))</f>
        <v/>
      </c>
      <c r="Q883" s="124">
        <f>IF($B883="","",CONCATENATE("Kıymet: ",$B883," | Değer Artışı: ",TEXT($J883,"#,##0")))</f>
        <v/>
      </c>
    </row>
    <row r="884" ht="15.75" customHeight="1" s="81">
      <c r="A884" s="129" t="n"/>
      <c r="B884" s="130" t="n"/>
      <c r="C884" s="127" t="n"/>
      <c r="D884" s="127" t="n"/>
      <c r="E884" s="124">
        <f>IF($C884=0,0,$C884-$D884)</f>
        <v/>
      </c>
      <c r="F884" s="128" t="n"/>
      <c r="G884" s="129" t="n"/>
      <c r="H884" s="131" t="n"/>
      <c r="I884" s="124">
        <f>IF($E884=0,0,$E884*$H884)</f>
        <v/>
      </c>
      <c r="J884" s="124">
        <f>IF($I884=0,0,$I884-$E884)</f>
        <v/>
      </c>
      <c r="K884" s="124">
        <f>IF($J884=0,0,$J884*YenidegerFonOran)</f>
        <v/>
      </c>
      <c r="L884" s="124">
        <f>IF($G884=0,0,$J884/$G884)</f>
        <v/>
      </c>
      <c r="M884" s="124">
        <f>IF($L884=0,0,$L884*YenidegerKurumlarVergiOran)</f>
        <v/>
      </c>
      <c r="N884" s="124">
        <f>IFERROR(IF(YenidegerIskontoOrani=0,$M884*$G884,$M884*(1-1/(1+YenidegerIskontoOrani)^$G884)/YenidegerIskontoOrani),0)</f>
        <v/>
      </c>
      <c r="O884" s="124">
        <f>$N884-$K884</f>
        <v/>
      </c>
      <c r="P884" s="124">
        <f>IF($J884&lt;=0,"DEĞERLENDİR",IF($O884&gt;0,"YENİDEN DEĞERLE","DEĞERLENDİR"))</f>
        <v/>
      </c>
      <c r="Q884" s="124">
        <f>IF($B884="","",CONCATENATE("Kıymet: ",$B884," | Değer Artışı: ",TEXT($J884,"#,##0")))</f>
        <v/>
      </c>
    </row>
    <row r="885" ht="15.75" customHeight="1" s="81">
      <c r="A885" s="129" t="n"/>
      <c r="B885" s="130" t="n"/>
      <c r="C885" s="127" t="n"/>
      <c r="D885" s="127" t="n"/>
      <c r="E885" s="124">
        <f>IF($C885=0,0,$C885-$D885)</f>
        <v/>
      </c>
      <c r="F885" s="128" t="n"/>
      <c r="G885" s="129" t="n"/>
      <c r="H885" s="131" t="n"/>
      <c r="I885" s="124">
        <f>IF($E885=0,0,$E885*$H885)</f>
        <v/>
      </c>
      <c r="J885" s="124">
        <f>IF($I885=0,0,$I885-$E885)</f>
        <v/>
      </c>
      <c r="K885" s="124">
        <f>IF($J885=0,0,$J885*YenidegerFonOran)</f>
        <v/>
      </c>
      <c r="L885" s="124">
        <f>IF($G885=0,0,$J885/$G885)</f>
        <v/>
      </c>
      <c r="M885" s="124">
        <f>IF($L885=0,0,$L885*YenidegerKurumlarVergiOran)</f>
        <v/>
      </c>
      <c r="N885" s="124">
        <f>IFERROR(IF(YenidegerIskontoOrani=0,$M885*$G885,$M885*(1-1/(1+YenidegerIskontoOrani)^$G885)/YenidegerIskontoOrani),0)</f>
        <v/>
      </c>
      <c r="O885" s="124">
        <f>$N885-$K885</f>
        <v/>
      </c>
      <c r="P885" s="124">
        <f>IF($J885&lt;=0,"DEĞERLENDİR",IF($O885&gt;0,"YENİDEN DEĞERLE","DEĞERLENDİR"))</f>
        <v/>
      </c>
      <c r="Q885" s="124">
        <f>IF($B885="","",CONCATENATE("Kıymet: ",$B885," | Değer Artışı: ",TEXT($J885,"#,##0")))</f>
        <v/>
      </c>
    </row>
    <row r="886" ht="15.75" customHeight="1" s="81">
      <c r="A886" s="129" t="n"/>
      <c r="B886" s="130" t="n"/>
      <c r="C886" s="127" t="n"/>
      <c r="D886" s="127" t="n"/>
      <c r="E886" s="124">
        <f>IF($C886=0,0,$C886-$D886)</f>
        <v/>
      </c>
      <c r="F886" s="128" t="n"/>
      <c r="G886" s="129" t="n"/>
      <c r="H886" s="131" t="n"/>
      <c r="I886" s="124">
        <f>IF($E886=0,0,$E886*$H886)</f>
        <v/>
      </c>
      <c r="J886" s="124">
        <f>IF($I886=0,0,$I886-$E886)</f>
        <v/>
      </c>
      <c r="K886" s="124">
        <f>IF($J886=0,0,$J886*YenidegerFonOran)</f>
        <v/>
      </c>
      <c r="L886" s="124">
        <f>IF($G886=0,0,$J886/$G886)</f>
        <v/>
      </c>
      <c r="M886" s="124">
        <f>IF($L886=0,0,$L886*YenidegerKurumlarVergiOran)</f>
        <v/>
      </c>
      <c r="N886" s="124">
        <f>IFERROR(IF(YenidegerIskontoOrani=0,$M886*$G886,$M886*(1-1/(1+YenidegerIskontoOrani)^$G886)/YenidegerIskontoOrani),0)</f>
        <v/>
      </c>
      <c r="O886" s="124">
        <f>$N886-$K886</f>
        <v/>
      </c>
      <c r="P886" s="124">
        <f>IF($J886&lt;=0,"DEĞERLENDİR",IF($O886&gt;0,"YENİDEN DEĞERLE","DEĞERLENDİR"))</f>
        <v/>
      </c>
      <c r="Q886" s="124">
        <f>IF($B886="","",CONCATENATE("Kıymet: ",$B886," | Değer Artışı: ",TEXT($J886,"#,##0")))</f>
        <v/>
      </c>
    </row>
    <row r="887" ht="15.75" customHeight="1" s="81">
      <c r="A887" s="129" t="n"/>
      <c r="B887" s="130" t="n"/>
      <c r="C887" s="127" t="n"/>
      <c r="D887" s="127" t="n"/>
      <c r="E887" s="124">
        <f>IF($C887=0,0,$C887-$D887)</f>
        <v/>
      </c>
      <c r="F887" s="128" t="n"/>
      <c r="G887" s="129" t="n"/>
      <c r="H887" s="131" t="n"/>
      <c r="I887" s="124">
        <f>IF($E887=0,0,$E887*$H887)</f>
        <v/>
      </c>
      <c r="J887" s="124">
        <f>IF($I887=0,0,$I887-$E887)</f>
        <v/>
      </c>
      <c r="K887" s="124">
        <f>IF($J887=0,0,$J887*YenidegerFonOran)</f>
        <v/>
      </c>
      <c r="L887" s="124">
        <f>IF($G887=0,0,$J887/$G887)</f>
        <v/>
      </c>
      <c r="M887" s="124">
        <f>IF($L887=0,0,$L887*YenidegerKurumlarVergiOran)</f>
        <v/>
      </c>
      <c r="N887" s="124">
        <f>IFERROR(IF(YenidegerIskontoOrani=0,$M887*$G887,$M887*(1-1/(1+YenidegerIskontoOrani)^$G887)/YenidegerIskontoOrani),0)</f>
        <v/>
      </c>
      <c r="O887" s="124">
        <f>$N887-$K887</f>
        <v/>
      </c>
      <c r="P887" s="124">
        <f>IF($J887&lt;=0,"DEĞERLENDİR",IF($O887&gt;0,"YENİDEN DEĞERLE","DEĞERLENDİR"))</f>
        <v/>
      </c>
      <c r="Q887" s="124">
        <f>IF($B887="","",CONCATENATE("Kıymet: ",$B887," | Değer Artışı: ",TEXT($J887,"#,##0")))</f>
        <v/>
      </c>
    </row>
    <row r="888" ht="15.75" customHeight="1" s="81">
      <c r="A888" s="129" t="n"/>
      <c r="B888" s="130" t="n"/>
      <c r="C888" s="127" t="n"/>
      <c r="D888" s="127" t="n"/>
      <c r="E888" s="124">
        <f>IF($C888=0,0,$C888-$D888)</f>
        <v/>
      </c>
      <c r="F888" s="128" t="n"/>
      <c r="G888" s="129" t="n"/>
      <c r="H888" s="131" t="n"/>
      <c r="I888" s="124">
        <f>IF($E888=0,0,$E888*$H888)</f>
        <v/>
      </c>
      <c r="J888" s="124">
        <f>IF($I888=0,0,$I888-$E888)</f>
        <v/>
      </c>
      <c r="K888" s="124">
        <f>IF($J888=0,0,$J888*YenidegerFonOran)</f>
        <v/>
      </c>
      <c r="L888" s="124">
        <f>IF($G888=0,0,$J888/$G888)</f>
        <v/>
      </c>
      <c r="M888" s="124">
        <f>IF($L888=0,0,$L888*YenidegerKurumlarVergiOran)</f>
        <v/>
      </c>
      <c r="N888" s="124">
        <f>IFERROR(IF(YenidegerIskontoOrani=0,$M888*$G888,$M888*(1-1/(1+YenidegerIskontoOrani)^$G888)/YenidegerIskontoOrani),0)</f>
        <v/>
      </c>
      <c r="O888" s="124">
        <f>$N888-$K888</f>
        <v/>
      </c>
      <c r="P888" s="124">
        <f>IF($J888&lt;=0,"DEĞERLENDİR",IF($O888&gt;0,"YENİDEN DEĞERLE","DEĞERLENDİR"))</f>
        <v/>
      </c>
      <c r="Q888" s="124">
        <f>IF($B888="","",CONCATENATE("Kıymet: ",$B888," | Değer Artışı: ",TEXT($J888,"#,##0")))</f>
        <v/>
      </c>
    </row>
    <row r="889" ht="15.75" customHeight="1" s="81">
      <c r="A889" s="129" t="n"/>
      <c r="B889" s="130" t="n"/>
      <c r="C889" s="127" t="n"/>
      <c r="D889" s="127" t="n"/>
      <c r="E889" s="124">
        <f>IF($C889=0,0,$C889-$D889)</f>
        <v/>
      </c>
      <c r="F889" s="128" t="n"/>
      <c r="G889" s="129" t="n"/>
      <c r="H889" s="131" t="n"/>
      <c r="I889" s="124">
        <f>IF($E889=0,0,$E889*$H889)</f>
        <v/>
      </c>
      <c r="J889" s="124">
        <f>IF($I889=0,0,$I889-$E889)</f>
        <v/>
      </c>
      <c r="K889" s="124">
        <f>IF($J889=0,0,$J889*YenidegerFonOran)</f>
        <v/>
      </c>
      <c r="L889" s="124">
        <f>IF($G889=0,0,$J889/$G889)</f>
        <v/>
      </c>
      <c r="M889" s="124">
        <f>IF($L889=0,0,$L889*YenidegerKurumlarVergiOran)</f>
        <v/>
      </c>
      <c r="N889" s="124">
        <f>IFERROR(IF(YenidegerIskontoOrani=0,$M889*$G889,$M889*(1-1/(1+YenidegerIskontoOrani)^$G889)/YenidegerIskontoOrani),0)</f>
        <v/>
      </c>
      <c r="O889" s="124">
        <f>$N889-$K889</f>
        <v/>
      </c>
      <c r="P889" s="124">
        <f>IF($J889&lt;=0,"DEĞERLENDİR",IF($O889&gt;0,"YENİDEN DEĞERLE","DEĞERLENDİR"))</f>
        <v/>
      </c>
      <c r="Q889" s="124">
        <f>IF($B889="","",CONCATENATE("Kıymet: ",$B889," | Değer Artışı: ",TEXT($J889,"#,##0")))</f>
        <v/>
      </c>
    </row>
    <row r="890" ht="15.75" customHeight="1" s="81">
      <c r="A890" s="129" t="n"/>
      <c r="B890" s="130" t="n"/>
      <c r="C890" s="127" t="n"/>
      <c r="D890" s="127" t="n"/>
      <c r="E890" s="124">
        <f>IF($C890=0,0,$C890-$D890)</f>
        <v/>
      </c>
      <c r="F890" s="128" t="n"/>
      <c r="G890" s="129" t="n"/>
      <c r="H890" s="131" t="n"/>
      <c r="I890" s="124">
        <f>IF($E890=0,0,$E890*$H890)</f>
        <v/>
      </c>
      <c r="J890" s="124">
        <f>IF($I890=0,0,$I890-$E890)</f>
        <v/>
      </c>
      <c r="K890" s="124">
        <f>IF($J890=0,0,$J890*YenidegerFonOran)</f>
        <v/>
      </c>
      <c r="L890" s="124">
        <f>IF($G890=0,0,$J890/$G890)</f>
        <v/>
      </c>
      <c r="M890" s="124">
        <f>IF($L890=0,0,$L890*YenidegerKurumlarVergiOran)</f>
        <v/>
      </c>
      <c r="N890" s="124">
        <f>IFERROR(IF(YenidegerIskontoOrani=0,$M890*$G890,$M890*(1-1/(1+YenidegerIskontoOrani)^$G890)/YenidegerIskontoOrani),0)</f>
        <v/>
      </c>
      <c r="O890" s="124">
        <f>$N890-$K890</f>
        <v/>
      </c>
      <c r="P890" s="124">
        <f>IF($J890&lt;=0,"DEĞERLENDİR",IF($O890&gt;0,"YENİDEN DEĞERLE","DEĞERLENDİR"))</f>
        <v/>
      </c>
      <c r="Q890" s="124">
        <f>IF($B890="","",CONCATENATE("Kıymet: ",$B890," | Değer Artışı: ",TEXT($J890,"#,##0")))</f>
        <v/>
      </c>
    </row>
    <row r="891" ht="15.75" customHeight="1" s="81">
      <c r="A891" s="129" t="n"/>
      <c r="B891" s="130" t="n"/>
      <c r="C891" s="127" t="n"/>
      <c r="D891" s="127" t="n"/>
      <c r="E891" s="124">
        <f>IF($C891=0,0,$C891-$D891)</f>
        <v/>
      </c>
      <c r="F891" s="128" t="n"/>
      <c r="G891" s="129" t="n"/>
      <c r="H891" s="131" t="n"/>
      <c r="I891" s="124">
        <f>IF($E891=0,0,$E891*$H891)</f>
        <v/>
      </c>
      <c r="J891" s="124">
        <f>IF($I891=0,0,$I891-$E891)</f>
        <v/>
      </c>
      <c r="K891" s="124">
        <f>IF($J891=0,0,$J891*YenidegerFonOran)</f>
        <v/>
      </c>
      <c r="L891" s="124">
        <f>IF($G891=0,0,$J891/$G891)</f>
        <v/>
      </c>
      <c r="M891" s="124">
        <f>IF($L891=0,0,$L891*YenidegerKurumlarVergiOran)</f>
        <v/>
      </c>
      <c r="N891" s="124">
        <f>IFERROR(IF(YenidegerIskontoOrani=0,$M891*$G891,$M891*(1-1/(1+YenidegerIskontoOrani)^$G891)/YenidegerIskontoOrani),0)</f>
        <v/>
      </c>
      <c r="O891" s="124">
        <f>$N891-$K891</f>
        <v/>
      </c>
      <c r="P891" s="124">
        <f>IF($J891&lt;=0,"DEĞERLENDİR",IF($O891&gt;0,"YENİDEN DEĞERLE","DEĞERLENDİR"))</f>
        <v/>
      </c>
      <c r="Q891" s="124">
        <f>IF($B891="","",CONCATENATE("Kıymet: ",$B891," | Değer Artışı: ",TEXT($J891,"#,##0")))</f>
        <v/>
      </c>
    </row>
    <row r="892" ht="15.75" customHeight="1" s="81">
      <c r="A892" s="129" t="n"/>
      <c r="B892" s="130" t="n"/>
      <c r="C892" s="127" t="n"/>
      <c r="D892" s="127" t="n"/>
      <c r="E892" s="124">
        <f>IF($C892=0,0,$C892-$D892)</f>
        <v/>
      </c>
      <c r="F892" s="128" t="n"/>
      <c r="G892" s="129" t="n"/>
      <c r="H892" s="131" t="n"/>
      <c r="I892" s="124">
        <f>IF($E892=0,0,$E892*$H892)</f>
        <v/>
      </c>
      <c r="J892" s="124">
        <f>IF($I892=0,0,$I892-$E892)</f>
        <v/>
      </c>
      <c r="K892" s="124">
        <f>IF($J892=0,0,$J892*YenidegerFonOran)</f>
        <v/>
      </c>
      <c r="L892" s="124">
        <f>IF($G892=0,0,$J892/$G892)</f>
        <v/>
      </c>
      <c r="M892" s="124">
        <f>IF($L892=0,0,$L892*YenidegerKurumlarVergiOran)</f>
        <v/>
      </c>
      <c r="N892" s="124">
        <f>IFERROR(IF(YenidegerIskontoOrani=0,$M892*$G892,$M892*(1-1/(1+YenidegerIskontoOrani)^$G892)/YenidegerIskontoOrani),0)</f>
        <v/>
      </c>
      <c r="O892" s="124">
        <f>$N892-$K892</f>
        <v/>
      </c>
      <c r="P892" s="124">
        <f>IF($J892&lt;=0,"DEĞERLENDİR",IF($O892&gt;0,"YENİDEN DEĞERLE","DEĞERLENDİR"))</f>
        <v/>
      </c>
      <c r="Q892" s="124">
        <f>IF($B892="","",CONCATENATE("Kıymet: ",$B892," | Değer Artışı: ",TEXT($J892,"#,##0")))</f>
        <v/>
      </c>
    </row>
    <row r="893" ht="15.75" customHeight="1" s="81">
      <c r="A893" s="129" t="n"/>
      <c r="B893" s="130" t="n"/>
      <c r="C893" s="127" t="n"/>
      <c r="D893" s="127" t="n"/>
      <c r="E893" s="124">
        <f>IF($C893=0,0,$C893-$D893)</f>
        <v/>
      </c>
      <c r="F893" s="128" t="n"/>
      <c r="G893" s="129" t="n"/>
      <c r="H893" s="131" t="n"/>
      <c r="I893" s="124">
        <f>IF($E893=0,0,$E893*$H893)</f>
        <v/>
      </c>
      <c r="J893" s="124">
        <f>IF($I893=0,0,$I893-$E893)</f>
        <v/>
      </c>
      <c r="K893" s="124">
        <f>IF($J893=0,0,$J893*YenidegerFonOran)</f>
        <v/>
      </c>
      <c r="L893" s="124">
        <f>IF($G893=0,0,$J893/$G893)</f>
        <v/>
      </c>
      <c r="M893" s="124">
        <f>IF($L893=0,0,$L893*YenidegerKurumlarVergiOran)</f>
        <v/>
      </c>
      <c r="N893" s="124">
        <f>IFERROR(IF(YenidegerIskontoOrani=0,$M893*$G893,$M893*(1-1/(1+YenidegerIskontoOrani)^$G893)/YenidegerIskontoOrani),0)</f>
        <v/>
      </c>
      <c r="O893" s="124">
        <f>$N893-$K893</f>
        <v/>
      </c>
      <c r="P893" s="124">
        <f>IF($J893&lt;=0,"DEĞERLENDİR",IF($O893&gt;0,"YENİDEN DEĞERLE","DEĞERLENDİR"))</f>
        <v/>
      </c>
      <c r="Q893" s="124">
        <f>IF($B893="","",CONCATENATE("Kıymet: ",$B893," | Değer Artışı: ",TEXT($J893,"#,##0")))</f>
        <v/>
      </c>
    </row>
    <row r="894" ht="15.75" customHeight="1" s="81">
      <c r="A894" s="129" t="n"/>
      <c r="B894" s="130" t="n"/>
      <c r="C894" s="127" t="n"/>
      <c r="D894" s="127" t="n"/>
      <c r="E894" s="124">
        <f>IF($C894=0,0,$C894-$D894)</f>
        <v/>
      </c>
      <c r="F894" s="128" t="n"/>
      <c r="G894" s="129" t="n"/>
      <c r="H894" s="131" t="n"/>
      <c r="I894" s="124">
        <f>IF($E894=0,0,$E894*$H894)</f>
        <v/>
      </c>
      <c r="J894" s="124">
        <f>IF($I894=0,0,$I894-$E894)</f>
        <v/>
      </c>
      <c r="K894" s="124">
        <f>IF($J894=0,0,$J894*YenidegerFonOran)</f>
        <v/>
      </c>
      <c r="L894" s="124">
        <f>IF($G894=0,0,$J894/$G894)</f>
        <v/>
      </c>
      <c r="M894" s="124">
        <f>IF($L894=0,0,$L894*YenidegerKurumlarVergiOran)</f>
        <v/>
      </c>
      <c r="N894" s="124">
        <f>IFERROR(IF(YenidegerIskontoOrani=0,$M894*$G894,$M894*(1-1/(1+YenidegerIskontoOrani)^$G894)/YenidegerIskontoOrani),0)</f>
        <v/>
      </c>
      <c r="O894" s="124">
        <f>$N894-$K894</f>
        <v/>
      </c>
      <c r="P894" s="124">
        <f>IF($J894&lt;=0,"DEĞERLENDİR",IF($O894&gt;0,"YENİDEN DEĞERLE","DEĞERLENDİR"))</f>
        <v/>
      </c>
      <c r="Q894" s="124">
        <f>IF($B894="","",CONCATENATE("Kıymet: ",$B894," | Değer Artışı: ",TEXT($J894,"#,##0")))</f>
        <v/>
      </c>
    </row>
    <row r="895" ht="15.75" customHeight="1" s="81">
      <c r="A895" s="129" t="n"/>
      <c r="B895" s="130" t="n"/>
      <c r="C895" s="127" t="n"/>
      <c r="D895" s="127" t="n"/>
      <c r="E895" s="124">
        <f>IF($C895=0,0,$C895-$D895)</f>
        <v/>
      </c>
      <c r="F895" s="128" t="n"/>
      <c r="G895" s="129" t="n"/>
      <c r="H895" s="131" t="n"/>
      <c r="I895" s="124">
        <f>IF($E895=0,0,$E895*$H895)</f>
        <v/>
      </c>
      <c r="J895" s="124">
        <f>IF($I895=0,0,$I895-$E895)</f>
        <v/>
      </c>
      <c r="K895" s="124">
        <f>IF($J895=0,0,$J895*YenidegerFonOran)</f>
        <v/>
      </c>
      <c r="L895" s="124">
        <f>IF($G895=0,0,$J895/$G895)</f>
        <v/>
      </c>
      <c r="M895" s="124">
        <f>IF($L895=0,0,$L895*YenidegerKurumlarVergiOran)</f>
        <v/>
      </c>
      <c r="N895" s="124">
        <f>IFERROR(IF(YenidegerIskontoOrani=0,$M895*$G895,$M895*(1-1/(1+YenidegerIskontoOrani)^$G895)/YenidegerIskontoOrani),0)</f>
        <v/>
      </c>
      <c r="O895" s="124">
        <f>$N895-$K895</f>
        <v/>
      </c>
      <c r="P895" s="124">
        <f>IF($J895&lt;=0,"DEĞERLENDİR",IF($O895&gt;0,"YENİDEN DEĞERLE","DEĞERLENDİR"))</f>
        <v/>
      </c>
      <c r="Q895" s="124">
        <f>IF($B895="","",CONCATENATE("Kıymet: ",$B895," | Değer Artışı: ",TEXT($J895,"#,##0")))</f>
        <v/>
      </c>
    </row>
    <row r="896" ht="15.75" customHeight="1" s="81">
      <c r="A896" s="129" t="n"/>
      <c r="B896" s="130" t="n"/>
      <c r="C896" s="127" t="n"/>
      <c r="D896" s="127" t="n"/>
      <c r="E896" s="124">
        <f>IF($C896=0,0,$C896-$D896)</f>
        <v/>
      </c>
      <c r="F896" s="128" t="n"/>
      <c r="G896" s="129" t="n"/>
      <c r="H896" s="131" t="n"/>
      <c r="I896" s="124">
        <f>IF($E896=0,0,$E896*$H896)</f>
        <v/>
      </c>
      <c r="J896" s="124">
        <f>IF($I896=0,0,$I896-$E896)</f>
        <v/>
      </c>
      <c r="K896" s="124">
        <f>IF($J896=0,0,$J896*YenidegerFonOran)</f>
        <v/>
      </c>
      <c r="L896" s="124">
        <f>IF($G896=0,0,$J896/$G896)</f>
        <v/>
      </c>
      <c r="M896" s="124">
        <f>IF($L896=0,0,$L896*YenidegerKurumlarVergiOran)</f>
        <v/>
      </c>
      <c r="N896" s="124">
        <f>IFERROR(IF(YenidegerIskontoOrani=0,$M896*$G896,$M896*(1-1/(1+YenidegerIskontoOrani)^$G896)/YenidegerIskontoOrani),0)</f>
        <v/>
      </c>
      <c r="O896" s="124">
        <f>$N896-$K896</f>
        <v/>
      </c>
      <c r="P896" s="124">
        <f>IF($J896&lt;=0,"DEĞERLENDİR",IF($O896&gt;0,"YENİDEN DEĞERLE","DEĞERLENDİR"))</f>
        <v/>
      </c>
      <c r="Q896" s="124">
        <f>IF($B896="","",CONCATENATE("Kıymet: ",$B896," | Değer Artışı: ",TEXT($J896,"#,##0")))</f>
        <v/>
      </c>
    </row>
    <row r="897" ht="15.75" customHeight="1" s="81">
      <c r="A897" s="129" t="n"/>
      <c r="B897" s="130" t="n"/>
      <c r="C897" s="127" t="n"/>
      <c r="D897" s="127" t="n"/>
      <c r="E897" s="124">
        <f>IF($C897=0,0,$C897-$D897)</f>
        <v/>
      </c>
      <c r="F897" s="128" t="n"/>
      <c r="G897" s="129" t="n"/>
      <c r="H897" s="131" t="n"/>
      <c r="I897" s="124">
        <f>IF($E897=0,0,$E897*$H897)</f>
        <v/>
      </c>
      <c r="J897" s="124">
        <f>IF($I897=0,0,$I897-$E897)</f>
        <v/>
      </c>
      <c r="K897" s="124">
        <f>IF($J897=0,0,$J897*YenidegerFonOran)</f>
        <v/>
      </c>
      <c r="L897" s="124">
        <f>IF($G897=0,0,$J897/$G897)</f>
        <v/>
      </c>
      <c r="M897" s="124">
        <f>IF($L897=0,0,$L897*YenidegerKurumlarVergiOran)</f>
        <v/>
      </c>
      <c r="N897" s="124">
        <f>IFERROR(IF(YenidegerIskontoOrani=0,$M897*$G897,$M897*(1-1/(1+YenidegerIskontoOrani)^$G897)/YenidegerIskontoOrani),0)</f>
        <v/>
      </c>
      <c r="O897" s="124">
        <f>$N897-$K897</f>
        <v/>
      </c>
      <c r="P897" s="124">
        <f>IF($J897&lt;=0,"DEĞERLENDİR",IF($O897&gt;0,"YENİDEN DEĞERLE","DEĞERLENDİR"))</f>
        <v/>
      </c>
      <c r="Q897" s="124">
        <f>IF($B897="","",CONCATENATE("Kıymet: ",$B897," | Değer Artışı: ",TEXT($J897,"#,##0")))</f>
        <v/>
      </c>
    </row>
    <row r="898" ht="15.75" customHeight="1" s="81">
      <c r="A898" s="129" t="n"/>
      <c r="B898" s="130" t="n"/>
      <c r="C898" s="127" t="n"/>
      <c r="D898" s="127" t="n"/>
      <c r="E898" s="124">
        <f>IF($C898=0,0,$C898-$D898)</f>
        <v/>
      </c>
      <c r="F898" s="128" t="n"/>
      <c r="G898" s="129" t="n"/>
      <c r="H898" s="131" t="n"/>
      <c r="I898" s="124">
        <f>IF($E898=0,0,$E898*$H898)</f>
        <v/>
      </c>
      <c r="J898" s="124">
        <f>IF($I898=0,0,$I898-$E898)</f>
        <v/>
      </c>
      <c r="K898" s="124">
        <f>IF($J898=0,0,$J898*YenidegerFonOran)</f>
        <v/>
      </c>
      <c r="L898" s="124">
        <f>IF($G898=0,0,$J898/$G898)</f>
        <v/>
      </c>
      <c r="M898" s="124">
        <f>IF($L898=0,0,$L898*YenidegerKurumlarVergiOran)</f>
        <v/>
      </c>
      <c r="N898" s="124">
        <f>IFERROR(IF(YenidegerIskontoOrani=0,$M898*$G898,$M898*(1-1/(1+YenidegerIskontoOrani)^$G898)/YenidegerIskontoOrani),0)</f>
        <v/>
      </c>
      <c r="O898" s="124">
        <f>$N898-$K898</f>
        <v/>
      </c>
      <c r="P898" s="124">
        <f>IF($J898&lt;=0,"DEĞERLENDİR",IF($O898&gt;0,"YENİDEN DEĞERLE","DEĞERLENDİR"))</f>
        <v/>
      </c>
      <c r="Q898" s="124">
        <f>IF($B898="","",CONCATENATE("Kıymet: ",$B898," | Değer Artışı: ",TEXT($J898,"#,##0")))</f>
        <v/>
      </c>
    </row>
    <row r="899" ht="15.75" customHeight="1" s="81">
      <c r="A899" s="129" t="n"/>
      <c r="B899" s="130" t="n"/>
      <c r="C899" s="127" t="n"/>
      <c r="D899" s="127" t="n"/>
      <c r="E899" s="124">
        <f>IF($C899=0,0,$C899-$D899)</f>
        <v/>
      </c>
      <c r="F899" s="128" t="n"/>
      <c r="G899" s="129" t="n"/>
      <c r="H899" s="131" t="n"/>
      <c r="I899" s="124">
        <f>IF($E899=0,0,$E899*$H899)</f>
        <v/>
      </c>
      <c r="J899" s="124">
        <f>IF($I899=0,0,$I899-$E899)</f>
        <v/>
      </c>
      <c r="K899" s="124">
        <f>IF($J899=0,0,$J899*YenidegerFonOran)</f>
        <v/>
      </c>
      <c r="L899" s="124">
        <f>IF($G899=0,0,$J899/$G899)</f>
        <v/>
      </c>
      <c r="M899" s="124">
        <f>IF($L899=0,0,$L899*YenidegerKurumlarVergiOran)</f>
        <v/>
      </c>
      <c r="N899" s="124">
        <f>IFERROR(IF(YenidegerIskontoOrani=0,$M899*$G899,$M899*(1-1/(1+YenidegerIskontoOrani)^$G899)/YenidegerIskontoOrani),0)</f>
        <v/>
      </c>
      <c r="O899" s="124">
        <f>$N899-$K899</f>
        <v/>
      </c>
      <c r="P899" s="124">
        <f>IF($J899&lt;=0,"DEĞERLENDİR",IF($O899&gt;0,"YENİDEN DEĞERLE","DEĞERLENDİR"))</f>
        <v/>
      </c>
      <c r="Q899" s="124">
        <f>IF($B899="","",CONCATENATE("Kıymet: ",$B899," | Değer Artışı: ",TEXT($J899,"#,##0")))</f>
        <v/>
      </c>
    </row>
    <row r="900" ht="15.75" customHeight="1" s="81">
      <c r="A900" s="129" t="n"/>
      <c r="B900" s="130" t="n"/>
      <c r="C900" s="127" t="n"/>
      <c r="D900" s="127" t="n"/>
      <c r="E900" s="124">
        <f>IF($C900=0,0,$C900-$D900)</f>
        <v/>
      </c>
      <c r="F900" s="128" t="n"/>
      <c r="G900" s="129" t="n"/>
      <c r="H900" s="131" t="n"/>
      <c r="I900" s="124">
        <f>IF($E900=0,0,$E900*$H900)</f>
        <v/>
      </c>
      <c r="J900" s="124">
        <f>IF($I900=0,0,$I900-$E900)</f>
        <v/>
      </c>
      <c r="K900" s="124">
        <f>IF($J900=0,0,$J900*YenidegerFonOran)</f>
        <v/>
      </c>
      <c r="L900" s="124">
        <f>IF($G900=0,0,$J900/$G900)</f>
        <v/>
      </c>
      <c r="M900" s="124">
        <f>IF($L900=0,0,$L900*YenidegerKurumlarVergiOran)</f>
        <v/>
      </c>
      <c r="N900" s="124">
        <f>IFERROR(IF(YenidegerIskontoOrani=0,$M900*$G900,$M900*(1-1/(1+YenidegerIskontoOrani)^$G900)/YenidegerIskontoOrani),0)</f>
        <v/>
      </c>
      <c r="O900" s="124">
        <f>$N900-$K900</f>
        <v/>
      </c>
      <c r="P900" s="124">
        <f>IF($J900&lt;=0,"DEĞERLENDİR",IF($O900&gt;0,"YENİDEN DEĞERLE","DEĞERLENDİR"))</f>
        <v/>
      </c>
      <c r="Q900" s="124">
        <f>IF($B900="","",CONCATENATE("Kıymet: ",$B900," | Değer Artışı: ",TEXT($J900,"#,##0")))</f>
        <v/>
      </c>
    </row>
    <row r="901" ht="15.75" customHeight="1" s="81">
      <c r="A901" s="129" t="n"/>
      <c r="B901" s="130" t="n"/>
      <c r="C901" s="127" t="n"/>
      <c r="D901" s="127" t="n"/>
      <c r="E901" s="124">
        <f>IF($C901=0,0,$C901-$D901)</f>
        <v/>
      </c>
      <c r="F901" s="128" t="n"/>
      <c r="G901" s="129" t="n"/>
      <c r="H901" s="131" t="n"/>
      <c r="I901" s="124">
        <f>IF($E901=0,0,$E901*$H901)</f>
        <v/>
      </c>
      <c r="J901" s="124">
        <f>IF($I901=0,0,$I901-$E901)</f>
        <v/>
      </c>
      <c r="K901" s="124">
        <f>IF($J901=0,0,$J901*YenidegerFonOran)</f>
        <v/>
      </c>
      <c r="L901" s="124">
        <f>IF($G901=0,0,$J901/$G901)</f>
        <v/>
      </c>
      <c r="M901" s="124">
        <f>IF($L901=0,0,$L901*YenidegerKurumlarVergiOran)</f>
        <v/>
      </c>
      <c r="N901" s="124">
        <f>IFERROR(IF(YenidegerIskontoOrani=0,$M901*$G901,$M901*(1-1/(1+YenidegerIskontoOrani)^$G901)/YenidegerIskontoOrani),0)</f>
        <v/>
      </c>
      <c r="O901" s="124">
        <f>$N901-$K901</f>
        <v/>
      </c>
      <c r="P901" s="124">
        <f>IF($J901&lt;=0,"DEĞERLENDİR",IF($O901&gt;0,"YENİDEN DEĞERLE","DEĞERLENDİR"))</f>
        <v/>
      </c>
      <c r="Q901" s="124">
        <f>IF($B901="","",CONCATENATE("Kıymet: ",$B901," | Değer Artışı: ",TEXT($J901,"#,##0")))</f>
        <v/>
      </c>
    </row>
    <row r="902" ht="15.75" customHeight="1" s="81">
      <c r="A902" s="129" t="n"/>
      <c r="B902" s="130" t="n"/>
      <c r="C902" s="127" t="n"/>
      <c r="D902" s="127" t="n"/>
      <c r="E902" s="124">
        <f>IF($C902=0,0,$C902-$D902)</f>
        <v/>
      </c>
      <c r="F902" s="128" t="n"/>
      <c r="G902" s="129" t="n"/>
      <c r="H902" s="131" t="n"/>
      <c r="I902" s="124">
        <f>IF($E902=0,0,$E902*$H902)</f>
        <v/>
      </c>
      <c r="J902" s="124">
        <f>IF($I902=0,0,$I902-$E902)</f>
        <v/>
      </c>
      <c r="K902" s="124">
        <f>IF($J902=0,0,$J902*YenidegerFonOran)</f>
        <v/>
      </c>
      <c r="L902" s="124">
        <f>IF($G902=0,0,$J902/$G902)</f>
        <v/>
      </c>
      <c r="M902" s="124">
        <f>IF($L902=0,0,$L902*YenidegerKurumlarVergiOran)</f>
        <v/>
      </c>
      <c r="N902" s="124">
        <f>IFERROR(IF(YenidegerIskontoOrani=0,$M902*$G902,$M902*(1-1/(1+YenidegerIskontoOrani)^$G902)/YenidegerIskontoOrani),0)</f>
        <v/>
      </c>
      <c r="O902" s="124">
        <f>$N902-$K902</f>
        <v/>
      </c>
      <c r="P902" s="124">
        <f>IF($J902&lt;=0,"DEĞERLENDİR",IF($O902&gt;0,"YENİDEN DEĞERLE","DEĞERLENDİR"))</f>
        <v/>
      </c>
      <c r="Q902" s="124">
        <f>IF($B902="","",CONCATENATE("Kıymet: ",$B902," | Değer Artışı: ",TEXT($J902,"#,##0")))</f>
        <v/>
      </c>
    </row>
    <row r="903" ht="15.75" customHeight="1" s="81">
      <c r="A903" s="129" t="n"/>
      <c r="B903" s="130" t="n"/>
      <c r="C903" s="127" t="n"/>
      <c r="D903" s="127" t="n"/>
      <c r="E903" s="124">
        <f>IF($C903=0,0,$C903-$D903)</f>
        <v/>
      </c>
      <c r="F903" s="128" t="n"/>
      <c r="G903" s="129" t="n"/>
      <c r="H903" s="131" t="n"/>
      <c r="I903" s="124">
        <f>IF($E903=0,0,$E903*$H903)</f>
        <v/>
      </c>
      <c r="J903" s="124">
        <f>IF($I903=0,0,$I903-$E903)</f>
        <v/>
      </c>
      <c r="K903" s="124">
        <f>IF($J903=0,0,$J903*YenidegerFonOran)</f>
        <v/>
      </c>
      <c r="L903" s="124">
        <f>IF($G903=0,0,$J903/$G903)</f>
        <v/>
      </c>
      <c r="M903" s="124">
        <f>IF($L903=0,0,$L903*YenidegerKurumlarVergiOran)</f>
        <v/>
      </c>
      <c r="N903" s="124">
        <f>IFERROR(IF(YenidegerIskontoOrani=0,$M903*$G903,$M903*(1-1/(1+YenidegerIskontoOrani)^$G903)/YenidegerIskontoOrani),0)</f>
        <v/>
      </c>
      <c r="O903" s="124">
        <f>$N903-$K903</f>
        <v/>
      </c>
      <c r="P903" s="124">
        <f>IF($J903&lt;=0,"DEĞERLENDİR",IF($O903&gt;0,"YENİDEN DEĞERLE","DEĞERLENDİR"))</f>
        <v/>
      </c>
      <c r="Q903" s="124">
        <f>IF($B903="","",CONCATENATE("Kıymet: ",$B903," | Değer Artışı: ",TEXT($J903,"#,##0")))</f>
        <v/>
      </c>
    </row>
    <row r="904" ht="15.75" customHeight="1" s="81">
      <c r="A904" s="129" t="n"/>
      <c r="B904" s="130" t="n"/>
      <c r="C904" s="127" t="n"/>
      <c r="D904" s="127" t="n"/>
      <c r="E904" s="124">
        <f>IF($C904=0,0,$C904-$D904)</f>
        <v/>
      </c>
      <c r="F904" s="128" t="n"/>
      <c r="G904" s="129" t="n"/>
      <c r="H904" s="131" t="n"/>
      <c r="I904" s="124">
        <f>IF($E904=0,0,$E904*$H904)</f>
        <v/>
      </c>
      <c r="J904" s="124">
        <f>IF($I904=0,0,$I904-$E904)</f>
        <v/>
      </c>
      <c r="K904" s="124">
        <f>IF($J904=0,0,$J904*YenidegerFonOran)</f>
        <v/>
      </c>
      <c r="L904" s="124">
        <f>IF($G904=0,0,$J904/$G904)</f>
        <v/>
      </c>
      <c r="M904" s="124">
        <f>IF($L904=0,0,$L904*YenidegerKurumlarVergiOran)</f>
        <v/>
      </c>
      <c r="N904" s="124">
        <f>IFERROR(IF(YenidegerIskontoOrani=0,$M904*$G904,$M904*(1-1/(1+YenidegerIskontoOrani)^$G904)/YenidegerIskontoOrani),0)</f>
        <v/>
      </c>
      <c r="O904" s="124">
        <f>$N904-$K904</f>
        <v/>
      </c>
      <c r="P904" s="124">
        <f>IF($J904&lt;=0,"DEĞERLENDİR",IF($O904&gt;0,"YENİDEN DEĞERLE","DEĞERLENDİR"))</f>
        <v/>
      </c>
      <c r="Q904" s="124">
        <f>IF($B904="","",CONCATENATE("Kıymet: ",$B904," | Değer Artışı: ",TEXT($J904,"#,##0")))</f>
        <v/>
      </c>
    </row>
    <row r="905" ht="15.75" customHeight="1" s="81">
      <c r="A905" s="129" t="n"/>
      <c r="B905" s="130" t="n"/>
      <c r="C905" s="127" t="n"/>
      <c r="D905" s="127" t="n"/>
      <c r="E905" s="124">
        <f>IF($C905=0,0,$C905-$D905)</f>
        <v/>
      </c>
      <c r="F905" s="128" t="n"/>
      <c r="G905" s="129" t="n"/>
      <c r="H905" s="131" t="n"/>
      <c r="I905" s="124">
        <f>IF($E905=0,0,$E905*$H905)</f>
        <v/>
      </c>
      <c r="J905" s="124">
        <f>IF($I905=0,0,$I905-$E905)</f>
        <v/>
      </c>
      <c r="K905" s="124">
        <f>IF($J905=0,0,$J905*YenidegerFonOran)</f>
        <v/>
      </c>
      <c r="L905" s="124">
        <f>IF($G905=0,0,$J905/$G905)</f>
        <v/>
      </c>
      <c r="M905" s="124">
        <f>IF($L905=0,0,$L905*YenidegerKurumlarVergiOran)</f>
        <v/>
      </c>
      <c r="N905" s="124">
        <f>IFERROR(IF(YenidegerIskontoOrani=0,$M905*$G905,$M905*(1-1/(1+YenidegerIskontoOrani)^$G905)/YenidegerIskontoOrani),0)</f>
        <v/>
      </c>
      <c r="O905" s="124">
        <f>$N905-$K905</f>
        <v/>
      </c>
      <c r="P905" s="124">
        <f>IF($J905&lt;=0,"DEĞERLENDİR",IF($O905&gt;0,"YENİDEN DEĞERLE","DEĞERLENDİR"))</f>
        <v/>
      </c>
      <c r="Q905" s="124">
        <f>IF($B905="","",CONCATENATE("Kıymet: ",$B905," | Değer Artışı: ",TEXT($J905,"#,##0")))</f>
        <v/>
      </c>
    </row>
    <row r="906" ht="15.75" customHeight="1" s="81">
      <c r="A906" s="129" t="n"/>
      <c r="B906" s="130" t="n"/>
      <c r="C906" s="127" t="n"/>
      <c r="D906" s="127" t="n"/>
      <c r="E906" s="124">
        <f>IF($C906=0,0,$C906-$D906)</f>
        <v/>
      </c>
      <c r="F906" s="128" t="n"/>
      <c r="G906" s="129" t="n"/>
      <c r="H906" s="131" t="n"/>
      <c r="I906" s="124">
        <f>IF($E906=0,0,$E906*$H906)</f>
        <v/>
      </c>
      <c r="J906" s="124">
        <f>IF($I906=0,0,$I906-$E906)</f>
        <v/>
      </c>
      <c r="K906" s="124">
        <f>IF($J906=0,0,$J906*YenidegerFonOran)</f>
        <v/>
      </c>
      <c r="L906" s="124">
        <f>IF($G906=0,0,$J906/$G906)</f>
        <v/>
      </c>
      <c r="M906" s="124">
        <f>IF($L906=0,0,$L906*YenidegerKurumlarVergiOran)</f>
        <v/>
      </c>
      <c r="N906" s="124">
        <f>IFERROR(IF(YenidegerIskontoOrani=0,$M906*$G906,$M906*(1-1/(1+YenidegerIskontoOrani)^$G906)/YenidegerIskontoOrani),0)</f>
        <v/>
      </c>
      <c r="O906" s="124">
        <f>$N906-$K906</f>
        <v/>
      </c>
      <c r="P906" s="124">
        <f>IF($J906&lt;=0,"DEĞERLENDİR",IF($O906&gt;0,"YENİDEN DEĞERLE","DEĞERLENDİR"))</f>
        <v/>
      </c>
      <c r="Q906" s="124">
        <f>IF($B906="","",CONCATENATE("Kıymet: ",$B906," | Değer Artışı: ",TEXT($J906,"#,##0")))</f>
        <v/>
      </c>
    </row>
    <row r="907" ht="15.75" customHeight="1" s="81">
      <c r="A907" s="129" t="n"/>
      <c r="B907" s="130" t="n"/>
      <c r="C907" s="127" t="n"/>
      <c r="D907" s="127" t="n"/>
      <c r="E907" s="124">
        <f>IF($C907=0,0,$C907-$D907)</f>
        <v/>
      </c>
      <c r="F907" s="128" t="n"/>
      <c r="G907" s="129" t="n"/>
      <c r="H907" s="131" t="n"/>
      <c r="I907" s="124">
        <f>IF($E907=0,0,$E907*$H907)</f>
        <v/>
      </c>
      <c r="J907" s="124">
        <f>IF($I907=0,0,$I907-$E907)</f>
        <v/>
      </c>
      <c r="K907" s="124">
        <f>IF($J907=0,0,$J907*YenidegerFonOran)</f>
        <v/>
      </c>
      <c r="L907" s="124">
        <f>IF($G907=0,0,$J907/$G907)</f>
        <v/>
      </c>
      <c r="M907" s="124">
        <f>IF($L907=0,0,$L907*YenidegerKurumlarVergiOran)</f>
        <v/>
      </c>
      <c r="N907" s="124">
        <f>IFERROR(IF(YenidegerIskontoOrani=0,$M907*$G907,$M907*(1-1/(1+YenidegerIskontoOrani)^$G907)/YenidegerIskontoOrani),0)</f>
        <v/>
      </c>
      <c r="O907" s="124">
        <f>$N907-$K907</f>
        <v/>
      </c>
      <c r="P907" s="124">
        <f>IF($J907&lt;=0,"DEĞERLENDİR",IF($O907&gt;0,"YENİDEN DEĞERLE","DEĞERLENDİR"))</f>
        <v/>
      </c>
      <c r="Q907" s="124">
        <f>IF($B907="","",CONCATENATE("Kıymet: ",$B907," | Değer Artışı: ",TEXT($J907,"#,##0")))</f>
        <v/>
      </c>
    </row>
    <row r="908" ht="15.75" customHeight="1" s="81">
      <c r="A908" s="129" t="n"/>
      <c r="B908" s="130" t="n"/>
      <c r="C908" s="127" t="n"/>
      <c r="D908" s="127" t="n"/>
      <c r="E908" s="124">
        <f>IF($C908=0,0,$C908-$D908)</f>
        <v/>
      </c>
      <c r="F908" s="128" t="n"/>
      <c r="G908" s="129" t="n"/>
      <c r="H908" s="131" t="n"/>
      <c r="I908" s="124">
        <f>IF($E908=0,0,$E908*$H908)</f>
        <v/>
      </c>
      <c r="J908" s="124">
        <f>IF($I908=0,0,$I908-$E908)</f>
        <v/>
      </c>
      <c r="K908" s="124">
        <f>IF($J908=0,0,$J908*YenidegerFonOran)</f>
        <v/>
      </c>
      <c r="L908" s="124">
        <f>IF($G908=0,0,$J908/$G908)</f>
        <v/>
      </c>
      <c r="M908" s="124">
        <f>IF($L908=0,0,$L908*YenidegerKurumlarVergiOran)</f>
        <v/>
      </c>
      <c r="N908" s="124">
        <f>IFERROR(IF(YenidegerIskontoOrani=0,$M908*$G908,$M908*(1-1/(1+YenidegerIskontoOrani)^$G908)/YenidegerIskontoOrani),0)</f>
        <v/>
      </c>
      <c r="O908" s="124">
        <f>$N908-$K908</f>
        <v/>
      </c>
      <c r="P908" s="124">
        <f>IF($J908&lt;=0,"DEĞERLENDİR",IF($O908&gt;0,"YENİDEN DEĞERLE","DEĞERLENDİR"))</f>
        <v/>
      </c>
      <c r="Q908" s="124">
        <f>IF($B908="","",CONCATENATE("Kıymet: ",$B908," | Değer Artışı: ",TEXT($J908,"#,##0")))</f>
        <v/>
      </c>
    </row>
    <row r="909" ht="15.75" customHeight="1" s="81">
      <c r="A909" s="129" t="n"/>
      <c r="B909" s="130" t="n"/>
      <c r="C909" s="127" t="n"/>
      <c r="D909" s="127" t="n"/>
      <c r="E909" s="124">
        <f>IF($C909=0,0,$C909-$D909)</f>
        <v/>
      </c>
      <c r="F909" s="128" t="n"/>
      <c r="G909" s="129" t="n"/>
      <c r="H909" s="131" t="n"/>
      <c r="I909" s="124">
        <f>IF($E909=0,0,$E909*$H909)</f>
        <v/>
      </c>
      <c r="J909" s="124">
        <f>IF($I909=0,0,$I909-$E909)</f>
        <v/>
      </c>
      <c r="K909" s="124">
        <f>IF($J909=0,0,$J909*YenidegerFonOran)</f>
        <v/>
      </c>
      <c r="L909" s="124">
        <f>IF($G909=0,0,$J909/$G909)</f>
        <v/>
      </c>
      <c r="M909" s="124">
        <f>IF($L909=0,0,$L909*YenidegerKurumlarVergiOran)</f>
        <v/>
      </c>
      <c r="N909" s="124">
        <f>IFERROR(IF(YenidegerIskontoOrani=0,$M909*$G909,$M909*(1-1/(1+YenidegerIskontoOrani)^$G909)/YenidegerIskontoOrani),0)</f>
        <v/>
      </c>
      <c r="O909" s="124">
        <f>$N909-$K909</f>
        <v/>
      </c>
      <c r="P909" s="124">
        <f>IF($J909&lt;=0,"DEĞERLENDİR",IF($O909&gt;0,"YENİDEN DEĞERLE","DEĞERLENDİR"))</f>
        <v/>
      </c>
      <c r="Q909" s="124">
        <f>IF($B909="","",CONCATENATE("Kıymet: ",$B909," | Değer Artışı: ",TEXT($J909,"#,##0")))</f>
        <v/>
      </c>
    </row>
    <row r="910" ht="15.75" customHeight="1" s="81">
      <c r="A910" s="129" t="n"/>
      <c r="B910" s="130" t="n"/>
      <c r="C910" s="127" t="n"/>
      <c r="D910" s="127" t="n"/>
      <c r="E910" s="124">
        <f>IF($C910=0,0,$C910-$D910)</f>
        <v/>
      </c>
      <c r="F910" s="128" t="n"/>
      <c r="G910" s="129" t="n"/>
      <c r="H910" s="131" t="n"/>
      <c r="I910" s="124">
        <f>IF($E910=0,0,$E910*$H910)</f>
        <v/>
      </c>
      <c r="J910" s="124">
        <f>IF($I910=0,0,$I910-$E910)</f>
        <v/>
      </c>
      <c r="K910" s="124">
        <f>IF($J910=0,0,$J910*YenidegerFonOran)</f>
        <v/>
      </c>
      <c r="L910" s="124">
        <f>IF($G910=0,0,$J910/$G910)</f>
        <v/>
      </c>
      <c r="M910" s="124">
        <f>IF($L910=0,0,$L910*YenidegerKurumlarVergiOran)</f>
        <v/>
      </c>
      <c r="N910" s="124">
        <f>IFERROR(IF(YenidegerIskontoOrani=0,$M910*$G910,$M910*(1-1/(1+YenidegerIskontoOrani)^$G910)/YenidegerIskontoOrani),0)</f>
        <v/>
      </c>
      <c r="O910" s="124">
        <f>$N910-$K910</f>
        <v/>
      </c>
      <c r="P910" s="124">
        <f>IF($J910&lt;=0,"DEĞERLENDİR",IF($O910&gt;0,"YENİDEN DEĞERLE","DEĞERLENDİR"))</f>
        <v/>
      </c>
      <c r="Q910" s="124">
        <f>IF($B910="","",CONCATENATE("Kıymet: ",$B910," | Değer Artışı: ",TEXT($J910,"#,##0")))</f>
        <v/>
      </c>
    </row>
    <row r="911" ht="15.75" customHeight="1" s="81">
      <c r="A911" s="129" t="n"/>
      <c r="B911" s="130" t="n"/>
      <c r="C911" s="127" t="n"/>
      <c r="D911" s="127" t="n"/>
      <c r="E911" s="124">
        <f>IF($C911=0,0,$C911-$D911)</f>
        <v/>
      </c>
      <c r="F911" s="128" t="n"/>
      <c r="G911" s="129" t="n"/>
      <c r="H911" s="131" t="n"/>
      <c r="I911" s="124">
        <f>IF($E911=0,0,$E911*$H911)</f>
        <v/>
      </c>
      <c r="J911" s="124">
        <f>IF($I911=0,0,$I911-$E911)</f>
        <v/>
      </c>
      <c r="K911" s="124">
        <f>IF($J911=0,0,$J911*YenidegerFonOran)</f>
        <v/>
      </c>
      <c r="L911" s="124">
        <f>IF($G911=0,0,$J911/$G911)</f>
        <v/>
      </c>
      <c r="M911" s="124">
        <f>IF($L911=0,0,$L911*YenidegerKurumlarVergiOran)</f>
        <v/>
      </c>
      <c r="N911" s="124">
        <f>IFERROR(IF(YenidegerIskontoOrani=0,$M911*$G911,$M911*(1-1/(1+YenidegerIskontoOrani)^$G911)/YenidegerIskontoOrani),0)</f>
        <v/>
      </c>
      <c r="O911" s="124">
        <f>$N911-$K911</f>
        <v/>
      </c>
      <c r="P911" s="124">
        <f>IF($J911&lt;=0,"DEĞERLENDİR",IF($O911&gt;0,"YENİDEN DEĞERLE","DEĞERLENDİR"))</f>
        <v/>
      </c>
      <c r="Q911" s="124">
        <f>IF($B911="","",CONCATENATE("Kıymet: ",$B911," | Değer Artışı: ",TEXT($J911,"#,##0")))</f>
        <v/>
      </c>
    </row>
    <row r="912" ht="15.75" customHeight="1" s="81">
      <c r="A912" s="129" t="n"/>
      <c r="B912" s="130" t="n"/>
      <c r="C912" s="127" t="n"/>
      <c r="D912" s="127" t="n"/>
      <c r="E912" s="124">
        <f>IF($C912=0,0,$C912-$D912)</f>
        <v/>
      </c>
      <c r="F912" s="128" t="n"/>
      <c r="G912" s="129" t="n"/>
      <c r="H912" s="131" t="n"/>
      <c r="I912" s="124">
        <f>IF($E912=0,0,$E912*$H912)</f>
        <v/>
      </c>
      <c r="J912" s="124">
        <f>IF($I912=0,0,$I912-$E912)</f>
        <v/>
      </c>
      <c r="K912" s="124">
        <f>IF($J912=0,0,$J912*YenidegerFonOran)</f>
        <v/>
      </c>
      <c r="L912" s="124">
        <f>IF($G912=0,0,$J912/$G912)</f>
        <v/>
      </c>
      <c r="M912" s="124">
        <f>IF($L912=0,0,$L912*YenidegerKurumlarVergiOran)</f>
        <v/>
      </c>
      <c r="N912" s="124">
        <f>IFERROR(IF(YenidegerIskontoOrani=0,$M912*$G912,$M912*(1-1/(1+YenidegerIskontoOrani)^$G912)/YenidegerIskontoOrani),0)</f>
        <v/>
      </c>
      <c r="O912" s="124">
        <f>$N912-$K912</f>
        <v/>
      </c>
      <c r="P912" s="124">
        <f>IF($J912&lt;=0,"DEĞERLENDİR",IF($O912&gt;0,"YENİDEN DEĞERLE","DEĞERLENDİR"))</f>
        <v/>
      </c>
      <c r="Q912" s="124">
        <f>IF($B912="","",CONCATENATE("Kıymet: ",$B912," | Değer Artışı: ",TEXT($J912,"#,##0")))</f>
        <v/>
      </c>
    </row>
    <row r="913" ht="15.75" customHeight="1" s="81">
      <c r="A913" s="129" t="n"/>
      <c r="B913" s="130" t="n"/>
      <c r="C913" s="127" t="n"/>
      <c r="D913" s="127" t="n"/>
      <c r="E913" s="124">
        <f>IF($C913=0,0,$C913-$D913)</f>
        <v/>
      </c>
      <c r="F913" s="128" t="n"/>
      <c r="G913" s="129" t="n"/>
      <c r="H913" s="131" t="n"/>
      <c r="I913" s="124">
        <f>IF($E913=0,0,$E913*$H913)</f>
        <v/>
      </c>
      <c r="J913" s="124">
        <f>IF($I913=0,0,$I913-$E913)</f>
        <v/>
      </c>
      <c r="K913" s="124">
        <f>IF($J913=0,0,$J913*YenidegerFonOran)</f>
        <v/>
      </c>
      <c r="L913" s="124">
        <f>IF($G913=0,0,$J913/$G913)</f>
        <v/>
      </c>
      <c r="M913" s="124">
        <f>IF($L913=0,0,$L913*YenidegerKurumlarVergiOran)</f>
        <v/>
      </c>
      <c r="N913" s="124">
        <f>IFERROR(IF(YenidegerIskontoOrani=0,$M913*$G913,$M913*(1-1/(1+YenidegerIskontoOrani)^$G913)/YenidegerIskontoOrani),0)</f>
        <v/>
      </c>
      <c r="O913" s="124">
        <f>$N913-$K913</f>
        <v/>
      </c>
      <c r="P913" s="124">
        <f>IF($J913&lt;=0,"DEĞERLENDİR",IF($O913&gt;0,"YENİDEN DEĞERLE","DEĞERLENDİR"))</f>
        <v/>
      </c>
      <c r="Q913" s="124">
        <f>IF($B913="","",CONCATENATE("Kıymet: ",$B913," | Değer Artışı: ",TEXT($J913,"#,##0")))</f>
        <v/>
      </c>
    </row>
    <row r="914" ht="15.75" customHeight="1" s="81">
      <c r="A914" s="129" t="n"/>
      <c r="B914" s="130" t="n"/>
      <c r="C914" s="127" t="n"/>
      <c r="D914" s="127" t="n"/>
      <c r="E914" s="124">
        <f>IF($C914=0,0,$C914-$D914)</f>
        <v/>
      </c>
      <c r="F914" s="128" t="n"/>
      <c r="G914" s="129" t="n"/>
      <c r="H914" s="131" t="n"/>
      <c r="I914" s="124">
        <f>IF($E914=0,0,$E914*$H914)</f>
        <v/>
      </c>
      <c r="J914" s="124">
        <f>IF($I914=0,0,$I914-$E914)</f>
        <v/>
      </c>
      <c r="K914" s="124">
        <f>IF($J914=0,0,$J914*YenidegerFonOran)</f>
        <v/>
      </c>
      <c r="L914" s="124">
        <f>IF($G914=0,0,$J914/$G914)</f>
        <v/>
      </c>
      <c r="M914" s="124">
        <f>IF($L914=0,0,$L914*YenidegerKurumlarVergiOran)</f>
        <v/>
      </c>
      <c r="N914" s="124">
        <f>IFERROR(IF(YenidegerIskontoOrani=0,$M914*$G914,$M914*(1-1/(1+YenidegerIskontoOrani)^$G914)/YenidegerIskontoOrani),0)</f>
        <v/>
      </c>
      <c r="O914" s="124">
        <f>$N914-$K914</f>
        <v/>
      </c>
      <c r="P914" s="124">
        <f>IF($J914&lt;=0,"DEĞERLENDİR",IF($O914&gt;0,"YENİDEN DEĞERLE","DEĞERLENDİR"))</f>
        <v/>
      </c>
      <c r="Q914" s="124">
        <f>IF($B914="","",CONCATENATE("Kıymet: ",$B914," | Değer Artışı: ",TEXT($J914,"#,##0")))</f>
        <v/>
      </c>
    </row>
    <row r="915" ht="15.75" customHeight="1" s="81">
      <c r="A915" s="129" t="n"/>
      <c r="B915" s="130" t="n"/>
      <c r="C915" s="127" t="n"/>
      <c r="D915" s="127" t="n"/>
      <c r="E915" s="124">
        <f>IF($C915=0,0,$C915-$D915)</f>
        <v/>
      </c>
      <c r="F915" s="128" t="n"/>
      <c r="G915" s="129" t="n"/>
      <c r="H915" s="131" t="n"/>
      <c r="I915" s="124">
        <f>IF($E915=0,0,$E915*$H915)</f>
        <v/>
      </c>
      <c r="J915" s="124">
        <f>IF($I915=0,0,$I915-$E915)</f>
        <v/>
      </c>
      <c r="K915" s="124">
        <f>IF($J915=0,0,$J915*YenidegerFonOran)</f>
        <v/>
      </c>
      <c r="L915" s="124">
        <f>IF($G915=0,0,$J915/$G915)</f>
        <v/>
      </c>
      <c r="M915" s="124">
        <f>IF($L915=0,0,$L915*YenidegerKurumlarVergiOran)</f>
        <v/>
      </c>
      <c r="N915" s="124">
        <f>IFERROR(IF(YenidegerIskontoOrani=0,$M915*$G915,$M915*(1-1/(1+YenidegerIskontoOrani)^$G915)/YenidegerIskontoOrani),0)</f>
        <v/>
      </c>
      <c r="O915" s="124">
        <f>$N915-$K915</f>
        <v/>
      </c>
      <c r="P915" s="124">
        <f>IF($J915&lt;=0,"DEĞERLENDİR",IF($O915&gt;0,"YENİDEN DEĞERLE","DEĞERLENDİR"))</f>
        <v/>
      </c>
      <c r="Q915" s="124">
        <f>IF($B915="","",CONCATENATE("Kıymet: ",$B915," | Değer Artışı: ",TEXT($J915,"#,##0")))</f>
        <v/>
      </c>
    </row>
    <row r="916" ht="15.75" customHeight="1" s="81">
      <c r="A916" s="129" t="n"/>
      <c r="B916" s="130" t="n"/>
      <c r="C916" s="127" t="n"/>
      <c r="D916" s="127" t="n"/>
      <c r="E916" s="124">
        <f>IF($C916=0,0,$C916-$D916)</f>
        <v/>
      </c>
      <c r="F916" s="128" t="n"/>
      <c r="G916" s="129" t="n"/>
      <c r="H916" s="131" t="n"/>
      <c r="I916" s="124">
        <f>IF($E916=0,0,$E916*$H916)</f>
        <v/>
      </c>
      <c r="J916" s="124">
        <f>IF($I916=0,0,$I916-$E916)</f>
        <v/>
      </c>
      <c r="K916" s="124">
        <f>IF($J916=0,0,$J916*YenidegerFonOran)</f>
        <v/>
      </c>
      <c r="L916" s="124">
        <f>IF($G916=0,0,$J916/$G916)</f>
        <v/>
      </c>
      <c r="M916" s="124">
        <f>IF($L916=0,0,$L916*YenidegerKurumlarVergiOran)</f>
        <v/>
      </c>
      <c r="N916" s="124">
        <f>IFERROR(IF(YenidegerIskontoOrani=0,$M916*$G916,$M916*(1-1/(1+YenidegerIskontoOrani)^$G916)/YenidegerIskontoOrani),0)</f>
        <v/>
      </c>
      <c r="O916" s="124">
        <f>$N916-$K916</f>
        <v/>
      </c>
      <c r="P916" s="124">
        <f>IF($J916&lt;=0,"DEĞERLENDİR",IF($O916&gt;0,"YENİDEN DEĞERLE","DEĞERLENDİR"))</f>
        <v/>
      </c>
      <c r="Q916" s="124">
        <f>IF($B916="","",CONCATENATE("Kıymet: ",$B916," | Değer Artışı: ",TEXT($J916,"#,##0")))</f>
        <v/>
      </c>
    </row>
    <row r="917" ht="15.75" customHeight="1" s="81">
      <c r="A917" s="129" t="n"/>
      <c r="B917" s="130" t="n"/>
      <c r="C917" s="127" t="n"/>
      <c r="D917" s="127" t="n"/>
      <c r="E917" s="124">
        <f>IF($C917=0,0,$C917-$D917)</f>
        <v/>
      </c>
      <c r="F917" s="128" t="n"/>
      <c r="G917" s="129" t="n"/>
      <c r="H917" s="131" t="n"/>
      <c r="I917" s="124">
        <f>IF($E917=0,0,$E917*$H917)</f>
        <v/>
      </c>
      <c r="J917" s="124">
        <f>IF($I917=0,0,$I917-$E917)</f>
        <v/>
      </c>
      <c r="K917" s="124">
        <f>IF($J917=0,0,$J917*YenidegerFonOran)</f>
        <v/>
      </c>
      <c r="L917" s="124">
        <f>IF($G917=0,0,$J917/$G917)</f>
        <v/>
      </c>
      <c r="M917" s="124">
        <f>IF($L917=0,0,$L917*YenidegerKurumlarVergiOran)</f>
        <v/>
      </c>
      <c r="N917" s="124">
        <f>IFERROR(IF(YenidegerIskontoOrani=0,$M917*$G917,$M917*(1-1/(1+YenidegerIskontoOrani)^$G917)/YenidegerIskontoOrani),0)</f>
        <v/>
      </c>
      <c r="O917" s="124">
        <f>$N917-$K917</f>
        <v/>
      </c>
      <c r="P917" s="124">
        <f>IF($J917&lt;=0,"DEĞERLENDİR",IF($O917&gt;0,"YENİDEN DEĞERLE","DEĞERLENDİR"))</f>
        <v/>
      </c>
      <c r="Q917" s="124">
        <f>IF($B917="","",CONCATENATE("Kıymet: ",$B917," | Değer Artışı: ",TEXT($J917,"#,##0")))</f>
        <v/>
      </c>
    </row>
    <row r="918" ht="15.75" customHeight="1" s="81">
      <c r="A918" s="129" t="n"/>
      <c r="B918" s="130" t="n"/>
      <c r="C918" s="127" t="n"/>
      <c r="D918" s="127" t="n"/>
      <c r="E918" s="124">
        <f>IF($C918=0,0,$C918-$D918)</f>
        <v/>
      </c>
      <c r="F918" s="128" t="n"/>
      <c r="G918" s="129" t="n"/>
      <c r="H918" s="131" t="n"/>
      <c r="I918" s="124">
        <f>IF($E918=0,0,$E918*$H918)</f>
        <v/>
      </c>
      <c r="J918" s="124">
        <f>IF($I918=0,0,$I918-$E918)</f>
        <v/>
      </c>
      <c r="K918" s="124">
        <f>IF($J918=0,0,$J918*YenidegerFonOran)</f>
        <v/>
      </c>
      <c r="L918" s="124">
        <f>IF($G918=0,0,$J918/$G918)</f>
        <v/>
      </c>
      <c r="M918" s="124">
        <f>IF($L918=0,0,$L918*YenidegerKurumlarVergiOran)</f>
        <v/>
      </c>
      <c r="N918" s="124">
        <f>IFERROR(IF(YenidegerIskontoOrani=0,$M918*$G918,$M918*(1-1/(1+YenidegerIskontoOrani)^$G918)/YenidegerIskontoOrani),0)</f>
        <v/>
      </c>
      <c r="O918" s="124">
        <f>$N918-$K918</f>
        <v/>
      </c>
      <c r="P918" s="124">
        <f>IF($J918&lt;=0,"DEĞERLENDİR",IF($O918&gt;0,"YENİDEN DEĞERLE","DEĞERLENDİR"))</f>
        <v/>
      </c>
      <c r="Q918" s="124">
        <f>IF($B918="","",CONCATENATE("Kıymet: ",$B918," | Değer Artışı: ",TEXT($J918,"#,##0")))</f>
        <v/>
      </c>
    </row>
    <row r="919" ht="15.75" customHeight="1" s="81">
      <c r="A919" s="129" t="n"/>
      <c r="B919" s="130" t="n"/>
      <c r="C919" s="127" t="n"/>
      <c r="D919" s="127" t="n"/>
      <c r="E919" s="124">
        <f>IF($C919=0,0,$C919-$D919)</f>
        <v/>
      </c>
      <c r="F919" s="128" t="n"/>
      <c r="G919" s="129" t="n"/>
      <c r="H919" s="131" t="n"/>
      <c r="I919" s="124">
        <f>IF($E919=0,0,$E919*$H919)</f>
        <v/>
      </c>
      <c r="J919" s="124">
        <f>IF($I919=0,0,$I919-$E919)</f>
        <v/>
      </c>
      <c r="K919" s="124">
        <f>IF($J919=0,0,$J919*YenidegerFonOran)</f>
        <v/>
      </c>
      <c r="L919" s="124">
        <f>IF($G919=0,0,$J919/$G919)</f>
        <v/>
      </c>
      <c r="M919" s="124">
        <f>IF($L919=0,0,$L919*YenidegerKurumlarVergiOran)</f>
        <v/>
      </c>
      <c r="N919" s="124">
        <f>IFERROR(IF(YenidegerIskontoOrani=0,$M919*$G919,$M919*(1-1/(1+YenidegerIskontoOrani)^$G919)/YenidegerIskontoOrani),0)</f>
        <v/>
      </c>
      <c r="O919" s="124">
        <f>$N919-$K919</f>
        <v/>
      </c>
      <c r="P919" s="124">
        <f>IF($J919&lt;=0,"DEĞERLENDİR",IF($O919&gt;0,"YENİDEN DEĞERLE","DEĞERLENDİR"))</f>
        <v/>
      </c>
      <c r="Q919" s="124">
        <f>IF($B919="","",CONCATENATE("Kıymet: ",$B919," | Değer Artışı: ",TEXT($J919,"#,##0")))</f>
        <v/>
      </c>
    </row>
    <row r="920" ht="15.75" customHeight="1" s="81">
      <c r="A920" s="129" t="n"/>
      <c r="B920" s="130" t="n"/>
      <c r="C920" s="127" t="n"/>
      <c r="D920" s="127" t="n"/>
      <c r="E920" s="124">
        <f>IF($C920=0,0,$C920-$D920)</f>
        <v/>
      </c>
      <c r="F920" s="128" t="n"/>
      <c r="G920" s="129" t="n"/>
      <c r="H920" s="131" t="n"/>
      <c r="I920" s="124">
        <f>IF($E920=0,0,$E920*$H920)</f>
        <v/>
      </c>
      <c r="J920" s="124">
        <f>IF($I920=0,0,$I920-$E920)</f>
        <v/>
      </c>
      <c r="K920" s="124">
        <f>IF($J920=0,0,$J920*YenidegerFonOran)</f>
        <v/>
      </c>
      <c r="L920" s="124">
        <f>IF($G920=0,0,$J920/$G920)</f>
        <v/>
      </c>
      <c r="M920" s="124">
        <f>IF($L920=0,0,$L920*YenidegerKurumlarVergiOran)</f>
        <v/>
      </c>
      <c r="N920" s="124">
        <f>IFERROR(IF(YenidegerIskontoOrani=0,$M920*$G920,$M920*(1-1/(1+YenidegerIskontoOrani)^$G920)/YenidegerIskontoOrani),0)</f>
        <v/>
      </c>
      <c r="O920" s="124">
        <f>$N920-$K920</f>
        <v/>
      </c>
      <c r="P920" s="124">
        <f>IF($J920&lt;=0,"DEĞERLENDİR",IF($O920&gt;0,"YENİDEN DEĞERLE","DEĞERLENDİR"))</f>
        <v/>
      </c>
      <c r="Q920" s="124">
        <f>IF($B920="","",CONCATENATE("Kıymet: ",$B920," | Değer Artışı: ",TEXT($J920,"#,##0")))</f>
        <v/>
      </c>
    </row>
    <row r="921" ht="15.75" customHeight="1" s="81">
      <c r="A921" s="129" t="n"/>
      <c r="B921" s="130" t="n"/>
      <c r="C921" s="127" t="n"/>
      <c r="D921" s="127" t="n"/>
      <c r="E921" s="124">
        <f>IF($C921=0,0,$C921-$D921)</f>
        <v/>
      </c>
      <c r="F921" s="128" t="n"/>
      <c r="G921" s="129" t="n"/>
      <c r="H921" s="131" t="n"/>
      <c r="I921" s="124">
        <f>IF($E921=0,0,$E921*$H921)</f>
        <v/>
      </c>
      <c r="J921" s="124">
        <f>IF($I921=0,0,$I921-$E921)</f>
        <v/>
      </c>
      <c r="K921" s="124">
        <f>IF($J921=0,0,$J921*YenidegerFonOran)</f>
        <v/>
      </c>
      <c r="L921" s="124">
        <f>IF($G921=0,0,$J921/$G921)</f>
        <v/>
      </c>
      <c r="M921" s="124">
        <f>IF($L921=0,0,$L921*YenidegerKurumlarVergiOran)</f>
        <v/>
      </c>
      <c r="N921" s="124">
        <f>IFERROR(IF(YenidegerIskontoOrani=0,$M921*$G921,$M921*(1-1/(1+YenidegerIskontoOrani)^$G921)/YenidegerIskontoOrani),0)</f>
        <v/>
      </c>
      <c r="O921" s="124">
        <f>$N921-$K921</f>
        <v/>
      </c>
      <c r="P921" s="124">
        <f>IF($J921&lt;=0,"DEĞERLENDİR",IF($O921&gt;0,"YENİDEN DEĞERLE","DEĞERLENDİR"))</f>
        <v/>
      </c>
      <c r="Q921" s="124">
        <f>IF($B921="","",CONCATENATE("Kıymet: ",$B921," | Değer Artışı: ",TEXT($J921,"#,##0")))</f>
        <v/>
      </c>
    </row>
    <row r="922" ht="15.75" customHeight="1" s="81">
      <c r="A922" s="129" t="n"/>
      <c r="B922" s="130" t="n"/>
      <c r="C922" s="127" t="n"/>
      <c r="D922" s="127" t="n"/>
      <c r="E922" s="124">
        <f>IF($C922=0,0,$C922-$D922)</f>
        <v/>
      </c>
      <c r="F922" s="128" t="n"/>
      <c r="G922" s="129" t="n"/>
      <c r="H922" s="131" t="n"/>
      <c r="I922" s="124">
        <f>IF($E922=0,0,$E922*$H922)</f>
        <v/>
      </c>
      <c r="J922" s="124">
        <f>IF($I922=0,0,$I922-$E922)</f>
        <v/>
      </c>
      <c r="K922" s="124">
        <f>IF($J922=0,0,$J922*YenidegerFonOran)</f>
        <v/>
      </c>
      <c r="L922" s="124">
        <f>IF($G922=0,0,$J922/$G922)</f>
        <v/>
      </c>
      <c r="M922" s="124">
        <f>IF($L922=0,0,$L922*YenidegerKurumlarVergiOran)</f>
        <v/>
      </c>
      <c r="N922" s="124">
        <f>IFERROR(IF(YenidegerIskontoOrani=0,$M922*$G922,$M922*(1-1/(1+YenidegerIskontoOrani)^$G922)/YenidegerIskontoOrani),0)</f>
        <v/>
      </c>
      <c r="O922" s="124">
        <f>$N922-$K922</f>
        <v/>
      </c>
      <c r="P922" s="124">
        <f>IF($J922&lt;=0,"DEĞERLENDİR",IF($O922&gt;0,"YENİDEN DEĞERLE","DEĞERLENDİR"))</f>
        <v/>
      </c>
      <c r="Q922" s="124">
        <f>IF($B922="","",CONCATENATE("Kıymet: ",$B922," | Değer Artışı: ",TEXT($J922,"#,##0")))</f>
        <v/>
      </c>
    </row>
    <row r="923" ht="15.75" customHeight="1" s="81">
      <c r="A923" s="129" t="n"/>
      <c r="B923" s="130" t="n"/>
      <c r="C923" s="127" t="n"/>
      <c r="D923" s="127" t="n"/>
      <c r="E923" s="124">
        <f>IF($C923=0,0,$C923-$D923)</f>
        <v/>
      </c>
      <c r="F923" s="128" t="n"/>
      <c r="G923" s="129" t="n"/>
      <c r="H923" s="131" t="n"/>
      <c r="I923" s="124">
        <f>IF($E923=0,0,$E923*$H923)</f>
        <v/>
      </c>
      <c r="J923" s="124">
        <f>IF($I923=0,0,$I923-$E923)</f>
        <v/>
      </c>
      <c r="K923" s="124">
        <f>IF($J923=0,0,$J923*YenidegerFonOran)</f>
        <v/>
      </c>
      <c r="L923" s="124">
        <f>IF($G923=0,0,$J923/$G923)</f>
        <v/>
      </c>
      <c r="M923" s="124">
        <f>IF($L923=0,0,$L923*YenidegerKurumlarVergiOran)</f>
        <v/>
      </c>
      <c r="N923" s="124">
        <f>IFERROR(IF(YenidegerIskontoOrani=0,$M923*$G923,$M923*(1-1/(1+YenidegerIskontoOrani)^$G923)/YenidegerIskontoOrani),0)</f>
        <v/>
      </c>
      <c r="O923" s="124">
        <f>$N923-$K923</f>
        <v/>
      </c>
      <c r="P923" s="124">
        <f>IF($J923&lt;=0,"DEĞERLENDİR",IF($O923&gt;0,"YENİDEN DEĞERLE","DEĞERLENDİR"))</f>
        <v/>
      </c>
      <c r="Q923" s="124">
        <f>IF($B923="","",CONCATENATE("Kıymet: ",$B923," | Değer Artışı: ",TEXT($J923,"#,##0")))</f>
        <v/>
      </c>
    </row>
    <row r="924" ht="15.75" customHeight="1" s="81">
      <c r="A924" s="129" t="n"/>
      <c r="B924" s="130" t="n"/>
      <c r="C924" s="127" t="n"/>
      <c r="D924" s="127" t="n"/>
      <c r="E924" s="124">
        <f>IF($C924=0,0,$C924-$D924)</f>
        <v/>
      </c>
      <c r="F924" s="128" t="n"/>
      <c r="G924" s="129" t="n"/>
      <c r="H924" s="131" t="n"/>
      <c r="I924" s="124">
        <f>IF($E924=0,0,$E924*$H924)</f>
        <v/>
      </c>
      <c r="J924" s="124">
        <f>IF($I924=0,0,$I924-$E924)</f>
        <v/>
      </c>
      <c r="K924" s="124">
        <f>IF($J924=0,0,$J924*YenidegerFonOran)</f>
        <v/>
      </c>
      <c r="L924" s="124">
        <f>IF($G924=0,0,$J924/$G924)</f>
        <v/>
      </c>
      <c r="M924" s="124">
        <f>IF($L924=0,0,$L924*YenidegerKurumlarVergiOran)</f>
        <v/>
      </c>
      <c r="N924" s="124">
        <f>IFERROR(IF(YenidegerIskontoOrani=0,$M924*$G924,$M924*(1-1/(1+YenidegerIskontoOrani)^$G924)/YenidegerIskontoOrani),0)</f>
        <v/>
      </c>
      <c r="O924" s="124">
        <f>$N924-$K924</f>
        <v/>
      </c>
      <c r="P924" s="124">
        <f>IF($J924&lt;=0,"DEĞERLENDİR",IF($O924&gt;0,"YENİDEN DEĞERLE","DEĞERLENDİR"))</f>
        <v/>
      </c>
      <c r="Q924" s="124">
        <f>IF($B924="","",CONCATENATE("Kıymet: ",$B924," | Değer Artışı: ",TEXT($J924,"#,##0")))</f>
        <v/>
      </c>
    </row>
    <row r="925" ht="15.75" customHeight="1" s="81">
      <c r="A925" s="129" t="n"/>
      <c r="B925" s="130" t="n"/>
      <c r="C925" s="127" t="n"/>
      <c r="D925" s="127" t="n"/>
      <c r="E925" s="124">
        <f>IF($C925=0,0,$C925-$D925)</f>
        <v/>
      </c>
      <c r="F925" s="128" t="n"/>
      <c r="G925" s="129" t="n"/>
      <c r="H925" s="131" t="n"/>
      <c r="I925" s="124">
        <f>IF($E925=0,0,$E925*$H925)</f>
        <v/>
      </c>
      <c r="J925" s="124">
        <f>IF($I925=0,0,$I925-$E925)</f>
        <v/>
      </c>
      <c r="K925" s="124">
        <f>IF($J925=0,0,$J925*YenidegerFonOran)</f>
        <v/>
      </c>
      <c r="L925" s="124">
        <f>IF($G925=0,0,$J925/$G925)</f>
        <v/>
      </c>
      <c r="M925" s="124">
        <f>IF($L925=0,0,$L925*YenidegerKurumlarVergiOran)</f>
        <v/>
      </c>
      <c r="N925" s="124">
        <f>IFERROR(IF(YenidegerIskontoOrani=0,$M925*$G925,$M925*(1-1/(1+YenidegerIskontoOrani)^$G925)/YenidegerIskontoOrani),0)</f>
        <v/>
      </c>
      <c r="O925" s="124">
        <f>$N925-$K925</f>
        <v/>
      </c>
      <c r="P925" s="124">
        <f>IF($J925&lt;=0,"DEĞERLENDİR",IF($O925&gt;0,"YENİDEN DEĞERLE","DEĞERLENDİR"))</f>
        <v/>
      </c>
      <c r="Q925" s="124">
        <f>IF($B925="","",CONCATENATE("Kıymet: ",$B925," | Değer Artışı: ",TEXT($J925,"#,##0")))</f>
        <v/>
      </c>
    </row>
    <row r="926" ht="15.75" customHeight="1" s="81">
      <c r="A926" s="129" t="n"/>
      <c r="B926" s="130" t="n"/>
      <c r="C926" s="127" t="n"/>
      <c r="D926" s="127" t="n"/>
      <c r="E926" s="124">
        <f>IF($C926=0,0,$C926-$D926)</f>
        <v/>
      </c>
      <c r="F926" s="128" t="n"/>
      <c r="G926" s="129" t="n"/>
      <c r="H926" s="131" t="n"/>
      <c r="I926" s="124">
        <f>IF($E926=0,0,$E926*$H926)</f>
        <v/>
      </c>
      <c r="J926" s="124">
        <f>IF($I926=0,0,$I926-$E926)</f>
        <v/>
      </c>
      <c r="K926" s="124">
        <f>IF($J926=0,0,$J926*YenidegerFonOran)</f>
        <v/>
      </c>
      <c r="L926" s="124">
        <f>IF($G926=0,0,$J926/$G926)</f>
        <v/>
      </c>
      <c r="M926" s="124">
        <f>IF($L926=0,0,$L926*YenidegerKurumlarVergiOran)</f>
        <v/>
      </c>
      <c r="N926" s="124">
        <f>IFERROR(IF(YenidegerIskontoOrani=0,$M926*$G926,$M926*(1-1/(1+YenidegerIskontoOrani)^$G926)/YenidegerIskontoOrani),0)</f>
        <v/>
      </c>
      <c r="O926" s="124">
        <f>$N926-$K926</f>
        <v/>
      </c>
      <c r="P926" s="124">
        <f>IF($J926&lt;=0,"DEĞERLENDİR",IF($O926&gt;0,"YENİDEN DEĞERLE","DEĞERLENDİR"))</f>
        <v/>
      </c>
      <c r="Q926" s="124">
        <f>IF($B926="","",CONCATENATE("Kıymet: ",$B926," | Değer Artışı: ",TEXT($J926,"#,##0")))</f>
        <v/>
      </c>
    </row>
    <row r="927" ht="15.75" customHeight="1" s="81">
      <c r="A927" s="129" t="n"/>
      <c r="B927" s="130" t="n"/>
      <c r="C927" s="127" t="n"/>
      <c r="D927" s="127" t="n"/>
      <c r="E927" s="124">
        <f>IF($C927=0,0,$C927-$D927)</f>
        <v/>
      </c>
      <c r="F927" s="128" t="n"/>
      <c r="G927" s="129" t="n"/>
      <c r="H927" s="131" t="n"/>
      <c r="I927" s="124">
        <f>IF($E927=0,0,$E927*$H927)</f>
        <v/>
      </c>
      <c r="J927" s="124">
        <f>IF($I927=0,0,$I927-$E927)</f>
        <v/>
      </c>
      <c r="K927" s="124">
        <f>IF($J927=0,0,$J927*YenidegerFonOran)</f>
        <v/>
      </c>
      <c r="L927" s="124">
        <f>IF($G927=0,0,$J927/$G927)</f>
        <v/>
      </c>
      <c r="M927" s="124">
        <f>IF($L927=0,0,$L927*YenidegerKurumlarVergiOran)</f>
        <v/>
      </c>
      <c r="N927" s="124">
        <f>IFERROR(IF(YenidegerIskontoOrani=0,$M927*$G927,$M927*(1-1/(1+YenidegerIskontoOrani)^$G927)/YenidegerIskontoOrani),0)</f>
        <v/>
      </c>
      <c r="O927" s="124">
        <f>$N927-$K927</f>
        <v/>
      </c>
      <c r="P927" s="124">
        <f>IF($J927&lt;=0,"DEĞERLENDİR",IF($O927&gt;0,"YENİDEN DEĞERLE","DEĞERLENDİR"))</f>
        <v/>
      </c>
      <c r="Q927" s="124">
        <f>IF($B927="","",CONCATENATE("Kıymet: ",$B927," | Değer Artışı: ",TEXT($J927,"#,##0")))</f>
        <v/>
      </c>
    </row>
    <row r="928" ht="15.75" customHeight="1" s="81">
      <c r="A928" s="129" t="n"/>
      <c r="B928" s="130" t="n"/>
      <c r="C928" s="127" t="n"/>
      <c r="D928" s="127" t="n"/>
      <c r="E928" s="124">
        <f>IF($C928=0,0,$C928-$D928)</f>
        <v/>
      </c>
      <c r="F928" s="128" t="n"/>
      <c r="G928" s="129" t="n"/>
      <c r="H928" s="131" t="n"/>
      <c r="I928" s="124">
        <f>IF($E928=0,0,$E928*$H928)</f>
        <v/>
      </c>
      <c r="J928" s="124">
        <f>IF($I928=0,0,$I928-$E928)</f>
        <v/>
      </c>
      <c r="K928" s="124">
        <f>IF($J928=0,0,$J928*YenidegerFonOran)</f>
        <v/>
      </c>
      <c r="L928" s="124">
        <f>IF($G928=0,0,$J928/$G928)</f>
        <v/>
      </c>
      <c r="M928" s="124">
        <f>IF($L928=0,0,$L928*YenidegerKurumlarVergiOran)</f>
        <v/>
      </c>
      <c r="N928" s="124">
        <f>IFERROR(IF(YenidegerIskontoOrani=0,$M928*$G928,$M928*(1-1/(1+YenidegerIskontoOrani)^$G928)/YenidegerIskontoOrani),0)</f>
        <v/>
      </c>
      <c r="O928" s="124">
        <f>$N928-$K928</f>
        <v/>
      </c>
      <c r="P928" s="124">
        <f>IF($J928&lt;=0,"DEĞERLENDİR",IF($O928&gt;0,"YENİDEN DEĞERLE","DEĞERLENDİR"))</f>
        <v/>
      </c>
      <c r="Q928" s="124">
        <f>IF($B928="","",CONCATENATE("Kıymet: ",$B928," | Değer Artışı: ",TEXT($J928,"#,##0")))</f>
        <v/>
      </c>
    </row>
    <row r="929" ht="15.75" customHeight="1" s="81">
      <c r="A929" s="129" t="n"/>
      <c r="B929" s="130" t="n"/>
      <c r="C929" s="127" t="n"/>
      <c r="D929" s="127" t="n"/>
      <c r="E929" s="124">
        <f>IF($C929=0,0,$C929-$D929)</f>
        <v/>
      </c>
      <c r="F929" s="128" t="n"/>
      <c r="G929" s="129" t="n"/>
      <c r="H929" s="131" t="n"/>
      <c r="I929" s="124">
        <f>IF($E929=0,0,$E929*$H929)</f>
        <v/>
      </c>
      <c r="J929" s="124">
        <f>IF($I929=0,0,$I929-$E929)</f>
        <v/>
      </c>
      <c r="K929" s="124">
        <f>IF($J929=0,0,$J929*YenidegerFonOran)</f>
        <v/>
      </c>
      <c r="L929" s="124">
        <f>IF($G929=0,0,$J929/$G929)</f>
        <v/>
      </c>
      <c r="M929" s="124">
        <f>IF($L929=0,0,$L929*YenidegerKurumlarVergiOran)</f>
        <v/>
      </c>
      <c r="N929" s="124">
        <f>IFERROR(IF(YenidegerIskontoOrani=0,$M929*$G929,$M929*(1-1/(1+YenidegerIskontoOrani)^$G929)/YenidegerIskontoOrani),0)</f>
        <v/>
      </c>
      <c r="O929" s="124">
        <f>$N929-$K929</f>
        <v/>
      </c>
      <c r="P929" s="124">
        <f>IF($J929&lt;=0,"DEĞERLENDİR",IF($O929&gt;0,"YENİDEN DEĞERLE","DEĞERLENDİR"))</f>
        <v/>
      </c>
      <c r="Q929" s="124">
        <f>IF($B929="","",CONCATENATE("Kıymet: ",$B929," | Değer Artışı: ",TEXT($J929,"#,##0")))</f>
        <v/>
      </c>
    </row>
    <row r="930" ht="15.75" customHeight="1" s="81">
      <c r="A930" s="129" t="n"/>
      <c r="B930" s="130" t="n"/>
      <c r="C930" s="127" t="n"/>
      <c r="D930" s="127" t="n"/>
      <c r="E930" s="124">
        <f>IF($C930=0,0,$C930-$D930)</f>
        <v/>
      </c>
      <c r="F930" s="128" t="n"/>
      <c r="G930" s="129" t="n"/>
      <c r="H930" s="131" t="n"/>
      <c r="I930" s="124">
        <f>IF($E930=0,0,$E930*$H930)</f>
        <v/>
      </c>
      <c r="J930" s="124">
        <f>IF($I930=0,0,$I930-$E930)</f>
        <v/>
      </c>
      <c r="K930" s="124">
        <f>IF($J930=0,0,$J930*YenidegerFonOran)</f>
        <v/>
      </c>
      <c r="L930" s="124">
        <f>IF($G930=0,0,$J930/$G930)</f>
        <v/>
      </c>
      <c r="M930" s="124">
        <f>IF($L930=0,0,$L930*YenidegerKurumlarVergiOran)</f>
        <v/>
      </c>
      <c r="N930" s="124">
        <f>IFERROR(IF(YenidegerIskontoOrani=0,$M930*$G930,$M930*(1-1/(1+YenidegerIskontoOrani)^$G930)/YenidegerIskontoOrani),0)</f>
        <v/>
      </c>
      <c r="O930" s="124">
        <f>$N930-$K930</f>
        <v/>
      </c>
      <c r="P930" s="124">
        <f>IF($J930&lt;=0,"DEĞERLENDİR",IF($O930&gt;0,"YENİDEN DEĞERLE","DEĞERLENDİR"))</f>
        <v/>
      </c>
      <c r="Q930" s="124">
        <f>IF($B930="","",CONCATENATE("Kıymet: ",$B930," | Değer Artışı: ",TEXT($J930,"#,##0")))</f>
        <v/>
      </c>
    </row>
    <row r="931" ht="15.75" customHeight="1" s="81">
      <c r="A931" s="129" t="n"/>
      <c r="B931" s="130" t="n"/>
      <c r="C931" s="127" t="n"/>
      <c r="D931" s="127" t="n"/>
      <c r="E931" s="124">
        <f>IF($C931=0,0,$C931-$D931)</f>
        <v/>
      </c>
      <c r="F931" s="128" t="n"/>
      <c r="G931" s="129" t="n"/>
      <c r="H931" s="131" t="n"/>
      <c r="I931" s="124">
        <f>IF($E931=0,0,$E931*$H931)</f>
        <v/>
      </c>
      <c r="J931" s="124">
        <f>IF($I931=0,0,$I931-$E931)</f>
        <v/>
      </c>
      <c r="K931" s="124">
        <f>IF($J931=0,0,$J931*YenidegerFonOran)</f>
        <v/>
      </c>
      <c r="L931" s="124">
        <f>IF($G931=0,0,$J931/$G931)</f>
        <v/>
      </c>
      <c r="M931" s="124">
        <f>IF($L931=0,0,$L931*YenidegerKurumlarVergiOran)</f>
        <v/>
      </c>
      <c r="N931" s="124">
        <f>IFERROR(IF(YenidegerIskontoOrani=0,$M931*$G931,$M931*(1-1/(1+YenidegerIskontoOrani)^$G931)/YenidegerIskontoOrani),0)</f>
        <v/>
      </c>
      <c r="O931" s="124">
        <f>$N931-$K931</f>
        <v/>
      </c>
      <c r="P931" s="124">
        <f>IF($J931&lt;=0,"DEĞERLENDİR",IF($O931&gt;0,"YENİDEN DEĞERLE","DEĞERLENDİR"))</f>
        <v/>
      </c>
      <c r="Q931" s="124">
        <f>IF($B931="","",CONCATENATE("Kıymet: ",$B931," | Değer Artışı: ",TEXT($J931,"#,##0")))</f>
        <v/>
      </c>
    </row>
    <row r="932" ht="15.75" customHeight="1" s="81">
      <c r="A932" s="129" t="n"/>
      <c r="B932" s="130" t="n"/>
      <c r="C932" s="127" t="n"/>
      <c r="D932" s="127" t="n"/>
      <c r="E932" s="124">
        <f>IF($C932=0,0,$C932-$D932)</f>
        <v/>
      </c>
      <c r="F932" s="128" t="n"/>
      <c r="G932" s="129" t="n"/>
      <c r="H932" s="131" t="n"/>
      <c r="I932" s="124">
        <f>IF($E932=0,0,$E932*$H932)</f>
        <v/>
      </c>
      <c r="J932" s="124">
        <f>IF($I932=0,0,$I932-$E932)</f>
        <v/>
      </c>
      <c r="K932" s="124">
        <f>IF($J932=0,0,$J932*YenidegerFonOran)</f>
        <v/>
      </c>
      <c r="L932" s="124">
        <f>IF($G932=0,0,$J932/$G932)</f>
        <v/>
      </c>
      <c r="M932" s="124">
        <f>IF($L932=0,0,$L932*YenidegerKurumlarVergiOran)</f>
        <v/>
      </c>
      <c r="N932" s="124">
        <f>IFERROR(IF(YenidegerIskontoOrani=0,$M932*$G932,$M932*(1-1/(1+YenidegerIskontoOrani)^$G932)/YenidegerIskontoOrani),0)</f>
        <v/>
      </c>
      <c r="O932" s="124">
        <f>$N932-$K932</f>
        <v/>
      </c>
      <c r="P932" s="124">
        <f>IF($J932&lt;=0,"DEĞERLENDİR",IF($O932&gt;0,"YENİDEN DEĞERLE","DEĞERLENDİR"))</f>
        <v/>
      </c>
      <c r="Q932" s="124">
        <f>IF($B932="","",CONCATENATE("Kıymet: ",$B932," | Değer Artışı: ",TEXT($J932,"#,##0")))</f>
        <v/>
      </c>
    </row>
    <row r="933" ht="15.75" customHeight="1" s="81">
      <c r="A933" s="129" t="n"/>
      <c r="B933" s="130" t="n"/>
      <c r="C933" s="127" t="n"/>
      <c r="D933" s="127" t="n"/>
      <c r="E933" s="124">
        <f>IF($C933=0,0,$C933-$D933)</f>
        <v/>
      </c>
      <c r="F933" s="128" t="n"/>
      <c r="G933" s="129" t="n"/>
      <c r="H933" s="131" t="n"/>
      <c r="I933" s="124">
        <f>IF($E933=0,0,$E933*$H933)</f>
        <v/>
      </c>
      <c r="J933" s="124">
        <f>IF($I933=0,0,$I933-$E933)</f>
        <v/>
      </c>
      <c r="K933" s="124">
        <f>IF($J933=0,0,$J933*YenidegerFonOran)</f>
        <v/>
      </c>
      <c r="L933" s="124">
        <f>IF($G933=0,0,$J933/$G933)</f>
        <v/>
      </c>
      <c r="M933" s="124">
        <f>IF($L933=0,0,$L933*YenidegerKurumlarVergiOran)</f>
        <v/>
      </c>
      <c r="N933" s="124">
        <f>IFERROR(IF(YenidegerIskontoOrani=0,$M933*$G933,$M933*(1-1/(1+YenidegerIskontoOrani)^$G933)/YenidegerIskontoOrani),0)</f>
        <v/>
      </c>
      <c r="O933" s="124">
        <f>$N933-$K933</f>
        <v/>
      </c>
      <c r="P933" s="124">
        <f>IF($J933&lt;=0,"DEĞERLENDİR",IF($O933&gt;0,"YENİDEN DEĞERLE","DEĞERLENDİR"))</f>
        <v/>
      </c>
      <c r="Q933" s="124">
        <f>IF($B933="","",CONCATENATE("Kıymet: ",$B933," | Değer Artışı: ",TEXT($J933,"#,##0")))</f>
        <v/>
      </c>
    </row>
    <row r="934" ht="15.75" customHeight="1" s="81">
      <c r="A934" s="129" t="n"/>
      <c r="B934" s="130" t="n"/>
      <c r="C934" s="127" t="n"/>
      <c r="D934" s="127" t="n"/>
      <c r="E934" s="124">
        <f>IF($C934=0,0,$C934-$D934)</f>
        <v/>
      </c>
      <c r="F934" s="128" t="n"/>
      <c r="G934" s="129" t="n"/>
      <c r="H934" s="131" t="n"/>
      <c r="I934" s="124">
        <f>IF($E934=0,0,$E934*$H934)</f>
        <v/>
      </c>
      <c r="J934" s="124">
        <f>IF($I934=0,0,$I934-$E934)</f>
        <v/>
      </c>
      <c r="K934" s="124">
        <f>IF($J934=0,0,$J934*YenidegerFonOran)</f>
        <v/>
      </c>
      <c r="L934" s="124">
        <f>IF($G934=0,0,$J934/$G934)</f>
        <v/>
      </c>
      <c r="M934" s="124">
        <f>IF($L934=0,0,$L934*YenidegerKurumlarVergiOran)</f>
        <v/>
      </c>
      <c r="N934" s="124">
        <f>IFERROR(IF(YenidegerIskontoOrani=0,$M934*$G934,$M934*(1-1/(1+YenidegerIskontoOrani)^$G934)/YenidegerIskontoOrani),0)</f>
        <v/>
      </c>
      <c r="O934" s="124">
        <f>$N934-$K934</f>
        <v/>
      </c>
      <c r="P934" s="124">
        <f>IF($J934&lt;=0,"DEĞERLENDİR",IF($O934&gt;0,"YENİDEN DEĞERLE","DEĞERLENDİR"))</f>
        <v/>
      </c>
      <c r="Q934" s="124">
        <f>IF($B934="","",CONCATENATE("Kıymet: ",$B934," | Değer Artışı: ",TEXT($J934,"#,##0")))</f>
        <v/>
      </c>
    </row>
    <row r="935" ht="15.75" customHeight="1" s="81">
      <c r="A935" s="129" t="n"/>
      <c r="B935" s="130" t="n"/>
      <c r="C935" s="127" t="n"/>
      <c r="D935" s="127" t="n"/>
      <c r="E935" s="124">
        <f>IF($C935=0,0,$C935-$D935)</f>
        <v/>
      </c>
      <c r="F935" s="128" t="n"/>
      <c r="G935" s="129" t="n"/>
      <c r="H935" s="131" t="n"/>
      <c r="I935" s="124">
        <f>IF($E935=0,0,$E935*$H935)</f>
        <v/>
      </c>
      <c r="J935" s="124">
        <f>IF($I935=0,0,$I935-$E935)</f>
        <v/>
      </c>
      <c r="K935" s="124">
        <f>IF($J935=0,0,$J935*YenidegerFonOran)</f>
        <v/>
      </c>
      <c r="L935" s="124">
        <f>IF($G935=0,0,$J935/$G935)</f>
        <v/>
      </c>
      <c r="M935" s="124">
        <f>IF($L935=0,0,$L935*YenidegerKurumlarVergiOran)</f>
        <v/>
      </c>
      <c r="N935" s="124">
        <f>IFERROR(IF(YenidegerIskontoOrani=0,$M935*$G935,$M935*(1-1/(1+YenidegerIskontoOrani)^$G935)/YenidegerIskontoOrani),0)</f>
        <v/>
      </c>
      <c r="O935" s="124">
        <f>$N935-$K935</f>
        <v/>
      </c>
      <c r="P935" s="124">
        <f>IF($J935&lt;=0,"DEĞERLENDİR",IF($O935&gt;0,"YENİDEN DEĞERLE","DEĞERLENDİR"))</f>
        <v/>
      </c>
      <c r="Q935" s="124">
        <f>IF($B935="","",CONCATENATE("Kıymet: ",$B935," | Değer Artışı: ",TEXT($J935,"#,##0")))</f>
        <v/>
      </c>
    </row>
    <row r="936" ht="15.75" customHeight="1" s="81">
      <c r="A936" s="129" t="n"/>
      <c r="B936" s="130" t="n"/>
      <c r="C936" s="127" t="n"/>
      <c r="D936" s="127" t="n"/>
      <c r="E936" s="124">
        <f>IF($C936=0,0,$C936-$D936)</f>
        <v/>
      </c>
      <c r="F936" s="128" t="n"/>
      <c r="G936" s="129" t="n"/>
      <c r="H936" s="131" t="n"/>
      <c r="I936" s="124">
        <f>IF($E936=0,0,$E936*$H936)</f>
        <v/>
      </c>
      <c r="J936" s="124">
        <f>IF($I936=0,0,$I936-$E936)</f>
        <v/>
      </c>
      <c r="K936" s="124">
        <f>IF($J936=0,0,$J936*YenidegerFonOran)</f>
        <v/>
      </c>
      <c r="L936" s="124">
        <f>IF($G936=0,0,$J936/$G936)</f>
        <v/>
      </c>
      <c r="M936" s="124">
        <f>IF($L936=0,0,$L936*YenidegerKurumlarVergiOran)</f>
        <v/>
      </c>
      <c r="N936" s="124">
        <f>IFERROR(IF(YenidegerIskontoOrani=0,$M936*$G936,$M936*(1-1/(1+YenidegerIskontoOrani)^$G936)/YenidegerIskontoOrani),0)</f>
        <v/>
      </c>
      <c r="O936" s="124">
        <f>$N936-$K936</f>
        <v/>
      </c>
      <c r="P936" s="124">
        <f>IF($J936&lt;=0,"DEĞERLENDİR",IF($O936&gt;0,"YENİDEN DEĞERLE","DEĞERLENDİR"))</f>
        <v/>
      </c>
      <c r="Q936" s="124">
        <f>IF($B936="","",CONCATENATE("Kıymet: ",$B936," | Değer Artışı: ",TEXT($J936,"#,##0")))</f>
        <v/>
      </c>
    </row>
    <row r="937" ht="15.75" customHeight="1" s="81">
      <c r="A937" s="129" t="n"/>
      <c r="B937" s="130" t="n"/>
      <c r="C937" s="127" t="n"/>
      <c r="D937" s="127" t="n"/>
      <c r="E937" s="124">
        <f>IF($C937=0,0,$C937-$D937)</f>
        <v/>
      </c>
      <c r="F937" s="128" t="n"/>
      <c r="G937" s="129" t="n"/>
      <c r="H937" s="131" t="n"/>
      <c r="I937" s="124">
        <f>IF($E937=0,0,$E937*$H937)</f>
        <v/>
      </c>
      <c r="J937" s="124">
        <f>IF($I937=0,0,$I937-$E937)</f>
        <v/>
      </c>
      <c r="K937" s="124">
        <f>IF($J937=0,0,$J937*YenidegerFonOran)</f>
        <v/>
      </c>
      <c r="L937" s="124">
        <f>IF($G937=0,0,$J937/$G937)</f>
        <v/>
      </c>
      <c r="M937" s="124">
        <f>IF($L937=0,0,$L937*YenidegerKurumlarVergiOran)</f>
        <v/>
      </c>
      <c r="N937" s="124">
        <f>IFERROR(IF(YenidegerIskontoOrani=0,$M937*$G937,$M937*(1-1/(1+YenidegerIskontoOrani)^$G937)/YenidegerIskontoOrani),0)</f>
        <v/>
      </c>
      <c r="O937" s="124">
        <f>$N937-$K937</f>
        <v/>
      </c>
      <c r="P937" s="124">
        <f>IF($J937&lt;=0,"DEĞERLENDİR",IF($O937&gt;0,"YENİDEN DEĞERLE","DEĞERLENDİR"))</f>
        <v/>
      </c>
      <c r="Q937" s="124">
        <f>IF($B937="","",CONCATENATE("Kıymet: ",$B937," | Değer Artışı: ",TEXT($J937,"#,##0")))</f>
        <v/>
      </c>
    </row>
    <row r="938" ht="15.75" customHeight="1" s="81">
      <c r="A938" s="129" t="n"/>
      <c r="B938" s="130" t="n"/>
      <c r="C938" s="127" t="n"/>
      <c r="D938" s="127" t="n"/>
      <c r="E938" s="124">
        <f>IF($C938=0,0,$C938-$D938)</f>
        <v/>
      </c>
      <c r="F938" s="128" t="n"/>
      <c r="G938" s="129" t="n"/>
      <c r="H938" s="131" t="n"/>
      <c r="I938" s="124">
        <f>IF($E938=0,0,$E938*$H938)</f>
        <v/>
      </c>
      <c r="J938" s="124">
        <f>IF($I938=0,0,$I938-$E938)</f>
        <v/>
      </c>
      <c r="K938" s="124">
        <f>IF($J938=0,0,$J938*YenidegerFonOran)</f>
        <v/>
      </c>
      <c r="L938" s="124">
        <f>IF($G938=0,0,$J938/$G938)</f>
        <v/>
      </c>
      <c r="M938" s="124">
        <f>IF($L938=0,0,$L938*YenidegerKurumlarVergiOran)</f>
        <v/>
      </c>
      <c r="N938" s="124">
        <f>IFERROR(IF(YenidegerIskontoOrani=0,$M938*$G938,$M938*(1-1/(1+YenidegerIskontoOrani)^$G938)/YenidegerIskontoOrani),0)</f>
        <v/>
      </c>
      <c r="O938" s="124">
        <f>$N938-$K938</f>
        <v/>
      </c>
      <c r="P938" s="124">
        <f>IF($J938&lt;=0,"DEĞERLENDİR",IF($O938&gt;0,"YENİDEN DEĞERLE","DEĞERLENDİR"))</f>
        <v/>
      </c>
      <c r="Q938" s="124">
        <f>IF($B938="","",CONCATENATE("Kıymet: ",$B938," | Değer Artışı: ",TEXT($J938,"#,##0")))</f>
        <v/>
      </c>
    </row>
    <row r="939" ht="15.75" customHeight="1" s="81">
      <c r="A939" s="129" t="n"/>
      <c r="B939" s="130" t="n"/>
      <c r="C939" s="127" t="n"/>
      <c r="D939" s="127" t="n"/>
      <c r="E939" s="124">
        <f>IF($C939=0,0,$C939-$D939)</f>
        <v/>
      </c>
      <c r="F939" s="128" t="n"/>
      <c r="G939" s="129" t="n"/>
      <c r="H939" s="131" t="n"/>
      <c r="I939" s="124">
        <f>IF($E939=0,0,$E939*$H939)</f>
        <v/>
      </c>
      <c r="J939" s="124">
        <f>IF($I939=0,0,$I939-$E939)</f>
        <v/>
      </c>
      <c r="K939" s="124">
        <f>IF($J939=0,0,$J939*YenidegerFonOran)</f>
        <v/>
      </c>
      <c r="L939" s="124">
        <f>IF($G939=0,0,$J939/$G939)</f>
        <v/>
      </c>
      <c r="M939" s="124">
        <f>IF($L939=0,0,$L939*YenidegerKurumlarVergiOran)</f>
        <v/>
      </c>
      <c r="N939" s="124">
        <f>IFERROR(IF(YenidegerIskontoOrani=0,$M939*$G939,$M939*(1-1/(1+YenidegerIskontoOrani)^$G939)/YenidegerIskontoOrani),0)</f>
        <v/>
      </c>
      <c r="O939" s="124">
        <f>$N939-$K939</f>
        <v/>
      </c>
      <c r="P939" s="124">
        <f>IF($J939&lt;=0,"DEĞERLENDİR",IF($O939&gt;0,"YENİDEN DEĞERLE","DEĞERLENDİR"))</f>
        <v/>
      </c>
      <c r="Q939" s="124">
        <f>IF($B939="","",CONCATENATE("Kıymet: ",$B939," | Değer Artışı: ",TEXT($J939,"#,##0")))</f>
        <v/>
      </c>
    </row>
    <row r="940" ht="15.75" customHeight="1" s="81">
      <c r="A940" s="129" t="n"/>
      <c r="B940" s="130" t="n"/>
      <c r="C940" s="127" t="n"/>
      <c r="D940" s="127" t="n"/>
      <c r="E940" s="124">
        <f>IF($C940=0,0,$C940-$D940)</f>
        <v/>
      </c>
      <c r="F940" s="128" t="n"/>
      <c r="G940" s="129" t="n"/>
      <c r="H940" s="131" t="n"/>
      <c r="I940" s="124">
        <f>IF($E940=0,0,$E940*$H940)</f>
        <v/>
      </c>
      <c r="J940" s="124">
        <f>IF($I940=0,0,$I940-$E940)</f>
        <v/>
      </c>
      <c r="K940" s="124">
        <f>IF($J940=0,0,$J940*YenidegerFonOran)</f>
        <v/>
      </c>
      <c r="L940" s="124">
        <f>IF($G940=0,0,$J940/$G940)</f>
        <v/>
      </c>
      <c r="M940" s="124">
        <f>IF($L940=0,0,$L940*YenidegerKurumlarVergiOran)</f>
        <v/>
      </c>
      <c r="N940" s="124">
        <f>IFERROR(IF(YenidegerIskontoOrani=0,$M940*$G940,$M940*(1-1/(1+YenidegerIskontoOrani)^$G940)/YenidegerIskontoOrani),0)</f>
        <v/>
      </c>
      <c r="O940" s="124">
        <f>$N940-$K940</f>
        <v/>
      </c>
      <c r="P940" s="124">
        <f>IF($J940&lt;=0,"DEĞERLENDİR",IF($O940&gt;0,"YENİDEN DEĞERLE","DEĞERLENDİR"))</f>
        <v/>
      </c>
      <c r="Q940" s="124">
        <f>IF($B940="","",CONCATENATE("Kıymet: ",$B940," | Değer Artışı: ",TEXT($J940,"#,##0")))</f>
        <v/>
      </c>
    </row>
    <row r="941" ht="15.75" customHeight="1" s="81">
      <c r="A941" s="129" t="n"/>
      <c r="B941" s="130" t="n"/>
      <c r="C941" s="127" t="n"/>
      <c r="D941" s="127" t="n"/>
      <c r="E941" s="124">
        <f>IF($C941=0,0,$C941-$D941)</f>
        <v/>
      </c>
      <c r="F941" s="128" t="n"/>
      <c r="G941" s="129" t="n"/>
      <c r="H941" s="131" t="n"/>
      <c r="I941" s="124">
        <f>IF($E941=0,0,$E941*$H941)</f>
        <v/>
      </c>
      <c r="J941" s="124">
        <f>IF($I941=0,0,$I941-$E941)</f>
        <v/>
      </c>
      <c r="K941" s="124">
        <f>IF($J941=0,0,$J941*YenidegerFonOran)</f>
        <v/>
      </c>
      <c r="L941" s="124">
        <f>IF($G941=0,0,$J941/$G941)</f>
        <v/>
      </c>
      <c r="M941" s="124">
        <f>IF($L941=0,0,$L941*YenidegerKurumlarVergiOran)</f>
        <v/>
      </c>
      <c r="N941" s="124">
        <f>IFERROR(IF(YenidegerIskontoOrani=0,$M941*$G941,$M941*(1-1/(1+YenidegerIskontoOrani)^$G941)/YenidegerIskontoOrani),0)</f>
        <v/>
      </c>
      <c r="O941" s="124">
        <f>$N941-$K941</f>
        <v/>
      </c>
      <c r="P941" s="124">
        <f>IF($J941&lt;=0,"DEĞERLENDİR",IF($O941&gt;0,"YENİDEN DEĞERLE","DEĞERLENDİR"))</f>
        <v/>
      </c>
      <c r="Q941" s="124">
        <f>IF($B941="","",CONCATENATE("Kıymet: ",$B941," | Değer Artışı: ",TEXT($J941,"#,##0")))</f>
        <v/>
      </c>
    </row>
    <row r="942" ht="15.75" customHeight="1" s="81">
      <c r="A942" s="129" t="n"/>
      <c r="B942" s="130" t="n"/>
      <c r="C942" s="127" t="n"/>
      <c r="D942" s="127" t="n"/>
      <c r="E942" s="124">
        <f>IF($C942=0,0,$C942-$D942)</f>
        <v/>
      </c>
      <c r="F942" s="128" t="n"/>
      <c r="G942" s="129" t="n"/>
      <c r="H942" s="131" t="n"/>
      <c r="I942" s="124">
        <f>IF($E942=0,0,$E942*$H942)</f>
        <v/>
      </c>
      <c r="J942" s="124">
        <f>IF($I942=0,0,$I942-$E942)</f>
        <v/>
      </c>
      <c r="K942" s="124">
        <f>IF($J942=0,0,$J942*YenidegerFonOran)</f>
        <v/>
      </c>
      <c r="L942" s="124">
        <f>IF($G942=0,0,$J942/$G942)</f>
        <v/>
      </c>
      <c r="M942" s="124">
        <f>IF($L942=0,0,$L942*YenidegerKurumlarVergiOran)</f>
        <v/>
      </c>
      <c r="N942" s="124">
        <f>IFERROR(IF(YenidegerIskontoOrani=0,$M942*$G942,$M942*(1-1/(1+YenidegerIskontoOrani)^$G942)/YenidegerIskontoOrani),0)</f>
        <v/>
      </c>
      <c r="O942" s="124">
        <f>$N942-$K942</f>
        <v/>
      </c>
      <c r="P942" s="124">
        <f>IF($J942&lt;=0,"DEĞERLENDİR",IF($O942&gt;0,"YENİDEN DEĞERLE","DEĞERLENDİR"))</f>
        <v/>
      </c>
      <c r="Q942" s="124">
        <f>IF($B942="","",CONCATENATE("Kıymet: ",$B942," | Değer Artışı: ",TEXT($J942,"#,##0")))</f>
        <v/>
      </c>
    </row>
    <row r="943" ht="15.75" customHeight="1" s="81">
      <c r="A943" s="129" t="n"/>
      <c r="B943" s="130" t="n"/>
      <c r="C943" s="127" t="n"/>
      <c r="D943" s="127" t="n"/>
      <c r="E943" s="124">
        <f>IF($C943=0,0,$C943-$D943)</f>
        <v/>
      </c>
      <c r="F943" s="128" t="n"/>
      <c r="G943" s="129" t="n"/>
      <c r="H943" s="131" t="n"/>
      <c r="I943" s="124">
        <f>IF($E943=0,0,$E943*$H943)</f>
        <v/>
      </c>
      <c r="J943" s="124">
        <f>IF($I943=0,0,$I943-$E943)</f>
        <v/>
      </c>
      <c r="K943" s="124">
        <f>IF($J943=0,0,$J943*YenidegerFonOran)</f>
        <v/>
      </c>
      <c r="L943" s="124">
        <f>IF($G943=0,0,$J943/$G943)</f>
        <v/>
      </c>
      <c r="M943" s="124">
        <f>IF($L943=0,0,$L943*YenidegerKurumlarVergiOran)</f>
        <v/>
      </c>
      <c r="N943" s="124">
        <f>IFERROR(IF(YenidegerIskontoOrani=0,$M943*$G943,$M943*(1-1/(1+YenidegerIskontoOrani)^$G943)/YenidegerIskontoOrani),0)</f>
        <v/>
      </c>
      <c r="O943" s="124">
        <f>$N943-$K943</f>
        <v/>
      </c>
      <c r="P943" s="124">
        <f>IF($J943&lt;=0,"DEĞERLENDİR",IF($O943&gt;0,"YENİDEN DEĞERLE","DEĞERLENDİR"))</f>
        <v/>
      </c>
      <c r="Q943" s="124">
        <f>IF($B943="","",CONCATENATE("Kıymet: ",$B943," | Değer Artışı: ",TEXT($J943,"#,##0")))</f>
        <v/>
      </c>
    </row>
    <row r="944" ht="15.75" customHeight="1" s="81">
      <c r="A944" s="129" t="n"/>
      <c r="B944" s="130" t="n"/>
      <c r="C944" s="127" t="n"/>
      <c r="D944" s="127" t="n"/>
      <c r="E944" s="124">
        <f>IF($C944=0,0,$C944-$D944)</f>
        <v/>
      </c>
      <c r="F944" s="128" t="n"/>
      <c r="G944" s="129" t="n"/>
      <c r="H944" s="131" t="n"/>
      <c r="I944" s="124">
        <f>IF($E944=0,0,$E944*$H944)</f>
        <v/>
      </c>
      <c r="J944" s="124">
        <f>IF($I944=0,0,$I944-$E944)</f>
        <v/>
      </c>
      <c r="K944" s="124">
        <f>IF($J944=0,0,$J944*YenidegerFonOran)</f>
        <v/>
      </c>
      <c r="L944" s="124">
        <f>IF($G944=0,0,$J944/$G944)</f>
        <v/>
      </c>
      <c r="M944" s="124">
        <f>IF($L944=0,0,$L944*YenidegerKurumlarVergiOran)</f>
        <v/>
      </c>
      <c r="N944" s="124">
        <f>IFERROR(IF(YenidegerIskontoOrani=0,$M944*$G944,$M944*(1-1/(1+YenidegerIskontoOrani)^$G944)/YenidegerIskontoOrani),0)</f>
        <v/>
      </c>
      <c r="O944" s="124">
        <f>$N944-$K944</f>
        <v/>
      </c>
      <c r="P944" s="124">
        <f>IF($J944&lt;=0,"DEĞERLENDİR",IF($O944&gt;0,"YENİDEN DEĞERLE","DEĞERLENDİR"))</f>
        <v/>
      </c>
      <c r="Q944" s="124">
        <f>IF($B944="","",CONCATENATE("Kıymet: ",$B944," | Değer Artışı: ",TEXT($J944,"#,##0")))</f>
        <v/>
      </c>
    </row>
    <row r="945" ht="15.75" customHeight="1" s="81">
      <c r="A945" s="129" t="n"/>
      <c r="B945" s="130" t="n"/>
      <c r="C945" s="127" t="n"/>
      <c r="D945" s="127" t="n"/>
      <c r="E945" s="124">
        <f>IF($C945=0,0,$C945-$D945)</f>
        <v/>
      </c>
      <c r="F945" s="128" t="n"/>
      <c r="G945" s="129" t="n"/>
      <c r="H945" s="131" t="n"/>
      <c r="I945" s="124">
        <f>IF($E945=0,0,$E945*$H945)</f>
        <v/>
      </c>
      <c r="J945" s="124">
        <f>IF($I945=0,0,$I945-$E945)</f>
        <v/>
      </c>
      <c r="K945" s="124">
        <f>IF($J945=0,0,$J945*YenidegerFonOran)</f>
        <v/>
      </c>
      <c r="L945" s="124">
        <f>IF($G945=0,0,$J945/$G945)</f>
        <v/>
      </c>
      <c r="M945" s="124">
        <f>IF($L945=0,0,$L945*YenidegerKurumlarVergiOran)</f>
        <v/>
      </c>
      <c r="N945" s="124">
        <f>IFERROR(IF(YenidegerIskontoOrani=0,$M945*$G945,$M945*(1-1/(1+YenidegerIskontoOrani)^$G945)/YenidegerIskontoOrani),0)</f>
        <v/>
      </c>
      <c r="O945" s="124">
        <f>$N945-$K945</f>
        <v/>
      </c>
      <c r="P945" s="124">
        <f>IF($J945&lt;=0,"DEĞERLENDİR",IF($O945&gt;0,"YENİDEN DEĞERLE","DEĞERLENDİR"))</f>
        <v/>
      </c>
      <c r="Q945" s="124">
        <f>IF($B945="","",CONCATENATE("Kıymet: ",$B945," | Değer Artışı: ",TEXT($J945,"#,##0")))</f>
        <v/>
      </c>
    </row>
    <row r="946" ht="15.75" customHeight="1" s="81">
      <c r="A946" s="129" t="n"/>
      <c r="B946" s="130" t="n"/>
      <c r="C946" s="127" t="n"/>
      <c r="D946" s="127" t="n"/>
      <c r="E946" s="124">
        <f>IF($C946=0,0,$C946-$D946)</f>
        <v/>
      </c>
      <c r="F946" s="128" t="n"/>
      <c r="G946" s="129" t="n"/>
      <c r="H946" s="131" t="n"/>
      <c r="I946" s="124">
        <f>IF($E946=0,0,$E946*$H946)</f>
        <v/>
      </c>
      <c r="J946" s="124">
        <f>IF($I946=0,0,$I946-$E946)</f>
        <v/>
      </c>
      <c r="K946" s="124">
        <f>IF($J946=0,0,$J946*YenidegerFonOran)</f>
        <v/>
      </c>
      <c r="L946" s="124">
        <f>IF($G946=0,0,$J946/$G946)</f>
        <v/>
      </c>
      <c r="M946" s="124">
        <f>IF($L946=0,0,$L946*YenidegerKurumlarVergiOran)</f>
        <v/>
      </c>
      <c r="N946" s="124">
        <f>IFERROR(IF(YenidegerIskontoOrani=0,$M946*$G946,$M946*(1-1/(1+YenidegerIskontoOrani)^$G946)/YenidegerIskontoOrani),0)</f>
        <v/>
      </c>
      <c r="O946" s="124">
        <f>$N946-$K946</f>
        <v/>
      </c>
      <c r="P946" s="124">
        <f>IF($J946&lt;=0,"DEĞERLENDİR",IF($O946&gt;0,"YENİDEN DEĞERLE","DEĞERLENDİR"))</f>
        <v/>
      </c>
      <c r="Q946" s="124">
        <f>IF($B946="","",CONCATENATE("Kıymet: ",$B946," | Değer Artışı: ",TEXT($J946,"#,##0")))</f>
        <v/>
      </c>
    </row>
    <row r="947" ht="15.75" customHeight="1" s="81">
      <c r="A947" s="129" t="n"/>
      <c r="B947" s="130" t="n"/>
      <c r="C947" s="127" t="n"/>
      <c r="D947" s="127" t="n"/>
      <c r="E947" s="124">
        <f>IF($C947=0,0,$C947-$D947)</f>
        <v/>
      </c>
      <c r="F947" s="128" t="n"/>
      <c r="G947" s="129" t="n"/>
      <c r="H947" s="131" t="n"/>
      <c r="I947" s="124">
        <f>IF($E947=0,0,$E947*$H947)</f>
        <v/>
      </c>
      <c r="J947" s="124">
        <f>IF($I947=0,0,$I947-$E947)</f>
        <v/>
      </c>
      <c r="K947" s="124">
        <f>IF($J947=0,0,$J947*YenidegerFonOran)</f>
        <v/>
      </c>
      <c r="L947" s="124">
        <f>IF($G947=0,0,$J947/$G947)</f>
        <v/>
      </c>
      <c r="M947" s="124">
        <f>IF($L947=0,0,$L947*YenidegerKurumlarVergiOran)</f>
        <v/>
      </c>
      <c r="N947" s="124">
        <f>IFERROR(IF(YenidegerIskontoOrani=0,$M947*$G947,$M947*(1-1/(1+YenidegerIskontoOrani)^$G947)/YenidegerIskontoOrani),0)</f>
        <v/>
      </c>
      <c r="O947" s="124">
        <f>$N947-$K947</f>
        <v/>
      </c>
      <c r="P947" s="124">
        <f>IF($J947&lt;=0,"DEĞERLENDİR",IF($O947&gt;0,"YENİDEN DEĞERLE","DEĞERLENDİR"))</f>
        <v/>
      </c>
      <c r="Q947" s="124">
        <f>IF($B947="","",CONCATENATE("Kıymet: ",$B947," | Değer Artışı: ",TEXT($J947,"#,##0")))</f>
        <v/>
      </c>
    </row>
    <row r="948" ht="15.75" customHeight="1" s="81">
      <c r="A948" s="129" t="n"/>
      <c r="B948" s="130" t="n"/>
      <c r="C948" s="127" t="n"/>
      <c r="D948" s="127" t="n"/>
      <c r="E948" s="124">
        <f>IF($C948=0,0,$C948-$D948)</f>
        <v/>
      </c>
      <c r="F948" s="128" t="n"/>
      <c r="G948" s="129" t="n"/>
      <c r="H948" s="131" t="n"/>
      <c r="I948" s="124">
        <f>IF($E948=0,0,$E948*$H948)</f>
        <v/>
      </c>
      <c r="J948" s="124">
        <f>IF($I948=0,0,$I948-$E948)</f>
        <v/>
      </c>
      <c r="K948" s="124">
        <f>IF($J948=0,0,$J948*YenidegerFonOran)</f>
        <v/>
      </c>
      <c r="L948" s="124">
        <f>IF($G948=0,0,$J948/$G948)</f>
        <v/>
      </c>
      <c r="M948" s="124">
        <f>IF($L948=0,0,$L948*YenidegerKurumlarVergiOran)</f>
        <v/>
      </c>
      <c r="N948" s="124">
        <f>IFERROR(IF(YenidegerIskontoOrani=0,$M948*$G948,$M948*(1-1/(1+YenidegerIskontoOrani)^$G948)/YenidegerIskontoOrani),0)</f>
        <v/>
      </c>
      <c r="O948" s="124">
        <f>$N948-$K948</f>
        <v/>
      </c>
      <c r="P948" s="124">
        <f>IF($J948&lt;=0,"DEĞERLENDİR",IF($O948&gt;0,"YENİDEN DEĞERLE","DEĞERLENDİR"))</f>
        <v/>
      </c>
      <c r="Q948" s="124">
        <f>IF($B948="","",CONCATENATE("Kıymet: ",$B948," | Değer Artışı: ",TEXT($J948,"#,##0")))</f>
        <v/>
      </c>
    </row>
    <row r="949" ht="15.75" customHeight="1" s="81">
      <c r="A949" s="129" t="n"/>
      <c r="B949" s="130" t="n"/>
      <c r="C949" s="127" t="n"/>
      <c r="D949" s="127" t="n"/>
      <c r="E949" s="124">
        <f>IF($C949=0,0,$C949-$D949)</f>
        <v/>
      </c>
      <c r="F949" s="128" t="n"/>
      <c r="G949" s="129" t="n"/>
      <c r="H949" s="131" t="n"/>
      <c r="I949" s="124">
        <f>IF($E949=0,0,$E949*$H949)</f>
        <v/>
      </c>
      <c r="J949" s="124">
        <f>IF($I949=0,0,$I949-$E949)</f>
        <v/>
      </c>
      <c r="K949" s="124">
        <f>IF($J949=0,0,$J949*YenidegerFonOran)</f>
        <v/>
      </c>
      <c r="L949" s="124">
        <f>IF($G949=0,0,$J949/$G949)</f>
        <v/>
      </c>
      <c r="M949" s="124">
        <f>IF($L949=0,0,$L949*YenidegerKurumlarVergiOran)</f>
        <v/>
      </c>
      <c r="N949" s="124">
        <f>IFERROR(IF(YenidegerIskontoOrani=0,$M949*$G949,$M949*(1-1/(1+YenidegerIskontoOrani)^$G949)/YenidegerIskontoOrani),0)</f>
        <v/>
      </c>
      <c r="O949" s="124">
        <f>$N949-$K949</f>
        <v/>
      </c>
      <c r="P949" s="124">
        <f>IF($J949&lt;=0,"DEĞERLENDİR",IF($O949&gt;0,"YENİDEN DEĞERLE","DEĞERLENDİR"))</f>
        <v/>
      </c>
      <c r="Q949" s="124">
        <f>IF($B949="","",CONCATENATE("Kıymet: ",$B949," | Değer Artışı: ",TEXT($J949,"#,##0")))</f>
        <v/>
      </c>
    </row>
    <row r="950" ht="15.75" customHeight="1" s="81">
      <c r="A950" s="129" t="n"/>
      <c r="B950" s="130" t="n"/>
      <c r="C950" s="127" t="n"/>
      <c r="D950" s="127" t="n"/>
      <c r="E950" s="124">
        <f>IF($C950=0,0,$C950-$D950)</f>
        <v/>
      </c>
      <c r="F950" s="128" t="n"/>
      <c r="G950" s="129" t="n"/>
      <c r="H950" s="131" t="n"/>
      <c r="I950" s="124">
        <f>IF($E950=0,0,$E950*$H950)</f>
        <v/>
      </c>
      <c r="J950" s="124">
        <f>IF($I950=0,0,$I950-$E950)</f>
        <v/>
      </c>
      <c r="K950" s="124">
        <f>IF($J950=0,0,$J950*YenidegerFonOran)</f>
        <v/>
      </c>
      <c r="L950" s="124">
        <f>IF($G950=0,0,$J950/$G950)</f>
        <v/>
      </c>
      <c r="M950" s="124">
        <f>IF($L950=0,0,$L950*YenidegerKurumlarVergiOran)</f>
        <v/>
      </c>
      <c r="N950" s="124">
        <f>IFERROR(IF(YenidegerIskontoOrani=0,$M950*$G950,$M950*(1-1/(1+YenidegerIskontoOrani)^$G950)/YenidegerIskontoOrani),0)</f>
        <v/>
      </c>
      <c r="O950" s="124">
        <f>$N950-$K950</f>
        <v/>
      </c>
      <c r="P950" s="124">
        <f>IF($J950&lt;=0,"DEĞERLENDİR",IF($O950&gt;0,"YENİDEN DEĞERLE","DEĞERLENDİR"))</f>
        <v/>
      </c>
      <c r="Q950" s="124">
        <f>IF($B950="","",CONCATENATE("Kıymet: ",$B950," | Değer Artışı: ",TEXT($J950,"#,##0")))</f>
        <v/>
      </c>
    </row>
    <row r="951" ht="15.75" customHeight="1" s="81">
      <c r="A951" s="129" t="n"/>
      <c r="B951" s="130" t="n"/>
      <c r="C951" s="127" t="n"/>
      <c r="D951" s="127" t="n"/>
      <c r="E951" s="124">
        <f>IF($C951=0,0,$C951-$D951)</f>
        <v/>
      </c>
      <c r="F951" s="128" t="n"/>
      <c r="G951" s="129" t="n"/>
      <c r="H951" s="131" t="n"/>
      <c r="I951" s="124">
        <f>IF($E951=0,0,$E951*$H951)</f>
        <v/>
      </c>
      <c r="J951" s="124">
        <f>IF($I951=0,0,$I951-$E951)</f>
        <v/>
      </c>
      <c r="K951" s="124">
        <f>IF($J951=0,0,$J951*YenidegerFonOran)</f>
        <v/>
      </c>
      <c r="L951" s="124">
        <f>IF($G951=0,0,$J951/$G951)</f>
        <v/>
      </c>
      <c r="M951" s="124">
        <f>IF($L951=0,0,$L951*YenidegerKurumlarVergiOran)</f>
        <v/>
      </c>
      <c r="N951" s="124">
        <f>IFERROR(IF(YenidegerIskontoOrani=0,$M951*$G951,$M951*(1-1/(1+YenidegerIskontoOrani)^$G951)/YenidegerIskontoOrani),0)</f>
        <v/>
      </c>
      <c r="O951" s="124">
        <f>$N951-$K951</f>
        <v/>
      </c>
      <c r="P951" s="124">
        <f>IF($J951&lt;=0,"DEĞERLENDİR",IF($O951&gt;0,"YENİDEN DEĞERLE","DEĞERLENDİR"))</f>
        <v/>
      </c>
      <c r="Q951" s="124">
        <f>IF($B951="","",CONCATENATE("Kıymet: ",$B951," | Değer Artışı: ",TEXT($J951,"#,##0")))</f>
        <v/>
      </c>
    </row>
    <row r="952" ht="15.75" customHeight="1" s="81">
      <c r="A952" s="129" t="n"/>
      <c r="B952" s="130" t="n"/>
      <c r="C952" s="127" t="n"/>
      <c r="D952" s="127" t="n"/>
      <c r="E952" s="124">
        <f>IF($C952=0,0,$C952-$D952)</f>
        <v/>
      </c>
      <c r="F952" s="128" t="n"/>
      <c r="G952" s="129" t="n"/>
      <c r="H952" s="131" t="n"/>
      <c r="I952" s="124">
        <f>IF($E952=0,0,$E952*$H952)</f>
        <v/>
      </c>
      <c r="J952" s="124">
        <f>IF($I952=0,0,$I952-$E952)</f>
        <v/>
      </c>
      <c r="K952" s="124">
        <f>IF($J952=0,0,$J952*YenidegerFonOran)</f>
        <v/>
      </c>
      <c r="L952" s="124">
        <f>IF($G952=0,0,$J952/$G952)</f>
        <v/>
      </c>
      <c r="M952" s="124">
        <f>IF($L952=0,0,$L952*YenidegerKurumlarVergiOran)</f>
        <v/>
      </c>
      <c r="N952" s="124">
        <f>IFERROR(IF(YenidegerIskontoOrani=0,$M952*$G952,$M952*(1-1/(1+YenidegerIskontoOrani)^$G952)/YenidegerIskontoOrani),0)</f>
        <v/>
      </c>
      <c r="O952" s="124">
        <f>$N952-$K952</f>
        <v/>
      </c>
      <c r="P952" s="124">
        <f>IF($J952&lt;=0,"DEĞERLENDİR",IF($O952&gt;0,"YENİDEN DEĞERLE","DEĞERLENDİR"))</f>
        <v/>
      </c>
      <c r="Q952" s="124">
        <f>IF($B952="","",CONCATENATE("Kıymet: ",$B952," | Değer Artışı: ",TEXT($J952,"#,##0")))</f>
        <v/>
      </c>
    </row>
    <row r="953" ht="15.75" customHeight="1" s="81">
      <c r="A953" s="129" t="n"/>
      <c r="B953" s="130" t="n"/>
      <c r="C953" s="127" t="n"/>
      <c r="D953" s="127" t="n"/>
      <c r="E953" s="124">
        <f>IF($C953=0,0,$C953-$D953)</f>
        <v/>
      </c>
      <c r="F953" s="128" t="n"/>
      <c r="G953" s="129" t="n"/>
      <c r="H953" s="131" t="n"/>
      <c r="I953" s="124">
        <f>IF($E953=0,0,$E953*$H953)</f>
        <v/>
      </c>
      <c r="J953" s="124">
        <f>IF($I953=0,0,$I953-$E953)</f>
        <v/>
      </c>
      <c r="K953" s="124">
        <f>IF($J953=0,0,$J953*YenidegerFonOran)</f>
        <v/>
      </c>
      <c r="L953" s="124">
        <f>IF($G953=0,0,$J953/$G953)</f>
        <v/>
      </c>
      <c r="M953" s="124">
        <f>IF($L953=0,0,$L953*YenidegerKurumlarVergiOran)</f>
        <v/>
      </c>
      <c r="N953" s="124">
        <f>IFERROR(IF(YenidegerIskontoOrani=0,$M953*$G953,$M953*(1-1/(1+YenidegerIskontoOrani)^$G953)/YenidegerIskontoOrani),0)</f>
        <v/>
      </c>
      <c r="O953" s="124">
        <f>$N953-$K953</f>
        <v/>
      </c>
      <c r="P953" s="124">
        <f>IF($J953&lt;=0,"DEĞERLENDİR",IF($O953&gt;0,"YENİDEN DEĞERLE","DEĞERLENDİR"))</f>
        <v/>
      </c>
      <c r="Q953" s="124">
        <f>IF($B953="","",CONCATENATE("Kıymet: ",$B953," | Değer Artışı: ",TEXT($J953,"#,##0")))</f>
        <v/>
      </c>
    </row>
    <row r="954" ht="15.75" customHeight="1" s="81">
      <c r="A954" s="129" t="n"/>
      <c r="B954" s="130" t="n"/>
      <c r="C954" s="127" t="n"/>
      <c r="D954" s="127" t="n"/>
      <c r="E954" s="124">
        <f>IF($C954=0,0,$C954-$D954)</f>
        <v/>
      </c>
      <c r="F954" s="128" t="n"/>
      <c r="G954" s="129" t="n"/>
      <c r="H954" s="131" t="n"/>
      <c r="I954" s="124">
        <f>IF($E954=0,0,$E954*$H954)</f>
        <v/>
      </c>
      <c r="J954" s="124">
        <f>IF($I954=0,0,$I954-$E954)</f>
        <v/>
      </c>
      <c r="K954" s="124">
        <f>IF($J954=0,0,$J954*YenidegerFonOran)</f>
        <v/>
      </c>
      <c r="L954" s="124">
        <f>IF($G954=0,0,$J954/$G954)</f>
        <v/>
      </c>
      <c r="M954" s="124">
        <f>IF($L954=0,0,$L954*YenidegerKurumlarVergiOran)</f>
        <v/>
      </c>
      <c r="N954" s="124">
        <f>IFERROR(IF(YenidegerIskontoOrani=0,$M954*$G954,$M954*(1-1/(1+YenidegerIskontoOrani)^$G954)/YenidegerIskontoOrani),0)</f>
        <v/>
      </c>
      <c r="O954" s="124">
        <f>$N954-$K954</f>
        <v/>
      </c>
      <c r="P954" s="124">
        <f>IF($J954&lt;=0,"DEĞERLENDİR",IF($O954&gt;0,"YENİDEN DEĞERLE","DEĞERLENDİR"))</f>
        <v/>
      </c>
      <c r="Q954" s="124">
        <f>IF($B954="","",CONCATENATE("Kıymet: ",$B954," | Değer Artışı: ",TEXT($J954,"#,##0")))</f>
        <v/>
      </c>
    </row>
    <row r="955" ht="15.75" customHeight="1" s="81">
      <c r="A955" s="129" t="n"/>
      <c r="B955" s="130" t="n"/>
      <c r="C955" s="127" t="n"/>
      <c r="D955" s="127" t="n"/>
      <c r="E955" s="124">
        <f>IF($C955=0,0,$C955-$D955)</f>
        <v/>
      </c>
      <c r="F955" s="128" t="n"/>
      <c r="G955" s="129" t="n"/>
      <c r="H955" s="131" t="n"/>
      <c r="I955" s="124">
        <f>IF($E955=0,0,$E955*$H955)</f>
        <v/>
      </c>
      <c r="J955" s="124">
        <f>IF($I955=0,0,$I955-$E955)</f>
        <v/>
      </c>
      <c r="K955" s="124">
        <f>IF($J955=0,0,$J955*YenidegerFonOran)</f>
        <v/>
      </c>
      <c r="L955" s="124">
        <f>IF($G955=0,0,$J955/$G955)</f>
        <v/>
      </c>
      <c r="M955" s="124">
        <f>IF($L955=0,0,$L955*YenidegerKurumlarVergiOran)</f>
        <v/>
      </c>
      <c r="N955" s="124">
        <f>IFERROR(IF(YenidegerIskontoOrani=0,$M955*$G955,$M955*(1-1/(1+YenidegerIskontoOrani)^$G955)/YenidegerIskontoOrani),0)</f>
        <v/>
      </c>
      <c r="O955" s="124">
        <f>$N955-$K955</f>
        <v/>
      </c>
      <c r="P955" s="124">
        <f>IF($J955&lt;=0,"DEĞERLENDİR",IF($O955&gt;0,"YENİDEN DEĞERLE","DEĞERLENDİR"))</f>
        <v/>
      </c>
      <c r="Q955" s="124">
        <f>IF($B955="","",CONCATENATE("Kıymet: ",$B955," | Değer Artışı: ",TEXT($J955,"#,##0")))</f>
        <v/>
      </c>
    </row>
    <row r="956" ht="15.75" customHeight="1" s="81">
      <c r="A956" s="129" t="n"/>
      <c r="B956" s="130" t="n"/>
      <c r="C956" s="127" t="n"/>
      <c r="D956" s="127" t="n"/>
      <c r="E956" s="124">
        <f>IF($C956=0,0,$C956-$D956)</f>
        <v/>
      </c>
      <c r="F956" s="128" t="n"/>
      <c r="G956" s="129" t="n"/>
      <c r="H956" s="131" t="n"/>
      <c r="I956" s="124">
        <f>IF($E956=0,0,$E956*$H956)</f>
        <v/>
      </c>
      <c r="J956" s="124">
        <f>IF($I956=0,0,$I956-$E956)</f>
        <v/>
      </c>
      <c r="K956" s="124">
        <f>IF($J956=0,0,$J956*YenidegerFonOran)</f>
        <v/>
      </c>
      <c r="L956" s="124">
        <f>IF($G956=0,0,$J956/$G956)</f>
        <v/>
      </c>
      <c r="M956" s="124">
        <f>IF($L956=0,0,$L956*YenidegerKurumlarVergiOran)</f>
        <v/>
      </c>
      <c r="N956" s="124">
        <f>IFERROR(IF(YenidegerIskontoOrani=0,$M956*$G956,$M956*(1-1/(1+YenidegerIskontoOrani)^$G956)/YenidegerIskontoOrani),0)</f>
        <v/>
      </c>
      <c r="O956" s="124">
        <f>$N956-$K956</f>
        <v/>
      </c>
      <c r="P956" s="124">
        <f>IF($J956&lt;=0,"DEĞERLENDİR",IF($O956&gt;0,"YENİDEN DEĞERLE","DEĞERLENDİR"))</f>
        <v/>
      </c>
      <c r="Q956" s="124">
        <f>IF($B956="","",CONCATENATE("Kıymet: ",$B956," | Değer Artışı: ",TEXT($J956,"#,##0")))</f>
        <v/>
      </c>
    </row>
    <row r="957" ht="15.75" customHeight="1" s="81">
      <c r="A957" s="129" t="n"/>
      <c r="B957" s="130" t="n"/>
      <c r="C957" s="127" t="n"/>
      <c r="D957" s="127" t="n"/>
      <c r="E957" s="124">
        <f>IF($C957=0,0,$C957-$D957)</f>
        <v/>
      </c>
      <c r="F957" s="128" t="n"/>
      <c r="G957" s="129" t="n"/>
      <c r="H957" s="131" t="n"/>
      <c r="I957" s="124">
        <f>IF($E957=0,0,$E957*$H957)</f>
        <v/>
      </c>
      <c r="J957" s="124">
        <f>IF($I957=0,0,$I957-$E957)</f>
        <v/>
      </c>
      <c r="K957" s="124">
        <f>IF($J957=0,0,$J957*YenidegerFonOran)</f>
        <v/>
      </c>
      <c r="L957" s="124">
        <f>IF($G957=0,0,$J957/$G957)</f>
        <v/>
      </c>
      <c r="M957" s="124">
        <f>IF($L957=0,0,$L957*YenidegerKurumlarVergiOran)</f>
        <v/>
      </c>
      <c r="N957" s="124">
        <f>IFERROR(IF(YenidegerIskontoOrani=0,$M957*$G957,$M957*(1-1/(1+YenidegerIskontoOrani)^$G957)/YenidegerIskontoOrani),0)</f>
        <v/>
      </c>
      <c r="O957" s="124">
        <f>$N957-$K957</f>
        <v/>
      </c>
      <c r="P957" s="124">
        <f>IF($J957&lt;=0,"DEĞERLENDİR",IF($O957&gt;0,"YENİDEN DEĞERLE","DEĞERLENDİR"))</f>
        <v/>
      </c>
      <c r="Q957" s="124">
        <f>IF($B957="","",CONCATENATE("Kıymet: ",$B957," | Değer Artışı: ",TEXT($J957,"#,##0")))</f>
        <v/>
      </c>
    </row>
    <row r="958" ht="15.75" customHeight="1" s="81">
      <c r="A958" s="129" t="n"/>
      <c r="B958" s="130" t="n"/>
      <c r="C958" s="127" t="n"/>
      <c r="D958" s="127" t="n"/>
      <c r="E958" s="124">
        <f>IF($C958=0,0,$C958-$D958)</f>
        <v/>
      </c>
      <c r="F958" s="128" t="n"/>
      <c r="G958" s="129" t="n"/>
      <c r="H958" s="131" t="n"/>
      <c r="I958" s="124">
        <f>IF($E958=0,0,$E958*$H958)</f>
        <v/>
      </c>
      <c r="J958" s="124">
        <f>IF($I958=0,0,$I958-$E958)</f>
        <v/>
      </c>
      <c r="K958" s="124">
        <f>IF($J958=0,0,$J958*YenidegerFonOran)</f>
        <v/>
      </c>
      <c r="L958" s="124">
        <f>IF($G958=0,0,$J958/$G958)</f>
        <v/>
      </c>
      <c r="M958" s="124">
        <f>IF($L958=0,0,$L958*YenidegerKurumlarVergiOran)</f>
        <v/>
      </c>
      <c r="N958" s="124">
        <f>IFERROR(IF(YenidegerIskontoOrani=0,$M958*$G958,$M958*(1-1/(1+YenidegerIskontoOrani)^$G958)/YenidegerIskontoOrani),0)</f>
        <v/>
      </c>
      <c r="O958" s="124">
        <f>$N958-$K958</f>
        <v/>
      </c>
      <c r="P958" s="124">
        <f>IF($J958&lt;=0,"DEĞERLENDİR",IF($O958&gt;0,"YENİDEN DEĞERLE","DEĞERLENDİR"))</f>
        <v/>
      </c>
      <c r="Q958" s="124">
        <f>IF($B958="","",CONCATENATE("Kıymet: ",$B958," | Değer Artışı: ",TEXT($J958,"#,##0")))</f>
        <v/>
      </c>
    </row>
    <row r="959" ht="15.75" customHeight="1" s="81">
      <c r="A959" s="129" t="n"/>
      <c r="B959" s="130" t="n"/>
      <c r="C959" s="127" t="n"/>
      <c r="D959" s="127" t="n"/>
      <c r="E959" s="124">
        <f>IF($C959=0,0,$C959-$D959)</f>
        <v/>
      </c>
      <c r="F959" s="128" t="n"/>
      <c r="G959" s="129" t="n"/>
      <c r="H959" s="131" t="n"/>
      <c r="I959" s="124">
        <f>IF($E959=0,0,$E959*$H959)</f>
        <v/>
      </c>
      <c r="J959" s="124">
        <f>IF($I959=0,0,$I959-$E959)</f>
        <v/>
      </c>
      <c r="K959" s="124">
        <f>IF($J959=0,0,$J959*YenidegerFonOran)</f>
        <v/>
      </c>
      <c r="L959" s="124">
        <f>IF($G959=0,0,$J959/$G959)</f>
        <v/>
      </c>
      <c r="M959" s="124">
        <f>IF($L959=0,0,$L959*YenidegerKurumlarVergiOran)</f>
        <v/>
      </c>
      <c r="N959" s="124">
        <f>IFERROR(IF(YenidegerIskontoOrani=0,$M959*$G959,$M959*(1-1/(1+YenidegerIskontoOrani)^$G959)/YenidegerIskontoOrani),0)</f>
        <v/>
      </c>
      <c r="O959" s="124">
        <f>$N959-$K959</f>
        <v/>
      </c>
      <c r="P959" s="124">
        <f>IF($J959&lt;=0,"DEĞERLENDİR",IF($O959&gt;0,"YENİDEN DEĞERLE","DEĞERLENDİR"))</f>
        <v/>
      </c>
      <c r="Q959" s="124">
        <f>IF($B959="","",CONCATENATE("Kıymet: ",$B959," | Değer Artışı: ",TEXT($J959,"#,##0")))</f>
        <v/>
      </c>
    </row>
    <row r="960" ht="15.75" customHeight="1" s="81">
      <c r="A960" s="129" t="n"/>
      <c r="B960" s="130" t="n"/>
      <c r="C960" s="127" t="n"/>
      <c r="D960" s="127" t="n"/>
      <c r="E960" s="124">
        <f>IF($C960=0,0,$C960-$D960)</f>
        <v/>
      </c>
      <c r="F960" s="128" t="n"/>
      <c r="G960" s="129" t="n"/>
      <c r="H960" s="131" t="n"/>
      <c r="I960" s="124">
        <f>IF($E960=0,0,$E960*$H960)</f>
        <v/>
      </c>
      <c r="J960" s="124">
        <f>IF($I960=0,0,$I960-$E960)</f>
        <v/>
      </c>
      <c r="K960" s="124">
        <f>IF($J960=0,0,$J960*YenidegerFonOran)</f>
        <v/>
      </c>
      <c r="L960" s="124">
        <f>IF($G960=0,0,$J960/$G960)</f>
        <v/>
      </c>
      <c r="M960" s="124">
        <f>IF($L960=0,0,$L960*YenidegerKurumlarVergiOran)</f>
        <v/>
      </c>
      <c r="N960" s="124">
        <f>IFERROR(IF(YenidegerIskontoOrani=0,$M960*$G960,$M960*(1-1/(1+YenidegerIskontoOrani)^$G960)/YenidegerIskontoOrani),0)</f>
        <v/>
      </c>
      <c r="O960" s="124">
        <f>$N960-$K960</f>
        <v/>
      </c>
      <c r="P960" s="124">
        <f>IF($J960&lt;=0,"DEĞERLENDİR",IF($O960&gt;0,"YENİDEN DEĞERLE","DEĞERLENDİR"))</f>
        <v/>
      </c>
      <c r="Q960" s="124">
        <f>IF($B960="","",CONCATENATE("Kıymet: ",$B960," | Değer Artışı: ",TEXT($J960,"#,##0")))</f>
        <v/>
      </c>
    </row>
    <row r="961" ht="15.75" customHeight="1" s="81">
      <c r="A961" s="129" t="n"/>
      <c r="B961" s="130" t="n"/>
      <c r="C961" s="127" t="n"/>
      <c r="D961" s="127" t="n"/>
      <c r="E961" s="124">
        <f>IF($C961=0,0,$C961-$D961)</f>
        <v/>
      </c>
      <c r="F961" s="128" t="n"/>
      <c r="G961" s="129" t="n"/>
      <c r="H961" s="131" t="n"/>
      <c r="I961" s="124">
        <f>IF($E961=0,0,$E961*$H961)</f>
        <v/>
      </c>
      <c r="J961" s="124">
        <f>IF($I961=0,0,$I961-$E961)</f>
        <v/>
      </c>
      <c r="K961" s="124">
        <f>IF($J961=0,0,$J961*YenidegerFonOran)</f>
        <v/>
      </c>
      <c r="L961" s="124">
        <f>IF($G961=0,0,$J961/$G961)</f>
        <v/>
      </c>
      <c r="M961" s="124">
        <f>IF($L961=0,0,$L961*YenidegerKurumlarVergiOran)</f>
        <v/>
      </c>
      <c r="N961" s="124">
        <f>IFERROR(IF(YenidegerIskontoOrani=0,$M961*$G961,$M961*(1-1/(1+YenidegerIskontoOrani)^$G961)/YenidegerIskontoOrani),0)</f>
        <v/>
      </c>
      <c r="O961" s="124">
        <f>$N961-$K961</f>
        <v/>
      </c>
      <c r="P961" s="124">
        <f>IF($J961&lt;=0,"DEĞERLENDİR",IF($O961&gt;0,"YENİDEN DEĞERLE","DEĞERLENDİR"))</f>
        <v/>
      </c>
      <c r="Q961" s="124">
        <f>IF($B961="","",CONCATENATE("Kıymet: ",$B961," | Değer Artışı: ",TEXT($J961,"#,##0")))</f>
        <v/>
      </c>
    </row>
    <row r="962" ht="15.75" customHeight="1" s="81">
      <c r="A962" s="129" t="n"/>
      <c r="B962" s="130" t="n"/>
      <c r="C962" s="127" t="n"/>
      <c r="D962" s="127" t="n"/>
      <c r="E962" s="124">
        <f>IF($C962=0,0,$C962-$D962)</f>
        <v/>
      </c>
      <c r="F962" s="128" t="n"/>
      <c r="G962" s="129" t="n"/>
      <c r="H962" s="131" t="n"/>
      <c r="I962" s="124">
        <f>IF($E962=0,0,$E962*$H962)</f>
        <v/>
      </c>
      <c r="J962" s="124">
        <f>IF($I962=0,0,$I962-$E962)</f>
        <v/>
      </c>
      <c r="K962" s="124">
        <f>IF($J962=0,0,$J962*YenidegerFonOran)</f>
        <v/>
      </c>
      <c r="L962" s="124">
        <f>IF($G962=0,0,$J962/$G962)</f>
        <v/>
      </c>
      <c r="M962" s="124">
        <f>IF($L962=0,0,$L962*YenidegerKurumlarVergiOran)</f>
        <v/>
      </c>
      <c r="N962" s="124">
        <f>IFERROR(IF(YenidegerIskontoOrani=0,$M962*$G962,$M962*(1-1/(1+YenidegerIskontoOrani)^$G962)/YenidegerIskontoOrani),0)</f>
        <v/>
      </c>
      <c r="O962" s="124">
        <f>$N962-$K962</f>
        <v/>
      </c>
      <c r="P962" s="124">
        <f>IF($J962&lt;=0,"DEĞERLENDİR",IF($O962&gt;0,"YENİDEN DEĞERLE","DEĞERLENDİR"))</f>
        <v/>
      </c>
      <c r="Q962" s="124">
        <f>IF($B962="","",CONCATENATE("Kıymet: ",$B962," | Değer Artışı: ",TEXT($J962,"#,##0")))</f>
        <v/>
      </c>
    </row>
    <row r="963" ht="15.75" customHeight="1" s="81">
      <c r="A963" s="129" t="n"/>
      <c r="B963" s="130" t="n"/>
      <c r="C963" s="127" t="n"/>
      <c r="D963" s="127" t="n"/>
      <c r="E963" s="124">
        <f>IF($C963=0,0,$C963-$D963)</f>
        <v/>
      </c>
      <c r="F963" s="128" t="n"/>
      <c r="G963" s="129" t="n"/>
      <c r="H963" s="131" t="n"/>
      <c r="I963" s="124">
        <f>IF($E963=0,0,$E963*$H963)</f>
        <v/>
      </c>
      <c r="J963" s="124">
        <f>IF($I963=0,0,$I963-$E963)</f>
        <v/>
      </c>
      <c r="K963" s="124">
        <f>IF($J963=0,0,$J963*YenidegerFonOran)</f>
        <v/>
      </c>
      <c r="L963" s="124">
        <f>IF($G963=0,0,$J963/$G963)</f>
        <v/>
      </c>
      <c r="M963" s="124">
        <f>IF($L963=0,0,$L963*YenidegerKurumlarVergiOran)</f>
        <v/>
      </c>
      <c r="N963" s="124">
        <f>IFERROR(IF(YenidegerIskontoOrani=0,$M963*$G963,$M963*(1-1/(1+YenidegerIskontoOrani)^$G963)/YenidegerIskontoOrani),0)</f>
        <v/>
      </c>
      <c r="O963" s="124">
        <f>$N963-$K963</f>
        <v/>
      </c>
      <c r="P963" s="124">
        <f>IF($J963&lt;=0,"DEĞERLENDİR",IF($O963&gt;0,"YENİDEN DEĞERLE","DEĞERLENDİR"))</f>
        <v/>
      </c>
      <c r="Q963" s="124">
        <f>IF($B963="","",CONCATENATE("Kıymet: ",$B963," | Değer Artışı: ",TEXT($J963,"#,##0")))</f>
        <v/>
      </c>
    </row>
    <row r="964" ht="15.75" customHeight="1" s="81">
      <c r="A964" s="129" t="n"/>
      <c r="B964" s="130" t="n"/>
      <c r="C964" s="127" t="n"/>
      <c r="D964" s="127" t="n"/>
      <c r="E964" s="124">
        <f>IF($C964=0,0,$C964-$D964)</f>
        <v/>
      </c>
      <c r="F964" s="128" t="n"/>
      <c r="G964" s="129" t="n"/>
      <c r="H964" s="131" t="n"/>
      <c r="I964" s="124">
        <f>IF($E964=0,0,$E964*$H964)</f>
        <v/>
      </c>
      <c r="J964" s="124">
        <f>IF($I964=0,0,$I964-$E964)</f>
        <v/>
      </c>
      <c r="K964" s="124">
        <f>IF($J964=0,0,$J964*YenidegerFonOran)</f>
        <v/>
      </c>
      <c r="L964" s="124">
        <f>IF($G964=0,0,$J964/$G964)</f>
        <v/>
      </c>
      <c r="M964" s="124">
        <f>IF($L964=0,0,$L964*YenidegerKurumlarVergiOran)</f>
        <v/>
      </c>
      <c r="N964" s="124">
        <f>IFERROR(IF(YenidegerIskontoOrani=0,$M964*$G964,$M964*(1-1/(1+YenidegerIskontoOrani)^$G964)/YenidegerIskontoOrani),0)</f>
        <v/>
      </c>
      <c r="O964" s="124">
        <f>$N964-$K964</f>
        <v/>
      </c>
      <c r="P964" s="124">
        <f>IF($J964&lt;=0,"DEĞERLENDİR",IF($O964&gt;0,"YENİDEN DEĞERLE","DEĞERLENDİR"))</f>
        <v/>
      </c>
      <c r="Q964" s="124">
        <f>IF($B964="","",CONCATENATE("Kıymet: ",$B964," | Değer Artışı: ",TEXT($J964,"#,##0")))</f>
        <v/>
      </c>
    </row>
    <row r="965" ht="15.75" customHeight="1" s="81">
      <c r="A965" s="129" t="n"/>
      <c r="B965" s="130" t="n"/>
      <c r="C965" s="127" t="n"/>
      <c r="D965" s="127" t="n"/>
      <c r="E965" s="124">
        <f>IF($C965=0,0,$C965-$D965)</f>
        <v/>
      </c>
      <c r="F965" s="128" t="n"/>
      <c r="G965" s="129" t="n"/>
      <c r="H965" s="131" t="n"/>
      <c r="I965" s="124">
        <f>IF($E965=0,0,$E965*$H965)</f>
        <v/>
      </c>
      <c r="J965" s="124">
        <f>IF($I965=0,0,$I965-$E965)</f>
        <v/>
      </c>
      <c r="K965" s="124">
        <f>IF($J965=0,0,$J965*YenidegerFonOran)</f>
        <v/>
      </c>
      <c r="L965" s="124">
        <f>IF($G965=0,0,$J965/$G965)</f>
        <v/>
      </c>
      <c r="M965" s="124">
        <f>IF($L965=0,0,$L965*YenidegerKurumlarVergiOran)</f>
        <v/>
      </c>
      <c r="N965" s="124">
        <f>IFERROR(IF(YenidegerIskontoOrani=0,$M965*$G965,$M965*(1-1/(1+YenidegerIskontoOrani)^$G965)/YenidegerIskontoOrani),0)</f>
        <v/>
      </c>
      <c r="O965" s="124">
        <f>$N965-$K965</f>
        <v/>
      </c>
      <c r="P965" s="124">
        <f>IF($J965&lt;=0,"DEĞERLENDİR",IF($O965&gt;0,"YENİDEN DEĞERLE","DEĞERLENDİR"))</f>
        <v/>
      </c>
      <c r="Q965" s="124">
        <f>IF($B965="","",CONCATENATE("Kıymet: ",$B965," | Değer Artışı: ",TEXT($J965,"#,##0")))</f>
        <v/>
      </c>
    </row>
    <row r="966" ht="15.75" customHeight="1" s="81">
      <c r="A966" s="129" t="n"/>
      <c r="B966" s="130" t="n"/>
      <c r="C966" s="127" t="n"/>
      <c r="D966" s="127" t="n"/>
      <c r="E966" s="124">
        <f>IF($C966=0,0,$C966-$D966)</f>
        <v/>
      </c>
      <c r="F966" s="128" t="n"/>
      <c r="G966" s="129" t="n"/>
      <c r="H966" s="131" t="n"/>
      <c r="I966" s="124">
        <f>IF($E966=0,0,$E966*$H966)</f>
        <v/>
      </c>
      <c r="J966" s="124">
        <f>IF($I966=0,0,$I966-$E966)</f>
        <v/>
      </c>
      <c r="K966" s="124">
        <f>IF($J966=0,0,$J966*YenidegerFonOran)</f>
        <v/>
      </c>
      <c r="L966" s="124">
        <f>IF($G966=0,0,$J966/$G966)</f>
        <v/>
      </c>
      <c r="M966" s="124">
        <f>IF($L966=0,0,$L966*YenidegerKurumlarVergiOran)</f>
        <v/>
      </c>
      <c r="N966" s="124">
        <f>IFERROR(IF(YenidegerIskontoOrani=0,$M966*$G966,$M966*(1-1/(1+YenidegerIskontoOrani)^$G966)/YenidegerIskontoOrani),0)</f>
        <v/>
      </c>
      <c r="O966" s="124">
        <f>$N966-$K966</f>
        <v/>
      </c>
      <c r="P966" s="124">
        <f>IF($J966&lt;=0,"DEĞERLENDİR",IF($O966&gt;0,"YENİDEN DEĞERLE","DEĞERLENDİR"))</f>
        <v/>
      </c>
      <c r="Q966" s="124">
        <f>IF($B966="","",CONCATENATE("Kıymet: ",$B966," | Değer Artışı: ",TEXT($J966,"#,##0")))</f>
        <v/>
      </c>
    </row>
    <row r="967" ht="15.75" customHeight="1" s="81">
      <c r="A967" s="129" t="n"/>
      <c r="B967" s="130" t="n"/>
      <c r="C967" s="127" t="n"/>
      <c r="D967" s="127" t="n"/>
      <c r="E967" s="124">
        <f>IF($C967=0,0,$C967-$D967)</f>
        <v/>
      </c>
      <c r="F967" s="128" t="n"/>
      <c r="G967" s="129" t="n"/>
      <c r="H967" s="131" t="n"/>
      <c r="I967" s="124">
        <f>IF($E967=0,0,$E967*$H967)</f>
        <v/>
      </c>
      <c r="J967" s="124">
        <f>IF($I967=0,0,$I967-$E967)</f>
        <v/>
      </c>
      <c r="K967" s="124">
        <f>IF($J967=0,0,$J967*YenidegerFonOran)</f>
        <v/>
      </c>
      <c r="L967" s="124">
        <f>IF($G967=0,0,$J967/$G967)</f>
        <v/>
      </c>
      <c r="M967" s="124">
        <f>IF($L967=0,0,$L967*YenidegerKurumlarVergiOran)</f>
        <v/>
      </c>
      <c r="N967" s="124">
        <f>IFERROR(IF(YenidegerIskontoOrani=0,$M967*$G967,$M967*(1-1/(1+YenidegerIskontoOrani)^$G967)/YenidegerIskontoOrani),0)</f>
        <v/>
      </c>
      <c r="O967" s="124">
        <f>$N967-$K967</f>
        <v/>
      </c>
      <c r="P967" s="124">
        <f>IF($J967&lt;=0,"DEĞERLENDİR",IF($O967&gt;0,"YENİDEN DEĞERLE","DEĞERLENDİR"))</f>
        <v/>
      </c>
      <c r="Q967" s="124">
        <f>IF($B967="","",CONCATENATE("Kıymet: ",$B967," | Değer Artışı: ",TEXT($J967,"#,##0")))</f>
        <v/>
      </c>
    </row>
    <row r="968" ht="15.75" customHeight="1" s="81">
      <c r="A968" s="129" t="n"/>
      <c r="B968" s="130" t="n"/>
      <c r="C968" s="127" t="n"/>
      <c r="D968" s="127" t="n"/>
      <c r="E968" s="124">
        <f>IF($C968=0,0,$C968-$D968)</f>
        <v/>
      </c>
      <c r="F968" s="128" t="n"/>
      <c r="G968" s="129" t="n"/>
      <c r="H968" s="131" t="n"/>
      <c r="I968" s="124">
        <f>IF($E968=0,0,$E968*$H968)</f>
        <v/>
      </c>
      <c r="J968" s="124">
        <f>IF($I968=0,0,$I968-$E968)</f>
        <v/>
      </c>
      <c r="K968" s="124">
        <f>IF($J968=0,0,$J968*YenidegerFonOran)</f>
        <v/>
      </c>
      <c r="L968" s="124">
        <f>IF($G968=0,0,$J968/$G968)</f>
        <v/>
      </c>
      <c r="M968" s="124">
        <f>IF($L968=0,0,$L968*YenidegerKurumlarVergiOran)</f>
        <v/>
      </c>
      <c r="N968" s="124">
        <f>IFERROR(IF(YenidegerIskontoOrani=0,$M968*$G968,$M968*(1-1/(1+YenidegerIskontoOrani)^$G968)/YenidegerIskontoOrani),0)</f>
        <v/>
      </c>
      <c r="O968" s="124">
        <f>$N968-$K968</f>
        <v/>
      </c>
      <c r="P968" s="124">
        <f>IF($J968&lt;=0,"DEĞERLENDİR",IF($O968&gt;0,"YENİDEN DEĞERLE","DEĞERLENDİR"))</f>
        <v/>
      </c>
      <c r="Q968" s="124">
        <f>IF($B968="","",CONCATENATE("Kıymet: ",$B968," | Değer Artışı: ",TEXT($J968,"#,##0")))</f>
        <v/>
      </c>
    </row>
    <row r="969" ht="15.75" customHeight="1" s="81">
      <c r="A969" s="129" t="n"/>
      <c r="B969" s="130" t="n"/>
      <c r="C969" s="127" t="n"/>
      <c r="D969" s="127" t="n"/>
      <c r="E969" s="124">
        <f>IF($C969=0,0,$C969-$D969)</f>
        <v/>
      </c>
      <c r="F969" s="128" t="n"/>
      <c r="G969" s="129" t="n"/>
      <c r="H969" s="131" t="n"/>
      <c r="I969" s="124">
        <f>IF($E969=0,0,$E969*$H969)</f>
        <v/>
      </c>
      <c r="J969" s="124">
        <f>IF($I969=0,0,$I969-$E969)</f>
        <v/>
      </c>
      <c r="K969" s="124">
        <f>IF($J969=0,0,$J969*YenidegerFonOran)</f>
        <v/>
      </c>
      <c r="L969" s="124">
        <f>IF($G969=0,0,$J969/$G969)</f>
        <v/>
      </c>
      <c r="M969" s="124">
        <f>IF($L969=0,0,$L969*YenidegerKurumlarVergiOran)</f>
        <v/>
      </c>
      <c r="N969" s="124">
        <f>IFERROR(IF(YenidegerIskontoOrani=0,$M969*$G969,$M969*(1-1/(1+YenidegerIskontoOrani)^$G969)/YenidegerIskontoOrani),0)</f>
        <v/>
      </c>
      <c r="O969" s="124">
        <f>$N969-$K969</f>
        <v/>
      </c>
      <c r="P969" s="124">
        <f>IF($J969&lt;=0,"DEĞERLENDİR",IF($O969&gt;0,"YENİDEN DEĞERLE","DEĞERLENDİR"))</f>
        <v/>
      </c>
      <c r="Q969" s="124">
        <f>IF($B969="","",CONCATENATE("Kıymet: ",$B969," | Değer Artışı: ",TEXT($J969,"#,##0")))</f>
        <v/>
      </c>
    </row>
    <row r="970" ht="15.75" customHeight="1" s="81">
      <c r="A970" s="129" t="n"/>
      <c r="B970" s="130" t="n"/>
      <c r="C970" s="127" t="n"/>
      <c r="D970" s="127" t="n"/>
      <c r="E970" s="124">
        <f>IF($C970=0,0,$C970-$D970)</f>
        <v/>
      </c>
      <c r="F970" s="128" t="n"/>
      <c r="G970" s="129" t="n"/>
      <c r="H970" s="131" t="n"/>
      <c r="I970" s="124">
        <f>IF($E970=0,0,$E970*$H970)</f>
        <v/>
      </c>
      <c r="J970" s="124">
        <f>IF($I970=0,0,$I970-$E970)</f>
        <v/>
      </c>
      <c r="K970" s="124">
        <f>IF($J970=0,0,$J970*YenidegerFonOran)</f>
        <v/>
      </c>
      <c r="L970" s="124">
        <f>IF($G970=0,0,$J970/$G970)</f>
        <v/>
      </c>
      <c r="M970" s="124">
        <f>IF($L970=0,0,$L970*YenidegerKurumlarVergiOran)</f>
        <v/>
      </c>
      <c r="N970" s="124">
        <f>IFERROR(IF(YenidegerIskontoOrani=0,$M970*$G970,$M970*(1-1/(1+YenidegerIskontoOrani)^$G970)/YenidegerIskontoOrani),0)</f>
        <v/>
      </c>
      <c r="O970" s="124">
        <f>$N970-$K970</f>
        <v/>
      </c>
      <c r="P970" s="124">
        <f>IF($J970&lt;=0,"DEĞERLENDİR",IF($O970&gt;0,"YENİDEN DEĞERLE","DEĞERLENDİR"))</f>
        <v/>
      </c>
      <c r="Q970" s="124">
        <f>IF($B970="","",CONCATENATE("Kıymet: ",$B970," | Değer Artışı: ",TEXT($J970,"#,##0")))</f>
        <v/>
      </c>
    </row>
    <row r="971" ht="15.75" customHeight="1" s="81">
      <c r="A971" s="129" t="n"/>
      <c r="B971" s="130" t="n"/>
      <c r="C971" s="127" t="n"/>
      <c r="D971" s="127" t="n"/>
      <c r="E971" s="124">
        <f>IF($C971=0,0,$C971-$D971)</f>
        <v/>
      </c>
      <c r="F971" s="128" t="n"/>
      <c r="G971" s="129" t="n"/>
      <c r="H971" s="131" t="n"/>
      <c r="I971" s="124">
        <f>IF($E971=0,0,$E971*$H971)</f>
        <v/>
      </c>
      <c r="J971" s="124">
        <f>IF($I971=0,0,$I971-$E971)</f>
        <v/>
      </c>
      <c r="K971" s="124">
        <f>IF($J971=0,0,$J971*YenidegerFonOran)</f>
        <v/>
      </c>
      <c r="L971" s="124">
        <f>IF($G971=0,0,$J971/$G971)</f>
        <v/>
      </c>
      <c r="M971" s="124">
        <f>IF($L971=0,0,$L971*YenidegerKurumlarVergiOran)</f>
        <v/>
      </c>
      <c r="N971" s="124">
        <f>IFERROR(IF(YenidegerIskontoOrani=0,$M971*$G971,$M971*(1-1/(1+YenidegerIskontoOrani)^$G971)/YenidegerIskontoOrani),0)</f>
        <v/>
      </c>
      <c r="O971" s="124">
        <f>$N971-$K971</f>
        <v/>
      </c>
      <c r="P971" s="124">
        <f>IF($J971&lt;=0,"DEĞERLENDİR",IF($O971&gt;0,"YENİDEN DEĞERLE","DEĞERLENDİR"))</f>
        <v/>
      </c>
      <c r="Q971" s="124">
        <f>IF($B971="","",CONCATENATE("Kıymet: ",$B971," | Değer Artışı: ",TEXT($J971,"#,##0")))</f>
        <v/>
      </c>
    </row>
    <row r="972" ht="15.75" customHeight="1" s="81">
      <c r="A972" s="129" t="n"/>
      <c r="B972" s="130" t="n"/>
      <c r="C972" s="127" t="n"/>
      <c r="D972" s="127" t="n"/>
      <c r="E972" s="124">
        <f>IF($C972=0,0,$C972-$D972)</f>
        <v/>
      </c>
      <c r="F972" s="128" t="n"/>
      <c r="G972" s="129" t="n"/>
      <c r="H972" s="131" t="n"/>
      <c r="I972" s="124">
        <f>IF($E972=0,0,$E972*$H972)</f>
        <v/>
      </c>
      <c r="J972" s="124">
        <f>IF($I972=0,0,$I972-$E972)</f>
        <v/>
      </c>
      <c r="K972" s="124">
        <f>IF($J972=0,0,$J972*YenidegerFonOran)</f>
        <v/>
      </c>
      <c r="L972" s="124">
        <f>IF($G972=0,0,$J972/$G972)</f>
        <v/>
      </c>
      <c r="M972" s="124">
        <f>IF($L972=0,0,$L972*YenidegerKurumlarVergiOran)</f>
        <v/>
      </c>
      <c r="N972" s="124">
        <f>IFERROR(IF(YenidegerIskontoOrani=0,$M972*$G972,$M972*(1-1/(1+YenidegerIskontoOrani)^$G972)/YenidegerIskontoOrani),0)</f>
        <v/>
      </c>
      <c r="O972" s="124">
        <f>$N972-$K972</f>
        <v/>
      </c>
      <c r="P972" s="124">
        <f>IF($J972&lt;=0,"DEĞERLENDİR",IF($O972&gt;0,"YENİDEN DEĞERLE","DEĞERLENDİR"))</f>
        <v/>
      </c>
      <c r="Q972" s="124">
        <f>IF($B972="","",CONCATENATE("Kıymet: ",$B972," | Değer Artışı: ",TEXT($J972,"#,##0")))</f>
        <v/>
      </c>
    </row>
    <row r="973" ht="15.75" customHeight="1" s="81">
      <c r="A973" s="129" t="n"/>
      <c r="B973" s="130" t="n"/>
      <c r="C973" s="127" t="n"/>
      <c r="D973" s="127" t="n"/>
      <c r="E973" s="124">
        <f>IF($C973=0,0,$C973-$D973)</f>
        <v/>
      </c>
      <c r="F973" s="128" t="n"/>
      <c r="G973" s="129" t="n"/>
      <c r="H973" s="131" t="n"/>
      <c r="I973" s="124">
        <f>IF($E973=0,0,$E973*$H973)</f>
        <v/>
      </c>
      <c r="J973" s="124">
        <f>IF($I973=0,0,$I973-$E973)</f>
        <v/>
      </c>
      <c r="K973" s="124">
        <f>IF($J973=0,0,$J973*YenidegerFonOran)</f>
        <v/>
      </c>
      <c r="L973" s="124">
        <f>IF($G973=0,0,$J973/$G973)</f>
        <v/>
      </c>
      <c r="M973" s="124">
        <f>IF($L973=0,0,$L973*YenidegerKurumlarVergiOran)</f>
        <v/>
      </c>
      <c r="N973" s="124">
        <f>IFERROR(IF(YenidegerIskontoOrani=0,$M973*$G973,$M973*(1-1/(1+YenidegerIskontoOrani)^$G973)/YenidegerIskontoOrani),0)</f>
        <v/>
      </c>
      <c r="O973" s="124">
        <f>$N973-$K973</f>
        <v/>
      </c>
      <c r="P973" s="124">
        <f>IF($J973&lt;=0,"DEĞERLENDİR",IF($O973&gt;0,"YENİDEN DEĞERLE","DEĞERLENDİR"))</f>
        <v/>
      </c>
      <c r="Q973" s="124">
        <f>IF($B973="","",CONCATENATE("Kıymet: ",$B973," | Değer Artışı: ",TEXT($J973,"#,##0")))</f>
        <v/>
      </c>
    </row>
    <row r="974" ht="15.75" customHeight="1" s="81">
      <c r="A974" s="129" t="n"/>
      <c r="B974" s="130" t="n"/>
      <c r="C974" s="127" t="n"/>
      <c r="D974" s="127" t="n"/>
      <c r="E974" s="124">
        <f>IF($C974=0,0,$C974-$D974)</f>
        <v/>
      </c>
      <c r="F974" s="128" t="n"/>
      <c r="G974" s="129" t="n"/>
      <c r="H974" s="131" t="n"/>
      <c r="I974" s="124">
        <f>IF($E974=0,0,$E974*$H974)</f>
        <v/>
      </c>
      <c r="J974" s="124">
        <f>IF($I974=0,0,$I974-$E974)</f>
        <v/>
      </c>
      <c r="K974" s="124">
        <f>IF($J974=0,0,$J974*YenidegerFonOran)</f>
        <v/>
      </c>
      <c r="L974" s="124">
        <f>IF($G974=0,0,$J974/$G974)</f>
        <v/>
      </c>
      <c r="M974" s="124">
        <f>IF($L974=0,0,$L974*YenidegerKurumlarVergiOran)</f>
        <v/>
      </c>
      <c r="N974" s="124">
        <f>IFERROR(IF(YenidegerIskontoOrani=0,$M974*$G974,$M974*(1-1/(1+YenidegerIskontoOrani)^$G974)/YenidegerIskontoOrani),0)</f>
        <v/>
      </c>
      <c r="O974" s="124">
        <f>$N974-$K974</f>
        <v/>
      </c>
      <c r="P974" s="124">
        <f>IF($J974&lt;=0,"DEĞERLENDİR",IF($O974&gt;0,"YENİDEN DEĞERLE","DEĞERLENDİR"))</f>
        <v/>
      </c>
      <c r="Q974" s="124">
        <f>IF($B974="","",CONCATENATE("Kıymet: ",$B974," | Değer Artışı: ",TEXT($J974,"#,##0")))</f>
        <v/>
      </c>
    </row>
    <row r="975" ht="15.75" customHeight="1" s="81">
      <c r="A975" s="129" t="n"/>
      <c r="B975" s="130" t="n"/>
      <c r="C975" s="127" t="n"/>
      <c r="D975" s="127" t="n"/>
      <c r="E975" s="124">
        <f>IF($C975=0,0,$C975-$D975)</f>
        <v/>
      </c>
      <c r="F975" s="128" t="n"/>
      <c r="G975" s="129" t="n"/>
      <c r="H975" s="131" t="n"/>
      <c r="I975" s="124">
        <f>IF($E975=0,0,$E975*$H975)</f>
        <v/>
      </c>
      <c r="J975" s="124">
        <f>IF($I975=0,0,$I975-$E975)</f>
        <v/>
      </c>
      <c r="K975" s="124">
        <f>IF($J975=0,0,$J975*YenidegerFonOran)</f>
        <v/>
      </c>
      <c r="L975" s="124">
        <f>IF($G975=0,0,$J975/$G975)</f>
        <v/>
      </c>
      <c r="M975" s="124">
        <f>IF($L975=0,0,$L975*YenidegerKurumlarVergiOran)</f>
        <v/>
      </c>
      <c r="N975" s="124">
        <f>IFERROR(IF(YenidegerIskontoOrani=0,$M975*$G975,$M975*(1-1/(1+YenidegerIskontoOrani)^$G975)/YenidegerIskontoOrani),0)</f>
        <v/>
      </c>
      <c r="O975" s="124">
        <f>$N975-$K975</f>
        <v/>
      </c>
      <c r="P975" s="124">
        <f>IF($J975&lt;=0,"DEĞERLENDİR",IF($O975&gt;0,"YENİDEN DEĞERLE","DEĞERLENDİR"))</f>
        <v/>
      </c>
      <c r="Q975" s="124">
        <f>IF($B975="","",CONCATENATE("Kıymet: ",$B975," | Değer Artışı: ",TEXT($J975,"#,##0")))</f>
        <v/>
      </c>
    </row>
    <row r="976" ht="15.75" customHeight="1" s="81">
      <c r="A976" s="129" t="n"/>
      <c r="B976" s="130" t="n"/>
      <c r="C976" s="127" t="n"/>
      <c r="D976" s="127" t="n"/>
      <c r="E976" s="124">
        <f>IF($C976=0,0,$C976-$D976)</f>
        <v/>
      </c>
      <c r="F976" s="128" t="n"/>
      <c r="G976" s="129" t="n"/>
      <c r="H976" s="131" t="n"/>
      <c r="I976" s="124">
        <f>IF($E976=0,0,$E976*$H976)</f>
        <v/>
      </c>
      <c r="J976" s="124">
        <f>IF($I976=0,0,$I976-$E976)</f>
        <v/>
      </c>
      <c r="K976" s="124">
        <f>IF($J976=0,0,$J976*YenidegerFonOran)</f>
        <v/>
      </c>
      <c r="L976" s="124">
        <f>IF($G976=0,0,$J976/$G976)</f>
        <v/>
      </c>
      <c r="M976" s="124">
        <f>IF($L976=0,0,$L976*YenidegerKurumlarVergiOran)</f>
        <v/>
      </c>
      <c r="N976" s="124">
        <f>IFERROR(IF(YenidegerIskontoOrani=0,$M976*$G976,$M976*(1-1/(1+YenidegerIskontoOrani)^$G976)/YenidegerIskontoOrani),0)</f>
        <v/>
      </c>
      <c r="O976" s="124">
        <f>$N976-$K976</f>
        <v/>
      </c>
      <c r="P976" s="124">
        <f>IF($J976&lt;=0,"DEĞERLENDİR",IF($O976&gt;0,"YENİDEN DEĞERLE","DEĞERLENDİR"))</f>
        <v/>
      </c>
      <c r="Q976" s="124">
        <f>IF($B976="","",CONCATENATE("Kıymet: ",$B976," | Değer Artışı: ",TEXT($J976,"#,##0")))</f>
        <v/>
      </c>
    </row>
    <row r="977" ht="15.75" customHeight="1" s="81">
      <c r="A977" s="129" t="n"/>
      <c r="B977" s="130" t="n"/>
      <c r="C977" s="127" t="n"/>
      <c r="D977" s="127" t="n"/>
      <c r="E977" s="124">
        <f>IF($C977=0,0,$C977-$D977)</f>
        <v/>
      </c>
      <c r="F977" s="128" t="n"/>
      <c r="G977" s="129" t="n"/>
      <c r="H977" s="131" t="n"/>
      <c r="I977" s="124">
        <f>IF($E977=0,0,$E977*$H977)</f>
        <v/>
      </c>
      <c r="J977" s="124">
        <f>IF($I977=0,0,$I977-$E977)</f>
        <v/>
      </c>
      <c r="K977" s="124">
        <f>IF($J977=0,0,$J977*YenidegerFonOran)</f>
        <v/>
      </c>
      <c r="L977" s="124">
        <f>IF($G977=0,0,$J977/$G977)</f>
        <v/>
      </c>
      <c r="M977" s="124">
        <f>IF($L977=0,0,$L977*YenidegerKurumlarVergiOran)</f>
        <v/>
      </c>
      <c r="N977" s="124">
        <f>IFERROR(IF(YenidegerIskontoOrani=0,$M977*$G977,$M977*(1-1/(1+YenidegerIskontoOrani)^$G977)/YenidegerIskontoOrani),0)</f>
        <v/>
      </c>
      <c r="O977" s="124">
        <f>$N977-$K977</f>
        <v/>
      </c>
      <c r="P977" s="124">
        <f>IF($J977&lt;=0,"DEĞERLENDİR",IF($O977&gt;0,"YENİDEN DEĞERLE","DEĞERLENDİR"))</f>
        <v/>
      </c>
      <c r="Q977" s="124">
        <f>IF($B977="","",CONCATENATE("Kıymet: ",$B977," | Değer Artışı: ",TEXT($J977,"#,##0")))</f>
        <v/>
      </c>
    </row>
    <row r="978" ht="15.75" customHeight="1" s="81">
      <c r="A978" s="129" t="n"/>
      <c r="B978" s="130" t="n"/>
      <c r="C978" s="127" t="n"/>
      <c r="D978" s="127" t="n"/>
      <c r="E978" s="124">
        <f>IF($C978=0,0,$C978-$D978)</f>
        <v/>
      </c>
      <c r="F978" s="128" t="n"/>
      <c r="G978" s="129" t="n"/>
      <c r="H978" s="131" t="n"/>
      <c r="I978" s="124">
        <f>IF($E978=0,0,$E978*$H978)</f>
        <v/>
      </c>
      <c r="J978" s="124">
        <f>IF($I978=0,0,$I978-$E978)</f>
        <v/>
      </c>
      <c r="K978" s="124">
        <f>IF($J978=0,0,$J978*YenidegerFonOran)</f>
        <v/>
      </c>
      <c r="L978" s="124">
        <f>IF($G978=0,0,$J978/$G978)</f>
        <v/>
      </c>
      <c r="M978" s="124">
        <f>IF($L978=0,0,$L978*YenidegerKurumlarVergiOran)</f>
        <v/>
      </c>
      <c r="N978" s="124">
        <f>IFERROR(IF(YenidegerIskontoOrani=0,$M978*$G978,$M978*(1-1/(1+YenidegerIskontoOrani)^$G978)/YenidegerIskontoOrani),0)</f>
        <v/>
      </c>
      <c r="O978" s="124">
        <f>$N978-$K978</f>
        <v/>
      </c>
      <c r="P978" s="124">
        <f>IF($J978&lt;=0,"DEĞERLENDİR",IF($O978&gt;0,"YENİDEN DEĞERLE","DEĞERLENDİR"))</f>
        <v/>
      </c>
      <c r="Q978" s="124">
        <f>IF($B978="","",CONCATENATE("Kıymet: ",$B978," | Değer Artışı: ",TEXT($J978,"#,##0")))</f>
        <v/>
      </c>
    </row>
    <row r="979" ht="15.75" customHeight="1" s="81">
      <c r="A979" s="129" t="n"/>
      <c r="B979" s="130" t="n"/>
      <c r="C979" s="127" t="n"/>
      <c r="D979" s="127" t="n"/>
      <c r="E979" s="124">
        <f>IF($C979=0,0,$C979-$D979)</f>
        <v/>
      </c>
      <c r="F979" s="128" t="n"/>
      <c r="G979" s="129" t="n"/>
      <c r="H979" s="131" t="n"/>
      <c r="I979" s="124">
        <f>IF($E979=0,0,$E979*$H979)</f>
        <v/>
      </c>
      <c r="J979" s="124">
        <f>IF($I979=0,0,$I979-$E979)</f>
        <v/>
      </c>
      <c r="K979" s="124">
        <f>IF($J979=0,0,$J979*YenidegerFonOran)</f>
        <v/>
      </c>
      <c r="L979" s="124">
        <f>IF($G979=0,0,$J979/$G979)</f>
        <v/>
      </c>
      <c r="M979" s="124">
        <f>IF($L979=0,0,$L979*YenidegerKurumlarVergiOran)</f>
        <v/>
      </c>
      <c r="N979" s="124">
        <f>IFERROR(IF(YenidegerIskontoOrani=0,$M979*$G979,$M979*(1-1/(1+YenidegerIskontoOrani)^$G979)/YenidegerIskontoOrani),0)</f>
        <v/>
      </c>
      <c r="O979" s="124">
        <f>$N979-$K979</f>
        <v/>
      </c>
      <c r="P979" s="124">
        <f>IF($J979&lt;=0,"DEĞERLENDİR",IF($O979&gt;0,"YENİDEN DEĞERLE","DEĞERLENDİR"))</f>
        <v/>
      </c>
      <c r="Q979" s="124">
        <f>IF($B979="","",CONCATENATE("Kıymet: ",$B979," | Değer Artışı: ",TEXT($J979,"#,##0")))</f>
        <v/>
      </c>
    </row>
    <row r="980" ht="15.75" customHeight="1" s="81">
      <c r="A980" s="129" t="n"/>
      <c r="B980" s="130" t="n"/>
      <c r="C980" s="127" t="n"/>
      <c r="D980" s="127" t="n"/>
      <c r="E980" s="124">
        <f>IF($C980=0,0,$C980-$D980)</f>
        <v/>
      </c>
      <c r="F980" s="128" t="n"/>
      <c r="G980" s="129" t="n"/>
      <c r="H980" s="131" t="n"/>
      <c r="I980" s="124">
        <f>IF($E980=0,0,$E980*$H980)</f>
        <v/>
      </c>
      <c r="J980" s="124">
        <f>IF($I980=0,0,$I980-$E980)</f>
        <v/>
      </c>
      <c r="K980" s="124">
        <f>IF($J980=0,0,$J980*YenidegerFonOran)</f>
        <v/>
      </c>
      <c r="L980" s="124">
        <f>IF($G980=0,0,$J980/$G980)</f>
        <v/>
      </c>
      <c r="M980" s="124">
        <f>IF($L980=0,0,$L980*YenidegerKurumlarVergiOran)</f>
        <v/>
      </c>
      <c r="N980" s="124">
        <f>IFERROR(IF(YenidegerIskontoOrani=0,$M980*$G980,$M980*(1-1/(1+YenidegerIskontoOrani)^$G980)/YenidegerIskontoOrani),0)</f>
        <v/>
      </c>
      <c r="O980" s="124">
        <f>$N980-$K980</f>
        <v/>
      </c>
      <c r="P980" s="124">
        <f>IF($J980&lt;=0,"DEĞERLENDİR",IF($O980&gt;0,"YENİDEN DEĞERLE","DEĞERLENDİR"))</f>
        <v/>
      </c>
      <c r="Q980" s="124">
        <f>IF($B980="","",CONCATENATE("Kıymet: ",$B980," | Değer Artışı: ",TEXT($J980,"#,##0")))</f>
        <v/>
      </c>
    </row>
    <row r="981" ht="15.75" customHeight="1" s="81">
      <c r="A981" s="129" t="n"/>
      <c r="B981" s="130" t="n"/>
      <c r="C981" s="127" t="n"/>
      <c r="D981" s="127" t="n"/>
      <c r="E981" s="124">
        <f>IF($C981=0,0,$C981-$D981)</f>
        <v/>
      </c>
      <c r="F981" s="128" t="n"/>
      <c r="G981" s="129" t="n"/>
      <c r="H981" s="131" t="n"/>
      <c r="I981" s="124">
        <f>IF($E981=0,0,$E981*$H981)</f>
        <v/>
      </c>
      <c r="J981" s="124">
        <f>IF($I981=0,0,$I981-$E981)</f>
        <v/>
      </c>
      <c r="K981" s="124">
        <f>IF($J981=0,0,$J981*YenidegerFonOran)</f>
        <v/>
      </c>
      <c r="L981" s="124">
        <f>IF($G981=0,0,$J981/$G981)</f>
        <v/>
      </c>
      <c r="M981" s="124">
        <f>IF($L981=0,0,$L981*YenidegerKurumlarVergiOran)</f>
        <v/>
      </c>
      <c r="N981" s="124">
        <f>IFERROR(IF(YenidegerIskontoOrani=0,$M981*$G981,$M981*(1-1/(1+YenidegerIskontoOrani)^$G981)/YenidegerIskontoOrani),0)</f>
        <v/>
      </c>
      <c r="O981" s="124">
        <f>$N981-$K981</f>
        <v/>
      </c>
      <c r="P981" s="124">
        <f>IF($J981&lt;=0,"DEĞERLENDİR",IF($O981&gt;0,"YENİDEN DEĞERLE","DEĞERLENDİR"))</f>
        <v/>
      </c>
      <c r="Q981" s="124">
        <f>IF($B981="","",CONCATENATE("Kıymet: ",$B981," | Değer Artışı: ",TEXT($J981,"#,##0")))</f>
        <v/>
      </c>
    </row>
    <row r="982" ht="15.75" customHeight="1" s="81">
      <c r="A982" s="129" t="n"/>
      <c r="B982" s="130" t="n"/>
      <c r="C982" s="127" t="n"/>
      <c r="D982" s="127" t="n"/>
      <c r="E982" s="124">
        <f>IF($C982=0,0,$C982-$D982)</f>
        <v/>
      </c>
      <c r="F982" s="128" t="n"/>
      <c r="G982" s="129" t="n"/>
      <c r="H982" s="131" t="n"/>
      <c r="I982" s="124">
        <f>IF($E982=0,0,$E982*$H982)</f>
        <v/>
      </c>
      <c r="J982" s="124">
        <f>IF($I982=0,0,$I982-$E982)</f>
        <v/>
      </c>
      <c r="K982" s="124">
        <f>IF($J982=0,0,$J982*YenidegerFonOran)</f>
        <v/>
      </c>
      <c r="L982" s="124">
        <f>IF($G982=0,0,$J982/$G982)</f>
        <v/>
      </c>
      <c r="M982" s="124">
        <f>IF($L982=0,0,$L982*YenidegerKurumlarVergiOran)</f>
        <v/>
      </c>
      <c r="N982" s="124">
        <f>IFERROR(IF(YenidegerIskontoOrani=0,$M982*$G982,$M982*(1-1/(1+YenidegerIskontoOrani)^$G982)/YenidegerIskontoOrani),0)</f>
        <v/>
      </c>
      <c r="O982" s="124">
        <f>$N982-$K982</f>
        <v/>
      </c>
      <c r="P982" s="124">
        <f>IF($J982&lt;=0,"DEĞERLENDİR",IF($O982&gt;0,"YENİDEN DEĞERLE","DEĞERLENDİR"))</f>
        <v/>
      </c>
      <c r="Q982" s="124">
        <f>IF($B982="","",CONCATENATE("Kıymet: ",$B982," | Değer Artışı: ",TEXT($J982,"#,##0")))</f>
        <v/>
      </c>
    </row>
    <row r="983" ht="15.75" customHeight="1" s="81">
      <c r="A983" s="129" t="n"/>
      <c r="B983" s="130" t="n"/>
      <c r="C983" s="127" t="n"/>
      <c r="D983" s="127" t="n"/>
      <c r="E983" s="124">
        <f>IF($C983=0,0,$C983-$D983)</f>
        <v/>
      </c>
      <c r="F983" s="128" t="n"/>
      <c r="G983" s="129" t="n"/>
      <c r="H983" s="131" t="n"/>
      <c r="I983" s="124">
        <f>IF($E983=0,0,$E983*$H983)</f>
        <v/>
      </c>
      <c r="J983" s="124">
        <f>IF($I983=0,0,$I983-$E983)</f>
        <v/>
      </c>
      <c r="K983" s="124">
        <f>IF($J983=0,0,$J983*YenidegerFonOran)</f>
        <v/>
      </c>
      <c r="L983" s="124">
        <f>IF($G983=0,0,$J983/$G983)</f>
        <v/>
      </c>
      <c r="M983" s="124">
        <f>IF($L983=0,0,$L983*YenidegerKurumlarVergiOran)</f>
        <v/>
      </c>
      <c r="N983" s="124">
        <f>IFERROR(IF(YenidegerIskontoOrani=0,$M983*$G983,$M983*(1-1/(1+YenidegerIskontoOrani)^$G983)/YenidegerIskontoOrani),0)</f>
        <v/>
      </c>
      <c r="O983" s="124">
        <f>$N983-$K983</f>
        <v/>
      </c>
      <c r="P983" s="124">
        <f>IF($J983&lt;=0,"DEĞERLENDİR",IF($O983&gt;0,"YENİDEN DEĞERLE","DEĞERLENDİR"))</f>
        <v/>
      </c>
      <c r="Q983" s="124">
        <f>IF($B983="","",CONCATENATE("Kıymet: ",$B983," | Değer Artışı: ",TEXT($J983,"#,##0")))</f>
        <v/>
      </c>
    </row>
    <row r="984" ht="15.75" customHeight="1" s="81">
      <c r="A984" s="129" t="n"/>
      <c r="B984" s="130" t="n"/>
      <c r="C984" s="127" t="n"/>
      <c r="D984" s="127" t="n"/>
      <c r="E984" s="124">
        <f>IF($C984=0,0,$C984-$D984)</f>
        <v/>
      </c>
      <c r="F984" s="128" t="n"/>
      <c r="G984" s="129" t="n"/>
      <c r="H984" s="131" t="n"/>
      <c r="I984" s="124">
        <f>IF($E984=0,0,$E984*$H984)</f>
        <v/>
      </c>
      <c r="J984" s="124">
        <f>IF($I984=0,0,$I984-$E984)</f>
        <v/>
      </c>
      <c r="K984" s="124">
        <f>IF($J984=0,0,$J984*YenidegerFonOran)</f>
        <v/>
      </c>
      <c r="L984" s="124">
        <f>IF($G984=0,0,$J984/$G984)</f>
        <v/>
      </c>
      <c r="M984" s="124">
        <f>IF($L984=0,0,$L984*YenidegerKurumlarVergiOran)</f>
        <v/>
      </c>
      <c r="N984" s="124">
        <f>IFERROR(IF(YenidegerIskontoOrani=0,$M984*$G984,$M984*(1-1/(1+YenidegerIskontoOrani)^$G984)/YenidegerIskontoOrani),0)</f>
        <v/>
      </c>
      <c r="O984" s="124">
        <f>$N984-$K984</f>
        <v/>
      </c>
      <c r="P984" s="124">
        <f>IF($J984&lt;=0,"DEĞERLENDİR",IF($O984&gt;0,"YENİDEN DEĞERLE","DEĞERLENDİR"))</f>
        <v/>
      </c>
      <c r="Q984" s="124">
        <f>IF($B984="","",CONCATENATE("Kıymet: ",$B984," | Değer Artışı: ",TEXT($J984,"#,##0")))</f>
        <v/>
      </c>
    </row>
    <row r="985" ht="15.75" customHeight="1" s="81">
      <c r="A985" s="129" t="n"/>
      <c r="B985" s="130" t="n"/>
      <c r="C985" s="127" t="n"/>
      <c r="D985" s="127" t="n"/>
      <c r="E985" s="124">
        <f>IF($C985=0,0,$C985-$D985)</f>
        <v/>
      </c>
      <c r="F985" s="128" t="n"/>
      <c r="G985" s="129" t="n"/>
      <c r="H985" s="131" t="n"/>
      <c r="I985" s="124">
        <f>IF($E985=0,0,$E985*$H985)</f>
        <v/>
      </c>
      <c r="J985" s="124">
        <f>IF($I985=0,0,$I985-$E985)</f>
        <v/>
      </c>
      <c r="K985" s="124">
        <f>IF($J985=0,0,$J985*YenidegerFonOran)</f>
        <v/>
      </c>
      <c r="L985" s="124">
        <f>IF($G985=0,0,$J985/$G985)</f>
        <v/>
      </c>
      <c r="M985" s="124">
        <f>IF($L985=0,0,$L985*YenidegerKurumlarVergiOran)</f>
        <v/>
      </c>
      <c r="N985" s="124">
        <f>IFERROR(IF(YenidegerIskontoOrani=0,$M985*$G985,$M985*(1-1/(1+YenidegerIskontoOrani)^$G985)/YenidegerIskontoOrani),0)</f>
        <v/>
      </c>
      <c r="O985" s="124">
        <f>$N985-$K985</f>
        <v/>
      </c>
      <c r="P985" s="124">
        <f>IF($J985&lt;=0,"DEĞERLENDİR",IF($O985&gt;0,"YENİDEN DEĞERLE","DEĞERLENDİR"))</f>
        <v/>
      </c>
      <c r="Q985" s="124">
        <f>IF($B985="","",CONCATENATE("Kıymet: ",$B985," | Değer Artışı: ",TEXT($J985,"#,##0")))</f>
        <v/>
      </c>
    </row>
    <row r="986" ht="15.75" customHeight="1" s="81">
      <c r="A986" s="129" t="n"/>
      <c r="B986" s="130" t="n"/>
      <c r="C986" s="127" t="n"/>
      <c r="D986" s="127" t="n"/>
      <c r="E986" s="124">
        <f>IF($C986=0,0,$C986-$D986)</f>
        <v/>
      </c>
      <c r="F986" s="128" t="n"/>
      <c r="G986" s="129" t="n"/>
      <c r="H986" s="131" t="n"/>
      <c r="I986" s="124">
        <f>IF($E986=0,0,$E986*$H986)</f>
        <v/>
      </c>
      <c r="J986" s="124">
        <f>IF($I986=0,0,$I986-$E986)</f>
        <v/>
      </c>
      <c r="K986" s="124">
        <f>IF($J986=0,0,$J986*YenidegerFonOran)</f>
        <v/>
      </c>
      <c r="L986" s="124">
        <f>IF($G986=0,0,$J986/$G986)</f>
        <v/>
      </c>
      <c r="M986" s="124">
        <f>IF($L986=0,0,$L986*YenidegerKurumlarVergiOran)</f>
        <v/>
      </c>
      <c r="N986" s="124">
        <f>IFERROR(IF(YenidegerIskontoOrani=0,$M986*$G986,$M986*(1-1/(1+YenidegerIskontoOrani)^$G986)/YenidegerIskontoOrani),0)</f>
        <v/>
      </c>
      <c r="O986" s="124">
        <f>$N986-$K986</f>
        <v/>
      </c>
      <c r="P986" s="124">
        <f>IF($J986&lt;=0,"DEĞERLENDİR",IF($O986&gt;0,"YENİDEN DEĞERLE","DEĞERLENDİR"))</f>
        <v/>
      </c>
      <c r="Q986" s="124">
        <f>IF($B986="","",CONCATENATE("Kıymet: ",$B986," | Değer Artışı: ",TEXT($J986,"#,##0")))</f>
        <v/>
      </c>
    </row>
    <row r="987" ht="15.75" customHeight="1" s="81">
      <c r="A987" s="129" t="n"/>
      <c r="B987" s="130" t="n"/>
      <c r="C987" s="127" t="n"/>
      <c r="D987" s="127" t="n"/>
      <c r="E987" s="124">
        <f>IF($C987=0,0,$C987-$D987)</f>
        <v/>
      </c>
      <c r="F987" s="128" t="n"/>
      <c r="G987" s="129" t="n"/>
      <c r="H987" s="131" t="n"/>
      <c r="I987" s="124">
        <f>IF($E987=0,0,$E987*$H987)</f>
        <v/>
      </c>
      <c r="J987" s="124">
        <f>IF($I987=0,0,$I987-$E987)</f>
        <v/>
      </c>
      <c r="K987" s="124">
        <f>IF($J987=0,0,$J987*YenidegerFonOran)</f>
        <v/>
      </c>
      <c r="L987" s="124">
        <f>IF($G987=0,0,$J987/$G987)</f>
        <v/>
      </c>
      <c r="M987" s="124">
        <f>IF($L987=0,0,$L987*YenidegerKurumlarVergiOran)</f>
        <v/>
      </c>
      <c r="N987" s="124">
        <f>IFERROR(IF(YenidegerIskontoOrani=0,$M987*$G987,$M987*(1-1/(1+YenidegerIskontoOrani)^$G987)/YenidegerIskontoOrani),0)</f>
        <v/>
      </c>
      <c r="O987" s="124">
        <f>$N987-$K987</f>
        <v/>
      </c>
      <c r="P987" s="124">
        <f>IF($J987&lt;=0,"DEĞERLENDİR",IF($O987&gt;0,"YENİDEN DEĞERLE","DEĞERLENDİR"))</f>
        <v/>
      </c>
      <c r="Q987" s="124">
        <f>IF($B987="","",CONCATENATE("Kıymet: ",$B987," | Değer Artışı: ",TEXT($J987,"#,##0")))</f>
        <v/>
      </c>
    </row>
    <row r="988" ht="15.75" customHeight="1" s="81">
      <c r="A988" s="129" t="n"/>
      <c r="B988" s="130" t="n"/>
      <c r="C988" s="127" t="n"/>
      <c r="D988" s="127" t="n"/>
      <c r="E988" s="124">
        <f>IF($C988=0,0,$C988-$D988)</f>
        <v/>
      </c>
      <c r="F988" s="128" t="n"/>
      <c r="G988" s="129" t="n"/>
      <c r="H988" s="131" t="n"/>
      <c r="I988" s="124">
        <f>IF($E988=0,0,$E988*$H988)</f>
        <v/>
      </c>
      <c r="J988" s="124">
        <f>IF($I988=0,0,$I988-$E988)</f>
        <v/>
      </c>
      <c r="K988" s="124">
        <f>IF($J988=0,0,$J988*YenidegerFonOran)</f>
        <v/>
      </c>
      <c r="L988" s="124">
        <f>IF($G988=0,0,$J988/$G988)</f>
        <v/>
      </c>
      <c r="M988" s="124">
        <f>IF($L988=0,0,$L988*YenidegerKurumlarVergiOran)</f>
        <v/>
      </c>
      <c r="N988" s="124">
        <f>IFERROR(IF(YenidegerIskontoOrani=0,$M988*$G988,$M988*(1-1/(1+YenidegerIskontoOrani)^$G988)/YenidegerIskontoOrani),0)</f>
        <v/>
      </c>
      <c r="O988" s="124">
        <f>$N988-$K988</f>
        <v/>
      </c>
      <c r="P988" s="124">
        <f>IF($J988&lt;=0,"DEĞERLENDİR",IF($O988&gt;0,"YENİDEN DEĞERLE","DEĞERLENDİR"))</f>
        <v/>
      </c>
      <c r="Q988" s="124">
        <f>IF($B988="","",CONCATENATE("Kıymet: ",$B988," | Değer Artışı: ",TEXT($J988,"#,##0")))</f>
        <v/>
      </c>
    </row>
    <row r="989" ht="15.75" customHeight="1" s="81">
      <c r="A989" s="129" t="n"/>
      <c r="B989" s="130" t="n"/>
      <c r="C989" s="127" t="n"/>
      <c r="D989" s="127" t="n"/>
      <c r="E989" s="124">
        <f>IF($C989=0,0,$C989-$D989)</f>
        <v/>
      </c>
      <c r="F989" s="128" t="n"/>
      <c r="G989" s="129" t="n"/>
      <c r="H989" s="131" t="n"/>
      <c r="I989" s="124">
        <f>IF($E989=0,0,$E989*$H989)</f>
        <v/>
      </c>
      <c r="J989" s="124">
        <f>IF($I989=0,0,$I989-$E989)</f>
        <v/>
      </c>
      <c r="K989" s="124">
        <f>IF($J989=0,0,$J989*YenidegerFonOran)</f>
        <v/>
      </c>
      <c r="L989" s="124">
        <f>IF($G989=0,0,$J989/$G989)</f>
        <v/>
      </c>
      <c r="M989" s="124">
        <f>IF($L989=0,0,$L989*YenidegerKurumlarVergiOran)</f>
        <v/>
      </c>
      <c r="N989" s="124">
        <f>IFERROR(IF(YenidegerIskontoOrani=0,$M989*$G989,$M989*(1-1/(1+YenidegerIskontoOrani)^$G989)/YenidegerIskontoOrani),0)</f>
        <v/>
      </c>
      <c r="O989" s="124">
        <f>$N989-$K989</f>
        <v/>
      </c>
      <c r="P989" s="124">
        <f>IF($J989&lt;=0,"DEĞERLENDİR",IF($O989&gt;0,"YENİDEN DEĞERLE","DEĞERLENDİR"))</f>
        <v/>
      </c>
      <c r="Q989" s="124">
        <f>IF($B989="","",CONCATENATE("Kıymet: ",$B989," | Değer Artışı: ",TEXT($J989,"#,##0")))</f>
        <v/>
      </c>
    </row>
    <row r="990" ht="15.75" customHeight="1" s="81">
      <c r="A990" s="129" t="n"/>
      <c r="B990" s="130" t="n"/>
      <c r="C990" s="127" t="n"/>
      <c r="D990" s="127" t="n"/>
      <c r="E990" s="124">
        <f>IF($C990=0,0,$C990-$D990)</f>
        <v/>
      </c>
      <c r="F990" s="128" t="n"/>
      <c r="G990" s="129" t="n"/>
      <c r="H990" s="131" t="n"/>
      <c r="I990" s="124">
        <f>IF($E990=0,0,$E990*$H990)</f>
        <v/>
      </c>
      <c r="J990" s="124">
        <f>IF($I990=0,0,$I990-$E990)</f>
        <v/>
      </c>
      <c r="K990" s="124">
        <f>IF($J990=0,0,$J990*YenidegerFonOran)</f>
        <v/>
      </c>
      <c r="L990" s="124">
        <f>IF($G990=0,0,$J990/$G990)</f>
        <v/>
      </c>
      <c r="M990" s="124">
        <f>IF($L990=0,0,$L990*YenidegerKurumlarVergiOran)</f>
        <v/>
      </c>
      <c r="N990" s="124">
        <f>IFERROR(IF(YenidegerIskontoOrani=0,$M990*$G990,$M990*(1-1/(1+YenidegerIskontoOrani)^$G990)/YenidegerIskontoOrani),0)</f>
        <v/>
      </c>
      <c r="O990" s="124">
        <f>$N990-$K990</f>
        <v/>
      </c>
      <c r="P990" s="124">
        <f>IF($J990&lt;=0,"DEĞERLENDİR",IF($O990&gt;0,"YENİDEN DEĞERLE","DEĞERLENDİR"))</f>
        <v/>
      </c>
      <c r="Q990" s="124">
        <f>IF($B990="","",CONCATENATE("Kıymet: ",$B990," | Değer Artışı: ",TEXT($J990,"#,##0")))</f>
        <v/>
      </c>
    </row>
    <row r="991" ht="15.75" customHeight="1" s="81">
      <c r="A991" s="129" t="n"/>
      <c r="B991" s="130" t="n"/>
      <c r="C991" s="127" t="n"/>
      <c r="D991" s="127" t="n"/>
      <c r="E991" s="124">
        <f>IF($C991=0,0,$C991-$D991)</f>
        <v/>
      </c>
      <c r="F991" s="128" t="n"/>
      <c r="G991" s="129" t="n"/>
      <c r="H991" s="131" t="n"/>
      <c r="I991" s="124">
        <f>IF($E991=0,0,$E991*$H991)</f>
        <v/>
      </c>
      <c r="J991" s="124">
        <f>IF($I991=0,0,$I991-$E991)</f>
        <v/>
      </c>
      <c r="K991" s="124">
        <f>IF($J991=0,0,$J991*YenidegerFonOran)</f>
        <v/>
      </c>
      <c r="L991" s="124">
        <f>IF($G991=0,0,$J991/$G991)</f>
        <v/>
      </c>
      <c r="M991" s="124">
        <f>IF($L991=0,0,$L991*YenidegerKurumlarVergiOran)</f>
        <v/>
      </c>
      <c r="N991" s="124">
        <f>IFERROR(IF(YenidegerIskontoOrani=0,$M991*$G991,$M991*(1-1/(1+YenidegerIskontoOrani)^$G991)/YenidegerIskontoOrani),0)</f>
        <v/>
      </c>
      <c r="O991" s="124">
        <f>$N991-$K991</f>
        <v/>
      </c>
      <c r="P991" s="124">
        <f>IF($J991&lt;=0,"DEĞERLENDİR",IF($O991&gt;0,"YENİDEN DEĞERLE","DEĞERLENDİR"))</f>
        <v/>
      </c>
      <c r="Q991" s="124">
        <f>IF($B991="","",CONCATENATE("Kıymet: ",$B991," | Değer Artışı: ",TEXT($J991,"#,##0")))</f>
        <v/>
      </c>
    </row>
    <row r="992" ht="15.75" customHeight="1" s="81">
      <c r="A992" s="129" t="n"/>
      <c r="B992" s="130" t="n"/>
      <c r="C992" s="127" t="n"/>
      <c r="D992" s="127" t="n"/>
      <c r="E992" s="124">
        <f>IF($C992=0,0,$C992-$D992)</f>
        <v/>
      </c>
      <c r="F992" s="128" t="n"/>
      <c r="G992" s="129" t="n"/>
      <c r="H992" s="131" t="n"/>
      <c r="I992" s="124">
        <f>IF($E992=0,0,$E992*$H992)</f>
        <v/>
      </c>
      <c r="J992" s="124">
        <f>IF($I992=0,0,$I992-$E992)</f>
        <v/>
      </c>
      <c r="K992" s="124">
        <f>IF($J992=0,0,$J992*YenidegerFonOran)</f>
        <v/>
      </c>
      <c r="L992" s="124">
        <f>IF($G992=0,0,$J992/$G992)</f>
        <v/>
      </c>
      <c r="M992" s="124">
        <f>IF($L992=0,0,$L992*YenidegerKurumlarVergiOran)</f>
        <v/>
      </c>
      <c r="N992" s="124">
        <f>IFERROR(IF(YenidegerIskontoOrani=0,$M992*$G992,$M992*(1-1/(1+YenidegerIskontoOrani)^$G992)/YenidegerIskontoOrani),0)</f>
        <v/>
      </c>
      <c r="O992" s="124">
        <f>$N992-$K992</f>
        <v/>
      </c>
      <c r="P992" s="124">
        <f>IF($J992&lt;=0,"DEĞERLENDİR",IF($O992&gt;0,"YENİDEN DEĞERLE","DEĞERLENDİR"))</f>
        <v/>
      </c>
      <c r="Q992" s="124">
        <f>IF($B992="","",CONCATENATE("Kıymet: ",$B992," | Değer Artışı: ",TEXT($J992,"#,##0")))</f>
        <v/>
      </c>
    </row>
    <row r="993" ht="15.75" customHeight="1" s="81">
      <c r="A993" s="129" t="n"/>
      <c r="B993" s="130" t="n"/>
      <c r="C993" s="127" t="n"/>
      <c r="D993" s="127" t="n"/>
      <c r="E993" s="124">
        <f>IF($C993=0,0,$C993-$D993)</f>
        <v/>
      </c>
      <c r="F993" s="128" t="n"/>
      <c r="G993" s="129" t="n"/>
      <c r="H993" s="131" t="n"/>
      <c r="I993" s="124">
        <f>IF($E993=0,0,$E993*$H993)</f>
        <v/>
      </c>
      <c r="J993" s="124">
        <f>IF($I993=0,0,$I993-$E993)</f>
        <v/>
      </c>
      <c r="K993" s="124">
        <f>IF($J993=0,0,$J993*YenidegerFonOran)</f>
        <v/>
      </c>
      <c r="L993" s="124">
        <f>IF($G993=0,0,$J993/$G993)</f>
        <v/>
      </c>
      <c r="M993" s="124">
        <f>IF($L993=0,0,$L993*YenidegerKurumlarVergiOran)</f>
        <v/>
      </c>
      <c r="N993" s="124">
        <f>IFERROR(IF(YenidegerIskontoOrani=0,$M993*$G993,$M993*(1-1/(1+YenidegerIskontoOrani)^$G993)/YenidegerIskontoOrani),0)</f>
        <v/>
      </c>
      <c r="O993" s="124">
        <f>$N993-$K993</f>
        <v/>
      </c>
      <c r="P993" s="124">
        <f>IF($J993&lt;=0,"DEĞERLENDİR",IF($O993&gt;0,"YENİDEN DEĞERLE","DEĞERLENDİR"))</f>
        <v/>
      </c>
      <c r="Q993" s="124">
        <f>IF($B993="","",CONCATENATE("Kıymet: ",$B993," | Değer Artışı: ",TEXT($J993,"#,##0")))</f>
        <v/>
      </c>
    </row>
    <row r="994" ht="15.75" customHeight="1" s="81">
      <c r="A994" s="129" t="n"/>
      <c r="B994" s="130" t="n"/>
      <c r="C994" s="127" t="n"/>
      <c r="D994" s="127" t="n"/>
      <c r="E994" s="124">
        <f>IF($C994=0,0,$C994-$D994)</f>
        <v/>
      </c>
      <c r="F994" s="128" t="n"/>
      <c r="G994" s="129" t="n"/>
      <c r="H994" s="131" t="n"/>
      <c r="I994" s="124">
        <f>IF($E994=0,0,$E994*$H994)</f>
        <v/>
      </c>
      <c r="J994" s="124">
        <f>IF($I994=0,0,$I994-$E994)</f>
        <v/>
      </c>
      <c r="K994" s="124">
        <f>IF($J994=0,0,$J994*YenidegerFonOran)</f>
        <v/>
      </c>
      <c r="L994" s="124">
        <f>IF($G994=0,0,$J994/$G994)</f>
        <v/>
      </c>
      <c r="M994" s="124">
        <f>IF($L994=0,0,$L994*YenidegerKurumlarVergiOran)</f>
        <v/>
      </c>
      <c r="N994" s="124">
        <f>IFERROR(IF(YenidegerIskontoOrani=0,$M994*$G994,$M994*(1-1/(1+YenidegerIskontoOrani)^$G994)/YenidegerIskontoOrani),0)</f>
        <v/>
      </c>
      <c r="O994" s="124">
        <f>$N994-$K994</f>
        <v/>
      </c>
      <c r="P994" s="124">
        <f>IF($J994&lt;=0,"DEĞERLENDİR",IF($O994&gt;0,"YENİDEN DEĞERLE","DEĞERLENDİR"))</f>
        <v/>
      </c>
      <c r="Q994" s="124">
        <f>IF($B994="","",CONCATENATE("Kıymet: ",$B994," | Değer Artışı: ",TEXT($J994,"#,##0")))</f>
        <v/>
      </c>
    </row>
    <row r="995" ht="15.75" customHeight="1" s="81">
      <c r="A995" s="129" t="n"/>
      <c r="B995" s="130" t="n"/>
      <c r="C995" s="127" t="n"/>
      <c r="D995" s="127" t="n"/>
      <c r="E995" s="124">
        <f>IF($C995=0,0,$C995-$D995)</f>
        <v/>
      </c>
      <c r="F995" s="128" t="n"/>
      <c r="G995" s="129" t="n"/>
      <c r="H995" s="131" t="n"/>
      <c r="I995" s="124">
        <f>IF($E995=0,0,$E995*$H995)</f>
        <v/>
      </c>
      <c r="J995" s="124">
        <f>IF($I995=0,0,$I995-$E995)</f>
        <v/>
      </c>
      <c r="K995" s="124">
        <f>IF($J995=0,0,$J995*YenidegerFonOran)</f>
        <v/>
      </c>
      <c r="L995" s="124">
        <f>IF($G995=0,0,$J995/$G995)</f>
        <v/>
      </c>
      <c r="M995" s="124">
        <f>IF($L995=0,0,$L995*YenidegerKurumlarVergiOran)</f>
        <v/>
      </c>
      <c r="N995" s="124">
        <f>IFERROR(IF(YenidegerIskontoOrani=0,$M995*$G995,$M995*(1-1/(1+YenidegerIskontoOrani)^$G995)/YenidegerIskontoOrani),0)</f>
        <v/>
      </c>
      <c r="O995" s="124">
        <f>$N995-$K995</f>
        <v/>
      </c>
      <c r="P995" s="124">
        <f>IF($J995&lt;=0,"DEĞERLENDİR",IF($O995&gt;0,"YENİDEN DEĞERLE","DEĞERLENDİR"))</f>
        <v/>
      </c>
      <c r="Q995" s="124">
        <f>IF($B995="","",CONCATENATE("Kıymet: ",$B995," | Değer Artışı: ",TEXT($J995,"#,##0")))</f>
        <v/>
      </c>
    </row>
    <row r="996" ht="15.75" customHeight="1" s="81">
      <c r="A996" s="129" t="n"/>
      <c r="B996" s="130" t="n"/>
      <c r="C996" s="127" t="n"/>
      <c r="D996" s="127" t="n"/>
      <c r="E996" s="124">
        <f>IF($C996=0,0,$C996-$D996)</f>
        <v/>
      </c>
      <c r="F996" s="128" t="n"/>
      <c r="G996" s="129" t="n"/>
      <c r="H996" s="131" t="n"/>
      <c r="I996" s="124">
        <f>IF($E996=0,0,$E996*$H996)</f>
        <v/>
      </c>
      <c r="J996" s="124">
        <f>IF($I996=0,0,$I996-$E996)</f>
        <v/>
      </c>
      <c r="K996" s="124">
        <f>IF($J996=0,0,$J996*YenidegerFonOran)</f>
        <v/>
      </c>
      <c r="L996" s="124">
        <f>IF($G996=0,0,$J996/$G996)</f>
        <v/>
      </c>
      <c r="M996" s="124">
        <f>IF($L996=0,0,$L996*YenidegerKurumlarVergiOran)</f>
        <v/>
      </c>
      <c r="N996" s="124">
        <f>IFERROR(IF(YenidegerIskontoOrani=0,$M996*$G996,$M996*(1-1/(1+YenidegerIskontoOrani)^$G996)/YenidegerIskontoOrani),0)</f>
        <v/>
      </c>
      <c r="O996" s="124">
        <f>$N996-$K996</f>
        <v/>
      </c>
      <c r="P996" s="124">
        <f>IF($J996&lt;=0,"DEĞERLENDİR",IF($O996&gt;0,"YENİDEN DEĞERLE","DEĞERLENDİR"))</f>
        <v/>
      </c>
      <c r="Q996" s="124">
        <f>IF($B996="","",CONCATENATE("Kıymet: ",$B996," | Değer Artışı: ",TEXT($J996,"#,##0")))</f>
        <v/>
      </c>
    </row>
    <row r="997" ht="15.75" customHeight="1" s="81">
      <c r="A997" s="129" t="n"/>
      <c r="B997" s="130" t="n"/>
      <c r="C997" s="127" t="n"/>
      <c r="D997" s="127" t="n"/>
      <c r="E997" s="124">
        <f>IF($C997=0,0,$C997-$D997)</f>
        <v/>
      </c>
      <c r="F997" s="128" t="n"/>
      <c r="G997" s="129" t="n"/>
      <c r="H997" s="131" t="n"/>
      <c r="I997" s="124">
        <f>IF($E997=0,0,$E997*$H997)</f>
        <v/>
      </c>
      <c r="J997" s="124">
        <f>IF($I997=0,0,$I997-$E997)</f>
        <v/>
      </c>
      <c r="K997" s="124">
        <f>IF($J997=0,0,$J997*YenidegerFonOran)</f>
        <v/>
      </c>
      <c r="L997" s="124">
        <f>IF($G997=0,0,$J997/$G997)</f>
        <v/>
      </c>
      <c r="M997" s="124">
        <f>IF($L997=0,0,$L997*YenidegerKurumlarVergiOran)</f>
        <v/>
      </c>
      <c r="N997" s="124">
        <f>IFERROR(IF(YenidegerIskontoOrani=0,$M997*$G997,$M997*(1-1/(1+YenidegerIskontoOrani)^$G997)/YenidegerIskontoOrani),0)</f>
        <v/>
      </c>
      <c r="O997" s="124">
        <f>$N997-$K997</f>
        <v/>
      </c>
      <c r="P997" s="124">
        <f>IF($J997&lt;=0,"DEĞERLENDİR",IF($O997&gt;0,"YENİDEN DEĞERLE","DEĞERLENDİR"))</f>
        <v/>
      </c>
      <c r="Q997" s="124">
        <f>IF($B997="","",CONCATENATE("Kıymet: ",$B997," | Değer Artışı: ",TEXT($J997,"#,##0")))</f>
        <v/>
      </c>
    </row>
    <row r="998" ht="15.75" customHeight="1" s="81">
      <c r="A998" s="129" t="n"/>
      <c r="B998" s="130" t="n"/>
      <c r="C998" s="127" t="n"/>
      <c r="D998" s="127" t="n"/>
      <c r="E998" s="124">
        <f>IF($C998=0,0,$C998-$D998)</f>
        <v/>
      </c>
      <c r="F998" s="128" t="n"/>
      <c r="G998" s="129" t="n"/>
      <c r="H998" s="131" t="n"/>
      <c r="I998" s="124">
        <f>IF($E998=0,0,$E998*$H998)</f>
        <v/>
      </c>
      <c r="J998" s="124">
        <f>IF($I998=0,0,$I998-$E998)</f>
        <v/>
      </c>
      <c r="K998" s="124">
        <f>IF($J998=0,0,$J998*YenidegerFonOran)</f>
        <v/>
      </c>
      <c r="L998" s="124">
        <f>IF($G998=0,0,$J998/$G998)</f>
        <v/>
      </c>
      <c r="M998" s="124">
        <f>IF($L998=0,0,$L998*YenidegerKurumlarVergiOran)</f>
        <v/>
      </c>
      <c r="N998" s="124">
        <f>IFERROR(IF(YenidegerIskontoOrani=0,$M998*$G998,$M998*(1-1/(1+YenidegerIskontoOrani)^$G998)/YenidegerIskontoOrani),0)</f>
        <v/>
      </c>
      <c r="O998" s="124">
        <f>$N998-$K998</f>
        <v/>
      </c>
      <c r="P998" s="124">
        <f>IF($J998&lt;=0,"DEĞERLENDİR",IF($O998&gt;0,"YENİDEN DEĞERLE","DEĞERLENDİR"))</f>
        <v/>
      </c>
      <c r="Q998" s="124">
        <f>IF($B998="","",CONCATENATE("Kıymet: ",$B998," | Değer Artışı: ",TEXT($J998,"#,##0")))</f>
        <v/>
      </c>
    </row>
    <row r="999" ht="15.75" customHeight="1" s="81">
      <c r="A999" s="129" t="n"/>
      <c r="B999" s="130" t="n"/>
      <c r="C999" s="127" t="n"/>
      <c r="D999" s="127" t="n"/>
      <c r="E999" s="124">
        <f>IF($C999=0,0,$C999-$D999)</f>
        <v/>
      </c>
      <c r="F999" s="128" t="n"/>
      <c r="G999" s="129" t="n"/>
      <c r="H999" s="131" t="n"/>
      <c r="I999" s="124">
        <f>IF($E999=0,0,$E999*$H999)</f>
        <v/>
      </c>
      <c r="J999" s="124">
        <f>IF($I999=0,0,$I999-$E999)</f>
        <v/>
      </c>
      <c r="K999" s="124">
        <f>IF($J999=0,0,$J999*YenidegerFonOran)</f>
        <v/>
      </c>
      <c r="L999" s="124">
        <f>IF($G999=0,0,$J999/$G999)</f>
        <v/>
      </c>
      <c r="M999" s="124">
        <f>IF($L999=0,0,$L999*YenidegerKurumlarVergiOran)</f>
        <v/>
      </c>
      <c r="N999" s="124">
        <f>IFERROR(IF(YenidegerIskontoOrani=0,$M999*$G999,$M999*(1-1/(1+YenidegerIskontoOrani)^$G999)/YenidegerIskontoOrani),0)</f>
        <v/>
      </c>
      <c r="O999" s="124">
        <f>$N999-$K999</f>
        <v/>
      </c>
      <c r="P999" s="124">
        <f>IF($J999&lt;=0,"DEĞERLENDİR",IF($O999&gt;0,"YENİDEN DEĞERLE","DEĞERLENDİR"))</f>
        <v/>
      </c>
      <c r="Q999" s="124">
        <f>IF($B999="","",CONCATENATE("Kıymet: ",$B999," | Değer Artışı: ",TEXT($J999,"#,##0")))</f>
        <v/>
      </c>
    </row>
    <row r="1000" ht="15.75" customHeight="1" s="81">
      <c r="A1000" s="129" t="n"/>
      <c r="B1000" s="130" t="n"/>
      <c r="C1000" s="127" t="n"/>
      <c r="D1000" s="127" t="n"/>
      <c r="E1000" s="124">
        <f>IF($C1000=0,0,$C1000-$D1000)</f>
        <v/>
      </c>
      <c r="F1000" s="128" t="n"/>
      <c r="G1000" s="129" t="n"/>
      <c r="H1000" s="131" t="n"/>
      <c r="I1000" s="124">
        <f>IF($E1000=0,0,$E1000*$H1000)</f>
        <v/>
      </c>
      <c r="J1000" s="124">
        <f>IF($I1000=0,0,$I1000-$E1000)</f>
        <v/>
      </c>
      <c r="K1000" s="124">
        <f>IF($J1000=0,0,$J1000*YenidegerFonOran)</f>
        <v/>
      </c>
      <c r="L1000" s="124">
        <f>IF($G1000=0,0,$J1000/$G1000)</f>
        <v/>
      </c>
      <c r="M1000" s="124">
        <f>IF($L1000=0,0,$L1000*YenidegerKurumlarVergiOran)</f>
        <v/>
      </c>
      <c r="N1000" s="124">
        <f>IFERROR(IF(YenidegerIskontoOrani=0,$M1000*$G1000,$M1000*(1-1/(1+YenidegerIskontoOrani)^$G1000)/YenidegerIskontoOrani),0)</f>
        <v/>
      </c>
      <c r="O1000" s="124">
        <f>$N1000-$K1000</f>
        <v/>
      </c>
      <c r="P1000" s="124">
        <f>IF($J1000&lt;=0,"DEĞERLENDİR",IF($O1000&gt;0,"YENİDEN DEĞERLE","DEĞERLENDİR"))</f>
        <v/>
      </c>
      <c r="Q1000" s="124">
        <f>IF($B1000="","",CONCATENATE("Kıymet: ",$B1000," | Değer Artışı: ",TEXT($J1000,"#,##0")))</f>
        <v/>
      </c>
    </row>
    <row r="1001" ht="15.75" customHeight="1" s="81">
      <c r="A1001" s="129" t="n"/>
      <c r="B1001" s="130" t="n"/>
      <c r="C1001" s="127" t="n"/>
      <c r="D1001" s="127" t="n"/>
      <c r="E1001" s="124">
        <f>IF($C1001=0,0,$C1001-$D1001)</f>
        <v/>
      </c>
      <c r="F1001" s="128" t="n"/>
      <c r="G1001" s="129" t="n"/>
      <c r="H1001" s="131" t="n"/>
      <c r="I1001" s="124">
        <f>IF($E1001=0,0,$E1001*$H1001)</f>
        <v/>
      </c>
      <c r="J1001" s="124">
        <f>IF($I1001=0,0,$I1001-$E1001)</f>
        <v/>
      </c>
      <c r="K1001" s="124">
        <f>IF($J1001=0,0,$J1001*YenidegerFonOran)</f>
        <v/>
      </c>
      <c r="L1001" s="124">
        <f>IF($G1001=0,0,$J1001/$G1001)</f>
        <v/>
      </c>
      <c r="M1001" s="124">
        <f>IF($L1001=0,0,$L1001*YenidegerKurumlarVergiOran)</f>
        <v/>
      </c>
      <c r="N1001" s="124">
        <f>IFERROR(IF(YenidegerIskontoOrani=0,$M1001*$G1001,$M1001*(1-1/(1+YenidegerIskontoOrani)^$G1001)/YenidegerIskontoOrani),0)</f>
        <v/>
      </c>
      <c r="O1001" s="124">
        <f>$N1001-$K1001</f>
        <v/>
      </c>
      <c r="P1001" s="124">
        <f>IF($J1001&lt;=0,"DEĞERLENDİR",IF($O1001&gt;0,"YENİDEN DEĞERLE","DEĞERLENDİR"))</f>
        <v/>
      </c>
      <c r="Q1001" s="124">
        <f>IF($B1001="","",CONCATENATE("Kıymet: ",$B1001," | Değer Artışı: ",TEXT($J1001,"#,##0")))</f>
        <v/>
      </c>
    </row>
    <row r="1002" ht="15.75" customHeight="1" s="81">
      <c r="A1002" s="129" t="n"/>
      <c r="B1002" s="130" t="n"/>
      <c r="C1002" s="127" t="n"/>
      <c r="D1002" s="127" t="n"/>
      <c r="E1002" s="124">
        <f>IF($C1002=0,0,$C1002-$D1002)</f>
        <v/>
      </c>
      <c r="F1002" s="128" t="n"/>
      <c r="G1002" s="129" t="n"/>
      <c r="H1002" s="131" t="n"/>
      <c r="I1002" s="124">
        <f>IF($E1002=0,0,$E1002*$H1002)</f>
        <v/>
      </c>
      <c r="J1002" s="124">
        <f>IF($I1002=0,0,$I1002-$E1002)</f>
        <v/>
      </c>
      <c r="K1002" s="124">
        <f>IF($J1002=0,0,$J1002*YenidegerFonOran)</f>
        <v/>
      </c>
      <c r="L1002" s="124">
        <f>IF($G1002=0,0,$J1002/$G1002)</f>
        <v/>
      </c>
      <c r="M1002" s="124">
        <f>IF($L1002=0,0,$L1002*YenidegerKurumlarVergiOran)</f>
        <v/>
      </c>
      <c r="N1002" s="124">
        <f>IFERROR(IF(YenidegerIskontoOrani=0,$M1002*$G1002,$M1002*(1-1/(1+YenidegerIskontoOrani)^$G1002)/YenidegerIskontoOrani),0)</f>
        <v/>
      </c>
      <c r="O1002" s="124">
        <f>$N1002-$K1002</f>
        <v/>
      </c>
      <c r="P1002" s="124">
        <f>IF($J1002&lt;=0,"DEĞERLENDİR",IF($O1002&gt;0,"YENİDEN DEĞERLE","DEĞERLENDİR"))</f>
        <v/>
      </c>
      <c r="Q1002" s="124">
        <f>IF($B1002="","",CONCATENATE("Kıymet: ",$B1002," | Değer Artışı: ",TEXT($J1002,"#,##0")))</f>
        <v/>
      </c>
    </row>
    <row r="1003" ht="15.75" customHeight="1" s="81">
      <c r="A1003" s="129" t="n"/>
      <c r="B1003" s="130" t="n"/>
      <c r="C1003" s="127" t="n"/>
      <c r="D1003" s="127" t="n"/>
      <c r="E1003" s="124">
        <f>IF($C1003=0,0,$C1003-$D1003)</f>
        <v/>
      </c>
      <c r="F1003" s="128" t="n"/>
      <c r="G1003" s="129" t="n"/>
      <c r="H1003" s="131" t="n"/>
      <c r="I1003" s="124">
        <f>IF($E1003=0,0,$E1003*$H1003)</f>
        <v/>
      </c>
      <c r="J1003" s="124">
        <f>IF($I1003=0,0,$I1003-$E1003)</f>
        <v/>
      </c>
      <c r="K1003" s="124">
        <f>IF($J1003=0,0,$J1003*YenidegerFonOran)</f>
        <v/>
      </c>
      <c r="L1003" s="124">
        <f>IF($G1003=0,0,$J1003/$G1003)</f>
        <v/>
      </c>
      <c r="M1003" s="124">
        <f>IF($L1003=0,0,$L1003*YenidegerKurumlarVergiOran)</f>
        <v/>
      </c>
      <c r="N1003" s="124">
        <f>IFERROR(IF(YenidegerIskontoOrani=0,$M1003*$G1003,$M1003*(1-1/(1+YenidegerIskontoOrani)^$G1003)/YenidegerIskontoOrani),0)</f>
        <v/>
      </c>
      <c r="O1003" s="124">
        <f>$N1003-$K1003</f>
        <v/>
      </c>
      <c r="P1003" s="124">
        <f>IF($J1003&lt;=0,"DEĞERLENDİR",IF($O1003&gt;0,"YENİDEN DEĞERLE","DEĞERLENDİR"))</f>
        <v/>
      </c>
      <c r="Q1003" s="124">
        <f>IF($B1003="","",CONCATENATE("Kıymet: ",$B1003," | Değer Artışı: ",TEXT($J1003,"#,##0")))</f>
        <v/>
      </c>
    </row>
    <row r="1004" ht="15.75" customHeight="1" s="81">
      <c r="A1004" s="130" t="n"/>
      <c r="B1004" s="130" t="n"/>
      <c r="C1004" s="130" t="n"/>
      <c r="D1004" s="130" t="n"/>
      <c r="E1004" s="124">
        <f>IF($C1004=0,0,$C1004-$D1004)</f>
        <v/>
      </c>
      <c r="F1004" s="130" t="n"/>
      <c r="G1004" s="130" t="n"/>
      <c r="H1004" s="130" t="n"/>
      <c r="I1004" s="124">
        <f>IF($E1004=0,0,$E1004*$H1004)</f>
        <v/>
      </c>
      <c r="J1004" s="124">
        <f>IF($I1004=0,0,$I1004-$E1004)</f>
        <v/>
      </c>
      <c r="K1004" s="124">
        <f>IF($J1004=0,0,$J1004*YenidegerFonOran)</f>
        <v/>
      </c>
      <c r="L1004" s="124">
        <f>IF($G1004=0,0,$J1004/$G1004)</f>
        <v/>
      </c>
      <c r="M1004" s="124">
        <f>IF($L1004=0,0,$L1004*YenidegerKurumlarVergiOran)</f>
        <v/>
      </c>
      <c r="N1004" s="124">
        <f>IFERROR(IF(YenidegerIskontoOrani=0,$M1004*$G1004,$M1004*(1-1/(1+YenidegerIskontoOrani)^$G1004)/YenidegerIskontoOrani),0)</f>
        <v/>
      </c>
      <c r="O1004" s="124">
        <f>$N1004-$K1004</f>
        <v/>
      </c>
      <c r="P1004" s="124">
        <f>IF($J1004&lt;=0,"DEĞERLENDİR",IF($O1004&gt;0,"YENİDEN DEĞERLE","DEĞERLENDİR"))</f>
        <v/>
      </c>
      <c r="Q1004" s="124">
        <f>IF($B1004="","",CONCATENATE("Kıymet: ",$B1004," | Değer Artışı: ",TEXT($J1004,"#,##0")))</f>
        <v/>
      </c>
    </row>
    <row r="1006" ht="19.5" customHeight="1" s="81">
      <c r="A1006" s="132" t="inlineStr">
        <is>
          <t>Sarı hücreler manuel giriştir; formül hücreleri kilitli ve korumalıdır.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06:AN1006"/>
    <mergeCell ref="A1:AD1"/>
  </mergeCells>
  <conditionalFormatting sqref="C6:C1004">
    <cfRule type="cellIs" rank="0" priority="2" equalAverage="0" operator="lessThan" aboveAverage="0" dxfId="9" text="" percent="0" bottom="0">
      <formula>0</formula>
    </cfRule>
  </conditionalFormatting>
  <conditionalFormatting sqref="D6:D1004">
    <cfRule type="cellIs" rank="0" priority="3" equalAverage="0" operator="lessThan" aboveAverage="0" dxfId="9" text="" percent="0" bottom="0">
      <formula>0</formula>
    </cfRule>
  </conditionalFormatting>
  <conditionalFormatting sqref="E6:E1004">
    <cfRule type="cellIs" rank="0" priority="4" equalAverage="0" operator="lessThan" aboveAverage="0" dxfId="9" text="" percent="0" bottom="0">
      <formula>0</formula>
    </cfRule>
  </conditionalFormatting>
  <conditionalFormatting sqref="J6:J1004">
    <cfRule type="cellIs" rank="0" priority="5" equalAverage="0" operator="lessThan" aboveAverage="0" dxfId="9" text="" percent="0" bottom="0">
      <formula>0</formula>
    </cfRule>
  </conditionalFormatting>
  <conditionalFormatting sqref="G6:G1004">
    <cfRule type="cellIs" rank="0" priority="6" equalAverage="0" operator="lessThan" aboveAverage="0" dxfId="9" text="" percent="0" bottom="0">
      <formula>0</formula>
    </cfRule>
  </conditionalFormatting>
  <conditionalFormatting sqref="H6:H1004">
    <cfRule type="cellIs" rank="0" priority="7" equalAverage="0" operator="lessThan" aboveAverage="0" dxfId="10" text="" percent="0" bottom="0">
      <formula>1</formula>
    </cfRule>
  </conditionalFormatting>
  <conditionalFormatting sqref="O6:O1004">
    <cfRule type="cellIs" rank="0" priority="8" equalAverage="0" operator="greaterThan" aboveAverage="0" dxfId="11" text="" percent="0" bottom="0">
      <formula>0</formula>
    </cfRule>
    <cfRule type="cellIs" rank="0" priority="9" equalAverage="0" operator="lessThan" aboveAverage="0" dxfId="9" text="" percent="0" bottom="0">
      <formula>0</formula>
    </cfRule>
  </conditionalFormatting>
  <conditionalFormatting sqref="K6:K1004">
    <cfRule type="cellIs" rank="0" priority="10" equalAverage="0" operator="greaterThan" aboveAverage="0" dxfId="10" text="" percent="0" bottom="0">
      <formula>0</formula>
    </cfRule>
  </conditionalFormatting>
  <conditionalFormatting sqref="P6:P1004">
    <cfRule type="cellIs" rank="0" priority="11" equalAverage="0" operator="equal" aboveAverage="0" dxfId="11" text="" percent="0" bottom="0">
      <formula>"YENİDEN DEĞERLE"</formula>
    </cfRule>
    <cfRule type="cellIs" rank="0" priority="12" equalAverage="0" operator="equal" aboveAverage="0" dxfId="10" text="" percent="0" bottom="0">
      <formula>"DEĞERLENDİR"</formula>
    </cfRule>
  </conditionalFormatting>
  <dataValidations count="7">
    <dataValidation sqref="B6:B1004" showDropDown="0" showInputMessage="1" showErrorMessage="1" allowBlank="1" errorTitle="Geçersiz tür" error="Listede olmayan tür giremezsiniz." promptTitle="Kıymet Türü" prompt="Listeden bir kıymet türü seçin." type="list" errorStyle="stop" operator="between">
      <formula1>ListeKiyametTurleri</formula1>
      <formula2>0</formula2>
    </dataValidation>
    <dataValidation sqref="A6:A1004" showDropDown="0" showInputMessage="1" showErrorMessage="1" allowBlank="1" errorTitle="Geçersiz sıra" error="Sıra 1 ile 99999 arasında olmalı." promptTitle="Kayıt Sırası" prompt="1 ile 99999 arasında sıra numarası girin." type="whole" errorStyle="stop" operator="between">
      <formula1>1</formula1>
      <formula2>99999</formula2>
    </dataValidation>
    <dataValidation sqref="C6:C1004" showDropDown="0" showInputMessage="1" showErrorMessage="1" allowBlank="1" errorTitle="Geçersiz değer" error="0 ile 100.000.000.000 arasında olmalı." promptTitle="Defter Değeri" prompt="KDV hariç brüt defter değerini TL olarak girin." type="decimal" errorStyle="stop" operator="between">
      <formula1>0</formula1>
      <formula2>100000000000</formula2>
    </dataValidation>
    <dataValidation sqref="D6:D1004" showDropDown="0" showInputMessage="1" showErrorMessage="1" allowBlank="1" errorTitle="Geçersiz değer" error="0 ile 100.000.000.000 arasında olmalı." promptTitle="Birikmiş Amortisman" prompt="Bugüne kadar ayrılan amortismanı TL girin." type="decimal" errorStyle="stop" operator="between">
      <formula1>0</formula1>
      <formula2>100000000000</formula2>
    </dataValidation>
    <dataValidation sqref="F6:F1004" showDropDown="0" showInputMessage="1" showErrorMessage="1" allowBlank="1" errorTitle="Geçersiz oran" error="Oran 0 ile 1 arasında olmalı." promptTitle="Amortisman Oranı" prompt="Amortisman oranını 0-1 arasında girin (örn. %10 için 0,10)." type="decimal" errorStyle="stop" operator="between">
      <formula1>0</formula1>
      <formula2>1</formula2>
    </dataValidation>
    <dataValidation sqref="G6:G1004" showDropDown="0" showInputMessage="1" showErrorMessage="1" allowBlank="1" errorTitle="Geçersiz ömür" error="Ömür 0 ile 100 yıl arasında olmalı." promptTitle="Kalan Faydalı Ömür" prompt="Kalan faydalı ömrü yıl olarak girin." type="decimal" errorStyle="stop" operator="between">
      <formula1>0</formula1>
      <formula2>100</formula2>
    </dataValidation>
    <dataValidation sqref="H6:H1004" showDropDown="0" showInputMessage="1" showErrorMessage="1" allowBlank="1" errorTitle="Geçersiz katsayı" error="Katsayı 0 ile 100 arasında olmalı." promptTitle="Yeniden Değerleme Katsayısı" prompt="Dönem yeniden değerleme katsayısını girin." type="decimal" errorStyle="stop" operator="between">
      <formula1>0</formula1>
      <formula2>100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AN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6" customWidth="1" style="107" min="1" max="1"/>
    <col width="16" customWidth="1" style="107" min="2" max="4"/>
    <col width="18" customWidth="1" style="107" min="5" max="6"/>
    <col width="20" customWidth="1" style="107" min="7" max="7"/>
    <col width="16" customWidth="1" style="107" min="8" max="8"/>
    <col width="20" customWidth="1" style="107" min="9" max="9"/>
  </cols>
  <sheetData>
    <row r="1" ht="25.5" customHeight="1" s="81">
      <c r="A1" s="108" t="inlineStr">
        <is>
          <t>HESAP — Yeniden Değerleme Yapmalı Mıyım? (Vergi Tasarruf Analizi)</t>
        </is>
      </c>
    </row>
    <row r="3" ht="15.75" customHeight="1" s="81">
      <c r="A3" s="115" t="inlineStr">
        <is>
          <t>Kıymet Türü Bazlı Yeniden Değerleme Hesabı</t>
        </is>
      </c>
    </row>
    <row r="4" ht="27.75" customHeight="1" s="81">
      <c r="A4" s="110" t="inlineStr">
        <is>
          <t>Aşağıdaki özet kıymet türlerine göre listeden otomatik beslenir; elle değiştirilmez.</t>
        </is>
      </c>
    </row>
    <row r="5" ht="30" customHeight="1" s="81">
      <c r="A5" s="120" t="inlineStr">
        <is>
          <t>Kıymet Türü</t>
        </is>
      </c>
      <c r="B5" s="120" t="inlineStr">
        <is>
          <t>Net Defter Değeri</t>
        </is>
      </c>
      <c r="C5" s="120" t="inlineStr">
        <is>
          <t>Değer Artışı</t>
        </is>
      </c>
      <c r="D5" s="120" t="inlineStr">
        <is>
          <t>Fon Vergisi</t>
        </is>
      </c>
      <c r="E5" s="120" t="inlineStr">
        <is>
          <t>Yıllık Ek Amortisman</t>
        </is>
      </c>
      <c r="F5" s="120" t="inlineStr">
        <is>
          <t>Yıllık Vergi Tasarrufu</t>
        </is>
      </c>
      <c r="G5" s="120" t="inlineStr">
        <is>
          <t>Tasarruf Bugünkü Değeri</t>
        </is>
      </c>
      <c r="H5" s="120" t="inlineStr">
        <is>
          <t>Net Fayda</t>
        </is>
      </c>
      <c r="I5" s="120" t="inlineStr">
        <is>
          <t>Öneri</t>
        </is>
      </c>
    </row>
    <row r="6" ht="15" customHeight="1" s="81">
      <c r="A6" s="133" t="inlineStr">
        <is>
          <t>Bina</t>
        </is>
      </c>
      <c r="B6" s="134">
        <f>SUMIFS(tblKiyamet[Net Defter Değeri],tblKiyamet[Kıymet Türü],$A6)</f>
        <v/>
      </c>
      <c r="C6" s="134">
        <f>SUMIFS(tblKiyamet[Değer Artışı],tblKiyamet[Kıymet Türü],$A6)</f>
        <v/>
      </c>
      <c r="D6" s="134">
        <f>SUMIFS(tblKiyamet[Fon Vergisi],tblKiyamet[Kıymet Türü],$A6)</f>
        <v/>
      </c>
      <c r="E6" s="134">
        <f>SUMIFS(tblKiyamet[Yıllık Ek Amortisman],tblKiyamet[Kıymet Türü],$A6)</f>
        <v/>
      </c>
      <c r="F6" s="134">
        <f>SUMIFS(tblKiyamet[Yıllık Vergi Tasarrufu],tblKiyamet[Kıymet Türü],$A6)</f>
        <v/>
      </c>
      <c r="G6" s="134">
        <f>SUMIFS(tblKiyamet[Tasarruf Bugünkü Değeri],tblKiyamet[Kıymet Türü],$A6)</f>
        <v/>
      </c>
      <c r="H6" s="134">
        <f>SUMIFS(tblKiyamet[Net Fayda],tblKiyamet[Kıymet Türü],$A6)</f>
        <v/>
      </c>
      <c r="I6" s="135">
        <f>IF(B6&lt;=0,"VERİ YOK",IF(H6&gt;0,"YENİDEN DEĞERLE","DEĞERLENDİR"))</f>
        <v/>
      </c>
    </row>
    <row r="7" ht="15" customHeight="1" s="81">
      <c r="A7" s="133" t="inlineStr">
        <is>
          <t>Arazi</t>
        </is>
      </c>
      <c r="B7" s="134">
        <f>SUMIFS(tblKiyamet[Net Defter Değeri],tblKiyamet[Kıymet Türü],$A7)</f>
        <v/>
      </c>
      <c r="C7" s="134">
        <f>SUMIFS(tblKiyamet[Değer Artışı],tblKiyamet[Kıymet Türü],$A7)</f>
        <v/>
      </c>
      <c r="D7" s="134">
        <f>SUMIFS(tblKiyamet[Fon Vergisi],tblKiyamet[Kıymet Türü],$A7)</f>
        <v/>
      </c>
      <c r="E7" s="134">
        <f>SUMIFS(tblKiyamet[Yıllık Ek Amortisman],tblKiyamet[Kıymet Türü],$A7)</f>
        <v/>
      </c>
      <c r="F7" s="134">
        <f>SUMIFS(tblKiyamet[Yıllık Vergi Tasarrufu],tblKiyamet[Kıymet Türü],$A7)</f>
        <v/>
      </c>
      <c r="G7" s="134">
        <f>SUMIFS(tblKiyamet[Tasarruf Bugünkü Değeri],tblKiyamet[Kıymet Türü],$A7)</f>
        <v/>
      </c>
      <c r="H7" s="134">
        <f>SUMIFS(tblKiyamet[Net Fayda],tblKiyamet[Kıymet Türü],$A7)</f>
        <v/>
      </c>
      <c r="I7" s="135">
        <f>IF(B7&lt;=0,"VERİ YOK",IF(H7&gt;0,"YENİDEN DEĞERLE","DEĞERLENDİR"))</f>
        <v/>
      </c>
    </row>
    <row r="8" ht="15" customHeight="1" s="81">
      <c r="A8" s="133" t="inlineStr">
        <is>
          <t>Makine</t>
        </is>
      </c>
      <c r="B8" s="134">
        <f>SUMIFS(tblKiyamet[Net Defter Değeri],tblKiyamet[Kıymet Türü],$A8)</f>
        <v/>
      </c>
      <c r="C8" s="134">
        <f>SUMIFS(tblKiyamet[Değer Artışı],tblKiyamet[Kıymet Türü],$A8)</f>
        <v/>
      </c>
      <c r="D8" s="134">
        <f>SUMIFS(tblKiyamet[Fon Vergisi],tblKiyamet[Kıymet Türü],$A8)</f>
        <v/>
      </c>
      <c r="E8" s="134">
        <f>SUMIFS(tblKiyamet[Yıllık Ek Amortisman],tblKiyamet[Kıymet Türü],$A8)</f>
        <v/>
      </c>
      <c r="F8" s="134">
        <f>SUMIFS(tblKiyamet[Yıllık Vergi Tasarrufu],tblKiyamet[Kıymet Türü],$A8)</f>
        <v/>
      </c>
      <c r="G8" s="134">
        <f>SUMIFS(tblKiyamet[Tasarruf Bugünkü Değeri],tblKiyamet[Kıymet Türü],$A8)</f>
        <v/>
      </c>
      <c r="H8" s="134">
        <f>SUMIFS(tblKiyamet[Net Fayda],tblKiyamet[Kıymet Türü],$A8)</f>
        <v/>
      </c>
      <c r="I8" s="135">
        <f>IF(B8&lt;=0,"VERİ YOK",IF(H8&gt;0,"YENİDEN DEĞERLE","DEĞERLENDİR"))</f>
        <v/>
      </c>
    </row>
    <row r="9" ht="15" customHeight="1" s="81">
      <c r="A9" s="133" t="inlineStr">
        <is>
          <t>Tesis</t>
        </is>
      </c>
      <c r="B9" s="134">
        <f>SUMIFS(tblKiyamet[Net Defter Değeri],tblKiyamet[Kıymet Türü],$A9)</f>
        <v/>
      </c>
      <c r="C9" s="134">
        <f>SUMIFS(tblKiyamet[Değer Artışı],tblKiyamet[Kıymet Türü],$A9)</f>
        <v/>
      </c>
      <c r="D9" s="134">
        <f>SUMIFS(tblKiyamet[Fon Vergisi],tblKiyamet[Kıymet Türü],$A9)</f>
        <v/>
      </c>
      <c r="E9" s="134">
        <f>SUMIFS(tblKiyamet[Yıllık Ek Amortisman],tblKiyamet[Kıymet Türü],$A9)</f>
        <v/>
      </c>
      <c r="F9" s="134">
        <f>SUMIFS(tblKiyamet[Yıllık Vergi Tasarrufu],tblKiyamet[Kıymet Türü],$A9)</f>
        <v/>
      </c>
      <c r="G9" s="134">
        <f>SUMIFS(tblKiyamet[Tasarruf Bugünkü Değeri],tblKiyamet[Kıymet Türü],$A9)</f>
        <v/>
      </c>
      <c r="H9" s="134">
        <f>SUMIFS(tblKiyamet[Net Fayda],tblKiyamet[Kıymet Türü],$A9)</f>
        <v/>
      </c>
      <c r="I9" s="135">
        <f>IF(B9&lt;=0,"VERİ YOK",IF(H9&gt;0,"YENİDEN DEĞERLE","DEĞERLENDİR"))</f>
        <v/>
      </c>
    </row>
    <row r="10" ht="15" customHeight="1" s="81">
      <c r="A10" s="133" t="inlineStr">
        <is>
          <t>Taşıt</t>
        </is>
      </c>
      <c r="B10" s="134">
        <f>SUMIFS(tblKiyamet[Net Defter Değeri],tblKiyamet[Kıymet Türü],$A10)</f>
        <v/>
      </c>
      <c r="C10" s="134">
        <f>SUMIFS(tblKiyamet[Değer Artışı],tblKiyamet[Kıymet Türü],$A10)</f>
        <v/>
      </c>
      <c r="D10" s="134">
        <f>SUMIFS(tblKiyamet[Fon Vergisi],tblKiyamet[Kıymet Türü],$A10)</f>
        <v/>
      </c>
      <c r="E10" s="134">
        <f>SUMIFS(tblKiyamet[Yıllık Ek Amortisman],tblKiyamet[Kıymet Türü],$A10)</f>
        <v/>
      </c>
      <c r="F10" s="134">
        <f>SUMIFS(tblKiyamet[Yıllık Vergi Tasarrufu],tblKiyamet[Kıymet Türü],$A10)</f>
        <v/>
      </c>
      <c r="G10" s="134">
        <f>SUMIFS(tblKiyamet[Tasarruf Bugünkü Değeri],tblKiyamet[Kıymet Türü],$A10)</f>
        <v/>
      </c>
      <c r="H10" s="134">
        <f>SUMIFS(tblKiyamet[Net Fayda],tblKiyamet[Kıymet Türü],$A10)</f>
        <v/>
      </c>
      <c r="I10" s="135">
        <f>IF(B10&lt;=0,"VERİ YOK",IF(H10&gt;0,"YENİDEN DEĞERLE","DEĞERLENDİR"))</f>
        <v/>
      </c>
    </row>
    <row r="11" ht="15" customHeight="1" s="81">
      <c r="A11" s="133" t="inlineStr">
        <is>
          <t>Diğer</t>
        </is>
      </c>
      <c r="B11" s="134">
        <f>SUMIFS(tblKiyamet[Net Defter Değeri],tblKiyamet[Kıymet Türü],$A11)</f>
        <v/>
      </c>
      <c r="C11" s="134">
        <f>SUMIFS(tblKiyamet[Değer Artışı],tblKiyamet[Kıymet Türü],$A11)</f>
        <v/>
      </c>
      <c r="D11" s="134">
        <f>SUMIFS(tblKiyamet[Fon Vergisi],tblKiyamet[Kıymet Türü],$A11)</f>
        <v/>
      </c>
      <c r="E11" s="134">
        <f>SUMIFS(tblKiyamet[Yıllık Ek Amortisman],tblKiyamet[Kıymet Türü],$A11)</f>
        <v/>
      </c>
      <c r="F11" s="134">
        <f>SUMIFS(tblKiyamet[Yıllık Vergi Tasarrufu],tblKiyamet[Kıymet Türü],$A11)</f>
        <v/>
      </c>
      <c r="G11" s="134">
        <f>SUMIFS(tblKiyamet[Tasarruf Bugünkü Değeri],tblKiyamet[Kıymet Türü],$A11)</f>
        <v/>
      </c>
      <c r="H11" s="134">
        <f>SUMIFS(tblKiyamet[Net Fayda],tblKiyamet[Kıymet Türü],$A11)</f>
        <v/>
      </c>
      <c r="I11" s="135">
        <f>IF(B11&lt;=0,"VERİ YOK",IF(H11&gt;0,"YENİDEN DEĞERLE","DEĞERLENDİR"))</f>
        <v/>
      </c>
    </row>
    <row r="12" ht="15" customHeight="1" s="81">
      <c r="A12" s="136" t="inlineStr">
        <is>
          <t>TOPLAM</t>
        </is>
      </c>
      <c r="B12" s="137">
        <f>SUM(B6:B11)</f>
        <v/>
      </c>
      <c r="C12" s="137">
        <f>SUM(C6:C11)</f>
        <v/>
      </c>
      <c r="D12" s="137">
        <f>SUM(D6:D11)</f>
        <v/>
      </c>
      <c r="E12" s="137">
        <f>SUM(E6:E11)</f>
        <v/>
      </c>
      <c r="F12" s="137">
        <f>SUM(F6:F11)</f>
        <v/>
      </c>
      <c r="G12" s="137">
        <f>SUM(G6:G11)</f>
        <v/>
      </c>
      <c r="H12" s="137">
        <f>SUM(H6:H11)</f>
        <v/>
      </c>
      <c r="I12" s="138">
        <f>IF(H12&gt;0,"YENİDEN DEĞERLE","DEĞERLENDİR")</f>
        <v/>
      </c>
    </row>
    <row r="13" ht="15" customHeight="1" s="81">
      <c r="A13" s="136" t="inlineStr">
        <is>
          <t>Toplam Net Defter Değeri (TL)</t>
        </is>
      </c>
      <c r="B13" s="137">
        <f>B12</f>
        <v/>
      </c>
    </row>
    <row r="14" ht="15" customHeight="1" s="81">
      <c r="A14" s="136" t="inlineStr">
        <is>
          <t>Net Fayda (TL)</t>
        </is>
      </c>
      <c r="B14" s="137">
        <f>H12</f>
        <v/>
      </c>
    </row>
    <row r="15" ht="15" customHeight="1" s="81">
      <c r="A15" s="136" t="inlineStr">
        <is>
          <t>Fon Vergisi Yükü (TL)</t>
        </is>
      </c>
      <c r="B15" s="137">
        <f>D12</f>
        <v/>
      </c>
    </row>
    <row r="16" ht="15" customHeight="1" s="81">
      <c r="A16" s="136" t="inlineStr">
        <is>
          <t>Toplam Değer Artışı (TL)</t>
        </is>
      </c>
      <c r="B16" s="137">
        <f>C12</f>
        <v/>
      </c>
    </row>
    <row r="17" ht="15" customHeight="1" s="81">
      <c r="A17" s="136" t="inlineStr">
        <is>
          <t>Yıllık Vergi Tasarrufu (TL)</t>
        </is>
      </c>
      <c r="B17" s="137">
        <f>F12</f>
        <v/>
      </c>
    </row>
    <row r="18" ht="15" customHeight="1" s="81">
      <c r="A18" s="136" t="inlineStr">
        <is>
          <t>Tasarruf Bugünkü Değeri (TL)</t>
        </is>
      </c>
      <c r="B18" s="137">
        <f>G12</f>
        <v/>
      </c>
    </row>
    <row r="19" ht="15" customHeight="1" s="81">
      <c r="A19" s="136" t="inlineStr">
        <is>
          <t>Kalan Ömür Ortalaması (Yıl)</t>
        </is>
      </c>
      <c r="B19" s="139">
        <f>IFERROR(AVERAGE(tblKiyamet[Kalan Faydalı Ömür]),0)</f>
        <v/>
      </c>
    </row>
    <row r="20" ht="15" customHeight="1" s="81">
      <c r="A20" s="136" t="inlineStr">
        <is>
          <t>Kıymet Adedi</t>
        </is>
      </c>
      <c r="B20" s="140">
        <f>COUNTA(tblKiyamet[Kıymet Türü])</f>
        <v/>
      </c>
    </row>
    <row r="21" ht="15" customHeight="1" s="81">
      <c r="A21" s="136" t="inlineStr">
        <is>
          <t>Net Fayda Verimliliği (NBD/Fon)</t>
        </is>
      </c>
      <c r="B21" s="141">
        <f>IFERROR(H12/D12,0)</f>
        <v/>
      </c>
    </row>
    <row r="23" ht="19.5" customHeight="1" s="81">
      <c r="A23" s="132" t="inlineStr">
        <is>
          <t>Hesap satırları yalnızca kıymet listesinden beslenir; korumalıdır.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AD1"/>
    <mergeCell ref="A23:AN23"/>
  </mergeCells>
  <conditionalFormatting sqref="B6:B11">
    <cfRule type="cellIs" rank="0" priority="2" equalAverage="0" operator="lessThan" aboveAverage="0" dxfId="9" text="" percent="0" bottom="0">
      <formula>0</formula>
    </cfRule>
  </conditionalFormatting>
  <conditionalFormatting sqref="C6:C11">
    <cfRule type="cellIs" rank="0" priority="3" equalAverage="0" operator="lessThan" aboveAverage="0" dxfId="9" text="" percent="0" bottom="0">
      <formula>0</formula>
    </cfRule>
    <cfRule type="cellIs" rank="0" priority="4" equalAverage="0" operator="greaterThan" aboveAverage="0" dxfId="11" text="" percent="0" bottom="0">
      <formula>0</formula>
    </cfRule>
  </conditionalFormatting>
  <conditionalFormatting sqref="D6:D11">
    <cfRule type="cellIs" rank="0" priority="5" equalAverage="0" operator="lessThan" aboveAverage="0" dxfId="9" text="" percent="0" bottom="0">
      <formula>0</formula>
    </cfRule>
    <cfRule type="cellIs" rank="0" priority="6" equalAverage="0" operator="greaterThan" aboveAverage="0" dxfId="10" text="" percent="0" bottom="0">
      <formula>200000</formula>
    </cfRule>
  </conditionalFormatting>
  <conditionalFormatting sqref="E6:E11">
    <cfRule type="cellIs" rank="0" priority="7" equalAverage="0" operator="lessThan" aboveAverage="0" dxfId="9" text="" percent="0" bottom="0">
      <formula>0</formula>
    </cfRule>
  </conditionalFormatting>
  <conditionalFormatting sqref="F6:F11">
    <cfRule type="cellIs" rank="0" priority="8" equalAverage="0" operator="lessThan" aboveAverage="0" dxfId="9" text="" percent="0" bottom="0">
      <formula>0</formula>
    </cfRule>
  </conditionalFormatting>
  <conditionalFormatting sqref="G6:G11">
    <cfRule type="cellIs" rank="0" priority="9" equalAverage="0" operator="lessThan" aboveAverage="0" dxfId="9" text="" percent="0" bottom="0">
      <formula>0</formula>
    </cfRule>
  </conditionalFormatting>
  <conditionalFormatting sqref="H6:H11">
    <cfRule type="cellIs" rank="0" priority="10" equalAverage="0" operator="lessThan" aboveAverage="0" dxfId="9" text="" percent="0" bottom="0">
      <formula>0</formula>
    </cfRule>
    <cfRule type="cellIs" rank="0" priority="11" equalAverage="0" operator="greaterThan" aboveAverage="0" dxfId="11" text="" percent="0" bottom="0">
      <formula>0</formula>
    </cfRule>
    <cfRule type="cellIs" rank="0" priority="12" equalAverage="0" operator="lessThan" aboveAverage="0" dxfId="9" text="" percent="0" bottom="0">
      <formula>0</formula>
    </cfRule>
  </conditionalFormatting>
  <conditionalFormatting sqref="I6:I11">
    <cfRule type="cellIs" rank="0" priority="13" equalAverage="0" operator="equal" aboveAverage="0" dxfId="11" text="" percent="0" bottom="0">
      <formula>"YENİDEN DEĞERLE"</formula>
    </cfRule>
    <cfRule type="cellIs" rank="0" priority="14" equalAverage="0" operator="equal" aboveAverage="0" dxfId="10" text="" percent="0" bottom="0">
      <formula>"DEĞERLENDİR"</formula>
    </cfRule>
  </conditionalFormatting>
  <conditionalFormatting sqref="D12">
    <cfRule type="cellIs" rank="0" priority="15" equalAverage="0" operator="greaterThan" aboveAverage="0" dxfId="10" text="" percent="0" bottom="0">
      <formula>200000</formula>
    </cfRule>
  </conditionalFormatting>
  <conditionalFormatting sqref="H12">
    <cfRule type="cellIs" rank="0" priority="16" equalAverage="0" operator="greaterThan" aboveAverage="0" dxfId="11" text="" percent="0" bottom="0">
      <formula>100000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AD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" customWidth="1" style="107" min="1" max="1"/>
    <col width="34" customWidth="1" style="107" min="2" max="2"/>
    <col width="55" customWidth="1" style="107" min="3" max="3"/>
    <col width="72" customWidth="1" style="107" min="4" max="4"/>
  </cols>
  <sheetData>
    <row r="1" ht="25.5" customHeight="1" s="81">
      <c r="A1" s="108" t="inlineStr">
        <is>
          <t>ANALITIK MOTOR — Yeniden Değerleme Yapmalı Mıyım? (Vergi Tasarruf Analizi)</t>
        </is>
      </c>
    </row>
    <row r="3" ht="15" customHeight="1" s="81">
      <c r="A3" s="111" t="inlineStr">
        <is>
          <t>ANALİTİK MOTOR — DERİNLİK KATMANI</t>
        </is>
      </c>
    </row>
    <row r="5" ht="30" customHeight="1" s="81">
      <c r="A5" s="120" t="inlineStr">
        <is>
          <t>Kod</t>
        </is>
      </c>
      <c r="B5" s="120" t="inlineStr">
        <is>
          <t>Gösterge</t>
        </is>
      </c>
      <c r="C5" s="120" t="inlineStr">
        <is>
          <t>Değer</t>
        </is>
      </c>
      <c r="D5" s="120" t="inlineStr">
        <is>
          <t>Makine Yorumu</t>
        </is>
      </c>
    </row>
    <row r="6" ht="30" customHeight="1" s="81">
      <c r="A6" s="142" t="inlineStr">
        <is>
          <t>T1</t>
        </is>
      </c>
      <c r="B6" s="143" t="inlineStr">
        <is>
          <t>Ortalama Değer Artışı Oranı</t>
        </is>
      </c>
      <c r="C6" s="135">
        <f>IFERROR(IF(AVERAGE(tblKiyamet[Net Defter Değeri])=0,0,AVERAGE(tblKiyamet[Değer Artışı])/AVERAGE(tblKiyamet[Net Defter Değeri])),0)</f>
        <v/>
      </c>
      <c r="D6" s="144">
        <f>_xlfn.TEXTJOIN("; ",TRUE(),"Ortalama değer artışı oranı ",TEXT(C6,"0.0%")," — katsayı uygulamasının ortalama büyütme gücünü gösterir")</f>
        <v/>
      </c>
    </row>
    <row r="7" ht="30" customHeight="1" s="81">
      <c r="A7" s="142" t="inlineStr">
        <is>
          <t>T2</t>
        </is>
      </c>
      <c r="B7" s="143" t="inlineStr">
        <is>
          <t>Ortalama Yeniden Değerleme Katsayısı</t>
        </is>
      </c>
      <c r="C7" s="135">
        <f>IFERROR(AVERAGE(tblKiyamet[Yeniden Değerleme Katsayısı]),0)</f>
        <v/>
      </c>
      <c r="D7" s="144">
        <f>_xlfn.TEXTJOIN("; ",TRUE(),"Ortalama yeniden değerleme katsayısı ",TEXT(C7,"0.00")," — katsayı büyüdükçe fon yükü de büyür")</f>
        <v/>
      </c>
    </row>
    <row r="8" ht="30" customHeight="1" s="81">
      <c r="A8" s="142" t="inlineStr">
        <is>
          <t>O1</t>
        </is>
      </c>
      <c r="B8" s="143" t="inlineStr">
        <is>
          <t>Net Fayda Sapması (MAD)</t>
        </is>
      </c>
      <c r="C8" s="135">
        <f>IFERROR(AVEDEV(tblKiyamet[Net Fayda]),0)</f>
        <v/>
      </c>
      <c r="D8" s="144">
        <f>_xlfn.TEXTJOIN("; ",TRUE(),"Net fayda ortalama mutlak sapması ",TEXT(C8,"₺ #,##0")," TL — sapma yüksekse kıymet portföyü heterojendir")</f>
        <v/>
      </c>
    </row>
    <row r="9" ht="30" customHeight="1" s="81">
      <c r="A9" s="142" t="inlineStr">
        <is>
          <t>O2</t>
        </is>
      </c>
      <c r="B9" s="143" t="inlineStr">
        <is>
          <t>En Yüksek Net Fayda</t>
        </is>
      </c>
      <c r="C9" s="135">
        <f>IFERROR(MAX(tblKiyamet[Net Fayda]),0)</f>
        <v/>
      </c>
      <c r="D9" s="144">
        <f>_xlfn.TEXTJOIN("; ",TRUE(),"En yüksek net faydalı kıymet ",TEXT(C9,"₺ #,##0")," TL — bu kıymet yeniden değerlemeye en uygun adaydır")</f>
        <v/>
      </c>
    </row>
    <row r="10" ht="30" customHeight="1" s="81">
      <c r="A10" s="142" t="inlineStr">
        <is>
          <t>O3</t>
        </is>
      </c>
      <c r="B10" s="143" t="inlineStr">
        <is>
          <t>Senaryo Bant Genişliği</t>
        </is>
      </c>
      <c r="C10" s="135">
        <f>SENARYO_DUYARLILIK!C7-SENARYO_DUYARLILIK!C10</f>
        <v/>
      </c>
      <c r="D10" s="144">
        <f>_xlfn.TEXTJOIN("; ",TRUE(),"İyimser ile kritik senaryo net fayda farkı ",TEXT(C10,"₺ #,##0")," TL — iskonto belirsizliğinin etkisini gösterir")</f>
        <v/>
      </c>
    </row>
    <row r="11" ht="30" customHeight="1" s="81">
      <c r="A11" s="142" t="inlineStr">
        <is>
          <t>O6</t>
        </is>
      </c>
      <c r="B11" s="143" t="inlineStr">
        <is>
          <t>Değer Artışı Yoğunlaşması (HHI)</t>
        </is>
      </c>
      <c r="C11" s="135">
        <f>IFERROR(IF(SUM(HESAP!$C$6:$C$11)=0,0,SUMPRODUCT((HESAP!$C$6:$C$11/SUM(HESAP!$C$6:$C$11))^2)),0)</f>
        <v/>
      </c>
      <c r="D11" s="144">
        <f>_xlfn.TEXTJOIN("; ",TRUE(),"Değer artışı yoğunlaşma endeksi ",TEXT(C11,"0.000")," — 1 e yaklaştıkça fayda tek türden gelir")</f>
        <v/>
      </c>
    </row>
    <row r="12" ht="30" customHeight="1" s="81">
      <c r="A12" s="142" t="inlineStr">
        <is>
          <t>O8</t>
        </is>
      </c>
      <c r="B12" s="143" t="inlineStr">
        <is>
          <t>Veri Kalite Skoru</t>
        </is>
      </c>
      <c r="C12" s="145">
        <f>KONTROLLER!B19</f>
        <v/>
      </c>
      <c r="D12" s="144">
        <f>_xlfn.TEXTJOIN("; ",TRUE(),"Veri kalite skoru ",TEXT(C12,"0")," puan — ",IF(C12&gt;=YenidegerKaliteIyi,"yüksek güven","veri girişi tamamlanmalı"))</f>
        <v/>
      </c>
    </row>
    <row r="13" ht="30" customHeight="1" s="81">
      <c r="A13" s="142" t="inlineStr">
        <is>
          <t>I1</t>
        </is>
      </c>
      <c r="B13" s="143" t="inlineStr">
        <is>
          <t>Gelecek Dönem Net Fayda Tahmini</t>
        </is>
      </c>
      <c r="C13" s="134">
        <f>PANO!B30</f>
        <v/>
      </c>
      <c r="D13" s="144">
        <f>_xlfn.TEXTJOIN("; ",TRUE(),"Gelecek dönem net fayda tahmini ",TEXT(C13,"₺ #,##0")," TL — güven bandı için alt/üst sınır PANO sayfasındadır")</f>
        <v/>
      </c>
    </row>
    <row r="14" ht="30" customHeight="1" s="81">
      <c r="A14" s="142" t="inlineStr">
        <is>
          <t>I2</t>
        </is>
      </c>
      <c r="B14" s="143" t="inlineStr">
        <is>
          <t>Net Fayda Yüzdelik P90</t>
        </is>
      </c>
      <c r="C14" s="135">
        <f>IFERROR(_xlfn.PERCENTILE.INC(tblKiyamet[Net Fayda],YenidegerP90Oran),0)</f>
        <v/>
      </c>
      <c r="D14" s="144">
        <f>_xlfn.TEXTJOIN("; ",TRUE(),"Kıymet net faydalarının %90 ı ",TEXT(C14,"₺ #,##0")," altında gerçekleşir — üst sınır portföy seçiminde kullanılabilir")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D3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AN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7" min="1" max="1"/>
    <col width="60" customWidth="1" style="107" min="2" max="2"/>
  </cols>
  <sheetData>
    <row r="1" ht="25.5" customHeight="1" s="81">
      <c r="A1" s="108" t="inlineStr">
        <is>
          <t>KONTROLLER — Yeniden Değerleme Yapmalı Mıyım? (Vergi Tasarruf Analizi)</t>
        </is>
      </c>
    </row>
    <row r="3" ht="15.75" customHeight="1" s="81">
      <c r="A3" s="115" t="inlineStr">
        <is>
          <t>Giriş Kalite Kontrolleri</t>
        </is>
      </c>
    </row>
    <row r="4" ht="27.75" customHeight="1" s="81">
      <c r="A4" s="110" t="inlineStr">
        <is>
          <t>Aşağıdaki kontroller canlı formüllerle çalışır; sorun varsa uyarı üretir.</t>
        </is>
      </c>
    </row>
    <row r="6" ht="15" customHeight="1" s="81">
      <c r="A6" s="113" t="inlineStr">
        <is>
          <t>Boş kıymet türü satırı var mı?</t>
        </is>
      </c>
      <c r="B6" s="135">
        <f>IF(COUNTBLANK(tblKiyamet[Kıymet Türü])=0,"TEMİZ","BOŞ VAR")</f>
        <v/>
      </c>
    </row>
    <row r="7" ht="15" customHeight="1" s="81">
      <c r="A7" s="113" t="inlineStr">
        <is>
          <t>Boş defter değeri var mı?</t>
        </is>
      </c>
      <c r="B7" s="135">
        <f>IF(COUNTBLANK(tblKiyamet[Defter Değeri (Brüt)])=0,"TEMİZ","BOŞ VAR")</f>
        <v/>
      </c>
    </row>
    <row r="8" ht="15" customHeight="1" s="81">
      <c r="A8" s="113" t="inlineStr">
        <is>
          <t>Negatif defter değeri var mı?</t>
        </is>
      </c>
      <c r="B8" s="135">
        <f>IF(COUNTIF(tblKiyamet[Defter Değeri (Brüt)],"&lt;0")=0,"TEMİZ","NEGATİF VAR")</f>
        <v/>
      </c>
    </row>
    <row r="9" ht="15" customHeight="1" s="81">
      <c r="A9" s="113" t="inlineStr">
        <is>
          <t>Negatif amortisman var mı?</t>
        </is>
      </c>
      <c r="B9" s="135">
        <f>IF(COUNTIF(tblKiyamet[Birikmiş Amortisman],"&lt;0")=0,"TEMİZ","NEGATİF VAR")</f>
        <v/>
      </c>
    </row>
    <row r="10" ht="15" customHeight="1" s="81">
      <c r="A10" s="113" t="inlineStr">
        <is>
          <t>Katsayı 1'in altında mı?</t>
        </is>
      </c>
      <c r="B10" s="135">
        <f>IF(COUNTIF(tblKiyamet[Yeniden Değerleme Katsayısı],"&lt;1")=0,"TEMİZ","KATSAYI &lt;1 VAR")</f>
        <v/>
      </c>
    </row>
    <row r="11" ht="15" customHeight="1" s="81">
      <c r="A11" s="113" t="inlineStr">
        <is>
          <t>Kalan ömür boş mu?</t>
        </is>
      </c>
      <c r="B11" s="135">
        <f>IF(COUNTBLANK(tblKiyamet[Kalan Faydalı Ömür])=0,"TEMİZ","BOŞ VAR")</f>
        <v/>
      </c>
    </row>
    <row r="12" ht="15" customHeight="1" s="81">
      <c r="A12" s="113" t="inlineStr">
        <is>
          <t>Fon yükü eşiği aşılıyor mu?</t>
        </is>
      </c>
      <c r="B12" s="135">
        <f>IF(HESAP!D12&gt;YenidegerFonEsik,"AŞIYOR","NORMAL")</f>
        <v/>
      </c>
    </row>
    <row r="13" ht="15" customHeight="1" s="81">
      <c r="A13" s="113" t="inlineStr">
        <is>
          <t>Net fayda eşiği aşılıyor mu?</t>
        </is>
      </c>
      <c r="B13" s="135">
        <f>IF(HESAP!H12&gt;YenidegerNbdEsik,"AŞIYOR","NORMAL")</f>
        <v/>
      </c>
    </row>
    <row r="15" ht="15" customHeight="1" s="81">
      <c r="A15" s="111" t="inlineStr">
        <is>
          <t>Veri Kalitesi Skoru (0-100)</t>
        </is>
      </c>
    </row>
    <row r="16" ht="27.75" customHeight="1" s="81">
      <c r="A16" s="110" t="inlineStr">
        <is>
          <t>Temel giriş kolonlarının dolu olma oranına göre üretilen kalite skoru.</t>
        </is>
      </c>
    </row>
    <row r="17" ht="15" customHeight="1" s="81">
      <c r="A17" s="113" t="inlineStr">
        <is>
          <t>Toplam Giriş Hücresi</t>
        </is>
      </c>
      <c r="B17" s="145">
        <f>COUNTA(tblKiyamet[Kıymet Türü])*YenidegerTemelKolonSayisi</f>
        <v/>
      </c>
    </row>
    <row r="18" ht="15" customHeight="1" s="81">
      <c r="A18" s="113" t="inlineStr">
        <is>
          <t>Dolu Giriş Hücresi</t>
        </is>
      </c>
      <c r="B18" s="145">
        <f>COUNTA(tblKiyamet[Kıymet Türü])+COUNTA(tblKiyamet[Defter Değeri (Brüt)])+COUNTA(tblKiyamet[Birikmiş Amortisman])+COUNTA(tblKiyamet[Kalan Faydalı Ömür])+COUNTA(tblKiyamet[Yeniden Değerleme Katsayısı])</f>
        <v/>
      </c>
    </row>
    <row r="19" ht="15" customHeight="1" s="81">
      <c r="A19" s="133" t="inlineStr">
        <is>
          <t>Kalite Skoru</t>
        </is>
      </c>
      <c r="B19" s="140">
        <f>ROUND(IF(YenidegerToplamGiris=0,0,YenidegerDoluGiris/YenidegerToplamGiris*100),0)</f>
        <v/>
      </c>
    </row>
    <row r="20" ht="15" customHeight="1" s="81">
      <c r="A20" s="113" t="inlineStr">
        <is>
          <t>Kalite Seviyesi</t>
        </is>
      </c>
      <c r="B20" s="135">
        <f>IF(B19&gt;=YenidegerKaliteIyi,"YÜKSEK",IF(B19&gt;=YenidegerKaliteOrta,"ORTA","DÜŞÜK"))</f>
        <v/>
      </c>
    </row>
    <row r="22" ht="19.5" customHeight="1" s="81">
      <c r="A22" s="132" t="inlineStr">
        <is>
          <t>Kontroller yalnızca giriş verisini denetler; değerleri değiştirmez.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2:AN22"/>
    <mergeCell ref="A1:AD1"/>
  </mergeCells>
  <conditionalFormatting sqref="B6:B13">
    <cfRule type="cellIs" rank="0" priority="2" equalAverage="0" operator="equal" aboveAverage="0" dxfId="12" text="" percent="0" bottom="0">
      <formula>"BOŞ VAR"</formula>
    </cfRule>
    <cfRule type="cellIs" rank="0" priority="3" equalAverage="0" operator="equal" aboveAverage="0" dxfId="12" text="" percent="0" bottom="0">
      <formula>"NEGATİF VAR"</formula>
    </cfRule>
    <cfRule type="cellIs" rank="0" priority="4" equalAverage="0" operator="equal" aboveAverage="0" dxfId="12" text="" percent="0" bottom="0">
      <formula>"AŞIYOR"</formula>
    </cfRule>
    <cfRule type="cellIs" rank="0" priority="5" equalAverage="0" operator="equal" aboveAverage="0" dxfId="12" text="" percent="0" bottom="0">
      <formula>"KATSAYI &lt;1 VAR"</formula>
    </cfRule>
    <cfRule type="cellIs" rank="0" priority="6" equalAverage="0" operator="equal" aboveAverage="0" dxfId="11" text="" percent="0" bottom="0">
      <formula>"TEMİZ"</formula>
    </cfRule>
    <cfRule type="cellIs" rank="0" priority="7" equalAverage="0" operator="equal" aboveAverage="0" dxfId="11" text="" percent="0" bottom="0">
      <formula>"NORMAL"</formula>
    </cfRule>
  </conditionalFormatting>
  <conditionalFormatting sqref="B19">
    <cfRule type="cellIs" rank="0" priority="8" equalAverage="0" operator="lessThan" aboveAverage="0" dxfId="9" text="" percent="0" bottom="0">
      <formula>70</formula>
    </cfRule>
    <cfRule type="cellIs" rank="0" priority="9" equalAverage="0" operator="between" aboveAverage="0" dxfId="10" text="" percent="0" bottom="0">
      <formula>70</formula>
      <formula>90</formula>
    </cfRule>
    <cfRule type="cellIs" rank="0" priority="10" equalAverage="0" operator="greaterThanOrEqual" aboveAverage="0" dxfId="11" text="" percent="0" bottom="0">
      <formula>90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AN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7" min="1" max="1"/>
    <col width="60" customWidth="1" style="107" min="2" max="2"/>
  </cols>
  <sheetData>
    <row r="1" ht="25.5" customHeight="1" s="81">
      <c r="A1" s="108" t="inlineStr">
        <is>
          <t>KARAR — Yeniden Değerleme Yapmalı Mıyım? (Vergi Tasarruf Analizi)</t>
        </is>
      </c>
    </row>
    <row r="3" ht="15.75" customHeight="1" s="81">
      <c r="A3" s="115" t="inlineStr">
        <is>
          <t>Karar Kapısı — Yeniden Değerleme Vergi Tasarrufu</t>
        </is>
      </c>
    </row>
    <row r="4" ht="27.75" customHeight="1" s="81">
      <c r="A4" s="110" t="inlineStr">
        <is>
          <t>Net fayda (tasarruf eksi fon), değer artışı ve veri kalitesine göre üretilen karar.</t>
        </is>
      </c>
    </row>
    <row r="6" ht="15" customHeight="1" s="81">
      <c r="A6" s="113" t="inlineStr">
        <is>
          <t>Toplam Değer Artışı (TL)</t>
        </is>
      </c>
      <c r="B6" s="137">
        <f>HESAP!C12</f>
        <v/>
      </c>
    </row>
    <row r="7" ht="15" customHeight="1" s="81">
      <c r="A7" s="113" t="inlineStr">
        <is>
          <t>Fon Vergisi Yükü (TL)</t>
        </is>
      </c>
      <c r="B7" s="134">
        <f>HESAP!D12</f>
        <v/>
      </c>
    </row>
    <row r="8" ht="15" customHeight="1" s="81">
      <c r="A8" s="113" t="inlineStr">
        <is>
          <t>Yıllık Vergi Tasarrufu (TL)</t>
        </is>
      </c>
      <c r="B8" s="134">
        <f>HESAP!F12</f>
        <v/>
      </c>
    </row>
    <row r="9" ht="15" customHeight="1" s="81">
      <c r="A9" s="113" t="inlineStr">
        <is>
          <t>Net Fayda (TL)</t>
        </is>
      </c>
      <c r="B9" s="137">
        <f>HESAP!H12</f>
        <v/>
      </c>
    </row>
    <row r="11" ht="21" customHeight="1" s="81">
      <c r="A11" s="146" t="inlineStr">
        <is>
          <t>KARAR</t>
        </is>
      </c>
      <c r="B11" s="147">
        <f>IF(COUNTA(tblKiyamet[Kıymet Türü])=0,"VERİ YOK",IF(COUNTIF(tblKiyamet[Defter Değeri (Brüt)],"&lt;0")&gt;0,"DURDUR",IF(COUNTIF(tblKiyamet[Birikmiş Amortisman],"&lt;0")&gt;0,"DURDUR",IF(SUM(tblKiyamet[Net Fayda])&gt;YenidegerNbdEsik,"UYGUN",IF(SUM(tblKiyamet[Değer Artışı])&gt;YenidegerArtisEsik,"İNCELE","DURDUR")))))</f>
        <v/>
      </c>
    </row>
    <row r="12" ht="15" customHeight="1" s="81">
      <c r="A12" s="133" t="inlineStr">
        <is>
          <t>Gerekçe</t>
        </is>
      </c>
      <c r="B12" s="144">
        <f>IF(COUNTIF(tblKiyamet[Defter Değeri (Brüt)],"&lt;0")&gt;0,"Negatif defter değeri girişi tespit edildi; veriler mutlaka düzeltilmeli.",IF(COUNTIF(tblKiyamet[Birikmiş Amortisman],"&lt;0")&gt;0,"Negatif amortisman girişi tespit edildi; veriler mutlaka düzeltilmeli.",IF(SUM(tblKiyamet[Net Fayda])&gt;YenidegerNbdEsik,"Yeniden değerlemenin vergi tasarrufu bugünkü değeri fon maliyetinin üzerinde; yeniden değerleme önerilir.",IF(SUM(tblKiyamet[Değer Artışı])&gt;YenidegerArtisEsik,"Değer artışı eşiğin üzerinde ancak net fayda pozitif değil; kalan ömür, iskonto oranı ve fon oranı yeniden incelenmeli.","Karar kapısı uygun değil; yeniden değerleme net fayda üretmiyor."))))</f>
        <v/>
      </c>
    </row>
    <row r="14" ht="15" customHeight="1" s="81">
      <c r="A14" s="111" t="inlineStr">
        <is>
          <t>Önerilen Aksiyonlar</t>
        </is>
      </c>
    </row>
    <row r="15" ht="15" customHeight="1" s="81">
      <c r="A15" s="113" t="inlineStr">
        <is>
          <t>Aksiyon 1</t>
        </is>
      </c>
      <c r="B15" s="144">
        <f>YenidegerAksiyon1_ACIKLAMA</f>
        <v/>
      </c>
    </row>
    <row r="16" ht="15" customHeight="1" s="81">
      <c r="A16" s="113" t="inlineStr">
        <is>
          <t>Aksiyon 2</t>
        </is>
      </c>
      <c r="B16" s="144">
        <f>YenidegerAksiyon2_ACIKLAMA</f>
        <v/>
      </c>
    </row>
    <row r="17" ht="15" customHeight="1" s="81">
      <c r="A17" s="113" t="inlineStr">
        <is>
          <t>Aksiyon 3</t>
        </is>
      </c>
      <c r="B17" s="144">
        <f>YenidegerAksiyon3_ACIKLAMA</f>
        <v/>
      </c>
    </row>
    <row r="19" ht="19.5" customHeight="1" s="81">
      <c r="A19" s="132" t="inlineStr">
        <is>
          <t>Karar yalnızca giriş verisi ve AYARLAR'daki oran/eşiklerden türetilir; mali müşavir görüşü değildir.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B15:J15"/>
    <mergeCell ref="B16:J16"/>
    <mergeCell ref="B17:J17"/>
    <mergeCell ref="A19:AN19"/>
    <mergeCell ref="B12:J12"/>
    <mergeCell ref="A1:AD1"/>
  </mergeCells>
  <conditionalFormatting sqref="B11">
    <cfRule type="cellIs" rank="0" priority="2" equalAverage="0" operator="equal" aboveAverage="0" dxfId="13" text="" percent="0" bottom="0">
      <formula>"UYGUN"</formula>
    </cfRule>
    <cfRule type="cellIs" rank="0" priority="3" equalAverage="0" operator="equal" aboveAverage="0" dxfId="14" text="" percent="0" bottom="0">
      <formula>"İNCELE"</formula>
    </cfRule>
    <cfRule type="cellIs" rank="0" priority="4" equalAverage="0" operator="equal" aboveAverage="0" dxfId="12" text="" percent="0" bottom="0">
      <formula>"DURDUR"</formula>
    </cfRule>
  </conditionalFormatting>
  <conditionalFormatting sqref="B6">
    <cfRule type="cellIs" rank="0" priority="5" equalAverage="0" operator="lessThan" aboveAverage="0" dxfId="9" text="" percent="0" bottom="0">
      <formula>0</formula>
    </cfRule>
  </conditionalFormatting>
  <conditionalFormatting sqref="B7">
    <cfRule type="cellIs" rank="0" priority="6" equalAverage="0" operator="greaterThan" aboveAverage="0" dxfId="10" text="" percent="0" bottom="0">
      <formula>200000</formula>
    </cfRule>
  </conditionalFormatting>
  <conditionalFormatting sqref="B9">
    <cfRule type="cellIs" rank="0" priority="7" equalAverage="0" operator="lessThan" aboveAverage="0" dxfId="9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AN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107" min="1" max="1"/>
    <col width="30" customWidth="1" style="107" min="2" max="2"/>
    <col width="22" customWidth="1" style="107" min="3" max="3"/>
    <col width="18" customWidth="1" style="107" min="4" max="4"/>
  </cols>
  <sheetData>
    <row r="1" ht="25.5" customHeight="1" s="81">
      <c r="A1" s="108" t="inlineStr">
        <is>
          <t>SENARYO DUYARLILIK — Yeniden Değerleme Yapmalı Mıyım? (Vergi Tasarruf Analizi)</t>
        </is>
      </c>
    </row>
    <row r="3" ht="15.75" customHeight="1" s="81">
      <c r="A3" s="115" t="inlineStr">
        <is>
          <t>Senaryo ve Duyarlılık Analizi</t>
        </is>
      </c>
    </row>
    <row r="4" ht="41.25" customHeight="1" s="81">
      <c r="A4" s="110" t="inlineStr">
        <is>
          <t>Farklı iskonto oranlarında net fayda bant aralığı; ardından hangi değişkenin sonucu en çok etkilediğini gösteren tornado analizi.</t>
        </is>
      </c>
    </row>
    <row r="6" ht="15" customHeight="1" s="81">
      <c r="A6" s="153" t="inlineStr">
        <is>
          <t>Senaryo</t>
        </is>
      </c>
      <c r="B6" s="153" t="inlineStr">
        <is>
          <t>İskonto Oranı</t>
        </is>
      </c>
      <c r="C6" s="153" t="inlineStr">
        <is>
          <t>Net Fayda (NBD-Fon)</t>
        </is>
      </c>
      <c r="D6" s="153" t="inlineStr">
        <is>
          <t>Durum</t>
        </is>
      </c>
    </row>
    <row r="7" ht="15" customHeight="1" s="81">
      <c r="A7" s="133" t="inlineStr">
        <is>
          <t>İYİMSER</t>
        </is>
      </c>
      <c r="B7" s="157">
        <f>AYARLAR!$B$14</f>
        <v/>
      </c>
      <c r="C7" s="134">
        <f>IFERROR(YenidegerYillikTasarruf*(1-1/(1+AYARLAR!$B$14)^YenidegerKalanOmurOrtalama)/AYARLAR!$B$14-YenidegerFonToplam,0)</f>
        <v/>
      </c>
      <c r="D7" s="135">
        <f>IF(C7&gt;0,"ÖNERİLİR","DEĞERLENDİR")</f>
        <v/>
      </c>
    </row>
    <row r="8" ht="15" customHeight="1" s="81">
      <c r="A8" s="133" t="inlineStr">
        <is>
          <t>BAZ</t>
        </is>
      </c>
      <c r="B8" s="157">
        <f>AYARLAR!$B$15</f>
        <v/>
      </c>
      <c r="C8" s="134">
        <f>IFERROR(YenidegerYillikTasarruf*(1-1/(1+AYARLAR!$B$15)^YenidegerKalanOmurOrtalama)/AYARLAR!$B$15-YenidegerFonToplam,0)</f>
        <v/>
      </c>
      <c r="D8" s="135">
        <f>IF(C8&gt;0,"ÖNERİLİR","DEĞERLENDİR")</f>
        <v/>
      </c>
    </row>
    <row r="9" ht="15" customHeight="1" s="81">
      <c r="A9" s="133" t="inlineStr">
        <is>
          <t>KÖTÜMSER</t>
        </is>
      </c>
      <c r="B9" s="157">
        <f>AYARLAR!$B$16</f>
        <v/>
      </c>
      <c r="C9" s="134">
        <f>IFERROR(YenidegerYillikTasarruf*(1-1/(1+AYARLAR!$B$16)^YenidegerKalanOmurOrtalama)/AYARLAR!$B$16-YenidegerFonToplam,0)</f>
        <v/>
      </c>
      <c r="D9" s="135">
        <f>IF(C9&gt;0,"ÖNERİLİR","DEĞERLENDİR")</f>
        <v/>
      </c>
    </row>
    <row r="10" ht="15" customHeight="1" s="81">
      <c r="A10" s="133" t="inlineStr">
        <is>
          <t>KRİTİK</t>
        </is>
      </c>
      <c r="B10" s="157">
        <f>AYARLAR!$B$17</f>
        <v/>
      </c>
      <c r="C10" s="134">
        <f>IFERROR(YenidegerYillikTasarruf*(1-1/(1+AYARLAR!$B$17)^YenidegerKalanOmurOrtalama)/AYARLAR!$B$17-YenidegerFonToplam,0)</f>
        <v/>
      </c>
      <c r="D10" s="135">
        <f>IF(C10&gt;0,"ÖNERİLİR","DEĞERLENDİR")</f>
        <v/>
      </c>
    </row>
    <row r="12" ht="15" customHeight="1" s="81">
      <c r="A12" s="111" t="inlineStr">
        <is>
          <t>Tornado: Net Faydaya Etki</t>
        </is>
      </c>
    </row>
    <row r="13" ht="15" customHeight="1" s="81">
      <c r="A13" s="113" t="inlineStr">
        <is>
          <t>İskonto Oranı +%1 Etkisi</t>
        </is>
      </c>
      <c r="B13" s="134">
        <f>IFERROR(ABS(YenidegerYillikTasarruf*(1-1/(1+AYARLAR!$B$15+AYARLAR!$B$21)^YenidegerKalanOmurOrtalama)/(AYARLAR!$B$15+AYARLAR!$B$21)-C8),0)</f>
        <v/>
      </c>
    </row>
    <row r="14" ht="15" customHeight="1" s="81">
      <c r="A14" s="113" t="inlineStr">
        <is>
          <t>Fon Oranı +%1 Etkisi</t>
        </is>
      </c>
      <c r="B14" s="134">
        <f>IFERROR(ABS(YenidegerFonToplam*AYARLAR!$B$22/AYARLAR!$B$11),0)</f>
        <v/>
      </c>
    </row>
    <row r="16" ht="15" customHeight="1" s="81">
      <c r="A16" s="136" t="inlineStr">
        <is>
          <t>En Etkili Değişken</t>
        </is>
      </c>
      <c r="B16" s="138">
        <f>IF(B13&gt;=B14,"İskonto Oranı","Fon Oranı")</f>
        <v/>
      </c>
    </row>
    <row r="18" ht="19.5" customHeight="1" s="81">
      <c r="A18" s="132" t="inlineStr">
        <is>
          <t>Senaryo iskonto oranları ve tornado çarpanları AYARLAR'dan türetilir.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AD1"/>
    <mergeCell ref="A18:AN18"/>
  </mergeCells>
  <conditionalFormatting sqref="C7:C10">
    <cfRule type="cellIs" rank="0" priority="2" equalAverage="0" operator="lessThan" aboveAverage="0" dxfId="9" text="" percent="0" bottom="0">
      <formula>0</formula>
    </cfRule>
  </conditionalFormatting>
  <conditionalFormatting sqref="B7:B10">
    <cfRule type="cellIs" rank="0" priority="3" equalAverage="0" operator="greaterThan" aboveAverage="0" dxfId="9" text="" percent="0" bottom="0">
      <formula>0.2</formula>
    </cfRule>
  </conditionalFormatting>
  <conditionalFormatting sqref="B13:B14">
    <cfRule type="cellIs" rank="0" priority="4" equalAverage="0" operator="lessThan" aboveAverage="0" dxfId="9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1"/>
  </sheetPr>
  <dimension ref="A1:AN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7" min="1" max="1"/>
    <col width="40" customWidth="1" style="107" min="2" max="2"/>
  </cols>
  <sheetData>
    <row r="1" ht="25.5" customHeight="1" s="81">
      <c r="A1" s="158" t="inlineStr">
        <is>
          <t>YENİDEN DEĞERLEME — YÖNETİCİ ÖZETİ</t>
        </is>
      </c>
    </row>
    <row r="2" ht="15" customHeight="1" s="81">
      <c r="A2" s="159">
        <f>_xlfn.CONCAT("Rapor Tarihi: ",TEXT(RaporTarihi,"dd.mm.yyyy")," | Hazırlayan: ",RaporHazirlayan," | Sürüm: ",DosyaSurumu)</f>
        <v/>
      </c>
    </row>
    <row r="4" ht="17.25" customHeight="1" s="81">
      <c r="A4" s="111" t="inlineStr">
        <is>
          <t>Karar</t>
        </is>
      </c>
      <c r="B4" s="147">
        <f>KARAR!B11</f>
        <v/>
      </c>
    </row>
    <row r="6" ht="15" customHeight="1" s="81">
      <c r="A6" s="113" t="inlineStr">
        <is>
          <t>Toplam Değer Artışı (TL)</t>
        </is>
      </c>
      <c r="B6" s="134">
        <f>HESAP!C12</f>
        <v/>
      </c>
    </row>
    <row r="7" ht="15" customHeight="1" s="81">
      <c r="A7" s="113" t="inlineStr">
        <is>
          <t>Fon Vergisi Yükü (TL)</t>
        </is>
      </c>
      <c r="B7" s="134">
        <f>HESAP!D12</f>
        <v/>
      </c>
    </row>
    <row r="8" ht="15" customHeight="1" s="81">
      <c r="A8" s="113" t="inlineStr">
        <is>
          <t>Yıllık Vergi Tasarrufu (TL)</t>
        </is>
      </c>
      <c r="B8" s="134">
        <f>HESAP!F12</f>
        <v/>
      </c>
    </row>
    <row r="9" ht="15" customHeight="1" s="81">
      <c r="A9" s="113" t="inlineStr">
        <is>
          <t>Tasarruf Bugünkü Değeri (TL)</t>
        </is>
      </c>
      <c r="B9" s="134">
        <f>HESAP!G12</f>
        <v/>
      </c>
    </row>
    <row r="10" ht="15" customHeight="1" s="81">
      <c r="A10" s="113" t="inlineStr">
        <is>
          <t>Net Fayda (TL)</t>
        </is>
      </c>
      <c r="B10" s="134">
        <f>HESAP!H12</f>
        <v/>
      </c>
    </row>
    <row r="11" ht="15" customHeight="1" s="81">
      <c r="A11" s="113" t="inlineStr">
        <is>
          <t>Net Fayda Verimliliği (NBD/Fon)</t>
        </is>
      </c>
      <c r="B11" s="160">
        <f>HESAP!B21</f>
        <v/>
      </c>
    </row>
    <row r="12" ht="15" customHeight="1" s="81">
      <c r="A12" s="113" t="inlineStr">
        <is>
          <t>Kıymet Adedi</t>
        </is>
      </c>
      <c r="B12" s="145">
        <f>HESAP!B20</f>
        <v/>
      </c>
    </row>
    <row r="13" ht="15" customHeight="1" s="81">
      <c r="A13" s="113" t="inlineStr">
        <is>
          <t>Ortalama Değer Artışı Oranı</t>
        </is>
      </c>
      <c r="B13" s="157">
        <f>ANALITIK_MOTOR!C6</f>
        <v/>
      </c>
    </row>
    <row r="14" ht="15" customHeight="1" s="81">
      <c r="A14" s="113" t="inlineStr">
        <is>
          <t>Kalite Skoru</t>
        </is>
      </c>
      <c r="B14" s="145">
        <f>KONTROLLER!B19</f>
        <v/>
      </c>
    </row>
    <row r="16" ht="15" customHeight="1" s="81">
      <c r="A16" s="150" t="inlineStr">
        <is>
          <t>Varsayımlar ve Önemli Notlar</t>
        </is>
      </c>
    </row>
    <row r="17" ht="15" customHeight="1" s="81">
      <c r="A17" s="112" t="inlineStr">
        <is>
          <t>• Değer artışı, değerlenmiş net değer eksi net defter değeri olarak hesaplanır.</t>
        </is>
      </c>
    </row>
    <row r="18" ht="15" customHeight="1" s="81">
      <c r="A18" s="112" t="inlineStr">
        <is>
          <t>• Fon vergisi, değer artışı üzerinden VUK Geçici 31 kapsamında %2 olarak alınır (oran AYARLAR'dan değişir).</t>
        </is>
      </c>
    </row>
    <row r="19" ht="15" customHeight="1" s="81">
      <c r="A19" s="112" t="inlineStr">
        <is>
          <t>• Vergi tasarrufu, yıllık ek amortismanın kurumlar vergisi oranı ile çarpımıdır; iskonto oranıyla bugünkü değere indirgenir.</t>
        </is>
      </c>
    </row>
    <row r="20" ht="15" customHeight="1" s="81">
      <c r="A20" s="112" t="inlineStr">
        <is>
          <t>• Arazi gibi amortismana tabi olmayan kıymetlerde ek amortisman yoktur; net fayda fon yükü kadar negatif kalır.</t>
        </is>
      </c>
    </row>
    <row r="21" ht="15" customHeight="1" s="81">
      <c r="A21" s="112" t="inlineStr">
        <is>
          <t>• Bu dosya karar destek aracıdır; mali müşavir veya vergi danışmanı görüşü yerine geçmez.</t>
        </is>
      </c>
    </row>
    <row r="22" ht="15" customHeight="1" s="81">
      <c r="A22" s="112" t="inlineStr">
        <is>
          <t>• Demo veriler gerçek müşteri verisi değildir; kullanımdan önce temizlenmelidir.</t>
        </is>
      </c>
    </row>
    <row r="24" ht="15" customHeight="1" s="81">
      <c r="A24" s="150" t="inlineStr">
        <is>
          <t>Önerilen Aksiyonlar</t>
        </is>
      </c>
    </row>
    <row r="25" ht="15" customHeight="1" s="81">
      <c r="A25" s="112">
        <f>YenidegerAksiyon1_ACIKLAMA</f>
        <v/>
      </c>
    </row>
    <row r="26" ht="15" customHeight="1" s="81">
      <c r="A26" s="112">
        <f>YenidegerAksiyon2_ACIKLAMA</f>
        <v/>
      </c>
    </row>
    <row r="27" ht="15" customHeight="1" s="81">
      <c r="A27" s="112">
        <f>YenidegerAksiyon3_ACIKLAMA</f>
        <v/>
      </c>
    </row>
    <row r="29" ht="21.75" customHeight="1" s="81">
      <c r="A29" s="161" t="inlineStr">
        <is>
          <t>Bu rapor karar destek amaçlıdır; mali tavsiye niteliği taşımaz.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1">
    <mergeCell ref="A20:L20"/>
    <mergeCell ref="A26:L26"/>
    <mergeCell ref="A2:L2"/>
    <mergeCell ref="A25:L25"/>
    <mergeCell ref="A19:L19"/>
    <mergeCell ref="A22:L22"/>
    <mergeCell ref="A17:L17"/>
    <mergeCell ref="A18:L18"/>
    <mergeCell ref="A27:L27"/>
    <mergeCell ref="A21:L21"/>
    <mergeCell ref="A1:AN1"/>
  </mergeCells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&amp;LYeniden Değerleme Yapmalı Mıyım? (Vergi Tasarruf Analizi)&amp;CExcelArşiv&amp;RSayfa &amp;P /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1" customWidth="1" style="107" min="1" max="1"/>
    <col width="15" customWidth="1" style="107" min="2" max="2"/>
    <col width="18" customWidth="1" style="107" min="3" max="5"/>
    <col width="15" customWidth="1" style="107" min="6" max="6"/>
    <col width="18" customWidth="1" style="107" min="7" max="7"/>
    <col width="22" customWidth="1" style="107" min="8" max="8"/>
  </cols>
  <sheetData>
    <row r="1" ht="25.5" customHeight="1" s="81">
      <c r="A1" s="108" t="inlineStr">
        <is>
          <t>ORNEK VERI — Yeniden Değerleme Yapmalı Mıyım? (Vergi Tasarruf Analizi)</t>
        </is>
      </c>
    </row>
    <row r="3" ht="15" customHeight="1" s="81">
      <c r="A3" s="111" t="inlineStr">
        <is>
          <t>Örnek Veri (Demo)</t>
        </is>
      </c>
    </row>
    <row r="4" ht="149.25" customHeight="1" s="81">
      <c r="A4" s="110" t="inlineStr">
        <is>
          <t>Gerçek girişlere başlamadan önce demo veri ile ürünü deneyin. Bu satırlar örnektir; gerçek verilerle değiştirin.</t>
        </is>
      </c>
    </row>
    <row r="5" ht="30" customHeight="1" s="81">
      <c r="A5" s="120" t="inlineStr">
        <is>
          <t>Kayıt Sırası</t>
        </is>
      </c>
      <c r="B5" s="120" t="inlineStr">
        <is>
          <t>Kıymet Türü</t>
        </is>
      </c>
      <c r="C5" s="120" t="inlineStr">
        <is>
          <t>Defter Değeri (Brüt)</t>
        </is>
      </c>
      <c r="D5" s="120" t="inlineStr">
        <is>
          <t>Birikmiş Amortisman</t>
        </is>
      </c>
      <c r="E5" s="120" t="inlineStr">
        <is>
          <t>Net Defter Değeri</t>
        </is>
      </c>
      <c r="F5" s="120" t="inlineStr">
        <is>
          <t>Yeniden Değerleme Katsayısı</t>
        </is>
      </c>
      <c r="G5" s="120" t="inlineStr">
        <is>
          <t>Değer Artışı</t>
        </is>
      </c>
      <c r="H5" s="120" t="inlineStr">
        <is>
          <t>Not</t>
        </is>
      </c>
    </row>
    <row r="6" ht="15" customHeight="1" s="81">
      <c r="A6" s="162" t="n">
        <v>1</v>
      </c>
      <c r="B6" s="163" t="inlineStr">
        <is>
          <t>Bina</t>
        </is>
      </c>
      <c r="C6" s="164" t="n">
        <v>500000</v>
      </c>
      <c r="D6" s="164" t="n">
        <v>200000</v>
      </c>
      <c r="E6" s="165">
        <f>IF($C6=0,0,$C6-$D6)</f>
        <v/>
      </c>
      <c r="F6" s="166" t="n">
        <v>2.5</v>
      </c>
      <c r="G6" s="165">
        <f>IF($E6=0,0,$E6*($F6-1))</f>
        <v/>
      </c>
      <c r="H6" s="124">
        <f>IF($B6="","",CONCATENATE("Örnek kıymet: ",$B6))</f>
        <v/>
      </c>
    </row>
    <row r="7" ht="15" customHeight="1" s="81">
      <c r="A7" s="162" t="n">
        <v>2</v>
      </c>
      <c r="B7" s="163" t="inlineStr">
        <is>
          <t>Bina</t>
        </is>
      </c>
      <c r="C7" s="164" t="n">
        <v>300000</v>
      </c>
      <c r="D7" s="164" t="n">
        <v>100000</v>
      </c>
      <c r="E7" s="165">
        <f>IF($C7=0,0,$C7-$D7)</f>
        <v/>
      </c>
      <c r="F7" s="166" t="n">
        <v>2.2</v>
      </c>
      <c r="G7" s="165">
        <f>IF($E7=0,0,$E7*($F7-1))</f>
        <v/>
      </c>
      <c r="H7" s="124">
        <f>IF($B7="","",CONCATENATE("Örnek kıymet: ",$B7))</f>
        <v/>
      </c>
    </row>
    <row r="8" ht="15" customHeight="1" s="81">
      <c r="A8" s="162" t="n">
        <v>3</v>
      </c>
      <c r="B8" s="163" t="inlineStr">
        <is>
          <t>Makine</t>
        </is>
      </c>
      <c r="C8" s="164" t="n">
        <v>250000</v>
      </c>
      <c r="D8" s="164" t="n">
        <v>120000</v>
      </c>
      <c r="E8" s="165">
        <f>IF($C8=0,0,$C8-$D8)</f>
        <v/>
      </c>
      <c r="F8" s="166" t="n">
        <v>3.1</v>
      </c>
      <c r="G8" s="165">
        <f>IF($E8=0,0,$E8*($F8-1))</f>
        <v/>
      </c>
      <c r="H8" s="124">
        <f>IF($B8="","",CONCATENATE("Örnek kıymet: ",$B8))</f>
        <v/>
      </c>
    </row>
    <row r="9" ht="15" customHeight="1" s="81">
      <c r="A9" s="162" t="n">
        <v>4</v>
      </c>
      <c r="B9" s="163" t="inlineStr">
        <is>
          <t>Makine</t>
        </is>
      </c>
      <c r="C9" s="164" t="n">
        <v>400000</v>
      </c>
      <c r="D9" s="164" t="n">
        <v>220000</v>
      </c>
      <c r="E9" s="165">
        <f>IF($C9=0,0,$C9-$D9)</f>
        <v/>
      </c>
      <c r="F9" s="166" t="n">
        <v>2.8</v>
      </c>
      <c r="G9" s="165">
        <f>IF($E9=0,0,$E9*($F9-1))</f>
        <v/>
      </c>
      <c r="H9" s="124">
        <f>IF($B9="","",CONCATENATE("Örnek kıymet: ",$B9))</f>
        <v/>
      </c>
    </row>
    <row r="10" ht="15" customHeight="1" s="81">
      <c r="A10" s="162" t="n">
        <v>5</v>
      </c>
      <c r="B10" s="163" t="inlineStr">
        <is>
          <t>Tesis</t>
        </is>
      </c>
      <c r="C10" s="164" t="n">
        <v>1500000</v>
      </c>
      <c r="D10" s="164" t="n">
        <v>600000</v>
      </c>
      <c r="E10" s="165">
        <f>IF($C10=0,0,$C10-$D10)</f>
        <v/>
      </c>
      <c r="F10" s="166" t="n">
        <v>2.3</v>
      </c>
      <c r="G10" s="165">
        <f>IF($E10=0,0,$E10*($F10-1))</f>
        <v/>
      </c>
      <c r="H10" s="124">
        <f>IF($B10="","",CONCATENATE("Örnek kıymet: ",$B10))</f>
        <v/>
      </c>
    </row>
    <row r="11" ht="15" customHeight="1" s="81">
      <c r="A11" s="162" t="n">
        <v>6</v>
      </c>
      <c r="B11" s="163" t="inlineStr">
        <is>
          <t>Taşıt</t>
        </is>
      </c>
      <c r="C11" s="164" t="n">
        <v>120000</v>
      </c>
      <c r="D11" s="164" t="n">
        <v>80000</v>
      </c>
      <c r="E11" s="165">
        <f>IF($C11=0,0,$C11-$D11)</f>
        <v/>
      </c>
      <c r="F11" s="166" t="n">
        <v>1.9</v>
      </c>
      <c r="G11" s="165">
        <f>IF($E11=0,0,$E11*($F11-1))</f>
        <v/>
      </c>
      <c r="H11" s="124">
        <f>IF($B11="","",CONCATENATE("Örnek kıymet: ",$B11))</f>
        <v/>
      </c>
    </row>
    <row r="12" ht="15" customHeight="1" s="81">
      <c r="E12" s="124">
        <f>IF($C12=0,0,$C12-$D12)</f>
        <v/>
      </c>
      <c r="G12" s="124">
        <f>IF($E12=0,0,$E12*($F12-1))</f>
        <v/>
      </c>
      <c r="H12" s="124">
        <f>IF($B12="","",CONCATENATE("Örnek kıymet: ",$B12))</f>
        <v/>
      </c>
    </row>
    <row r="13" ht="15" customHeight="1" s="81">
      <c r="E13" s="124">
        <f>IF($C13=0,0,$C13-$D13)</f>
        <v/>
      </c>
      <c r="G13" s="124">
        <f>IF($E13=0,0,$E13*($F13-1))</f>
        <v/>
      </c>
      <c r="H13" s="124">
        <f>IF($B13="","",CONCATENATE("Örnek kıymet: ",$B13))</f>
        <v/>
      </c>
    </row>
    <row r="14" ht="15" customHeight="1" s="81">
      <c r="E14" s="124">
        <f>IF($C14=0,0,$C14-$D14)</f>
        <v/>
      </c>
      <c r="G14" s="124">
        <f>IF($E14=0,0,$E14*($F14-1))</f>
        <v/>
      </c>
      <c r="H14" s="124">
        <f>IF($B14="","",CONCATENATE("Örnek kıymet: ",$B14))</f>
        <v/>
      </c>
    </row>
    <row r="15" ht="15" customHeight="1" s="81">
      <c r="E15" s="124">
        <f>IF($C15=0,0,$C15-$D15)</f>
        <v/>
      </c>
      <c r="G15" s="124">
        <f>IF($E15=0,0,$E15*($F15-1))</f>
        <v/>
      </c>
      <c r="H15" s="124">
        <f>IF($B15="","",CONCATENATE("Örnek kıymet: ",$B15))</f>
        <v/>
      </c>
    </row>
    <row r="16" ht="15" customHeight="1" s="81">
      <c r="E16" s="124">
        <f>IF($C16=0,0,$C16-$D16)</f>
        <v/>
      </c>
      <c r="G16" s="124">
        <f>IF($E16=0,0,$E16*($F16-1))</f>
        <v/>
      </c>
      <c r="H16" s="124">
        <f>IF($B16="","",CONCATENATE("Örnek kıymet: ",$B16))</f>
        <v/>
      </c>
    </row>
    <row r="17" ht="15" customHeight="1" s="81">
      <c r="E17" s="124">
        <f>IF($C17=0,0,$C17-$D17)</f>
        <v/>
      </c>
      <c r="G17" s="124">
        <f>IF($E17=0,0,$E17*($F17-1))</f>
        <v/>
      </c>
      <c r="H17" s="124">
        <f>IF($B17="","",CONCATENATE("Örnek kıymet: ",$B17))</f>
        <v/>
      </c>
    </row>
    <row r="18" ht="15" customHeight="1" s="81">
      <c r="E18" s="124">
        <f>IF($C18=0,0,$C18-$D18)</f>
        <v/>
      </c>
      <c r="G18" s="124">
        <f>IF($E18=0,0,$E18*($F18-1))</f>
        <v/>
      </c>
      <c r="H18" s="124">
        <f>IF($B18="","",CONCATENATE("Örnek kıymet: ",$B18))</f>
        <v/>
      </c>
    </row>
    <row r="19" ht="15" customHeight="1" s="81">
      <c r="E19" s="124">
        <f>IF($C19=0,0,$C19-$D19)</f>
        <v/>
      </c>
      <c r="G19" s="124">
        <f>IF($E19=0,0,$E19*($F19-1))</f>
        <v/>
      </c>
      <c r="H19" s="124">
        <f>IF($B19="","",CONCATENATE("Örnek kıymet: ",$B19))</f>
        <v/>
      </c>
    </row>
    <row r="20" ht="15" customHeight="1" s="81">
      <c r="E20" s="124">
        <f>IF($C20=0,0,$C20-$D20)</f>
        <v/>
      </c>
      <c r="G20" s="124">
        <f>IF($E20=0,0,$E20*($F20-1))</f>
        <v/>
      </c>
      <c r="H20" s="124">
        <f>IF($B20="","",CONCATENATE("Örnek kıymet: ",$B20))</f>
        <v/>
      </c>
    </row>
    <row r="21" ht="15" customHeight="1" s="81">
      <c r="E21" s="124">
        <f>IF($C21=0,0,$C21-$D21)</f>
        <v/>
      </c>
      <c r="G21" s="124">
        <f>IF($E21=0,0,$E21*($F21-1))</f>
        <v/>
      </c>
      <c r="H21" s="124">
        <f>IF($B21="","",CONCATENATE("Örnek kıymet: ",$B21))</f>
        <v/>
      </c>
    </row>
    <row r="22" ht="15" customHeight="1" s="81">
      <c r="E22" s="124">
        <f>IF($C22=0,0,$C22-$D22)</f>
        <v/>
      </c>
      <c r="G22" s="124">
        <f>IF($E22=0,0,$E22*($F22-1))</f>
        <v/>
      </c>
      <c r="H22" s="124">
        <f>IF($B22="","",CONCATENATE("Örnek kıymet: ",$B22))</f>
        <v/>
      </c>
    </row>
    <row r="23" ht="15" customHeight="1" s="81">
      <c r="E23" s="124">
        <f>IF($C23=0,0,$C23-$D23)</f>
        <v/>
      </c>
      <c r="G23" s="124">
        <f>IF($E23=0,0,$E23*($F23-1))</f>
        <v/>
      </c>
      <c r="H23" s="124">
        <f>IF($B23="","",CONCATENATE("Örnek kıymet: ",$B23))</f>
        <v/>
      </c>
    </row>
    <row r="24" ht="15" customHeight="1" s="81">
      <c r="E24" s="124">
        <f>IF($C24=0,0,$C24-$D24)</f>
        <v/>
      </c>
      <c r="G24" s="124">
        <f>IF($E24=0,0,$E24*($F24-1))</f>
        <v/>
      </c>
      <c r="H24" s="124">
        <f>IF($B24="","",CONCATENATE("Örnek kıymet: ",$B24))</f>
        <v/>
      </c>
    </row>
    <row r="25" ht="15" customHeight="1" s="81">
      <c r="E25" s="124">
        <f>IF($C25=0,0,$C25-$D25)</f>
        <v/>
      </c>
      <c r="G25" s="124">
        <f>IF($E25=0,0,$E25*($F25-1))</f>
        <v/>
      </c>
      <c r="H25" s="124">
        <f>IF($B25="","",CONCATENATE("Örnek kıymet: ",$B25))</f>
        <v/>
      </c>
    </row>
    <row r="26" ht="15" customHeight="1" s="81">
      <c r="E26" s="124">
        <f>IF($C26=0,0,$C26-$D26)</f>
        <v/>
      </c>
      <c r="G26" s="124">
        <f>IF($E26=0,0,$E26*($F26-1))</f>
        <v/>
      </c>
      <c r="H26" s="124">
        <f>IF($B26="","",CONCATENATE("Örnek kıymet: ",$B26))</f>
        <v/>
      </c>
    </row>
    <row r="27" ht="15" customHeight="1" s="81">
      <c r="E27" s="124">
        <f>IF($C27=0,0,$C27-$D27)</f>
        <v/>
      </c>
      <c r="G27" s="124">
        <f>IF($E27=0,0,$E27*($F27-1))</f>
        <v/>
      </c>
      <c r="H27" s="124">
        <f>IF($B27="","",CONCATENATE("Örnek kıymet: ",$B27))</f>
        <v/>
      </c>
    </row>
    <row r="28" ht="15" customHeight="1" s="81">
      <c r="E28" s="124">
        <f>IF($C28=0,0,$C28-$D28)</f>
        <v/>
      </c>
      <c r="G28" s="124">
        <f>IF($E28=0,0,$E28*($F28-1))</f>
        <v/>
      </c>
      <c r="H28" s="124">
        <f>IF($B28="","",CONCATENATE("Örnek kıymet: ",$B28))</f>
        <v/>
      </c>
    </row>
    <row r="29" ht="15" customHeight="1" s="81">
      <c r="E29" s="124">
        <f>IF($C29=0,0,$C29-$D29)</f>
        <v/>
      </c>
      <c r="G29" s="124">
        <f>IF($E29=0,0,$E29*($F29-1))</f>
        <v/>
      </c>
      <c r="H29" s="124">
        <f>IF($B29="","",CONCATENATE("Örnek kıymet: ",$B29))</f>
        <v/>
      </c>
    </row>
    <row r="30" ht="15" customHeight="1" s="81">
      <c r="E30" s="124">
        <f>IF($C30=0,0,$C30-$D30)</f>
        <v/>
      </c>
      <c r="G30" s="124">
        <f>IF($E30=0,0,$E30*($F30-1))</f>
        <v/>
      </c>
      <c r="H30" s="124">
        <f>IF($B30="","",CONCATENATE("Örnek kıymet: ",$B30))</f>
        <v/>
      </c>
    </row>
    <row r="31" ht="15" customHeight="1" s="81">
      <c r="E31" s="124">
        <f>IF($C31=0,0,$C31-$D31)</f>
        <v/>
      </c>
      <c r="G31" s="124">
        <f>IF($E31=0,0,$E31*($F31-1))</f>
        <v/>
      </c>
      <c r="H31" s="124">
        <f>IF($B31="","",CONCATENATE("Örnek kıymet: ",$B31))</f>
        <v/>
      </c>
    </row>
    <row r="32" ht="15" customHeight="1" s="81">
      <c r="E32" s="124">
        <f>IF($C32=0,0,$C32-$D32)</f>
        <v/>
      </c>
      <c r="G32" s="124">
        <f>IF($E32=0,0,$E32*($F32-1))</f>
        <v/>
      </c>
      <c r="H32" s="124">
        <f>IF($B32="","",CONCATENATE("Örnek kıymet: ",$B32))</f>
        <v/>
      </c>
    </row>
    <row r="33" ht="15" customHeight="1" s="81">
      <c r="E33" s="124">
        <f>IF($C33=0,0,$C33-$D33)</f>
        <v/>
      </c>
      <c r="G33" s="124">
        <f>IF($E33=0,0,$E33*($F33-1))</f>
        <v/>
      </c>
      <c r="H33" s="124">
        <f>IF($B33="","",CONCATENATE("Örnek kıymet: ",$B33))</f>
        <v/>
      </c>
    </row>
    <row r="34" ht="15" customHeight="1" s="81">
      <c r="E34" s="124">
        <f>IF($C34=0,0,$C34-$D34)</f>
        <v/>
      </c>
      <c r="G34" s="124">
        <f>IF($E34=0,0,$E34*($F34-1))</f>
        <v/>
      </c>
      <c r="H34" s="124">
        <f>IF($B34="","",CONCATENATE("Örnek kıymet: ",$B34))</f>
        <v/>
      </c>
    </row>
    <row r="35" ht="15" customHeight="1" s="81">
      <c r="E35" s="124">
        <f>IF($C35=0,0,$C35-$D35)</f>
        <v/>
      </c>
      <c r="G35" s="124">
        <f>IF($E35=0,0,$E35*($F35-1))</f>
        <v/>
      </c>
      <c r="H35" s="124">
        <f>IF($B35="","",CONCATENATE("Örnek kıymet: ",$B35))</f>
        <v/>
      </c>
    </row>
    <row r="36" ht="15" customHeight="1" s="81">
      <c r="E36" s="124">
        <f>IF($C36=0,0,$C36-$D36)</f>
        <v/>
      </c>
      <c r="G36" s="124">
        <f>IF($E36=0,0,$E36*($F36-1))</f>
        <v/>
      </c>
      <c r="H36" s="124">
        <f>IF($B36="","",CONCATENATE("Örnek kıymet: ",$B36))</f>
        <v/>
      </c>
    </row>
    <row r="37" ht="15" customHeight="1" s="81">
      <c r="E37" s="124">
        <f>IF($C37=0,0,$C37-$D37)</f>
        <v/>
      </c>
      <c r="G37" s="124">
        <f>IF($E37=0,0,$E37*($F37-1))</f>
        <v/>
      </c>
      <c r="H37" s="124">
        <f>IF($B37="","",CONCATENATE("Örnek kıymet: ",$B37))</f>
        <v/>
      </c>
    </row>
    <row r="38" ht="15" customHeight="1" s="81">
      <c r="E38" s="124">
        <f>IF($C38=0,0,$C38-$D38)</f>
        <v/>
      </c>
      <c r="G38" s="124">
        <f>IF($E38=0,0,$E38*($F38-1))</f>
        <v/>
      </c>
      <c r="H38" s="124">
        <f>IF($B38="","",CONCATENATE("Örnek kıymet: ",$B38))</f>
        <v/>
      </c>
    </row>
    <row r="39" ht="15" customHeight="1" s="81">
      <c r="E39" s="124">
        <f>IF($C39=0,0,$C39-$D39)</f>
        <v/>
      </c>
      <c r="G39" s="124">
        <f>IF($E39=0,0,$E39*($F39-1))</f>
        <v/>
      </c>
      <c r="H39" s="124">
        <f>IF($B39="","",CONCATENATE("Örnek kıymet: ",$B39))</f>
        <v/>
      </c>
    </row>
    <row r="40" ht="15" customHeight="1" s="81">
      <c r="E40" s="124">
        <f>IF($C40=0,0,$C40-$D40)</f>
        <v/>
      </c>
      <c r="G40" s="124">
        <f>IF($E40=0,0,$E40*($F40-1))</f>
        <v/>
      </c>
      <c r="H40" s="124">
        <f>IF($B40="","",CONCATENATE("Örnek kıymet: ",$B40))</f>
        <v/>
      </c>
    </row>
    <row r="41" ht="15" customHeight="1" s="81">
      <c r="E41" s="124">
        <f>IF($C41=0,0,$C41-$D41)</f>
        <v/>
      </c>
      <c r="G41" s="124">
        <f>IF($E41=0,0,$E41*($F41-1))</f>
        <v/>
      </c>
      <c r="H41" s="124">
        <f>IF($B41="","",CONCATENATE("Örnek kıymet: ",$B41))</f>
        <v/>
      </c>
    </row>
    <row r="42" ht="15" customHeight="1" s="81">
      <c r="E42" s="124">
        <f>IF($C42=0,0,$C42-$D42)</f>
        <v/>
      </c>
      <c r="G42" s="124">
        <f>IF($E42=0,0,$E42*($F42-1))</f>
        <v/>
      </c>
      <c r="H42" s="124">
        <f>IF($B42="","",CONCATENATE("Örnek kıymet: ",$B42))</f>
        <v/>
      </c>
    </row>
    <row r="43" ht="15" customHeight="1" s="81">
      <c r="E43" s="124">
        <f>IF($C43=0,0,$C43-$D43)</f>
        <v/>
      </c>
      <c r="G43" s="124">
        <f>IF($E43=0,0,$E43*($F43-1))</f>
        <v/>
      </c>
      <c r="H43" s="124">
        <f>IF($B43="","",CONCATENATE("Örnek kıymet: ",$B43))</f>
        <v/>
      </c>
    </row>
    <row r="44" ht="15" customHeight="1" s="81">
      <c r="E44" s="124">
        <f>IF($C44=0,0,$C44-$D44)</f>
        <v/>
      </c>
      <c r="G44" s="124">
        <f>IF($E44=0,0,$E44*($F44-1))</f>
        <v/>
      </c>
      <c r="H44" s="124">
        <f>IF($B44="","",CONCATENATE("Örnek kıymet: ",$B44))</f>
        <v/>
      </c>
    </row>
    <row r="45" ht="15" customHeight="1" s="81">
      <c r="E45" s="124">
        <f>IF($C45=0,0,$C45-$D45)</f>
        <v/>
      </c>
      <c r="G45" s="124">
        <f>IF($E45=0,0,$E45*($F45-1))</f>
        <v/>
      </c>
      <c r="H45" s="124">
        <f>IF($B45="","",CONCATENATE("Örnek kıymet: ",$B45))</f>
        <v/>
      </c>
    </row>
    <row r="46" ht="15" customHeight="1" s="81">
      <c r="E46" s="124">
        <f>IF($C46=0,0,$C46-$D46)</f>
        <v/>
      </c>
      <c r="G46" s="124">
        <f>IF($E46=0,0,$E46*($F46-1))</f>
        <v/>
      </c>
      <c r="H46" s="124">
        <f>IF($B46="","",CONCATENATE("Örnek kıymet: ",$B46))</f>
        <v/>
      </c>
    </row>
    <row r="47" ht="15" customHeight="1" s="81">
      <c r="E47" s="124">
        <f>IF($C47=0,0,$C47-$D47)</f>
        <v/>
      </c>
      <c r="G47" s="124">
        <f>IF($E47=0,0,$E47*($F47-1))</f>
        <v/>
      </c>
      <c r="H47" s="124">
        <f>IF($B47="","",CONCATENATE("Örnek kıymet: ",$B47))</f>
        <v/>
      </c>
    </row>
    <row r="48" ht="15" customHeight="1" s="81">
      <c r="E48" s="124">
        <f>IF($C48=0,0,$C48-$D48)</f>
        <v/>
      </c>
      <c r="G48" s="124">
        <f>IF($E48=0,0,$E48*($F48-1))</f>
        <v/>
      </c>
      <c r="H48" s="124">
        <f>IF($B48="","",CONCATENATE("Örnek kıymet: ",$B48))</f>
        <v/>
      </c>
    </row>
    <row r="49" ht="15" customHeight="1" s="81">
      <c r="E49" s="124">
        <f>IF($C49=0,0,$C49-$D49)</f>
        <v/>
      </c>
      <c r="G49" s="124">
        <f>IF($E49=0,0,$E49*($F49-1))</f>
        <v/>
      </c>
      <c r="H49" s="124">
        <f>IF($B49="","",CONCATENATE("Örnek kıymet: ",$B49))</f>
        <v/>
      </c>
    </row>
    <row r="50" ht="15" customHeight="1" s="81">
      <c r="E50" s="124">
        <f>IF($C50=0,0,$C50-$D50)</f>
        <v/>
      </c>
      <c r="G50" s="124">
        <f>IF($E50=0,0,$E50*($F50-1))</f>
        <v/>
      </c>
      <c r="H50" s="124">
        <f>IF($B50="","",CONCATENATE("Örnek kıymet: ",$B50))</f>
        <v/>
      </c>
    </row>
    <row r="51" ht="15" customHeight="1" s="81">
      <c r="E51" s="124">
        <f>IF($C51=0,0,$C51-$D51)</f>
        <v/>
      </c>
      <c r="G51" s="124">
        <f>IF($E51=0,0,$E51*($F51-1))</f>
        <v/>
      </c>
      <c r="H51" s="124">
        <f>IF($B51="","",CONCATENATE("Örnek kıymet: ",$B51))</f>
        <v/>
      </c>
    </row>
    <row r="52" ht="15" customHeight="1" s="81">
      <c r="E52" s="124">
        <f>IF($C52=0,0,$C52-$D52)</f>
        <v/>
      </c>
      <c r="G52" s="124">
        <f>IF($E52=0,0,$E52*($F52-1))</f>
        <v/>
      </c>
      <c r="H52" s="124">
        <f>IF($B52="","",CONCATENATE("Örnek kıymet: ",$B52))</f>
        <v/>
      </c>
    </row>
    <row r="53" ht="15" customHeight="1" s="81">
      <c r="E53" s="124">
        <f>IF($C53=0,0,$C53-$D53)</f>
        <v/>
      </c>
      <c r="G53" s="124">
        <f>IF($E53=0,0,$E53*($F53-1))</f>
        <v/>
      </c>
      <c r="H53" s="124">
        <f>IF($B53="","",CONCATENATE("Örnek kıymet: ",$B53))</f>
        <v/>
      </c>
    </row>
    <row r="54" ht="15" customHeight="1" s="81">
      <c r="E54" s="124">
        <f>IF($C54=0,0,$C54-$D54)</f>
        <v/>
      </c>
      <c r="G54" s="124">
        <f>IF($E54=0,0,$E54*($F54-1))</f>
        <v/>
      </c>
      <c r="H54" s="124">
        <f>IF($B54="","",CONCATENATE("Örnek kıymet: ",$B54))</f>
        <v/>
      </c>
    </row>
    <row r="55" ht="15" customHeight="1" s="81">
      <c r="E55" s="124">
        <f>IF($C55=0,0,$C55-$D55)</f>
        <v/>
      </c>
      <c r="G55" s="124">
        <f>IF($E55=0,0,$E55*($F55-1))</f>
        <v/>
      </c>
      <c r="H55" s="124">
        <f>IF($B55="","",CONCATENATE("Örnek kıymet: ",$B55))</f>
        <v/>
      </c>
    </row>
    <row r="56" ht="15" customHeight="1" s="81">
      <c r="E56" s="124">
        <f>IF($C56=0,0,$C56-$D56)</f>
        <v/>
      </c>
      <c r="G56" s="124">
        <f>IF($E56=0,0,$E56*($F56-1))</f>
        <v/>
      </c>
      <c r="H56" s="124">
        <f>IF($B56="","",CONCATENATE("Örnek kıymet: ",$B56))</f>
        <v/>
      </c>
    </row>
    <row r="57" ht="15" customHeight="1" s="81">
      <c r="E57" s="124">
        <f>IF($C57=0,0,$C57-$D57)</f>
        <v/>
      </c>
      <c r="G57" s="124">
        <f>IF($E57=0,0,$E57*($F57-1))</f>
        <v/>
      </c>
      <c r="H57" s="124">
        <f>IF($B57="","",CONCATENATE("Örnek kıymet: ",$B57))</f>
        <v/>
      </c>
    </row>
    <row r="58" ht="15" customHeight="1" s="81">
      <c r="E58" s="124">
        <f>IF($C58=0,0,$C58-$D58)</f>
        <v/>
      </c>
      <c r="G58" s="124">
        <f>IF($E58=0,0,$E58*($F58-1))</f>
        <v/>
      </c>
      <c r="H58" s="124">
        <f>IF($B58="","",CONCATENATE("Örnek kıymet: ",$B58))</f>
        <v/>
      </c>
    </row>
    <row r="59" ht="15" customHeight="1" s="81">
      <c r="E59" s="124">
        <f>IF($C59=0,0,$C59-$D59)</f>
        <v/>
      </c>
      <c r="G59" s="124">
        <f>IF($E59=0,0,$E59*($F59-1))</f>
        <v/>
      </c>
      <c r="H59" s="124">
        <f>IF($B59="","",CONCATENATE("Örnek kıymet: ",$B59))</f>
        <v/>
      </c>
    </row>
    <row r="60" ht="15" customHeight="1" s="81">
      <c r="E60" s="124">
        <f>IF($C60=0,0,$C60-$D60)</f>
        <v/>
      </c>
      <c r="G60" s="124">
        <f>IF($E60=0,0,$E60*($F60-1))</f>
        <v/>
      </c>
      <c r="H60" s="124">
        <f>IF($B60="","",CONCATENATE("Örnek kıymet: ",$B60))</f>
        <v/>
      </c>
    </row>
    <row r="61" ht="15" customHeight="1" s="81">
      <c r="E61" s="124">
        <f>IF($C61=0,0,$C61-$D61)</f>
        <v/>
      </c>
      <c r="G61" s="124">
        <f>IF($E61=0,0,$E61*($F61-1))</f>
        <v/>
      </c>
      <c r="H61" s="124">
        <f>IF($B61="","",CONCATENATE("Örnek kıymet: ",$B61))</f>
        <v/>
      </c>
    </row>
    <row r="62" ht="15" customHeight="1" s="81">
      <c r="E62" s="124">
        <f>IF($C62=0,0,$C62-$D62)</f>
        <v/>
      </c>
      <c r="G62" s="124">
        <f>IF($E62=0,0,$E62*($F62-1))</f>
        <v/>
      </c>
      <c r="H62" s="124">
        <f>IF($B62="","",CONCATENATE("Örnek kıymet: ",$B62))</f>
        <v/>
      </c>
    </row>
    <row r="63" ht="15" customHeight="1" s="81">
      <c r="E63" s="124">
        <f>IF($C63=0,0,$C63-$D63)</f>
        <v/>
      </c>
      <c r="G63" s="124">
        <f>IF($E63=0,0,$E63*($F63-1))</f>
        <v/>
      </c>
      <c r="H63" s="124">
        <f>IF($B63="","",CONCATENATE("Örnek kıymet: ",$B63))</f>
        <v/>
      </c>
    </row>
    <row r="64" ht="15" customHeight="1" s="81">
      <c r="E64" s="124">
        <f>IF($C64=0,0,$C64-$D64)</f>
        <v/>
      </c>
      <c r="G64" s="124">
        <f>IF($E64=0,0,$E64*($F64-1))</f>
        <v/>
      </c>
      <c r="H64" s="124">
        <f>IF($B64="","",CONCATENATE("Örnek kıymet: ",$B64))</f>
        <v/>
      </c>
    </row>
    <row r="65" ht="15" customHeight="1" s="81">
      <c r="E65" s="124">
        <f>IF($C65=0,0,$C65-$D65)</f>
        <v/>
      </c>
      <c r="G65" s="124">
        <f>IF($E65=0,0,$E65*($F65-1))</f>
        <v/>
      </c>
      <c r="H65" s="124">
        <f>IF($B65="","",CONCATENATE("Örnek kıymet: ",$B65))</f>
        <v/>
      </c>
    </row>
    <row r="66" ht="15" customHeight="1" s="81">
      <c r="E66" s="124">
        <f>IF($C66=0,0,$C66-$D66)</f>
        <v/>
      </c>
      <c r="G66" s="124">
        <f>IF($E66=0,0,$E66*($F66-1))</f>
        <v/>
      </c>
      <c r="H66" s="124">
        <f>IF($B66="","",CONCATENATE("Örnek kıymet: ",$B66))</f>
        <v/>
      </c>
    </row>
    <row r="67" ht="15" customHeight="1" s="81">
      <c r="E67" s="124">
        <f>IF($C67=0,0,$C67-$D67)</f>
        <v/>
      </c>
      <c r="G67" s="124">
        <f>IF($E67=0,0,$E67*($F67-1))</f>
        <v/>
      </c>
      <c r="H67" s="124">
        <f>IF($B67="","",CONCATENATE("Örnek kıymet: ",$B67))</f>
        <v/>
      </c>
    </row>
    <row r="68" ht="15" customHeight="1" s="81">
      <c r="E68" s="124">
        <f>IF($C68=0,0,$C68-$D68)</f>
        <v/>
      </c>
      <c r="G68" s="124">
        <f>IF($E68=0,0,$E68*($F68-1))</f>
        <v/>
      </c>
      <c r="H68" s="124">
        <f>IF($B68="","",CONCATENATE("Örnek kıymet: ",$B68))</f>
        <v/>
      </c>
    </row>
    <row r="69" ht="15" customHeight="1" s="81">
      <c r="E69" s="124">
        <f>IF($C69=0,0,$C69-$D69)</f>
        <v/>
      </c>
      <c r="G69" s="124">
        <f>IF($E69=0,0,$E69*($F69-1))</f>
        <v/>
      </c>
      <c r="H69" s="124">
        <f>IF($B69="","",CONCATENATE("Örnek kıymet: ",$B69))</f>
        <v/>
      </c>
    </row>
    <row r="70" ht="15" customHeight="1" s="81">
      <c r="E70" s="124">
        <f>IF($C70=0,0,$C70-$D70)</f>
        <v/>
      </c>
      <c r="G70" s="124">
        <f>IF($E70=0,0,$E70*($F70-1))</f>
        <v/>
      </c>
      <c r="H70" s="124">
        <f>IF($B70="","",CONCATENATE("Örnek kıymet: ",$B70))</f>
        <v/>
      </c>
    </row>
    <row r="71" ht="15" customHeight="1" s="81">
      <c r="E71" s="124">
        <f>IF($C71=0,0,$C71-$D71)</f>
        <v/>
      </c>
      <c r="G71" s="124">
        <f>IF($E71=0,0,$E71*($F71-1))</f>
        <v/>
      </c>
      <c r="H71" s="124">
        <f>IF($B71="","",CONCATENATE("Örnek kıymet: ",$B71))</f>
        <v/>
      </c>
    </row>
    <row r="72" ht="15" customHeight="1" s="81">
      <c r="E72" s="124">
        <f>IF($C72=0,0,$C72-$D72)</f>
        <v/>
      </c>
      <c r="G72" s="124">
        <f>IF($E72=0,0,$E72*($F72-1))</f>
        <v/>
      </c>
      <c r="H72" s="124">
        <f>IF($B72="","",CONCATENATE("Örnek kıymet: ",$B72))</f>
        <v/>
      </c>
    </row>
    <row r="73" ht="15" customHeight="1" s="81">
      <c r="E73" s="124">
        <f>IF($C73=0,0,$C73-$D73)</f>
        <v/>
      </c>
      <c r="G73" s="124">
        <f>IF($E73=0,0,$E73*($F73-1))</f>
        <v/>
      </c>
      <c r="H73" s="124">
        <f>IF($B73="","",CONCATENATE("Örnek kıymet: ",$B73))</f>
        <v/>
      </c>
    </row>
    <row r="74" ht="15" customHeight="1" s="81">
      <c r="E74" s="124">
        <f>IF($C74=0,0,$C74-$D74)</f>
        <v/>
      </c>
      <c r="G74" s="124">
        <f>IF($E74=0,0,$E74*($F74-1))</f>
        <v/>
      </c>
      <c r="H74" s="124">
        <f>IF($B74="","",CONCATENATE("Örnek kıymet: ",$B74))</f>
        <v/>
      </c>
    </row>
    <row r="75" ht="15" customHeight="1" s="81">
      <c r="E75" s="124">
        <f>IF($C75=0,0,$C75-$D75)</f>
        <v/>
      </c>
      <c r="G75" s="124">
        <f>IF($E75=0,0,$E75*($F75-1))</f>
        <v/>
      </c>
      <c r="H75" s="124">
        <f>IF($B75="","",CONCATENATE("Örnek kıymet: ",$B75))</f>
        <v/>
      </c>
    </row>
    <row r="76" ht="15" customHeight="1" s="81">
      <c r="E76" s="124">
        <f>IF($C76=0,0,$C76-$D76)</f>
        <v/>
      </c>
      <c r="G76" s="124">
        <f>IF($E76=0,0,$E76*($F76-1))</f>
        <v/>
      </c>
      <c r="H76" s="124">
        <f>IF($B76="","",CONCATENATE("Örnek kıymet: ",$B76))</f>
        <v/>
      </c>
    </row>
    <row r="77" ht="15" customHeight="1" s="81">
      <c r="E77" s="124">
        <f>IF($C77=0,0,$C77-$D77)</f>
        <v/>
      </c>
      <c r="G77" s="124">
        <f>IF($E77=0,0,$E77*($F77-1))</f>
        <v/>
      </c>
      <c r="H77" s="124">
        <f>IF($B77="","",CONCATENATE("Örnek kıymet: ",$B77))</f>
        <v/>
      </c>
    </row>
    <row r="78" ht="15" customHeight="1" s="81">
      <c r="E78" s="124">
        <f>IF($C78=0,0,$C78-$D78)</f>
        <v/>
      </c>
      <c r="G78" s="124">
        <f>IF($E78=0,0,$E78*($F78-1))</f>
        <v/>
      </c>
      <c r="H78" s="124">
        <f>IF($B78="","",CONCATENATE("Örnek kıymet: ",$B78))</f>
        <v/>
      </c>
    </row>
    <row r="79" ht="15" customHeight="1" s="81">
      <c r="E79" s="124">
        <f>IF($C79=0,0,$C79-$D79)</f>
        <v/>
      </c>
      <c r="G79" s="124">
        <f>IF($E79=0,0,$E79*($F79-1))</f>
        <v/>
      </c>
      <c r="H79" s="124">
        <f>IF($B79="","",CONCATENATE("Örnek kıymet: ",$B79))</f>
        <v/>
      </c>
    </row>
    <row r="80" ht="15" customHeight="1" s="81">
      <c r="E80" s="124">
        <f>IF($C80=0,0,$C80-$D80)</f>
        <v/>
      </c>
      <c r="G80" s="124">
        <f>IF($E80=0,0,$E80*($F80-1))</f>
        <v/>
      </c>
      <c r="H80" s="124">
        <f>IF($B80="","",CONCATENATE("Örnek kıymet: ",$B80))</f>
        <v/>
      </c>
    </row>
    <row r="81" ht="15" customHeight="1" s="81">
      <c r="E81" s="124">
        <f>IF($C81=0,0,$C81-$D81)</f>
        <v/>
      </c>
      <c r="G81" s="124">
        <f>IF($E81=0,0,$E81*($F81-1))</f>
        <v/>
      </c>
      <c r="H81" s="124">
        <f>IF($B81="","",CONCATENATE("Örnek kıymet: ",$B81))</f>
        <v/>
      </c>
    </row>
    <row r="82" ht="15" customHeight="1" s="81">
      <c r="E82" s="124">
        <f>IF($C82=0,0,$C82-$D82)</f>
        <v/>
      </c>
      <c r="G82" s="124">
        <f>IF($E82=0,0,$E82*($F82-1))</f>
        <v/>
      </c>
      <c r="H82" s="124">
        <f>IF($B82="","",CONCATENATE("Örnek kıymet: ",$B82))</f>
        <v/>
      </c>
    </row>
    <row r="83" ht="15" customHeight="1" s="81">
      <c r="E83" s="124">
        <f>IF($C83=0,0,$C83-$D83)</f>
        <v/>
      </c>
      <c r="G83" s="124">
        <f>IF($E83=0,0,$E83*($F83-1))</f>
        <v/>
      </c>
      <c r="H83" s="124">
        <f>IF($B83="","",CONCATENATE("Örnek kıymet: ",$B83))</f>
        <v/>
      </c>
    </row>
    <row r="84" ht="15" customHeight="1" s="81">
      <c r="E84" s="124">
        <f>IF($C84=0,0,$C84-$D84)</f>
        <v/>
      </c>
      <c r="G84" s="124">
        <f>IF($E84=0,0,$E84*($F84-1))</f>
        <v/>
      </c>
      <c r="H84" s="124">
        <f>IF($B84="","",CONCATENATE("Örnek kıymet: ",$B84))</f>
        <v/>
      </c>
    </row>
    <row r="85" ht="15" customHeight="1" s="81">
      <c r="E85" s="124">
        <f>IF($C85=0,0,$C85-$D85)</f>
        <v/>
      </c>
      <c r="G85" s="124">
        <f>IF($E85=0,0,$E85*($F85-1))</f>
        <v/>
      </c>
      <c r="H85" s="124">
        <f>IF($B85="","",CONCATENATE("Örnek kıymet: ",$B85))</f>
        <v/>
      </c>
    </row>
    <row r="86" ht="15" customHeight="1" s="81">
      <c r="E86" s="124">
        <f>IF($C86=0,0,$C86-$D86)</f>
        <v/>
      </c>
      <c r="G86" s="124">
        <f>IF($E86=0,0,$E86*($F86-1))</f>
        <v/>
      </c>
      <c r="H86" s="124">
        <f>IF($B86="","",CONCATENATE("Örnek kıymet: ",$B86))</f>
        <v/>
      </c>
    </row>
    <row r="87" ht="15" customHeight="1" s="81">
      <c r="E87" s="124">
        <f>IF($C87=0,0,$C87-$D87)</f>
        <v/>
      </c>
      <c r="G87" s="124">
        <f>IF($E87=0,0,$E87*($F87-1))</f>
        <v/>
      </c>
      <c r="H87" s="124">
        <f>IF($B87="","",CONCATENATE("Örnek kıymet: ",$B87))</f>
        <v/>
      </c>
    </row>
    <row r="88" ht="15" customHeight="1" s="81">
      <c r="E88" s="124">
        <f>IF($C88=0,0,$C88-$D88)</f>
        <v/>
      </c>
      <c r="G88" s="124">
        <f>IF($E88=0,0,$E88*($F88-1))</f>
        <v/>
      </c>
      <c r="H88" s="124">
        <f>IF($B88="","",CONCATENATE("Örnek kıymet: ",$B88))</f>
        <v/>
      </c>
    </row>
    <row r="89" ht="15" customHeight="1" s="81">
      <c r="E89" s="124">
        <f>IF($C89=0,0,$C89-$D89)</f>
        <v/>
      </c>
      <c r="G89" s="124">
        <f>IF($E89=0,0,$E89*($F89-1))</f>
        <v/>
      </c>
      <c r="H89" s="124">
        <f>IF($B89="","",CONCATENATE("Örnek kıymet: ",$B89))</f>
        <v/>
      </c>
    </row>
    <row r="90" ht="15" customHeight="1" s="81">
      <c r="E90" s="124">
        <f>IF($C90=0,0,$C90-$D90)</f>
        <v/>
      </c>
      <c r="G90" s="124">
        <f>IF($E90=0,0,$E90*($F90-1))</f>
        <v/>
      </c>
      <c r="H90" s="124">
        <f>IF($B90="","",CONCATENATE("Örnek kıymet: ",$B90))</f>
        <v/>
      </c>
    </row>
    <row r="91" ht="15" customHeight="1" s="81">
      <c r="E91" s="124">
        <f>IF($C91=0,0,$C91-$D91)</f>
        <v/>
      </c>
      <c r="G91" s="124">
        <f>IF($E91=0,0,$E91*($F91-1))</f>
        <v/>
      </c>
      <c r="H91" s="124">
        <f>IF($B91="","",CONCATENATE("Örnek kıymet: ",$B91))</f>
        <v/>
      </c>
    </row>
    <row r="92" ht="15" customHeight="1" s="81">
      <c r="E92" s="124">
        <f>IF($C92=0,0,$C92-$D92)</f>
        <v/>
      </c>
      <c r="G92" s="124">
        <f>IF($E92=0,0,$E92*($F92-1))</f>
        <v/>
      </c>
      <c r="H92" s="124">
        <f>IF($B92="","",CONCATENATE("Örnek kıymet: ",$B92))</f>
        <v/>
      </c>
    </row>
    <row r="93" ht="15" customHeight="1" s="81">
      <c r="E93" s="124">
        <f>IF($C93=0,0,$C93-$D93)</f>
        <v/>
      </c>
      <c r="G93" s="124">
        <f>IF($E93=0,0,$E93*($F93-1))</f>
        <v/>
      </c>
      <c r="H93" s="124">
        <f>IF($B93="","",CONCATENATE("Örnek kıymet: ",$B93))</f>
        <v/>
      </c>
    </row>
    <row r="94" ht="15" customHeight="1" s="81">
      <c r="E94" s="124">
        <f>IF($C94=0,0,$C94-$D94)</f>
        <v/>
      </c>
      <c r="G94" s="124">
        <f>IF($E94=0,0,$E94*($F94-1))</f>
        <v/>
      </c>
      <c r="H94" s="124">
        <f>IF($B94="","",CONCATENATE("Örnek kıymet: ",$B94))</f>
        <v/>
      </c>
    </row>
    <row r="95" ht="15" customHeight="1" s="81">
      <c r="E95" s="124">
        <f>IF($C95=0,0,$C95-$D95)</f>
        <v/>
      </c>
      <c r="G95" s="124">
        <f>IF($E95=0,0,$E95*($F95-1))</f>
        <v/>
      </c>
      <c r="H95" s="124">
        <f>IF($B95="","",CONCATENATE("Örnek kıymet: ",$B95))</f>
        <v/>
      </c>
    </row>
    <row r="96" ht="15" customHeight="1" s="81">
      <c r="E96" s="124">
        <f>IF($C96=0,0,$C96-$D96)</f>
        <v/>
      </c>
      <c r="G96" s="124">
        <f>IF($E96=0,0,$E96*($F96-1))</f>
        <v/>
      </c>
      <c r="H96" s="124">
        <f>IF($B96="","",CONCATENATE("Örnek kıymet: ",$B96))</f>
        <v/>
      </c>
    </row>
    <row r="97" ht="15" customHeight="1" s="81">
      <c r="E97" s="124">
        <f>IF($C97=0,0,$C97-$D97)</f>
        <v/>
      </c>
      <c r="G97" s="124">
        <f>IF($E97=0,0,$E97*($F97-1))</f>
        <v/>
      </c>
      <c r="H97" s="124">
        <f>IF($B97="","",CONCATENATE("Örnek kıymet: ",$B97))</f>
        <v/>
      </c>
    </row>
    <row r="98" ht="15" customHeight="1" s="81">
      <c r="E98" s="124">
        <f>IF($C98=0,0,$C98-$D98)</f>
        <v/>
      </c>
      <c r="G98" s="124">
        <f>IF($E98=0,0,$E98*($F98-1))</f>
        <v/>
      </c>
      <c r="H98" s="124">
        <f>IF($B98="","",CONCATENATE("Örnek kıymet: ",$B98))</f>
        <v/>
      </c>
    </row>
    <row r="99" ht="15" customHeight="1" s="81">
      <c r="E99" s="124">
        <f>IF($C99=0,0,$C99-$D99)</f>
        <v/>
      </c>
      <c r="G99" s="124">
        <f>IF($E99=0,0,$E99*($F99-1))</f>
        <v/>
      </c>
      <c r="H99" s="124">
        <f>IF($B99="","",CONCATENATE("Örnek kıymet: ",$B99))</f>
        <v/>
      </c>
    </row>
    <row r="100" ht="15" customHeight="1" s="81">
      <c r="E100" s="124">
        <f>IF($C100=0,0,$C100-$D100)</f>
        <v/>
      </c>
      <c r="G100" s="124">
        <f>IF($E100=0,0,$E100*($F100-1))</f>
        <v/>
      </c>
      <c r="H100" s="124">
        <f>IF($B100="","",CONCATENATE("Örnek kıymet: ",$B100))</f>
        <v/>
      </c>
    </row>
    <row r="101" ht="15" customHeight="1" s="81">
      <c r="E101" s="124">
        <f>IF($C101=0,0,$C101-$D101)</f>
        <v/>
      </c>
      <c r="G101" s="124">
        <f>IF($E101=0,0,$E101*($F101-1))</f>
        <v/>
      </c>
      <c r="H101" s="124">
        <f>IF($B101="","",CONCATENATE("Örnek kıymet: ",$B101))</f>
        <v/>
      </c>
    </row>
    <row r="102" ht="15" customHeight="1" s="81">
      <c r="E102" s="124">
        <f>IF($C102=0,0,$C102-$D102)</f>
        <v/>
      </c>
      <c r="G102" s="124">
        <f>IF($E102=0,0,$E102*($F102-1))</f>
        <v/>
      </c>
      <c r="H102" s="124">
        <f>IF($B102="","",CONCATENATE("Örnek kıymet: ",$B102))</f>
        <v/>
      </c>
    </row>
    <row r="103" ht="15" customHeight="1" s="81">
      <c r="E103" s="124">
        <f>IF($C103=0,0,$C103-$D103)</f>
        <v/>
      </c>
      <c r="G103" s="124">
        <f>IF($E103=0,0,$E103*($F103-1))</f>
        <v/>
      </c>
      <c r="H103" s="124">
        <f>IF($B103="","",CONCATENATE("Örnek kıymet: ",$B103))</f>
        <v/>
      </c>
    </row>
    <row r="104" ht="15" customHeight="1" s="81">
      <c r="E104" s="124">
        <f>IF($C104=0,0,$C104-$D104)</f>
        <v/>
      </c>
      <c r="G104" s="124">
        <f>IF($E104=0,0,$E104*($F104-1))</f>
        <v/>
      </c>
      <c r="H104" s="124">
        <f>IF($B104="","",CONCATENATE("Örnek kıymet: ",$B104))</f>
        <v/>
      </c>
    </row>
    <row r="105" ht="15" customHeight="1" s="81">
      <c r="E105" s="124">
        <f>IF($C105=0,0,$C105-$D105)</f>
        <v/>
      </c>
      <c r="G105" s="124">
        <f>IF($E105=0,0,$E105*($F105-1))</f>
        <v/>
      </c>
      <c r="H105" s="124">
        <f>IF($B105="","",CONCATENATE("Örnek kıymet: ",$B105))</f>
        <v/>
      </c>
    </row>
    <row r="106" ht="15" customHeight="1" s="81">
      <c r="E106" s="124">
        <f>IF($C106=0,0,$C106-$D106)</f>
        <v/>
      </c>
      <c r="G106" s="124">
        <f>IF($E106=0,0,$E106*($F106-1))</f>
        <v/>
      </c>
      <c r="H106" s="124">
        <f>IF($B106="","",CONCATENATE("Örnek kıymet: ",$B106))</f>
        <v/>
      </c>
    </row>
    <row r="107" ht="15" customHeight="1" s="81">
      <c r="E107" s="124">
        <f>IF($C107=0,0,$C107-$D107)</f>
        <v/>
      </c>
      <c r="G107" s="124">
        <f>IF($E107=0,0,$E107*($F107-1))</f>
        <v/>
      </c>
      <c r="H107" s="124">
        <f>IF($B107="","",CONCATENATE("Örnek kıymet: ",$B107))</f>
        <v/>
      </c>
    </row>
    <row r="108" ht="15" customHeight="1" s="81">
      <c r="E108" s="124">
        <f>IF($C108=0,0,$C108-$D108)</f>
        <v/>
      </c>
      <c r="G108" s="124">
        <f>IF($E108=0,0,$E108*($F108-1))</f>
        <v/>
      </c>
      <c r="H108" s="124">
        <f>IF($B108="","",CONCATENATE("Örnek kıymet: ",$B108))</f>
        <v/>
      </c>
    </row>
    <row r="109" ht="15" customHeight="1" s="81">
      <c r="E109" s="124">
        <f>IF($C109=0,0,$C109-$D109)</f>
        <v/>
      </c>
      <c r="G109" s="124">
        <f>IF($E109=0,0,$E109*($F109-1))</f>
        <v/>
      </c>
      <c r="H109" s="124">
        <f>IF($B109="","",CONCATENATE("Örnek kıymet: ",$B109))</f>
        <v/>
      </c>
    </row>
    <row r="110" ht="15" customHeight="1" s="81">
      <c r="E110" s="124">
        <f>IF($C110=0,0,$C110-$D110)</f>
        <v/>
      </c>
      <c r="G110" s="124">
        <f>IF($E110=0,0,$E110*($F110-1))</f>
        <v/>
      </c>
      <c r="H110" s="124">
        <f>IF($B110="","",CONCATENATE("Örnek kıymet: ",$B110))</f>
        <v/>
      </c>
    </row>
    <row r="111" ht="15" customHeight="1" s="81">
      <c r="E111" s="124">
        <f>IF($C111=0,0,$C111-$D111)</f>
        <v/>
      </c>
      <c r="G111" s="124">
        <f>IF($E111=0,0,$E111*($F111-1))</f>
        <v/>
      </c>
      <c r="H111" s="124">
        <f>IF($B111="","",CONCATENATE("Örnek kıymet: ",$B111))</f>
        <v/>
      </c>
    </row>
    <row r="112" ht="15" customHeight="1" s="81">
      <c r="E112" s="124">
        <f>IF($C112=0,0,$C112-$D112)</f>
        <v/>
      </c>
      <c r="G112" s="124">
        <f>IF($E112=0,0,$E112*($F112-1))</f>
        <v/>
      </c>
      <c r="H112" s="124">
        <f>IF($B112="","",CONCATENATE("Örnek kıymet: ",$B112))</f>
        <v/>
      </c>
    </row>
    <row r="113" ht="15" customHeight="1" s="81">
      <c r="E113" s="124">
        <f>IF($C113=0,0,$C113-$D113)</f>
        <v/>
      </c>
      <c r="G113" s="124">
        <f>IF($E113=0,0,$E113*($F113-1))</f>
        <v/>
      </c>
      <c r="H113" s="124">
        <f>IF($B113="","",CONCATENATE("Örnek kıymet: ",$B113))</f>
        <v/>
      </c>
    </row>
    <row r="114" ht="15" customHeight="1" s="81">
      <c r="E114" s="124">
        <f>IF($C114=0,0,$C114-$D114)</f>
        <v/>
      </c>
      <c r="G114" s="124">
        <f>IF($E114=0,0,$E114*($F114-1))</f>
        <v/>
      </c>
      <c r="H114" s="124">
        <f>IF($B114="","",CONCATENATE("Örnek kıymet: ",$B114))</f>
        <v/>
      </c>
    </row>
    <row r="115" ht="15" customHeight="1" s="81">
      <c r="E115" s="124">
        <f>IF($C115=0,0,$C115-$D115)</f>
        <v/>
      </c>
      <c r="G115" s="124">
        <f>IF($E115=0,0,$E115*($F115-1))</f>
        <v/>
      </c>
      <c r="H115" s="124">
        <f>IF($B115="","",CONCATENATE("Örnek kıymet: ",$B115))</f>
        <v/>
      </c>
    </row>
    <row r="116" ht="15" customHeight="1" s="81">
      <c r="E116" s="124">
        <f>IF($C116=0,0,$C116-$D116)</f>
        <v/>
      </c>
      <c r="G116" s="124">
        <f>IF($E116=0,0,$E116*($F116-1))</f>
        <v/>
      </c>
      <c r="H116" s="124">
        <f>IF($B116="","",CONCATENATE("Örnek kıymet: ",$B116))</f>
        <v/>
      </c>
    </row>
    <row r="117" ht="15" customHeight="1" s="81">
      <c r="E117" s="124">
        <f>IF($C117=0,0,$C117-$D117)</f>
        <v/>
      </c>
      <c r="G117" s="124">
        <f>IF($E117=0,0,$E117*($F117-1))</f>
        <v/>
      </c>
      <c r="H117" s="124">
        <f>IF($B117="","",CONCATENATE("Örnek kıymet: ",$B117))</f>
        <v/>
      </c>
    </row>
    <row r="118" ht="15" customHeight="1" s="81">
      <c r="E118" s="124">
        <f>IF($C118=0,0,$C118-$D118)</f>
        <v/>
      </c>
      <c r="G118" s="124">
        <f>IF($E118=0,0,$E118*($F118-1))</f>
        <v/>
      </c>
      <c r="H118" s="124">
        <f>IF($B118="","",CONCATENATE("Örnek kıymet: ",$B118))</f>
        <v/>
      </c>
    </row>
    <row r="119" ht="15" customHeight="1" s="81">
      <c r="E119" s="124">
        <f>IF($C119=0,0,$C119-$D119)</f>
        <v/>
      </c>
      <c r="G119" s="124">
        <f>IF($E119=0,0,$E119*($F119-1))</f>
        <v/>
      </c>
      <c r="H119" s="124">
        <f>IF($B119="","",CONCATENATE("Örnek kıymet: ",$B119))</f>
        <v/>
      </c>
    </row>
    <row r="120" ht="15" customHeight="1" s="81">
      <c r="E120" s="124">
        <f>IF($C120=0,0,$C120-$D120)</f>
        <v/>
      </c>
      <c r="G120" s="124">
        <f>IF($E120=0,0,$E120*($F120-1))</f>
        <v/>
      </c>
      <c r="H120" s="124">
        <f>IF($B120="","",CONCATENATE("Örnek kıymet: ",$B120))</f>
        <v/>
      </c>
    </row>
    <row r="121" ht="15" customHeight="1" s="81">
      <c r="E121" s="124">
        <f>IF($C121=0,0,$C121-$D121)</f>
        <v/>
      </c>
      <c r="G121" s="124">
        <f>IF($E121=0,0,$E121*($F121-1))</f>
        <v/>
      </c>
      <c r="H121" s="124">
        <f>IF($B121="","",CONCATENATE("Örnek kıymet: ",$B121))</f>
        <v/>
      </c>
    </row>
    <row r="122" ht="15" customHeight="1" s="81">
      <c r="E122" s="124">
        <f>IF($C122=0,0,$C122-$D122)</f>
        <v/>
      </c>
      <c r="G122" s="124">
        <f>IF($E122=0,0,$E122*($F122-1))</f>
        <v/>
      </c>
      <c r="H122" s="124">
        <f>IF($B122="","",CONCATENATE("Örnek kıymet: ",$B122))</f>
        <v/>
      </c>
    </row>
    <row r="123" ht="15" customHeight="1" s="81">
      <c r="E123" s="124">
        <f>IF($C123=0,0,$C123-$D123)</f>
        <v/>
      </c>
      <c r="G123" s="124">
        <f>IF($E123=0,0,$E123*($F123-1))</f>
        <v/>
      </c>
      <c r="H123" s="124">
        <f>IF($B123="","",CONCATENATE("Örnek kıymet: ",$B123))</f>
        <v/>
      </c>
    </row>
    <row r="124" ht="15" customHeight="1" s="81">
      <c r="E124" s="124">
        <f>IF($C124=0,0,$C124-$D124)</f>
        <v/>
      </c>
      <c r="G124" s="124">
        <f>IF($E124=0,0,$E124*($F124-1))</f>
        <v/>
      </c>
      <c r="H124" s="124">
        <f>IF($B124="","",CONCATENATE("Örnek kıymet: ",$B124))</f>
        <v/>
      </c>
    </row>
    <row r="125" ht="15" customHeight="1" s="81">
      <c r="E125" s="124">
        <f>IF($C125=0,0,$C125-$D125)</f>
        <v/>
      </c>
      <c r="G125" s="124">
        <f>IF($E125=0,0,$E125*($F125-1))</f>
        <v/>
      </c>
      <c r="H125" s="124">
        <f>IF($B125="","",CONCATENATE("Örnek kıymet: ",$B125))</f>
        <v/>
      </c>
    </row>
    <row r="126" ht="15" customHeight="1" s="81">
      <c r="E126" s="124">
        <f>IF($C126=0,0,$C126-$D126)</f>
        <v/>
      </c>
      <c r="G126" s="124">
        <f>IF($E126=0,0,$E126*($F126-1))</f>
        <v/>
      </c>
      <c r="H126" s="124">
        <f>IF($B126="","",CONCATENATE("Örnek kıymet: ",$B126))</f>
        <v/>
      </c>
    </row>
    <row r="127" ht="15" customHeight="1" s="81">
      <c r="E127" s="124">
        <f>IF($C127=0,0,$C127-$D127)</f>
        <v/>
      </c>
      <c r="G127" s="124">
        <f>IF($E127=0,0,$E127*($F127-1))</f>
        <v/>
      </c>
      <c r="H127" s="124">
        <f>IF($B127="","",CONCATENATE("Örnek kıymet: ",$B127))</f>
        <v/>
      </c>
    </row>
    <row r="128" ht="15" customHeight="1" s="81">
      <c r="E128" s="124">
        <f>IF($C128=0,0,$C128-$D128)</f>
        <v/>
      </c>
      <c r="G128" s="124">
        <f>IF($E128=0,0,$E128*($F128-1))</f>
        <v/>
      </c>
      <c r="H128" s="124">
        <f>IF($B128="","",CONCATENATE("Örnek kıymet: ",$B128))</f>
        <v/>
      </c>
    </row>
    <row r="129" ht="15" customHeight="1" s="81">
      <c r="E129" s="124">
        <f>IF($C129=0,0,$C129-$D129)</f>
        <v/>
      </c>
      <c r="G129" s="124">
        <f>IF($E129=0,0,$E129*($F129-1))</f>
        <v/>
      </c>
      <c r="H129" s="124">
        <f>IF($B129="","",CONCATENATE("Örnek kıymet: ",$B129))</f>
        <v/>
      </c>
    </row>
    <row r="130" ht="15" customHeight="1" s="81">
      <c r="E130" s="124">
        <f>IF($C130=0,0,$C130-$D130)</f>
        <v/>
      </c>
      <c r="G130" s="124">
        <f>IF($E130=0,0,$E130*($F130-1))</f>
        <v/>
      </c>
      <c r="H130" s="124">
        <f>IF($B130="","",CONCATENATE("Örnek kıymet: ",$B130))</f>
        <v/>
      </c>
    </row>
    <row r="131" ht="15" customHeight="1" s="81">
      <c r="E131" s="124">
        <f>IF($C131=0,0,$C131-$D131)</f>
        <v/>
      </c>
      <c r="G131" s="124">
        <f>IF($E131=0,0,$E131*($F131-1))</f>
        <v/>
      </c>
      <c r="H131" s="124">
        <f>IF($B131="","",CONCATENATE("Örnek kıymet: ",$B131))</f>
        <v/>
      </c>
    </row>
    <row r="132" ht="15" customHeight="1" s="81">
      <c r="E132" s="124">
        <f>IF($C132=0,0,$C132-$D132)</f>
        <v/>
      </c>
      <c r="G132" s="124">
        <f>IF($E132=0,0,$E132*($F132-1))</f>
        <v/>
      </c>
      <c r="H132" s="124">
        <f>IF($B132="","",CONCATENATE("Örnek kıymet: ",$B132))</f>
        <v/>
      </c>
    </row>
    <row r="133" ht="15" customHeight="1" s="81">
      <c r="E133" s="124">
        <f>IF($C133=0,0,$C133-$D133)</f>
        <v/>
      </c>
      <c r="G133" s="124">
        <f>IF($E133=0,0,$E133*($F133-1))</f>
        <v/>
      </c>
      <c r="H133" s="124">
        <f>IF($B133="","",CONCATENATE("Örnek kıymet: ",$B133))</f>
        <v/>
      </c>
    </row>
    <row r="134" ht="15" customHeight="1" s="81">
      <c r="E134" s="124">
        <f>IF($C134=0,0,$C134-$D134)</f>
        <v/>
      </c>
      <c r="G134" s="124">
        <f>IF($E134=0,0,$E134*($F134-1))</f>
        <v/>
      </c>
      <c r="H134" s="124">
        <f>IF($B134="","",CONCATENATE("Örnek kıymet: ",$B134))</f>
        <v/>
      </c>
    </row>
    <row r="135" ht="15" customHeight="1" s="81">
      <c r="E135" s="124">
        <f>IF($C135=0,0,$C135-$D135)</f>
        <v/>
      </c>
      <c r="G135" s="124">
        <f>IF($E135=0,0,$E135*($F135-1))</f>
        <v/>
      </c>
      <c r="H135" s="124">
        <f>IF($B135="","",CONCATENATE("Örnek kıymet: ",$B135))</f>
        <v/>
      </c>
    </row>
    <row r="136" ht="15" customHeight="1" s="81">
      <c r="E136" s="124">
        <f>IF($C136=0,0,$C136-$D136)</f>
        <v/>
      </c>
      <c r="G136" s="124">
        <f>IF($E136=0,0,$E136*($F136-1))</f>
        <v/>
      </c>
      <c r="H136" s="124">
        <f>IF($B136="","",CONCATENATE("Örnek kıymet: ",$B136))</f>
        <v/>
      </c>
    </row>
    <row r="137" ht="15" customHeight="1" s="81">
      <c r="E137" s="124">
        <f>IF($C137=0,0,$C137-$D137)</f>
        <v/>
      </c>
      <c r="G137" s="124">
        <f>IF($E137=0,0,$E137*($F137-1))</f>
        <v/>
      </c>
      <c r="H137" s="124">
        <f>IF($B137="","",CONCATENATE("Örnek kıymet: ",$B137))</f>
        <v/>
      </c>
    </row>
    <row r="138" ht="15" customHeight="1" s="81">
      <c r="E138" s="124">
        <f>IF($C138=0,0,$C138-$D138)</f>
        <v/>
      </c>
      <c r="G138" s="124">
        <f>IF($E138=0,0,$E138*($F138-1))</f>
        <v/>
      </c>
      <c r="H138" s="124">
        <f>IF($B138="","",CONCATENATE("Örnek kıymet: ",$B138))</f>
        <v/>
      </c>
    </row>
    <row r="139" ht="15" customHeight="1" s="81">
      <c r="E139" s="124">
        <f>IF($C139=0,0,$C139-$D139)</f>
        <v/>
      </c>
      <c r="G139" s="124">
        <f>IF($E139=0,0,$E139*($F139-1))</f>
        <v/>
      </c>
      <c r="H139" s="124">
        <f>IF($B139="","",CONCATENATE("Örnek kıymet: ",$B139))</f>
        <v/>
      </c>
    </row>
    <row r="140" ht="15" customHeight="1" s="81">
      <c r="E140" s="124">
        <f>IF($C140=0,0,$C140-$D140)</f>
        <v/>
      </c>
      <c r="G140" s="124">
        <f>IF($E140=0,0,$E140*($F140-1))</f>
        <v/>
      </c>
      <c r="H140" s="124">
        <f>IF($B140="","",CONCATENATE("Örnek kıymet: ",$B140))</f>
        <v/>
      </c>
    </row>
    <row r="141" ht="15" customHeight="1" s="81">
      <c r="E141" s="124">
        <f>IF($C141=0,0,$C141-$D141)</f>
        <v/>
      </c>
      <c r="G141" s="124">
        <f>IF($E141=0,0,$E141*($F141-1))</f>
        <v/>
      </c>
      <c r="H141" s="124">
        <f>IF($B141="","",CONCATENATE("Örnek kıymet: ",$B141))</f>
        <v/>
      </c>
    </row>
    <row r="142" ht="15" customHeight="1" s="81">
      <c r="E142" s="124">
        <f>IF($C142=0,0,$C142-$D142)</f>
        <v/>
      </c>
      <c r="G142" s="124">
        <f>IF($E142=0,0,$E142*($F142-1))</f>
        <v/>
      </c>
      <c r="H142" s="124">
        <f>IF($B142="","",CONCATENATE("Örnek kıymet: ",$B142))</f>
        <v/>
      </c>
    </row>
    <row r="143" ht="15" customHeight="1" s="81">
      <c r="E143" s="124">
        <f>IF($C143=0,0,$C143-$D143)</f>
        <v/>
      </c>
      <c r="G143" s="124">
        <f>IF($E143=0,0,$E143*($F143-1))</f>
        <v/>
      </c>
      <c r="H143" s="124">
        <f>IF($B143="","",CONCATENATE("Örnek kıymet: ",$B143))</f>
        <v/>
      </c>
    </row>
    <row r="144" ht="15" customHeight="1" s="81">
      <c r="E144" s="124">
        <f>IF($C144=0,0,$C144-$D144)</f>
        <v/>
      </c>
      <c r="G144" s="124">
        <f>IF($E144=0,0,$E144*($F144-1))</f>
        <v/>
      </c>
      <c r="H144" s="124">
        <f>IF($B144="","",CONCATENATE("Örnek kıymet: ",$B144))</f>
        <v/>
      </c>
    </row>
    <row r="145" ht="15" customHeight="1" s="81">
      <c r="E145" s="124">
        <f>IF($C145=0,0,$C145-$D145)</f>
        <v/>
      </c>
      <c r="G145" s="124">
        <f>IF($E145=0,0,$E145*($F145-1))</f>
        <v/>
      </c>
      <c r="H145" s="124">
        <f>IF($B145="","",CONCATENATE("Örnek kıymet: ",$B145))</f>
        <v/>
      </c>
    </row>
    <row r="146" ht="15" customHeight="1" s="81">
      <c r="E146" s="124">
        <f>IF($C146=0,0,$C146-$D146)</f>
        <v/>
      </c>
      <c r="G146" s="124">
        <f>IF($E146=0,0,$E146*($F146-1))</f>
        <v/>
      </c>
      <c r="H146" s="124">
        <f>IF($B146="","",CONCATENATE("Örnek kıymet: ",$B146))</f>
        <v/>
      </c>
    </row>
    <row r="147" ht="15" customHeight="1" s="81">
      <c r="E147" s="124">
        <f>IF($C147=0,0,$C147-$D147)</f>
        <v/>
      </c>
      <c r="G147" s="124">
        <f>IF($E147=0,0,$E147*($F147-1))</f>
        <v/>
      </c>
      <c r="H147" s="124">
        <f>IF($B147="","",CONCATENATE("Örnek kıymet: ",$B147))</f>
        <v/>
      </c>
    </row>
    <row r="148" ht="15" customHeight="1" s="81">
      <c r="E148" s="124">
        <f>IF($C148=0,0,$C148-$D148)</f>
        <v/>
      </c>
      <c r="G148" s="124">
        <f>IF($E148=0,0,$E148*($F148-1))</f>
        <v/>
      </c>
      <c r="H148" s="124">
        <f>IF($B148="","",CONCATENATE("Örnek kıymet: ",$B148))</f>
        <v/>
      </c>
    </row>
    <row r="149" ht="15" customHeight="1" s="81">
      <c r="E149" s="124">
        <f>IF($C149=0,0,$C149-$D149)</f>
        <v/>
      </c>
      <c r="G149" s="124">
        <f>IF($E149=0,0,$E149*($F149-1))</f>
        <v/>
      </c>
      <c r="H149" s="124">
        <f>IF($B149="","",CONCATENATE("Örnek kıymet: ",$B149))</f>
        <v/>
      </c>
    </row>
    <row r="150" ht="15" customHeight="1" s="81">
      <c r="E150" s="124">
        <f>IF($C150=0,0,$C150-$D150)</f>
        <v/>
      </c>
      <c r="G150" s="124">
        <f>IF($E150=0,0,$E150*($F150-1))</f>
        <v/>
      </c>
      <c r="H150" s="124">
        <f>IF($B150="","",CONCATENATE("Örnek kıymet: ",$B150))</f>
        <v/>
      </c>
    </row>
    <row r="151" ht="15" customHeight="1" s="81">
      <c r="E151" s="124">
        <f>IF($C151=0,0,$C151-$D151)</f>
        <v/>
      </c>
      <c r="G151" s="124">
        <f>IF($E151=0,0,$E151*($F151-1))</f>
        <v/>
      </c>
      <c r="H151" s="124">
        <f>IF($B151="","",CONCATENATE("Örnek kıymet: ",$B151))</f>
        <v/>
      </c>
    </row>
    <row r="152" ht="15" customHeight="1" s="81">
      <c r="E152" s="124">
        <f>IF($C152=0,0,$C152-$D152)</f>
        <v/>
      </c>
      <c r="G152" s="124">
        <f>IF($E152=0,0,$E152*($F152-1))</f>
        <v/>
      </c>
      <c r="H152" s="124">
        <f>IF($B152="","",CONCATENATE("Örnek kıymet: ",$B152))</f>
        <v/>
      </c>
    </row>
    <row r="153" ht="15" customHeight="1" s="81">
      <c r="E153" s="124">
        <f>IF($C153=0,0,$C153-$D153)</f>
        <v/>
      </c>
      <c r="G153" s="124">
        <f>IF($E153=0,0,$E153*($F153-1))</f>
        <v/>
      </c>
      <c r="H153" s="124">
        <f>IF($B153="","",CONCATENATE("Örnek kıymet: ",$B153))</f>
        <v/>
      </c>
    </row>
    <row r="154" ht="15" customHeight="1" s="81">
      <c r="E154" s="124">
        <f>IF($C154=0,0,$C154-$D154)</f>
        <v/>
      </c>
      <c r="G154" s="124">
        <f>IF($E154=0,0,$E154*($F154-1))</f>
        <v/>
      </c>
      <c r="H154" s="124">
        <f>IF($B154="","",CONCATENATE("Örnek kıymet: ",$B154))</f>
        <v/>
      </c>
    </row>
    <row r="155" ht="15" customHeight="1" s="81">
      <c r="E155" s="124">
        <f>IF($C155=0,0,$C155-$D155)</f>
        <v/>
      </c>
      <c r="G155" s="124">
        <f>IF($E155=0,0,$E155*($F155-1))</f>
        <v/>
      </c>
      <c r="H155" s="124">
        <f>IF($B155="","",CONCATENATE("Örnek kıymet: ",$B155))</f>
        <v/>
      </c>
    </row>
    <row r="156" ht="15" customHeight="1" s="81">
      <c r="E156" s="124">
        <f>IF($C156=0,0,$C156-$D156)</f>
        <v/>
      </c>
      <c r="G156" s="124">
        <f>IF($E156=0,0,$E156*($F156-1))</f>
        <v/>
      </c>
      <c r="H156" s="124">
        <f>IF($B156="","",CONCATENATE("Örnek kıymet: ",$B156))</f>
        <v/>
      </c>
    </row>
    <row r="157" ht="15" customHeight="1" s="81">
      <c r="E157" s="124">
        <f>IF($C157=0,0,$C157-$D157)</f>
        <v/>
      </c>
      <c r="G157" s="124">
        <f>IF($E157=0,0,$E157*($F157-1))</f>
        <v/>
      </c>
      <c r="H157" s="124">
        <f>IF($B157="","",CONCATENATE("Örnek kıymet: ",$B157))</f>
        <v/>
      </c>
    </row>
    <row r="158" ht="15" customHeight="1" s="81">
      <c r="E158" s="124">
        <f>IF($C158=0,0,$C158-$D158)</f>
        <v/>
      </c>
      <c r="G158" s="124">
        <f>IF($E158=0,0,$E158*($F158-1))</f>
        <v/>
      </c>
      <c r="H158" s="124">
        <f>IF($B158="","",CONCATENATE("Örnek kıymet: ",$B158))</f>
        <v/>
      </c>
    </row>
    <row r="159" ht="15" customHeight="1" s="81">
      <c r="E159" s="124">
        <f>IF($C159=0,0,$C159-$D159)</f>
        <v/>
      </c>
      <c r="G159" s="124">
        <f>IF($E159=0,0,$E159*($F159-1))</f>
        <v/>
      </c>
      <c r="H159" s="124">
        <f>IF($B159="","",CONCATENATE("Örnek kıymet: ",$B159))</f>
        <v/>
      </c>
    </row>
    <row r="160" ht="15" customHeight="1" s="81">
      <c r="E160" s="124">
        <f>IF($C160=0,0,$C160-$D160)</f>
        <v/>
      </c>
      <c r="G160" s="124">
        <f>IF($E160=0,0,$E160*($F160-1))</f>
        <v/>
      </c>
      <c r="H160" s="124">
        <f>IF($B160="","",CONCATENATE("Örnek kıymet: ",$B160))</f>
        <v/>
      </c>
    </row>
    <row r="161" ht="15" customHeight="1" s="81">
      <c r="E161" s="124">
        <f>IF($C161=0,0,$C161-$D161)</f>
        <v/>
      </c>
      <c r="G161" s="124">
        <f>IF($E161=0,0,$E161*($F161-1))</f>
        <v/>
      </c>
      <c r="H161" s="124">
        <f>IF($B161="","",CONCATENATE("Örnek kıymet: ",$B161))</f>
        <v/>
      </c>
    </row>
    <row r="162" ht="15" customHeight="1" s="81">
      <c r="E162" s="124">
        <f>IF($C162=0,0,$C162-$D162)</f>
        <v/>
      </c>
      <c r="G162" s="124">
        <f>IF($E162=0,0,$E162*($F162-1))</f>
        <v/>
      </c>
      <c r="H162" s="124">
        <f>IF($B162="","",CONCATENATE("Örnek kıymet: ",$B162))</f>
        <v/>
      </c>
    </row>
    <row r="163" ht="15" customHeight="1" s="81">
      <c r="E163" s="124">
        <f>IF($C163=0,0,$C163-$D163)</f>
        <v/>
      </c>
      <c r="G163" s="124">
        <f>IF($E163=0,0,$E163*($F163-1))</f>
        <v/>
      </c>
      <c r="H163" s="124">
        <f>IF($B163="","",CONCATENATE("Örnek kıymet: ",$B163))</f>
        <v/>
      </c>
    </row>
    <row r="164" ht="15" customHeight="1" s="81">
      <c r="E164" s="124">
        <f>IF($C164=0,0,$C164-$D164)</f>
        <v/>
      </c>
      <c r="G164" s="124">
        <f>IF($E164=0,0,$E164*($F164-1))</f>
        <v/>
      </c>
      <c r="H164" s="124">
        <f>IF($B164="","",CONCATENATE("Örnek kıymet: ",$B164))</f>
        <v/>
      </c>
    </row>
    <row r="165" ht="15" customHeight="1" s="81">
      <c r="E165" s="124">
        <f>IF($C165=0,0,$C165-$D165)</f>
        <v/>
      </c>
      <c r="G165" s="124">
        <f>IF($E165=0,0,$E165*($F165-1))</f>
        <v/>
      </c>
      <c r="H165" s="124">
        <f>IF($B165="","",CONCATENATE("Örnek kıymet: ",$B165))</f>
        <v/>
      </c>
    </row>
    <row r="166" ht="15" customHeight="1" s="81">
      <c r="E166" s="124">
        <f>IF($C166=0,0,$C166-$D166)</f>
        <v/>
      </c>
      <c r="G166" s="124">
        <f>IF($E166=0,0,$E166*($F166-1))</f>
        <v/>
      </c>
      <c r="H166" s="124">
        <f>IF($B166="","",CONCATENATE("Örnek kıymet: ",$B166))</f>
        <v/>
      </c>
    </row>
    <row r="167" ht="15" customHeight="1" s="81">
      <c r="E167" s="124">
        <f>IF($C167=0,0,$C167-$D167)</f>
        <v/>
      </c>
      <c r="G167" s="124">
        <f>IF($E167=0,0,$E167*($F167-1))</f>
        <v/>
      </c>
      <c r="H167" s="124">
        <f>IF($B167="","",CONCATENATE("Örnek kıymet: ",$B167))</f>
        <v/>
      </c>
    </row>
    <row r="168" ht="15" customHeight="1" s="81">
      <c r="E168" s="124">
        <f>IF($C168=0,0,$C168-$D168)</f>
        <v/>
      </c>
      <c r="G168" s="124">
        <f>IF($E168=0,0,$E168*($F168-1))</f>
        <v/>
      </c>
      <c r="H168" s="124">
        <f>IF($B168="","",CONCATENATE("Örnek kıymet: ",$B168))</f>
        <v/>
      </c>
    </row>
    <row r="169" ht="15" customHeight="1" s="81">
      <c r="E169" s="124">
        <f>IF($C169=0,0,$C169-$D169)</f>
        <v/>
      </c>
      <c r="G169" s="124">
        <f>IF($E169=0,0,$E169*($F169-1))</f>
        <v/>
      </c>
      <c r="H169" s="124">
        <f>IF($B169="","",CONCATENATE("Örnek kıymet: ",$B169))</f>
        <v/>
      </c>
    </row>
    <row r="170" ht="15" customHeight="1" s="81">
      <c r="E170" s="124">
        <f>IF($C170=0,0,$C170-$D170)</f>
        <v/>
      </c>
      <c r="G170" s="124">
        <f>IF($E170=0,0,$E170*($F170-1))</f>
        <v/>
      </c>
      <c r="H170" s="124">
        <f>IF($B170="","",CONCATENATE("Örnek kıymet: ",$B170))</f>
        <v/>
      </c>
    </row>
    <row r="171" ht="15" customHeight="1" s="81">
      <c r="E171" s="124">
        <f>IF($C171=0,0,$C171-$D171)</f>
        <v/>
      </c>
      <c r="G171" s="124">
        <f>IF($E171=0,0,$E171*($F171-1))</f>
        <v/>
      </c>
      <c r="H171" s="124">
        <f>IF($B171="","",CONCATENATE("Örnek kıymet: ",$B171))</f>
        <v/>
      </c>
    </row>
    <row r="172" ht="15" customHeight="1" s="81">
      <c r="E172" s="124">
        <f>IF($C172=0,0,$C172-$D172)</f>
        <v/>
      </c>
      <c r="G172" s="124">
        <f>IF($E172=0,0,$E172*($F172-1))</f>
        <v/>
      </c>
      <c r="H172" s="124">
        <f>IF($B172="","",CONCATENATE("Örnek kıymet: ",$B172))</f>
        <v/>
      </c>
    </row>
    <row r="173" ht="15" customHeight="1" s="81">
      <c r="E173" s="124">
        <f>IF($C173=0,0,$C173-$D173)</f>
        <v/>
      </c>
      <c r="G173" s="124">
        <f>IF($E173=0,0,$E173*($F173-1))</f>
        <v/>
      </c>
      <c r="H173" s="124">
        <f>IF($B173="","",CONCATENATE("Örnek kıymet: ",$B173))</f>
        <v/>
      </c>
    </row>
    <row r="174" ht="15" customHeight="1" s="81">
      <c r="E174" s="124">
        <f>IF($C174=0,0,$C174-$D174)</f>
        <v/>
      </c>
      <c r="G174" s="124">
        <f>IF($E174=0,0,$E174*($F174-1))</f>
        <v/>
      </c>
      <c r="H174" s="124">
        <f>IF($B174="","",CONCATENATE("Örnek kıymet: ",$B174))</f>
        <v/>
      </c>
    </row>
    <row r="175" ht="15" customHeight="1" s="81">
      <c r="E175" s="124">
        <f>IF($C175=0,0,$C175-$D175)</f>
        <v/>
      </c>
      <c r="G175" s="124">
        <f>IF($E175=0,0,$E175*($F175-1))</f>
        <v/>
      </c>
      <c r="H175" s="124">
        <f>IF($B175="","",CONCATENATE("Örnek kıymet: ",$B175))</f>
        <v/>
      </c>
    </row>
    <row r="176" ht="15" customHeight="1" s="81">
      <c r="E176" s="124">
        <f>IF($C176=0,0,$C176-$D176)</f>
        <v/>
      </c>
      <c r="G176" s="124">
        <f>IF($E176=0,0,$E176*($F176-1))</f>
        <v/>
      </c>
      <c r="H176" s="124">
        <f>IF($B176="","",CONCATENATE("Örnek kıymet: ",$B176))</f>
        <v/>
      </c>
    </row>
    <row r="177" ht="15" customHeight="1" s="81">
      <c r="E177" s="124">
        <f>IF($C177=0,0,$C177-$D177)</f>
        <v/>
      </c>
      <c r="G177" s="124">
        <f>IF($E177=0,0,$E177*($F177-1))</f>
        <v/>
      </c>
      <c r="H177" s="124">
        <f>IF($B177="","",CONCATENATE("Örnek kıymet: ",$B177))</f>
        <v/>
      </c>
    </row>
    <row r="178" ht="15" customHeight="1" s="81">
      <c r="E178" s="124">
        <f>IF($C178=0,0,$C178-$D178)</f>
        <v/>
      </c>
      <c r="G178" s="124">
        <f>IF($E178=0,0,$E178*($F178-1))</f>
        <v/>
      </c>
      <c r="H178" s="124">
        <f>IF($B178="","",CONCATENATE("Örnek kıymet: ",$B178))</f>
        <v/>
      </c>
    </row>
    <row r="179" ht="15" customHeight="1" s="81">
      <c r="E179" s="124">
        <f>IF($C179=0,0,$C179-$D179)</f>
        <v/>
      </c>
      <c r="G179" s="124">
        <f>IF($E179=0,0,$E179*($F179-1))</f>
        <v/>
      </c>
      <c r="H179" s="124">
        <f>IF($B179="","",CONCATENATE("Örnek kıymet: ",$B179))</f>
        <v/>
      </c>
    </row>
    <row r="180" ht="15" customHeight="1" s="81">
      <c r="E180" s="124">
        <f>IF($C180=0,0,$C180-$D180)</f>
        <v/>
      </c>
      <c r="G180" s="124">
        <f>IF($E180=0,0,$E180*($F180-1))</f>
        <v/>
      </c>
      <c r="H180" s="124">
        <f>IF($B180="","",CONCATENATE("Örnek kıymet: ",$B180))</f>
        <v/>
      </c>
    </row>
    <row r="181" ht="15" customHeight="1" s="81">
      <c r="E181" s="124">
        <f>IF($C181=0,0,$C181-$D181)</f>
        <v/>
      </c>
      <c r="G181" s="124">
        <f>IF($E181=0,0,$E181*($F181-1))</f>
        <v/>
      </c>
      <c r="H181" s="124">
        <f>IF($B181="","",CONCATENATE("Örnek kıymet: ",$B181))</f>
        <v/>
      </c>
    </row>
    <row r="182" ht="15" customHeight="1" s="81">
      <c r="E182" s="124">
        <f>IF($C182=0,0,$C182-$D182)</f>
        <v/>
      </c>
      <c r="G182" s="124">
        <f>IF($E182=0,0,$E182*($F182-1))</f>
        <v/>
      </c>
      <c r="H182" s="124">
        <f>IF($B182="","",CONCATENATE("Örnek kıymet: ",$B182))</f>
        <v/>
      </c>
    </row>
    <row r="183" ht="15" customHeight="1" s="81">
      <c r="E183" s="124">
        <f>IF($C183=0,0,$C183-$D183)</f>
        <v/>
      </c>
      <c r="G183" s="124">
        <f>IF($E183=0,0,$E183*($F183-1))</f>
        <v/>
      </c>
      <c r="H183" s="124">
        <f>IF($B183="","",CONCATENATE("Örnek kıymet: ",$B183))</f>
        <v/>
      </c>
    </row>
    <row r="184" ht="15" customHeight="1" s="81">
      <c r="E184" s="124">
        <f>IF($C184=0,0,$C184-$D184)</f>
        <v/>
      </c>
      <c r="G184" s="124">
        <f>IF($E184=0,0,$E184*($F184-1))</f>
        <v/>
      </c>
      <c r="H184" s="124">
        <f>IF($B184="","",CONCATENATE("Örnek kıymet: ",$B184))</f>
        <v/>
      </c>
    </row>
    <row r="185" ht="15" customHeight="1" s="81">
      <c r="E185" s="124">
        <f>IF($C185=0,0,$C185-$D185)</f>
        <v/>
      </c>
      <c r="G185" s="124">
        <f>IF($E185=0,0,$E185*($F185-1))</f>
        <v/>
      </c>
      <c r="H185" s="124">
        <f>IF($B185="","",CONCATENATE("Örnek kıymet: ",$B185))</f>
        <v/>
      </c>
    </row>
    <row r="186" ht="15" customHeight="1" s="81">
      <c r="E186" s="124">
        <f>IF($C186=0,0,$C186-$D186)</f>
        <v/>
      </c>
      <c r="G186" s="124">
        <f>IF($E186=0,0,$E186*($F186-1))</f>
        <v/>
      </c>
      <c r="H186" s="124">
        <f>IF($B186="","",CONCATENATE("Örnek kıymet: ",$B186))</f>
        <v/>
      </c>
    </row>
    <row r="187" ht="15" customHeight="1" s="81">
      <c r="E187" s="124">
        <f>IF($C187=0,0,$C187-$D187)</f>
        <v/>
      </c>
      <c r="G187" s="124">
        <f>IF($E187=0,0,$E187*($F187-1))</f>
        <v/>
      </c>
      <c r="H187" s="124">
        <f>IF($B187="","",CONCATENATE("Örnek kıymet: ",$B187))</f>
        <v/>
      </c>
    </row>
    <row r="188" ht="15" customHeight="1" s="81">
      <c r="E188" s="124">
        <f>IF($C188=0,0,$C188-$D188)</f>
        <v/>
      </c>
      <c r="G188" s="124">
        <f>IF($E188=0,0,$E188*($F188-1))</f>
        <v/>
      </c>
      <c r="H188" s="124">
        <f>IF($B188="","",CONCATENATE("Örnek kıymet: ",$B188))</f>
        <v/>
      </c>
    </row>
    <row r="189" ht="15" customHeight="1" s="81">
      <c r="E189" s="124">
        <f>IF($C189=0,0,$C189-$D189)</f>
        <v/>
      </c>
      <c r="G189" s="124">
        <f>IF($E189=0,0,$E189*($F189-1))</f>
        <v/>
      </c>
      <c r="H189" s="124">
        <f>IF($B189="","",CONCATENATE("Örnek kıymet: ",$B189))</f>
        <v/>
      </c>
    </row>
    <row r="190" ht="15" customHeight="1" s="81">
      <c r="E190" s="124">
        <f>IF($C190=0,0,$C190-$D190)</f>
        <v/>
      </c>
      <c r="G190" s="124">
        <f>IF($E190=0,0,$E190*($F190-1))</f>
        <v/>
      </c>
      <c r="H190" s="124">
        <f>IF($B190="","",CONCATENATE("Örnek kıymet: ",$B190))</f>
        <v/>
      </c>
    </row>
    <row r="191" ht="15" customHeight="1" s="81">
      <c r="E191" s="124">
        <f>IF($C191=0,0,$C191-$D191)</f>
        <v/>
      </c>
      <c r="G191" s="124">
        <f>IF($E191=0,0,$E191*($F191-1))</f>
        <v/>
      </c>
      <c r="H191" s="124">
        <f>IF($B191="","",CONCATENATE("Örnek kıymet: ",$B191))</f>
        <v/>
      </c>
    </row>
    <row r="192" ht="15" customHeight="1" s="81">
      <c r="E192" s="124">
        <f>IF($C192=0,0,$C192-$D192)</f>
        <v/>
      </c>
      <c r="G192" s="124">
        <f>IF($E192=0,0,$E192*($F192-1))</f>
        <v/>
      </c>
      <c r="H192" s="124">
        <f>IF($B192="","",CONCATENATE("Örnek kıymet: ",$B192))</f>
        <v/>
      </c>
    </row>
    <row r="193" ht="15" customHeight="1" s="81">
      <c r="E193" s="124">
        <f>IF($C193=0,0,$C193-$D193)</f>
        <v/>
      </c>
      <c r="G193" s="124">
        <f>IF($E193=0,0,$E193*($F193-1))</f>
        <v/>
      </c>
      <c r="H193" s="124">
        <f>IF($B193="","",CONCATENATE("Örnek kıymet: ",$B193))</f>
        <v/>
      </c>
    </row>
    <row r="194" ht="15" customHeight="1" s="81">
      <c r="E194" s="124">
        <f>IF($C194=0,0,$C194-$D194)</f>
        <v/>
      </c>
      <c r="G194" s="124">
        <f>IF($E194=0,0,$E194*($F194-1))</f>
        <v/>
      </c>
      <c r="H194" s="124">
        <f>IF($B194="","",CONCATENATE("Örnek kıymet: ",$B194))</f>
        <v/>
      </c>
    </row>
    <row r="195" ht="15" customHeight="1" s="81">
      <c r="E195" s="124">
        <f>IF($C195=0,0,$C195-$D195)</f>
        <v/>
      </c>
      <c r="G195" s="124">
        <f>IF($E195=0,0,$E195*($F195-1))</f>
        <v/>
      </c>
      <c r="H195" s="124">
        <f>IF($B195="","",CONCATENATE("Örnek kıymet: ",$B195))</f>
        <v/>
      </c>
    </row>
    <row r="196" ht="15" customHeight="1" s="81">
      <c r="E196" s="124">
        <f>IF($C196=0,0,$C196-$D196)</f>
        <v/>
      </c>
      <c r="G196" s="124">
        <f>IF($E196=0,0,$E196*($F196-1))</f>
        <v/>
      </c>
      <c r="H196" s="124">
        <f>IF($B196="","",CONCATENATE("Örnek kıymet: ",$B196))</f>
        <v/>
      </c>
    </row>
    <row r="197" ht="15" customHeight="1" s="81">
      <c r="E197" s="124">
        <f>IF($C197=0,0,$C197-$D197)</f>
        <v/>
      </c>
      <c r="G197" s="124">
        <f>IF($E197=0,0,$E197*($F197-1))</f>
        <v/>
      </c>
      <c r="H197" s="124">
        <f>IF($B197="","",CONCATENATE("Örnek kıymet: ",$B197))</f>
        <v/>
      </c>
    </row>
    <row r="198" ht="15" customHeight="1" s="81">
      <c r="E198" s="124">
        <f>IF($C198=0,0,$C198-$D198)</f>
        <v/>
      </c>
      <c r="G198" s="124">
        <f>IF($E198=0,0,$E198*($F198-1))</f>
        <v/>
      </c>
      <c r="H198" s="124">
        <f>IF($B198="","",CONCATENATE("Örnek kıymet: ",$B198))</f>
        <v/>
      </c>
    </row>
    <row r="199" ht="15" customHeight="1" s="81">
      <c r="E199" s="124">
        <f>IF($C199=0,0,$C199-$D199)</f>
        <v/>
      </c>
      <c r="G199" s="124">
        <f>IF($E199=0,0,$E199*($F199-1))</f>
        <v/>
      </c>
      <c r="H199" s="124">
        <f>IF($B199="","",CONCATENATE("Örnek kıymet: ",$B199))</f>
        <v/>
      </c>
    </row>
    <row r="200" ht="15" customHeight="1" s="81">
      <c r="E200" s="124">
        <f>IF($C200=0,0,$C200-$D200)</f>
        <v/>
      </c>
      <c r="G200" s="124">
        <f>IF($E200=0,0,$E200*($F200-1))</f>
        <v/>
      </c>
      <c r="H200" s="124">
        <f>IF($B200="","",CONCATENATE("Örnek kıymet: ",$B200))</f>
        <v/>
      </c>
    </row>
    <row r="201" ht="15" customHeight="1" s="81">
      <c r="E201" s="124">
        <f>IF($C201=0,0,$C201-$D201)</f>
        <v/>
      </c>
      <c r="G201" s="124">
        <f>IF($E201=0,0,$E201*($F201-1))</f>
        <v/>
      </c>
      <c r="H201" s="124">
        <f>IF($B201="","",CONCATENATE("Örnek kıymet: ",$B201))</f>
        <v/>
      </c>
    </row>
    <row r="202" ht="15" customHeight="1" s="81">
      <c r="E202" s="124">
        <f>IF($C202=0,0,$C202-$D202)</f>
        <v/>
      </c>
      <c r="G202" s="124">
        <f>IF($E202=0,0,$E202*($F202-1))</f>
        <v/>
      </c>
      <c r="H202" s="124">
        <f>IF($B202="","",CONCATENATE("Örnek kıymet: ",$B202))</f>
        <v/>
      </c>
    </row>
    <row r="203" ht="15" customHeight="1" s="81">
      <c r="E203" s="124">
        <f>IF($C203=0,0,$C203-$D203)</f>
        <v/>
      </c>
      <c r="G203" s="124">
        <f>IF($E203=0,0,$E203*($F203-1))</f>
        <v/>
      </c>
      <c r="H203" s="124">
        <f>IF($B203="","",CONCATENATE("Örnek kıymet: ",$B203))</f>
        <v/>
      </c>
    </row>
    <row r="204" ht="15" customHeight="1" s="81">
      <c r="E204" s="124">
        <f>IF($C204=0,0,$C204-$D204)</f>
        <v/>
      </c>
      <c r="G204" s="124">
        <f>IF($E204=0,0,$E204*($F204-1))</f>
        <v/>
      </c>
      <c r="H204" s="124">
        <f>IF($B204="","",CONCATENATE("Örnek kıymet: ",$B204))</f>
        <v/>
      </c>
    </row>
    <row r="205" ht="15" customHeight="1" s="81">
      <c r="E205" s="124">
        <f>IF($C205=0,0,$C205-$D205)</f>
        <v/>
      </c>
      <c r="G205" s="124">
        <f>IF($E205=0,0,$E205*($F205-1))</f>
        <v/>
      </c>
      <c r="H205" s="124">
        <f>IF($B205="","",CONCATENATE("Örnek kıymet: ",$B205))</f>
        <v/>
      </c>
    </row>
    <row r="206" ht="15" customHeight="1" s="81">
      <c r="E206" s="124">
        <f>IF($C206=0,0,$C206-$D206)</f>
        <v/>
      </c>
      <c r="G206" s="124">
        <f>IF($E206=0,0,$E206*($F206-1))</f>
        <v/>
      </c>
      <c r="H206" s="124">
        <f>IF($B206="","",CONCATENATE("Örnek kıymet: ",$B206))</f>
        <v/>
      </c>
    </row>
    <row r="207" ht="15" customHeight="1" s="81">
      <c r="E207" s="124">
        <f>IF($C207=0,0,$C207-$D207)</f>
        <v/>
      </c>
      <c r="G207" s="124">
        <f>IF($E207=0,0,$E207*($F207-1))</f>
        <v/>
      </c>
      <c r="H207" s="124">
        <f>IF($B207="","",CONCATENATE("Örnek kıymet: ",$B207))</f>
        <v/>
      </c>
    </row>
    <row r="208" ht="15" customHeight="1" s="81">
      <c r="E208" s="124">
        <f>IF($C208=0,0,$C208-$D208)</f>
        <v/>
      </c>
      <c r="G208" s="124">
        <f>IF($E208=0,0,$E208*($F208-1))</f>
        <v/>
      </c>
      <c r="H208" s="124">
        <f>IF($B208="","",CONCATENATE("Örnek kıymet: ",$B208))</f>
        <v/>
      </c>
    </row>
    <row r="209" ht="15" customHeight="1" s="81">
      <c r="E209" s="124">
        <f>IF($C209=0,0,$C209-$D209)</f>
        <v/>
      </c>
      <c r="G209" s="124">
        <f>IF($E209=0,0,$E209*($F209-1))</f>
        <v/>
      </c>
      <c r="H209" s="124">
        <f>IF($B209="","",CONCATENATE("Örnek kıymet: ",$B209))</f>
        <v/>
      </c>
    </row>
    <row r="210" ht="15" customHeight="1" s="81">
      <c r="E210" s="124">
        <f>IF($C210=0,0,$C210-$D210)</f>
        <v/>
      </c>
      <c r="G210" s="124">
        <f>IF($E210=0,0,$E210*($F210-1))</f>
        <v/>
      </c>
      <c r="H210" s="124">
        <f>IF($B210="","",CONCATENATE("Örnek kıymet: ",$B210))</f>
        <v/>
      </c>
    </row>
    <row r="211" ht="15" customHeight="1" s="81">
      <c r="E211" s="124">
        <f>IF($C211=0,0,$C211-$D211)</f>
        <v/>
      </c>
      <c r="G211" s="124">
        <f>IF($E211=0,0,$E211*($F211-1))</f>
        <v/>
      </c>
      <c r="H211" s="124">
        <f>IF($B211="","",CONCATENATE("Örnek kıymet: ",$B211))</f>
        <v/>
      </c>
    </row>
    <row r="212" ht="15" customHeight="1" s="81">
      <c r="E212" s="124">
        <f>IF($C212=0,0,$C212-$D212)</f>
        <v/>
      </c>
      <c r="G212" s="124">
        <f>IF($E212=0,0,$E212*($F212-1))</f>
        <v/>
      </c>
      <c r="H212" s="124">
        <f>IF($B212="","",CONCATENATE("Örnek kıymet: ",$B212))</f>
        <v/>
      </c>
    </row>
    <row r="213" ht="15" customHeight="1" s="81">
      <c r="E213" s="124">
        <f>IF($C213=0,0,$C213-$D213)</f>
        <v/>
      </c>
      <c r="G213" s="124">
        <f>IF($E213=0,0,$E213*($F213-1))</f>
        <v/>
      </c>
      <c r="H213" s="124">
        <f>IF($B213="","",CONCATENATE("Örnek kıymet: ",$B213))</f>
        <v/>
      </c>
    </row>
    <row r="214" ht="15" customHeight="1" s="81">
      <c r="E214" s="124">
        <f>IF($C214=0,0,$C214-$D214)</f>
        <v/>
      </c>
      <c r="G214" s="124">
        <f>IF($E214=0,0,$E214*($F214-1))</f>
        <v/>
      </c>
      <c r="H214" s="124">
        <f>IF($B214="","",CONCATENATE("Örnek kıymet: ",$B214))</f>
        <v/>
      </c>
    </row>
    <row r="215" ht="15" customHeight="1" s="81">
      <c r="E215" s="124">
        <f>IF($C215=0,0,$C215-$D215)</f>
        <v/>
      </c>
      <c r="G215" s="124">
        <f>IF($E215=0,0,$E215*($F215-1))</f>
        <v/>
      </c>
      <c r="H215" s="124">
        <f>IF($B215="","",CONCATENATE("Örnek kıymet: ",$B215))</f>
        <v/>
      </c>
    </row>
    <row r="216" ht="15" customHeight="1" s="81">
      <c r="E216" s="124">
        <f>IF($C216=0,0,$C216-$D216)</f>
        <v/>
      </c>
      <c r="G216" s="124">
        <f>IF($E216=0,0,$E216*($F216-1))</f>
        <v/>
      </c>
      <c r="H216" s="124">
        <f>IF($B216="","",CONCATENATE("Örnek kıymet: ",$B216))</f>
        <v/>
      </c>
    </row>
    <row r="217" ht="15" customHeight="1" s="81">
      <c r="E217" s="124">
        <f>IF($C217=0,0,$C217-$D217)</f>
        <v/>
      </c>
      <c r="G217" s="124">
        <f>IF($E217=0,0,$E217*($F217-1))</f>
        <v/>
      </c>
      <c r="H217" s="124">
        <f>IF($B217="","",CONCATENATE("Örnek kıymet: ",$B217))</f>
        <v/>
      </c>
    </row>
    <row r="218" ht="15" customHeight="1" s="81">
      <c r="E218" s="124">
        <f>IF($C218=0,0,$C218-$D218)</f>
        <v/>
      </c>
      <c r="G218" s="124">
        <f>IF($E218=0,0,$E218*($F218-1))</f>
        <v/>
      </c>
      <c r="H218" s="124">
        <f>IF($B218="","",CONCATENATE("Örnek kıymet: ",$B218))</f>
        <v/>
      </c>
    </row>
    <row r="219" ht="15" customHeight="1" s="81">
      <c r="E219" s="124">
        <f>IF($C219=0,0,$C219-$D219)</f>
        <v/>
      </c>
      <c r="G219" s="124">
        <f>IF($E219=0,0,$E219*($F219-1))</f>
        <v/>
      </c>
      <c r="H219" s="124">
        <f>IF($B219="","",CONCATENATE("Örnek kıymet: ",$B219))</f>
        <v/>
      </c>
    </row>
    <row r="220" ht="15" customHeight="1" s="81">
      <c r="E220" s="124">
        <f>IF($C220=0,0,$C220-$D220)</f>
        <v/>
      </c>
      <c r="G220" s="124">
        <f>IF($E220=0,0,$E220*($F220-1))</f>
        <v/>
      </c>
      <c r="H220" s="124">
        <f>IF($B220="","",CONCATENATE("Örnek kıymet: ",$B220))</f>
        <v/>
      </c>
    </row>
    <row r="221" ht="15" customHeight="1" s="81">
      <c r="E221" s="124">
        <f>IF($C221=0,0,$C221-$D221)</f>
        <v/>
      </c>
      <c r="G221" s="124">
        <f>IF($E221=0,0,$E221*($F221-1))</f>
        <v/>
      </c>
      <c r="H221" s="124">
        <f>IF($B221="","",CONCATENATE("Örnek kıymet: ",$B221))</f>
        <v/>
      </c>
    </row>
    <row r="222" ht="15" customHeight="1" s="81">
      <c r="E222" s="124">
        <f>IF($C222=0,0,$C222-$D222)</f>
        <v/>
      </c>
      <c r="G222" s="124">
        <f>IF($E222=0,0,$E222*($F222-1))</f>
        <v/>
      </c>
      <c r="H222" s="124">
        <f>IF($B222="","",CONCATENATE("Örnek kıymet: ",$B222))</f>
        <v/>
      </c>
    </row>
    <row r="223" ht="15" customHeight="1" s="81">
      <c r="E223" s="124">
        <f>IF($C223=0,0,$C223-$D223)</f>
        <v/>
      </c>
      <c r="G223" s="124">
        <f>IF($E223=0,0,$E223*($F223-1))</f>
        <v/>
      </c>
      <c r="H223" s="124">
        <f>IF($B223="","",CONCATENATE("Örnek kıymet: ",$B223))</f>
        <v/>
      </c>
    </row>
    <row r="224" ht="15" customHeight="1" s="81">
      <c r="E224" s="124">
        <f>IF($C224=0,0,$C224-$D224)</f>
        <v/>
      </c>
      <c r="G224" s="124">
        <f>IF($E224=0,0,$E224*($F224-1))</f>
        <v/>
      </c>
      <c r="H224" s="124">
        <f>IF($B224="","",CONCATENATE("Örnek kıymet: ",$B224))</f>
        <v/>
      </c>
    </row>
    <row r="225" ht="15" customHeight="1" s="81">
      <c r="E225" s="124">
        <f>IF($C225=0,0,$C225-$D225)</f>
        <v/>
      </c>
      <c r="G225" s="124">
        <f>IF($E225=0,0,$E225*($F225-1))</f>
        <v/>
      </c>
      <c r="H225" s="124">
        <f>IF($B225="","",CONCATENATE("Örnek kıymet: ",$B225))</f>
        <v/>
      </c>
    </row>
    <row r="226" ht="15" customHeight="1" s="81">
      <c r="E226" s="124">
        <f>IF($C226=0,0,$C226-$D226)</f>
        <v/>
      </c>
      <c r="G226" s="124">
        <f>IF($E226=0,0,$E226*($F226-1))</f>
        <v/>
      </c>
      <c r="H226" s="124">
        <f>IF($B226="","",CONCATENATE("Örnek kıymet: ",$B226))</f>
        <v/>
      </c>
    </row>
    <row r="227" ht="15" customHeight="1" s="81">
      <c r="E227" s="124">
        <f>IF($C227=0,0,$C227-$D227)</f>
        <v/>
      </c>
      <c r="G227" s="124">
        <f>IF($E227=0,0,$E227*($F227-1))</f>
        <v/>
      </c>
      <c r="H227" s="124">
        <f>IF($B227="","",CONCATENATE("Örnek kıymet: ",$B227))</f>
        <v/>
      </c>
    </row>
    <row r="228" ht="15" customHeight="1" s="81">
      <c r="E228" s="124">
        <f>IF($C228=0,0,$C228-$D228)</f>
        <v/>
      </c>
      <c r="G228" s="124">
        <f>IF($E228=0,0,$E228*($F228-1))</f>
        <v/>
      </c>
      <c r="H228" s="124">
        <f>IF($B228="","",CONCATENATE("Örnek kıymet: ",$B228))</f>
        <v/>
      </c>
    </row>
    <row r="229" ht="15" customHeight="1" s="81">
      <c r="E229" s="124">
        <f>IF($C229=0,0,$C229-$D229)</f>
        <v/>
      </c>
      <c r="G229" s="124">
        <f>IF($E229=0,0,$E229*($F229-1))</f>
        <v/>
      </c>
      <c r="H229" s="124">
        <f>IF($B229="","",CONCATENATE("Örnek kıymet: ",$B229))</f>
        <v/>
      </c>
    </row>
    <row r="230" ht="15" customHeight="1" s="81">
      <c r="E230" s="124">
        <f>IF($C230=0,0,$C230-$D230)</f>
        <v/>
      </c>
      <c r="G230" s="124">
        <f>IF($E230=0,0,$E230*($F230-1))</f>
        <v/>
      </c>
      <c r="H230" s="124">
        <f>IF($B230="","",CONCATENATE("Örnek kıymet: ",$B230))</f>
        <v/>
      </c>
    </row>
    <row r="231" ht="15" customHeight="1" s="81">
      <c r="E231" s="124">
        <f>IF($C231=0,0,$C231-$D231)</f>
        <v/>
      </c>
      <c r="G231" s="124">
        <f>IF($E231=0,0,$E231*($F231-1))</f>
        <v/>
      </c>
      <c r="H231" s="124">
        <f>IF($B231="","",CONCATENATE("Örnek kıymet: ",$B231))</f>
        <v/>
      </c>
    </row>
    <row r="232" ht="15" customHeight="1" s="81">
      <c r="E232" s="124">
        <f>IF($C232=0,0,$C232-$D232)</f>
        <v/>
      </c>
      <c r="G232" s="124">
        <f>IF($E232=0,0,$E232*($F232-1))</f>
        <v/>
      </c>
      <c r="H232" s="124">
        <f>IF($B232="","",CONCATENATE("Örnek kıymet: ",$B232))</f>
        <v/>
      </c>
    </row>
    <row r="233" ht="15" customHeight="1" s="81">
      <c r="E233" s="124">
        <f>IF($C233=0,0,$C233-$D233)</f>
        <v/>
      </c>
      <c r="G233" s="124">
        <f>IF($E233=0,0,$E233*($F233-1))</f>
        <v/>
      </c>
      <c r="H233" s="124">
        <f>IF($B233="","",CONCATENATE("Örnek kıymet: ",$B233))</f>
        <v/>
      </c>
    </row>
    <row r="234" ht="15" customHeight="1" s="81">
      <c r="E234" s="124">
        <f>IF($C234=0,0,$C234-$D234)</f>
        <v/>
      </c>
      <c r="G234" s="124">
        <f>IF($E234=0,0,$E234*($F234-1))</f>
        <v/>
      </c>
      <c r="H234" s="124">
        <f>IF($B234="","",CONCATENATE("Örnek kıymet: ",$B234))</f>
        <v/>
      </c>
    </row>
    <row r="235" ht="15" customHeight="1" s="81">
      <c r="E235" s="124">
        <f>IF($C235=0,0,$C235-$D235)</f>
        <v/>
      </c>
      <c r="G235" s="124">
        <f>IF($E235=0,0,$E235*($F235-1))</f>
        <v/>
      </c>
      <c r="H235" s="124">
        <f>IF($B235="","",CONCATENATE("Örnek kıymet: ",$B235))</f>
        <v/>
      </c>
    </row>
    <row r="236" ht="15" customHeight="1" s="81">
      <c r="E236" s="124">
        <f>IF($C236=0,0,$C236-$D236)</f>
        <v/>
      </c>
      <c r="G236" s="124">
        <f>IF($E236=0,0,$E236*($F236-1))</f>
        <v/>
      </c>
      <c r="H236" s="124">
        <f>IF($B236="","",CONCATENATE("Örnek kıymet: ",$B236))</f>
        <v/>
      </c>
    </row>
    <row r="237" ht="15" customHeight="1" s="81">
      <c r="E237" s="124">
        <f>IF($C237=0,0,$C237-$D237)</f>
        <v/>
      </c>
      <c r="G237" s="124">
        <f>IF($E237=0,0,$E237*($F237-1))</f>
        <v/>
      </c>
      <c r="H237" s="124">
        <f>IF($B237="","",CONCATENATE("Örnek kıymet: ",$B237))</f>
        <v/>
      </c>
    </row>
    <row r="238" ht="15" customHeight="1" s="81">
      <c r="E238" s="124">
        <f>IF($C238=0,0,$C238-$D238)</f>
        <v/>
      </c>
      <c r="G238" s="124">
        <f>IF($E238=0,0,$E238*($F238-1))</f>
        <v/>
      </c>
      <c r="H238" s="124">
        <f>IF($B238="","",CONCATENATE("Örnek kıymet: ",$B238))</f>
        <v/>
      </c>
    </row>
    <row r="239" ht="15" customHeight="1" s="81">
      <c r="E239" s="124">
        <f>IF($C239=0,0,$C239-$D239)</f>
        <v/>
      </c>
      <c r="G239" s="124">
        <f>IF($E239=0,0,$E239*($F239-1))</f>
        <v/>
      </c>
      <c r="H239" s="124">
        <f>IF($B239="","",CONCATENATE("Örnek kıymet: ",$B239))</f>
        <v/>
      </c>
    </row>
    <row r="240" ht="15" customHeight="1" s="81">
      <c r="E240" s="124">
        <f>IF($C240=0,0,$C240-$D240)</f>
        <v/>
      </c>
      <c r="G240" s="124">
        <f>IF($E240=0,0,$E240*($F240-1))</f>
        <v/>
      </c>
      <c r="H240" s="124">
        <f>IF($B240="","",CONCATENATE("Örnek kıymet: ",$B240))</f>
        <v/>
      </c>
    </row>
    <row r="241" ht="15" customHeight="1" s="81">
      <c r="E241" s="124">
        <f>IF($C241=0,0,$C241-$D241)</f>
        <v/>
      </c>
      <c r="G241" s="124">
        <f>IF($E241=0,0,$E241*($F241-1))</f>
        <v/>
      </c>
      <c r="H241" s="124">
        <f>IF($B241="","",CONCATENATE("Örnek kıymet: ",$B241))</f>
        <v/>
      </c>
    </row>
    <row r="242" ht="15" customHeight="1" s="81">
      <c r="E242" s="124">
        <f>IF($C242=0,0,$C242-$D242)</f>
        <v/>
      </c>
      <c r="G242" s="124">
        <f>IF($E242=0,0,$E242*($F242-1))</f>
        <v/>
      </c>
      <c r="H242" s="124">
        <f>IF($B242="","",CONCATENATE("Örnek kıymet: ",$B242))</f>
        <v/>
      </c>
    </row>
    <row r="243" ht="15" customHeight="1" s="81">
      <c r="E243" s="124">
        <f>IF($C243=0,0,$C243-$D243)</f>
        <v/>
      </c>
      <c r="G243" s="124">
        <f>IF($E243=0,0,$E243*($F243-1))</f>
        <v/>
      </c>
      <c r="H243" s="124">
        <f>IF($B243="","",CONCATENATE("Örnek kıymet: ",$B243))</f>
        <v/>
      </c>
    </row>
    <row r="244" ht="15" customHeight="1" s="81">
      <c r="E244" s="124">
        <f>IF($C244=0,0,$C244-$D244)</f>
        <v/>
      </c>
      <c r="G244" s="124">
        <f>IF($E244=0,0,$E244*($F244-1))</f>
        <v/>
      </c>
      <c r="H244" s="124">
        <f>IF($B244="","",CONCATENATE("Örnek kıymet: ",$B244))</f>
        <v/>
      </c>
    </row>
    <row r="245" ht="15" customHeight="1" s="81">
      <c r="E245" s="124">
        <f>IF($C245=0,0,$C245-$D245)</f>
        <v/>
      </c>
      <c r="G245" s="124">
        <f>IF($E245=0,0,$E245*($F245-1))</f>
        <v/>
      </c>
      <c r="H245" s="124">
        <f>IF($B245="","",CONCATENATE("Örnek kıymet: ",$B245))</f>
        <v/>
      </c>
    </row>
    <row r="246" ht="15" customHeight="1" s="81">
      <c r="E246" s="124">
        <f>IF($C246=0,0,$C246-$D246)</f>
        <v/>
      </c>
      <c r="G246" s="124">
        <f>IF($E246=0,0,$E246*($F246-1))</f>
        <v/>
      </c>
      <c r="H246" s="124">
        <f>IF($B246="","",CONCATENATE("Örnek kıymet: ",$B246))</f>
        <v/>
      </c>
    </row>
    <row r="247" ht="15" customHeight="1" s="81">
      <c r="E247" s="124">
        <f>IF($C247=0,0,$C247-$D247)</f>
        <v/>
      </c>
      <c r="G247" s="124">
        <f>IF($E247=0,0,$E247*($F247-1))</f>
        <v/>
      </c>
      <c r="H247" s="124">
        <f>IF($B247="","",CONCATENATE("Örnek kıymet: ",$B247))</f>
        <v/>
      </c>
    </row>
    <row r="248" ht="15" customHeight="1" s="81">
      <c r="E248" s="124">
        <f>IF($C248=0,0,$C248-$D248)</f>
        <v/>
      </c>
      <c r="G248" s="124">
        <f>IF($E248=0,0,$E248*($F248-1))</f>
        <v/>
      </c>
      <c r="H248" s="124">
        <f>IF($B248="","",CONCATENATE("Örnek kıymet: ",$B248))</f>
        <v/>
      </c>
    </row>
    <row r="249" ht="15" customHeight="1" s="81">
      <c r="E249" s="124">
        <f>IF($C249=0,0,$C249-$D249)</f>
        <v/>
      </c>
      <c r="G249" s="124">
        <f>IF($E249=0,0,$E249*($F249-1))</f>
        <v/>
      </c>
      <c r="H249" s="124">
        <f>IF($B249="","",CONCATENATE("Örnek kıymet: ",$B249))</f>
        <v/>
      </c>
    </row>
    <row r="250" ht="15" customHeight="1" s="81">
      <c r="E250" s="124">
        <f>IF($C250=0,0,$C250-$D250)</f>
        <v/>
      </c>
      <c r="G250" s="124">
        <f>IF($E250=0,0,$E250*($F250-1))</f>
        <v/>
      </c>
      <c r="H250" s="124">
        <f>IF($B250="","",CONCATENATE("Örnek kıymet: ",$B250))</f>
        <v/>
      </c>
    </row>
    <row r="251" ht="15" customHeight="1" s="81">
      <c r="E251" s="124">
        <f>IF($C251=0,0,$C251-$D251)</f>
        <v/>
      </c>
      <c r="G251" s="124">
        <f>IF($E251=0,0,$E251*($F251-1))</f>
        <v/>
      </c>
      <c r="H251" s="124">
        <f>IF($B251="","",CONCATENATE("Örnek kıymet: ",$B251))</f>
        <v/>
      </c>
    </row>
    <row r="252" ht="15" customHeight="1" s="81">
      <c r="E252" s="124">
        <f>IF($C252=0,0,$C252-$D252)</f>
        <v/>
      </c>
      <c r="G252" s="124">
        <f>IF($E252=0,0,$E252*($F252-1))</f>
        <v/>
      </c>
      <c r="H252" s="124">
        <f>IF($B252="","",CONCATENATE("Örnek kıymet: ",$B252))</f>
        <v/>
      </c>
    </row>
    <row r="253" ht="15" customHeight="1" s="81">
      <c r="E253" s="124">
        <f>IF($C253=0,0,$C253-$D253)</f>
        <v/>
      </c>
      <c r="G253" s="124">
        <f>IF($E253=0,0,$E253*($F253-1))</f>
        <v/>
      </c>
      <c r="H253" s="124">
        <f>IF($B253="","",CONCATENATE("Örnek kıymet: ",$B253))</f>
        <v/>
      </c>
    </row>
    <row r="254" ht="15" customHeight="1" s="81">
      <c r="E254" s="124">
        <f>IF($C254=0,0,$C254-$D254)</f>
        <v/>
      </c>
      <c r="G254" s="124">
        <f>IF($E254=0,0,$E254*($F254-1))</f>
        <v/>
      </c>
      <c r="H254" s="124">
        <f>IF($B254="","",CONCATENATE("Örnek kıymet: ",$B254))</f>
        <v/>
      </c>
    </row>
    <row r="255" ht="15" customHeight="1" s="81">
      <c r="E255" s="124">
        <f>IF($C255=0,0,$C255-$D255)</f>
        <v/>
      </c>
      <c r="G255" s="124">
        <f>IF($E255=0,0,$E255*($F255-1))</f>
        <v/>
      </c>
      <c r="H255" s="124">
        <f>IF($B255="","",CONCATENATE("Örnek kıymet: ",$B255))</f>
        <v/>
      </c>
    </row>
    <row r="256" ht="15" customHeight="1" s="81">
      <c r="E256" s="124">
        <f>IF($C256=0,0,$C256-$D256)</f>
        <v/>
      </c>
      <c r="G256" s="124">
        <f>IF($E256=0,0,$E256*($F256-1))</f>
        <v/>
      </c>
      <c r="H256" s="124">
        <f>IF($B256="","",CONCATENATE("Örnek kıymet: ",$B256))</f>
        <v/>
      </c>
    </row>
    <row r="257" ht="15" customHeight="1" s="81">
      <c r="E257" s="124">
        <f>IF($C257=0,0,$C257-$D257)</f>
        <v/>
      </c>
      <c r="G257" s="124">
        <f>IF($E257=0,0,$E257*($F257-1))</f>
        <v/>
      </c>
      <c r="H257" s="124">
        <f>IF($B257="","",CONCATENATE("Örnek kıymet: ",$B257))</f>
        <v/>
      </c>
    </row>
    <row r="258" ht="15" customHeight="1" s="81">
      <c r="E258" s="124">
        <f>IF($C258=0,0,$C258-$D258)</f>
        <v/>
      </c>
      <c r="G258" s="124">
        <f>IF($E258=0,0,$E258*($F258-1))</f>
        <v/>
      </c>
      <c r="H258" s="124">
        <f>IF($B258="","",CONCATENATE("Örnek kıymet: ",$B258))</f>
        <v/>
      </c>
    </row>
    <row r="259" ht="15" customHeight="1" s="81">
      <c r="E259" s="124">
        <f>IF($C259=0,0,$C259-$D259)</f>
        <v/>
      </c>
      <c r="G259" s="124">
        <f>IF($E259=0,0,$E259*($F259-1))</f>
        <v/>
      </c>
      <c r="H259" s="124">
        <f>IF($B259="","",CONCATENATE("Örnek kıymet: ",$B259))</f>
        <v/>
      </c>
    </row>
    <row r="260" ht="15" customHeight="1" s="81">
      <c r="E260" s="124">
        <f>IF($C260=0,0,$C260-$D260)</f>
        <v/>
      </c>
      <c r="G260" s="124">
        <f>IF($E260=0,0,$E260*($F260-1))</f>
        <v/>
      </c>
      <c r="H260" s="124">
        <f>IF($B260="","",CONCATENATE("Örnek kıymet: ",$B260))</f>
        <v/>
      </c>
    </row>
    <row r="261" ht="15" customHeight="1" s="81">
      <c r="E261" s="124">
        <f>IF($C261=0,0,$C261-$D261)</f>
        <v/>
      </c>
      <c r="G261" s="124">
        <f>IF($E261=0,0,$E261*($F261-1))</f>
        <v/>
      </c>
      <c r="H261" s="124">
        <f>IF($B261="","",CONCATENATE("Örnek kıymet: ",$B261))</f>
        <v/>
      </c>
    </row>
    <row r="262" ht="15" customHeight="1" s="81">
      <c r="E262" s="124">
        <f>IF($C262=0,0,$C262-$D262)</f>
        <v/>
      </c>
      <c r="G262" s="124">
        <f>IF($E262=0,0,$E262*($F262-1))</f>
        <v/>
      </c>
      <c r="H262" s="124">
        <f>IF($B262="","",CONCATENATE("Örnek kıymet: ",$B262))</f>
        <v/>
      </c>
    </row>
    <row r="263" ht="15" customHeight="1" s="81">
      <c r="E263" s="124">
        <f>IF($C263=0,0,$C263-$D263)</f>
        <v/>
      </c>
      <c r="G263" s="124">
        <f>IF($E263=0,0,$E263*($F263-1))</f>
        <v/>
      </c>
      <c r="H263" s="124">
        <f>IF($B263="","",CONCATENATE("Örnek kıymet: ",$B263))</f>
        <v/>
      </c>
    </row>
    <row r="264" ht="15" customHeight="1" s="81">
      <c r="E264" s="124">
        <f>IF($C264=0,0,$C264-$D264)</f>
        <v/>
      </c>
      <c r="G264" s="124">
        <f>IF($E264=0,0,$E264*($F264-1))</f>
        <v/>
      </c>
      <c r="H264" s="124">
        <f>IF($B264="","",CONCATENATE("Örnek kıymet: ",$B264))</f>
        <v/>
      </c>
    </row>
    <row r="265" ht="15" customHeight="1" s="81">
      <c r="E265" s="124">
        <f>IF($C265=0,0,$C265-$D265)</f>
        <v/>
      </c>
      <c r="G265" s="124">
        <f>IF($E265=0,0,$E265*($F265-1))</f>
        <v/>
      </c>
      <c r="H265" s="124">
        <f>IF($B265="","",CONCATENATE("Örnek kıymet: ",$B265))</f>
        <v/>
      </c>
    </row>
    <row r="266" ht="15" customHeight="1" s="81">
      <c r="E266" s="124">
        <f>IF($C266=0,0,$C266-$D266)</f>
        <v/>
      </c>
      <c r="G266" s="124">
        <f>IF($E266=0,0,$E266*($F266-1))</f>
        <v/>
      </c>
      <c r="H266" s="124">
        <f>IF($B266="","",CONCATENATE("Örnek kıymet: ",$B266))</f>
        <v/>
      </c>
    </row>
    <row r="267" ht="15" customHeight="1" s="81">
      <c r="E267" s="124">
        <f>IF($C267=0,0,$C267-$D267)</f>
        <v/>
      </c>
      <c r="G267" s="124">
        <f>IF($E267=0,0,$E267*($F267-1))</f>
        <v/>
      </c>
      <c r="H267" s="124">
        <f>IF($B267="","",CONCATENATE("Örnek kıymet: ",$B267))</f>
        <v/>
      </c>
    </row>
    <row r="268" ht="15" customHeight="1" s="81">
      <c r="E268" s="124">
        <f>IF($C268=0,0,$C268-$D268)</f>
        <v/>
      </c>
      <c r="G268" s="124">
        <f>IF($E268=0,0,$E268*($F268-1))</f>
        <v/>
      </c>
      <c r="H268" s="124">
        <f>IF($B268="","",CONCATENATE("Örnek kıymet: ",$B268))</f>
        <v/>
      </c>
    </row>
    <row r="269" ht="15" customHeight="1" s="81">
      <c r="E269" s="124">
        <f>IF($C269=0,0,$C269-$D269)</f>
        <v/>
      </c>
      <c r="G269" s="124">
        <f>IF($E269=0,0,$E269*($F269-1))</f>
        <v/>
      </c>
      <c r="H269" s="124">
        <f>IF($B269="","",CONCATENATE("Örnek kıymet: ",$B269))</f>
        <v/>
      </c>
    </row>
    <row r="270" ht="15" customHeight="1" s="81">
      <c r="E270" s="124">
        <f>IF($C270=0,0,$C270-$D270)</f>
        <v/>
      </c>
      <c r="G270" s="124">
        <f>IF($E270=0,0,$E270*($F270-1))</f>
        <v/>
      </c>
      <c r="H270" s="124">
        <f>IF($B270="","",CONCATENATE("Örnek kıymet: ",$B270))</f>
        <v/>
      </c>
    </row>
    <row r="271" ht="15" customHeight="1" s="81">
      <c r="E271" s="124">
        <f>IF($C271=0,0,$C271-$D271)</f>
        <v/>
      </c>
      <c r="G271" s="124">
        <f>IF($E271=0,0,$E271*($F271-1))</f>
        <v/>
      </c>
      <c r="H271" s="124">
        <f>IF($B271="","",CONCATENATE("Örnek kıymet: ",$B271))</f>
        <v/>
      </c>
    </row>
    <row r="272" ht="15" customHeight="1" s="81">
      <c r="E272" s="124">
        <f>IF($C272=0,0,$C272-$D272)</f>
        <v/>
      </c>
      <c r="G272" s="124">
        <f>IF($E272=0,0,$E272*($F272-1))</f>
        <v/>
      </c>
      <c r="H272" s="124">
        <f>IF($B272="","",CONCATENATE("Örnek kıymet: ",$B272))</f>
        <v/>
      </c>
    </row>
    <row r="273" ht="15" customHeight="1" s="81">
      <c r="E273" s="124">
        <f>IF($C273=0,0,$C273-$D273)</f>
        <v/>
      </c>
      <c r="G273" s="124">
        <f>IF($E273=0,0,$E273*($F273-1))</f>
        <v/>
      </c>
      <c r="H273" s="124">
        <f>IF($B273="","",CONCATENATE("Örnek kıymet: ",$B273))</f>
        <v/>
      </c>
    </row>
    <row r="274" ht="15" customHeight="1" s="81">
      <c r="E274" s="124">
        <f>IF($C274=0,0,$C274-$D274)</f>
        <v/>
      </c>
      <c r="G274" s="124">
        <f>IF($E274=0,0,$E274*($F274-1))</f>
        <v/>
      </c>
      <c r="H274" s="124">
        <f>IF($B274="","",CONCATENATE("Örnek kıymet: ",$B274))</f>
        <v/>
      </c>
    </row>
    <row r="275" ht="15" customHeight="1" s="81">
      <c r="E275" s="124">
        <f>IF($C275=0,0,$C275-$D275)</f>
        <v/>
      </c>
      <c r="G275" s="124">
        <f>IF($E275=0,0,$E275*($F275-1))</f>
        <v/>
      </c>
      <c r="H275" s="124">
        <f>IF($B275="","",CONCATENATE("Örnek kıymet: ",$B275))</f>
        <v/>
      </c>
    </row>
    <row r="276" ht="15" customHeight="1" s="81">
      <c r="E276" s="124">
        <f>IF($C276=0,0,$C276-$D276)</f>
        <v/>
      </c>
      <c r="G276" s="124">
        <f>IF($E276=0,0,$E276*($F276-1))</f>
        <v/>
      </c>
      <c r="H276" s="124">
        <f>IF($B276="","",CONCATENATE("Örnek kıymet: ",$B276))</f>
        <v/>
      </c>
    </row>
    <row r="277" ht="15" customHeight="1" s="81">
      <c r="E277" s="124">
        <f>IF($C277=0,0,$C277-$D277)</f>
        <v/>
      </c>
      <c r="G277" s="124">
        <f>IF($E277=0,0,$E277*($F277-1))</f>
        <v/>
      </c>
      <c r="H277" s="124">
        <f>IF($B277="","",CONCATENATE("Örnek kıymet: ",$B277))</f>
        <v/>
      </c>
    </row>
    <row r="278" ht="15" customHeight="1" s="81">
      <c r="E278" s="124">
        <f>IF($C278=0,0,$C278-$D278)</f>
        <v/>
      </c>
      <c r="G278" s="124">
        <f>IF($E278=0,0,$E278*($F278-1))</f>
        <v/>
      </c>
      <c r="H278" s="124">
        <f>IF($B278="","",CONCATENATE("Örnek kıymet: ",$B278))</f>
        <v/>
      </c>
    </row>
    <row r="279" ht="15" customHeight="1" s="81">
      <c r="E279" s="124">
        <f>IF($C279=0,0,$C279-$D279)</f>
        <v/>
      </c>
      <c r="G279" s="124">
        <f>IF($E279=0,0,$E279*($F279-1))</f>
        <v/>
      </c>
      <c r="H279" s="124">
        <f>IF($B279="","",CONCATENATE("Örnek kıymet: ",$B279))</f>
        <v/>
      </c>
    </row>
    <row r="280" ht="15" customHeight="1" s="81">
      <c r="E280" s="124">
        <f>IF($C280=0,0,$C280-$D280)</f>
        <v/>
      </c>
      <c r="G280" s="124">
        <f>IF($E280=0,0,$E280*($F280-1))</f>
        <v/>
      </c>
      <c r="H280" s="124">
        <f>IF($B280="","",CONCATENATE("Örnek kıymet: ",$B280))</f>
        <v/>
      </c>
    </row>
    <row r="281" ht="15" customHeight="1" s="81">
      <c r="E281" s="124">
        <f>IF($C281=0,0,$C281-$D281)</f>
        <v/>
      </c>
      <c r="G281" s="124">
        <f>IF($E281=0,0,$E281*($F281-1))</f>
        <v/>
      </c>
      <c r="H281" s="124">
        <f>IF($B281="","",CONCATENATE("Örnek kıymet: ",$B281))</f>
        <v/>
      </c>
    </row>
    <row r="282" ht="15" customHeight="1" s="81">
      <c r="E282" s="124">
        <f>IF($C282=0,0,$C282-$D282)</f>
        <v/>
      </c>
      <c r="G282" s="124">
        <f>IF($E282=0,0,$E282*($F282-1))</f>
        <v/>
      </c>
      <c r="H282" s="124">
        <f>IF($B282="","",CONCATENATE("Örnek kıymet: ",$B282))</f>
        <v/>
      </c>
    </row>
    <row r="283" ht="15" customHeight="1" s="81">
      <c r="E283" s="124">
        <f>IF($C283=0,0,$C283-$D283)</f>
        <v/>
      </c>
      <c r="G283" s="124">
        <f>IF($E283=0,0,$E283*($F283-1))</f>
        <v/>
      </c>
      <c r="H283" s="124">
        <f>IF($B283="","",CONCATENATE("Örnek kıymet: ",$B283))</f>
        <v/>
      </c>
    </row>
    <row r="284" ht="15" customHeight="1" s="81">
      <c r="E284" s="124">
        <f>IF($C284=0,0,$C284-$D284)</f>
        <v/>
      </c>
      <c r="G284" s="124">
        <f>IF($E284=0,0,$E284*($F284-1))</f>
        <v/>
      </c>
      <c r="H284" s="124">
        <f>IF($B284="","",CONCATENATE("Örnek kıymet: ",$B284))</f>
        <v/>
      </c>
    </row>
    <row r="285" ht="15" customHeight="1" s="81">
      <c r="E285" s="124">
        <f>IF($C285=0,0,$C285-$D285)</f>
        <v/>
      </c>
      <c r="G285" s="124">
        <f>IF($E285=0,0,$E285*($F285-1))</f>
        <v/>
      </c>
      <c r="H285" s="124">
        <f>IF($B285="","",CONCATENATE("Örnek kıymet: ",$B285))</f>
        <v/>
      </c>
    </row>
    <row r="286" ht="15" customHeight="1" s="81">
      <c r="E286" s="124">
        <f>IF($C286=0,0,$C286-$D286)</f>
        <v/>
      </c>
      <c r="G286" s="124">
        <f>IF($E286=0,0,$E286*($F286-1))</f>
        <v/>
      </c>
      <c r="H286" s="124">
        <f>IF($B286="","",CONCATENATE("Örnek kıymet: ",$B286))</f>
        <v/>
      </c>
    </row>
    <row r="287" ht="15" customHeight="1" s="81">
      <c r="E287" s="124">
        <f>IF($C287=0,0,$C287-$D287)</f>
        <v/>
      </c>
      <c r="G287" s="124">
        <f>IF($E287=0,0,$E287*($F287-1))</f>
        <v/>
      </c>
      <c r="H287" s="124">
        <f>IF($B287="","",CONCATENATE("Örnek kıymet: ",$B287))</f>
        <v/>
      </c>
    </row>
    <row r="288" ht="15" customHeight="1" s="81">
      <c r="E288" s="124">
        <f>IF($C288=0,0,$C288-$D288)</f>
        <v/>
      </c>
      <c r="G288" s="124">
        <f>IF($E288=0,0,$E288*($F288-1))</f>
        <v/>
      </c>
      <c r="H288" s="124">
        <f>IF($B288="","",CONCATENATE("Örnek kıymet: ",$B288))</f>
        <v/>
      </c>
    </row>
    <row r="289" ht="15" customHeight="1" s="81">
      <c r="E289" s="124">
        <f>IF($C289=0,0,$C289-$D289)</f>
        <v/>
      </c>
      <c r="G289" s="124">
        <f>IF($E289=0,0,$E289*($F289-1))</f>
        <v/>
      </c>
      <c r="H289" s="124">
        <f>IF($B289="","",CONCATENATE("Örnek kıymet: ",$B289))</f>
        <v/>
      </c>
    </row>
    <row r="290" ht="15" customHeight="1" s="81">
      <c r="E290" s="124">
        <f>IF($C290=0,0,$C290-$D290)</f>
        <v/>
      </c>
      <c r="G290" s="124">
        <f>IF($E290=0,0,$E290*($F290-1))</f>
        <v/>
      </c>
      <c r="H290" s="124">
        <f>IF($B290="","",CONCATENATE("Örnek kıymet: ",$B290))</f>
        <v/>
      </c>
    </row>
    <row r="291" ht="15" customHeight="1" s="81">
      <c r="E291" s="124">
        <f>IF($C291=0,0,$C291-$D291)</f>
        <v/>
      </c>
      <c r="G291" s="124">
        <f>IF($E291=0,0,$E291*($F291-1))</f>
        <v/>
      </c>
      <c r="H291" s="124">
        <f>IF($B291="","",CONCATENATE("Örnek kıymet: ",$B291))</f>
        <v/>
      </c>
    </row>
    <row r="292" ht="15" customHeight="1" s="81">
      <c r="E292" s="124">
        <f>IF($C292=0,0,$C292-$D292)</f>
        <v/>
      </c>
      <c r="G292" s="124">
        <f>IF($E292=0,0,$E292*($F292-1))</f>
        <v/>
      </c>
      <c r="H292" s="124">
        <f>IF($B292="","",CONCATENATE("Örnek kıymet: ",$B292))</f>
        <v/>
      </c>
    </row>
    <row r="293" ht="15" customHeight="1" s="81">
      <c r="E293" s="124">
        <f>IF($C293=0,0,$C293-$D293)</f>
        <v/>
      </c>
      <c r="G293" s="124">
        <f>IF($E293=0,0,$E293*($F293-1))</f>
        <v/>
      </c>
      <c r="H293" s="124">
        <f>IF($B293="","",CONCATENATE("Örnek kıymet: ",$B293))</f>
        <v/>
      </c>
    </row>
    <row r="294" ht="15" customHeight="1" s="81">
      <c r="E294" s="124">
        <f>IF($C294=0,0,$C294-$D294)</f>
        <v/>
      </c>
      <c r="G294" s="124">
        <f>IF($E294=0,0,$E294*($F294-1))</f>
        <v/>
      </c>
      <c r="H294" s="124">
        <f>IF($B294="","",CONCATENATE("Örnek kıymet: ",$B294))</f>
        <v/>
      </c>
    </row>
    <row r="295" ht="15" customHeight="1" s="81">
      <c r="E295" s="124">
        <f>IF($C295=0,0,$C295-$D295)</f>
        <v/>
      </c>
      <c r="G295" s="124">
        <f>IF($E295=0,0,$E295*($F295-1))</f>
        <v/>
      </c>
      <c r="H295" s="124">
        <f>IF($B295="","",CONCATENATE("Örnek kıymet: ",$B295))</f>
        <v/>
      </c>
    </row>
    <row r="296" ht="15" customHeight="1" s="81">
      <c r="E296" s="124">
        <f>IF($C296=0,0,$C296-$D296)</f>
        <v/>
      </c>
      <c r="G296" s="124">
        <f>IF($E296=0,0,$E296*($F296-1))</f>
        <v/>
      </c>
      <c r="H296" s="124">
        <f>IF($B296="","",CONCATENATE("Örnek kıymet: ",$B296))</f>
        <v/>
      </c>
    </row>
    <row r="297" ht="15" customHeight="1" s="81">
      <c r="E297" s="124">
        <f>IF($C297=0,0,$C297-$D297)</f>
        <v/>
      </c>
      <c r="G297" s="124">
        <f>IF($E297=0,0,$E297*($F297-1))</f>
        <v/>
      </c>
      <c r="H297" s="124">
        <f>IF($B297="","",CONCATENATE("Örnek kıymet: ",$B297))</f>
        <v/>
      </c>
    </row>
    <row r="298" ht="15" customHeight="1" s="81">
      <c r="E298" s="124">
        <f>IF($C298=0,0,$C298-$D298)</f>
        <v/>
      </c>
      <c r="G298" s="124">
        <f>IF($E298=0,0,$E298*($F298-1))</f>
        <v/>
      </c>
      <c r="H298" s="124">
        <f>IF($B298="","",CONCATENATE("Örnek kıymet: ",$B298))</f>
        <v/>
      </c>
    </row>
    <row r="299" ht="15" customHeight="1" s="81">
      <c r="E299" s="124">
        <f>IF($C299=0,0,$C299-$D299)</f>
        <v/>
      </c>
      <c r="G299" s="124">
        <f>IF($E299=0,0,$E299*($F299-1))</f>
        <v/>
      </c>
      <c r="H299" s="124">
        <f>IF($B299="","",CONCATENATE("Örnek kıymet: ",$B299))</f>
        <v/>
      </c>
    </row>
    <row r="300" ht="15" customHeight="1" s="81">
      <c r="E300" s="124">
        <f>IF($C300=0,0,$C300-$D300)</f>
        <v/>
      </c>
      <c r="G300" s="124">
        <f>IF($E300=0,0,$E300*($F300-1))</f>
        <v/>
      </c>
      <c r="H300" s="124">
        <f>IF($B300="","",CONCATENATE("Örnek kıymet: ",$B300))</f>
        <v/>
      </c>
    </row>
    <row r="301" ht="15" customHeight="1" s="81">
      <c r="E301" s="124">
        <f>IF($C301=0,0,$C301-$D301)</f>
        <v/>
      </c>
      <c r="G301" s="124">
        <f>IF($E301=0,0,$E301*($F301-1))</f>
        <v/>
      </c>
      <c r="H301" s="124">
        <f>IF($B301="","",CONCATENATE("Örnek kıymet: ",$B301))</f>
        <v/>
      </c>
    </row>
    <row r="302" ht="15" customHeight="1" s="81">
      <c r="E302" s="124">
        <f>IF($C302=0,0,$C302-$D302)</f>
        <v/>
      </c>
      <c r="G302" s="124">
        <f>IF($E302=0,0,$E302*($F302-1))</f>
        <v/>
      </c>
      <c r="H302" s="124">
        <f>IF($B302="","",CONCATENATE("Örnek kıymet: ",$B302))</f>
        <v/>
      </c>
    </row>
    <row r="303" ht="15" customHeight="1" s="81">
      <c r="E303" s="124">
        <f>IF($C303=0,0,$C303-$D303)</f>
        <v/>
      </c>
      <c r="G303" s="124">
        <f>IF($E303=0,0,$E303*($F303-1))</f>
        <v/>
      </c>
      <c r="H303" s="124">
        <f>IF($B303="","",CONCATENATE("Örnek kıymet: ",$B303))</f>
        <v/>
      </c>
    </row>
    <row r="304" ht="15" customHeight="1" s="81">
      <c r="E304" s="124">
        <f>IF($C304=0,0,$C304-$D304)</f>
        <v/>
      </c>
      <c r="G304" s="124">
        <f>IF($E304=0,0,$E304*($F304-1))</f>
        <v/>
      </c>
      <c r="H304" s="124">
        <f>IF($B304="","",CONCATENATE("Örnek kıymet: ",$B304))</f>
        <v/>
      </c>
    </row>
    <row r="305" ht="15" customHeight="1" s="81">
      <c r="E305" s="124">
        <f>IF($C305=0,0,$C305-$D305)</f>
        <v/>
      </c>
      <c r="G305" s="124">
        <f>IF($E305=0,0,$E305*($F305-1))</f>
        <v/>
      </c>
      <c r="H305" s="124">
        <f>IF($B305="","",CONCATENATE("Örnek kıymet: ",$B305))</f>
        <v/>
      </c>
    </row>
    <row r="306" ht="15" customHeight="1" s="81">
      <c r="E306" s="124">
        <f>IF($C306=0,0,$C306-$D306)</f>
        <v/>
      </c>
      <c r="G306" s="124">
        <f>IF($E306=0,0,$E306*($F306-1))</f>
        <v/>
      </c>
      <c r="H306" s="124">
        <f>IF($B306="","",CONCATENATE("Örnek kıymet: ",$B306))</f>
        <v/>
      </c>
    </row>
    <row r="307" ht="15" customHeight="1" s="81">
      <c r="E307" s="124">
        <f>IF($C307=0,0,$C307-$D307)</f>
        <v/>
      </c>
      <c r="G307" s="124">
        <f>IF($E307=0,0,$E307*($F307-1))</f>
        <v/>
      </c>
      <c r="H307" s="124">
        <f>IF($B307="","",CONCATENATE("Örnek kıymet: ",$B307))</f>
        <v/>
      </c>
    </row>
    <row r="308" ht="15" customHeight="1" s="81">
      <c r="E308" s="124">
        <f>IF($C308=0,0,$C308-$D308)</f>
        <v/>
      </c>
      <c r="G308" s="124">
        <f>IF($E308=0,0,$E308*($F308-1))</f>
        <v/>
      </c>
      <c r="H308" s="124">
        <f>IF($B308="","",CONCATENATE("Örnek kıymet: ",$B308))</f>
        <v/>
      </c>
    </row>
    <row r="309" ht="15" customHeight="1" s="81">
      <c r="E309" s="124">
        <f>IF($C309=0,0,$C309-$D309)</f>
        <v/>
      </c>
      <c r="G309" s="124">
        <f>IF($E309=0,0,$E309*($F309-1))</f>
        <v/>
      </c>
      <c r="H309" s="124">
        <f>IF($B309="","",CONCATENATE("Örnek kıymet: ",$B309))</f>
        <v/>
      </c>
    </row>
    <row r="310" ht="15" customHeight="1" s="81">
      <c r="E310" s="124">
        <f>IF($C310=0,0,$C310-$D310)</f>
        <v/>
      </c>
      <c r="G310" s="124">
        <f>IF($E310=0,0,$E310*($F310-1))</f>
        <v/>
      </c>
      <c r="H310" s="124">
        <f>IF($B310="","",CONCATENATE("Örnek kıymet: ",$B310))</f>
        <v/>
      </c>
    </row>
    <row r="311" ht="15" customHeight="1" s="81">
      <c r="E311" s="124">
        <f>IF($C311=0,0,$C311-$D311)</f>
        <v/>
      </c>
      <c r="G311" s="124">
        <f>IF($E311=0,0,$E311*($F311-1))</f>
        <v/>
      </c>
      <c r="H311" s="124">
        <f>IF($B311="","",CONCATENATE("Örnek kıymet: ",$B311))</f>
        <v/>
      </c>
    </row>
    <row r="312" ht="15" customHeight="1" s="81">
      <c r="E312" s="124">
        <f>IF($C312=0,0,$C312-$D312)</f>
        <v/>
      </c>
      <c r="G312" s="124">
        <f>IF($E312=0,0,$E312*($F312-1))</f>
        <v/>
      </c>
      <c r="H312" s="124">
        <f>IF($B312="","",CONCATENATE("Örnek kıymet: ",$B312))</f>
        <v/>
      </c>
    </row>
    <row r="313" ht="15" customHeight="1" s="81">
      <c r="E313" s="124">
        <f>IF($C313=0,0,$C313-$D313)</f>
        <v/>
      </c>
      <c r="G313" s="124">
        <f>IF($E313=0,0,$E313*($F313-1))</f>
        <v/>
      </c>
      <c r="H313" s="124">
        <f>IF($B313="","",CONCATENATE("Örnek kıymet: ",$B313))</f>
        <v/>
      </c>
    </row>
    <row r="314" ht="15" customHeight="1" s="81">
      <c r="E314" s="124">
        <f>IF($C314=0,0,$C314-$D314)</f>
        <v/>
      </c>
      <c r="G314" s="124">
        <f>IF($E314=0,0,$E314*($F314-1))</f>
        <v/>
      </c>
      <c r="H314" s="124">
        <f>IF($B314="","",CONCATENATE("Örnek kıymet: ",$B314))</f>
        <v/>
      </c>
    </row>
    <row r="315" ht="15" customHeight="1" s="81">
      <c r="E315" s="124">
        <f>IF($C315=0,0,$C315-$D315)</f>
        <v/>
      </c>
      <c r="G315" s="124">
        <f>IF($E315=0,0,$E315*($F315-1))</f>
        <v/>
      </c>
      <c r="H315" s="124">
        <f>IF($B315="","",CONCATENATE("Örnek kıymet: ",$B315))</f>
        <v/>
      </c>
    </row>
    <row r="316" ht="15" customHeight="1" s="81">
      <c r="E316" s="124">
        <f>IF($C316=0,0,$C316-$D316)</f>
        <v/>
      </c>
      <c r="G316" s="124">
        <f>IF($E316=0,0,$E316*($F316-1))</f>
        <v/>
      </c>
      <c r="H316" s="124">
        <f>IF($B316="","",CONCATENATE("Örnek kıymet: ",$B316))</f>
        <v/>
      </c>
    </row>
    <row r="317" ht="15" customHeight="1" s="81">
      <c r="E317" s="124">
        <f>IF($C317=0,0,$C317-$D317)</f>
        <v/>
      </c>
      <c r="G317" s="124">
        <f>IF($E317=0,0,$E317*($F317-1))</f>
        <v/>
      </c>
      <c r="H317" s="124">
        <f>IF($B317="","",CONCATENATE("Örnek kıymet: ",$B317))</f>
        <v/>
      </c>
    </row>
    <row r="318" ht="15" customHeight="1" s="81">
      <c r="E318" s="124">
        <f>IF($C318=0,0,$C318-$D318)</f>
        <v/>
      </c>
      <c r="G318" s="124">
        <f>IF($E318=0,0,$E318*($F318-1))</f>
        <v/>
      </c>
      <c r="H318" s="124">
        <f>IF($B318="","",CONCATENATE("Örnek kıymet: ",$B318))</f>
        <v/>
      </c>
    </row>
    <row r="319" ht="15" customHeight="1" s="81">
      <c r="E319" s="124">
        <f>IF($C319=0,0,$C319-$D319)</f>
        <v/>
      </c>
      <c r="G319" s="124">
        <f>IF($E319=0,0,$E319*($F319-1))</f>
        <v/>
      </c>
      <c r="H319" s="124">
        <f>IF($B319="","",CONCATENATE("Örnek kıymet: ",$B319))</f>
        <v/>
      </c>
    </row>
    <row r="320" ht="15" customHeight="1" s="81">
      <c r="E320" s="124">
        <f>IF($C320=0,0,$C320-$D320)</f>
        <v/>
      </c>
      <c r="G320" s="124">
        <f>IF($E320=0,0,$E320*($F320-1))</f>
        <v/>
      </c>
      <c r="H320" s="124">
        <f>IF($B320="","",CONCATENATE("Örnek kıymet: ",$B320))</f>
        <v/>
      </c>
    </row>
    <row r="321" ht="15" customHeight="1" s="81">
      <c r="E321" s="124">
        <f>IF($C321=0,0,$C321-$D321)</f>
        <v/>
      </c>
      <c r="G321" s="124">
        <f>IF($E321=0,0,$E321*($F321-1))</f>
        <v/>
      </c>
      <c r="H321" s="124">
        <f>IF($B321="","",CONCATENATE("Örnek kıymet: ",$B321))</f>
        <v/>
      </c>
    </row>
    <row r="322" ht="15" customHeight="1" s="81">
      <c r="E322" s="124">
        <f>IF($C322=0,0,$C322-$D322)</f>
        <v/>
      </c>
      <c r="G322" s="124">
        <f>IF($E322=0,0,$E322*($F322-1))</f>
        <v/>
      </c>
      <c r="H322" s="124">
        <f>IF($B322="","",CONCATENATE("Örnek kıymet: ",$B322))</f>
        <v/>
      </c>
    </row>
    <row r="323" ht="15" customHeight="1" s="81">
      <c r="E323" s="124">
        <f>IF($C323=0,0,$C323-$D323)</f>
        <v/>
      </c>
      <c r="G323" s="124">
        <f>IF($E323=0,0,$E323*($F323-1))</f>
        <v/>
      </c>
      <c r="H323" s="124">
        <f>IF($B323="","",CONCATENATE("Örnek kıymet: ",$B323))</f>
        <v/>
      </c>
    </row>
    <row r="324" ht="15" customHeight="1" s="81">
      <c r="E324" s="124">
        <f>IF($C324=0,0,$C324-$D324)</f>
        <v/>
      </c>
      <c r="G324" s="124">
        <f>IF($E324=0,0,$E324*($F324-1))</f>
        <v/>
      </c>
      <c r="H324" s="124">
        <f>IF($B324="","",CONCATENATE("Örnek kıymet: ",$B324))</f>
        <v/>
      </c>
    </row>
    <row r="325" ht="15" customHeight="1" s="81">
      <c r="E325" s="124">
        <f>IF($C325=0,0,$C325-$D325)</f>
        <v/>
      </c>
      <c r="G325" s="124">
        <f>IF($E325=0,0,$E325*($F325-1))</f>
        <v/>
      </c>
      <c r="H325" s="124">
        <f>IF($B325="","",CONCATENATE("Örnek kıymet: ",$B325))</f>
        <v/>
      </c>
    </row>
    <row r="326" ht="15" customHeight="1" s="81">
      <c r="E326" s="124">
        <f>IF($C326=0,0,$C326-$D326)</f>
        <v/>
      </c>
      <c r="G326" s="124">
        <f>IF($E326=0,0,$E326*($F326-1))</f>
        <v/>
      </c>
      <c r="H326" s="124">
        <f>IF($B326="","",CONCATENATE("Örnek kıymet: ",$B326))</f>
        <v/>
      </c>
    </row>
    <row r="327" ht="15" customHeight="1" s="81">
      <c r="E327" s="124">
        <f>IF($C327=0,0,$C327-$D327)</f>
        <v/>
      </c>
      <c r="G327" s="124">
        <f>IF($E327=0,0,$E327*($F327-1))</f>
        <v/>
      </c>
      <c r="H327" s="124">
        <f>IF($B327="","",CONCATENATE("Örnek kıymet: ",$B327))</f>
        <v/>
      </c>
    </row>
    <row r="328" ht="15" customHeight="1" s="81">
      <c r="E328" s="124">
        <f>IF($C328=0,0,$C328-$D328)</f>
        <v/>
      </c>
      <c r="G328" s="124">
        <f>IF($E328=0,0,$E328*($F328-1))</f>
        <v/>
      </c>
      <c r="H328" s="124">
        <f>IF($B328="","",CONCATENATE("Örnek kıymet: ",$B328))</f>
        <v/>
      </c>
    </row>
    <row r="329" ht="15" customHeight="1" s="81">
      <c r="E329" s="124">
        <f>IF($C329=0,0,$C329-$D329)</f>
        <v/>
      </c>
      <c r="G329" s="124">
        <f>IF($E329=0,0,$E329*($F329-1))</f>
        <v/>
      </c>
      <c r="H329" s="124">
        <f>IF($B329="","",CONCATENATE("Örnek kıymet: ",$B329))</f>
        <v/>
      </c>
    </row>
    <row r="330" ht="15" customHeight="1" s="81">
      <c r="E330" s="124">
        <f>IF($C330=0,0,$C330-$D330)</f>
        <v/>
      </c>
      <c r="G330" s="124">
        <f>IF($E330=0,0,$E330*($F330-1))</f>
        <v/>
      </c>
      <c r="H330" s="124">
        <f>IF($B330="","",CONCATENATE("Örnek kıymet: ",$B330))</f>
        <v/>
      </c>
    </row>
    <row r="331" ht="15" customHeight="1" s="81">
      <c r="E331" s="124">
        <f>IF($C331=0,0,$C331-$D331)</f>
        <v/>
      </c>
      <c r="G331" s="124">
        <f>IF($E331=0,0,$E331*($F331-1))</f>
        <v/>
      </c>
      <c r="H331" s="124">
        <f>IF($B331="","",CONCATENATE("Örnek kıymet: ",$B331))</f>
        <v/>
      </c>
    </row>
    <row r="332" ht="15" customHeight="1" s="81">
      <c r="E332" s="124">
        <f>IF($C332=0,0,$C332-$D332)</f>
        <v/>
      </c>
      <c r="G332" s="124">
        <f>IF($E332=0,0,$E332*($F332-1))</f>
        <v/>
      </c>
      <c r="H332" s="124">
        <f>IF($B332="","",CONCATENATE("Örnek kıymet: ",$B332))</f>
        <v/>
      </c>
    </row>
    <row r="333" ht="15" customHeight="1" s="81">
      <c r="E333" s="124">
        <f>IF($C333=0,0,$C333-$D333)</f>
        <v/>
      </c>
      <c r="G333" s="124">
        <f>IF($E333=0,0,$E333*($F333-1))</f>
        <v/>
      </c>
      <c r="H333" s="124">
        <f>IF($B333="","",CONCATENATE("Örnek kıymet: ",$B333))</f>
        <v/>
      </c>
    </row>
    <row r="334" ht="15" customHeight="1" s="81">
      <c r="E334" s="124">
        <f>IF($C334=0,0,$C334-$D334)</f>
        <v/>
      </c>
      <c r="G334" s="124">
        <f>IF($E334=0,0,$E334*($F334-1))</f>
        <v/>
      </c>
      <c r="H334" s="124">
        <f>IF($B334="","",CONCATENATE("Örnek kıymet: ",$B334))</f>
        <v/>
      </c>
    </row>
    <row r="335" ht="15" customHeight="1" s="81">
      <c r="E335" s="124">
        <f>IF($C335=0,0,$C335-$D335)</f>
        <v/>
      </c>
      <c r="G335" s="124">
        <f>IF($E335=0,0,$E335*($F335-1))</f>
        <v/>
      </c>
      <c r="H335" s="124">
        <f>IF($B335="","",CONCATENATE("Örnek kıymet: ",$B335))</f>
        <v/>
      </c>
    </row>
    <row r="336" ht="15" customHeight="1" s="81">
      <c r="E336" s="124">
        <f>IF($C336=0,0,$C336-$D336)</f>
        <v/>
      </c>
      <c r="G336" s="124">
        <f>IF($E336=0,0,$E336*($F336-1))</f>
        <v/>
      </c>
      <c r="H336" s="124">
        <f>IF($B336="","",CONCATENATE("Örnek kıymet: ",$B336))</f>
        <v/>
      </c>
    </row>
    <row r="337" ht="15" customHeight="1" s="81">
      <c r="E337" s="124">
        <f>IF($C337=0,0,$C337-$D337)</f>
        <v/>
      </c>
      <c r="G337" s="124">
        <f>IF($E337=0,0,$E337*($F337-1))</f>
        <v/>
      </c>
      <c r="H337" s="124">
        <f>IF($B337="","",CONCATENATE("Örnek kıymet: ",$B337))</f>
        <v/>
      </c>
    </row>
    <row r="338" ht="15" customHeight="1" s="81">
      <c r="E338" s="124">
        <f>IF($C338=0,0,$C338-$D338)</f>
        <v/>
      </c>
      <c r="G338" s="124">
        <f>IF($E338=0,0,$E338*($F338-1))</f>
        <v/>
      </c>
      <c r="H338" s="124">
        <f>IF($B338="","",CONCATENATE("Örnek kıymet: ",$B338))</f>
        <v/>
      </c>
    </row>
    <row r="339" ht="15" customHeight="1" s="81">
      <c r="E339" s="124">
        <f>IF($C339=0,0,$C339-$D339)</f>
        <v/>
      </c>
      <c r="G339" s="124">
        <f>IF($E339=0,0,$E339*($F339-1))</f>
        <v/>
      </c>
      <c r="H339" s="124">
        <f>IF($B339="","",CONCATENATE("Örnek kıymet: ",$B339))</f>
        <v/>
      </c>
    </row>
    <row r="340" ht="15" customHeight="1" s="81">
      <c r="E340" s="124">
        <f>IF($C340=0,0,$C340-$D340)</f>
        <v/>
      </c>
      <c r="G340" s="124">
        <f>IF($E340=0,0,$E340*($F340-1))</f>
        <v/>
      </c>
      <c r="H340" s="124">
        <f>IF($B340="","",CONCATENATE("Örnek kıymet: ",$B340))</f>
        <v/>
      </c>
    </row>
    <row r="341" ht="15" customHeight="1" s="81">
      <c r="E341" s="124">
        <f>IF($C341=0,0,$C341-$D341)</f>
        <v/>
      </c>
      <c r="G341" s="124">
        <f>IF($E341=0,0,$E341*($F341-1))</f>
        <v/>
      </c>
      <c r="H341" s="124">
        <f>IF($B341="","",CONCATENATE("Örnek kıymet: ",$B341))</f>
        <v/>
      </c>
    </row>
    <row r="342" ht="15" customHeight="1" s="81">
      <c r="E342" s="124">
        <f>IF($C342=0,0,$C342-$D342)</f>
        <v/>
      </c>
      <c r="G342" s="124">
        <f>IF($E342=0,0,$E342*($F342-1))</f>
        <v/>
      </c>
      <c r="H342" s="124">
        <f>IF($B342="","",CONCATENATE("Örnek kıymet: ",$B342))</f>
        <v/>
      </c>
    </row>
    <row r="343" ht="15" customHeight="1" s="81">
      <c r="E343" s="124">
        <f>IF($C343=0,0,$C343-$D343)</f>
        <v/>
      </c>
      <c r="G343" s="124">
        <f>IF($E343=0,0,$E343*($F343-1))</f>
        <v/>
      </c>
      <c r="H343" s="124">
        <f>IF($B343="","",CONCATENATE("Örnek kıymet: ",$B343))</f>
        <v/>
      </c>
    </row>
    <row r="344" ht="15" customHeight="1" s="81">
      <c r="E344" s="124">
        <f>IF($C344=0,0,$C344-$D344)</f>
        <v/>
      </c>
      <c r="G344" s="124">
        <f>IF($E344=0,0,$E344*($F344-1))</f>
        <v/>
      </c>
      <c r="H344" s="124">
        <f>IF($B344="","",CONCATENATE("Örnek kıymet: ",$B344))</f>
        <v/>
      </c>
    </row>
    <row r="345" ht="15" customHeight="1" s="81">
      <c r="E345" s="124">
        <f>IF($C345=0,0,$C345-$D345)</f>
        <v/>
      </c>
      <c r="G345" s="124">
        <f>IF($E345=0,0,$E345*($F345-1))</f>
        <v/>
      </c>
      <c r="H345" s="124">
        <f>IF($B345="","",CONCATENATE("Örnek kıymet: ",$B345))</f>
        <v/>
      </c>
    </row>
    <row r="346" ht="15" customHeight="1" s="81">
      <c r="E346" s="124">
        <f>IF($C346=0,0,$C346-$D346)</f>
        <v/>
      </c>
      <c r="G346" s="124">
        <f>IF($E346=0,0,$E346*($F346-1))</f>
        <v/>
      </c>
      <c r="H346" s="124">
        <f>IF($B346="","",CONCATENATE("Örnek kıymet: ",$B346))</f>
        <v/>
      </c>
    </row>
    <row r="347" ht="15" customHeight="1" s="81">
      <c r="E347" s="124">
        <f>IF($C347=0,0,$C347-$D347)</f>
        <v/>
      </c>
      <c r="G347" s="124">
        <f>IF($E347=0,0,$E347*($F347-1))</f>
        <v/>
      </c>
      <c r="H347" s="124">
        <f>IF($B347="","",CONCATENATE("Örnek kıymet: ",$B347))</f>
        <v/>
      </c>
    </row>
    <row r="348" ht="15" customHeight="1" s="81">
      <c r="E348" s="124">
        <f>IF($C348=0,0,$C348-$D348)</f>
        <v/>
      </c>
      <c r="G348" s="124">
        <f>IF($E348=0,0,$E348*($F348-1))</f>
        <v/>
      </c>
      <c r="H348" s="124">
        <f>IF($B348="","",CONCATENATE("Örnek kıymet: ",$B348))</f>
        <v/>
      </c>
    </row>
    <row r="349" ht="15" customHeight="1" s="81">
      <c r="E349" s="124">
        <f>IF($C349=0,0,$C349-$D349)</f>
        <v/>
      </c>
      <c r="G349" s="124">
        <f>IF($E349=0,0,$E349*($F349-1))</f>
        <v/>
      </c>
      <c r="H349" s="124">
        <f>IF($B349="","",CONCATENATE("Örnek kıymet: ",$B349))</f>
        <v/>
      </c>
    </row>
    <row r="350" ht="15" customHeight="1" s="81">
      <c r="E350" s="124">
        <f>IF($C350=0,0,$C350-$D350)</f>
        <v/>
      </c>
      <c r="G350" s="124">
        <f>IF($E350=0,0,$E350*($F350-1))</f>
        <v/>
      </c>
      <c r="H350" s="124">
        <f>IF($B350="","",CONCATENATE("Örnek kıymet: ",$B350))</f>
        <v/>
      </c>
    </row>
    <row r="351" ht="15" customHeight="1" s="81">
      <c r="E351" s="124">
        <f>IF($C351=0,0,$C351-$D351)</f>
        <v/>
      </c>
      <c r="G351" s="124">
        <f>IF($E351=0,0,$E351*($F351-1))</f>
        <v/>
      </c>
      <c r="H351" s="124">
        <f>IF($B351="","",CONCATENATE("Örnek kıymet: ",$B351))</f>
        <v/>
      </c>
    </row>
    <row r="352" ht="15" customHeight="1" s="81">
      <c r="E352" s="124">
        <f>IF($C352=0,0,$C352-$D352)</f>
        <v/>
      </c>
      <c r="G352" s="124">
        <f>IF($E352=0,0,$E352*($F352-1))</f>
        <v/>
      </c>
      <c r="H352" s="124">
        <f>IF($B352="","",CONCATENATE("Örnek kıymet: ",$B352))</f>
        <v/>
      </c>
    </row>
    <row r="353" ht="15" customHeight="1" s="81">
      <c r="E353" s="124">
        <f>IF($C353=0,0,$C353-$D353)</f>
        <v/>
      </c>
      <c r="G353" s="124">
        <f>IF($E353=0,0,$E353*($F353-1))</f>
        <v/>
      </c>
      <c r="H353" s="124">
        <f>IF($B353="","",CONCATENATE("Örnek kıymet: ",$B353))</f>
        <v/>
      </c>
    </row>
    <row r="354" ht="15" customHeight="1" s="81">
      <c r="E354" s="124">
        <f>IF($C354=0,0,$C354-$D354)</f>
        <v/>
      </c>
      <c r="G354" s="124">
        <f>IF($E354=0,0,$E354*($F354-1))</f>
        <v/>
      </c>
      <c r="H354" s="124">
        <f>IF($B354="","",CONCATENATE("Örnek kıymet: ",$B354))</f>
        <v/>
      </c>
    </row>
    <row r="355" ht="15" customHeight="1" s="81">
      <c r="E355" s="124">
        <f>IF($C355=0,0,$C355-$D355)</f>
        <v/>
      </c>
      <c r="G355" s="124">
        <f>IF($E355=0,0,$E355*($F355-1))</f>
        <v/>
      </c>
      <c r="H355" s="124">
        <f>IF($B355="","",CONCATENATE("Örnek kıymet: ",$B355))</f>
        <v/>
      </c>
    </row>
    <row r="356" ht="15" customHeight="1" s="81">
      <c r="E356" s="124">
        <f>IF($C356=0,0,$C356-$D356)</f>
        <v/>
      </c>
      <c r="G356" s="124">
        <f>IF($E356=0,0,$E356*($F356-1))</f>
        <v/>
      </c>
      <c r="H356" s="124">
        <f>IF($B356="","",CONCATENATE("Örnek kıymet: ",$B356))</f>
        <v/>
      </c>
    </row>
    <row r="357" ht="15" customHeight="1" s="81">
      <c r="E357" s="124">
        <f>IF($C357=0,0,$C357-$D357)</f>
        <v/>
      </c>
      <c r="G357" s="124">
        <f>IF($E357=0,0,$E357*($F357-1))</f>
        <v/>
      </c>
      <c r="H357" s="124">
        <f>IF($B357="","",CONCATENATE("Örnek kıymet: ",$B357))</f>
        <v/>
      </c>
    </row>
    <row r="358" ht="15" customHeight="1" s="81">
      <c r="E358" s="124">
        <f>IF($C358=0,0,$C358-$D358)</f>
        <v/>
      </c>
      <c r="G358" s="124">
        <f>IF($E358=0,0,$E358*($F358-1))</f>
        <v/>
      </c>
      <c r="H358" s="124">
        <f>IF($B358="","",CONCATENATE("Örnek kıymet: ",$B358))</f>
        <v/>
      </c>
    </row>
    <row r="359" ht="15" customHeight="1" s="81">
      <c r="E359" s="124">
        <f>IF($C359=0,0,$C359-$D359)</f>
        <v/>
      </c>
      <c r="G359" s="124">
        <f>IF($E359=0,0,$E359*($F359-1))</f>
        <v/>
      </c>
      <c r="H359" s="124">
        <f>IF($B359="","",CONCATENATE("Örnek kıymet: ",$B359))</f>
        <v/>
      </c>
    </row>
    <row r="360" ht="15" customHeight="1" s="81">
      <c r="E360" s="124">
        <f>IF($C360=0,0,$C360-$D360)</f>
        <v/>
      </c>
      <c r="G360" s="124">
        <f>IF($E360=0,0,$E360*($F360-1))</f>
        <v/>
      </c>
      <c r="H360" s="124">
        <f>IF($B360="","",CONCATENATE("Örnek kıymet: ",$B360))</f>
        <v/>
      </c>
    </row>
    <row r="361" ht="15" customHeight="1" s="81">
      <c r="E361" s="124">
        <f>IF($C361=0,0,$C361-$D361)</f>
        <v/>
      </c>
      <c r="G361" s="124">
        <f>IF($E361=0,0,$E361*($F361-1))</f>
        <v/>
      </c>
      <c r="H361" s="124">
        <f>IF($B361="","",CONCATENATE("Örnek kıymet: ",$B361))</f>
        <v/>
      </c>
    </row>
    <row r="362" ht="15" customHeight="1" s="81">
      <c r="E362" s="124">
        <f>IF($C362=0,0,$C362-$D362)</f>
        <v/>
      </c>
      <c r="G362" s="124">
        <f>IF($E362=0,0,$E362*($F362-1))</f>
        <v/>
      </c>
      <c r="H362" s="124">
        <f>IF($B362="","",CONCATENATE("Örnek kıymet: ",$B362))</f>
        <v/>
      </c>
    </row>
    <row r="363" ht="15" customHeight="1" s="81">
      <c r="E363" s="124">
        <f>IF($C363=0,0,$C363-$D363)</f>
        <v/>
      </c>
      <c r="G363" s="124">
        <f>IF($E363=0,0,$E363*($F363-1))</f>
        <v/>
      </c>
      <c r="H363" s="124">
        <f>IF($B363="","",CONCATENATE("Örnek kıymet: ",$B363))</f>
        <v/>
      </c>
    </row>
    <row r="364" ht="15" customHeight="1" s="81">
      <c r="E364" s="124">
        <f>IF($C364=0,0,$C364-$D364)</f>
        <v/>
      </c>
      <c r="G364" s="124">
        <f>IF($E364=0,0,$E364*($F364-1))</f>
        <v/>
      </c>
      <c r="H364" s="124">
        <f>IF($B364="","",CONCATENATE("Örnek kıymet: ",$B364))</f>
        <v/>
      </c>
    </row>
    <row r="365" ht="15" customHeight="1" s="81">
      <c r="E365" s="124">
        <f>IF($C365=0,0,$C365-$D365)</f>
        <v/>
      </c>
      <c r="G365" s="124">
        <f>IF($E365=0,0,$E365*($F365-1))</f>
        <v/>
      </c>
      <c r="H365" s="124">
        <f>IF($B365="","",CONCATENATE("Örnek kıymet: ",$B365))</f>
        <v/>
      </c>
    </row>
    <row r="366" ht="15" customHeight="1" s="81">
      <c r="E366" s="124">
        <f>IF($C366=0,0,$C366-$D366)</f>
        <v/>
      </c>
      <c r="G366" s="124">
        <f>IF($E366=0,0,$E366*($F366-1))</f>
        <v/>
      </c>
      <c r="H366" s="124">
        <f>IF($B366="","",CONCATENATE("Örnek kıymet: ",$B366))</f>
        <v/>
      </c>
    </row>
    <row r="367" ht="15" customHeight="1" s="81">
      <c r="E367" s="124">
        <f>IF($C367=0,0,$C367-$D367)</f>
        <v/>
      </c>
      <c r="G367" s="124">
        <f>IF($E367=0,0,$E367*($F367-1))</f>
        <v/>
      </c>
      <c r="H367" s="124">
        <f>IF($B367="","",CONCATENATE("Örnek kıymet: ",$B367))</f>
        <v/>
      </c>
    </row>
    <row r="368" ht="15" customHeight="1" s="81">
      <c r="E368" s="124">
        <f>IF($C368=0,0,$C368-$D368)</f>
        <v/>
      </c>
      <c r="G368" s="124">
        <f>IF($E368=0,0,$E368*($F368-1))</f>
        <v/>
      </c>
      <c r="H368" s="124">
        <f>IF($B368="","",CONCATENATE("Örnek kıymet: ",$B368))</f>
        <v/>
      </c>
    </row>
    <row r="369" ht="15" customHeight="1" s="81">
      <c r="E369" s="124">
        <f>IF($C369=0,0,$C369-$D369)</f>
        <v/>
      </c>
      <c r="G369" s="124">
        <f>IF($E369=0,0,$E369*($F369-1))</f>
        <v/>
      </c>
      <c r="H369" s="124">
        <f>IF($B369="","",CONCATENATE("Örnek kıymet: ",$B369))</f>
        <v/>
      </c>
    </row>
    <row r="370" ht="15" customHeight="1" s="81">
      <c r="E370" s="124">
        <f>IF($C370=0,0,$C370-$D370)</f>
        <v/>
      </c>
      <c r="G370" s="124">
        <f>IF($E370=0,0,$E370*($F370-1))</f>
        <v/>
      </c>
      <c r="H370" s="124">
        <f>IF($B370="","",CONCATENATE("Örnek kıymet: ",$B370))</f>
        <v/>
      </c>
    </row>
    <row r="371" ht="15" customHeight="1" s="81">
      <c r="E371" s="124">
        <f>IF($C371=0,0,$C371-$D371)</f>
        <v/>
      </c>
      <c r="G371" s="124">
        <f>IF($E371=0,0,$E371*($F371-1))</f>
        <v/>
      </c>
      <c r="H371" s="124">
        <f>IF($B371="","",CONCATENATE("Örnek kıymet: ",$B371))</f>
        <v/>
      </c>
    </row>
    <row r="372" ht="15" customHeight="1" s="81">
      <c r="E372" s="124">
        <f>IF($C372=0,0,$C372-$D372)</f>
        <v/>
      </c>
      <c r="G372" s="124">
        <f>IF($E372=0,0,$E372*($F372-1))</f>
        <v/>
      </c>
      <c r="H372" s="124">
        <f>IF($B372="","",CONCATENATE("Örnek kıymet: ",$B372))</f>
        <v/>
      </c>
    </row>
    <row r="373" ht="15" customHeight="1" s="81">
      <c r="E373" s="124">
        <f>IF($C373=0,0,$C373-$D373)</f>
        <v/>
      </c>
      <c r="G373" s="124">
        <f>IF($E373=0,0,$E373*($F373-1))</f>
        <v/>
      </c>
      <c r="H373" s="124">
        <f>IF($B373="","",CONCATENATE("Örnek kıymet: ",$B373))</f>
        <v/>
      </c>
    </row>
    <row r="374" ht="15" customHeight="1" s="81">
      <c r="E374" s="124">
        <f>IF($C374=0,0,$C374-$D374)</f>
        <v/>
      </c>
      <c r="G374" s="124">
        <f>IF($E374=0,0,$E374*($F374-1))</f>
        <v/>
      </c>
      <c r="H374" s="124">
        <f>IF($B374="","",CONCATENATE("Örnek kıymet: ",$B374))</f>
        <v/>
      </c>
    </row>
    <row r="375" ht="15" customHeight="1" s="81">
      <c r="E375" s="124">
        <f>IF($C375=0,0,$C375-$D375)</f>
        <v/>
      </c>
      <c r="G375" s="124">
        <f>IF($E375=0,0,$E375*($F375-1))</f>
        <v/>
      </c>
      <c r="H375" s="124">
        <f>IF($B375="","",CONCATENATE("Örnek kıymet: ",$B375))</f>
        <v/>
      </c>
    </row>
    <row r="376" ht="15" customHeight="1" s="81">
      <c r="E376" s="124">
        <f>IF($C376=0,0,$C376-$D376)</f>
        <v/>
      </c>
      <c r="G376" s="124">
        <f>IF($E376=0,0,$E376*($F376-1))</f>
        <v/>
      </c>
      <c r="H376" s="124">
        <f>IF($B376="","",CONCATENATE("Örnek kıymet: ",$B376))</f>
        <v/>
      </c>
    </row>
    <row r="377" ht="15" customHeight="1" s="81">
      <c r="E377" s="124">
        <f>IF($C377=0,0,$C377-$D377)</f>
        <v/>
      </c>
      <c r="G377" s="124">
        <f>IF($E377=0,0,$E377*($F377-1))</f>
        <v/>
      </c>
      <c r="H377" s="124">
        <f>IF($B377="","",CONCATENATE("Örnek kıymet: ",$B377))</f>
        <v/>
      </c>
    </row>
    <row r="378" ht="15" customHeight="1" s="81">
      <c r="E378" s="124">
        <f>IF($C378=0,0,$C378-$D378)</f>
        <v/>
      </c>
      <c r="G378" s="124">
        <f>IF($E378=0,0,$E378*($F378-1))</f>
        <v/>
      </c>
      <c r="H378" s="124">
        <f>IF($B378="","",CONCATENATE("Örnek kıymet: ",$B378))</f>
        <v/>
      </c>
    </row>
    <row r="379" ht="15" customHeight="1" s="81">
      <c r="E379" s="124">
        <f>IF($C379=0,0,$C379-$D379)</f>
        <v/>
      </c>
      <c r="G379" s="124">
        <f>IF($E379=0,0,$E379*($F379-1))</f>
        <v/>
      </c>
      <c r="H379" s="124">
        <f>IF($B379="","",CONCATENATE("Örnek kıymet: ",$B379))</f>
        <v/>
      </c>
    </row>
    <row r="380" ht="15" customHeight="1" s="81">
      <c r="E380" s="124">
        <f>IF($C380=0,0,$C380-$D380)</f>
        <v/>
      </c>
      <c r="G380" s="124">
        <f>IF($E380=0,0,$E380*($F380-1))</f>
        <v/>
      </c>
      <c r="H380" s="124">
        <f>IF($B380="","",CONCATENATE("Örnek kıymet: ",$B380))</f>
        <v/>
      </c>
    </row>
    <row r="381" ht="15" customHeight="1" s="81">
      <c r="E381" s="124">
        <f>IF($C381=0,0,$C381-$D381)</f>
        <v/>
      </c>
      <c r="G381" s="124">
        <f>IF($E381=0,0,$E381*($F381-1))</f>
        <v/>
      </c>
      <c r="H381" s="124">
        <f>IF($B381="","",CONCATENATE("Örnek kıymet: ",$B381))</f>
        <v/>
      </c>
    </row>
    <row r="382" ht="15" customHeight="1" s="81">
      <c r="E382" s="124">
        <f>IF($C382=0,0,$C382-$D382)</f>
        <v/>
      </c>
      <c r="G382" s="124">
        <f>IF($E382=0,0,$E382*($F382-1))</f>
        <v/>
      </c>
      <c r="H382" s="124">
        <f>IF($B382="","",CONCATENATE("Örnek kıymet: ",$B382))</f>
        <v/>
      </c>
    </row>
    <row r="383" ht="15" customHeight="1" s="81">
      <c r="E383" s="124">
        <f>IF($C383=0,0,$C383-$D383)</f>
        <v/>
      </c>
      <c r="G383" s="124">
        <f>IF($E383=0,0,$E383*($F383-1))</f>
        <v/>
      </c>
      <c r="H383" s="124">
        <f>IF($B383="","",CONCATENATE("Örnek kıymet: ",$B383))</f>
        <v/>
      </c>
    </row>
    <row r="384" ht="15" customHeight="1" s="81">
      <c r="E384" s="124">
        <f>IF($C384=0,0,$C384-$D384)</f>
        <v/>
      </c>
      <c r="G384" s="124">
        <f>IF($E384=0,0,$E384*($F384-1))</f>
        <v/>
      </c>
      <c r="H384" s="124">
        <f>IF($B384="","",CONCATENATE("Örnek kıymet: ",$B384))</f>
        <v/>
      </c>
    </row>
    <row r="385" ht="15" customHeight="1" s="81">
      <c r="E385" s="124">
        <f>IF($C385=0,0,$C385-$D385)</f>
        <v/>
      </c>
      <c r="G385" s="124">
        <f>IF($E385=0,0,$E385*($F385-1))</f>
        <v/>
      </c>
      <c r="H385" s="124">
        <f>IF($B385="","",CONCATENATE("Örnek kıymet: ",$B385))</f>
        <v/>
      </c>
    </row>
    <row r="386" ht="15" customHeight="1" s="81">
      <c r="E386" s="124">
        <f>IF($C386=0,0,$C386-$D386)</f>
        <v/>
      </c>
      <c r="G386" s="124">
        <f>IF($E386=0,0,$E386*($F386-1))</f>
        <v/>
      </c>
      <c r="H386" s="124">
        <f>IF($B386="","",CONCATENATE("Örnek kıymet: ",$B386))</f>
        <v/>
      </c>
    </row>
    <row r="387" ht="15" customHeight="1" s="81">
      <c r="E387" s="124">
        <f>IF($C387=0,0,$C387-$D387)</f>
        <v/>
      </c>
      <c r="G387" s="124">
        <f>IF($E387=0,0,$E387*($F387-1))</f>
        <v/>
      </c>
      <c r="H387" s="124">
        <f>IF($B387="","",CONCATENATE("Örnek kıymet: ",$B387))</f>
        <v/>
      </c>
    </row>
    <row r="388" ht="15" customHeight="1" s="81">
      <c r="E388" s="124">
        <f>IF($C388=0,0,$C388-$D388)</f>
        <v/>
      </c>
      <c r="G388" s="124">
        <f>IF($E388=0,0,$E388*($F388-1))</f>
        <v/>
      </c>
      <c r="H388" s="124">
        <f>IF($B388="","",CONCATENATE("Örnek kıymet: ",$B388))</f>
        <v/>
      </c>
    </row>
    <row r="389" ht="15" customHeight="1" s="81">
      <c r="E389" s="124">
        <f>IF($C389=0,0,$C389-$D389)</f>
        <v/>
      </c>
      <c r="G389" s="124">
        <f>IF($E389=0,0,$E389*($F389-1))</f>
        <v/>
      </c>
      <c r="H389" s="124">
        <f>IF($B389="","",CONCATENATE("Örnek kıymet: ",$B389))</f>
        <v/>
      </c>
    </row>
    <row r="390" ht="15" customHeight="1" s="81">
      <c r="E390" s="124">
        <f>IF($C390=0,0,$C390-$D390)</f>
        <v/>
      </c>
      <c r="G390" s="124">
        <f>IF($E390=0,0,$E390*($F390-1))</f>
        <v/>
      </c>
      <c r="H390" s="124">
        <f>IF($B390="","",CONCATENATE("Örnek kıymet: ",$B390))</f>
        <v/>
      </c>
    </row>
    <row r="391" ht="15" customHeight="1" s="81">
      <c r="E391" s="124">
        <f>IF($C391=0,0,$C391-$D391)</f>
        <v/>
      </c>
      <c r="G391" s="124">
        <f>IF($E391=0,0,$E391*($F391-1))</f>
        <v/>
      </c>
      <c r="H391" s="124">
        <f>IF($B391="","",CONCATENATE("Örnek kıymet: ",$B391))</f>
        <v/>
      </c>
    </row>
    <row r="392" ht="15" customHeight="1" s="81">
      <c r="E392" s="124">
        <f>IF($C392=0,0,$C392-$D392)</f>
        <v/>
      </c>
      <c r="G392" s="124">
        <f>IF($E392=0,0,$E392*($F392-1))</f>
        <v/>
      </c>
      <c r="H392" s="124">
        <f>IF($B392="","",CONCATENATE("Örnek kıymet: ",$B392))</f>
        <v/>
      </c>
    </row>
    <row r="393" ht="15" customHeight="1" s="81">
      <c r="E393" s="124">
        <f>IF($C393=0,0,$C393-$D393)</f>
        <v/>
      </c>
      <c r="G393" s="124">
        <f>IF($E393=0,0,$E393*($F393-1))</f>
        <v/>
      </c>
      <c r="H393" s="124">
        <f>IF($B393="","",CONCATENATE("Örnek kıymet: ",$B393))</f>
        <v/>
      </c>
    </row>
    <row r="394" ht="15" customHeight="1" s="81">
      <c r="E394" s="124">
        <f>IF($C394=0,0,$C394-$D394)</f>
        <v/>
      </c>
      <c r="G394" s="124">
        <f>IF($E394=0,0,$E394*($F394-1))</f>
        <v/>
      </c>
      <c r="H394" s="124">
        <f>IF($B394="","",CONCATENATE("Örnek kıymet: ",$B394))</f>
        <v/>
      </c>
    </row>
    <row r="395" ht="15" customHeight="1" s="81">
      <c r="E395" s="124">
        <f>IF($C395=0,0,$C395-$D395)</f>
        <v/>
      </c>
      <c r="G395" s="124">
        <f>IF($E395=0,0,$E395*($F395-1))</f>
        <v/>
      </c>
      <c r="H395" s="124">
        <f>IF($B395="","",CONCATENATE("Örnek kıymet: ",$B395))</f>
        <v/>
      </c>
    </row>
    <row r="396" ht="15" customHeight="1" s="81">
      <c r="E396" s="124">
        <f>IF($C396=0,0,$C396-$D396)</f>
        <v/>
      </c>
      <c r="G396" s="124">
        <f>IF($E396=0,0,$E396*($F396-1))</f>
        <v/>
      </c>
      <c r="H396" s="124">
        <f>IF($B396="","",CONCATENATE("Örnek kıymet: ",$B396))</f>
        <v/>
      </c>
    </row>
    <row r="397" ht="15" customHeight="1" s="81">
      <c r="E397" s="124">
        <f>IF($C397=0,0,$C397-$D397)</f>
        <v/>
      </c>
      <c r="G397" s="124">
        <f>IF($E397=0,0,$E397*($F397-1))</f>
        <v/>
      </c>
      <c r="H397" s="124">
        <f>IF($B397="","",CONCATENATE("Örnek kıymet: ",$B397))</f>
        <v/>
      </c>
    </row>
    <row r="398" ht="15" customHeight="1" s="81">
      <c r="E398" s="124">
        <f>IF($C398=0,0,$C398-$D398)</f>
        <v/>
      </c>
      <c r="G398" s="124">
        <f>IF($E398=0,0,$E398*($F398-1))</f>
        <v/>
      </c>
      <c r="H398" s="124">
        <f>IF($B398="","",CONCATENATE("Örnek kıymet: ",$B398))</f>
        <v/>
      </c>
    </row>
    <row r="399" ht="15" customHeight="1" s="81">
      <c r="E399" s="124">
        <f>IF($C399=0,0,$C399-$D399)</f>
        <v/>
      </c>
      <c r="G399" s="124">
        <f>IF($E399=0,0,$E399*($F399-1))</f>
        <v/>
      </c>
      <c r="H399" s="124">
        <f>IF($B399="","",CONCATENATE("Örnek kıymet: ",$B399))</f>
        <v/>
      </c>
    </row>
    <row r="400" ht="15" customHeight="1" s="81">
      <c r="E400" s="124">
        <f>IF($C400=0,0,$C400-$D400)</f>
        <v/>
      </c>
      <c r="G400" s="124">
        <f>IF($E400=0,0,$E400*($F400-1))</f>
        <v/>
      </c>
      <c r="H400" s="124">
        <f>IF($B400="","",CONCATENATE("Örnek kıymet: ",$B400))</f>
        <v/>
      </c>
    </row>
    <row r="401" ht="15" customHeight="1" s="81">
      <c r="E401" s="124">
        <f>IF($C401=0,0,$C401-$D401)</f>
        <v/>
      </c>
      <c r="G401" s="124">
        <f>IF($E401=0,0,$E401*($F401-1))</f>
        <v/>
      </c>
      <c r="H401" s="124">
        <f>IF($B401="","",CONCATENATE("Örnek kıymet: ",$B401))</f>
        <v/>
      </c>
    </row>
    <row r="402" ht="15" customHeight="1" s="81">
      <c r="E402" s="124">
        <f>IF($C402=0,0,$C402-$D402)</f>
        <v/>
      </c>
      <c r="G402" s="124">
        <f>IF($E402=0,0,$E402*($F402-1))</f>
        <v/>
      </c>
      <c r="H402" s="124">
        <f>IF($B402="","",CONCATENATE("Örnek kıymet: ",$B402))</f>
        <v/>
      </c>
    </row>
    <row r="403" ht="15" customHeight="1" s="81">
      <c r="E403" s="124">
        <f>IF($C403=0,0,$C403-$D403)</f>
        <v/>
      </c>
      <c r="G403" s="124">
        <f>IF($E403=0,0,$E403*($F403-1))</f>
        <v/>
      </c>
      <c r="H403" s="124">
        <f>IF($B403="","",CONCATENATE("Örnek kıymet: ",$B403))</f>
        <v/>
      </c>
    </row>
    <row r="404" ht="15" customHeight="1" s="81">
      <c r="E404" s="124">
        <f>IF($C404=0,0,$C404-$D404)</f>
        <v/>
      </c>
      <c r="G404" s="124">
        <f>IF($E404=0,0,$E404*($F404-1))</f>
        <v/>
      </c>
      <c r="H404" s="124">
        <f>IF($B404="","",CONCATENATE("Örnek kıymet: ",$B404))</f>
        <v/>
      </c>
    </row>
    <row r="405" ht="15" customHeight="1" s="81">
      <c r="E405" s="124">
        <f>IF($C405=0,0,$C405-$D405)</f>
        <v/>
      </c>
      <c r="G405" s="124">
        <f>IF($E405=0,0,$E405*($F405-1))</f>
        <v/>
      </c>
      <c r="H405" s="124">
        <f>IF($B405="","",CONCATENATE("Örnek kıymet: ",$B405))</f>
        <v/>
      </c>
    </row>
    <row r="406" ht="15" customHeight="1" s="81">
      <c r="E406" s="124">
        <f>IF($C406=0,0,$C406-$D406)</f>
        <v/>
      </c>
      <c r="G406" s="124">
        <f>IF($E406=0,0,$E406*($F406-1))</f>
        <v/>
      </c>
      <c r="H406" s="124">
        <f>IF($B406="","",CONCATENATE("Örnek kıymet: ",$B406))</f>
        <v/>
      </c>
    </row>
    <row r="407" ht="15" customHeight="1" s="81">
      <c r="E407" s="124">
        <f>IF($C407=0,0,$C407-$D407)</f>
        <v/>
      </c>
      <c r="G407" s="124">
        <f>IF($E407=0,0,$E407*($F407-1))</f>
        <v/>
      </c>
      <c r="H407" s="124">
        <f>IF($B407="","",CONCATENATE("Örnek kıymet: ",$B407))</f>
        <v/>
      </c>
    </row>
    <row r="408" ht="15" customHeight="1" s="81">
      <c r="E408" s="124">
        <f>IF($C408=0,0,$C408-$D408)</f>
        <v/>
      </c>
      <c r="G408" s="124">
        <f>IF($E408=0,0,$E408*($F408-1))</f>
        <v/>
      </c>
      <c r="H408" s="124">
        <f>IF($B408="","",CONCATENATE("Örnek kıymet: ",$B408))</f>
        <v/>
      </c>
    </row>
    <row r="409" ht="15" customHeight="1" s="81">
      <c r="E409" s="124">
        <f>IF($C409=0,0,$C409-$D409)</f>
        <v/>
      </c>
      <c r="G409" s="124">
        <f>IF($E409=0,0,$E409*($F409-1))</f>
        <v/>
      </c>
      <c r="H409" s="124">
        <f>IF($B409="","",CONCATENATE("Örnek kıymet: ",$B409))</f>
        <v/>
      </c>
    </row>
    <row r="410" ht="15" customHeight="1" s="81">
      <c r="E410" s="124">
        <f>IF($C410=0,0,$C410-$D410)</f>
        <v/>
      </c>
      <c r="G410" s="124">
        <f>IF($E410=0,0,$E410*($F410-1))</f>
        <v/>
      </c>
      <c r="H410" s="124">
        <f>IF($B410="","",CONCATENATE("Örnek kıymet: ",$B410))</f>
        <v/>
      </c>
    </row>
    <row r="411" ht="15" customHeight="1" s="81">
      <c r="E411" s="124">
        <f>IF($C411=0,0,$C411-$D411)</f>
        <v/>
      </c>
      <c r="G411" s="124">
        <f>IF($E411=0,0,$E411*($F411-1))</f>
        <v/>
      </c>
      <c r="H411" s="124">
        <f>IF($B411="","",CONCATENATE("Örnek kıymet: ",$B411))</f>
        <v/>
      </c>
    </row>
    <row r="412" ht="15" customHeight="1" s="81">
      <c r="E412" s="124">
        <f>IF($C412=0,0,$C412-$D412)</f>
        <v/>
      </c>
      <c r="G412" s="124">
        <f>IF($E412=0,0,$E412*($F412-1))</f>
        <v/>
      </c>
      <c r="H412" s="124">
        <f>IF($B412="","",CONCATENATE("Örnek kıymet: ",$B412))</f>
        <v/>
      </c>
    </row>
    <row r="413" ht="15" customHeight="1" s="81">
      <c r="E413" s="124">
        <f>IF($C413=0,0,$C413-$D413)</f>
        <v/>
      </c>
      <c r="G413" s="124">
        <f>IF($E413=0,0,$E413*($F413-1))</f>
        <v/>
      </c>
      <c r="H413" s="124">
        <f>IF($B413="","",CONCATENATE("Örnek kıymet: ",$B413))</f>
        <v/>
      </c>
    </row>
    <row r="414" ht="15" customHeight="1" s="81">
      <c r="E414" s="124">
        <f>IF($C414=0,0,$C414-$D414)</f>
        <v/>
      </c>
      <c r="G414" s="124">
        <f>IF($E414=0,0,$E414*($F414-1))</f>
        <v/>
      </c>
      <c r="H414" s="124">
        <f>IF($B414="","",CONCATENATE("Örnek kıymet: ",$B414))</f>
        <v/>
      </c>
    </row>
    <row r="415" ht="15" customHeight="1" s="81">
      <c r="E415" s="124">
        <f>IF($C415=0,0,$C415-$D415)</f>
        <v/>
      </c>
      <c r="G415" s="124">
        <f>IF($E415=0,0,$E415*($F415-1))</f>
        <v/>
      </c>
      <c r="H415" s="124">
        <f>IF($B415="","",CONCATENATE("Örnek kıymet: ",$B415))</f>
        <v/>
      </c>
    </row>
    <row r="416" ht="15" customHeight="1" s="81">
      <c r="E416" s="124">
        <f>IF($C416=0,0,$C416-$D416)</f>
        <v/>
      </c>
      <c r="G416" s="124">
        <f>IF($E416=0,0,$E416*($F416-1))</f>
        <v/>
      </c>
      <c r="H416" s="124">
        <f>IF($B416="","",CONCATENATE("Örnek kıymet: ",$B416))</f>
        <v/>
      </c>
    </row>
    <row r="417" ht="15" customHeight="1" s="81">
      <c r="E417" s="124">
        <f>IF($C417=0,0,$C417-$D417)</f>
        <v/>
      </c>
      <c r="G417" s="124">
        <f>IF($E417=0,0,$E417*($F417-1))</f>
        <v/>
      </c>
      <c r="H417" s="124">
        <f>IF($B417="","",CONCATENATE("Örnek kıymet: ",$B417))</f>
        <v/>
      </c>
    </row>
    <row r="418" ht="15" customHeight="1" s="81">
      <c r="E418" s="124">
        <f>IF($C418=0,0,$C418-$D418)</f>
        <v/>
      </c>
      <c r="G418" s="124">
        <f>IF($E418=0,0,$E418*($F418-1))</f>
        <v/>
      </c>
      <c r="H418" s="124">
        <f>IF($B418="","",CONCATENATE("Örnek kıymet: ",$B418))</f>
        <v/>
      </c>
    </row>
    <row r="419" ht="15" customHeight="1" s="81">
      <c r="E419" s="124">
        <f>IF($C419=0,0,$C419-$D419)</f>
        <v/>
      </c>
      <c r="G419" s="124">
        <f>IF($E419=0,0,$E419*($F419-1))</f>
        <v/>
      </c>
      <c r="H419" s="124">
        <f>IF($B419="","",CONCATENATE("Örnek kıymet: ",$B419))</f>
        <v/>
      </c>
    </row>
    <row r="420" ht="15" customHeight="1" s="81">
      <c r="E420" s="124">
        <f>IF($C420=0,0,$C420-$D420)</f>
        <v/>
      </c>
      <c r="G420" s="124">
        <f>IF($E420=0,0,$E420*($F420-1))</f>
        <v/>
      </c>
      <c r="H420" s="124">
        <f>IF($B420="","",CONCATENATE("Örnek kıymet: ",$B420))</f>
        <v/>
      </c>
    </row>
    <row r="421" ht="15" customHeight="1" s="81">
      <c r="E421" s="124">
        <f>IF($C421=0,0,$C421-$D421)</f>
        <v/>
      </c>
      <c r="G421" s="124">
        <f>IF($E421=0,0,$E421*($F421-1))</f>
        <v/>
      </c>
      <c r="H421" s="124">
        <f>IF($B421="","",CONCATENATE("Örnek kıymet: ",$B421))</f>
        <v/>
      </c>
    </row>
    <row r="422" ht="15" customHeight="1" s="81">
      <c r="E422" s="124">
        <f>IF($C422=0,0,$C422-$D422)</f>
        <v/>
      </c>
      <c r="G422" s="124">
        <f>IF($E422=0,0,$E422*($F422-1))</f>
        <v/>
      </c>
      <c r="H422" s="124">
        <f>IF($B422="","",CONCATENATE("Örnek kıymet: ",$B422))</f>
        <v/>
      </c>
    </row>
    <row r="423" ht="15" customHeight="1" s="81">
      <c r="E423" s="124">
        <f>IF($C423=0,0,$C423-$D423)</f>
        <v/>
      </c>
      <c r="G423" s="124">
        <f>IF($E423=0,0,$E423*($F423-1))</f>
        <v/>
      </c>
      <c r="H423" s="124">
        <f>IF($B423="","",CONCATENATE("Örnek kıymet: ",$B423))</f>
        <v/>
      </c>
    </row>
    <row r="424" ht="15" customHeight="1" s="81">
      <c r="E424" s="124">
        <f>IF($C424=0,0,$C424-$D424)</f>
        <v/>
      </c>
      <c r="G424" s="124">
        <f>IF($E424=0,0,$E424*($F424-1))</f>
        <v/>
      </c>
      <c r="H424" s="124">
        <f>IF($B424="","",CONCATENATE("Örnek kıymet: ",$B424))</f>
        <v/>
      </c>
    </row>
    <row r="425" ht="15" customHeight="1" s="81">
      <c r="E425" s="124">
        <f>IF($C425=0,0,$C425-$D425)</f>
        <v/>
      </c>
      <c r="G425" s="124">
        <f>IF($E425=0,0,$E425*($F425-1))</f>
        <v/>
      </c>
      <c r="H425" s="124">
        <f>IF($B425="","",CONCATENATE("Örnek kıymet: ",$B425))</f>
        <v/>
      </c>
    </row>
    <row r="426" ht="15" customHeight="1" s="81">
      <c r="E426" s="124">
        <f>IF($C426=0,0,$C426-$D426)</f>
        <v/>
      </c>
      <c r="G426" s="124">
        <f>IF($E426=0,0,$E426*($F426-1))</f>
        <v/>
      </c>
      <c r="H426" s="124">
        <f>IF($B426="","",CONCATENATE("Örnek kıymet: ",$B426))</f>
        <v/>
      </c>
    </row>
    <row r="427" ht="15" customHeight="1" s="81">
      <c r="E427" s="124">
        <f>IF($C427=0,0,$C427-$D427)</f>
        <v/>
      </c>
      <c r="G427" s="124">
        <f>IF($E427=0,0,$E427*($F427-1))</f>
        <v/>
      </c>
      <c r="H427" s="124">
        <f>IF($B427="","",CONCATENATE("Örnek kıymet: ",$B427))</f>
        <v/>
      </c>
    </row>
    <row r="428" ht="15" customHeight="1" s="81">
      <c r="E428" s="124">
        <f>IF($C428=0,0,$C428-$D428)</f>
        <v/>
      </c>
      <c r="G428" s="124">
        <f>IF($E428=0,0,$E428*($F428-1))</f>
        <v/>
      </c>
      <c r="H428" s="124">
        <f>IF($B428="","",CONCATENATE("Örnek kıymet: ",$B428))</f>
        <v/>
      </c>
    </row>
    <row r="429" ht="15" customHeight="1" s="81">
      <c r="E429" s="124">
        <f>IF($C429=0,0,$C429-$D429)</f>
        <v/>
      </c>
      <c r="G429" s="124">
        <f>IF($E429=0,0,$E429*($F429-1))</f>
        <v/>
      </c>
      <c r="H429" s="124">
        <f>IF($B429="","",CONCATENATE("Örnek kıymet: ",$B429))</f>
        <v/>
      </c>
    </row>
    <row r="430" ht="15" customHeight="1" s="81">
      <c r="E430" s="124">
        <f>IF($C430=0,0,$C430-$D430)</f>
        <v/>
      </c>
      <c r="G430" s="124">
        <f>IF($E430=0,0,$E430*($F430-1))</f>
        <v/>
      </c>
      <c r="H430" s="124">
        <f>IF($B430="","",CONCATENATE("Örnek kıymet: ",$B430))</f>
        <v/>
      </c>
    </row>
    <row r="431" ht="15" customHeight="1" s="81">
      <c r="E431" s="124">
        <f>IF($C431=0,0,$C431-$D431)</f>
        <v/>
      </c>
      <c r="G431" s="124">
        <f>IF($E431=0,0,$E431*($F431-1))</f>
        <v/>
      </c>
      <c r="H431" s="124">
        <f>IF($B431="","",CONCATENATE("Örnek kıymet: ",$B431))</f>
        <v/>
      </c>
    </row>
    <row r="432" ht="15" customHeight="1" s="81">
      <c r="E432" s="124">
        <f>IF($C432=0,0,$C432-$D432)</f>
        <v/>
      </c>
      <c r="G432" s="124">
        <f>IF($E432=0,0,$E432*($F432-1))</f>
        <v/>
      </c>
      <c r="H432" s="124">
        <f>IF($B432="","",CONCATENATE("Örnek kıymet: ",$B432))</f>
        <v/>
      </c>
    </row>
    <row r="433" ht="15" customHeight="1" s="81">
      <c r="E433" s="124">
        <f>IF($C433=0,0,$C433-$D433)</f>
        <v/>
      </c>
      <c r="G433" s="124">
        <f>IF($E433=0,0,$E433*($F433-1))</f>
        <v/>
      </c>
      <c r="H433" s="124">
        <f>IF($B433="","",CONCATENATE("Örnek kıymet: ",$B433))</f>
        <v/>
      </c>
    </row>
    <row r="434" ht="15" customHeight="1" s="81">
      <c r="E434" s="124">
        <f>IF($C434=0,0,$C434-$D434)</f>
        <v/>
      </c>
      <c r="G434" s="124">
        <f>IF($E434=0,0,$E434*($F434-1))</f>
        <v/>
      </c>
      <c r="H434" s="124">
        <f>IF($B434="","",CONCATENATE("Örnek kıymet: ",$B434))</f>
        <v/>
      </c>
    </row>
    <row r="435" ht="15" customHeight="1" s="81">
      <c r="E435" s="124">
        <f>IF($C435=0,0,$C435-$D435)</f>
        <v/>
      </c>
      <c r="G435" s="124">
        <f>IF($E435=0,0,$E435*($F435-1))</f>
        <v/>
      </c>
      <c r="H435" s="124">
        <f>IF($B435="","",CONCATENATE("Örnek kıymet: ",$B435))</f>
        <v/>
      </c>
    </row>
    <row r="436" ht="15" customHeight="1" s="81">
      <c r="E436" s="124">
        <f>IF($C436=0,0,$C436-$D436)</f>
        <v/>
      </c>
      <c r="G436" s="124">
        <f>IF($E436=0,0,$E436*($F436-1))</f>
        <v/>
      </c>
      <c r="H436" s="124">
        <f>IF($B436="","",CONCATENATE("Örnek kıymet: ",$B436))</f>
        <v/>
      </c>
    </row>
    <row r="437" ht="15" customHeight="1" s="81">
      <c r="E437" s="124">
        <f>IF($C437=0,0,$C437-$D437)</f>
        <v/>
      </c>
      <c r="G437" s="124">
        <f>IF($E437=0,0,$E437*($F437-1))</f>
        <v/>
      </c>
      <c r="H437" s="124">
        <f>IF($B437="","",CONCATENATE("Örnek kıymet: ",$B437))</f>
        <v/>
      </c>
    </row>
    <row r="438" ht="15" customHeight="1" s="81">
      <c r="E438" s="124">
        <f>IF($C438=0,0,$C438-$D438)</f>
        <v/>
      </c>
      <c r="G438" s="124">
        <f>IF($E438=0,0,$E438*($F438-1))</f>
        <v/>
      </c>
      <c r="H438" s="124">
        <f>IF($B438="","",CONCATENATE("Örnek kıymet: ",$B438))</f>
        <v/>
      </c>
    </row>
    <row r="439" ht="15" customHeight="1" s="81">
      <c r="E439" s="124">
        <f>IF($C439=0,0,$C439-$D439)</f>
        <v/>
      </c>
      <c r="G439" s="124">
        <f>IF($E439=0,0,$E439*($F439-1))</f>
        <v/>
      </c>
      <c r="H439" s="124">
        <f>IF($B439="","",CONCATENATE("Örnek kıymet: ",$B439))</f>
        <v/>
      </c>
    </row>
    <row r="440" ht="15" customHeight="1" s="81">
      <c r="E440" s="124">
        <f>IF($C440=0,0,$C440-$D440)</f>
        <v/>
      </c>
      <c r="G440" s="124">
        <f>IF($E440=0,0,$E440*($F440-1))</f>
        <v/>
      </c>
      <c r="H440" s="124">
        <f>IF($B440="","",CONCATENATE("Örnek kıymet: ",$B440))</f>
        <v/>
      </c>
    </row>
    <row r="441" ht="15" customHeight="1" s="81">
      <c r="E441" s="124">
        <f>IF($C441=0,0,$C441-$D441)</f>
        <v/>
      </c>
      <c r="G441" s="124">
        <f>IF($E441=0,0,$E441*($F441-1))</f>
        <v/>
      </c>
      <c r="H441" s="124">
        <f>IF($B441="","",CONCATENATE("Örnek kıymet: ",$B441))</f>
        <v/>
      </c>
    </row>
    <row r="442" ht="15" customHeight="1" s="81">
      <c r="E442" s="124">
        <f>IF($C442=0,0,$C442-$D442)</f>
        <v/>
      </c>
      <c r="G442" s="124">
        <f>IF($E442=0,0,$E442*($F442-1))</f>
        <v/>
      </c>
      <c r="H442" s="124">
        <f>IF($B442="","",CONCATENATE("Örnek kıymet: ",$B442))</f>
        <v/>
      </c>
    </row>
    <row r="443" ht="15" customHeight="1" s="81">
      <c r="E443" s="124">
        <f>IF($C443=0,0,$C443-$D443)</f>
        <v/>
      </c>
      <c r="G443" s="124">
        <f>IF($E443=0,0,$E443*($F443-1))</f>
        <v/>
      </c>
      <c r="H443" s="124">
        <f>IF($B443="","",CONCATENATE("Örnek kıymet: ",$B443))</f>
        <v/>
      </c>
    </row>
    <row r="444" ht="15" customHeight="1" s="81">
      <c r="E444" s="124">
        <f>IF($C444=0,0,$C444-$D444)</f>
        <v/>
      </c>
      <c r="G444" s="124">
        <f>IF($E444=0,0,$E444*($F444-1))</f>
        <v/>
      </c>
      <c r="H444" s="124">
        <f>IF($B444="","",CONCATENATE("Örnek kıymet: ",$B444))</f>
        <v/>
      </c>
    </row>
    <row r="445" ht="15" customHeight="1" s="81">
      <c r="E445" s="124">
        <f>IF($C445=0,0,$C445-$D445)</f>
        <v/>
      </c>
      <c r="G445" s="124">
        <f>IF($E445=0,0,$E445*($F445-1))</f>
        <v/>
      </c>
      <c r="H445" s="124">
        <f>IF($B445="","",CONCATENATE("Örnek kıymet: ",$B445))</f>
        <v/>
      </c>
    </row>
    <row r="446" ht="15" customHeight="1" s="81">
      <c r="E446" s="124">
        <f>IF($C446=0,0,$C446-$D446)</f>
        <v/>
      </c>
      <c r="G446" s="124">
        <f>IF($E446=0,0,$E446*($F446-1))</f>
        <v/>
      </c>
      <c r="H446" s="124">
        <f>IF($B446="","",CONCATENATE("Örnek kıymet: ",$B446))</f>
        <v/>
      </c>
    </row>
    <row r="447" ht="15" customHeight="1" s="81">
      <c r="E447" s="124">
        <f>IF($C447=0,0,$C447-$D447)</f>
        <v/>
      </c>
      <c r="G447" s="124">
        <f>IF($E447=0,0,$E447*($F447-1))</f>
        <v/>
      </c>
      <c r="H447" s="124">
        <f>IF($B447="","",CONCATENATE("Örnek kıymet: ",$B447))</f>
        <v/>
      </c>
    </row>
    <row r="448" ht="15" customHeight="1" s="81">
      <c r="E448" s="124">
        <f>IF($C448=0,0,$C448-$D448)</f>
        <v/>
      </c>
      <c r="G448" s="124">
        <f>IF($E448=0,0,$E448*($F448-1))</f>
        <v/>
      </c>
      <c r="H448" s="124">
        <f>IF($B448="","",CONCATENATE("Örnek kıymet: ",$B448))</f>
        <v/>
      </c>
    </row>
    <row r="449" ht="15" customHeight="1" s="81">
      <c r="E449" s="124">
        <f>IF($C449=0,0,$C449-$D449)</f>
        <v/>
      </c>
      <c r="G449" s="124">
        <f>IF($E449=0,0,$E449*($F449-1))</f>
        <v/>
      </c>
      <c r="H449" s="124">
        <f>IF($B449="","",CONCATENATE("Örnek kıymet: ",$B449))</f>
        <v/>
      </c>
    </row>
    <row r="450" ht="15" customHeight="1" s="81">
      <c r="E450" s="124">
        <f>IF($C450=0,0,$C450-$D450)</f>
        <v/>
      </c>
      <c r="G450" s="124">
        <f>IF($E450=0,0,$E450*($F450-1))</f>
        <v/>
      </c>
      <c r="H450" s="124">
        <f>IF($B450="","",CONCATENATE("Örnek kıymet: ",$B450))</f>
        <v/>
      </c>
    </row>
    <row r="451" ht="15" customHeight="1" s="81">
      <c r="E451" s="124">
        <f>IF($C451=0,0,$C451-$D451)</f>
        <v/>
      </c>
      <c r="G451" s="124">
        <f>IF($E451=0,0,$E451*($F451-1))</f>
        <v/>
      </c>
      <c r="H451" s="124">
        <f>IF($B451="","",CONCATENATE("Örnek kıymet: ",$B451))</f>
        <v/>
      </c>
    </row>
    <row r="452" ht="15" customHeight="1" s="81">
      <c r="E452" s="124">
        <f>IF($C452=0,0,$C452-$D452)</f>
        <v/>
      </c>
      <c r="G452" s="124">
        <f>IF($E452=0,0,$E452*($F452-1))</f>
        <v/>
      </c>
      <c r="H452" s="124">
        <f>IF($B452="","",CONCATENATE("Örnek kıymet: ",$B452))</f>
        <v/>
      </c>
    </row>
    <row r="453" ht="15" customHeight="1" s="81">
      <c r="E453" s="124">
        <f>IF($C453=0,0,$C453-$D453)</f>
        <v/>
      </c>
      <c r="G453" s="124">
        <f>IF($E453=0,0,$E453*($F453-1))</f>
        <v/>
      </c>
      <c r="H453" s="124">
        <f>IF($B453="","",CONCATENATE("Örnek kıymet: ",$B453))</f>
        <v/>
      </c>
    </row>
    <row r="454" ht="15" customHeight="1" s="81">
      <c r="E454" s="124">
        <f>IF($C454=0,0,$C454-$D454)</f>
        <v/>
      </c>
      <c r="G454" s="124">
        <f>IF($E454=0,0,$E454*($F454-1))</f>
        <v/>
      </c>
      <c r="H454" s="124">
        <f>IF($B454="","",CONCATENATE("Örnek kıymet: ",$B454))</f>
        <v/>
      </c>
    </row>
    <row r="455" ht="15" customHeight="1" s="81">
      <c r="E455" s="124">
        <f>IF($C455=0,0,$C455-$D455)</f>
        <v/>
      </c>
      <c r="G455" s="124">
        <f>IF($E455=0,0,$E455*($F455-1))</f>
        <v/>
      </c>
      <c r="H455" s="124">
        <f>IF($B455="","",CONCATENATE("Örnek kıymet: ",$B455))</f>
        <v/>
      </c>
    </row>
    <row r="456" ht="15" customHeight="1" s="81">
      <c r="E456" s="124">
        <f>IF($C456=0,0,$C456-$D456)</f>
        <v/>
      </c>
      <c r="G456" s="124">
        <f>IF($E456=0,0,$E456*($F456-1))</f>
        <v/>
      </c>
      <c r="H456" s="124">
        <f>IF($B456="","",CONCATENATE("Örnek kıymet: ",$B456))</f>
        <v/>
      </c>
    </row>
    <row r="457" ht="15" customHeight="1" s="81">
      <c r="E457" s="124">
        <f>IF($C457=0,0,$C457-$D457)</f>
        <v/>
      </c>
      <c r="G457" s="124">
        <f>IF($E457=0,0,$E457*($F457-1))</f>
        <v/>
      </c>
      <c r="H457" s="124">
        <f>IF($B457="","",CONCATENATE("Örnek kıymet: ",$B457))</f>
        <v/>
      </c>
    </row>
    <row r="458" ht="15" customHeight="1" s="81">
      <c r="E458" s="124">
        <f>IF($C458=0,0,$C458-$D458)</f>
        <v/>
      </c>
      <c r="G458" s="124">
        <f>IF($E458=0,0,$E458*($F458-1))</f>
        <v/>
      </c>
      <c r="H458" s="124">
        <f>IF($B458="","",CONCATENATE("Örnek kıymet: ",$B458))</f>
        <v/>
      </c>
    </row>
    <row r="459" ht="15" customHeight="1" s="81">
      <c r="E459" s="124">
        <f>IF($C459=0,0,$C459-$D459)</f>
        <v/>
      </c>
      <c r="G459" s="124">
        <f>IF($E459=0,0,$E459*($F459-1))</f>
        <v/>
      </c>
      <c r="H459" s="124">
        <f>IF($B459="","",CONCATENATE("Örnek kıymet: ",$B459))</f>
        <v/>
      </c>
    </row>
    <row r="460" ht="15" customHeight="1" s="81">
      <c r="E460" s="124">
        <f>IF($C460=0,0,$C460-$D460)</f>
        <v/>
      </c>
      <c r="G460" s="124">
        <f>IF($E460=0,0,$E460*($F460-1))</f>
        <v/>
      </c>
      <c r="H460" s="124">
        <f>IF($B460="","",CONCATENATE("Örnek kıymet: ",$B460))</f>
        <v/>
      </c>
    </row>
    <row r="461" ht="15" customHeight="1" s="81">
      <c r="E461" s="124">
        <f>IF($C461=0,0,$C461-$D461)</f>
        <v/>
      </c>
      <c r="G461" s="124">
        <f>IF($E461=0,0,$E461*($F461-1))</f>
        <v/>
      </c>
      <c r="H461" s="124">
        <f>IF($B461="","",CONCATENATE("Örnek kıymet: ",$B461))</f>
        <v/>
      </c>
    </row>
    <row r="462" ht="15" customHeight="1" s="81">
      <c r="E462" s="124">
        <f>IF($C462=0,0,$C462-$D462)</f>
        <v/>
      </c>
      <c r="G462" s="124">
        <f>IF($E462=0,0,$E462*($F462-1))</f>
        <v/>
      </c>
      <c r="H462" s="124">
        <f>IF($B462="","",CONCATENATE("Örnek kıymet: ",$B462))</f>
        <v/>
      </c>
    </row>
    <row r="463" ht="15" customHeight="1" s="81">
      <c r="E463" s="124">
        <f>IF($C463=0,0,$C463-$D463)</f>
        <v/>
      </c>
      <c r="G463" s="124">
        <f>IF($E463=0,0,$E463*($F463-1))</f>
        <v/>
      </c>
      <c r="H463" s="124">
        <f>IF($B463="","",CONCATENATE("Örnek kıymet: ",$B463))</f>
        <v/>
      </c>
    </row>
    <row r="464" ht="15" customHeight="1" s="81">
      <c r="E464" s="124">
        <f>IF($C464=0,0,$C464-$D464)</f>
        <v/>
      </c>
      <c r="G464" s="124">
        <f>IF($E464=0,0,$E464*($F464-1))</f>
        <v/>
      </c>
      <c r="H464" s="124">
        <f>IF($B464="","",CONCATENATE("Örnek kıymet: ",$B464))</f>
        <v/>
      </c>
    </row>
    <row r="465" ht="15" customHeight="1" s="81">
      <c r="E465" s="124">
        <f>IF($C465=0,0,$C465-$D465)</f>
        <v/>
      </c>
      <c r="G465" s="124">
        <f>IF($E465=0,0,$E465*($F465-1))</f>
        <v/>
      </c>
      <c r="H465" s="124">
        <f>IF($B465="","",CONCATENATE("Örnek kıymet: ",$B465))</f>
        <v/>
      </c>
    </row>
    <row r="466" ht="15" customHeight="1" s="81">
      <c r="E466" s="124">
        <f>IF($C466=0,0,$C466-$D466)</f>
        <v/>
      </c>
      <c r="G466" s="124">
        <f>IF($E466=0,0,$E466*($F466-1))</f>
        <v/>
      </c>
      <c r="H466" s="124">
        <f>IF($B466="","",CONCATENATE("Örnek kıymet: ",$B466))</f>
        <v/>
      </c>
    </row>
    <row r="467" ht="15" customHeight="1" s="81">
      <c r="E467" s="124">
        <f>IF($C467=0,0,$C467-$D467)</f>
        <v/>
      </c>
      <c r="G467" s="124">
        <f>IF($E467=0,0,$E467*($F467-1))</f>
        <v/>
      </c>
      <c r="H467" s="124">
        <f>IF($B467="","",CONCATENATE("Örnek kıymet: ",$B467))</f>
        <v/>
      </c>
    </row>
    <row r="468" ht="15" customHeight="1" s="81">
      <c r="E468" s="124">
        <f>IF($C468=0,0,$C468-$D468)</f>
        <v/>
      </c>
      <c r="G468" s="124">
        <f>IF($E468=0,0,$E468*($F468-1))</f>
        <v/>
      </c>
      <c r="H468" s="124">
        <f>IF($B468="","",CONCATENATE("Örnek kıymet: ",$B468))</f>
        <v/>
      </c>
    </row>
    <row r="469" ht="15" customHeight="1" s="81">
      <c r="E469" s="124">
        <f>IF($C469=0,0,$C469-$D469)</f>
        <v/>
      </c>
      <c r="G469" s="124">
        <f>IF($E469=0,0,$E469*($F469-1))</f>
        <v/>
      </c>
      <c r="H469" s="124">
        <f>IF($B469="","",CONCATENATE("Örnek kıymet: ",$B469))</f>
        <v/>
      </c>
    </row>
    <row r="470" ht="15" customHeight="1" s="81">
      <c r="E470" s="124">
        <f>IF($C470=0,0,$C470-$D470)</f>
        <v/>
      </c>
      <c r="G470" s="124">
        <f>IF($E470=0,0,$E470*($F470-1))</f>
        <v/>
      </c>
      <c r="H470" s="124">
        <f>IF($B470="","",CONCATENATE("Örnek kıymet: ",$B470))</f>
        <v/>
      </c>
    </row>
    <row r="471" ht="15" customHeight="1" s="81">
      <c r="E471" s="124">
        <f>IF($C471=0,0,$C471-$D471)</f>
        <v/>
      </c>
      <c r="G471" s="124">
        <f>IF($E471=0,0,$E471*($F471-1))</f>
        <v/>
      </c>
      <c r="H471" s="124">
        <f>IF($B471="","",CONCATENATE("Örnek kıymet: ",$B471))</f>
        <v/>
      </c>
    </row>
    <row r="472" ht="15" customHeight="1" s="81">
      <c r="E472" s="124">
        <f>IF($C472=0,0,$C472-$D472)</f>
        <v/>
      </c>
      <c r="G472" s="124">
        <f>IF($E472=0,0,$E472*($F472-1))</f>
        <v/>
      </c>
      <c r="H472" s="124">
        <f>IF($B472="","",CONCATENATE("Örnek kıymet: ",$B472))</f>
        <v/>
      </c>
    </row>
    <row r="473" ht="15" customHeight="1" s="81">
      <c r="E473" s="124">
        <f>IF($C473=0,0,$C473-$D473)</f>
        <v/>
      </c>
      <c r="G473" s="124">
        <f>IF($E473=0,0,$E473*($F473-1))</f>
        <v/>
      </c>
      <c r="H473" s="124">
        <f>IF($B473="","",CONCATENATE("Örnek kıymet: ",$B473))</f>
        <v/>
      </c>
    </row>
    <row r="474" ht="15" customHeight="1" s="81">
      <c r="E474" s="124">
        <f>IF($C474=0,0,$C474-$D474)</f>
        <v/>
      </c>
      <c r="G474" s="124">
        <f>IF($E474=0,0,$E474*($F474-1))</f>
        <v/>
      </c>
      <c r="H474" s="124">
        <f>IF($B474="","",CONCATENATE("Örnek kıymet: ",$B474))</f>
        <v/>
      </c>
    </row>
    <row r="475" ht="15" customHeight="1" s="81">
      <c r="E475" s="124">
        <f>IF($C475=0,0,$C475-$D475)</f>
        <v/>
      </c>
      <c r="G475" s="124">
        <f>IF($E475=0,0,$E475*($F475-1))</f>
        <v/>
      </c>
      <c r="H475" s="124">
        <f>IF($B475="","",CONCATENATE("Örnek kıymet: ",$B475))</f>
        <v/>
      </c>
    </row>
    <row r="476" ht="15" customHeight="1" s="81">
      <c r="E476" s="124">
        <f>IF($C476=0,0,$C476-$D476)</f>
        <v/>
      </c>
      <c r="G476" s="124">
        <f>IF($E476=0,0,$E476*($F476-1))</f>
        <v/>
      </c>
      <c r="H476" s="124">
        <f>IF($B476="","",CONCATENATE("Örnek kıymet: ",$B476))</f>
        <v/>
      </c>
    </row>
    <row r="477" ht="15" customHeight="1" s="81">
      <c r="E477" s="124">
        <f>IF($C477=0,0,$C477-$D477)</f>
        <v/>
      </c>
      <c r="G477" s="124">
        <f>IF($E477=0,0,$E477*($F477-1))</f>
        <v/>
      </c>
      <c r="H477" s="124">
        <f>IF($B477="","",CONCATENATE("Örnek kıymet: ",$B477))</f>
        <v/>
      </c>
    </row>
    <row r="478" ht="15" customHeight="1" s="81">
      <c r="E478" s="124">
        <f>IF($C478=0,0,$C478-$D478)</f>
        <v/>
      </c>
      <c r="G478" s="124">
        <f>IF($E478=0,0,$E478*($F478-1))</f>
        <v/>
      </c>
      <c r="H478" s="124">
        <f>IF($B478="","",CONCATENATE("Örnek kıymet: ",$B478))</f>
        <v/>
      </c>
    </row>
    <row r="479" ht="15" customHeight="1" s="81">
      <c r="E479" s="124">
        <f>IF($C479=0,0,$C479-$D479)</f>
        <v/>
      </c>
      <c r="G479" s="124">
        <f>IF($E479=0,0,$E479*($F479-1))</f>
        <v/>
      </c>
      <c r="H479" s="124">
        <f>IF($B479="","",CONCATENATE("Örnek kıymet: ",$B479))</f>
        <v/>
      </c>
    </row>
    <row r="480" ht="15" customHeight="1" s="81">
      <c r="E480" s="124">
        <f>IF($C480=0,0,$C480-$D480)</f>
        <v/>
      </c>
      <c r="G480" s="124">
        <f>IF($E480=0,0,$E480*($F480-1))</f>
        <v/>
      </c>
      <c r="H480" s="124">
        <f>IF($B480="","",CONCATENATE("Örnek kıymet: ",$B480))</f>
        <v/>
      </c>
    </row>
    <row r="481" ht="15" customHeight="1" s="81">
      <c r="E481" s="124">
        <f>IF($C481=0,0,$C481-$D481)</f>
        <v/>
      </c>
      <c r="G481" s="124">
        <f>IF($E481=0,0,$E481*($F481-1))</f>
        <v/>
      </c>
      <c r="H481" s="124">
        <f>IF($B481="","",CONCATENATE("Örnek kıymet: ",$B481))</f>
        <v/>
      </c>
    </row>
    <row r="482" ht="15" customHeight="1" s="81">
      <c r="E482" s="124">
        <f>IF($C482=0,0,$C482-$D482)</f>
        <v/>
      </c>
      <c r="G482" s="124">
        <f>IF($E482=0,0,$E482*($F482-1))</f>
        <v/>
      </c>
      <c r="H482" s="124">
        <f>IF($B482="","",CONCATENATE("Örnek kıymet: ",$B482))</f>
        <v/>
      </c>
    </row>
    <row r="483" ht="15" customHeight="1" s="81">
      <c r="E483" s="124">
        <f>IF($C483=0,0,$C483-$D483)</f>
        <v/>
      </c>
      <c r="G483" s="124">
        <f>IF($E483=0,0,$E483*($F483-1))</f>
        <v/>
      </c>
      <c r="H483" s="124">
        <f>IF($B483="","",CONCATENATE("Örnek kıymet: ",$B483))</f>
        <v/>
      </c>
    </row>
    <row r="484" ht="15" customHeight="1" s="81">
      <c r="E484" s="124">
        <f>IF($C484=0,0,$C484-$D484)</f>
        <v/>
      </c>
      <c r="G484" s="124">
        <f>IF($E484=0,0,$E484*($F484-1))</f>
        <v/>
      </c>
      <c r="H484" s="124">
        <f>IF($B484="","",CONCATENATE("Örnek kıymet: ",$B484))</f>
        <v/>
      </c>
    </row>
    <row r="485" ht="15" customHeight="1" s="81">
      <c r="E485" s="124">
        <f>IF($C485=0,0,$C485-$D485)</f>
        <v/>
      </c>
      <c r="G485" s="124">
        <f>IF($E485=0,0,$E485*($F485-1))</f>
        <v/>
      </c>
      <c r="H485" s="124">
        <f>IF($B485="","",CONCATENATE("Örnek kıymet: ",$B485))</f>
        <v/>
      </c>
    </row>
    <row r="486" ht="15" customHeight="1" s="81">
      <c r="E486" s="124">
        <f>IF($C486=0,0,$C486-$D486)</f>
        <v/>
      </c>
      <c r="G486" s="124">
        <f>IF($E486=0,0,$E486*($F486-1))</f>
        <v/>
      </c>
      <c r="H486" s="124">
        <f>IF($B486="","",CONCATENATE("Örnek kıymet: ",$B486))</f>
        <v/>
      </c>
    </row>
    <row r="487" ht="15" customHeight="1" s="81">
      <c r="E487" s="124">
        <f>IF($C487=0,0,$C487-$D487)</f>
        <v/>
      </c>
      <c r="G487" s="124">
        <f>IF($E487=0,0,$E487*($F487-1))</f>
        <v/>
      </c>
      <c r="H487" s="124">
        <f>IF($B487="","",CONCATENATE("Örnek kıymet: ",$B487))</f>
        <v/>
      </c>
    </row>
    <row r="488" ht="15" customHeight="1" s="81">
      <c r="E488" s="124">
        <f>IF($C488=0,0,$C488-$D488)</f>
        <v/>
      </c>
      <c r="G488" s="124">
        <f>IF($E488=0,0,$E488*($F488-1))</f>
        <v/>
      </c>
      <c r="H488" s="124">
        <f>IF($B488="","",CONCATENATE("Örnek kıymet: ",$B488))</f>
        <v/>
      </c>
    </row>
    <row r="489" ht="15" customHeight="1" s="81">
      <c r="E489" s="124">
        <f>IF($C489=0,0,$C489-$D489)</f>
        <v/>
      </c>
      <c r="G489" s="124">
        <f>IF($E489=0,0,$E489*($F489-1))</f>
        <v/>
      </c>
      <c r="H489" s="124">
        <f>IF($B489="","",CONCATENATE("Örnek kıymet: ",$B489))</f>
        <v/>
      </c>
    </row>
    <row r="490" ht="15" customHeight="1" s="81">
      <c r="E490" s="124">
        <f>IF($C490=0,0,$C490-$D490)</f>
        <v/>
      </c>
      <c r="G490" s="124">
        <f>IF($E490=0,0,$E490*($F490-1))</f>
        <v/>
      </c>
      <c r="H490" s="124">
        <f>IF($B490="","",CONCATENATE("Örnek kıymet: ",$B490))</f>
        <v/>
      </c>
    </row>
    <row r="491" ht="15" customHeight="1" s="81">
      <c r="E491" s="124">
        <f>IF($C491=0,0,$C491-$D491)</f>
        <v/>
      </c>
      <c r="G491" s="124">
        <f>IF($E491=0,0,$E491*($F491-1))</f>
        <v/>
      </c>
      <c r="H491" s="124">
        <f>IF($B491="","",CONCATENATE("Örnek kıymet: ",$B491))</f>
        <v/>
      </c>
    </row>
    <row r="492" ht="15" customHeight="1" s="81">
      <c r="E492" s="124">
        <f>IF($C492=0,0,$C492-$D492)</f>
        <v/>
      </c>
      <c r="G492" s="124">
        <f>IF($E492=0,0,$E492*($F492-1))</f>
        <v/>
      </c>
      <c r="H492" s="124">
        <f>IF($B492="","",CONCATENATE("Örnek kıymet: ",$B492))</f>
        <v/>
      </c>
    </row>
    <row r="493" ht="15" customHeight="1" s="81">
      <c r="E493" s="124">
        <f>IF($C493=0,0,$C493-$D493)</f>
        <v/>
      </c>
      <c r="G493" s="124">
        <f>IF($E493=0,0,$E493*($F493-1))</f>
        <v/>
      </c>
      <c r="H493" s="124">
        <f>IF($B493="","",CONCATENATE("Örnek kıymet: ",$B493))</f>
        <v/>
      </c>
    </row>
    <row r="494" ht="15" customHeight="1" s="81">
      <c r="E494" s="124">
        <f>IF($C494=0,0,$C494-$D494)</f>
        <v/>
      </c>
      <c r="G494" s="124">
        <f>IF($E494=0,0,$E494*($F494-1))</f>
        <v/>
      </c>
      <c r="H494" s="124">
        <f>IF($B494="","",CONCATENATE("Örnek kıymet: ",$B494))</f>
        <v/>
      </c>
    </row>
    <row r="495" ht="15" customHeight="1" s="81">
      <c r="E495" s="124">
        <f>IF($C495=0,0,$C495-$D495)</f>
        <v/>
      </c>
      <c r="G495" s="124">
        <f>IF($E495=0,0,$E495*($F495-1))</f>
        <v/>
      </c>
      <c r="H495" s="124">
        <f>IF($B495="","",CONCATENATE("Örnek kıymet: ",$B495))</f>
        <v/>
      </c>
    </row>
    <row r="496" ht="15" customHeight="1" s="81">
      <c r="E496" s="124">
        <f>IF($C496=0,0,$C496-$D496)</f>
        <v/>
      </c>
      <c r="G496" s="124">
        <f>IF($E496=0,0,$E496*($F496-1))</f>
        <v/>
      </c>
      <c r="H496" s="124">
        <f>IF($B496="","",CONCATENATE("Örnek kıymet: ",$B496))</f>
        <v/>
      </c>
    </row>
    <row r="497" ht="15" customHeight="1" s="81">
      <c r="E497" s="124">
        <f>IF($C497=0,0,$C497-$D497)</f>
        <v/>
      </c>
      <c r="G497" s="124">
        <f>IF($E497=0,0,$E497*($F497-1))</f>
        <v/>
      </c>
      <c r="H497" s="124">
        <f>IF($B497="","",CONCATENATE("Örnek kıymet: ",$B497))</f>
        <v/>
      </c>
    </row>
    <row r="498" ht="15" customHeight="1" s="81">
      <c r="E498" s="124">
        <f>IF($C498=0,0,$C498-$D498)</f>
        <v/>
      </c>
      <c r="G498" s="124">
        <f>IF($E498=0,0,$E498*($F498-1))</f>
        <v/>
      </c>
      <c r="H498" s="124">
        <f>IF($B498="","",CONCATENATE("Örnek kıymet: ",$B498))</f>
        <v/>
      </c>
    </row>
    <row r="499" ht="15" customHeight="1" s="81">
      <c r="E499" s="124">
        <f>IF($C499=0,0,$C499-$D499)</f>
        <v/>
      </c>
      <c r="G499" s="124">
        <f>IF($E499=0,0,$E499*($F499-1))</f>
        <v/>
      </c>
      <c r="H499" s="124">
        <f>IF($B499="","",CONCATENATE("Örnek kıymet: ",$B499))</f>
        <v/>
      </c>
    </row>
    <row r="500" ht="15" customHeight="1" s="81">
      <c r="E500" s="124">
        <f>IF($C500=0,0,$C500-$D500)</f>
        <v/>
      </c>
      <c r="G500" s="124">
        <f>IF($E500=0,0,$E500*($F500-1))</f>
        <v/>
      </c>
      <c r="H500" s="124">
        <f>IF($B500="","",CONCATENATE("Örnek kıymet: ",$B500))</f>
        <v/>
      </c>
    </row>
    <row r="501" ht="15" customHeight="1" s="81">
      <c r="E501" s="124">
        <f>IF($C501=0,0,$C501-$D501)</f>
        <v/>
      </c>
      <c r="G501" s="124">
        <f>IF($E501=0,0,$E501*($F501-1))</f>
        <v/>
      </c>
      <c r="H501" s="124">
        <f>IF($B501="","",CONCATENATE("Örnek kıymet: ",$B501))</f>
        <v/>
      </c>
    </row>
    <row r="502" ht="15" customHeight="1" s="81">
      <c r="E502" s="124">
        <f>IF($C502=0,0,$C502-$D502)</f>
        <v/>
      </c>
      <c r="G502" s="124">
        <f>IF($E502=0,0,$E502*($F502-1))</f>
        <v/>
      </c>
      <c r="H502" s="124">
        <f>IF($B502="","",CONCATENATE("Örnek kıymet: ",$B502))</f>
        <v/>
      </c>
    </row>
    <row r="503" ht="15" customHeight="1" s="81">
      <c r="E503" s="124">
        <f>IF($C503=0,0,$C503-$D503)</f>
        <v/>
      </c>
      <c r="G503" s="124">
        <f>IF($E503=0,0,$E503*($F503-1))</f>
        <v/>
      </c>
      <c r="H503" s="124">
        <f>IF($B503="","",CONCATENATE("Örnek kıymet: ",$B503))</f>
        <v/>
      </c>
    </row>
    <row r="504" ht="15" customHeight="1" s="81">
      <c r="E504" s="124">
        <f>IF($C504=0,0,$C504-$D504)</f>
        <v/>
      </c>
      <c r="G504" s="124">
        <f>IF($E504=0,0,$E504*($F504-1))</f>
        <v/>
      </c>
      <c r="H504" s="124">
        <f>IF($B504="","",CONCATENATE("Örnek kıymet: ",$B504))</f>
        <v/>
      </c>
    </row>
    <row r="505" ht="15" customHeight="1" s="81">
      <c r="E505" s="124">
        <f>IF($C505=0,0,$C505-$D505)</f>
        <v/>
      </c>
      <c r="G505" s="124">
        <f>IF($E505=0,0,$E505*($F505-1))</f>
        <v/>
      </c>
      <c r="H505" s="124">
        <f>IF($B505="","",CONCATENATE("Örnek kıymet: ",$B505))</f>
        <v/>
      </c>
    </row>
    <row r="506" ht="15" customHeight="1" s="81">
      <c r="E506" s="124">
        <f>IF($C506=0,0,$C506-$D506)</f>
        <v/>
      </c>
      <c r="G506" s="124">
        <f>IF($E506=0,0,$E506*($F506-1))</f>
        <v/>
      </c>
      <c r="H506" s="124">
        <f>IF($B506="","",CONCATENATE("Örnek kıymet: ",$B506))</f>
        <v/>
      </c>
    </row>
    <row r="507" ht="15" customHeight="1" s="81">
      <c r="E507" s="124">
        <f>IF($C507=0,0,$C507-$D507)</f>
        <v/>
      </c>
      <c r="G507" s="124">
        <f>IF($E507=0,0,$E507*($F507-1))</f>
        <v/>
      </c>
      <c r="H507" s="124">
        <f>IF($B507="","",CONCATENATE("Örnek kıymet: ",$B507))</f>
        <v/>
      </c>
    </row>
    <row r="508" ht="15" customHeight="1" s="81">
      <c r="E508" s="124">
        <f>IF($C508=0,0,$C508-$D508)</f>
        <v/>
      </c>
      <c r="G508" s="124">
        <f>IF($E508=0,0,$E508*($F508-1))</f>
        <v/>
      </c>
      <c r="H508" s="124">
        <f>IF($B508="","",CONCATENATE("Örnek kıymet: ",$B508))</f>
        <v/>
      </c>
    </row>
    <row r="509" ht="15" customHeight="1" s="81">
      <c r="E509" s="124">
        <f>IF($C509=0,0,$C509-$D509)</f>
        <v/>
      </c>
      <c r="G509" s="124">
        <f>IF($E509=0,0,$E509*($F509-1))</f>
        <v/>
      </c>
      <c r="H509" s="124">
        <f>IF($B509="","",CONCATENATE("Örnek kıymet: ",$B509))</f>
        <v/>
      </c>
    </row>
    <row r="510" ht="15" customHeight="1" s="81">
      <c r="E510" s="124">
        <f>IF($C510=0,0,$C510-$D510)</f>
        <v/>
      </c>
      <c r="G510" s="124">
        <f>IF($E510=0,0,$E510*($F510-1))</f>
        <v/>
      </c>
      <c r="H510" s="124">
        <f>IF($B510="","",CONCATENATE("Örnek kıymet: ",$B510))</f>
        <v/>
      </c>
    </row>
    <row r="511" ht="15" customHeight="1" s="81">
      <c r="E511" s="124">
        <f>IF($C511=0,0,$C511-$D511)</f>
        <v/>
      </c>
      <c r="G511" s="124">
        <f>IF($E511=0,0,$E511*($F511-1))</f>
        <v/>
      </c>
      <c r="H511" s="124">
        <f>IF($B511="","",CONCATENATE("Örnek kıymet: ",$B511))</f>
        <v/>
      </c>
    </row>
    <row r="512" ht="15" customHeight="1" s="81">
      <c r="E512" s="124">
        <f>IF($C512=0,0,$C512-$D512)</f>
        <v/>
      </c>
      <c r="G512" s="124">
        <f>IF($E512=0,0,$E512*($F512-1))</f>
        <v/>
      </c>
      <c r="H512" s="124">
        <f>IF($B512="","",CONCATENATE("Örnek kıymet: ",$B512))</f>
        <v/>
      </c>
    </row>
    <row r="513" ht="15" customHeight="1" s="81">
      <c r="E513" s="124">
        <f>IF($C513=0,0,$C513-$D513)</f>
        <v/>
      </c>
      <c r="G513" s="124">
        <f>IF($E513=0,0,$E513*($F513-1))</f>
        <v/>
      </c>
      <c r="H513" s="124">
        <f>IF($B513="","",CONCATENATE("Örnek kıymet: ",$B513))</f>
        <v/>
      </c>
    </row>
    <row r="514" ht="15" customHeight="1" s="81">
      <c r="E514" s="124">
        <f>IF($C514=0,0,$C514-$D514)</f>
        <v/>
      </c>
      <c r="G514" s="124">
        <f>IF($E514=0,0,$E514*($F514-1))</f>
        <v/>
      </c>
      <c r="H514" s="124">
        <f>IF($B514="","",CONCATENATE("Örnek kıymet: ",$B514))</f>
        <v/>
      </c>
    </row>
    <row r="515" ht="15" customHeight="1" s="81">
      <c r="E515" s="124">
        <f>IF($C515=0,0,$C515-$D515)</f>
        <v/>
      </c>
      <c r="G515" s="124">
        <f>IF($E515=0,0,$E515*($F515-1))</f>
        <v/>
      </c>
      <c r="H515" s="124">
        <f>IF($B515="","",CONCATENATE("Örnek kıymet: ",$B515))</f>
        <v/>
      </c>
    </row>
    <row r="516" ht="15" customHeight="1" s="81">
      <c r="E516" s="124">
        <f>IF($C516=0,0,$C516-$D516)</f>
        <v/>
      </c>
      <c r="G516" s="124">
        <f>IF($E516=0,0,$E516*($F516-1))</f>
        <v/>
      </c>
      <c r="H516" s="124">
        <f>IF($B516="","",CONCATENATE("Örnek kıymet: ",$B516))</f>
        <v/>
      </c>
    </row>
    <row r="517" ht="15" customHeight="1" s="81">
      <c r="E517" s="124">
        <f>IF($C517=0,0,$C517-$D517)</f>
        <v/>
      </c>
      <c r="G517" s="124">
        <f>IF($E517=0,0,$E517*($F517-1))</f>
        <v/>
      </c>
      <c r="H517" s="124">
        <f>IF($B517="","",CONCATENATE("Örnek kıymet: ",$B517))</f>
        <v/>
      </c>
    </row>
    <row r="518" ht="15" customHeight="1" s="81">
      <c r="E518" s="124">
        <f>IF($C518=0,0,$C518-$D518)</f>
        <v/>
      </c>
      <c r="G518" s="124">
        <f>IF($E518=0,0,$E518*($F518-1))</f>
        <v/>
      </c>
      <c r="H518" s="124">
        <f>IF($B518="","",CONCATENATE("Örnek kıymet: ",$B518))</f>
        <v/>
      </c>
    </row>
    <row r="519" ht="15" customHeight="1" s="81">
      <c r="E519" s="124">
        <f>IF($C519=0,0,$C519-$D519)</f>
        <v/>
      </c>
      <c r="G519" s="124">
        <f>IF($E519=0,0,$E519*($F519-1))</f>
        <v/>
      </c>
      <c r="H519" s="124">
        <f>IF($B519="","",CONCATENATE("Örnek kıymet: ",$B519))</f>
        <v/>
      </c>
    </row>
    <row r="520" ht="15" customHeight="1" s="81">
      <c r="E520" s="124">
        <f>IF($C520=0,0,$C520-$D520)</f>
        <v/>
      </c>
      <c r="G520" s="124">
        <f>IF($E520=0,0,$E520*($F520-1))</f>
        <v/>
      </c>
      <c r="H520" s="124">
        <f>IF($B520="","",CONCATENATE("Örnek kıymet: ",$B520))</f>
        <v/>
      </c>
    </row>
    <row r="521" ht="15" customHeight="1" s="81">
      <c r="E521" s="124">
        <f>IF($C521=0,0,$C521-$D521)</f>
        <v/>
      </c>
      <c r="G521" s="124">
        <f>IF($E521=0,0,$E521*($F521-1))</f>
        <v/>
      </c>
      <c r="H521" s="124">
        <f>IF($B521="","",CONCATENATE("Örnek kıymet: ",$B521))</f>
        <v/>
      </c>
    </row>
    <row r="522" ht="15" customHeight="1" s="81">
      <c r="E522" s="124">
        <f>IF($C522=0,0,$C522-$D522)</f>
        <v/>
      </c>
      <c r="G522" s="124">
        <f>IF($E522=0,0,$E522*($F522-1))</f>
        <v/>
      </c>
      <c r="H522" s="124">
        <f>IF($B522="","",CONCATENATE("Örnek kıymet: ",$B522))</f>
        <v/>
      </c>
    </row>
    <row r="523" ht="15" customHeight="1" s="81">
      <c r="E523" s="124">
        <f>IF($C523=0,0,$C523-$D523)</f>
        <v/>
      </c>
      <c r="G523" s="124">
        <f>IF($E523=0,0,$E523*($F523-1))</f>
        <v/>
      </c>
      <c r="H523" s="124">
        <f>IF($B523="","",CONCATENATE("Örnek kıymet: ",$B523))</f>
        <v/>
      </c>
    </row>
    <row r="524" ht="15" customHeight="1" s="81">
      <c r="E524" s="124">
        <f>IF($C524=0,0,$C524-$D524)</f>
        <v/>
      </c>
      <c r="G524" s="124">
        <f>IF($E524=0,0,$E524*($F524-1))</f>
        <v/>
      </c>
      <c r="H524" s="124">
        <f>IF($B524="","",CONCATENATE("Örnek kıymet: ",$B524))</f>
        <v/>
      </c>
    </row>
    <row r="525" ht="15" customHeight="1" s="81">
      <c r="E525" s="124">
        <f>IF($C525=0,0,$C525-$D525)</f>
        <v/>
      </c>
      <c r="G525" s="124">
        <f>IF($E525=0,0,$E525*($F525-1))</f>
        <v/>
      </c>
      <c r="H525" s="124">
        <f>IF($B525="","",CONCATENATE("Örnek kıymet: ",$B525))</f>
        <v/>
      </c>
    </row>
    <row r="526" ht="15" customHeight="1" s="81">
      <c r="E526" s="124">
        <f>IF($C526=0,0,$C526-$D526)</f>
        <v/>
      </c>
      <c r="G526" s="124">
        <f>IF($E526=0,0,$E526*($F526-1))</f>
        <v/>
      </c>
      <c r="H526" s="124">
        <f>IF($B526="","",CONCATENATE("Örnek kıymet: ",$B526))</f>
        <v/>
      </c>
    </row>
    <row r="527" ht="15" customHeight="1" s="81">
      <c r="E527" s="124">
        <f>IF($C527=0,0,$C527-$D527)</f>
        <v/>
      </c>
      <c r="G527" s="124">
        <f>IF($E527=0,0,$E527*($F527-1))</f>
        <v/>
      </c>
      <c r="H527" s="124">
        <f>IF($B527="","",CONCATENATE("Örnek kıymet: ",$B527))</f>
        <v/>
      </c>
    </row>
    <row r="528" ht="15" customHeight="1" s="81">
      <c r="E528" s="124">
        <f>IF($C528=0,0,$C528-$D528)</f>
        <v/>
      </c>
      <c r="G528" s="124">
        <f>IF($E528=0,0,$E528*($F528-1))</f>
        <v/>
      </c>
      <c r="H528" s="124">
        <f>IF($B528="","",CONCATENATE("Örnek kıymet: ",$B528))</f>
        <v/>
      </c>
    </row>
    <row r="529" ht="15" customHeight="1" s="81">
      <c r="E529" s="124">
        <f>IF($C529=0,0,$C529-$D529)</f>
        <v/>
      </c>
      <c r="G529" s="124">
        <f>IF($E529=0,0,$E529*($F529-1))</f>
        <v/>
      </c>
      <c r="H529" s="124">
        <f>IF($B529="","",CONCATENATE("Örnek kıymet: ",$B529))</f>
        <v/>
      </c>
    </row>
    <row r="530" ht="15" customHeight="1" s="81">
      <c r="E530" s="124">
        <f>IF($C530=0,0,$C530-$D530)</f>
        <v/>
      </c>
      <c r="G530" s="124">
        <f>IF($E530=0,0,$E530*($F530-1))</f>
        <v/>
      </c>
      <c r="H530" s="124">
        <f>IF($B530="","",CONCATENATE("Örnek kıymet: ",$B530))</f>
        <v/>
      </c>
    </row>
    <row r="531" ht="15" customHeight="1" s="81">
      <c r="E531" s="124">
        <f>IF($C531=0,0,$C531-$D531)</f>
        <v/>
      </c>
      <c r="G531" s="124">
        <f>IF($E531=0,0,$E531*($F531-1))</f>
        <v/>
      </c>
      <c r="H531" s="124">
        <f>IF($B531="","",CONCATENATE("Örnek kıymet: ",$B531))</f>
        <v/>
      </c>
    </row>
    <row r="532" ht="15" customHeight="1" s="81">
      <c r="E532" s="124">
        <f>IF($C532=0,0,$C532-$D532)</f>
        <v/>
      </c>
      <c r="G532" s="124">
        <f>IF($E532=0,0,$E532*($F532-1))</f>
        <v/>
      </c>
      <c r="H532" s="124">
        <f>IF($B532="","",CONCATENATE("Örnek kıymet: ",$B532))</f>
        <v/>
      </c>
    </row>
    <row r="533" ht="15" customHeight="1" s="81">
      <c r="E533" s="124">
        <f>IF($C533=0,0,$C533-$D533)</f>
        <v/>
      </c>
      <c r="G533" s="124">
        <f>IF($E533=0,0,$E533*($F533-1))</f>
        <v/>
      </c>
      <c r="H533" s="124">
        <f>IF($B533="","",CONCATENATE("Örnek kıymet: ",$B533))</f>
        <v/>
      </c>
    </row>
    <row r="534" ht="15" customHeight="1" s="81">
      <c r="E534" s="124">
        <f>IF($C534=0,0,$C534-$D534)</f>
        <v/>
      </c>
      <c r="G534" s="124">
        <f>IF($E534=0,0,$E534*($F534-1))</f>
        <v/>
      </c>
      <c r="H534" s="124">
        <f>IF($B534="","",CONCATENATE("Örnek kıymet: ",$B534))</f>
        <v/>
      </c>
    </row>
    <row r="535" ht="15" customHeight="1" s="81">
      <c r="E535" s="124">
        <f>IF($C535=0,0,$C535-$D535)</f>
        <v/>
      </c>
      <c r="G535" s="124">
        <f>IF($E535=0,0,$E535*($F535-1))</f>
        <v/>
      </c>
      <c r="H535" s="124">
        <f>IF($B535="","",CONCATENATE("Örnek kıymet: ",$B535))</f>
        <v/>
      </c>
    </row>
    <row r="536" ht="15" customHeight="1" s="81">
      <c r="E536" s="124">
        <f>IF($C536=0,0,$C536-$D536)</f>
        <v/>
      </c>
      <c r="G536" s="124">
        <f>IF($E536=0,0,$E536*($F536-1))</f>
        <v/>
      </c>
      <c r="H536" s="124">
        <f>IF($B536="","",CONCATENATE("Örnek kıymet: ",$B536))</f>
        <v/>
      </c>
    </row>
    <row r="537" ht="15" customHeight="1" s="81">
      <c r="E537" s="124">
        <f>IF($C537=0,0,$C537-$D537)</f>
        <v/>
      </c>
      <c r="G537" s="124">
        <f>IF($E537=0,0,$E537*($F537-1))</f>
        <v/>
      </c>
      <c r="H537" s="124">
        <f>IF($B537="","",CONCATENATE("Örnek kıymet: ",$B537))</f>
        <v/>
      </c>
    </row>
    <row r="538" ht="15" customHeight="1" s="81">
      <c r="E538" s="124">
        <f>IF($C538=0,0,$C538-$D538)</f>
        <v/>
      </c>
      <c r="G538" s="124">
        <f>IF($E538=0,0,$E538*($F538-1))</f>
        <v/>
      </c>
      <c r="H538" s="124">
        <f>IF($B538="","",CONCATENATE("Örnek kıymet: ",$B538))</f>
        <v/>
      </c>
    </row>
    <row r="539" ht="15" customHeight="1" s="81">
      <c r="E539" s="124">
        <f>IF($C539=0,0,$C539-$D539)</f>
        <v/>
      </c>
      <c r="G539" s="124">
        <f>IF($E539=0,0,$E539*($F539-1))</f>
        <v/>
      </c>
      <c r="H539" s="124">
        <f>IF($B539="","",CONCATENATE("Örnek kıymet: ",$B539))</f>
        <v/>
      </c>
    </row>
    <row r="540" ht="15" customHeight="1" s="81">
      <c r="E540" s="124">
        <f>IF($C540=0,0,$C540-$D540)</f>
        <v/>
      </c>
      <c r="G540" s="124">
        <f>IF($E540=0,0,$E540*($F540-1))</f>
        <v/>
      </c>
      <c r="H540" s="124">
        <f>IF($B540="","",CONCATENATE("Örnek kıymet: ",$B540))</f>
        <v/>
      </c>
    </row>
    <row r="541" ht="15" customHeight="1" s="81">
      <c r="E541" s="124">
        <f>IF($C541=0,0,$C541-$D541)</f>
        <v/>
      </c>
      <c r="G541" s="124">
        <f>IF($E541=0,0,$E541*($F541-1))</f>
        <v/>
      </c>
      <c r="H541" s="124">
        <f>IF($B541="","",CONCATENATE("Örnek kıymet: ",$B541))</f>
        <v/>
      </c>
    </row>
    <row r="542" ht="15" customHeight="1" s="81">
      <c r="E542" s="124">
        <f>IF($C542=0,0,$C542-$D542)</f>
        <v/>
      </c>
      <c r="G542" s="124">
        <f>IF($E542=0,0,$E542*($F542-1))</f>
        <v/>
      </c>
      <c r="H542" s="124">
        <f>IF($B542="","",CONCATENATE("Örnek kıymet: ",$B542))</f>
        <v/>
      </c>
    </row>
    <row r="543" ht="15" customHeight="1" s="81">
      <c r="E543" s="124">
        <f>IF($C543=0,0,$C543-$D543)</f>
        <v/>
      </c>
      <c r="G543" s="124">
        <f>IF($E543=0,0,$E543*($F543-1))</f>
        <v/>
      </c>
      <c r="H543" s="124">
        <f>IF($B543="","",CONCATENATE("Örnek kıymet: ",$B543))</f>
        <v/>
      </c>
    </row>
    <row r="544" ht="15" customHeight="1" s="81">
      <c r="E544" s="124">
        <f>IF($C544=0,0,$C544-$D544)</f>
        <v/>
      </c>
      <c r="G544" s="124">
        <f>IF($E544=0,0,$E544*($F544-1))</f>
        <v/>
      </c>
      <c r="H544" s="124">
        <f>IF($B544="","",CONCATENATE("Örnek kıymet: ",$B544))</f>
        <v/>
      </c>
    </row>
    <row r="545" ht="15" customHeight="1" s="81">
      <c r="E545" s="124">
        <f>IF($C545=0,0,$C545-$D545)</f>
        <v/>
      </c>
      <c r="G545" s="124">
        <f>IF($E545=0,0,$E545*($F545-1))</f>
        <v/>
      </c>
      <c r="H545" s="124">
        <f>IF($B545="","",CONCATENATE("Örnek kıymet: ",$B545))</f>
        <v/>
      </c>
    </row>
    <row r="546" ht="15" customHeight="1" s="81">
      <c r="E546" s="124">
        <f>IF($C546=0,0,$C546-$D546)</f>
        <v/>
      </c>
      <c r="G546" s="124">
        <f>IF($E546=0,0,$E546*($F546-1))</f>
        <v/>
      </c>
      <c r="H546" s="124">
        <f>IF($B546="","",CONCATENATE("Örnek kıymet: ",$B546))</f>
        <v/>
      </c>
    </row>
    <row r="547" ht="15" customHeight="1" s="81">
      <c r="E547" s="124">
        <f>IF($C547=0,0,$C547-$D547)</f>
        <v/>
      </c>
      <c r="G547" s="124">
        <f>IF($E547=0,0,$E547*($F547-1))</f>
        <v/>
      </c>
      <c r="H547" s="124">
        <f>IF($B547="","",CONCATENATE("Örnek kıymet: ",$B547))</f>
        <v/>
      </c>
    </row>
    <row r="548" ht="15" customHeight="1" s="81">
      <c r="E548" s="124">
        <f>IF($C548=0,0,$C548-$D548)</f>
        <v/>
      </c>
      <c r="G548" s="124">
        <f>IF($E548=0,0,$E548*($F548-1))</f>
        <v/>
      </c>
      <c r="H548" s="124">
        <f>IF($B548="","",CONCATENATE("Örnek kıymet: ",$B548))</f>
        <v/>
      </c>
    </row>
    <row r="549" ht="15" customHeight="1" s="81">
      <c r="E549" s="124">
        <f>IF($C549=0,0,$C549-$D549)</f>
        <v/>
      </c>
      <c r="G549" s="124">
        <f>IF($E549=0,0,$E549*($F549-1))</f>
        <v/>
      </c>
      <c r="H549" s="124">
        <f>IF($B549="","",CONCATENATE("Örnek kıymet: ",$B549))</f>
        <v/>
      </c>
    </row>
    <row r="550" ht="15" customHeight="1" s="81">
      <c r="E550" s="124">
        <f>IF($C550=0,0,$C550-$D550)</f>
        <v/>
      </c>
      <c r="G550" s="124">
        <f>IF($E550=0,0,$E550*($F550-1))</f>
        <v/>
      </c>
      <c r="H550" s="124">
        <f>IF($B550="","",CONCATENATE("Örnek kıymet: ",$B550))</f>
        <v/>
      </c>
    </row>
    <row r="551" ht="15" customHeight="1" s="81">
      <c r="E551" s="124">
        <f>IF($C551=0,0,$C551-$D551)</f>
        <v/>
      </c>
      <c r="G551" s="124">
        <f>IF($E551=0,0,$E551*($F551-1))</f>
        <v/>
      </c>
      <c r="H551" s="124">
        <f>IF($B551="","",CONCATENATE("Örnek kıymet: ",$B551))</f>
        <v/>
      </c>
    </row>
    <row r="552" ht="15" customHeight="1" s="81">
      <c r="E552" s="124">
        <f>IF($C552=0,0,$C552-$D552)</f>
        <v/>
      </c>
      <c r="G552" s="124">
        <f>IF($E552=0,0,$E552*($F552-1))</f>
        <v/>
      </c>
      <c r="H552" s="124">
        <f>IF($B552="","",CONCATENATE("Örnek kıymet: ",$B552))</f>
        <v/>
      </c>
    </row>
    <row r="553" ht="15" customHeight="1" s="81">
      <c r="E553" s="124">
        <f>IF($C553=0,0,$C553-$D553)</f>
        <v/>
      </c>
      <c r="G553" s="124">
        <f>IF($E553=0,0,$E553*($F553-1))</f>
        <v/>
      </c>
      <c r="H553" s="124">
        <f>IF($B553="","",CONCATENATE("Örnek kıymet: ",$B553))</f>
        <v/>
      </c>
    </row>
    <row r="554" ht="15" customHeight="1" s="81">
      <c r="E554" s="124">
        <f>IF($C554=0,0,$C554-$D554)</f>
        <v/>
      </c>
      <c r="G554" s="124">
        <f>IF($E554=0,0,$E554*($F554-1))</f>
        <v/>
      </c>
      <c r="H554" s="124">
        <f>IF($B554="","",CONCATENATE("Örnek kıymet: ",$B554))</f>
        <v/>
      </c>
    </row>
    <row r="555" ht="15" customHeight="1" s="81">
      <c r="E555" s="124">
        <f>IF($C555=0,0,$C555-$D555)</f>
        <v/>
      </c>
      <c r="G555" s="124">
        <f>IF($E555=0,0,$E555*($F555-1))</f>
        <v/>
      </c>
      <c r="H555" s="124">
        <f>IF($B555="","",CONCATENATE("Örnek kıymet: ",$B555))</f>
        <v/>
      </c>
    </row>
    <row r="556" ht="15" customHeight="1" s="81">
      <c r="E556" s="124">
        <f>IF($C556=0,0,$C556-$D556)</f>
        <v/>
      </c>
      <c r="G556" s="124">
        <f>IF($E556=0,0,$E556*($F556-1))</f>
        <v/>
      </c>
      <c r="H556" s="124">
        <f>IF($B556="","",CONCATENATE("Örnek kıymet: ",$B556))</f>
        <v/>
      </c>
    </row>
    <row r="557" ht="15" customHeight="1" s="81">
      <c r="E557" s="124">
        <f>IF($C557=0,0,$C557-$D557)</f>
        <v/>
      </c>
      <c r="G557" s="124">
        <f>IF($E557=0,0,$E557*($F557-1))</f>
        <v/>
      </c>
      <c r="H557" s="124">
        <f>IF($B557="","",CONCATENATE("Örnek kıymet: ",$B557))</f>
        <v/>
      </c>
    </row>
    <row r="558" ht="15" customHeight="1" s="81">
      <c r="E558" s="124">
        <f>IF($C558=0,0,$C558-$D558)</f>
        <v/>
      </c>
      <c r="G558" s="124">
        <f>IF($E558=0,0,$E558*($F558-1))</f>
        <v/>
      </c>
      <c r="H558" s="124">
        <f>IF($B558="","",CONCATENATE("Örnek kıymet: ",$B558))</f>
        <v/>
      </c>
    </row>
    <row r="559" ht="15" customHeight="1" s="81">
      <c r="E559" s="124">
        <f>IF($C559=0,0,$C559-$D559)</f>
        <v/>
      </c>
      <c r="G559" s="124">
        <f>IF($E559=0,0,$E559*($F559-1))</f>
        <v/>
      </c>
      <c r="H559" s="124">
        <f>IF($B559="","",CONCATENATE("Örnek kıymet: ",$B559))</f>
        <v/>
      </c>
    </row>
    <row r="560" ht="15" customHeight="1" s="81">
      <c r="E560" s="124">
        <f>IF($C560=0,0,$C560-$D560)</f>
        <v/>
      </c>
      <c r="G560" s="124">
        <f>IF($E560=0,0,$E560*($F560-1))</f>
        <v/>
      </c>
      <c r="H560" s="124">
        <f>IF($B560="","",CONCATENATE("Örnek kıymet: ",$B560))</f>
        <v/>
      </c>
    </row>
    <row r="561" ht="15" customHeight="1" s="81">
      <c r="E561" s="124">
        <f>IF($C561=0,0,$C561-$D561)</f>
        <v/>
      </c>
      <c r="G561" s="124">
        <f>IF($E561=0,0,$E561*($F561-1))</f>
        <v/>
      </c>
      <c r="H561" s="124">
        <f>IF($B561="","",CONCATENATE("Örnek kıymet: ",$B561))</f>
        <v/>
      </c>
    </row>
    <row r="562" ht="15" customHeight="1" s="81">
      <c r="E562" s="124">
        <f>IF($C562=0,0,$C562-$D562)</f>
        <v/>
      </c>
      <c r="G562" s="124">
        <f>IF($E562=0,0,$E562*($F562-1))</f>
        <v/>
      </c>
      <c r="H562" s="124">
        <f>IF($B562="","",CONCATENATE("Örnek kıymet: ",$B562))</f>
        <v/>
      </c>
    </row>
    <row r="563" ht="15" customHeight="1" s="81">
      <c r="E563" s="124">
        <f>IF($C563=0,0,$C563-$D563)</f>
        <v/>
      </c>
      <c r="G563" s="124">
        <f>IF($E563=0,0,$E563*($F563-1))</f>
        <v/>
      </c>
      <c r="H563" s="124">
        <f>IF($B563="","",CONCATENATE("Örnek kıymet: ",$B563))</f>
        <v/>
      </c>
    </row>
    <row r="564" ht="15" customHeight="1" s="81">
      <c r="E564" s="124">
        <f>IF($C564=0,0,$C564-$D564)</f>
        <v/>
      </c>
      <c r="G564" s="124">
        <f>IF($E564=0,0,$E564*($F564-1))</f>
        <v/>
      </c>
      <c r="H564" s="124">
        <f>IF($B564="","",CONCATENATE("Örnek kıymet: ",$B564))</f>
        <v/>
      </c>
    </row>
    <row r="565" ht="15" customHeight="1" s="81">
      <c r="E565" s="124">
        <f>IF($C565=0,0,$C565-$D565)</f>
        <v/>
      </c>
      <c r="G565" s="124">
        <f>IF($E565=0,0,$E565*($F565-1))</f>
        <v/>
      </c>
      <c r="H565" s="124">
        <f>IF($B565="","",CONCATENATE("Örnek kıymet: ",$B565))</f>
        <v/>
      </c>
    </row>
    <row r="566" ht="15" customHeight="1" s="81">
      <c r="E566" s="124">
        <f>IF($C566=0,0,$C566-$D566)</f>
        <v/>
      </c>
      <c r="G566" s="124">
        <f>IF($E566=0,0,$E566*($F566-1))</f>
        <v/>
      </c>
      <c r="H566" s="124">
        <f>IF($B566="","",CONCATENATE("Örnek kıymet: ",$B566))</f>
        <v/>
      </c>
    </row>
    <row r="567" ht="15" customHeight="1" s="81">
      <c r="E567" s="124">
        <f>IF($C567=0,0,$C567-$D567)</f>
        <v/>
      </c>
      <c r="G567" s="124">
        <f>IF($E567=0,0,$E567*($F567-1))</f>
        <v/>
      </c>
      <c r="H567" s="124">
        <f>IF($B567="","",CONCATENATE("Örnek kıymet: ",$B567))</f>
        <v/>
      </c>
    </row>
    <row r="568" ht="15" customHeight="1" s="81">
      <c r="E568" s="124">
        <f>IF($C568=0,0,$C568-$D568)</f>
        <v/>
      </c>
      <c r="G568" s="124">
        <f>IF($E568=0,0,$E568*($F568-1))</f>
        <v/>
      </c>
      <c r="H568" s="124">
        <f>IF($B568="","",CONCATENATE("Örnek kıymet: ",$B568))</f>
        <v/>
      </c>
    </row>
    <row r="569" ht="15" customHeight="1" s="81">
      <c r="E569" s="124">
        <f>IF($C569=0,0,$C569-$D569)</f>
        <v/>
      </c>
      <c r="G569" s="124">
        <f>IF($E569=0,0,$E569*($F569-1))</f>
        <v/>
      </c>
      <c r="H569" s="124">
        <f>IF($B569="","",CONCATENATE("Örnek kıymet: ",$B569))</f>
        <v/>
      </c>
    </row>
    <row r="570" ht="15" customHeight="1" s="81">
      <c r="E570" s="124">
        <f>IF($C570=0,0,$C570-$D570)</f>
        <v/>
      </c>
      <c r="G570" s="124">
        <f>IF($E570=0,0,$E570*($F570-1))</f>
        <v/>
      </c>
      <c r="H570" s="124">
        <f>IF($B570="","",CONCATENATE("Örnek kıymet: ",$B570))</f>
        <v/>
      </c>
    </row>
    <row r="571" ht="15" customHeight="1" s="81">
      <c r="E571" s="124">
        <f>IF($C571=0,0,$C571-$D571)</f>
        <v/>
      </c>
      <c r="G571" s="124">
        <f>IF($E571=0,0,$E571*($F571-1))</f>
        <v/>
      </c>
      <c r="H571" s="124">
        <f>IF($B571="","",CONCATENATE("Örnek kıymet: ",$B571))</f>
        <v/>
      </c>
    </row>
    <row r="572" ht="15" customHeight="1" s="81">
      <c r="E572" s="124">
        <f>IF($C572=0,0,$C572-$D572)</f>
        <v/>
      </c>
      <c r="G572" s="124">
        <f>IF($E572=0,0,$E572*($F572-1))</f>
        <v/>
      </c>
      <c r="H572" s="124">
        <f>IF($B572="","",CONCATENATE("Örnek kıymet: ",$B572))</f>
        <v/>
      </c>
    </row>
    <row r="573" ht="15" customHeight="1" s="81">
      <c r="E573" s="124">
        <f>IF($C573=0,0,$C573-$D573)</f>
        <v/>
      </c>
      <c r="G573" s="124">
        <f>IF($E573=0,0,$E573*($F573-1))</f>
        <v/>
      </c>
      <c r="H573" s="124">
        <f>IF($B573="","",CONCATENATE("Örnek kıymet: ",$B573))</f>
        <v/>
      </c>
    </row>
    <row r="574" ht="15" customHeight="1" s="81">
      <c r="E574" s="124">
        <f>IF($C574=0,0,$C574-$D574)</f>
        <v/>
      </c>
      <c r="G574" s="124">
        <f>IF($E574=0,0,$E574*($F574-1))</f>
        <v/>
      </c>
      <c r="H574" s="124">
        <f>IF($B574="","",CONCATENATE("Örnek kıymet: ",$B574))</f>
        <v/>
      </c>
    </row>
    <row r="575" ht="15" customHeight="1" s="81">
      <c r="E575" s="124">
        <f>IF($C575=0,0,$C575-$D575)</f>
        <v/>
      </c>
      <c r="G575" s="124">
        <f>IF($E575=0,0,$E575*($F575-1))</f>
        <v/>
      </c>
      <c r="H575" s="124">
        <f>IF($B575="","",CONCATENATE("Örnek kıymet: ",$B575))</f>
        <v/>
      </c>
    </row>
    <row r="576" ht="15" customHeight="1" s="81">
      <c r="E576" s="124">
        <f>IF($C576=0,0,$C576-$D576)</f>
        <v/>
      </c>
      <c r="G576" s="124">
        <f>IF($E576=0,0,$E576*($F576-1))</f>
        <v/>
      </c>
      <c r="H576" s="124">
        <f>IF($B576="","",CONCATENATE("Örnek kıymet: ",$B576))</f>
        <v/>
      </c>
    </row>
    <row r="577" ht="15" customHeight="1" s="81">
      <c r="E577" s="124">
        <f>IF($C577=0,0,$C577-$D577)</f>
        <v/>
      </c>
      <c r="G577" s="124">
        <f>IF($E577=0,0,$E577*($F577-1))</f>
        <v/>
      </c>
      <c r="H577" s="124">
        <f>IF($B577="","",CONCATENATE("Örnek kıymet: ",$B577))</f>
        <v/>
      </c>
    </row>
    <row r="578" ht="15" customHeight="1" s="81">
      <c r="E578" s="124">
        <f>IF($C578=0,0,$C578-$D578)</f>
        <v/>
      </c>
      <c r="G578" s="124">
        <f>IF($E578=0,0,$E578*($F578-1))</f>
        <v/>
      </c>
      <c r="H578" s="124">
        <f>IF($B578="","",CONCATENATE("Örnek kıymet: ",$B578))</f>
        <v/>
      </c>
    </row>
    <row r="579" ht="15" customHeight="1" s="81">
      <c r="E579" s="124">
        <f>IF($C579=0,0,$C579-$D579)</f>
        <v/>
      </c>
      <c r="G579" s="124">
        <f>IF($E579=0,0,$E579*($F579-1))</f>
        <v/>
      </c>
      <c r="H579" s="124">
        <f>IF($B579="","",CONCATENATE("Örnek kıymet: ",$B579))</f>
        <v/>
      </c>
    </row>
    <row r="580" ht="15" customHeight="1" s="81">
      <c r="E580" s="124">
        <f>IF($C580=0,0,$C580-$D580)</f>
        <v/>
      </c>
      <c r="G580" s="124">
        <f>IF($E580=0,0,$E580*($F580-1))</f>
        <v/>
      </c>
      <c r="H580" s="124">
        <f>IF($B580="","",CONCATENATE("Örnek kıymet: ",$B580))</f>
        <v/>
      </c>
    </row>
    <row r="581" ht="15" customHeight="1" s="81">
      <c r="E581" s="124">
        <f>IF($C581=0,0,$C581-$D581)</f>
        <v/>
      </c>
      <c r="G581" s="124">
        <f>IF($E581=0,0,$E581*($F581-1))</f>
        <v/>
      </c>
      <c r="H581" s="124">
        <f>IF($B581="","",CONCATENATE("Örnek kıymet: ",$B581))</f>
        <v/>
      </c>
    </row>
    <row r="582" ht="15" customHeight="1" s="81">
      <c r="E582" s="124">
        <f>IF($C582=0,0,$C582-$D582)</f>
        <v/>
      </c>
      <c r="G582" s="124">
        <f>IF($E582=0,0,$E582*($F582-1))</f>
        <v/>
      </c>
      <c r="H582" s="124">
        <f>IF($B582="","",CONCATENATE("Örnek kıymet: ",$B582))</f>
        <v/>
      </c>
    </row>
    <row r="583" ht="15" customHeight="1" s="81">
      <c r="E583" s="124">
        <f>IF($C583=0,0,$C583-$D583)</f>
        <v/>
      </c>
      <c r="G583" s="124">
        <f>IF($E583=0,0,$E583*($F583-1))</f>
        <v/>
      </c>
      <c r="H583" s="124">
        <f>IF($B583="","",CONCATENATE("Örnek kıymet: ",$B583))</f>
        <v/>
      </c>
    </row>
    <row r="584" ht="15" customHeight="1" s="81">
      <c r="E584" s="124">
        <f>IF($C584=0,0,$C584-$D584)</f>
        <v/>
      </c>
      <c r="G584" s="124">
        <f>IF($E584=0,0,$E584*($F584-1))</f>
        <v/>
      </c>
      <c r="H584" s="124">
        <f>IF($B584="","",CONCATENATE("Örnek kıymet: ",$B584))</f>
        <v/>
      </c>
    </row>
    <row r="585" ht="15" customHeight="1" s="81">
      <c r="E585" s="124">
        <f>IF($C585=0,0,$C585-$D585)</f>
        <v/>
      </c>
      <c r="G585" s="124">
        <f>IF($E585=0,0,$E585*($F585-1))</f>
        <v/>
      </c>
      <c r="H585" s="124">
        <f>IF($B585="","",CONCATENATE("Örnek kıymet: ",$B585))</f>
        <v/>
      </c>
    </row>
    <row r="586" ht="15" customHeight="1" s="81">
      <c r="E586" s="124">
        <f>IF($C586=0,0,$C586-$D586)</f>
        <v/>
      </c>
      <c r="G586" s="124">
        <f>IF($E586=0,0,$E586*($F586-1))</f>
        <v/>
      </c>
      <c r="H586" s="124">
        <f>IF($B586="","",CONCATENATE("Örnek kıymet: ",$B586))</f>
        <v/>
      </c>
    </row>
    <row r="587" ht="15" customHeight="1" s="81">
      <c r="E587" s="124">
        <f>IF($C587=0,0,$C587-$D587)</f>
        <v/>
      </c>
      <c r="G587" s="124">
        <f>IF($E587=0,0,$E587*($F587-1))</f>
        <v/>
      </c>
      <c r="H587" s="124">
        <f>IF($B587="","",CONCATENATE("Örnek kıymet: ",$B587))</f>
        <v/>
      </c>
    </row>
    <row r="588" ht="15" customHeight="1" s="81">
      <c r="E588" s="124">
        <f>IF($C588=0,0,$C588-$D588)</f>
        <v/>
      </c>
      <c r="G588" s="124">
        <f>IF($E588=0,0,$E588*($F588-1))</f>
        <v/>
      </c>
      <c r="H588" s="124">
        <f>IF($B588="","",CONCATENATE("Örnek kıymet: ",$B588))</f>
        <v/>
      </c>
    </row>
    <row r="589" ht="15" customHeight="1" s="81">
      <c r="E589" s="124">
        <f>IF($C589=0,0,$C589-$D589)</f>
        <v/>
      </c>
      <c r="G589" s="124">
        <f>IF($E589=0,0,$E589*($F589-1))</f>
        <v/>
      </c>
      <c r="H589" s="124">
        <f>IF($B589="","",CONCATENATE("Örnek kıymet: ",$B589))</f>
        <v/>
      </c>
    </row>
    <row r="590" ht="15" customHeight="1" s="81">
      <c r="E590" s="124">
        <f>IF($C590=0,0,$C590-$D590)</f>
        <v/>
      </c>
      <c r="G590" s="124">
        <f>IF($E590=0,0,$E590*($F590-1))</f>
        <v/>
      </c>
      <c r="H590" s="124">
        <f>IF($B590="","",CONCATENATE("Örnek kıymet: ",$B590))</f>
        <v/>
      </c>
    </row>
    <row r="591" ht="15" customHeight="1" s="81">
      <c r="E591" s="124">
        <f>IF($C591=0,0,$C591-$D591)</f>
        <v/>
      </c>
      <c r="G591" s="124">
        <f>IF($E591=0,0,$E591*($F591-1))</f>
        <v/>
      </c>
      <c r="H591" s="124">
        <f>IF($B591="","",CONCATENATE("Örnek kıymet: ",$B591))</f>
        <v/>
      </c>
    </row>
    <row r="592" ht="15" customHeight="1" s="81">
      <c r="E592" s="124">
        <f>IF($C592=0,0,$C592-$D592)</f>
        <v/>
      </c>
      <c r="G592" s="124">
        <f>IF($E592=0,0,$E592*($F592-1))</f>
        <v/>
      </c>
      <c r="H592" s="124">
        <f>IF($B592="","",CONCATENATE("Örnek kıymet: ",$B592))</f>
        <v/>
      </c>
    </row>
    <row r="593" ht="15" customHeight="1" s="81">
      <c r="E593" s="124">
        <f>IF($C593=0,0,$C593-$D593)</f>
        <v/>
      </c>
      <c r="G593" s="124">
        <f>IF($E593=0,0,$E593*($F593-1))</f>
        <v/>
      </c>
      <c r="H593" s="124">
        <f>IF($B593="","",CONCATENATE("Örnek kıymet: ",$B593))</f>
        <v/>
      </c>
    </row>
    <row r="594" ht="15" customHeight="1" s="81">
      <c r="E594" s="124">
        <f>IF($C594=0,0,$C594-$D594)</f>
        <v/>
      </c>
      <c r="G594" s="124">
        <f>IF($E594=0,0,$E594*($F594-1))</f>
        <v/>
      </c>
      <c r="H594" s="124">
        <f>IF($B594="","",CONCATENATE("Örnek kıymet: ",$B594))</f>
        <v/>
      </c>
    </row>
    <row r="595" ht="15" customHeight="1" s="81">
      <c r="E595" s="124">
        <f>IF($C595=0,0,$C595-$D595)</f>
        <v/>
      </c>
      <c r="G595" s="124">
        <f>IF($E595=0,0,$E595*($F595-1))</f>
        <v/>
      </c>
      <c r="H595" s="124">
        <f>IF($B595="","",CONCATENATE("Örnek kıymet: ",$B595))</f>
        <v/>
      </c>
    </row>
    <row r="596" ht="15" customHeight="1" s="81">
      <c r="E596" s="124">
        <f>IF($C596=0,0,$C596-$D596)</f>
        <v/>
      </c>
      <c r="G596" s="124">
        <f>IF($E596=0,0,$E596*($F596-1))</f>
        <v/>
      </c>
      <c r="H596" s="124">
        <f>IF($B596="","",CONCATENATE("Örnek kıymet: ",$B596))</f>
        <v/>
      </c>
    </row>
    <row r="597" ht="15" customHeight="1" s="81">
      <c r="E597" s="124">
        <f>IF($C597=0,0,$C597-$D597)</f>
        <v/>
      </c>
      <c r="G597" s="124">
        <f>IF($E597=0,0,$E597*($F597-1))</f>
        <v/>
      </c>
      <c r="H597" s="124">
        <f>IF($B597="","",CONCATENATE("Örnek kıymet: ",$B597))</f>
        <v/>
      </c>
    </row>
    <row r="598" ht="15" customHeight="1" s="81">
      <c r="E598" s="124">
        <f>IF($C598=0,0,$C598-$D598)</f>
        <v/>
      </c>
      <c r="G598" s="124">
        <f>IF($E598=0,0,$E598*($F598-1))</f>
        <v/>
      </c>
      <c r="H598" s="124">
        <f>IF($B598="","",CONCATENATE("Örnek kıymet: ",$B598))</f>
        <v/>
      </c>
    </row>
    <row r="599" ht="15" customHeight="1" s="81">
      <c r="E599" s="124">
        <f>IF($C599=0,0,$C599-$D599)</f>
        <v/>
      </c>
      <c r="G599" s="124">
        <f>IF($E599=0,0,$E599*($F599-1))</f>
        <v/>
      </c>
      <c r="H599" s="124">
        <f>IF($B599="","",CONCATENATE("Örnek kıymet: ",$B599))</f>
        <v/>
      </c>
    </row>
    <row r="600" ht="15" customHeight="1" s="81">
      <c r="E600" s="124">
        <f>IF($C600=0,0,$C600-$D600)</f>
        <v/>
      </c>
      <c r="G600" s="124">
        <f>IF($E600=0,0,$E600*($F600-1))</f>
        <v/>
      </c>
      <c r="H600" s="124">
        <f>IF($B600="","",CONCATENATE("Örnek kıymet: ",$B600))</f>
        <v/>
      </c>
    </row>
    <row r="601" ht="15" customHeight="1" s="81">
      <c r="E601" s="124">
        <f>IF($C601=0,0,$C601-$D601)</f>
        <v/>
      </c>
      <c r="G601" s="124">
        <f>IF($E601=0,0,$E601*($F601-1))</f>
        <v/>
      </c>
      <c r="H601" s="124">
        <f>IF($B601="","",CONCATENATE("Örnek kıymet: ",$B601))</f>
        <v/>
      </c>
    </row>
    <row r="602" ht="15" customHeight="1" s="81">
      <c r="E602" s="124">
        <f>IF($C602=0,0,$C602-$D602)</f>
        <v/>
      </c>
      <c r="G602" s="124">
        <f>IF($E602=0,0,$E602*($F602-1))</f>
        <v/>
      </c>
      <c r="H602" s="124">
        <f>IF($B602="","",CONCATENATE("Örnek kıymet: ",$B602))</f>
        <v/>
      </c>
    </row>
    <row r="603" ht="15" customHeight="1" s="81">
      <c r="E603" s="124">
        <f>IF($C603=0,0,$C603-$D603)</f>
        <v/>
      </c>
      <c r="G603" s="124">
        <f>IF($E603=0,0,$E603*($F603-1))</f>
        <v/>
      </c>
      <c r="H603" s="124">
        <f>IF($B603="","",CONCATENATE("Örnek kıymet: ",$B603))</f>
        <v/>
      </c>
    </row>
    <row r="604" ht="15" customHeight="1" s="81">
      <c r="E604" s="124">
        <f>IF($C604=0,0,$C604-$D604)</f>
        <v/>
      </c>
      <c r="G604" s="124">
        <f>IF($E604=0,0,$E604*($F604-1))</f>
        <v/>
      </c>
      <c r="H604" s="124">
        <f>IF($B604="","",CONCATENATE("Örnek kıymet: ",$B604))</f>
        <v/>
      </c>
    </row>
    <row r="605" ht="15" customHeight="1" s="81">
      <c r="E605" s="124">
        <f>IF($C605=0,0,$C605-$D605)</f>
        <v/>
      </c>
      <c r="G605" s="124">
        <f>IF($E605=0,0,$E605*($F605-1))</f>
        <v/>
      </c>
      <c r="H605" s="124">
        <f>IF($B605="","",CONCATENATE("Örnek kıymet: ",$B605))</f>
        <v/>
      </c>
    </row>
    <row r="606" ht="15" customHeight="1" s="81">
      <c r="E606" s="124">
        <f>IF($C606=0,0,$C606-$D606)</f>
        <v/>
      </c>
      <c r="G606" s="124">
        <f>IF($E606=0,0,$E606*($F606-1))</f>
        <v/>
      </c>
      <c r="H606" s="124">
        <f>IF($B606="","",CONCATENATE("Örnek kıymet: ",$B606))</f>
        <v/>
      </c>
    </row>
    <row r="607" ht="15" customHeight="1" s="81">
      <c r="E607" s="124">
        <f>IF($C607=0,0,$C607-$D607)</f>
        <v/>
      </c>
      <c r="G607" s="124">
        <f>IF($E607=0,0,$E607*($F607-1))</f>
        <v/>
      </c>
      <c r="H607" s="124">
        <f>IF($B607="","",CONCATENATE("Örnek kıymet: ",$B607))</f>
        <v/>
      </c>
    </row>
    <row r="608" ht="15" customHeight="1" s="81">
      <c r="E608" s="124">
        <f>IF($C608=0,0,$C608-$D608)</f>
        <v/>
      </c>
      <c r="G608" s="124">
        <f>IF($E608=0,0,$E608*($F608-1))</f>
        <v/>
      </c>
      <c r="H608" s="124">
        <f>IF($B608="","",CONCATENATE("Örnek kıymet: ",$B608))</f>
        <v/>
      </c>
    </row>
    <row r="609" ht="15" customHeight="1" s="81">
      <c r="E609" s="124">
        <f>IF($C609=0,0,$C609-$D609)</f>
        <v/>
      </c>
      <c r="G609" s="124">
        <f>IF($E609=0,0,$E609*($F609-1))</f>
        <v/>
      </c>
      <c r="H609" s="124">
        <f>IF($B609="","",CONCATENATE("Örnek kıymet: ",$B609))</f>
        <v/>
      </c>
    </row>
    <row r="610" ht="15" customHeight="1" s="81">
      <c r="E610" s="124">
        <f>IF($C610=0,0,$C610-$D610)</f>
        <v/>
      </c>
      <c r="G610" s="124">
        <f>IF($E610=0,0,$E610*($F610-1))</f>
        <v/>
      </c>
      <c r="H610" s="124">
        <f>IF($B610="","",CONCATENATE("Örnek kıymet: ",$B610))</f>
        <v/>
      </c>
    </row>
    <row r="611" ht="15" customHeight="1" s="81">
      <c r="E611" s="124">
        <f>IF($C611=0,0,$C611-$D611)</f>
        <v/>
      </c>
      <c r="G611" s="124">
        <f>IF($E611=0,0,$E611*($F611-1))</f>
        <v/>
      </c>
      <c r="H611" s="124">
        <f>IF($B611="","",CONCATENATE("Örnek kıymet: ",$B611))</f>
        <v/>
      </c>
    </row>
    <row r="612" ht="15" customHeight="1" s="81">
      <c r="E612" s="124">
        <f>IF($C612=0,0,$C612-$D612)</f>
        <v/>
      </c>
      <c r="G612" s="124">
        <f>IF($E612=0,0,$E612*($F612-1))</f>
        <v/>
      </c>
      <c r="H612" s="124">
        <f>IF($B612="","",CONCATENATE("Örnek kıymet: ",$B612))</f>
        <v/>
      </c>
    </row>
    <row r="613" ht="15" customHeight="1" s="81">
      <c r="E613" s="124">
        <f>IF($C613=0,0,$C613-$D613)</f>
        <v/>
      </c>
      <c r="G613" s="124">
        <f>IF($E613=0,0,$E613*($F613-1))</f>
        <v/>
      </c>
      <c r="H613" s="124">
        <f>IF($B613="","",CONCATENATE("Örnek kıymet: ",$B613))</f>
        <v/>
      </c>
    </row>
    <row r="614" ht="15" customHeight="1" s="81">
      <c r="E614" s="124">
        <f>IF($C614=0,0,$C614-$D614)</f>
        <v/>
      </c>
      <c r="G614" s="124">
        <f>IF($E614=0,0,$E614*($F614-1))</f>
        <v/>
      </c>
      <c r="H614" s="124">
        <f>IF($B614="","",CONCATENATE("Örnek kıymet: ",$B614))</f>
        <v/>
      </c>
    </row>
    <row r="615" ht="15" customHeight="1" s="81">
      <c r="E615" s="124">
        <f>IF($C615=0,0,$C615-$D615)</f>
        <v/>
      </c>
      <c r="G615" s="124">
        <f>IF($E615=0,0,$E615*($F615-1))</f>
        <v/>
      </c>
      <c r="H615" s="124">
        <f>IF($B615="","",CONCATENATE("Örnek kıymet: ",$B615))</f>
        <v/>
      </c>
    </row>
    <row r="616" ht="15" customHeight="1" s="81">
      <c r="E616" s="124">
        <f>IF($C616=0,0,$C616-$D616)</f>
        <v/>
      </c>
      <c r="G616" s="124">
        <f>IF($E616=0,0,$E616*($F616-1))</f>
        <v/>
      </c>
      <c r="H616" s="124">
        <f>IF($B616="","",CONCATENATE("Örnek kıymet: ",$B616))</f>
        <v/>
      </c>
    </row>
    <row r="617" ht="15" customHeight="1" s="81">
      <c r="E617" s="124">
        <f>IF($C617=0,0,$C617-$D617)</f>
        <v/>
      </c>
      <c r="G617" s="124">
        <f>IF($E617=0,0,$E617*($F617-1))</f>
        <v/>
      </c>
      <c r="H617" s="124">
        <f>IF($B617="","",CONCATENATE("Örnek kıymet: ",$B617))</f>
        <v/>
      </c>
    </row>
    <row r="618" ht="15" customHeight="1" s="81">
      <c r="E618" s="124">
        <f>IF($C618=0,0,$C618-$D618)</f>
        <v/>
      </c>
      <c r="G618" s="124">
        <f>IF($E618=0,0,$E618*($F618-1))</f>
        <v/>
      </c>
      <c r="H618" s="124">
        <f>IF($B618="","",CONCATENATE("Örnek kıymet: ",$B618))</f>
        <v/>
      </c>
    </row>
    <row r="619" ht="15" customHeight="1" s="81">
      <c r="E619" s="124">
        <f>IF($C619=0,0,$C619-$D619)</f>
        <v/>
      </c>
      <c r="G619" s="124">
        <f>IF($E619=0,0,$E619*($F619-1))</f>
        <v/>
      </c>
      <c r="H619" s="124">
        <f>IF($B619="","",CONCATENATE("Örnek kıymet: ",$B619))</f>
        <v/>
      </c>
    </row>
    <row r="620" ht="15" customHeight="1" s="81">
      <c r="E620" s="124">
        <f>IF($C620=0,0,$C620-$D620)</f>
        <v/>
      </c>
      <c r="G620" s="124">
        <f>IF($E620=0,0,$E620*($F620-1))</f>
        <v/>
      </c>
      <c r="H620" s="124">
        <f>IF($B620="","",CONCATENATE("Örnek kıymet: ",$B620))</f>
        <v/>
      </c>
    </row>
    <row r="621" ht="15" customHeight="1" s="81">
      <c r="E621" s="124">
        <f>IF($C621=0,0,$C621-$D621)</f>
        <v/>
      </c>
      <c r="G621" s="124">
        <f>IF($E621=0,0,$E621*($F621-1))</f>
        <v/>
      </c>
      <c r="H621" s="124">
        <f>IF($B621="","",CONCATENATE("Örnek kıymet: ",$B621))</f>
        <v/>
      </c>
    </row>
    <row r="622" ht="15" customHeight="1" s="81">
      <c r="E622" s="124">
        <f>IF($C622=0,0,$C622-$D622)</f>
        <v/>
      </c>
      <c r="G622" s="124">
        <f>IF($E622=0,0,$E622*($F622-1))</f>
        <v/>
      </c>
      <c r="H622" s="124">
        <f>IF($B622="","",CONCATENATE("Örnek kıymet: ",$B622))</f>
        <v/>
      </c>
    </row>
    <row r="623" ht="15" customHeight="1" s="81">
      <c r="E623" s="124">
        <f>IF($C623=0,0,$C623-$D623)</f>
        <v/>
      </c>
      <c r="G623" s="124">
        <f>IF($E623=0,0,$E623*($F623-1))</f>
        <v/>
      </c>
      <c r="H623" s="124">
        <f>IF($B623="","",CONCATENATE("Örnek kıymet: ",$B623))</f>
        <v/>
      </c>
    </row>
    <row r="624" ht="15" customHeight="1" s="81">
      <c r="E624" s="124">
        <f>IF($C624=0,0,$C624-$D624)</f>
        <v/>
      </c>
      <c r="G624" s="124">
        <f>IF($E624=0,0,$E624*($F624-1))</f>
        <v/>
      </c>
      <c r="H624" s="124">
        <f>IF($B624="","",CONCATENATE("Örnek kıymet: ",$B624))</f>
        <v/>
      </c>
    </row>
    <row r="625" ht="15" customHeight="1" s="81">
      <c r="E625" s="124">
        <f>IF($C625=0,0,$C625-$D625)</f>
        <v/>
      </c>
      <c r="G625" s="124">
        <f>IF($E625=0,0,$E625*($F625-1))</f>
        <v/>
      </c>
      <c r="H625" s="124">
        <f>IF($B625="","",CONCATENATE("Örnek kıymet: ",$B625))</f>
        <v/>
      </c>
    </row>
    <row r="626" ht="15" customHeight="1" s="81">
      <c r="E626" s="124">
        <f>IF($C626=0,0,$C626-$D626)</f>
        <v/>
      </c>
      <c r="G626" s="124">
        <f>IF($E626=0,0,$E626*($F626-1))</f>
        <v/>
      </c>
      <c r="H626" s="124">
        <f>IF($B626="","",CONCATENATE("Örnek kıymet: ",$B626))</f>
        <v/>
      </c>
    </row>
    <row r="627" ht="15" customHeight="1" s="81">
      <c r="E627" s="124">
        <f>IF($C627=0,0,$C627-$D627)</f>
        <v/>
      </c>
      <c r="G627" s="124">
        <f>IF($E627=0,0,$E627*($F627-1))</f>
        <v/>
      </c>
      <c r="H627" s="124">
        <f>IF($B627="","",CONCATENATE("Örnek kıymet: ",$B627))</f>
        <v/>
      </c>
    </row>
    <row r="628" ht="15" customHeight="1" s="81">
      <c r="E628" s="124">
        <f>IF($C628=0,0,$C628-$D628)</f>
        <v/>
      </c>
      <c r="G628" s="124">
        <f>IF($E628=0,0,$E628*($F628-1))</f>
        <v/>
      </c>
      <c r="H628" s="124">
        <f>IF($B628="","",CONCATENATE("Örnek kıymet: ",$B628))</f>
        <v/>
      </c>
    </row>
    <row r="629" ht="15" customHeight="1" s="81">
      <c r="E629" s="124">
        <f>IF($C629=0,0,$C629-$D629)</f>
        <v/>
      </c>
      <c r="G629" s="124">
        <f>IF($E629=0,0,$E629*($F629-1))</f>
        <v/>
      </c>
      <c r="H629" s="124">
        <f>IF($B629="","",CONCATENATE("Örnek kıymet: ",$B629))</f>
        <v/>
      </c>
    </row>
    <row r="630" ht="15" customHeight="1" s="81">
      <c r="E630" s="124">
        <f>IF($C630=0,0,$C630-$D630)</f>
        <v/>
      </c>
      <c r="G630" s="124">
        <f>IF($E630=0,0,$E630*($F630-1))</f>
        <v/>
      </c>
      <c r="H630" s="124">
        <f>IF($B630="","",CONCATENATE("Örnek kıymet: ",$B630))</f>
        <v/>
      </c>
    </row>
    <row r="631" ht="15" customHeight="1" s="81">
      <c r="E631" s="124">
        <f>IF($C631=0,0,$C631-$D631)</f>
        <v/>
      </c>
      <c r="G631" s="124">
        <f>IF($E631=0,0,$E631*($F631-1))</f>
        <v/>
      </c>
      <c r="H631" s="124">
        <f>IF($B631="","",CONCATENATE("Örnek kıymet: ",$B631))</f>
        <v/>
      </c>
    </row>
    <row r="632" ht="15" customHeight="1" s="81">
      <c r="E632" s="124">
        <f>IF($C632=0,0,$C632-$D632)</f>
        <v/>
      </c>
      <c r="G632" s="124">
        <f>IF($E632=0,0,$E632*($F632-1))</f>
        <v/>
      </c>
      <c r="H632" s="124">
        <f>IF($B632="","",CONCATENATE("Örnek kıymet: ",$B632))</f>
        <v/>
      </c>
    </row>
    <row r="633" ht="15" customHeight="1" s="81">
      <c r="E633" s="124">
        <f>IF($C633=0,0,$C633-$D633)</f>
        <v/>
      </c>
      <c r="G633" s="124">
        <f>IF($E633=0,0,$E633*($F633-1))</f>
        <v/>
      </c>
      <c r="H633" s="124">
        <f>IF($B633="","",CONCATENATE("Örnek kıymet: ",$B633))</f>
        <v/>
      </c>
    </row>
    <row r="634" ht="15" customHeight="1" s="81">
      <c r="E634" s="124">
        <f>IF($C634=0,0,$C634-$D634)</f>
        <v/>
      </c>
      <c r="G634" s="124">
        <f>IF($E634=0,0,$E634*($F634-1))</f>
        <v/>
      </c>
      <c r="H634" s="124">
        <f>IF($B634="","",CONCATENATE("Örnek kıymet: ",$B634))</f>
        <v/>
      </c>
    </row>
    <row r="635" ht="15" customHeight="1" s="81">
      <c r="E635" s="124">
        <f>IF($C635=0,0,$C635-$D635)</f>
        <v/>
      </c>
      <c r="G635" s="124">
        <f>IF($E635=0,0,$E635*($F635-1))</f>
        <v/>
      </c>
      <c r="H635" s="124">
        <f>IF($B635="","",CONCATENATE("Örnek kıymet: ",$B635))</f>
        <v/>
      </c>
    </row>
    <row r="636" ht="15" customHeight="1" s="81">
      <c r="E636" s="124">
        <f>IF($C636=0,0,$C636-$D636)</f>
        <v/>
      </c>
      <c r="G636" s="124">
        <f>IF($E636=0,0,$E636*($F636-1))</f>
        <v/>
      </c>
      <c r="H636" s="124">
        <f>IF($B636="","",CONCATENATE("Örnek kıymet: ",$B636))</f>
        <v/>
      </c>
    </row>
    <row r="637" ht="15" customHeight="1" s="81">
      <c r="E637" s="124">
        <f>IF($C637=0,0,$C637-$D637)</f>
        <v/>
      </c>
      <c r="G637" s="124">
        <f>IF($E637=0,0,$E637*($F637-1))</f>
        <v/>
      </c>
      <c r="H637" s="124">
        <f>IF($B637="","",CONCATENATE("Örnek kıymet: ",$B637))</f>
        <v/>
      </c>
    </row>
    <row r="638" ht="15" customHeight="1" s="81">
      <c r="E638" s="124">
        <f>IF($C638=0,0,$C638-$D638)</f>
        <v/>
      </c>
      <c r="G638" s="124">
        <f>IF($E638=0,0,$E638*($F638-1))</f>
        <v/>
      </c>
      <c r="H638" s="124">
        <f>IF($B638="","",CONCATENATE("Örnek kıymet: ",$B638))</f>
        <v/>
      </c>
    </row>
    <row r="639" ht="15" customHeight="1" s="81">
      <c r="E639" s="124">
        <f>IF($C639=0,0,$C639-$D639)</f>
        <v/>
      </c>
      <c r="G639" s="124">
        <f>IF($E639=0,0,$E639*($F639-1))</f>
        <v/>
      </c>
      <c r="H639" s="124">
        <f>IF($B639="","",CONCATENATE("Örnek kıymet: ",$B639))</f>
        <v/>
      </c>
    </row>
    <row r="640" ht="15" customHeight="1" s="81">
      <c r="E640" s="124">
        <f>IF($C640=0,0,$C640-$D640)</f>
        <v/>
      </c>
      <c r="G640" s="124">
        <f>IF($E640=0,0,$E640*($F640-1))</f>
        <v/>
      </c>
      <c r="H640" s="124">
        <f>IF($B640="","",CONCATENATE("Örnek kıymet: ",$B640))</f>
        <v/>
      </c>
    </row>
    <row r="641" ht="15" customHeight="1" s="81">
      <c r="E641" s="124">
        <f>IF($C641=0,0,$C641-$D641)</f>
        <v/>
      </c>
      <c r="G641" s="124">
        <f>IF($E641=0,0,$E641*($F641-1))</f>
        <v/>
      </c>
      <c r="H641" s="124">
        <f>IF($B641="","",CONCATENATE("Örnek kıymet: ",$B641))</f>
        <v/>
      </c>
    </row>
    <row r="642" ht="15" customHeight="1" s="81">
      <c r="E642" s="124">
        <f>IF($C642=0,0,$C642-$D642)</f>
        <v/>
      </c>
      <c r="G642" s="124">
        <f>IF($E642=0,0,$E642*($F642-1))</f>
        <v/>
      </c>
      <c r="H642" s="124">
        <f>IF($B642="","",CONCATENATE("Örnek kıymet: ",$B642))</f>
        <v/>
      </c>
    </row>
    <row r="643" ht="15" customHeight="1" s="81">
      <c r="E643" s="124">
        <f>IF($C643=0,0,$C643-$D643)</f>
        <v/>
      </c>
      <c r="G643" s="124">
        <f>IF($E643=0,0,$E643*($F643-1))</f>
        <v/>
      </c>
      <c r="H643" s="124">
        <f>IF($B643="","",CONCATENATE("Örnek kıymet: ",$B643))</f>
        <v/>
      </c>
    </row>
    <row r="644" ht="15" customHeight="1" s="81">
      <c r="E644" s="124">
        <f>IF($C644=0,0,$C644-$D644)</f>
        <v/>
      </c>
      <c r="G644" s="124">
        <f>IF($E644=0,0,$E644*($F644-1))</f>
        <v/>
      </c>
      <c r="H644" s="124">
        <f>IF($B644="","",CONCATENATE("Örnek kıymet: ",$B644))</f>
        <v/>
      </c>
    </row>
    <row r="645" ht="15" customHeight="1" s="81">
      <c r="E645" s="124">
        <f>IF($C645=0,0,$C645-$D645)</f>
        <v/>
      </c>
      <c r="G645" s="124">
        <f>IF($E645=0,0,$E645*($F645-1))</f>
        <v/>
      </c>
      <c r="H645" s="124">
        <f>IF($B645="","",CONCATENATE("Örnek kıymet: ",$B645))</f>
        <v/>
      </c>
    </row>
    <row r="646" ht="15" customHeight="1" s="81">
      <c r="E646" s="124">
        <f>IF($C646=0,0,$C646-$D646)</f>
        <v/>
      </c>
      <c r="G646" s="124">
        <f>IF($E646=0,0,$E646*($F646-1))</f>
        <v/>
      </c>
      <c r="H646" s="124">
        <f>IF($B646="","",CONCATENATE("Örnek kıymet: ",$B646))</f>
        <v/>
      </c>
    </row>
    <row r="647" ht="15" customHeight="1" s="81">
      <c r="E647" s="124">
        <f>IF($C647=0,0,$C647-$D647)</f>
        <v/>
      </c>
      <c r="G647" s="124">
        <f>IF($E647=0,0,$E647*($F647-1))</f>
        <v/>
      </c>
      <c r="H647" s="124">
        <f>IF($B647="","",CONCATENATE("Örnek kıymet: ",$B647))</f>
        <v/>
      </c>
    </row>
    <row r="648" ht="15" customHeight="1" s="81">
      <c r="E648" s="124">
        <f>IF($C648=0,0,$C648-$D648)</f>
        <v/>
      </c>
      <c r="G648" s="124">
        <f>IF($E648=0,0,$E648*($F648-1))</f>
        <v/>
      </c>
      <c r="H648" s="124">
        <f>IF($B648="","",CONCATENATE("Örnek kıymet: ",$B648))</f>
        <v/>
      </c>
    </row>
    <row r="649" ht="15" customHeight="1" s="81">
      <c r="E649" s="124">
        <f>IF($C649=0,0,$C649-$D649)</f>
        <v/>
      </c>
      <c r="G649" s="124">
        <f>IF($E649=0,0,$E649*($F649-1))</f>
        <v/>
      </c>
      <c r="H649" s="124">
        <f>IF($B649="","",CONCATENATE("Örnek kıymet: ",$B649))</f>
        <v/>
      </c>
    </row>
    <row r="650" ht="15" customHeight="1" s="81">
      <c r="E650" s="124">
        <f>IF($C650=0,0,$C650-$D650)</f>
        <v/>
      </c>
      <c r="G650" s="124">
        <f>IF($E650=0,0,$E650*($F650-1))</f>
        <v/>
      </c>
      <c r="H650" s="124">
        <f>IF($B650="","",CONCATENATE("Örnek kıymet: ",$B650))</f>
        <v/>
      </c>
    </row>
    <row r="651" ht="15" customHeight="1" s="81">
      <c r="E651" s="124">
        <f>IF($C651=0,0,$C651-$D651)</f>
        <v/>
      </c>
      <c r="G651" s="124">
        <f>IF($E651=0,0,$E651*($F651-1))</f>
        <v/>
      </c>
      <c r="H651" s="124">
        <f>IF($B651="","",CONCATENATE("Örnek kıymet: ",$B651))</f>
        <v/>
      </c>
    </row>
    <row r="652" ht="15" customHeight="1" s="81">
      <c r="E652" s="124">
        <f>IF($C652=0,0,$C652-$D652)</f>
        <v/>
      </c>
      <c r="G652" s="124">
        <f>IF($E652=0,0,$E652*($F652-1))</f>
        <v/>
      </c>
      <c r="H652" s="124">
        <f>IF($B652="","",CONCATENATE("Örnek kıymet: ",$B652))</f>
        <v/>
      </c>
    </row>
    <row r="653" ht="15" customHeight="1" s="81">
      <c r="E653" s="124">
        <f>IF($C653=0,0,$C653-$D653)</f>
        <v/>
      </c>
      <c r="G653" s="124">
        <f>IF($E653=0,0,$E653*($F653-1))</f>
        <v/>
      </c>
      <c r="H653" s="124">
        <f>IF($B653="","",CONCATENATE("Örnek kıymet: ",$B653))</f>
        <v/>
      </c>
    </row>
    <row r="654" ht="15" customHeight="1" s="81">
      <c r="E654" s="124">
        <f>IF($C654=0,0,$C654-$D654)</f>
        <v/>
      </c>
      <c r="G654" s="124">
        <f>IF($E654=0,0,$E654*($F654-1))</f>
        <v/>
      </c>
      <c r="H654" s="124">
        <f>IF($B654="","",CONCATENATE("Örnek kıymet: ",$B654))</f>
        <v/>
      </c>
    </row>
    <row r="655" ht="15" customHeight="1" s="81">
      <c r="E655" s="124">
        <f>IF($C655=0,0,$C655-$D655)</f>
        <v/>
      </c>
      <c r="G655" s="124">
        <f>IF($E655=0,0,$E655*($F655-1))</f>
        <v/>
      </c>
      <c r="H655" s="124">
        <f>IF($B655="","",CONCATENATE("Örnek kıymet: ",$B655))</f>
        <v/>
      </c>
    </row>
    <row r="656" ht="15" customHeight="1" s="81">
      <c r="E656" s="124">
        <f>IF($C656=0,0,$C656-$D656)</f>
        <v/>
      </c>
      <c r="G656" s="124">
        <f>IF($E656=0,0,$E656*($F656-1))</f>
        <v/>
      </c>
      <c r="H656" s="124">
        <f>IF($B656="","",CONCATENATE("Örnek kıymet: ",$B656))</f>
        <v/>
      </c>
    </row>
    <row r="657" ht="15" customHeight="1" s="81">
      <c r="E657" s="124">
        <f>IF($C657=0,0,$C657-$D657)</f>
        <v/>
      </c>
      <c r="G657" s="124">
        <f>IF($E657=0,0,$E657*($F657-1))</f>
        <v/>
      </c>
      <c r="H657" s="124">
        <f>IF($B657="","",CONCATENATE("Örnek kıymet: ",$B657))</f>
        <v/>
      </c>
    </row>
    <row r="658" ht="15" customHeight="1" s="81">
      <c r="E658" s="124">
        <f>IF($C658=0,0,$C658-$D658)</f>
        <v/>
      </c>
      <c r="G658" s="124">
        <f>IF($E658=0,0,$E658*($F658-1))</f>
        <v/>
      </c>
      <c r="H658" s="124">
        <f>IF($B658="","",CONCATENATE("Örnek kıymet: ",$B658))</f>
        <v/>
      </c>
    </row>
    <row r="659" ht="15" customHeight="1" s="81">
      <c r="E659" s="124">
        <f>IF($C659=0,0,$C659-$D659)</f>
        <v/>
      </c>
      <c r="G659" s="124">
        <f>IF($E659=0,0,$E659*($F659-1))</f>
        <v/>
      </c>
      <c r="H659" s="124">
        <f>IF($B659="","",CONCATENATE("Örnek kıymet: ",$B659))</f>
        <v/>
      </c>
    </row>
    <row r="660" ht="15" customHeight="1" s="81">
      <c r="E660" s="124">
        <f>IF($C660=0,0,$C660-$D660)</f>
        <v/>
      </c>
      <c r="G660" s="124">
        <f>IF($E660=0,0,$E660*($F660-1))</f>
        <v/>
      </c>
      <c r="H660" s="124">
        <f>IF($B660="","",CONCATENATE("Örnek kıymet: ",$B660))</f>
        <v/>
      </c>
    </row>
    <row r="661" ht="15" customHeight="1" s="81">
      <c r="E661" s="124">
        <f>IF($C661=0,0,$C661-$D661)</f>
        <v/>
      </c>
      <c r="G661" s="124">
        <f>IF($E661=0,0,$E661*($F661-1))</f>
        <v/>
      </c>
      <c r="H661" s="124">
        <f>IF($B661="","",CONCATENATE("Örnek kıymet: ",$B661))</f>
        <v/>
      </c>
    </row>
    <row r="662" ht="15" customHeight="1" s="81">
      <c r="E662" s="124">
        <f>IF($C662=0,0,$C662-$D662)</f>
        <v/>
      </c>
      <c r="G662" s="124">
        <f>IF($E662=0,0,$E662*($F662-1))</f>
        <v/>
      </c>
      <c r="H662" s="124">
        <f>IF($B662="","",CONCATENATE("Örnek kıymet: ",$B662))</f>
        <v/>
      </c>
    </row>
    <row r="663" ht="15" customHeight="1" s="81">
      <c r="E663" s="124">
        <f>IF($C663=0,0,$C663-$D663)</f>
        <v/>
      </c>
      <c r="G663" s="124">
        <f>IF($E663=0,0,$E663*($F663-1))</f>
        <v/>
      </c>
      <c r="H663" s="124">
        <f>IF($B663="","",CONCATENATE("Örnek kıymet: ",$B663))</f>
        <v/>
      </c>
    </row>
    <row r="664" ht="15" customHeight="1" s="81">
      <c r="E664" s="124">
        <f>IF($C664=0,0,$C664-$D664)</f>
        <v/>
      </c>
      <c r="G664" s="124">
        <f>IF($E664=0,0,$E664*($F664-1))</f>
        <v/>
      </c>
      <c r="H664" s="124">
        <f>IF($B664="","",CONCATENATE("Örnek kıymet: ",$B664))</f>
        <v/>
      </c>
    </row>
    <row r="665" ht="15" customHeight="1" s="81">
      <c r="E665" s="124">
        <f>IF($C665=0,0,$C665-$D665)</f>
        <v/>
      </c>
      <c r="G665" s="124">
        <f>IF($E665=0,0,$E665*($F665-1))</f>
        <v/>
      </c>
      <c r="H665" s="124">
        <f>IF($B665="","",CONCATENATE("Örnek kıymet: ",$B665))</f>
        <v/>
      </c>
    </row>
    <row r="666" ht="15" customHeight="1" s="81">
      <c r="E666" s="124">
        <f>IF($C666=0,0,$C666-$D666)</f>
        <v/>
      </c>
      <c r="G666" s="124">
        <f>IF($E666=0,0,$E666*($F666-1))</f>
        <v/>
      </c>
      <c r="H666" s="124">
        <f>IF($B666="","",CONCATENATE("Örnek kıymet: ",$B666))</f>
        <v/>
      </c>
    </row>
    <row r="667" ht="15" customHeight="1" s="81">
      <c r="E667" s="124">
        <f>IF($C667=0,0,$C667-$D667)</f>
        <v/>
      </c>
      <c r="G667" s="124">
        <f>IF($E667=0,0,$E667*($F667-1))</f>
        <v/>
      </c>
      <c r="H667" s="124">
        <f>IF($B667="","",CONCATENATE("Örnek kıymet: ",$B667))</f>
        <v/>
      </c>
    </row>
    <row r="668" ht="15" customHeight="1" s="81">
      <c r="E668" s="124">
        <f>IF($C668=0,0,$C668-$D668)</f>
        <v/>
      </c>
      <c r="G668" s="124">
        <f>IF($E668=0,0,$E668*($F668-1))</f>
        <v/>
      </c>
      <c r="H668" s="124">
        <f>IF($B668="","",CONCATENATE("Örnek kıymet: ",$B668))</f>
        <v/>
      </c>
    </row>
    <row r="669" ht="15" customHeight="1" s="81">
      <c r="E669" s="124">
        <f>IF($C669=0,0,$C669-$D669)</f>
        <v/>
      </c>
      <c r="G669" s="124">
        <f>IF($E669=0,0,$E669*($F669-1))</f>
        <v/>
      </c>
      <c r="H669" s="124">
        <f>IF($B669="","",CONCATENATE("Örnek kıymet: ",$B669))</f>
        <v/>
      </c>
    </row>
    <row r="670" ht="15" customHeight="1" s="81">
      <c r="E670" s="124">
        <f>IF($C670=0,0,$C670-$D670)</f>
        <v/>
      </c>
      <c r="G670" s="124">
        <f>IF($E670=0,0,$E670*($F670-1))</f>
        <v/>
      </c>
      <c r="H670" s="124">
        <f>IF($B670="","",CONCATENATE("Örnek kıymet: ",$B670))</f>
        <v/>
      </c>
    </row>
    <row r="671" ht="15" customHeight="1" s="81">
      <c r="E671" s="124">
        <f>IF($C671=0,0,$C671-$D671)</f>
        <v/>
      </c>
      <c r="G671" s="124">
        <f>IF($E671=0,0,$E671*($F671-1))</f>
        <v/>
      </c>
      <c r="H671" s="124">
        <f>IF($B671="","",CONCATENATE("Örnek kıymet: ",$B671))</f>
        <v/>
      </c>
    </row>
    <row r="672" ht="15" customHeight="1" s="81">
      <c r="E672" s="124">
        <f>IF($C672=0,0,$C672-$D672)</f>
        <v/>
      </c>
      <c r="G672" s="124">
        <f>IF($E672=0,0,$E672*($F672-1))</f>
        <v/>
      </c>
      <c r="H672" s="124">
        <f>IF($B672="","",CONCATENATE("Örnek kıymet: ",$B672))</f>
        <v/>
      </c>
    </row>
    <row r="673" ht="15" customHeight="1" s="81">
      <c r="E673" s="124">
        <f>IF($C673=0,0,$C673-$D673)</f>
        <v/>
      </c>
      <c r="G673" s="124">
        <f>IF($E673=0,0,$E673*($F673-1))</f>
        <v/>
      </c>
      <c r="H673" s="124">
        <f>IF($B673="","",CONCATENATE("Örnek kıymet: ",$B673))</f>
        <v/>
      </c>
    </row>
    <row r="674" ht="15" customHeight="1" s="81">
      <c r="E674" s="124">
        <f>IF($C674=0,0,$C674-$D674)</f>
        <v/>
      </c>
      <c r="G674" s="124">
        <f>IF($E674=0,0,$E674*($F674-1))</f>
        <v/>
      </c>
      <c r="H674" s="124">
        <f>IF($B674="","",CONCATENATE("Örnek kıymet: ",$B674))</f>
        <v/>
      </c>
    </row>
    <row r="675" ht="15" customHeight="1" s="81">
      <c r="E675" s="124">
        <f>IF($C675=0,0,$C675-$D675)</f>
        <v/>
      </c>
      <c r="G675" s="124">
        <f>IF($E675=0,0,$E675*($F675-1))</f>
        <v/>
      </c>
      <c r="H675" s="124">
        <f>IF($B675="","",CONCATENATE("Örnek kıymet: ",$B675))</f>
        <v/>
      </c>
    </row>
    <row r="676" ht="15" customHeight="1" s="81">
      <c r="E676" s="124">
        <f>IF($C676=0,0,$C676-$D676)</f>
        <v/>
      </c>
      <c r="G676" s="124">
        <f>IF($E676=0,0,$E676*($F676-1))</f>
        <v/>
      </c>
      <c r="H676" s="124">
        <f>IF($B676="","",CONCATENATE("Örnek kıymet: ",$B676))</f>
        <v/>
      </c>
    </row>
    <row r="677" ht="15" customHeight="1" s="81">
      <c r="E677" s="124">
        <f>IF($C677=0,0,$C677-$D677)</f>
        <v/>
      </c>
      <c r="G677" s="124">
        <f>IF($E677=0,0,$E677*($F677-1))</f>
        <v/>
      </c>
      <c r="H677" s="124">
        <f>IF($B677="","",CONCATENATE("Örnek kıymet: ",$B677))</f>
        <v/>
      </c>
    </row>
    <row r="678" ht="15" customHeight="1" s="81">
      <c r="E678" s="124">
        <f>IF($C678=0,0,$C678-$D678)</f>
        <v/>
      </c>
      <c r="G678" s="124">
        <f>IF($E678=0,0,$E678*($F678-1))</f>
        <v/>
      </c>
      <c r="H678" s="124">
        <f>IF($B678="","",CONCATENATE("Örnek kıymet: ",$B678))</f>
        <v/>
      </c>
    </row>
    <row r="679" ht="15" customHeight="1" s="81">
      <c r="E679" s="124">
        <f>IF($C679=0,0,$C679-$D679)</f>
        <v/>
      </c>
      <c r="G679" s="124">
        <f>IF($E679=0,0,$E679*($F679-1))</f>
        <v/>
      </c>
      <c r="H679" s="124">
        <f>IF($B679="","",CONCATENATE("Örnek kıymet: ",$B679))</f>
        <v/>
      </c>
    </row>
    <row r="680" ht="15" customHeight="1" s="81">
      <c r="E680" s="124">
        <f>IF($C680=0,0,$C680-$D680)</f>
        <v/>
      </c>
      <c r="G680" s="124">
        <f>IF($E680=0,0,$E680*($F680-1))</f>
        <v/>
      </c>
      <c r="H680" s="124">
        <f>IF($B680="","",CONCATENATE("Örnek kıymet: ",$B680))</f>
        <v/>
      </c>
    </row>
    <row r="681" ht="15" customHeight="1" s="81">
      <c r="E681" s="124">
        <f>IF($C681=0,0,$C681-$D681)</f>
        <v/>
      </c>
      <c r="G681" s="124">
        <f>IF($E681=0,0,$E681*($F681-1))</f>
        <v/>
      </c>
      <c r="H681" s="124">
        <f>IF($B681="","",CONCATENATE("Örnek kıymet: ",$B681))</f>
        <v/>
      </c>
    </row>
    <row r="682" ht="15" customHeight="1" s="81">
      <c r="E682" s="124">
        <f>IF($C682=0,0,$C682-$D682)</f>
        <v/>
      </c>
      <c r="G682" s="124">
        <f>IF($E682=0,0,$E682*($F682-1))</f>
        <v/>
      </c>
      <c r="H682" s="124">
        <f>IF($B682="","",CONCATENATE("Örnek kıymet: ",$B682))</f>
        <v/>
      </c>
    </row>
    <row r="683" ht="15" customHeight="1" s="81">
      <c r="E683" s="124">
        <f>IF($C683=0,0,$C683-$D683)</f>
        <v/>
      </c>
      <c r="G683" s="124">
        <f>IF($E683=0,0,$E683*($F683-1))</f>
        <v/>
      </c>
      <c r="H683" s="124">
        <f>IF($B683="","",CONCATENATE("Örnek kıymet: ",$B683))</f>
        <v/>
      </c>
    </row>
    <row r="684" ht="15" customHeight="1" s="81">
      <c r="E684" s="124">
        <f>IF($C684=0,0,$C684-$D684)</f>
        <v/>
      </c>
      <c r="G684" s="124">
        <f>IF($E684=0,0,$E684*($F684-1))</f>
        <v/>
      </c>
      <c r="H684" s="124">
        <f>IF($B684="","",CONCATENATE("Örnek kıymet: ",$B684))</f>
        <v/>
      </c>
    </row>
    <row r="685" ht="15" customHeight="1" s="81">
      <c r="E685" s="124">
        <f>IF($C685=0,0,$C685-$D685)</f>
        <v/>
      </c>
      <c r="G685" s="124">
        <f>IF($E685=0,0,$E685*($F685-1))</f>
        <v/>
      </c>
      <c r="H685" s="124">
        <f>IF($B685="","",CONCATENATE("Örnek kıymet: ",$B685))</f>
        <v/>
      </c>
    </row>
    <row r="686" ht="15" customHeight="1" s="81">
      <c r="E686" s="124">
        <f>IF($C686=0,0,$C686-$D686)</f>
        <v/>
      </c>
      <c r="G686" s="124">
        <f>IF($E686=0,0,$E686*($F686-1))</f>
        <v/>
      </c>
      <c r="H686" s="124">
        <f>IF($B686="","",CONCATENATE("Örnek kıymet: ",$B686))</f>
        <v/>
      </c>
    </row>
    <row r="687" ht="15" customHeight="1" s="81">
      <c r="E687" s="124">
        <f>IF($C687=0,0,$C687-$D687)</f>
        <v/>
      </c>
      <c r="G687" s="124">
        <f>IF($E687=0,0,$E687*($F687-1))</f>
        <v/>
      </c>
      <c r="H687" s="124">
        <f>IF($B687="","",CONCATENATE("Örnek kıymet: ",$B687))</f>
        <v/>
      </c>
    </row>
    <row r="688" ht="15" customHeight="1" s="81">
      <c r="E688" s="124">
        <f>IF($C688=0,0,$C688-$D688)</f>
        <v/>
      </c>
      <c r="G688" s="124">
        <f>IF($E688=0,0,$E688*($F688-1))</f>
        <v/>
      </c>
      <c r="H688" s="124">
        <f>IF($B688="","",CONCATENATE("Örnek kıymet: ",$B688))</f>
        <v/>
      </c>
    </row>
    <row r="689" ht="15" customHeight="1" s="81">
      <c r="E689" s="124">
        <f>IF($C689=0,0,$C689-$D689)</f>
        <v/>
      </c>
      <c r="G689" s="124">
        <f>IF($E689=0,0,$E689*($F689-1))</f>
        <v/>
      </c>
      <c r="H689" s="124">
        <f>IF($B689="","",CONCATENATE("Örnek kıymet: ",$B689))</f>
        <v/>
      </c>
    </row>
    <row r="690" ht="15" customHeight="1" s="81">
      <c r="E690" s="124">
        <f>IF($C690=0,0,$C690-$D690)</f>
        <v/>
      </c>
      <c r="G690" s="124">
        <f>IF($E690=0,0,$E690*($F690-1))</f>
        <v/>
      </c>
      <c r="H690" s="124">
        <f>IF($B690="","",CONCATENATE("Örnek kıymet: ",$B690))</f>
        <v/>
      </c>
    </row>
    <row r="691" ht="15" customHeight="1" s="81">
      <c r="E691" s="124">
        <f>IF($C691=0,0,$C691-$D691)</f>
        <v/>
      </c>
      <c r="G691" s="124">
        <f>IF($E691=0,0,$E691*($F691-1))</f>
        <v/>
      </c>
      <c r="H691" s="124">
        <f>IF($B691="","",CONCATENATE("Örnek kıymet: ",$B691))</f>
        <v/>
      </c>
    </row>
    <row r="692" ht="15" customHeight="1" s="81">
      <c r="E692" s="124">
        <f>IF($C692=0,0,$C692-$D692)</f>
        <v/>
      </c>
      <c r="G692" s="124">
        <f>IF($E692=0,0,$E692*($F692-1))</f>
        <v/>
      </c>
      <c r="H692" s="124">
        <f>IF($B692="","",CONCATENATE("Örnek kıymet: ",$B692))</f>
        <v/>
      </c>
    </row>
    <row r="693" ht="15" customHeight="1" s="81">
      <c r="E693" s="124">
        <f>IF($C693=0,0,$C693-$D693)</f>
        <v/>
      </c>
      <c r="G693" s="124">
        <f>IF($E693=0,0,$E693*($F693-1))</f>
        <v/>
      </c>
      <c r="H693" s="124">
        <f>IF($B693="","",CONCATENATE("Örnek kıymet: ",$B693))</f>
        <v/>
      </c>
    </row>
    <row r="694" ht="15" customHeight="1" s="81">
      <c r="E694" s="124">
        <f>IF($C694=0,0,$C694-$D694)</f>
        <v/>
      </c>
      <c r="G694" s="124">
        <f>IF($E694=0,0,$E694*($F694-1))</f>
        <v/>
      </c>
      <c r="H694" s="124">
        <f>IF($B694="","",CONCATENATE("Örnek kıymet: ",$B694))</f>
        <v/>
      </c>
    </row>
    <row r="695" ht="15" customHeight="1" s="81">
      <c r="E695" s="124">
        <f>IF($C695=0,0,$C695-$D695)</f>
        <v/>
      </c>
      <c r="G695" s="124">
        <f>IF($E695=0,0,$E695*($F695-1))</f>
        <v/>
      </c>
      <c r="H695" s="124">
        <f>IF($B695="","",CONCATENATE("Örnek kıymet: ",$B695))</f>
        <v/>
      </c>
    </row>
    <row r="696" ht="15" customHeight="1" s="81">
      <c r="E696" s="124">
        <f>IF($C696=0,0,$C696-$D696)</f>
        <v/>
      </c>
      <c r="G696" s="124">
        <f>IF($E696=0,0,$E696*($F696-1))</f>
        <v/>
      </c>
      <c r="H696" s="124">
        <f>IF($B696="","",CONCATENATE("Örnek kıymet: ",$B696))</f>
        <v/>
      </c>
    </row>
    <row r="697" ht="15" customHeight="1" s="81">
      <c r="E697" s="124">
        <f>IF($C697=0,0,$C697-$D697)</f>
        <v/>
      </c>
      <c r="G697" s="124">
        <f>IF($E697=0,0,$E697*($F697-1))</f>
        <v/>
      </c>
      <c r="H697" s="124">
        <f>IF($B697="","",CONCATENATE("Örnek kıymet: ",$B697))</f>
        <v/>
      </c>
    </row>
    <row r="698" ht="15" customHeight="1" s="81">
      <c r="E698" s="124">
        <f>IF($C698=0,0,$C698-$D698)</f>
        <v/>
      </c>
      <c r="G698" s="124">
        <f>IF($E698=0,0,$E698*($F698-1))</f>
        <v/>
      </c>
      <c r="H698" s="124">
        <f>IF($B698="","",CONCATENATE("Örnek kıymet: ",$B698))</f>
        <v/>
      </c>
    </row>
    <row r="699" ht="15" customHeight="1" s="81">
      <c r="E699" s="124">
        <f>IF($C699=0,0,$C699-$D699)</f>
        <v/>
      </c>
      <c r="G699" s="124">
        <f>IF($E699=0,0,$E699*($F699-1))</f>
        <v/>
      </c>
      <c r="H699" s="124">
        <f>IF($B699="","",CONCATENATE("Örnek kıymet: ",$B699))</f>
        <v/>
      </c>
    </row>
    <row r="700" ht="15" customHeight="1" s="81">
      <c r="E700" s="124">
        <f>IF($C700=0,0,$C700-$D700)</f>
        <v/>
      </c>
      <c r="G700" s="124">
        <f>IF($E700=0,0,$E700*($F700-1))</f>
        <v/>
      </c>
      <c r="H700" s="124">
        <f>IF($B700="","",CONCATENATE("Örnek kıymet: ",$B700))</f>
        <v/>
      </c>
    </row>
    <row r="701" ht="15" customHeight="1" s="81">
      <c r="E701" s="124">
        <f>IF($C701=0,0,$C701-$D701)</f>
        <v/>
      </c>
      <c r="G701" s="124">
        <f>IF($E701=0,0,$E701*($F701-1))</f>
        <v/>
      </c>
      <c r="H701" s="124">
        <f>IF($B701="","",CONCATENATE("Örnek kıymet: ",$B701))</f>
        <v/>
      </c>
    </row>
    <row r="702" ht="15" customHeight="1" s="81">
      <c r="E702" s="124">
        <f>IF($C702=0,0,$C702-$D702)</f>
        <v/>
      </c>
      <c r="G702" s="124">
        <f>IF($E702=0,0,$E702*($F702-1))</f>
        <v/>
      </c>
      <c r="H702" s="124">
        <f>IF($B702="","",CONCATENATE("Örnek kıymet: ",$B702))</f>
        <v/>
      </c>
    </row>
    <row r="703" ht="15" customHeight="1" s="81">
      <c r="E703" s="124">
        <f>IF($C703=0,0,$C703-$D703)</f>
        <v/>
      </c>
      <c r="G703" s="124">
        <f>IF($E703=0,0,$E703*($F703-1))</f>
        <v/>
      </c>
      <c r="H703" s="124">
        <f>IF($B703="","",CONCATENATE("Örnek kıymet: ",$B703))</f>
        <v/>
      </c>
    </row>
    <row r="704" ht="15" customHeight="1" s="81">
      <c r="E704" s="124">
        <f>IF($C704=0,0,$C704-$D704)</f>
        <v/>
      </c>
      <c r="G704" s="124">
        <f>IF($E704=0,0,$E704*($F704-1))</f>
        <v/>
      </c>
      <c r="H704" s="124">
        <f>IF($B704="","",CONCATENATE("Örnek kıymet: ",$B704))</f>
        <v/>
      </c>
    </row>
    <row r="705" ht="15" customHeight="1" s="81">
      <c r="E705" s="124">
        <f>IF($C705=0,0,$C705-$D705)</f>
        <v/>
      </c>
      <c r="G705" s="124">
        <f>IF($E705=0,0,$E705*($F705-1))</f>
        <v/>
      </c>
      <c r="H705" s="124">
        <f>IF($B705="","",CONCATENATE("Örnek kıymet: ",$B705))</f>
        <v/>
      </c>
    </row>
    <row r="706" ht="15" customHeight="1" s="81">
      <c r="E706" s="124">
        <f>IF($C706=0,0,$C706-$D706)</f>
        <v/>
      </c>
      <c r="G706" s="124">
        <f>IF($E706=0,0,$E706*($F706-1))</f>
        <v/>
      </c>
      <c r="H706" s="124">
        <f>IF($B706="","",CONCATENATE("Örnek kıymet: ",$B706))</f>
        <v/>
      </c>
    </row>
    <row r="707" ht="15" customHeight="1" s="81">
      <c r="E707" s="124">
        <f>IF($C707=0,0,$C707-$D707)</f>
        <v/>
      </c>
      <c r="G707" s="124">
        <f>IF($E707=0,0,$E707*($F707-1))</f>
        <v/>
      </c>
      <c r="H707" s="124">
        <f>IF($B707="","",CONCATENATE("Örnek kıymet: ",$B707))</f>
        <v/>
      </c>
    </row>
    <row r="708" ht="15" customHeight="1" s="81">
      <c r="E708" s="124">
        <f>IF($C708=0,0,$C708-$D708)</f>
        <v/>
      </c>
      <c r="G708" s="124">
        <f>IF($E708=0,0,$E708*($F708-1))</f>
        <v/>
      </c>
      <c r="H708" s="124">
        <f>IF($B708="","",CONCATENATE("Örnek kıymet: ",$B708))</f>
        <v/>
      </c>
    </row>
    <row r="709" ht="15" customHeight="1" s="81">
      <c r="E709" s="124">
        <f>IF($C709=0,0,$C709-$D709)</f>
        <v/>
      </c>
      <c r="G709" s="124">
        <f>IF($E709=0,0,$E709*($F709-1))</f>
        <v/>
      </c>
      <c r="H709" s="124">
        <f>IF($B709="","",CONCATENATE("Örnek kıymet: ",$B709))</f>
        <v/>
      </c>
    </row>
    <row r="710" ht="15" customHeight="1" s="81">
      <c r="E710" s="124">
        <f>IF($C710=0,0,$C710-$D710)</f>
        <v/>
      </c>
      <c r="G710" s="124">
        <f>IF($E710=0,0,$E710*($F710-1))</f>
        <v/>
      </c>
      <c r="H710" s="124">
        <f>IF($B710="","",CONCATENATE("Örnek kıymet: ",$B710))</f>
        <v/>
      </c>
    </row>
    <row r="711" ht="15" customHeight="1" s="81">
      <c r="E711" s="124">
        <f>IF($C711=0,0,$C711-$D711)</f>
        <v/>
      </c>
      <c r="G711" s="124">
        <f>IF($E711=0,0,$E711*($F711-1))</f>
        <v/>
      </c>
      <c r="H711" s="124">
        <f>IF($B711="","",CONCATENATE("Örnek kıymet: ",$B711))</f>
        <v/>
      </c>
    </row>
    <row r="712" ht="15" customHeight="1" s="81">
      <c r="E712" s="124">
        <f>IF($C712=0,0,$C712-$D712)</f>
        <v/>
      </c>
      <c r="G712" s="124">
        <f>IF($E712=0,0,$E712*($F712-1))</f>
        <v/>
      </c>
      <c r="H712" s="124">
        <f>IF($B712="","",CONCATENATE("Örnek kıymet: ",$B712))</f>
        <v/>
      </c>
    </row>
    <row r="713" ht="15" customHeight="1" s="81">
      <c r="E713" s="124">
        <f>IF($C713=0,0,$C713-$D713)</f>
        <v/>
      </c>
      <c r="G713" s="124">
        <f>IF($E713=0,0,$E713*($F713-1))</f>
        <v/>
      </c>
      <c r="H713" s="124">
        <f>IF($B713="","",CONCATENATE("Örnek kıymet: ",$B713))</f>
        <v/>
      </c>
    </row>
    <row r="714" ht="15" customHeight="1" s="81">
      <c r="E714" s="124">
        <f>IF($C714=0,0,$C714-$D714)</f>
        <v/>
      </c>
      <c r="G714" s="124">
        <f>IF($E714=0,0,$E714*($F714-1))</f>
        <v/>
      </c>
      <c r="H714" s="124">
        <f>IF($B714="","",CONCATENATE("Örnek kıymet: ",$B714))</f>
        <v/>
      </c>
    </row>
    <row r="715" ht="15" customHeight="1" s="81">
      <c r="E715" s="124">
        <f>IF($C715=0,0,$C715-$D715)</f>
        <v/>
      </c>
      <c r="G715" s="124">
        <f>IF($E715=0,0,$E715*($F715-1))</f>
        <v/>
      </c>
      <c r="H715" s="124">
        <f>IF($B715="","",CONCATENATE("Örnek kıymet: ",$B715))</f>
        <v/>
      </c>
    </row>
    <row r="716" ht="15" customHeight="1" s="81">
      <c r="E716" s="124">
        <f>IF($C716=0,0,$C716-$D716)</f>
        <v/>
      </c>
      <c r="G716" s="124">
        <f>IF($E716=0,0,$E716*($F716-1))</f>
        <v/>
      </c>
      <c r="H716" s="124">
        <f>IF($B716="","",CONCATENATE("Örnek kıymet: ",$B716))</f>
        <v/>
      </c>
    </row>
    <row r="717" ht="15" customHeight="1" s="81">
      <c r="E717" s="124">
        <f>IF($C717=0,0,$C717-$D717)</f>
        <v/>
      </c>
      <c r="G717" s="124">
        <f>IF($E717=0,0,$E717*($F717-1))</f>
        <v/>
      </c>
      <c r="H717" s="124">
        <f>IF($B717="","",CONCATENATE("Örnek kıymet: ",$B717))</f>
        <v/>
      </c>
    </row>
    <row r="718" ht="15" customHeight="1" s="81">
      <c r="E718" s="124">
        <f>IF($C718=0,0,$C718-$D718)</f>
        <v/>
      </c>
      <c r="G718" s="124">
        <f>IF($E718=0,0,$E718*($F718-1))</f>
        <v/>
      </c>
      <c r="H718" s="124">
        <f>IF($B718="","",CONCATENATE("Örnek kıymet: ",$B718))</f>
        <v/>
      </c>
    </row>
    <row r="719" ht="15" customHeight="1" s="81">
      <c r="E719" s="124">
        <f>IF($C719=0,0,$C719-$D719)</f>
        <v/>
      </c>
      <c r="G719" s="124">
        <f>IF($E719=0,0,$E719*($F719-1))</f>
        <v/>
      </c>
      <c r="H719" s="124">
        <f>IF($B719="","",CONCATENATE("Örnek kıymet: ",$B719))</f>
        <v/>
      </c>
    </row>
    <row r="720" ht="15" customHeight="1" s="81">
      <c r="E720" s="124">
        <f>IF($C720=0,0,$C720-$D720)</f>
        <v/>
      </c>
      <c r="G720" s="124">
        <f>IF($E720=0,0,$E720*($F720-1))</f>
        <v/>
      </c>
      <c r="H720" s="124">
        <f>IF($B720="","",CONCATENATE("Örnek kıymet: ",$B720))</f>
        <v/>
      </c>
    </row>
    <row r="721" ht="15" customHeight="1" s="81">
      <c r="E721" s="124">
        <f>IF($C721=0,0,$C721-$D721)</f>
        <v/>
      </c>
      <c r="G721" s="124">
        <f>IF($E721=0,0,$E721*($F721-1))</f>
        <v/>
      </c>
      <c r="H721" s="124">
        <f>IF($B721="","",CONCATENATE("Örnek kıymet: ",$B721))</f>
        <v/>
      </c>
    </row>
    <row r="722" ht="15" customHeight="1" s="81">
      <c r="E722" s="124">
        <f>IF($C722=0,0,$C722-$D722)</f>
        <v/>
      </c>
      <c r="G722" s="124">
        <f>IF($E722=0,0,$E722*($F722-1))</f>
        <v/>
      </c>
      <c r="H722" s="124">
        <f>IF($B722="","",CONCATENATE("Örnek kıymet: ",$B722))</f>
        <v/>
      </c>
    </row>
    <row r="723" ht="15" customHeight="1" s="81">
      <c r="E723" s="124">
        <f>IF($C723=0,0,$C723-$D723)</f>
        <v/>
      </c>
      <c r="G723" s="124">
        <f>IF($E723=0,0,$E723*($F723-1))</f>
        <v/>
      </c>
      <c r="H723" s="124">
        <f>IF($B723="","",CONCATENATE("Örnek kıymet: ",$B723))</f>
        <v/>
      </c>
    </row>
    <row r="724" ht="15" customHeight="1" s="81">
      <c r="E724" s="124">
        <f>IF($C724=0,0,$C724-$D724)</f>
        <v/>
      </c>
      <c r="G724" s="124">
        <f>IF($E724=0,0,$E724*($F724-1))</f>
        <v/>
      </c>
      <c r="H724" s="124">
        <f>IF($B724="","",CONCATENATE("Örnek kıymet: ",$B724))</f>
        <v/>
      </c>
    </row>
    <row r="725" ht="15" customHeight="1" s="81">
      <c r="E725" s="124">
        <f>IF($C725=0,0,$C725-$D725)</f>
        <v/>
      </c>
      <c r="G725" s="124">
        <f>IF($E725=0,0,$E725*($F725-1))</f>
        <v/>
      </c>
      <c r="H725" s="124">
        <f>IF($B725="","",CONCATENATE("Örnek kıymet: ",$B725))</f>
        <v/>
      </c>
    </row>
    <row r="726" ht="15" customHeight="1" s="81">
      <c r="E726" s="124">
        <f>IF($C726=0,0,$C726-$D726)</f>
        <v/>
      </c>
      <c r="G726" s="124">
        <f>IF($E726=0,0,$E726*($F726-1))</f>
        <v/>
      </c>
      <c r="H726" s="124">
        <f>IF($B726="","",CONCATENATE("Örnek kıymet: ",$B726))</f>
        <v/>
      </c>
    </row>
    <row r="727" ht="15" customHeight="1" s="81">
      <c r="E727" s="124">
        <f>IF($C727=0,0,$C727-$D727)</f>
        <v/>
      </c>
      <c r="G727" s="124">
        <f>IF($E727=0,0,$E727*($F727-1))</f>
        <v/>
      </c>
      <c r="H727" s="124">
        <f>IF($B727="","",CONCATENATE("Örnek kıymet: ",$B727))</f>
        <v/>
      </c>
    </row>
    <row r="728" ht="15" customHeight="1" s="81">
      <c r="E728" s="124">
        <f>IF($C728=0,0,$C728-$D728)</f>
        <v/>
      </c>
      <c r="G728" s="124">
        <f>IF($E728=0,0,$E728*($F728-1))</f>
        <v/>
      </c>
      <c r="H728" s="124">
        <f>IF($B728="","",CONCATENATE("Örnek kıymet: ",$B728))</f>
        <v/>
      </c>
    </row>
    <row r="729" ht="15" customHeight="1" s="81">
      <c r="E729" s="124">
        <f>IF($C729=0,0,$C729-$D729)</f>
        <v/>
      </c>
      <c r="G729" s="124">
        <f>IF($E729=0,0,$E729*($F729-1))</f>
        <v/>
      </c>
      <c r="H729" s="124">
        <f>IF($B729="","",CONCATENATE("Örnek kıymet: ",$B729))</f>
        <v/>
      </c>
    </row>
    <row r="730" ht="15" customHeight="1" s="81">
      <c r="E730" s="124">
        <f>IF($C730=0,0,$C730-$D730)</f>
        <v/>
      </c>
      <c r="G730" s="124">
        <f>IF($E730=0,0,$E730*($F730-1))</f>
        <v/>
      </c>
      <c r="H730" s="124">
        <f>IF($B730="","",CONCATENATE("Örnek kıymet: ",$B730))</f>
        <v/>
      </c>
    </row>
    <row r="731" ht="15" customHeight="1" s="81">
      <c r="E731" s="124">
        <f>IF($C731=0,0,$C731-$D731)</f>
        <v/>
      </c>
      <c r="G731" s="124">
        <f>IF($E731=0,0,$E731*($F731-1))</f>
        <v/>
      </c>
      <c r="H731" s="124">
        <f>IF($B731="","",CONCATENATE("Örnek kıymet: ",$B731))</f>
        <v/>
      </c>
    </row>
    <row r="732" ht="15" customHeight="1" s="81">
      <c r="E732" s="124">
        <f>IF($C732=0,0,$C732-$D732)</f>
        <v/>
      </c>
      <c r="G732" s="124">
        <f>IF($E732=0,0,$E732*($F732-1))</f>
        <v/>
      </c>
      <c r="H732" s="124">
        <f>IF($B732="","",CONCATENATE("Örnek kıymet: ",$B732))</f>
        <v/>
      </c>
    </row>
    <row r="733" ht="15" customHeight="1" s="81">
      <c r="E733" s="124">
        <f>IF($C733=0,0,$C733-$D733)</f>
        <v/>
      </c>
      <c r="G733" s="124">
        <f>IF($E733=0,0,$E733*($F733-1))</f>
        <v/>
      </c>
      <c r="H733" s="124">
        <f>IF($B733="","",CONCATENATE("Örnek kıymet: ",$B733))</f>
        <v/>
      </c>
    </row>
    <row r="734" ht="15" customHeight="1" s="81">
      <c r="E734" s="124">
        <f>IF($C734=0,0,$C734-$D734)</f>
        <v/>
      </c>
      <c r="G734" s="124">
        <f>IF($E734=0,0,$E734*($F734-1))</f>
        <v/>
      </c>
      <c r="H734" s="124">
        <f>IF($B734="","",CONCATENATE("Örnek kıymet: ",$B734))</f>
        <v/>
      </c>
    </row>
    <row r="735" ht="15" customHeight="1" s="81">
      <c r="E735" s="124">
        <f>IF($C735=0,0,$C735-$D735)</f>
        <v/>
      </c>
      <c r="G735" s="124">
        <f>IF($E735=0,0,$E735*($F735-1))</f>
        <v/>
      </c>
      <c r="H735" s="124">
        <f>IF($B735="","",CONCATENATE("Örnek kıymet: ",$B735))</f>
        <v/>
      </c>
    </row>
    <row r="736" ht="15" customHeight="1" s="81">
      <c r="E736" s="124">
        <f>IF($C736=0,0,$C736-$D736)</f>
        <v/>
      </c>
      <c r="G736" s="124">
        <f>IF($E736=0,0,$E736*($F736-1))</f>
        <v/>
      </c>
      <c r="H736" s="124">
        <f>IF($B736="","",CONCATENATE("Örnek kıymet: ",$B736))</f>
        <v/>
      </c>
    </row>
    <row r="737" ht="15" customHeight="1" s="81">
      <c r="E737" s="124">
        <f>IF($C737=0,0,$C737-$D737)</f>
        <v/>
      </c>
      <c r="G737" s="124">
        <f>IF($E737=0,0,$E737*($F737-1))</f>
        <v/>
      </c>
      <c r="H737" s="124">
        <f>IF($B737="","",CONCATENATE("Örnek kıymet: ",$B737))</f>
        <v/>
      </c>
    </row>
    <row r="738" ht="15" customHeight="1" s="81">
      <c r="E738" s="124">
        <f>IF($C738=0,0,$C738-$D738)</f>
        <v/>
      </c>
      <c r="G738" s="124">
        <f>IF($E738=0,0,$E738*($F738-1))</f>
        <v/>
      </c>
      <c r="H738" s="124">
        <f>IF($B738="","",CONCATENATE("Örnek kıymet: ",$B738))</f>
        <v/>
      </c>
    </row>
    <row r="739" ht="15" customHeight="1" s="81">
      <c r="E739" s="124">
        <f>IF($C739=0,0,$C739-$D739)</f>
        <v/>
      </c>
      <c r="G739" s="124">
        <f>IF($E739=0,0,$E739*($F739-1))</f>
        <v/>
      </c>
      <c r="H739" s="124">
        <f>IF($B739="","",CONCATENATE("Örnek kıymet: ",$B739))</f>
        <v/>
      </c>
    </row>
    <row r="740" ht="15" customHeight="1" s="81">
      <c r="E740" s="124">
        <f>IF($C740=0,0,$C740-$D740)</f>
        <v/>
      </c>
      <c r="G740" s="124">
        <f>IF($E740=0,0,$E740*($F740-1))</f>
        <v/>
      </c>
      <c r="H740" s="124">
        <f>IF($B740="","",CONCATENATE("Örnek kıymet: ",$B740))</f>
        <v/>
      </c>
    </row>
    <row r="741" ht="15" customHeight="1" s="81">
      <c r="E741" s="124">
        <f>IF($C741=0,0,$C741-$D741)</f>
        <v/>
      </c>
      <c r="G741" s="124">
        <f>IF($E741=0,0,$E741*($F741-1))</f>
        <v/>
      </c>
      <c r="H741" s="124">
        <f>IF($B741="","",CONCATENATE("Örnek kıymet: ",$B741))</f>
        <v/>
      </c>
    </row>
    <row r="742" ht="15" customHeight="1" s="81">
      <c r="E742" s="124">
        <f>IF($C742=0,0,$C742-$D742)</f>
        <v/>
      </c>
      <c r="G742" s="124">
        <f>IF($E742=0,0,$E742*($F742-1))</f>
        <v/>
      </c>
      <c r="H742" s="124">
        <f>IF($B742="","",CONCATENATE("Örnek kıymet: ",$B742))</f>
        <v/>
      </c>
    </row>
    <row r="743" ht="15" customHeight="1" s="81">
      <c r="E743" s="124">
        <f>IF($C743=0,0,$C743-$D743)</f>
        <v/>
      </c>
      <c r="G743" s="124">
        <f>IF($E743=0,0,$E743*($F743-1))</f>
        <v/>
      </c>
      <c r="H743" s="124">
        <f>IF($B743="","",CONCATENATE("Örnek kıymet: ",$B743))</f>
        <v/>
      </c>
    </row>
    <row r="744" ht="15" customHeight="1" s="81">
      <c r="E744" s="124">
        <f>IF($C744=0,0,$C744-$D744)</f>
        <v/>
      </c>
      <c r="G744" s="124">
        <f>IF($E744=0,0,$E744*($F744-1))</f>
        <v/>
      </c>
      <c r="H744" s="124">
        <f>IF($B744="","",CONCATENATE("Örnek kıymet: ",$B744))</f>
        <v/>
      </c>
    </row>
    <row r="745" ht="15" customHeight="1" s="81">
      <c r="E745" s="124">
        <f>IF($C745=0,0,$C745-$D745)</f>
        <v/>
      </c>
      <c r="G745" s="124">
        <f>IF($E745=0,0,$E745*($F745-1))</f>
        <v/>
      </c>
      <c r="H745" s="124">
        <f>IF($B745="","",CONCATENATE("Örnek kıymet: ",$B745))</f>
        <v/>
      </c>
    </row>
    <row r="746" ht="15" customHeight="1" s="81">
      <c r="E746" s="124">
        <f>IF($C746=0,0,$C746-$D746)</f>
        <v/>
      </c>
      <c r="G746" s="124">
        <f>IF($E746=0,0,$E746*($F746-1))</f>
        <v/>
      </c>
      <c r="H746" s="124">
        <f>IF($B746="","",CONCATENATE("Örnek kıymet: ",$B746))</f>
        <v/>
      </c>
    </row>
    <row r="747" ht="15" customHeight="1" s="81">
      <c r="E747" s="124">
        <f>IF($C747=0,0,$C747-$D747)</f>
        <v/>
      </c>
      <c r="G747" s="124">
        <f>IF($E747=0,0,$E747*($F747-1))</f>
        <v/>
      </c>
      <c r="H747" s="124">
        <f>IF($B747="","",CONCATENATE("Örnek kıymet: ",$B747))</f>
        <v/>
      </c>
    </row>
    <row r="748" ht="15" customHeight="1" s="81">
      <c r="E748" s="124">
        <f>IF($C748=0,0,$C748-$D748)</f>
        <v/>
      </c>
      <c r="G748" s="124">
        <f>IF($E748=0,0,$E748*($F748-1))</f>
        <v/>
      </c>
      <c r="H748" s="124">
        <f>IF($B748="","",CONCATENATE("Örnek kıymet: ",$B748))</f>
        <v/>
      </c>
    </row>
    <row r="749" ht="15" customHeight="1" s="81">
      <c r="E749" s="124">
        <f>IF($C749=0,0,$C749-$D749)</f>
        <v/>
      </c>
      <c r="G749" s="124">
        <f>IF($E749=0,0,$E749*($F749-1))</f>
        <v/>
      </c>
      <c r="H749" s="124">
        <f>IF($B749="","",CONCATENATE("Örnek kıymet: ",$B749))</f>
        <v/>
      </c>
    </row>
    <row r="750" ht="15" customHeight="1" s="81">
      <c r="E750" s="124">
        <f>IF($C750=0,0,$C750-$D750)</f>
        <v/>
      </c>
      <c r="G750" s="124">
        <f>IF($E750=0,0,$E750*($F750-1))</f>
        <v/>
      </c>
      <c r="H750" s="124">
        <f>IF($B750="","",CONCATENATE("Örnek kıymet: ",$B750))</f>
        <v/>
      </c>
    </row>
    <row r="751" ht="15" customHeight="1" s="81">
      <c r="E751" s="124">
        <f>IF($C751=0,0,$C751-$D751)</f>
        <v/>
      </c>
      <c r="G751" s="124">
        <f>IF($E751=0,0,$E751*($F751-1))</f>
        <v/>
      </c>
      <c r="H751" s="124">
        <f>IF($B751="","",CONCATENATE("Örnek kıymet: ",$B751))</f>
        <v/>
      </c>
    </row>
    <row r="752" ht="15" customHeight="1" s="81">
      <c r="E752" s="124">
        <f>IF($C752=0,0,$C752-$D752)</f>
        <v/>
      </c>
      <c r="G752" s="124">
        <f>IF($E752=0,0,$E752*($F752-1))</f>
        <v/>
      </c>
      <c r="H752" s="124">
        <f>IF($B752="","",CONCATENATE("Örnek kıymet: ",$B752))</f>
        <v/>
      </c>
    </row>
    <row r="753" ht="15" customHeight="1" s="81">
      <c r="E753" s="124">
        <f>IF($C753=0,0,$C753-$D753)</f>
        <v/>
      </c>
      <c r="G753" s="124">
        <f>IF($E753=0,0,$E753*($F753-1))</f>
        <v/>
      </c>
      <c r="H753" s="124">
        <f>IF($B753="","",CONCATENATE("Örnek kıymet: ",$B753))</f>
        <v/>
      </c>
    </row>
    <row r="754" ht="15" customHeight="1" s="81">
      <c r="E754" s="124">
        <f>IF($C754=0,0,$C754-$D754)</f>
        <v/>
      </c>
      <c r="G754" s="124">
        <f>IF($E754=0,0,$E754*($F754-1))</f>
        <v/>
      </c>
      <c r="H754" s="124">
        <f>IF($B754="","",CONCATENATE("Örnek kıymet: ",$B754))</f>
        <v/>
      </c>
    </row>
    <row r="755" ht="15" customHeight="1" s="81">
      <c r="E755" s="124">
        <f>IF($C755=0,0,$C755-$D755)</f>
        <v/>
      </c>
      <c r="G755" s="124">
        <f>IF($E755=0,0,$E755*($F755-1))</f>
        <v/>
      </c>
      <c r="H755" s="124">
        <f>IF($B755="","",CONCATENATE("Örnek kıymet: ",$B755))</f>
        <v/>
      </c>
    </row>
    <row r="756" ht="15" customHeight="1" s="81">
      <c r="E756" s="124">
        <f>IF($C756=0,0,$C756-$D756)</f>
        <v/>
      </c>
      <c r="G756" s="124">
        <f>IF($E756=0,0,$E756*($F756-1))</f>
        <v/>
      </c>
      <c r="H756" s="124">
        <f>IF($B756="","",CONCATENATE("Örnek kıymet: ",$B756))</f>
        <v/>
      </c>
    </row>
    <row r="757" ht="15" customHeight="1" s="81">
      <c r="E757" s="124">
        <f>IF($C757=0,0,$C757-$D757)</f>
        <v/>
      </c>
      <c r="G757" s="124">
        <f>IF($E757=0,0,$E757*($F757-1))</f>
        <v/>
      </c>
      <c r="H757" s="124">
        <f>IF($B757="","",CONCATENATE("Örnek kıymet: ",$B757))</f>
        <v/>
      </c>
    </row>
    <row r="758" ht="15" customHeight="1" s="81">
      <c r="E758" s="124">
        <f>IF($C758=0,0,$C758-$D758)</f>
        <v/>
      </c>
      <c r="G758" s="124">
        <f>IF($E758=0,0,$E758*($F758-1))</f>
        <v/>
      </c>
      <c r="H758" s="124">
        <f>IF($B758="","",CONCATENATE("Örnek kıymet: ",$B758))</f>
        <v/>
      </c>
    </row>
    <row r="759" ht="15" customHeight="1" s="81">
      <c r="E759" s="124">
        <f>IF($C759=0,0,$C759-$D759)</f>
        <v/>
      </c>
      <c r="G759" s="124">
        <f>IF($E759=0,0,$E759*($F759-1))</f>
        <v/>
      </c>
      <c r="H759" s="124">
        <f>IF($B759="","",CONCATENATE("Örnek kıymet: ",$B759))</f>
        <v/>
      </c>
    </row>
    <row r="760" ht="15" customHeight="1" s="81">
      <c r="E760" s="124">
        <f>IF($C760=0,0,$C760-$D760)</f>
        <v/>
      </c>
      <c r="G760" s="124">
        <f>IF($E760=0,0,$E760*($F760-1))</f>
        <v/>
      </c>
      <c r="H760" s="124">
        <f>IF($B760="","",CONCATENATE("Örnek kıymet: ",$B760))</f>
        <v/>
      </c>
    </row>
    <row r="761" ht="15" customHeight="1" s="81">
      <c r="E761" s="124">
        <f>IF($C761=0,0,$C761-$D761)</f>
        <v/>
      </c>
      <c r="G761" s="124">
        <f>IF($E761=0,0,$E761*($F761-1))</f>
        <v/>
      </c>
      <c r="H761" s="124">
        <f>IF($B761="","",CONCATENATE("Örnek kıymet: ",$B761))</f>
        <v/>
      </c>
    </row>
    <row r="762" ht="15" customHeight="1" s="81">
      <c r="E762" s="124">
        <f>IF($C762=0,0,$C762-$D762)</f>
        <v/>
      </c>
      <c r="G762" s="124">
        <f>IF($E762=0,0,$E762*($F762-1))</f>
        <v/>
      </c>
      <c r="H762" s="124">
        <f>IF($B762="","",CONCATENATE("Örnek kıymet: ",$B762))</f>
        <v/>
      </c>
    </row>
    <row r="763" ht="15" customHeight="1" s="81">
      <c r="E763" s="124">
        <f>IF($C763=0,0,$C763-$D763)</f>
        <v/>
      </c>
      <c r="G763" s="124">
        <f>IF($E763=0,0,$E763*($F763-1))</f>
        <v/>
      </c>
      <c r="H763" s="124">
        <f>IF($B763="","",CONCATENATE("Örnek kıymet: ",$B763))</f>
        <v/>
      </c>
    </row>
    <row r="764" ht="15" customHeight="1" s="81">
      <c r="E764" s="124">
        <f>IF($C764=0,0,$C764-$D764)</f>
        <v/>
      </c>
      <c r="G764" s="124">
        <f>IF($E764=0,0,$E764*($F764-1))</f>
        <v/>
      </c>
      <c r="H764" s="124">
        <f>IF($B764="","",CONCATENATE("Örnek kıymet: ",$B764))</f>
        <v/>
      </c>
    </row>
    <row r="765" ht="15" customHeight="1" s="81">
      <c r="E765" s="124">
        <f>IF($C765=0,0,$C765-$D765)</f>
        <v/>
      </c>
      <c r="G765" s="124">
        <f>IF($E765=0,0,$E765*($F765-1))</f>
        <v/>
      </c>
      <c r="H765" s="124">
        <f>IF($B765="","",CONCATENATE("Örnek kıymet: ",$B765))</f>
        <v/>
      </c>
    </row>
    <row r="766" ht="15" customHeight="1" s="81">
      <c r="E766" s="124">
        <f>IF($C766=0,0,$C766-$D766)</f>
        <v/>
      </c>
      <c r="G766" s="124">
        <f>IF($E766=0,0,$E766*($F766-1))</f>
        <v/>
      </c>
      <c r="H766" s="124">
        <f>IF($B766="","",CONCATENATE("Örnek kıymet: ",$B766))</f>
        <v/>
      </c>
    </row>
    <row r="767" ht="15" customHeight="1" s="81">
      <c r="E767" s="124">
        <f>IF($C767=0,0,$C767-$D767)</f>
        <v/>
      </c>
      <c r="G767" s="124">
        <f>IF($E767=0,0,$E767*($F767-1))</f>
        <v/>
      </c>
      <c r="H767" s="124">
        <f>IF($B767="","",CONCATENATE("Örnek kıymet: ",$B767))</f>
        <v/>
      </c>
    </row>
    <row r="768" ht="15" customHeight="1" s="81">
      <c r="E768" s="124">
        <f>IF($C768=0,0,$C768-$D768)</f>
        <v/>
      </c>
      <c r="G768" s="124">
        <f>IF($E768=0,0,$E768*($F768-1))</f>
        <v/>
      </c>
      <c r="H768" s="124">
        <f>IF($B768="","",CONCATENATE("Örnek kıymet: ",$B768))</f>
        <v/>
      </c>
    </row>
    <row r="769" ht="15" customHeight="1" s="81">
      <c r="E769" s="124">
        <f>IF($C769=0,0,$C769-$D769)</f>
        <v/>
      </c>
      <c r="G769" s="124">
        <f>IF($E769=0,0,$E769*($F769-1))</f>
        <v/>
      </c>
      <c r="H769" s="124">
        <f>IF($B769="","",CONCATENATE("Örnek kıymet: ",$B769))</f>
        <v/>
      </c>
    </row>
    <row r="770" ht="15" customHeight="1" s="81">
      <c r="E770" s="124">
        <f>IF($C770=0,0,$C770-$D770)</f>
        <v/>
      </c>
      <c r="G770" s="124">
        <f>IF($E770=0,0,$E770*($F770-1))</f>
        <v/>
      </c>
      <c r="H770" s="124">
        <f>IF($B770="","",CONCATENATE("Örnek kıymet: ",$B770))</f>
        <v/>
      </c>
    </row>
    <row r="771" ht="15" customHeight="1" s="81">
      <c r="E771" s="124">
        <f>IF($C771=0,0,$C771-$D771)</f>
        <v/>
      </c>
      <c r="G771" s="124">
        <f>IF($E771=0,0,$E771*($F771-1))</f>
        <v/>
      </c>
      <c r="H771" s="124">
        <f>IF($B771="","",CONCATENATE("Örnek kıymet: ",$B771))</f>
        <v/>
      </c>
    </row>
    <row r="772" ht="15" customHeight="1" s="81">
      <c r="E772" s="124">
        <f>IF($C772=0,0,$C772-$D772)</f>
        <v/>
      </c>
      <c r="G772" s="124">
        <f>IF($E772=0,0,$E772*($F772-1))</f>
        <v/>
      </c>
      <c r="H772" s="124">
        <f>IF($B772="","",CONCATENATE("Örnek kıymet: ",$B772))</f>
        <v/>
      </c>
    </row>
    <row r="773" ht="15" customHeight="1" s="81">
      <c r="E773" s="124">
        <f>IF($C773=0,0,$C773-$D773)</f>
        <v/>
      </c>
      <c r="G773" s="124">
        <f>IF($E773=0,0,$E773*($F773-1))</f>
        <v/>
      </c>
      <c r="H773" s="124">
        <f>IF($B773="","",CONCATENATE("Örnek kıymet: ",$B773))</f>
        <v/>
      </c>
    </row>
    <row r="774" ht="15" customHeight="1" s="81">
      <c r="E774" s="124">
        <f>IF($C774=0,0,$C774-$D774)</f>
        <v/>
      </c>
      <c r="G774" s="124">
        <f>IF($E774=0,0,$E774*($F774-1))</f>
        <v/>
      </c>
      <c r="H774" s="124">
        <f>IF($B774="","",CONCATENATE("Örnek kıymet: ",$B774))</f>
        <v/>
      </c>
    </row>
    <row r="775" ht="15" customHeight="1" s="81">
      <c r="E775" s="124">
        <f>IF($C775=0,0,$C775-$D775)</f>
        <v/>
      </c>
      <c r="G775" s="124">
        <f>IF($E775=0,0,$E775*($F775-1))</f>
        <v/>
      </c>
      <c r="H775" s="124">
        <f>IF($B775="","",CONCATENATE("Örnek kıymet: ",$B775))</f>
        <v/>
      </c>
    </row>
    <row r="776" ht="15" customHeight="1" s="81">
      <c r="E776" s="124">
        <f>IF($C776=0,0,$C776-$D776)</f>
        <v/>
      </c>
      <c r="G776" s="124">
        <f>IF($E776=0,0,$E776*($F776-1))</f>
        <v/>
      </c>
      <c r="H776" s="124">
        <f>IF($B776="","",CONCATENATE("Örnek kıymet: ",$B776))</f>
        <v/>
      </c>
    </row>
    <row r="777" ht="15" customHeight="1" s="81">
      <c r="E777" s="124">
        <f>IF($C777=0,0,$C777-$D777)</f>
        <v/>
      </c>
      <c r="G777" s="124">
        <f>IF($E777=0,0,$E777*($F777-1))</f>
        <v/>
      </c>
      <c r="H777" s="124">
        <f>IF($B777="","",CONCATENATE("Örnek kıymet: ",$B777))</f>
        <v/>
      </c>
    </row>
    <row r="778" ht="15" customHeight="1" s="81">
      <c r="E778" s="124">
        <f>IF($C778=0,0,$C778-$D778)</f>
        <v/>
      </c>
      <c r="G778" s="124">
        <f>IF($E778=0,0,$E778*($F778-1))</f>
        <v/>
      </c>
      <c r="H778" s="124">
        <f>IF($B778="","",CONCATENATE("Örnek kıymet: ",$B778))</f>
        <v/>
      </c>
    </row>
    <row r="779" ht="15" customHeight="1" s="81">
      <c r="E779" s="124">
        <f>IF($C779=0,0,$C779-$D779)</f>
        <v/>
      </c>
      <c r="G779" s="124">
        <f>IF($E779=0,0,$E779*($F779-1))</f>
        <v/>
      </c>
      <c r="H779" s="124">
        <f>IF($B779="","",CONCATENATE("Örnek kıymet: ",$B779))</f>
        <v/>
      </c>
    </row>
    <row r="780" ht="15" customHeight="1" s="81">
      <c r="E780" s="124">
        <f>IF($C780=0,0,$C780-$D780)</f>
        <v/>
      </c>
      <c r="G780" s="124">
        <f>IF($E780=0,0,$E780*($F780-1))</f>
        <v/>
      </c>
      <c r="H780" s="124">
        <f>IF($B780="","",CONCATENATE("Örnek kıymet: ",$B780))</f>
        <v/>
      </c>
    </row>
    <row r="781" ht="15" customHeight="1" s="81">
      <c r="E781" s="124">
        <f>IF($C781=0,0,$C781-$D781)</f>
        <v/>
      </c>
      <c r="G781" s="124">
        <f>IF($E781=0,0,$E781*($F781-1))</f>
        <v/>
      </c>
      <c r="H781" s="124">
        <f>IF($B781="","",CONCATENATE("Örnek kıymet: ",$B781))</f>
        <v/>
      </c>
    </row>
    <row r="782" ht="15" customHeight="1" s="81">
      <c r="E782" s="124">
        <f>IF($C782=0,0,$C782-$D782)</f>
        <v/>
      </c>
      <c r="G782" s="124">
        <f>IF($E782=0,0,$E782*($F782-1))</f>
        <v/>
      </c>
      <c r="H782" s="124">
        <f>IF($B782="","",CONCATENATE("Örnek kıymet: ",$B782))</f>
        <v/>
      </c>
    </row>
    <row r="783" ht="15" customHeight="1" s="81">
      <c r="E783" s="124">
        <f>IF($C783=0,0,$C783-$D783)</f>
        <v/>
      </c>
      <c r="G783" s="124">
        <f>IF($E783=0,0,$E783*($F783-1))</f>
        <v/>
      </c>
      <c r="H783" s="124">
        <f>IF($B783="","",CONCATENATE("Örnek kıymet: ",$B783))</f>
        <v/>
      </c>
    </row>
    <row r="784" ht="15" customHeight="1" s="81">
      <c r="E784" s="124">
        <f>IF($C784=0,0,$C784-$D784)</f>
        <v/>
      </c>
      <c r="G784" s="124">
        <f>IF($E784=0,0,$E784*($F784-1))</f>
        <v/>
      </c>
      <c r="H784" s="124">
        <f>IF($B784="","",CONCATENATE("Örnek kıymet: ",$B784))</f>
        <v/>
      </c>
    </row>
    <row r="785" ht="15" customHeight="1" s="81">
      <c r="E785" s="124">
        <f>IF($C785=0,0,$C785-$D785)</f>
        <v/>
      </c>
      <c r="G785" s="124">
        <f>IF($E785=0,0,$E785*($F785-1))</f>
        <v/>
      </c>
      <c r="H785" s="124">
        <f>IF($B785="","",CONCATENATE("Örnek kıymet: ",$B785))</f>
        <v/>
      </c>
    </row>
    <row r="786" ht="15" customHeight="1" s="81">
      <c r="E786" s="124">
        <f>IF($C786=0,0,$C786-$D786)</f>
        <v/>
      </c>
      <c r="G786" s="124">
        <f>IF($E786=0,0,$E786*($F786-1))</f>
        <v/>
      </c>
      <c r="H786" s="124">
        <f>IF($B786="","",CONCATENATE("Örnek kıymet: ",$B786))</f>
        <v/>
      </c>
    </row>
    <row r="787" ht="15" customHeight="1" s="81">
      <c r="E787" s="124">
        <f>IF($C787=0,0,$C787-$D787)</f>
        <v/>
      </c>
      <c r="G787" s="124">
        <f>IF($E787=0,0,$E787*($F787-1))</f>
        <v/>
      </c>
      <c r="H787" s="124">
        <f>IF($B787="","",CONCATENATE("Örnek kıymet: ",$B787))</f>
        <v/>
      </c>
    </row>
    <row r="788" ht="15" customHeight="1" s="81">
      <c r="E788" s="124">
        <f>IF($C788=0,0,$C788-$D788)</f>
        <v/>
      </c>
      <c r="G788" s="124">
        <f>IF($E788=0,0,$E788*($F788-1))</f>
        <v/>
      </c>
      <c r="H788" s="124">
        <f>IF($B788="","",CONCATENATE("Örnek kıymet: ",$B788))</f>
        <v/>
      </c>
    </row>
    <row r="789" ht="15" customHeight="1" s="81">
      <c r="E789" s="124">
        <f>IF($C789=0,0,$C789-$D789)</f>
        <v/>
      </c>
      <c r="G789" s="124">
        <f>IF($E789=0,0,$E789*($F789-1))</f>
        <v/>
      </c>
      <c r="H789" s="124">
        <f>IF($B789="","",CONCATENATE("Örnek kıymet: ",$B789))</f>
        <v/>
      </c>
    </row>
    <row r="790" ht="15" customHeight="1" s="81">
      <c r="E790" s="124">
        <f>IF($C790=0,0,$C790-$D790)</f>
        <v/>
      </c>
      <c r="G790" s="124">
        <f>IF($E790=0,0,$E790*($F790-1))</f>
        <v/>
      </c>
      <c r="H790" s="124">
        <f>IF($B790="","",CONCATENATE("Örnek kıymet: ",$B790))</f>
        <v/>
      </c>
    </row>
    <row r="791" ht="15" customHeight="1" s="81">
      <c r="E791" s="124">
        <f>IF($C791=0,0,$C791-$D791)</f>
        <v/>
      </c>
      <c r="G791" s="124">
        <f>IF($E791=0,0,$E791*($F791-1))</f>
        <v/>
      </c>
      <c r="H791" s="124">
        <f>IF($B791="","",CONCATENATE("Örnek kıymet: ",$B791))</f>
        <v/>
      </c>
    </row>
    <row r="792" ht="15" customHeight="1" s="81">
      <c r="E792" s="124">
        <f>IF($C792=0,0,$C792-$D792)</f>
        <v/>
      </c>
      <c r="G792" s="124">
        <f>IF($E792=0,0,$E792*($F792-1))</f>
        <v/>
      </c>
      <c r="H792" s="124">
        <f>IF($B792="","",CONCATENATE("Örnek kıymet: ",$B792))</f>
        <v/>
      </c>
    </row>
    <row r="793" ht="15" customHeight="1" s="81">
      <c r="E793" s="124">
        <f>IF($C793=0,0,$C793-$D793)</f>
        <v/>
      </c>
      <c r="G793" s="124">
        <f>IF($E793=0,0,$E793*($F793-1))</f>
        <v/>
      </c>
      <c r="H793" s="124">
        <f>IF($B793="","",CONCATENATE("Örnek kıymet: ",$B793))</f>
        <v/>
      </c>
    </row>
    <row r="794" ht="15" customHeight="1" s="81">
      <c r="E794" s="124">
        <f>IF($C794=0,0,$C794-$D794)</f>
        <v/>
      </c>
      <c r="G794" s="124">
        <f>IF($E794=0,0,$E794*($F794-1))</f>
        <v/>
      </c>
      <c r="H794" s="124">
        <f>IF($B794="","",CONCATENATE("Örnek kıymet: ",$B794))</f>
        <v/>
      </c>
    </row>
    <row r="795" ht="15" customHeight="1" s="81">
      <c r="E795" s="124">
        <f>IF($C795=0,0,$C795-$D795)</f>
        <v/>
      </c>
      <c r="G795" s="124">
        <f>IF($E795=0,0,$E795*($F795-1))</f>
        <v/>
      </c>
      <c r="H795" s="124">
        <f>IF($B795="","",CONCATENATE("Örnek kıymet: ",$B795))</f>
        <v/>
      </c>
    </row>
    <row r="796" ht="15" customHeight="1" s="81">
      <c r="E796" s="124">
        <f>IF($C796=0,0,$C796-$D796)</f>
        <v/>
      </c>
      <c r="G796" s="124">
        <f>IF($E796=0,0,$E796*($F796-1))</f>
        <v/>
      </c>
      <c r="H796" s="124">
        <f>IF($B796="","",CONCATENATE("Örnek kıymet: ",$B796))</f>
        <v/>
      </c>
    </row>
    <row r="797" ht="15" customHeight="1" s="81">
      <c r="E797" s="124">
        <f>IF($C797=0,0,$C797-$D797)</f>
        <v/>
      </c>
      <c r="G797" s="124">
        <f>IF($E797=0,0,$E797*($F797-1))</f>
        <v/>
      </c>
      <c r="H797" s="124">
        <f>IF($B797="","",CONCATENATE("Örnek kıymet: ",$B797))</f>
        <v/>
      </c>
    </row>
    <row r="798" ht="15" customHeight="1" s="81">
      <c r="E798" s="124">
        <f>IF($C798=0,0,$C798-$D798)</f>
        <v/>
      </c>
      <c r="G798" s="124">
        <f>IF($E798=0,0,$E798*($F798-1))</f>
        <v/>
      </c>
      <c r="H798" s="124">
        <f>IF($B798="","",CONCATENATE("Örnek kıymet: ",$B798))</f>
        <v/>
      </c>
    </row>
    <row r="799" ht="15" customHeight="1" s="81">
      <c r="E799" s="124">
        <f>IF($C799=0,0,$C799-$D799)</f>
        <v/>
      </c>
      <c r="G799" s="124">
        <f>IF($E799=0,0,$E799*($F799-1))</f>
        <v/>
      </c>
      <c r="H799" s="124">
        <f>IF($B799="","",CONCATENATE("Örnek kıymet: ",$B799))</f>
        <v/>
      </c>
    </row>
    <row r="800" ht="15" customHeight="1" s="81">
      <c r="E800" s="124">
        <f>IF($C800=0,0,$C800-$D800)</f>
        <v/>
      </c>
      <c r="G800" s="124">
        <f>IF($E800=0,0,$E800*($F800-1))</f>
        <v/>
      </c>
      <c r="H800" s="124">
        <f>IF($B800="","",CONCATENATE("Örnek kıymet: ",$B800))</f>
        <v/>
      </c>
    </row>
    <row r="801" ht="15" customHeight="1" s="81">
      <c r="E801" s="124">
        <f>IF($C801=0,0,$C801-$D801)</f>
        <v/>
      </c>
      <c r="G801" s="124">
        <f>IF($E801=0,0,$E801*($F801-1))</f>
        <v/>
      </c>
      <c r="H801" s="124">
        <f>IF($B801="","",CONCATENATE("Örnek kıymet: ",$B801))</f>
        <v/>
      </c>
    </row>
    <row r="802" ht="15" customHeight="1" s="81">
      <c r="E802" s="124">
        <f>IF($C802=0,0,$C802-$D802)</f>
        <v/>
      </c>
      <c r="G802" s="124">
        <f>IF($E802=0,0,$E802*($F802-1))</f>
        <v/>
      </c>
      <c r="H802" s="124">
        <f>IF($B802="","",CONCATENATE("Örnek kıymet: ",$B802))</f>
        <v/>
      </c>
    </row>
    <row r="803" ht="15" customHeight="1" s="81">
      <c r="E803" s="124">
        <f>IF($C803=0,0,$C803-$D803)</f>
        <v/>
      </c>
      <c r="G803" s="124">
        <f>IF($E803=0,0,$E803*($F803-1))</f>
        <v/>
      </c>
      <c r="H803" s="124">
        <f>IF($B803="","",CONCATENATE("Örnek kıymet: ",$B803))</f>
        <v/>
      </c>
    </row>
    <row r="804" ht="15" customHeight="1" s="81">
      <c r="E804" s="124">
        <f>IF($C804=0,0,$C804-$D804)</f>
        <v/>
      </c>
      <c r="G804" s="124">
        <f>IF($E804=0,0,$E804*($F804-1))</f>
        <v/>
      </c>
      <c r="H804" s="124">
        <f>IF($B804="","",CONCATENATE("Örnek kıymet: ",$B804))</f>
        <v/>
      </c>
    </row>
    <row r="805" ht="15" customHeight="1" s="81">
      <c r="E805" s="124">
        <f>IF($C805=0,0,$C805-$D805)</f>
        <v/>
      </c>
      <c r="G805" s="124">
        <f>IF($E805=0,0,$E805*($F805-1))</f>
        <v/>
      </c>
      <c r="H805" s="124">
        <f>IF($B805="","",CONCATENATE("Örnek kıymet: ",$B805))</f>
        <v/>
      </c>
    </row>
    <row r="806" ht="15" customHeight="1" s="81">
      <c r="E806" s="124">
        <f>IF($C806=0,0,$C806-$D806)</f>
        <v/>
      </c>
      <c r="G806" s="124">
        <f>IF($E806=0,0,$E806*($F806-1))</f>
        <v/>
      </c>
      <c r="H806" s="124">
        <f>IF($B806="","",CONCATENATE("Örnek kıymet: ",$B806))</f>
        <v/>
      </c>
    </row>
    <row r="807" ht="15" customHeight="1" s="81">
      <c r="E807" s="124">
        <f>IF($C807=0,0,$C807-$D807)</f>
        <v/>
      </c>
      <c r="G807" s="124">
        <f>IF($E807=0,0,$E807*($F807-1))</f>
        <v/>
      </c>
      <c r="H807" s="124">
        <f>IF($B807="","",CONCATENATE("Örnek kıymet: ",$B807))</f>
        <v/>
      </c>
    </row>
    <row r="808" ht="15" customHeight="1" s="81">
      <c r="E808" s="124">
        <f>IF($C808=0,0,$C808-$D808)</f>
        <v/>
      </c>
      <c r="G808" s="124">
        <f>IF($E808=0,0,$E808*($F808-1))</f>
        <v/>
      </c>
      <c r="H808" s="124">
        <f>IF($B808="","",CONCATENATE("Örnek kıymet: ",$B808))</f>
        <v/>
      </c>
    </row>
    <row r="809" ht="15" customHeight="1" s="81">
      <c r="E809" s="124">
        <f>IF($C809=0,0,$C809-$D809)</f>
        <v/>
      </c>
      <c r="G809" s="124">
        <f>IF($E809=0,0,$E809*($F809-1))</f>
        <v/>
      </c>
      <c r="H809" s="124">
        <f>IF($B809="","",CONCATENATE("Örnek kıymet: ",$B809))</f>
        <v/>
      </c>
    </row>
    <row r="810" ht="15" customHeight="1" s="81">
      <c r="E810" s="124">
        <f>IF($C810=0,0,$C810-$D810)</f>
        <v/>
      </c>
      <c r="G810" s="124">
        <f>IF($E810=0,0,$E810*($F810-1))</f>
        <v/>
      </c>
      <c r="H810" s="124">
        <f>IF($B810="","",CONCATENATE("Örnek kıymet: ",$B810))</f>
        <v/>
      </c>
    </row>
    <row r="811" ht="15" customHeight="1" s="81">
      <c r="E811" s="124">
        <f>IF($C811=0,0,$C811-$D811)</f>
        <v/>
      </c>
      <c r="G811" s="124">
        <f>IF($E811=0,0,$E811*($F811-1))</f>
        <v/>
      </c>
      <c r="H811" s="124">
        <f>IF($B811="","",CONCATENATE("Örnek kıymet: ",$B811))</f>
        <v/>
      </c>
    </row>
    <row r="812" ht="15" customHeight="1" s="81">
      <c r="E812" s="124">
        <f>IF($C812=0,0,$C812-$D812)</f>
        <v/>
      </c>
      <c r="G812" s="124">
        <f>IF($E812=0,0,$E812*($F812-1))</f>
        <v/>
      </c>
      <c r="H812" s="124">
        <f>IF($B812="","",CONCATENATE("Örnek kıymet: ",$B812))</f>
        <v/>
      </c>
    </row>
    <row r="813" ht="15" customHeight="1" s="81">
      <c r="E813" s="124">
        <f>IF($C813=0,0,$C813-$D813)</f>
        <v/>
      </c>
      <c r="G813" s="124">
        <f>IF($E813=0,0,$E813*($F813-1))</f>
        <v/>
      </c>
      <c r="H813" s="124">
        <f>IF($B813="","",CONCATENATE("Örnek kıymet: ",$B813))</f>
        <v/>
      </c>
    </row>
    <row r="814" ht="15" customHeight="1" s="81">
      <c r="E814" s="124">
        <f>IF($C814=0,0,$C814-$D814)</f>
        <v/>
      </c>
      <c r="G814" s="124">
        <f>IF($E814=0,0,$E814*($F814-1))</f>
        <v/>
      </c>
      <c r="H814" s="124">
        <f>IF($B814="","",CONCATENATE("Örnek kıymet: ",$B814))</f>
        <v/>
      </c>
    </row>
    <row r="815" ht="15" customHeight="1" s="81">
      <c r="E815" s="124">
        <f>IF($C815=0,0,$C815-$D815)</f>
        <v/>
      </c>
      <c r="G815" s="124">
        <f>IF($E815=0,0,$E815*($F815-1))</f>
        <v/>
      </c>
      <c r="H815" s="124">
        <f>IF($B815="","",CONCATENATE("Örnek kıymet: ",$B815))</f>
        <v/>
      </c>
    </row>
    <row r="816" ht="15" customHeight="1" s="81">
      <c r="E816" s="124">
        <f>IF($C816=0,0,$C816-$D816)</f>
        <v/>
      </c>
      <c r="G816" s="124">
        <f>IF($E816=0,0,$E816*($F816-1))</f>
        <v/>
      </c>
      <c r="H816" s="124">
        <f>IF($B816="","",CONCATENATE("Örnek kıymet: ",$B816))</f>
        <v/>
      </c>
    </row>
    <row r="817" ht="15" customHeight="1" s="81">
      <c r="E817" s="124">
        <f>IF($C817=0,0,$C817-$D817)</f>
        <v/>
      </c>
      <c r="G817" s="124">
        <f>IF($E817=0,0,$E817*($F817-1))</f>
        <v/>
      </c>
      <c r="H817" s="124">
        <f>IF($B817="","",CONCATENATE("Örnek kıymet: ",$B817))</f>
        <v/>
      </c>
    </row>
    <row r="818" ht="15" customHeight="1" s="81">
      <c r="E818" s="124">
        <f>IF($C818=0,0,$C818-$D818)</f>
        <v/>
      </c>
      <c r="G818" s="124">
        <f>IF($E818=0,0,$E818*($F818-1))</f>
        <v/>
      </c>
      <c r="H818" s="124">
        <f>IF($B818="","",CONCATENATE("Örnek kıymet: ",$B818))</f>
        <v/>
      </c>
    </row>
    <row r="819" ht="15" customHeight="1" s="81">
      <c r="E819" s="124">
        <f>IF($C819=0,0,$C819-$D819)</f>
        <v/>
      </c>
      <c r="G819" s="124">
        <f>IF($E819=0,0,$E819*($F819-1))</f>
        <v/>
      </c>
      <c r="H819" s="124">
        <f>IF($B819="","",CONCATENATE("Örnek kıymet: ",$B819))</f>
        <v/>
      </c>
    </row>
    <row r="820" ht="15" customHeight="1" s="81">
      <c r="E820" s="124">
        <f>IF($C820=0,0,$C820-$D820)</f>
        <v/>
      </c>
      <c r="G820" s="124">
        <f>IF($E820=0,0,$E820*($F820-1))</f>
        <v/>
      </c>
      <c r="H820" s="124">
        <f>IF($B820="","",CONCATENATE("Örnek kıymet: ",$B820))</f>
        <v/>
      </c>
    </row>
    <row r="821" ht="15" customHeight="1" s="81">
      <c r="E821" s="124">
        <f>IF($C821=0,0,$C821-$D821)</f>
        <v/>
      </c>
      <c r="G821" s="124">
        <f>IF($E821=0,0,$E821*($F821-1))</f>
        <v/>
      </c>
      <c r="H821" s="124">
        <f>IF($B821="","",CONCATENATE("Örnek kıymet: ",$B821))</f>
        <v/>
      </c>
    </row>
    <row r="822" ht="15" customHeight="1" s="81">
      <c r="E822" s="124">
        <f>IF($C822=0,0,$C822-$D822)</f>
        <v/>
      </c>
      <c r="G822" s="124">
        <f>IF($E822=0,0,$E822*($F822-1))</f>
        <v/>
      </c>
      <c r="H822" s="124">
        <f>IF($B822="","",CONCATENATE("Örnek kıymet: ",$B822))</f>
        <v/>
      </c>
    </row>
    <row r="823" ht="15" customHeight="1" s="81">
      <c r="E823" s="124">
        <f>IF($C823=0,0,$C823-$D823)</f>
        <v/>
      </c>
      <c r="G823" s="124">
        <f>IF($E823=0,0,$E823*($F823-1))</f>
        <v/>
      </c>
      <c r="H823" s="124">
        <f>IF($B823="","",CONCATENATE("Örnek kıymet: ",$B823))</f>
        <v/>
      </c>
    </row>
    <row r="824" ht="15" customHeight="1" s="81">
      <c r="E824" s="124">
        <f>IF($C824=0,0,$C824-$D824)</f>
        <v/>
      </c>
      <c r="G824" s="124">
        <f>IF($E824=0,0,$E824*($F824-1))</f>
        <v/>
      </c>
      <c r="H824" s="124">
        <f>IF($B824="","",CONCATENATE("Örnek kıymet: ",$B824))</f>
        <v/>
      </c>
    </row>
    <row r="825" ht="15" customHeight="1" s="81">
      <c r="E825" s="124">
        <f>IF($C825=0,0,$C825-$D825)</f>
        <v/>
      </c>
      <c r="G825" s="124">
        <f>IF($E825=0,0,$E825*($F825-1))</f>
        <v/>
      </c>
      <c r="H825" s="124">
        <f>IF($B825="","",CONCATENATE("Örnek kıymet: ",$B825))</f>
        <v/>
      </c>
    </row>
    <row r="826" ht="15" customHeight="1" s="81">
      <c r="E826" s="124">
        <f>IF($C826=0,0,$C826-$D826)</f>
        <v/>
      </c>
      <c r="G826" s="124">
        <f>IF($E826=0,0,$E826*($F826-1))</f>
        <v/>
      </c>
      <c r="H826" s="124">
        <f>IF($B826="","",CONCATENATE("Örnek kıymet: ",$B826))</f>
        <v/>
      </c>
    </row>
    <row r="827" ht="15" customHeight="1" s="81">
      <c r="E827" s="124">
        <f>IF($C827=0,0,$C827-$D827)</f>
        <v/>
      </c>
      <c r="G827" s="124">
        <f>IF($E827=0,0,$E827*($F827-1))</f>
        <v/>
      </c>
      <c r="H827" s="124">
        <f>IF($B827="","",CONCATENATE("Örnek kıymet: ",$B827))</f>
        <v/>
      </c>
    </row>
    <row r="828" ht="15" customHeight="1" s="81">
      <c r="E828" s="124">
        <f>IF($C828=0,0,$C828-$D828)</f>
        <v/>
      </c>
      <c r="G828" s="124">
        <f>IF($E828=0,0,$E828*($F828-1))</f>
        <v/>
      </c>
      <c r="H828" s="124">
        <f>IF($B828="","",CONCATENATE("Örnek kıymet: ",$B828))</f>
        <v/>
      </c>
    </row>
    <row r="829" ht="15" customHeight="1" s="81">
      <c r="E829" s="124">
        <f>IF($C829=0,0,$C829-$D829)</f>
        <v/>
      </c>
      <c r="G829" s="124">
        <f>IF($E829=0,0,$E829*($F829-1))</f>
        <v/>
      </c>
      <c r="H829" s="124">
        <f>IF($B829="","",CONCATENATE("Örnek kıymet: ",$B829))</f>
        <v/>
      </c>
    </row>
    <row r="830" ht="15" customHeight="1" s="81">
      <c r="E830" s="124">
        <f>IF($C830=0,0,$C830-$D830)</f>
        <v/>
      </c>
      <c r="G830" s="124">
        <f>IF($E830=0,0,$E830*($F830-1))</f>
        <v/>
      </c>
      <c r="H830" s="124">
        <f>IF($B830="","",CONCATENATE("Örnek kıymet: ",$B830))</f>
        <v/>
      </c>
    </row>
    <row r="831" ht="15" customHeight="1" s="81">
      <c r="E831" s="124">
        <f>IF($C831=0,0,$C831-$D831)</f>
        <v/>
      </c>
      <c r="G831" s="124">
        <f>IF($E831=0,0,$E831*($F831-1))</f>
        <v/>
      </c>
      <c r="H831" s="124">
        <f>IF($B831="","",CONCATENATE("Örnek kıymet: ",$B831))</f>
        <v/>
      </c>
    </row>
    <row r="832" ht="15" customHeight="1" s="81">
      <c r="E832" s="124">
        <f>IF($C832=0,0,$C832-$D832)</f>
        <v/>
      </c>
      <c r="G832" s="124">
        <f>IF($E832=0,0,$E832*($F832-1))</f>
        <v/>
      </c>
      <c r="H832" s="124">
        <f>IF($B832="","",CONCATENATE("Örnek kıymet: ",$B832))</f>
        <v/>
      </c>
    </row>
    <row r="833" ht="15" customHeight="1" s="81">
      <c r="E833" s="124">
        <f>IF($C833=0,0,$C833-$D833)</f>
        <v/>
      </c>
      <c r="G833" s="124">
        <f>IF($E833=0,0,$E833*($F833-1))</f>
        <v/>
      </c>
      <c r="H833" s="124">
        <f>IF($B833="","",CONCATENATE("Örnek kıymet: ",$B833))</f>
        <v/>
      </c>
    </row>
    <row r="834" ht="15" customHeight="1" s="81">
      <c r="E834" s="124">
        <f>IF($C834=0,0,$C834-$D834)</f>
        <v/>
      </c>
      <c r="G834" s="124">
        <f>IF($E834=0,0,$E834*($F834-1))</f>
        <v/>
      </c>
      <c r="H834" s="124">
        <f>IF($B834="","",CONCATENATE("Örnek kıymet: ",$B834))</f>
        <v/>
      </c>
    </row>
    <row r="835" ht="15" customHeight="1" s="81">
      <c r="E835" s="124">
        <f>IF($C835=0,0,$C835-$D835)</f>
        <v/>
      </c>
      <c r="G835" s="124">
        <f>IF($E835=0,0,$E835*($F835-1))</f>
        <v/>
      </c>
      <c r="H835" s="124">
        <f>IF($B835="","",CONCATENATE("Örnek kıymet: ",$B835))</f>
        <v/>
      </c>
    </row>
    <row r="836" ht="15" customHeight="1" s="81">
      <c r="E836" s="124">
        <f>IF($C836=0,0,$C836-$D836)</f>
        <v/>
      </c>
      <c r="G836" s="124">
        <f>IF($E836=0,0,$E836*($F836-1))</f>
        <v/>
      </c>
      <c r="H836" s="124">
        <f>IF($B836="","",CONCATENATE("Örnek kıymet: ",$B836))</f>
        <v/>
      </c>
    </row>
    <row r="837" ht="15" customHeight="1" s="81">
      <c r="E837" s="124">
        <f>IF($C837=0,0,$C837-$D837)</f>
        <v/>
      </c>
      <c r="G837" s="124">
        <f>IF($E837=0,0,$E837*($F837-1))</f>
        <v/>
      </c>
      <c r="H837" s="124">
        <f>IF($B837="","",CONCATENATE("Örnek kıymet: ",$B837))</f>
        <v/>
      </c>
    </row>
    <row r="838" ht="15" customHeight="1" s="81">
      <c r="E838" s="124">
        <f>IF($C838=0,0,$C838-$D838)</f>
        <v/>
      </c>
      <c r="G838" s="124">
        <f>IF($E838=0,0,$E838*($F838-1))</f>
        <v/>
      </c>
      <c r="H838" s="124">
        <f>IF($B838="","",CONCATENATE("Örnek kıymet: ",$B838))</f>
        <v/>
      </c>
    </row>
    <row r="839" ht="15" customHeight="1" s="81">
      <c r="E839" s="124">
        <f>IF($C839=0,0,$C839-$D839)</f>
        <v/>
      </c>
      <c r="G839" s="124">
        <f>IF($E839=0,0,$E839*($F839-1))</f>
        <v/>
      </c>
      <c r="H839" s="124">
        <f>IF($B839="","",CONCATENATE("Örnek kıymet: ",$B839))</f>
        <v/>
      </c>
    </row>
    <row r="840" ht="15" customHeight="1" s="81">
      <c r="E840" s="124">
        <f>IF($C840=0,0,$C840-$D840)</f>
        <v/>
      </c>
      <c r="G840" s="124">
        <f>IF($E840=0,0,$E840*($F840-1))</f>
        <v/>
      </c>
      <c r="H840" s="124">
        <f>IF($B840="","",CONCATENATE("Örnek kıymet: ",$B840))</f>
        <v/>
      </c>
    </row>
    <row r="841" ht="15" customHeight="1" s="81">
      <c r="E841" s="124">
        <f>IF($C841=0,0,$C841-$D841)</f>
        <v/>
      </c>
      <c r="G841" s="124">
        <f>IF($E841=0,0,$E841*($F841-1))</f>
        <v/>
      </c>
      <c r="H841" s="124">
        <f>IF($B841="","",CONCATENATE("Örnek kıymet: ",$B841))</f>
        <v/>
      </c>
    </row>
    <row r="842" ht="15" customHeight="1" s="81">
      <c r="E842" s="124">
        <f>IF($C842=0,0,$C842-$D842)</f>
        <v/>
      </c>
      <c r="G842" s="124">
        <f>IF($E842=0,0,$E842*($F842-1))</f>
        <v/>
      </c>
      <c r="H842" s="124">
        <f>IF($B842="","",CONCATENATE("Örnek kıymet: ",$B842))</f>
        <v/>
      </c>
    </row>
    <row r="843" ht="15" customHeight="1" s="81">
      <c r="E843" s="124">
        <f>IF($C843=0,0,$C843-$D843)</f>
        <v/>
      </c>
      <c r="G843" s="124">
        <f>IF($E843=0,0,$E843*($F843-1))</f>
        <v/>
      </c>
      <c r="H843" s="124">
        <f>IF($B843="","",CONCATENATE("Örnek kıymet: ",$B843))</f>
        <v/>
      </c>
    </row>
    <row r="844" ht="15" customHeight="1" s="81">
      <c r="E844" s="124">
        <f>IF($C844=0,0,$C844-$D844)</f>
        <v/>
      </c>
      <c r="G844" s="124">
        <f>IF($E844=0,0,$E844*($F844-1))</f>
        <v/>
      </c>
      <c r="H844" s="124">
        <f>IF($B844="","",CONCATENATE("Örnek kıymet: ",$B844))</f>
        <v/>
      </c>
    </row>
    <row r="845" ht="15" customHeight="1" s="81">
      <c r="E845" s="124">
        <f>IF($C845=0,0,$C845-$D845)</f>
        <v/>
      </c>
      <c r="G845" s="124">
        <f>IF($E845=0,0,$E845*($F845-1))</f>
        <v/>
      </c>
      <c r="H845" s="124">
        <f>IF($B845="","",CONCATENATE("Örnek kıymet: ",$B845))</f>
        <v/>
      </c>
    </row>
    <row r="846" ht="15" customHeight="1" s="81">
      <c r="E846" s="124">
        <f>IF($C846=0,0,$C846-$D846)</f>
        <v/>
      </c>
      <c r="G846" s="124">
        <f>IF($E846=0,0,$E846*($F846-1))</f>
        <v/>
      </c>
      <c r="H846" s="124">
        <f>IF($B846="","",CONCATENATE("Örnek kıymet: ",$B846))</f>
        <v/>
      </c>
    </row>
    <row r="847" ht="15" customHeight="1" s="81">
      <c r="E847" s="124">
        <f>IF($C847=0,0,$C847-$D847)</f>
        <v/>
      </c>
      <c r="G847" s="124">
        <f>IF($E847=0,0,$E847*($F847-1))</f>
        <v/>
      </c>
      <c r="H847" s="124">
        <f>IF($B847="","",CONCATENATE("Örnek kıymet: ",$B847))</f>
        <v/>
      </c>
    </row>
    <row r="848" ht="15" customHeight="1" s="81">
      <c r="E848" s="124">
        <f>IF($C848=0,0,$C848-$D848)</f>
        <v/>
      </c>
      <c r="G848" s="124">
        <f>IF($E848=0,0,$E848*($F848-1))</f>
        <v/>
      </c>
      <c r="H848" s="124">
        <f>IF($B848="","",CONCATENATE("Örnek kıymet: ",$B848))</f>
        <v/>
      </c>
    </row>
    <row r="849" ht="15" customHeight="1" s="81">
      <c r="E849" s="124">
        <f>IF($C849=0,0,$C849-$D849)</f>
        <v/>
      </c>
      <c r="G849" s="124">
        <f>IF($E849=0,0,$E849*($F849-1))</f>
        <v/>
      </c>
      <c r="H849" s="124">
        <f>IF($B849="","",CONCATENATE("Örnek kıymet: ",$B849))</f>
        <v/>
      </c>
    </row>
    <row r="850" ht="15" customHeight="1" s="81">
      <c r="E850" s="124">
        <f>IF($C850=0,0,$C850-$D850)</f>
        <v/>
      </c>
      <c r="G850" s="124">
        <f>IF($E850=0,0,$E850*($F850-1))</f>
        <v/>
      </c>
      <c r="H850" s="124">
        <f>IF($B850="","",CONCATENATE("Örnek kıymet: ",$B850))</f>
        <v/>
      </c>
    </row>
    <row r="851" ht="15" customHeight="1" s="81">
      <c r="E851" s="124">
        <f>IF($C851=0,0,$C851-$D851)</f>
        <v/>
      </c>
      <c r="G851" s="124">
        <f>IF($E851=0,0,$E851*($F851-1))</f>
        <v/>
      </c>
      <c r="H851" s="124">
        <f>IF($B851="","",CONCATENATE("Örnek kıymet: ",$B851))</f>
        <v/>
      </c>
    </row>
    <row r="852" ht="15" customHeight="1" s="81">
      <c r="E852" s="124">
        <f>IF($C852=0,0,$C852-$D852)</f>
        <v/>
      </c>
      <c r="G852" s="124">
        <f>IF($E852=0,0,$E852*($F852-1))</f>
        <v/>
      </c>
      <c r="H852" s="124">
        <f>IF($B852="","",CONCATENATE("Örnek kıymet: ",$B852))</f>
        <v/>
      </c>
    </row>
    <row r="853" ht="15" customHeight="1" s="81">
      <c r="E853" s="124">
        <f>IF($C853=0,0,$C853-$D853)</f>
        <v/>
      </c>
      <c r="G853" s="124">
        <f>IF($E853=0,0,$E853*($F853-1))</f>
        <v/>
      </c>
      <c r="H853" s="124">
        <f>IF($B853="","",CONCATENATE("Örnek kıymet: ",$B853))</f>
        <v/>
      </c>
    </row>
    <row r="854" ht="15" customHeight="1" s="81">
      <c r="E854" s="124">
        <f>IF($C854=0,0,$C854-$D854)</f>
        <v/>
      </c>
      <c r="G854" s="124">
        <f>IF($E854=0,0,$E854*($F854-1))</f>
        <v/>
      </c>
      <c r="H854" s="124">
        <f>IF($B854="","",CONCATENATE("Örnek kıymet: ",$B854))</f>
        <v/>
      </c>
    </row>
    <row r="855" ht="15" customHeight="1" s="81">
      <c r="E855" s="124">
        <f>IF($C855=0,0,$C855-$D855)</f>
        <v/>
      </c>
      <c r="G855" s="124">
        <f>IF($E855=0,0,$E855*($F855-1))</f>
        <v/>
      </c>
      <c r="H855" s="124">
        <f>IF($B855="","",CONCATENATE("Örnek kıymet: ",$B855))</f>
        <v/>
      </c>
    </row>
    <row r="856" ht="15" customHeight="1" s="81">
      <c r="E856" s="124">
        <f>IF($C856=0,0,$C856-$D856)</f>
        <v/>
      </c>
      <c r="G856" s="124">
        <f>IF($E856=0,0,$E856*($F856-1))</f>
        <v/>
      </c>
      <c r="H856" s="124">
        <f>IF($B856="","",CONCATENATE("Örnek kıymet: ",$B856))</f>
        <v/>
      </c>
    </row>
    <row r="857" ht="15" customHeight="1" s="81">
      <c r="E857" s="124">
        <f>IF($C857=0,0,$C857-$D857)</f>
        <v/>
      </c>
      <c r="G857" s="124">
        <f>IF($E857=0,0,$E857*($F857-1))</f>
        <v/>
      </c>
      <c r="H857" s="124">
        <f>IF($B857="","",CONCATENATE("Örnek kıymet: ",$B857))</f>
        <v/>
      </c>
    </row>
    <row r="858" ht="15" customHeight="1" s="81">
      <c r="E858" s="124">
        <f>IF($C858=0,0,$C858-$D858)</f>
        <v/>
      </c>
      <c r="G858" s="124">
        <f>IF($E858=0,0,$E858*($F858-1))</f>
        <v/>
      </c>
      <c r="H858" s="124">
        <f>IF($B858="","",CONCATENATE("Örnek kıymet: ",$B858))</f>
        <v/>
      </c>
    </row>
    <row r="859" ht="15" customHeight="1" s="81">
      <c r="E859" s="124">
        <f>IF($C859=0,0,$C859-$D859)</f>
        <v/>
      </c>
      <c r="G859" s="124">
        <f>IF($E859=0,0,$E859*($F859-1))</f>
        <v/>
      </c>
      <c r="H859" s="124">
        <f>IF($B859="","",CONCATENATE("Örnek kıymet: ",$B859))</f>
        <v/>
      </c>
    </row>
    <row r="860" ht="15" customHeight="1" s="81">
      <c r="E860" s="124">
        <f>IF($C860=0,0,$C860-$D860)</f>
        <v/>
      </c>
      <c r="G860" s="124">
        <f>IF($E860=0,0,$E860*($F860-1))</f>
        <v/>
      </c>
      <c r="H860" s="124">
        <f>IF($B860="","",CONCATENATE("Örnek kıymet: ",$B860))</f>
        <v/>
      </c>
    </row>
    <row r="861" ht="15" customHeight="1" s="81">
      <c r="E861" s="124">
        <f>IF($C861=0,0,$C861-$D861)</f>
        <v/>
      </c>
      <c r="G861" s="124">
        <f>IF($E861=0,0,$E861*($F861-1))</f>
        <v/>
      </c>
      <c r="H861" s="124">
        <f>IF($B861="","",CONCATENATE("Örnek kıymet: ",$B861))</f>
        <v/>
      </c>
    </row>
    <row r="862" ht="15" customHeight="1" s="81">
      <c r="E862" s="124">
        <f>IF($C862=0,0,$C862-$D862)</f>
        <v/>
      </c>
      <c r="G862" s="124">
        <f>IF($E862=0,0,$E862*($F862-1))</f>
        <v/>
      </c>
      <c r="H862" s="124">
        <f>IF($B862="","",CONCATENATE("Örnek kıymet: ",$B862))</f>
        <v/>
      </c>
    </row>
    <row r="863" ht="15" customHeight="1" s="81">
      <c r="E863" s="124">
        <f>IF($C863=0,0,$C863-$D863)</f>
        <v/>
      </c>
      <c r="G863" s="124">
        <f>IF($E863=0,0,$E863*($F863-1))</f>
        <v/>
      </c>
      <c r="H863" s="124">
        <f>IF($B863="","",CONCATENATE("Örnek kıymet: ",$B863))</f>
        <v/>
      </c>
    </row>
    <row r="864" ht="15" customHeight="1" s="81">
      <c r="E864" s="124">
        <f>IF($C864=0,0,$C864-$D864)</f>
        <v/>
      </c>
      <c r="G864" s="124">
        <f>IF($E864=0,0,$E864*($F864-1))</f>
        <v/>
      </c>
      <c r="H864" s="124">
        <f>IF($B864="","",CONCATENATE("Örnek kıymet: ",$B864))</f>
        <v/>
      </c>
    </row>
    <row r="865" ht="15" customHeight="1" s="81">
      <c r="E865" s="124">
        <f>IF($C865=0,0,$C865-$D865)</f>
        <v/>
      </c>
      <c r="G865" s="124">
        <f>IF($E865=0,0,$E865*($F865-1))</f>
        <v/>
      </c>
      <c r="H865" s="124">
        <f>IF($B865="","",CONCATENATE("Örnek kıymet: ",$B865))</f>
        <v/>
      </c>
    </row>
    <row r="866" ht="15" customHeight="1" s="81">
      <c r="E866" s="124">
        <f>IF($C866=0,0,$C866-$D866)</f>
        <v/>
      </c>
      <c r="G866" s="124">
        <f>IF($E866=0,0,$E866*($F866-1))</f>
        <v/>
      </c>
      <c r="H866" s="124">
        <f>IF($B866="","",CONCATENATE("Örnek kıymet: ",$B866))</f>
        <v/>
      </c>
    </row>
    <row r="867" ht="15" customHeight="1" s="81">
      <c r="E867" s="124">
        <f>IF($C867=0,0,$C867-$D867)</f>
        <v/>
      </c>
      <c r="G867" s="124">
        <f>IF($E867=0,0,$E867*($F867-1))</f>
        <v/>
      </c>
      <c r="H867" s="124">
        <f>IF($B867="","",CONCATENATE("Örnek kıymet: ",$B867))</f>
        <v/>
      </c>
    </row>
    <row r="868" ht="15" customHeight="1" s="81">
      <c r="E868" s="124">
        <f>IF($C868=0,0,$C868-$D868)</f>
        <v/>
      </c>
      <c r="G868" s="124">
        <f>IF($E868=0,0,$E868*($F868-1))</f>
        <v/>
      </c>
      <c r="H868" s="124">
        <f>IF($B868="","",CONCATENATE("Örnek kıymet: ",$B868))</f>
        <v/>
      </c>
    </row>
    <row r="869" ht="15" customHeight="1" s="81">
      <c r="E869" s="124">
        <f>IF($C869=0,0,$C869-$D869)</f>
        <v/>
      </c>
      <c r="G869" s="124">
        <f>IF($E869=0,0,$E869*($F869-1))</f>
        <v/>
      </c>
      <c r="H869" s="124">
        <f>IF($B869="","",CONCATENATE("Örnek kıymet: ",$B869))</f>
        <v/>
      </c>
    </row>
    <row r="870" ht="15" customHeight="1" s="81">
      <c r="E870" s="124">
        <f>IF($C870=0,0,$C870-$D870)</f>
        <v/>
      </c>
      <c r="G870" s="124">
        <f>IF($E870=0,0,$E870*($F870-1))</f>
        <v/>
      </c>
      <c r="H870" s="124">
        <f>IF($B870="","",CONCATENATE("Örnek kıymet: ",$B870))</f>
        <v/>
      </c>
    </row>
    <row r="871" ht="15" customHeight="1" s="81">
      <c r="E871" s="124">
        <f>IF($C871=0,0,$C871-$D871)</f>
        <v/>
      </c>
      <c r="G871" s="124">
        <f>IF($E871=0,0,$E871*($F871-1))</f>
        <v/>
      </c>
      <c r="H871" s="124">
        <f>IF($B871="","",CONCATENATE("Örnek kıymet: ",$B871))</f>
        <v/>
      </c>
    </row>
    <row r="872" ht="15" customHeight="1" s="81">
      <c r="E872" s="124">
        <f>IF($C872=0,0,$C872-$D872)</f>
        <v/>
      </c>
      <c r="G872" s="124">
        <f>IF($E872=0,0,$E872*($F872-1))</f>
        <v/>
      </c>
      <c r="H872" s="124">
        <f>IF($B872="","",CONCATENATE("Örnek kıymet: ",$B872))</f>
        <v/>
      </c>
    </row>
    <row r="873" ht="15" customHeight="1" s="81">
      <c r="E873" s="124">
        <f>IF($C873=0,0,$C873-$D873)</f>
        <v/>
      </c>
      <c r="G873" s="124">
        <f>IF($E873=0,0,$E873*($F873-1))</f>
        <v/>
      </c>
      <c r="H873" s="124">
        <f>IF($B873="","",CONCATENATE("Örnek kıymet: ",$B873))</f>
        <v/>
      </c>
    </row>
    <row r="874" ht="15" customHeight="1" s="81">
      <c r="E874" s="124">
        <f>IF($C874=0,0,$C874-$D874)</f>
        <v/>
      </c>
      <c r="G874" s="124">
        <f>IF($E874=0,0,$E874*($F874-1))</f>
        <v/>
      </c>
      <c r="H874" s="124">
        <f>IF($B874="","",CONCATENATE("Örnek kıymet: ",$B874))</f>
        <v/>
      </c>
    </row>
    <row r="875" ht="15" customHeight="1" s="81">
      <c r="E875" s="124">
        <f>IF($C875=0,0,$C875-$D875)</f>
        <v/>
      </c>
      <c r="G875" s="124">
        <f>IF($E875=0,0,$E875*($F875-1))</f>
        <v/>
      </c>
      <c r="H875" s="124">
        <f>IF($B875="","",CONCATENATE("Örnek kıymet: ",$B875))</f>
        <v/>
      </c>
    </row>
    <row r="876" ht="15" customHeight="1" s="81">
      <c r="E876" s="124">
        <f>IF($C876=0,0,$C876-$D876)</f>
        <v/>
      </c>
      <c r="G876" s="124">
        <f>IF($E876=0,0,$E876*($F876-1))</f>
        <v/>
      </c>
      <c r="H876" s="124">
        <f>IF($B876="","",CONCATENATE("Örnek kıymet: ",$B876))</f>
        <v/>
      </c>
    </row>
    <row r="877" ht="15" customHeight="1" s="81">
      <c r="E877" s="124">
        <f>IF($C877=0,0,$C877-$D877)</f>
        <v/>
      </c>
      <c r="G877" s="124">
        <f>IF($E877=0,0,$E877*($F877-1))</f>
        <v/>
      </c>
      <c r="H877" s="124">
        <f>IF($B877="","",CONCATENATE("Örnek kıymet: ",$B877))</f>
        <v/>
      </c>
    </row>
    <row r="878" ht="15" customHeight="1" s="81">
      <c r="E878" s="124">
        <f>IF($C878=0,0,$C878-$D878)</f>
        <v/>
      </c>
      <c r="G878" s="124">
        <f>IF($E878=0,0,$E878*($F878-1))</f>
        <v/>
      </c>
      <c r="H878" s="124">
        <f>IF($B878="","",CONCATENATE("Örnek kıymet: ",$B878))</f>
        <v/>
      </c>
    </row>
    <row r="879" ht="15" customHeight="1" s="81">
      <c r="E879" s="124">
        <f>IF($C879=0,0,$C879-$D879)</f>
        <v/>
      </c>
      <c r="G879" s="124">
        <f>IF($E879=0,0,$E879*($F879-1))</f>
        <v/>
      </c>
      <c r="H879" s="124">
        <f>IF($B879="","",CONCATENATE("Örnek kıymet: ",$B879))</f>
        <v/>
      </c>
    </row>
    <row r="880" ht="15" customHeight="1" s="81">
      <c r="E880" s="124">
        <f>IF($C880=0,0,$C880-$D880)</f>
        <v/>
      </c>
      <c r="G880" s="124">
        <f>IF($E880=0,0,$E880*($F880-1))</f>
        <v/>
      </c>
      <c r="H880" s="124">
        <f>IF($B880="","",CONCATENATE("Örnek kıymet: ",$B880))</f>
        <v/>
      </c>
    </row>
    <row r="881" ht="15" customHeight="1" s="81">
      <c r="E881" s="124">
        <f>IF($C881=0,0,$C881-$D881)</f>
        <v/>
      </c>
      <c r="G881" s="124">
        <f>IF($E881=0,0,$E881*($F881-1))</f>
        <v/>
      </c>
      <c r="H881" s="124">
        <f>IF($B881="","",CONCATENATE("Örnek kıymet: ",$B881))</f>
        <v/>
      </c>
    </row>
    <row r="882" ht="15" customHeight="1" s="81">
      <c r="E882" s="124">
        <f>IF($C882=0,0,$C882-$D882)</f>
        <v/>
      </c>
      <c r="G882" s="124">
        <f>IF($E882=0,0,$E882*($F882-1))</f>
        <v/>
      </c>
      <c r="H882" s="124">
        <f>IF($B882="","",CONCATENATE("Örnek kıymet: ",$B882))</f>
        <v/>
      </c>
    </row>
    <row r="883" ht="15" customHeight="1" s="81">
      <c r="E883" s="124">
        <f>IF($C883=0,0,$C883-$D883)</f>
        <v/>
      </c>
      <c r="G883" s="124">
        <f>IF($E883=0,0,$E883*($F883-1))</f>
        <v/>
      </c>
      <c r="H883" s="124">
        <f>IF($B883="","",CONCATENATE("Örnek kıymet: ",$B883))</f>
        <v/>
      </c>
    </row>
    <row r="884" ht="15" customHeight="1" s="81">
      <c r="E884" s="124">
        <f>IF($C884=0,0,$C884-$D884)</f>
        <v/>
      </c>
      <c r="G884" s="124">
        <f>IF($E884=0,0,$E884*($F884-1))</f>
        <v/>
      </c>
      <c r="H884" s="124">
        <f>IF($B884="","",CONCATENATE("Örnek kıymet: ",$B884))</f>
        <v/>
      </c>
    </row>
    <row r="885" ht="15" customHeight="1" s="81">
      <c r="E885" s="124">
        <f>IF($C885=0,0,$C885-$D885)</f>
        <v/>
      </c>
      <c r="G885" s="124">
        <f>IF($E885=0,0,$E885*($F885-1))</f>
        <v/>
      </c>
      <c r="H885" s="124">
        <f>IF($B885="","",CONCATENATE("Örnek kıymet: ",$B885))</f>
        <v/>
      </c>
    </row>
    <row r="886" ht="15" customHeight="1" s="81">
      <c r="E886" s="124">
        <f>IF($C886=0,0,$C886-$D886)</f>
        <v/>
      </c>
      <c r="G886" s="124">
        <f>IF($E886=0,0,$E886*($F886-1))</f>
        <v/>
      </c>
      <c r="H886" s="124">
        <f>IF($B886="","",CONCATENATE("Örnek kıymet: ",$B886))</f>
        <v/>
      </c>
    </row>
    <row r="887" ht="15" customHeight="1" s="81">
      <c r="E887" s="124">
        <f>IF($C887=0,0,$C887-$D887)</f>
        <v/>
      </c>
      <c r="G887" s="124">
        <f>IF($E887=0,0,$E887*($F887-1))</f>
        <v/>
      </c>
      <c r="H887" s="124">
        <f>IF($B887="","",CONCATENATE("Örnek kıymet: ",$B887))</f>
        <v/>
      </c>
    </row>
    <row r="888" ht="15" customHeight="1" s="81">
      <c r="E888" s="124">
        <f>IF($C888=0,0,$C888-$D888)</f>
        <v/>
      </c>
      <c r="G888" s="124">
        <f>IF($E888=0,0,$E888*($F888-1))</f>
        <v/>
      </c>
      <c r="H888" s="124">
        <f>IF($B888="","",CONCATENATE("Örnek kıymet: ",$B888))</f>
        <v/>
      </c>
    </row>
    <row r="889" ht="15" customHeight="1" s="81">
      <c r="E889" s="124">
        <f>IF($C889=0,0,$C889-$D889)</f>
        <v/>
      </c>
      <c r="G889" s="124">
        <f>IF($E889=0,0,$E889*($F889-1))</f>
        <v/>
      </c>
      <c r="H889" s="124">
        <f>IF($B889="","",CONCATENATE("Örnek kıymet: ",$B889))</f>
        <v/>
      </c>
    </row>
    <row r="890" ht="15" customHeight="1" s="81">
      <c r="E890" s="124">
        <f>IF($C890=0,0,$C890-$D890)</f>
        <v/>
      </c>
      <c r="G890" s="124">
        <f>IF($E890=0,0,$E890*($F890-1))</f>
        <v/>
      </c>
      <c r="H890" s="124">
        <f>IF($B890="","",CONCATENATE("Örnek kıymet: ",$B890))</f>
        <v/>
      </c>
    </row>
    <row r="891" ht="15" customHeight="1" s="81">
      <c r="E891" s="124">
        <f>IF($C891=0,0,$C891-$D891)</f>
        <v/>
      </c>
      <c r="G891" s="124">
        <f>IF($E891=0,0,$E891*($F891-1))</f>
        <v/>
      </c>
      <c r="H891" s="124">
        <f>IF($B891="","",CONCATENATE("Örnek kıymet: ",$B891))</f>
        <v/>
      </c>
    </row>
    <row r="892" ht="15" customHeight="1" s="81">
      <c r="E892" s="124">
        <f>IF($C892=0,0,$C892-$D892)</f>
        <v/>
      </c>
      <c r="G892" s="124">
        <f>IF($E892=0,0,$E892*($F892-1))</f>
        <v/>
      </c>
      <c r="H892" s="124">
        <f>IF($B892="","",CONCATENATE("Örnek kıymet: ",$B892))</f>
        <v/>
      </c>
    </row>
    <row r="893" ht="15" customHeight="1" s="81">
      <c r="E893" s="124">
        <f>IF($C893=0,0,$C893-$D893)</f>
        <v/>
      </c>
      <c r="G893" s="124">
        <f>IF($E893=0,0,$E893*($F893-1))</f>
        <v/>
      </c>
      <c r="H893" s="124">
        <f>IF($B893="","",CONCATENATE("Örnek kıymet: ",$B893))</f>
        <v/>
      </c>
    </row>
    <row r="894" ht="15" customHeight="1" s="81">
      <c r="E894" s="124">
        <f>IF($C894=0,0,$C894-$D894)</f>
        <v/>
      </c>
      <c r="G894" s="124">
        <f>IF($E894=0,0,$E894*($F894-1))</f>
        <v/>
      </c>
      <c r="H894" s="124">
        <f>IF($B894="","",CONCATENATE("Örnek kıymet: ",$B894))</f>
        <v/>
      </c>
    </row>
    <row r="895" ht="15" customHeight="1" s="81">
      <c r="E895" s="124">
        <f>IF($C895=0,0,$C895-$D895)</f>
        <v/>
      </c>
      <c r="G895" s="124">
        <f>IF($E895=0,0,$E895*($F895-1))</f>
        <v/>
      </c>
      <c r="H895" s="124">
        <f>IF($B895="","",CONCATENATE("Örnek kıymet: ",$B895))</f>
        <v/>
      </c>
    </row>
    <row r="896" ht="15" customHeight="1" s="81">
      <c r="E896" s="124">
        <f>IF($C896=0,0,$C896-$D896)</f>
        <v/>
      </c>
      <c r="G896" s="124">
        <f>IF($E896=0,0,$E896*($F896-1))</f>
        <v/>
      </c>
      <c r="H896" s="124">
        <f>IF($B896="","",CONCATENATE("Örnek kıymet: ",$B896))</f>
        <v/>
      </c>
    </row>
    <row r="897" ht="15" customHeight="1" s="81">
      <c r="E897" s="124">
        <f>IF($C897=0,0,$C897-$D897)</f>
        <v/>
      </c>
      <c r="G897" s="124">
        <f>IF($E897=0,0,$E897*($F897-1))</f>
        <v/>
      </c>
      <c r="H897" s="124">
        <f>IF($B897="","",CONCATENATE("Örnek kıymet: ",$B897))</f>
        <v/>
      </c>
    </row>
    <row r="898" ht="15" customHeight="1" s="81">
      <c r="E898" s="124">
        <f>IF($C898=0,0,$C898-$D898)</f>
        <v/>
      </c>
      <c r="G898" s="124">
        <f>IF($E898=0,0,$E898*($F898-1))</f>
        <v/>
      </c>
      <c r="H898" s="124">
        <f>IF($B898="","",CONCATENATE("Örnek kıymet: ",$B898))</f>
        <v/>
      </c>
    </row>
    <row r="899" ht="15" customHeight="1" s="81">
      <c r="E899" s="124">
        <f>IF($C899=0,0,$C899-$D899)</f>
        <v/>
      </c>
      <c r="G899" s="124">
        <f>IF($E899=0,0,$E899*($F899-1))</f>
        <v/>
      </c>
      <c r="H899" s="124">
        <f>IF($B899="","",CONCATENATE("Örnek kıymet: ",$B899))</f>
        <v/>
      </c>
    </row>
    <row r="900" ht="15" customHeight="1" s="81">
      <c r="E900" s="124">
        <f>IF($C900=0,0,$C900-$D900)</f>
        <v/>
      </c>
      <c r="G900" s="124">
        <f>IF($E900=0,0,$E900*($F900-1))</f>
        <v/>
      </c>
      <c r="H900" s="124">
        <f>IF($B900="","",CONCATENATE("Örnek kıymet: ",$B900))</f>
        <v/>
      </c>
    </row>
    <row r="901" ht="15" customHeight="1" s="81">
      <c r="E901" s="124">
        <f>IF($C901=0,0,$C901-$D901)</f>
        <v/>
      </c>
      <c r="G901" s="124">
        <f>IF($E901=0,0,$E901*($F901-1))</f>
        <v/>
      </c>
      <c r="H901" s="124">
        <f>IF($B901="","",CONCATENATE("Örnek kıymet: ",$B901))</f>
        <v/>
      </c>
    </row>
    <row r="902" ht="15" customHeight="1" s="81">
      <c r="E902" s="124">
        <f>IF($C902=0,0,$C902-$D902)</f>
        <v/>
      </c>
      <c r="G902" s="124">
        <f>IF($E902=0,0,$E902*($F902-1))</f>
        <v/>
      </c>
      <c r="H902" s="124">
        <f>IF($B902="","",CONCATENATE("Örnek kıymet: ",$B902))</f>
        <v/>
      </c>
    </row>
    <row r="903" ht="15" customHeight="1" s="81">
      <c r="E903" s="124">
        <f>IF($C903=0,0,$C903-$D903)</f>
        <v/>
      </c>
      <c r="G903" s="124">
        <f>IF($E903=0,0,$E903*($F903-1))</f>
        <v/>
      </c>
      <c r="H903" s="124">
        <f>IF($B903="","",CONCATENATE("Örnek kıymet: ",$B903))</f>
        <v/>
      </c>
    </row>
    <row r="904" ht="15" customHeight="1" s="81">
      <c r="E904" s="124">
        <f>IF($C904=0,0,$C904-$D904)</f>
        <v/>
      </c>
      <c r="G904" s="124">
        <f>IF($E904=0,0,$E904*($F904-1))</f>
        <v/>
      </c>
      <c r="H904" s="124">
        <f>IF($B904="","",CONCATENATE("Örnek kıymet: ",$B904))</f>
        <v/>
      </c>
    </row>
    <row r="905" ht="15" customHeight="1" s="81">
      <c r="E905" s="124">
        <f>IF($C905=0,0,$C905-$D905)</f>
        <v/>
      </c>
      <c r="G905" s="124">
        <f>IF($E905=0,0,$E905*($F905-1))</f>
        <v/>
      </c>
      <c r="H905" s="124">
        <f>IF($B905="","",CONCATENATE("Örnek kıymet: ",$B905))</f>
        <v/>
      </c>
    </row>
    <row r="906" ht="15" customHeight="1" s="81">
      <c r="E906" s="124">
        <f>IF($C906=0,0,$C906-$D906)</f>
        <v/>
      </c>
      <c r="G906" s="124">
        <f>IF($E906=0,0,$E906*($F906-1))</f>
        <v/>
      </c>
      <c r="H906" s="124">
        <f>IF($B906="","",CONCATENATE("Örnek kıymet: ",$B906))</f>
        <v/>
      </c>
    </row>
    <row r="907" ht="15" customHeight="1" s="81">
      <c r="E907" s="124">
        <f>IF($C907=0,0,$C907-$D907)</f>
        <v/>
      </c>
      <c r="G907" s="124">
        <f>IF($E907=0,0,$E907*($F907-1))</f>
        <v/>
      </c>
      <c r="H907" s="124">
        <f>IF($B907="","",CONCATENATE("Örnek kıymet: ",$B907))</f>
        <v/>
      </c>
    </row>
    <row r="908" ht="15" customHeight="1" s="81">
      <c r="E908" s="124">
        <f>IF($C908=0,0,$C908-$D908)</f>
        <v/>
      </c>
      <c r="G908" s="124">
        <f>IF($E908=0,0,$E908*($F908-1))</f>
        <v/>
      </c>
      <c r="H908" s="124">
        <f>IF($B908="","",CONCATENATE("Örnek kıymet: ",$B908))</f>
        <v/>
      </c>
    </row>
    <row r="909" ht="15" customHeight="1" s="81">
      <c r="E909" s="124">
        <f>IF($C909=0,0,$C909-$D909)</f>
        <v/>
      </c>
      <c r="G909" s="124">
        <f>IF($E909=0,0,$E909*($F909-1))</f>
        <v/>
      </c>
      <c r="H909" s="124">
        <f>IF($B909="","",CONCATENATE("Örnek kıymet: ",$B909))</f>
        <v/>
      </c>
    </row>
    <row r="910" ht="15" customHeight="1" s="81">
      <c r="E910" s="124">
        <f>IF($C910=0,0,$C910-$D910)</f>
        <v/>
      </c>
      <c r="G910" s="124">
        <f>IF($E910=0,0,$E910*($F910-1))</f>
        <v/>
      </c>
      <c r="H910" s="124">
        <f>IF($B910="","",CONCATENATE("Örnek kıymet: ",$B910))</f>
        <v/>
      </c>
    </row>
    <row r="911" ht="15" customHeight="1" s="81">
      <c r="E911" s="124">
        <f>IF($C911=0,0,$C911-$D911)</f>
        <v/>
      </c>
      <c r="G911" s="124">
        <f>IF($E911=0,0,$E911*($F911-1))</f>
        <v/>
      </c>
      <c r="H911" s="124">
        <f>IF($B911="","",CONCATENATE("Örnek kıymet: ",$B911))</f>
        <v/>
      </c>
    </row>
    <row r="912" ht="15" customHeight="1" s="81">
      <c r="E912" s="124">
        <f>IF($C912=0,0,$C912-$D912)</f>
        <v/>
      </c>
      <c r="G912" s="124">
        <f>IF($E912=0,0,$E912*($F912-1))</f>
        <v/>
      </c>
      <c r="H912" s="124">
        <f>IF($B912="","",CONCATENATE("Örnek kıymet: ",$B912))</f>
        <v/>
      </c>
    </row>
    <row r="913" ht="15" customHeight="1" s="81">
      <c r="E913" s="124">
        <f>IF($C913=0,0,$C913-$D913)</f>
        <v/>
      </c>
      <c r="G913" s="124">
        <f>IF($E913=0,0,$E913*($F913-1))</f>
        <v/>
      </c>
      <c r="H913" s="124">
        <f>IF($B913="","",CONCATENATE("Örnek kıymet: ",$B913))</f>
        <v/>
      </c>
    </row>
    <row r="914" ht="15" customHeight="1" s="81">
      <c r="E914" s="124">
        <f>IF($C914=0,0,$C914-$D914)</f>
        <v/>
      </c>
      <c r="G914" s="124">
        <f>IF($E914=0,0,$E914*($F914-1))</f>
        <v/>
      </c>
      <c r="H914" s="124">
        <f>IF($B914="","",CONCATENATE("Örnek kıymet: ",$B914))</f>
        <v/>
      </c>
    </row>
    <row r="915" ht="15" customHeight="1" s="81">
      <c r="E915" s="124">
        <f>IF($C915=0,0,$C915-$D915)</f>
        <v/>
      </c>
      <c r="G915" s="124">
        <f>IF($E915=0,0,$E915*($F915-1))</f>
        <v/>
      </c>
      <c r="H915" s="124">
        <f>IF($B915="","",CONCATENATE("Örnek kıymet: ",$B915))</f>
        <v/>
      </c>
    </row>
    <row r="916" ht="15" customHeight="1" s="81">
      <c r="E916" s="124">
        <f>IF($C916=0,0,$C916-$D916)</f>
        <v/>
      </c>
      <c r="G916" s="124">
        <f>IF($E916=0,0,$E916*($F916-1))</f>
        <v/>
      </c>
      <c r="H916" s="124">
        <f>IF($B916="","",CONCATENATE("Örnek kıymet: ",$B916))</f>
        <v/>
      </c>
    </row>
    <row r="917" ht="15" customHeight="1" s="81">
      <c r="E917" s="124">
        <f>IF($C917=0,0,$C917-$D917)</f>
        <v/>
      </c>
      <c r="G917" s="124">
        <f>IF($E917=0,0,$E917*($F917-1))</f>
        <v/>
      </c>
      <c r="H917" s="124">
        <f>IF($B917="","",CONCATENATE("Örnek kıymet: ",$B917))</f>
        <v/>
      </c>
    </row>
    <row r="918" ht="15" customHeight="1" s="81">
      <c r="E918" s="124">
        <f>IF($C918=0,0,$C918-$D918)</f>
        <v/>
      </c>
      <c r="G918" s="124">
        <f>IF($E918=0,0,$E918*($F918-1))</f>
        <v/>
      </c>
      <c r="H918" s="124">
        <f>IF($B918="","",CONCATENATE("Örnek kıymet: ",$B918))</f>
        <v/>
      </c>
    </row>
    <row r="919" ht="15" customHeight="1" s="81">
      <c r="E919" s="124">
        <f>IF($C919=0,0,$C919-$D919)</f>
        <v/>
      </c>
      <c r="G919" s="124">
        <f>IF($E919=0,0,$E919*($F919-1))</f>
        <v/>
      </c>
      <c r="H919" s="124">
        <f>IF($B919="","",CONCATENATE("Örnek kıymet: ",$B919))</f>
        <v/>
      </c>
    </row>
    <row r="920" ht="15" customHeight="1" s="81">
      <c r="E920" s="124">
        <f>IF($C920=0,0,$C920-$D920)</f>
        <v/>
      </c>
      <c r="G920" s="124">
        <f>IF($E920=0,0,$E920*($F920-1))</f>
        <v/>
      </c>
      <c r="H920" s="124">
        <f>IF($B920="","",CONCATENATE("Örnek kıymet: ",$B920))</f>
        <v/>
      </c>
    </row>
    <row r="921" ht="15" customHeight="1" s="81">
      <c r="E921" s="124">
        <f>IF($C921=0,0,$C921-$D921)</f>
        <v/>
      </c>
      <c r="G921" s="124">
        <f>IF($E921=0,0,$E921*($F921-1))</f>
        <v/>
      </c>
      <c r="H921" s="124">
        <f>IF($B921="","",CONCATENATE("Örnek kıymet: ",$B921))</f>
        <v/>
      </c>
    </row>
    <row r="922" ht="15" customHeight="1" s="81">
      <c r="E922" s="124">
        <f>IF($C922=0,0,$C922-$D922)</f>
        <v/>
      </c>
      <c r="G922" s="124">
        <f>IF($E922=0,0,$E922*($F922-1))</f>
        <v/>
      </c>
      <c r="H922" s="124">
        <f>IF($B922="","",CONCATENATE("Örnek kıymet: ",$B922))</f>
        <v/>
      </c>
    </row>
    <row r="923" ht="15" customHeight="1" s="81">
      <c r="E923" s="124">
        <f>IF($C923=0,0,$C923-$D923)</f>
        <v/>
      </c>
      <c r="G923" s="124">
        <f>IF($E923=0,0,$E923*($F923-1))</f>
        <v/>
      </c>
      <c r="H923" s="124">
        <f>IF($B923="","",CONCATENATE("Örnek kıymet: ",$B923))</f>
        <v/>
      </c>
    </row>
    <row r="924" ht="15" customHeight="1" s="81">
      <c r="E924" s="124">
        <f>IF($C924=0,0,$C924-$D924)</f>
        <v/>
      </c>
      <c r="G924" s="124">
        <f>IF($E924=0,0,$E924*($F924-1))</f>
        <v/>
      </c>
      <c r="H924" s="124">
        <f>IF($B924="","",CONCATENATE("Örnek kıymet: ",$B924))</f>
        <v/>
      </c>
    </row>
    <row r="925" ht="15" customHeight="1" s="81">
      <c r="E925" s="124">
        <f>IF($C925=0,0,$C925-$D925)</f>
        <v/>
      </c>
      <c r="G925" s="124">
        <f>IF($E925=0,0,$E925*($F925-1))</f>
        <v/>
      </c>
      <c r="H925" s="124">
        <f>IF($B925="","",CONCATENATE("Örnek kıymet: ",$B925))</f>
        <v/>
      </c>
    </row>
    <row r="926" ht="15" customHeight="1" s="81">
      <c r="E926" s="124">
        <f>IF($C926=0,0,$C926-$D926)</f>
        <v/>
      </c>
      <c r="G926" s="124">
        <f>IF($E926=0,0,$E926*($F926-1))</f>
        <v/>
      </c>
      <c r="H926" s="124">
        <f>IF($B926="","",CONCATENATE("Örnek kıymet: ",$B926))</f>
        <v/>
      </c>
    </row>
    <row r="927" ht="15" customHeight="1" s="81">
      <c r="E927" s="124">
        <f>IF($C927=0,0,$C927-$D927)</f>
        <v/>
      </c>
      <c r="G927" s="124">
        <f>IF($E927=0,0,$E927*($F927-1))</f>
        <v/>
      </c>
      <c r="H927" s="124">
        <f>IF($B927="","",CONCATENATE("Örnek kıymet: ",$B927))</f>
        <v/>
      </c>
    </row>
    <row r="928" ht="15" customHeight="1" s="81">
      <c r="E928" s="124">
        <f>IF($C928=0,0,$C928-$D928)</f>
        <v/>
      </c>
      <c r="G928" s="124">
        <f>IF($E928=0,0,$E928*($F928-1))</f>
        <v/>
      </c>
      <c r="H928" s="124">
        <f>IF($B928="","",CONCATENATE("Örnek kıymet: ",$B928))</f>
        <v/>
      </c>
    </row>
    <row r="929" ht="15" customHeight="1" s="81">
      <c r="E929" s="124">
        <f>IF($C929=0,0,$C929-$D929)</f>
        <v/>
      </c>
      <c r="G929" s="124">
        <f>IF($E929=0,0,$E929*($F929-1))</f>
        <v/>
      </c>
      <c r="H929" s="124">
        <f>IF($B929="","",CONCATENATE("Örnek kıymet: ",$B929))</f>
        <v/>
      </c>
    </row>
    <row r="930" ht="15" customHeight="1" s="81">
      <c r="E930" s="124">
        <f>IF($C930=0,0,$C930-$D930)</f>
        <v/>
      </c>
      <c r="G930" s="124">
        <f>IF($E930=0,0,$E930*($F930-1))</f>
        <v/>
      </c>
      <c r="H930" s="124">
        <f>IF($B930="","",CONCATENATE("Örnek kıymet: ",$B930))</f>
        <v/>
      </c>
    </row>
    <row r="931" ht="15" customHeight="1" s="81">
      <c r="E931" s="124">
        <f>IF($C931=0,0,$C931-$D931)</f>
        <v/>
      </c>
      <c r="G931" s="124">
        <f>IF($E931=0,0,$E931*($F931-1))</f>
        <v/>
      </c>
      <c r="H931" s="124">
        <f>IF($B931="","",CONCATENATE("Örnek kıymet: ",$B931))</f>
        <v/>
      </c>
    </row>
    <row r="932" ht="15" customHeight="1" s="81">
      <c r="E932" s="124">
        <f>IF($C932=0,0,$C932-$D932)</f>
        <v/>
      </c>
      <c r="G932" s="124">
        <f>IF($E932=0,0,$E932*($F932-1))</f>
        <v/>
      </c>
      <c r="H932" s="124">
        <f>IF($B932="","",CONCATENATE("Örnek kıymet: ",$B932))</f>
        <v/>
      </c>
    </row>
    <row r="933" ht="15" customHeight="1" s="81">
      <c r="E933" s="124">
        <f>IF($C933=0,0,$C933-$D933)</f>
        <v/>
      </c>
      <c r="G933" s="124">
        <f>IF($E933=0,0,$E933*($F933-1))</f>
        <v/>
      </c>
      <c r="H933" s="124">
        <f>IF($B933="","",CONCATENATE("Örnek kıymet: ",$B933))</f>
        <v/>
      </c>
    </row>
    <row r="934" ht="15" customHeight="1" s="81">
      <c r="E934" s="124">
        <f>IF($C934=0,0,$C934-$D934)</f>
        <v/>
      </c>
      <c r="G934" s="124">
        <f>IF($E934=0,0,$E934*($F934-1))</f>
        <v/>
      </c>
      <c r="H934" s="124">
        <f>IF($B934="","",CONCATENATE("Örnek kıymet: ",$B934))</f>
        <v/>
      </c>
    </row>
    <row r="935" ht="15" customHeight="1" s="81">
      <c r="E935" s="124">
        <f>IF($C935=0,0,$C935-$D935)</f>
        <v/>
      </c>
      <c r="G935" s="124">
        <f>IF($E935=0,0,$E935*($F935-1))</f>
        <v/>
      </c>
      <c r="H935" s="124">
        <f>IF($B935="","",CONCATENATE("Örnek kıymet: ",$B935))</f>
        <v/>
      </c>
    </row>
    <row r="936" ht="15" customHeight="1" s="81">
      <c r="E936" s="124">
        <f>IF($C936=0,0,$C936-$D936)</f>
        <v/>
      </c>
      <c r="G936" s="124">
        <f>IF($E936=0,0,$E936*($F936-1))</f>
        <v/>
      </c>
      <c r="H936" s="124">
        <f>IF($B936="","",CONCATENATE("Örnek kıymet: ",$B936))</f>
        <v/>
      </c>
    </row>
    <row r="937" ht="15" customHeight="1" s="81">
      <c r="E937" s="124">
        <f>IF($C937=0,0,$C937-$D937)</f>
        <v/>
      </c>
      <c r="G937" s="124">
        <f>IF($E937=0,0,$E937*($F937-1))</f>
        <v/>
      </c>
      <c r="H937" s="124">
        <f>IF($B937="","",CONCATENATE("Örnek kıymet: ",$B937))</f>
        <v/>
      </c>
    </row>
    <row r="938" ht="15" customHeight="1" s="81">
      <c r="E938" s="124">
        <f>IF($C938=0,0,$C938-$D938)</f>
        <v/>
      </c>
      <c r="G938" s="124">
        <f>IF($E938=0,0,$E938*($F938-1))</f>
        <v/>
      </c>
      <c r="H938" s="124">
        <f>IF($B938="","",CONCATENATE("Örnek kıymet: ",$B938))</f>
        <v/>
      </c>
    </row>
    <row r="939" ht="15" customHeight="1" s="81">
      <c r="E939" s="124">
        <f>IF($C939=0,0,$C939-$D939)</f>
        <v/>
      </c>
      <c r="G939" s="124">
        <f>IF($E939=0,0,$E939*($F939-1))</f>
        <v/>
      </c>
      <c r="H939" s="124">
        <f>IF($B939="","",CONCATENATE("Örnek kıymet: ",$B939))</f>
        <v/>
      </c>
    </row>
    <row r="940" ht="15" customHeight="1" s="81">
      <c r="E940" s="124">
        <f>IF($C940=0,0,$C940-$D940)</f>
        <v/>
      </c>
      <c r="G940" s="124">
        <f>IF($E940=0,0,$E940*($F940-1))</f>
        <v/>
      </c>
      <c r="H940" s="124">
        <f>IF($B940="","",CONCATENATE("Örnek kıymet: ",$B940))</f>
        <v/>
      </c>
    </row>
    <row r="941" ht="15" customHeight="1" s="81">
      <c r="E941" s="124">
        <f>IF($C941=0,0,$C941-$D941)</f>
        <v/>
      </c>
      <c r="G941" s="124">
        <f>IF($E941=0,0,$E941*($F941-1))</f>
        <v/>
      </c>
      <c r="H941" s="124">
        <f>IF($B941="","",CONCATENATE("Örnek kıymet: ",$B941))</f>
        <v/>
      </c>
    </row>
    <row r="942" ht="15" customHeight="1" s="81">
      <c r="E942" s="124">
        <f>IF($C942=0,0,$C942-$D942)</f>
        <v/>
      </c>
      <c r="G942" s="124">
        <f>IF($E942=0,0,$E942*($F942-1))</f>
        <v/>
      </c>
      <c r="H942" s="124">
        <f>IF($B942="","",CONCATENATE("Örnek kıymet: ",$B942))</f>
        <v/>
      </c>
    </row>
    <row r="943" ht="15" customHeight="1" s="81">
      <c r="E943" s="124">
        <f>IF($C943=0,0,$C943-$D943)</f>
        <v/>
      </c>
      <c r="G943" s="124">
        <f>IF($E943=0,0,$E943*($F943-1))</f>
        <v/>
      </c>
      <c r="H943" s="124">
        <f>IF($B943="","",CONCATENATE("Örnek kıymet: ",$B943))</f>
        <v/>
      </c>
    </row>
    <row r="944" ht="15" customHeight="1" s="81">
      <c r="E944" s="124">
        <f>IF($C944=0,0,$C944-$D944)</f>
        <v/>
      </c>
      <c r="G944" s="124">
        <f>IF($E944=0,0,$E944*($F944-1))</f>
        <v/>
      </c>
      <c r="H944" s="124">
        <f>IF($B944="","",CONCATENATE("Örnek kıymet: ",$B944))</f>
        <v/>
      </c>
    </row>
    <row r="945" ht="15" customHeight="1" s="81">
      <c r="E945" s="124">
        <f>IF($C945=0,0,$C945-$D945)</f>
        <v/>
      </c>
      <c r="G945" s="124">
        <f>IF($E945=0,0,$E945*($F945-1))</f>
        <v/>
      </c>
      <c r="H945" s="124">
        <f>IF($B945="","",CONCATENATE("Örnek kıymet: ",$B945))</f>
        <v/>
      </c>
    </row>
    <row r="946" ht="15" customHeight="1" s="81">
      <c r="E946" s="124">
        <f>IF($C946=0,0,$C946-$D946)</f>
        <v/>
      </c>
      <c r="G946" s="124">
        <f>IF($E946=0,0,$E946*($F946-1))</f>
        <v/>
      </c>
      <c r="H946" s="124">
        <f>IF($B946="","",CONCATENATE("Örnek kıymet: ",$B946))</f>
        <v/>
      </c>
    </row>
    <row r="947" ht="15" customHeight="1" s="81">
      <c r="E947" s="124">
        <f>IF($C947=0,0,$C947-$D947)</f>
        <v/>
      </c>
      <c r="G947" s="124">
        <f>IF($E947=0,0,$E947*($F947-1))</f>
        <v/>
      </c>
      <c r="H947" s="124">
        <f>IF($B947="","",CONCATENATE("Örnek kıymet: ",$B947))</f>
        <v/>
      </c>
    </row>
    <row r="948" ht="15" customHeight="1" s="81">
      <c r="E948" s="124">
        <f>IF($C948=0,0,$C948-$D948)</f>
        <v/>
      </c>
      <c r="G948" s="124">
        <f>IF($E948=0,0,$E948*($F948-1))</f>
        <v/>
      </c>
      <c r="H948" s="124">
        <f>IF($B948="","",CONCATENATE("Örnek kıymet: ",$B948))</f>
        <v/>
      </c>
    </row>
    <row r="949" ht="15" customHeight="1" s="81">
      <c r="E949" s="124">
        <f>IF($C949=0,0,$C949-$D949)</f>
        <v/>
      </c>
      <c r="G949" s="124">
        <f>IF($E949=0,0,$E949*($F949-1))</f>
        <v/>
      </c>
      <c r="H949" s="124">
        <f>IF($B949="","",CONCATENATE("Örnek kıymet: ",$B949))</f>
        <v/>
      </c>
    </row>
    <row r="950" ht="15" customHeight="1" s="81">
      <c r="E950" s="124">
        <f>IF($C950=0,0,$C950-$D950)</f>
        <v/>
      </c>
      <c r="G950" s="124">
        <f>IF($E950=0,0,$E950*($F950-1))</f>
        <v/>
      </c>
      <c r="H950" s="124">
        <f>IF($B950="","",CONCATENATE("Örnek kıymet: ",$B950))</f>
        <v/>
      </c>
    </row>
    <row r="951" ht="15" customHeight="1" s="81">
      <c r="E951" s="124">
        <f>IF($C951=0,0,$C951-$D951)</f>
        <v/>
      </c>
      <c r="G951" s="124">
        <f>IF($E951=0,0,$E951*($F951-1))</f>
        <v/>
      </c>
      <c r="H951" s="124">
        <f>IF($B951="","",CONCATENATE("Örnek kıymet: ",$B951))</f>
        <v/>
      </c>
    </row>
    <row r="952" ht="15" customHeight="1" s="81">
      <c r="E952" s="124">
        <f>IF($C952=0,0,$C952-$D952)</f>
        <v/>
      </c>
      <c r="G952" s="124">
        <f>IF($E952=0,0,$E952*($F952-1))</f>
        <v/>
      </c>
      <c r="H952" s="124">
        <f>IF($B952="","",CONCATENATE("Örnek kıymet: ",$B952))</f>
        <v/>
      </c>
    </row>
    <row r="953" ht="15" customHeight="1" s="81">
      <c r="E953" s="124">
        <f>IF($C953=0,0,$C953-$D953)</f>
        <v/>
      </c>
      <c r="G953" s="124">
        <f>IF($E953=0,0,$E953*($F953-1))</f>
        <v/>
      </c>
      <c r="H953" s="124">
        <f>IF($B953="","",CONCATENATE("Örnek kıymet: ",$B953))</f>
        <v/>
      </c>
    </row>
    <row r="954" ht="15" customHeight="1" s="81">
      <c r="E954" s="124">
        <f>IF($C954=0,0,$C954-$D954)</f>
        <v/>
      </c>
      <c r="G954" s="124">
        <f>IF($E954=0,0,$E954*($F954-1))</f>
        <v/>
      </c>
      <c r="H954" s="124">
        <f>IF($B954="","",CONCATENATE("Örnek kıymet: ",$B954))</f>
        <v/>
      </c>
    </row>
    <row r="955" ht="15" customHeight="1" s="81">
      <c r="E955" s="124">
        <f>IF($C955=0,0,$C955-$D955)</f>
        <v/>
      </c>
      <c r="G955" s="124">
        <f>IF($E955=0,0,$E955*($F955-1))</f>
        <v/>
      </c>
      <c r="H955" s="124">
        <f>IF($B955="","",CONCATENATE("Örnek kıymet: ",$B955))</f>
        <v/>
      </c>
    </row>
    <row r="956" ht="15" customHeight="1" s="81">
      <c r="E956" s="124">
        <f>IF($C956=0,0,$C956-$D956)</f>
        <v/>
      </c>
      <c r="G956" s="124">
        <f>IF($E956=0,0,$E956*($F956-1))</f>
        <v/>
      </c>
      <c r="H956" s="124">
        <f>IF($B956="","",CONCATENATE("Örnek kıymet: ",$B956))</f>
        <v/>
      </c>
    </row>
    <row r="957" ht="15" customHeight="1" s="81">
      <c r="E957" s="124">
        <f>IF($C957=0,0,$C957-$D957)</f>
        <v/>
      </c>
      <c r="G957" s="124">
        <f>IF($E957=0,0,$E957*($F957-1))</f>
        <v/>
      </c>
      <c r="H957" s="124">
        <f>IF($B957="","",CONCATENATE("Örnek kıymet: ",$B957))</f>
        <v/>
      </c>
    </row>
    <row r="958" ht="15" customHeight="1" s="81">
      <c r="E958" s="124">
        <f>IF($C958=0,0,$C958-$D958)</f>
        <v/>
      </c>
      <c r="G958" s="124">
        <f>IF($E958=0,0,$E958*($F958-1))</f>
        <v/>
      </c>
      <c r="H958" s="124">
        <f>IF($B958="","",CONCATENATE("Örnek kıymet: ",$B958))</f>
        <v/>
      </c>
    </row>
    <row r="959" ht="15" customHeight="1" s="81">
      <c r="E959" s="124">
        <f>IF($C959=0,0,$C959-$D959)</f>
        <v/>
      </c>
      <c r="G959" s="124">
        <f>IF($E959=0,0,$E959*($F959-1))</f>
        <v/>
      </c>
      <c r="H959" s="124">
        <f>IF($B959="","",CONCATENATE("Örnek kıymet: ",$B959))</f>
        <v/>
      </c>
    </row>
    <row r="960" ht="15" customHeight="1" s="81">
      <c r="E960" s="124">
        <f>IF($C960=0,0,$C960-$D960)</f>
        <v/>
      </c>
      <c r="G960" s="124">
        <f>IF($E960=0,0,$E960*($F960-1))</f>
        <v/>
      </c>
      <c r="H960" s="124">
        <f>IF($B960="","",CONCATENATE("Örnek kıymet: ",$B960))</f>
        <v/>
      </c>
    </row>
    <row r="961" ht="15" customHeight="1" s="81">
      <c r="E961" s="124">
        <f>IF($C961=0,0,$C961-$D961)</f>
        <v/>
      </c>
      <c r="G961" s="124">
        <f>IF($E961=0,0,$E961*($F961-1))</f>
        <v/>
      </c>
      <c r="H961" s="124">
        <f>IF($B961="","",CONCATENATE("Örnek kıymet: ",$B961))</f>
        <v/>
      </c>
    </row>
    <row r="962" ht="15" customHeight="1" s="81">
      <c r="E962" s="124">
        <f>IF($C962=0,0,$C962-$D962)</f>
        <v/>
      </c>
      <c r="G962" s="124">
        <f>IF($E962=0,0,$E962*($F962-1))</f>
        <v/>
      </c>
      <c r="H962" s="124">
        <f>IF($B962="","",CONCATENATE("Örnek kıymet: ",$B962))</f>
        <v/>
      </c>
    </row>
    <row r="963" ht="15" customHeight="1" s="81">
      <c r="E963" s="124">
        <f>IF($C963=0,0,$C963-$D963)</f>
        <v/>
      </c>
      <c r="G963" s="124">
        <f>IF($E963=0,0,$E963*($F963-1))</f>
        <v/>
      </c>
      <c r="H963" s="124">
        <f>IF($B963="","",CONCATENATE("Örnek kıymet: ",$B963))</f>
        <v/>
      </c>
    </row>
    <row r="964" ht="15" customHeight="1" s="81">
      <c r="E964" s="124">
        <f>IF($C964=0,0,$C964-$D964)</f>
        <v/>
      </c>
      <c r="G964" s="124">
        <f>IF($E964=0,0,$E964*($F964-1))</f>
        <v/>
      </c>
      <c r="H964" s="124">
        <f>IF($B964="","",CONCATENATE("Örnek kıymet: ",$B964))</f>
        <v/>
      </c>
    </row>
    <row r="965" ht="15" customHeight="1" s="81">
      <c r="E965" s="124">
        <f>IF($C965=0,0,$C965-$D965)</f>
        <v/>
      </c>
      <c r="G965" s="124">
        <f>IF($E965=0,0,$E965*($F965-1))</f>
        <v/>
      </c>
      <c r="H965" s="124">
        <f>IF($B965="","",CONCATENATE("Örnek kıymet: ",$B965))</f>
        <v/>
      </c>
    </row>
    <row r="966" ht="15" customHeight="1" s="81">
      <c r="E966" s="124">
        <f>IF($C966=0,0,$C966-$D966)</f>
        <v/>
      </c>
      <c r="G966" s="124">
        <f>IF($E966=0,0,$E966*($F966-1))</f>
        <v/>
      </c>
      <c r="H966" s="124">
        <f>IF($B966="","",CONCATENATE("Örnek kıymet: ",$B966))</f>
        <v/>
      </c>
    </row>
    <row r="967" ht="15" customHeight="1" s="81">
      <c r="E967" s="124">
        <f>IF($C967=0,0,$C967-$D967)</f>
        <v/>
      </c>
      <c r="G967" s="124">
        <f>IF($E967=0,0,$E967*($F967-1))</f>
        <v/>
      </c>
      <c r="H967" s="124">
        <f>IF($B967="","",CONCATENATE("Örnek kıymet: ",$B967))</f>
        <v/>
      </c>
    </row>
    <row r="968" ht="15" customHeight="1" s="81">
      <c r="E968" s="124">
        <f>IF($C968=0,0,$C968-$D968)</f>
        <v/>
      </c>
      <c r="G968" s="124">
        <f>IF($E968=0,0,$E968*($F968-1))</f>
        <v/>
      </c>
      <c r="H968" s="124">
        <f>IF($B968="","",CONCATENATE("Örnek kıymet: ",$B968))</f>
        <v/>
      </c>
    </row>
    <row r="969" ht="15" customHeight="1" s="81">
      <c r="E969" s="124">
        <f>IF($C969=0,0,$C969-$D969)</f>
        <v/>
      </c>
      <c r="G969" s="124">
        <f>IF($E969=0,0,$E969*($F969-1))</f>
        <v/>
      </c>
      <c r="H969" s="124">
        <f>IF($B969="","",CONCATENATE("Örnek kıymet: ",$B969))</f>
        <v/>
      </c>
    </row>
    <row r="970" ht="15" customHeight="1" s="81">
      <c r="E970" s="124">
        <f>IF($C970=0,0,$C970-$D970)</f>
        <v/>
      </c>
      <c r="G970" s="124">
        <f>IF($E970=0,0,$E970*($F970-1))</f>
        <v/>
      </c>
      <c r="H970" s="124">
        <f>IF($B970="","",CONCATENATE("Örnek kıymet: ",$B970))</f>
        <v/>
      </c>
    </row>
    <row r="971" ht="15" customHeight="1" s="81">
      <c r="E971" s="124">
        <f>IF($C971=0,0,$C971-$D971)</f>
        <v/>
      </c>
      <c r="G971" s="124">
        <f>IF($E971=0,0,$E971*($F971-1))</f>
        <v/>
      </c>
      <c r="H971" s="124">
        <f>IF($B971="","",CONCATENATE("Örnek kıymet: ",$B971))</f>
        <v/>
      </c>
    </row>
    <row r="972" ht="15" customHeight="1" s="81">
      <c r="E972" s="124">
        <f>IF($C972=0,0,$C972-$D972)</f>
        <v/>
      </c>
      <c r="G972" s="124">
        <f>IF($E972=0,0,$E972*($F972-1))</f>
        <v/>
      </c>
      <c r="H972" s="124">
        <f>IF($B972="","",CONCATENATE("Örnek kıymet: ",$B972))</f>
        <v/>
      </c>
    </row>
    <row r="973" ht="15" customHeight="1" s="81">
      <c r="E973" s="124">
        <f>IF($C973=0,0,$C973-$D973)</f>
        <v/>
      </c>
      <c r="G973" s="124">
        <f>IF($E973=0,0,$E973*($F973-1))</f>
        <v/>
      </c>
      <c r="H973" s="124">
        <f>IF($B973="","",CONCATENATE("Örnek kıymet: ",$B973))</f>
        <v/>
      </c>
    </row>
    <row r="974" ht="15" customHeight="1" s="81">
      <c r="E974" s="124">
        <f>IF($C974=0,0,$C974-$D974)</f>
        <v/>
      </c>
      <c r="G974" s="124">
        <f>IF($E974=0,0,$E974*($F974-1))</f>
        <v/>
      </c>
      <c r="H974" s="124">
        <f>IF($B974="","",CONCATENATE("Örnek kıymet: ",$B974))</f>
        <v/>
      </c>
    </row>
    <row r="975" ht="15" customHeight="1" s="81">
      <c r="E975" s="124">
        <f>IF($C975=0,0,$C975-$D975)</f>
        <v/>
      </c>
      <c r="G975" s="124">
        <f>IF($E975=0,0,$E975*($F975-1))</f>
        <v/>
      </c>
      <c r="H975" s="124">
        <f>IF($B975="","",CONCATENATE("Örnek kıymet: ",$B975))</f>
        <v/>
      </c>
    </row>
    <row r="976" ht="15" customHeight="1" s="81">
      <c r="E976" s="124">
        <f>IF($C976=0,0,$C976-$D976)</f>
        <v/>
      </c>
      <c r="G976" s="124">
        <f>IF($E976=0,0,$E976*($F976-1))</f>
        <v/>
      </c>
      <c r="H976" s="124">
        <f>IF($B976="","",CONCATENATE("Örnek kıymet: ",$B976))</f>
        <v/>
      </c>
    </row>
    <row r="977" ht="15" customHeight="1" s="81">
      <c r="E977" s="124">
        <f>IF($C977=0,0,$C977-$D977)</f>
        <v/>
      </c>
      <c r="G977" s="124">
        <f>IF($E977=0,0,$E977*($F977-1))</f>
        <v/>
      </c>
      <c r="H977" s="124">
        <f>IF($B977="","",CONCATENATE("Örnek kıymet: ",$B977))</f>
        <v/>
      </c>
    </row>
    <row r="978" ht="15" customHeight="1" s="81">
      <c r="E978" s="124">
        <f>IF($C978=0,0,$C978-$D978)</f>
        <v/>
      </c>
      <c r="G978" s="124">
        <f>IF($E978=0,0,$E978*($F978-1))</f>
        <v/>
      </c>
      <c r="H978" s="124">
        <f>IF($B978="","",CONCATENATE("Örnek kıymet: ",$B978))</f>
        <v/>
      </c>
    </row>
    <row r="979" ht="15" customHeight="1" s="81">
      <c r="E979" s="124">
        <f>IF($C979=0,0,$C979-$D979)</f>
        <v/>
      </c>
      <c r="G979" s="124">
        <f>IF($E979=0,0,$E979*($F979-1))</f>
        <v/>
      </c>
      <c r="H979" s="124">
        <f>IF($B979="","",CONCATENATE("Örnek kıymet: ",$B979))</f>
        <v/>
      </c>
    </row>
    <row r="980" ht="15" customHeight="1" s="81">
      <c r="E980" s="124">
        <f>IF($C980=0,0,$C980-$D980)</f>
        <v/>
      </c>
      <c r="G980" s="124">
        <f>IF($E980=0,0,$E980*($F980-1))</f>
        <v/>
      </c>
      <c r="H980" s="124">
        <f>IF($B980="","",CONCATENATE("Örnek kıymet: ",$B980))</f>
        <v/>
      </c>
    </row>
    <row r="981" ht="15" customHeight="1" s="81">
      <c r="E981" s="124">
        <f>IF($C981=0,0,$C981-$D981)</f>
        <v/>
      </c>
      <c r="G981" s="124">
        <f>IF($E981=0,0,$E981*($F981-1))</f>
        <v/>
      </c>
      <c r="H981" s="124">
        <f>IF($B981="","",CONCATENATE("Örnek kıymet: ",$B981))</f>
        <v/>
      </c>
    </row>
    <row r="982" ht="15" customHeight="1" s="81">
      <c r="E982" s="124">
        <f>IF($C982=0,0,$C982-$D982)</f>
        <v/>
      </c>
      <c r="G982" s="124">
        <f>IF($E982=0,0,$E982*($F982-1))</f>
        <v/>
      </c>
      <c r="H982" s="124">
        <f>IF($B982="","",CONCATENATE("Örnek kıymet: ",$B982))</f>
        <v/>
      </c>
    </row>
    <row r="983" ht="15" customHeight="1" s="81">
      <c r="E983" s="124">
        <f>IF($C983=0,0,$C983-$D983)</f>
        <v/>
      </c>
      <c r="G983" s="124">
        <f>IF($E983=0,0,$E983*($F983-1))</f>
        <v/>
      </c>
      <c r="H983" s="124">
        <f>IF($B983="","",CONCATENATE("Örnek kıymet: ",$B983))</f>
        <v/>
      </c>
    </row>
    <row r="984" ht="15" customHeight="1" s="81">
      <c r="E984" s="124">
        <f>IF($C984=0,0,$C984-$D984)</f>
        <v/>
      </c>
      <c r="G984" s="124">
        <f>IF($E984=0,0,$E984*($F984-1))</f>
        <v/>
      </c>
      <c r="H984" s="124">
        <f>IF($B984="","",CONCATENATE("Örnek kıymet: ",$B984))</f>
        <v/>
      </c>
    </row>
    <row r="985" ht="15" customHeight="1" s="81">
      <c r="E985" s="124">
        <f>IF($C985=0,0,$C985-$D985)</f>
        <v/>
      </c>
      <c r="G985" s="124">
        <f>IF($E985=0,0,$E985*($F985-1))</f>
        <v/>
      </c>
      <c r="H985" s="124">
        <f>IF($B985="","",CONCATENATE("Örnek kıymet: ",$B985))</f>
        <v/>
      </c>
    </row>
    <row r="986" ht="15" customHeight="1" s="81">
      <c r="E986" s="124">
        <f>IF($C986=0,0,$C986-$D986)</f>
        <v/>
      </c>
      <c r="G986" s="124">
        <f>IF($E986=0,0,$E986*($F986-1))</f>
        <v/>
      </c>
      <c r="H986" s="124">
        <f>IF($B986="","",CONCATENATE("Örnek kıymet: ",$B986))</f>
        <v/>
      </c>
    </row>
    <row r="987" ht="15" customHeight="1" s="81">
      <c r="E987" s="124">
        <f>IF($C987=0,0,$C987-$D987)</f>
        <v/>
      </c>
      <c r="G987" s="124">
        <f>IF($E987=0,0,$E987*($F987-1))</f>
        <v/>
      </c>
      <c r="H987" s="124">
        <f>IF($B987="","",CONCATENATE("Örnek kıymet: ",$B987))</f>
        <v/>
      </c>
    </row>
    <row r="988" ht="15" customHeight="1" s="81">
      <c r="E988" s="124">
        <f>IF($C988=0,0,$C988-$D988)</f>
        <v/>
      </c>
      <c r="G988" s="124">
        <f>IF($E988=0,0,$E988*($F988-1))</f>
        <v/>
      </c>
      <c r="H988" s="124">
        <f>IF($B988="","",CONCATENATE("Örnek kıymet: ",$B988))</f>
        <v/>
      </c>
    </row>
    <row r="989" ht="15" customHeight="1" s="81">
      <c r="E989" s="124">
        <f>IF($C989=0,0,$C989-$D989)</f>
        <v/>
      </c>
      <c r="G989" s="124">
        <f>IF($E989=0,0,$E989*($F989-1))</f>
        <v/>
      </c>
      <c r="H989" s="124">
        <f>IF($B989="","",CONCATENATE("Örnek kıymet: ",$B989))</f>
        <v/>
      </c>
    </row>
    <row r="990" ht="15" customHeight="1" s="81">
      <c r="E990" s="124">
        <f>IF($C990=0,0,$C990-$D990)</f>
        <v/>
      </c>
      <c r="G990" s="124">
        <f>IF($E990=0,0,$E990*($F990-1))</f>
        <v/>
      </c>
      <c r="H990" s="124">
        <f>IF($B990="","",CONCATENATE("Örnek kıymet: ",$B990))</f>
        <v/>
      </c>
    </row>
    <row r="991" ht="15" customHeight="1" s="81">
      <c r="E991" s="124">
        <f>IF($C991=0,0,$C991-$D991)</f>
        <v/>
      </c>
      <c r="G991" s="124">
        <f>IF($E991=0,0,$E991*($F991-1))</f>
        <v/>
      </c>
      <c r="H991" s="124">
        <f>IF($B991="","",CONCATENATE("Örnek kıymet: ",$B991))</f>
        <v/>
      </c>
    </row>
    <row r="992" ht="15" customHeight="1" s="81">
      <c r="E992" s="124">
        <f>IF($C992=0,0,$C992-$D992)</f>
        <v/>
      </c>
      <c r="G992" s="124">
        <f>IF($E992=0,0,$E992*($F992-1))</f>
        <v/>
      </c>
      <c r="H992" s="124">
        <f>IF($B992="","",CONCATENATE("Örnek kıymet: ",$B992))</f>
        <v/>
      </c>
    </row>
    <row r="993" ht="15" customHeight="1" s="81">
      <c r="E993" s="124">
        <f>IF($C993=0,0,$C993-$D993)</f>
        <v/>
      </c>
      <c r="G993" s="124">
        <f>IF($E993=0,0,$E993*($F993-1))</f>
        <v/>
      </c>
      <c r="H993" s="124">
        <f>IF($B993="","",CONCATENATE("Örnek kıymet: ",$B993))</f>
        <v/>
      </c>
    </row>
    <row r="994" ht="15" customHeight="1" s="81">
      <c r="E994" s="124">
        <f>IF($C994=0,0,$C994-$D994)</f>
        <v/>
      </c>
      <c r="G994" s="124">
        <f>IF($E994=0,0,$E994*($F994-1))</f>
        <v/>
      </c>
      <c r="H994" s="124">
        <f>IF($B994="","",CONCATENATE("Örnek kıymet: ",$B994))</f>
        <v/>
      </c>
    </row>
    <row r="995" ht="15" customHeight="1" s="81">
      <c r="E995" s="124">
        <f>IF($C995=0,0,$C995-$D995)</f>
        <v/>
      </c>
      <c r="G995" s="124">
        <f>IF($E995=0,0,$E995*($F995-1))</f>
        <v/>
      </c>
      <c r="H995" s="124">
        <f>IF($B995="","",CONCATENATE("Örnek kıymet: ",$B995))</f>
        <v/>
      </c>
    </row>
    <row r="996" ht="15" customHeight="1" s="81">
      <c r="E996" s="124">
        <f>IF($C996=0,0,$C996-$D996)</f>
        <v/>
      </c>
      <c r="G996" s="124">
        <f>IF($E996=0,0,$E996*($F996-1))</f>
        <v/>
      </c>
      <c r="H996" s="124">
        <f>IF($B996="","",CONCATENATE("Örnek kıymet: ",$B996))</f>
        <v/>
      </c>
    </row>
    <row r="997" ht="15" customHeight="1" s="81">
      <c r="E997" s="124">
        <f>IF($C997=0,0,$C997-$D997)</f>
        <v/>
      </c>
      <c r="G997" s="124">
        <f>IF($E997=0,0,$E997*($F997-1))</f>
        <v/>
      </c>
      <c r="H997" s="124">
        <f>IF($B997="","",CONCATENATE("Örnek kıymet: ",$B997))</f>
        <v/>
      </c>
    </row>
    <row r="998" ht="15" customHeight="1" s="81">
      <c r="E998" s="124">
        <f>IF($C998=0,0,$C998-$D998)</f>
        <v/>
      </c>
      <c r="G998" s="124">
        <f>IF($E998=0,0,$E998*($F998-1))</f>
        <v/>
      </c>
      <c r="H998" s="124">
        <f>IF($B998="","",CONCATENATE("Örnek kıymet: ",$B998))</f>
        <v/>
      </c>
    </row>
    <row r="999" ht="15" customHeight="1" s="81">
      <c r="E999" s="124">
        <f>IF($C999=0,0,$C999-$D999)</f>
        <v/>
      </c>
      <c r="G999" s="124">
        <f>IF($E999=0,0,$E999*($F999-1))</f>
        <v/>
      </c>
      <c r="H999" s="124">
        <f>IF($B999="","",CONCATENATE("Örnek kıymet: ",$B999))</f>
        <v/>
      </c>
    </row>
    <row r="1000" ht="15" customHeight="1" s="81">
      <c r="E1000" s="124">
        <f>IF($C1000=0,0,$C1000-$D1000)</f>
        <v/>
      </c>
      <c r="G1000" s="124">
        <f>IF($E1000=0,0,$E1000*($F1000-1))</f>
        <v/>
      </c>
      <c r="H1000" s="124">
        <f>IF($B1000="","",CONCATENATE("Örnek kıymet: ",$B1000))</f>
        <v/>
      </c>
    </row>
    <row r="1001" ht="15" customHeight="1" s="81">
      <c r="E1001" s="124">
        <f>IF($C1001=0,0,$C1001-$D1001)</f>
        <v/>
      </c>
      <c r="G1001" s="124">
        <f>IF($E1001=0,0,$E1001*($F1001-1))</f>
        <v/>
      </c>
      <c r="H1001" s="124">
        <f>IF($B1001="","",CONCATENATE("Örnek kıymet: ",$B1001))</f>
        <v/>
      </c>
    </row>
    <row r="1002" ht="15" customHeight="1" s="81">
      <c r="E1002" s="124">
        <f>IF($C1002=0,0,$C1002-$D1002)</f>
        <v/>
      </c>
      <c r="G1002" s="124">
        <f>IF($E1002=0,0,$E1002*($F1002-1))</f>
        <v/>
      </c>
      <c r="H1002" s="124">
        <f>IF($B1002="","",CONCATENATE("Örnek kıymet: ",$B1002))</f>
        <v/>
      </c>
    </row>
    <row r="1003" ht="15" customHeight="1" s="81">
      <c r="E1003" s="124">
        <f>IF($C1003=0,0,$C1003-$D1003)</f>
        <v/>
      </c>
      <c r="G1003" s="124">
        <f>IF($E1003=0,0,$E1003*($F1003-1))</f>
        <v/>
      </c>
      <c r="H1003" s="124">
        <f>IF($B1003="","",CONCATENATE("Örnek kıymet: ",$B1003))</f>
        <v/>
      </c>
    </row>
    <row r="1004" ht="15" customHeight="1" s="81">
      <c r="E1004" s="124">
        <f>IF($C1004=0,0,$C1004-$D1004)</f>
        <v/>
      </c>
      <c r="G1004" s="124">
        <f>IF($E1004=0,0,$E1004*($F1004-1))</f>
        <v/>
      </c>
      <c r="H1004" s="124">
        <f>IF($B1004="","",CONCATENATE("Örnek kıymet: ",$B1004))</f>
        <v/>
      </c>
    </row>
    <row r="1006" ht="19.5" customHeight="1" s="81">
      <c r="A1006" s="132" t="inlineStr">
        <is>
          <t>Demo veriler rapor sonuçlarını örnekler; satın alma sonrası silinerek gerçek veriler girilir.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06:AN1006"/>
    <mergeCell ref="A1:AD1"/>
  </mergeCells>
  <conditionalFormatting sqref="C6:C1004">
    <cfRule type="cellIs" rank="0" priority="2" equalAverage="0" operator="lessThan" aboveAverage="0" dxfId="9" text="" percent="0" bottom="0">
      <formula>0</formula>
    </cfRule>
  </conditionalFormatting>
  <conditionalFormatting sqref="D6:D1004">
    <cfRule type="cellIs" rank="0" priority="3" equalAverage="0" operator="lessThan" aboveAverage="0" dxfId="9" text="" percent="0" bottom="0">
      <formula>0</formula>
    </cfRule>
  </conditionalFormatting>
  <conditionalFormatting sqref="G6:G1004">
    <cfRule type="cellIs" rank="0" priority="4" equalAverage="0" operator="lessThan" aboveAverage="0" dxfId="9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F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81">
      <c r="A1" s="107" t="inlineStr">
        <is>
          <t>KURALLAR — eski35_yeniden-degerleme-yapmali-miyim-vergi-tasarruf-analizi_uretildi</t>
        </is>
      </c>
    </row>
    <row r="3" ht="15" customHeight="1" s="81">
      <c r="A3" s="107" t="inlineStr">
        <is>
          <t>kural_id</t>
        </is>
      </c>
      <c r="B3" s="107" t="inlineStr">
        <is>
          <t>aciklama</t>
        </is>
      </c>
      <c r="C3" s="107" t="inlineStr">
        <is>
          <t>deger_2025</t>
        </is>
      </c>
      <c r="D3" s="107" t="inlineStr">
        <is>
          <t>deger_2026</t>
        </is>
      </c>
      <c r="E3" s="107" t="inlineStr">
        <is>
          <t>deger_2027</t>
        </is>
      </c>
      <c r="F3" s="107" t="inlineStr">
        <is>
          <t>kaynak</t>
        </is>
      </c>
    </row>
    <row r="4" ht="15" customHeight="1" s="81">
      <c r="A4" s="107" t="inlineStr">
        <is>
          <t>K1</t>
        </is>
      </c>
      <c r="B4" s="107" t="inlineStr">
        <is>
          <t>Kurumlar vergisi oranı</t>
        </is>
      </c>
      <c r="C4" s="167" t="n">
        <v>0.25</v>
      </c>
      <c r="D4" s="167" t="n">
        <v>0.25</v>
      </c>
      <c r="E4" s="167" t="n">
        <v>0.25</v>
      </c>
      <c r="F4" s="107" t="inlineStr">
        <is>
          <t>KV</t>
        </is>
      </c>
    </row>
    <row r="5" ht="15" customHeight="1" s="81">
      <c r="A5" s="107" t="inlineStr">
        <is>
          <t>K2</t>
        </is>
      </c>
      <c r="B5" s="107" t="inlineStr">
        <is>
          <t>İskonto / referans oran</t>
        </is>
      </c>
      <c r="C5" s="167" t="n">
        <v>0.2</v>
      </c>
      <c r="D5" s="167" t="n">
        <v>0.2</v>
      </c>
      <c r="E5" s="167" t="n">
        <v>0.2</v>
      </c>
      <c r="F5" s="107" t="inlineStr">
        <is>
          <t>AYARLAR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H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81">
      <c r="A1" s="107" t="inlineStr">
        <is>
          <t>VAKALAR — eski35_yeniden-degerleme-yapmali-miyim-vergi-tasarruf-analizi_uretildi</t>
        </is>
      </c>
    </row>
    <row r="3" ht="15" customHeight="1" s="81">
      <c r="A3" s="107" t="inlineStr">
        <is>
          <t>Tebliğ tarzı altın vakalar</t>
        </is>
      </c>
    </row>
    <row r="5" ht="15" customHeight="1" s="81">
      <c r="A5" s="107" t="inlineStr">
        <is>
          <t>vaka_id</t>
        </is>
      </c>
      <c r="B5" s="107" t="inlineStr">
        <is>
          <t>aciklama</t>
        </is>
      </c>
      <c r="C5" s="107" t="inlineStr">
        <is>
          <t>girdi_ozeti</t>
        </is>
      </c>
      <c r="D5" s="107" t="inlineStr">
        <is>
          <t>beklenen_sonuc</t>
        </is>
      </c>
      <c r="E5" s="107" t="inlineStr">
        <is>
          <t>hesaplanan</t>
        </is>
      </c>
      <c r="F5" s="107" t="inlineStr">
        <is>
          <t>fark</t>
        </is>
      </c>
      <c r="G5" s="107" t="inlineStr">
        <is>
          <t>durum</t>
        </is>
      </c>
      <c r="H5" s="107" t="inlineStr">
        <is>
          <t>kaynak</t>
        </is>
      </c>
    </row>
    <row r="6" ht="15" customHeight="1" s="81">
      <c r="A6" s="107" t="inlineStr">
        <is>
          <t>V1</t>
        </is>
      </c>
      <c r="B6" s="107" t="inlineStr">
        <is>
          <t>Baz senaryo tutarlılık</t>
        </is>
      </c>
      <c r="C6" s="107" t="inlineStr">
        <is>
          <t>örnek girdi</t>
        </is>
      </c>
      <c r="D6" s="167" t="n">
        <v>0</v>
      </c>
      <c r="E6" s="167" t="n">
        <v>0</v>
      </c>
      <c r="F6" s="167" t="n">
        <v>0</v>
      </c>
      <c r="G6" s="107" t="inlineStr">
        <is>
          <t>TUTARLI</t>
        </is>
      </c>
      <c r="H6" s="107" t="inlineStr">
        <is>
          <t>iç test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AD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" customWidth="1" style="107" min="1" max="1"/>
    <col width="10" customWidth="1" style="107" min="2" max="2"/>
    <col width="40" customWidth="1" style="107" min="3" max="3"/>
    <col width="30" customWidth="1" style="107" min="4" max="4"/>
    <col width="14" customWidth="1" style="107" min="5" max="5"/>
  </cols>
  <sheetData>
    <row r="1" ht="25.5" customHeight="1" s="81">
      <c r="A1" s="108" t="inlineStr">
        <is>
          <t>DEGISIKLIK KAYDI — Yeniden Değerleme Yapmalı Mıyım? (Vergi Tasarruf Analizi)</t>
        </is>
      </c>
    </row>
    <row r="3" ht="15" customHeight="1" s="81">
      <c r="A3" s="111" t="inlineStr">
        <is>
          <t>Değişiklik Kaydı</t>
        </is>
      </c>
    </row>
    <row r="4" ht="30" customHeight="1" s="81">
      <c r="A4" s="120" t="inlineStr">
        <is>
          <t>Tarih</t>
        </is>
      </c>
      <c r="B4" s="120" t="inlineStr">
        <is>
          <t>Sürüm</t>
        </is>
      </c>
      <c r="C4" s="120" t="inlineStr">
        <is>
          <t>Değişiklik</t>
        </is>
      </c>
      <c r="D4" s="120" t="inlineStr">
        <is>
          <t>Neden</t>
        </is>
      </c>
      <c r="E4" s="120" t="inlineStr">
        <is>
          <t>Yapan</t>
        </is>
      </c>
    </row>
    <row r="5" ht="15" customHeight="1" s="81">
      <c r="A5" s="163" t="inlineStr">
        <is>
          <t>10.08.2026</t>
        </is>
      </c>
      <c r="B5" s="163" t="inlineStr">
        <is>
          <t>1.0.0</t>
        </is>
      </c>
      <c r="C5" s="163" t="inlineStr">
        <is>
          <t>İlk üretim</t>
        </is>
      </c>
      <c r="D5" s="163" t="inlineStr">
        <is>
          <t>Ürünün yayına hazırlanması</t>
        </is>
      </c>
      <c r="E5" s="163" t="inlineStr">
        <is>
          <t>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AD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8" customWidth="1" style="107" min="1" max="1"/>
  </cols>
  <sheetData>
    <row r="1" ht="25.5" customHeight="1" s="81">
      <c r="A1" s="108" t="inlineStr">
        <is>
          <t>LISTELER — Yeniden Değerleme Yapmalı Mıyım? (Vergi Tasarruf Analizi)</t>
        </is>
      </c>
    </row>
    <row r="3" ht="15" customHeight="1" s="81">
      <c r="A3" s="111" t="inlineStr">
        <is>
          <t>Bağlı Listeler</t>
        </is>
      </c>
    </row>
    <row r="4" ht="68.25" customHeight="1" s="81">
      <c r="A4" s="110" t="inlineStr">
        <is>
          <t>Bu sayfadaki listeler açılır menüleri besler; yeni seçenek eklemek için sarı hücrelere yazın.</t>
        </is>
      </c>
    </row>
    <row r="6" ht="15" customHeight="1" s="81">
      <c r="A6" s="153" t="inlineStr">
        <is>
          <t>Kıymet Türü</t>
        </is>
      </c>
    </row>
    <row r="7" ht="15" customHeight="1" s="81">
      <c r="A7" s="168" t="inlineStr">
        <is>
          <t>Bina</t>
        </is>
      </c>
    </row>
    <row r="8" ht="15" customHeight="1" s="81">
      <c r="A8" s="168" t="inlineStr">
        <is>
          <t>Arazi</t>
        </is>
      </c>
    </row>
    <row r="9" ht="15" customHeight="1" s="81">
      <c r="A9" s="168" t="inlineStr">
        <is>
          <t>Makine</t>
        </is>
      </c>
    </row>
    <row r="10" ht="15" customHeight="1" s="81">
      <c r="A10" s="168" t="inlineStr">
        <is>
          <t>Tesis</t>
        </is>
      </c>
    </row>
    <row r="11" ht="15" customHeight="1" s="81">
      <c r="A11" s="168" t="inlineStr">
        <is>
          <t>Taşıt</t>
        </is>
      </c>
    </row>
    <row r="12" ht="15" customHeight="1" s="81">
      <c r="A12" s="168" t="inlineStr">
        <is>
          <t>Diğer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AD4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2" customWidth="1" style="107" min="1" max="1"/>
    <col width="24" customWidth="1" style="107" min="2" max="2"/>
    <col width="12" customWidth="1" style="107" min="3" max="3"/>
    <col width="10" customWidth="1" style="107" min="4" max="5"/>
    <col width="60" customWidth="1" style="107" min="6" max="6"/>
    <col width="20" customWidth="1" style="107" min="7" max="7"/>
    <col width="16" customWidth="1" style="107" min="8" max="8"/>
    <col width="18" customWidth="1" style="107" min="9" max="9"/>
  </cols>
  <sheetData>
    <row r="1" ht="25.5" customHeight="1" s="81">
      <c r="A1" s="108" t="inlineStr">
        <is>
          <t>AYARLAR — Yeniden Değerleme Yapmalı Mıyım? (Vergi Tasarruf Analizi)</t>
        </is>
      </c>
    </row>
    <row r="3" ht="15" customHeight="1" s="81">
      <c r="A3" s="111" t="inlineStr">
        <is>
          <t>Sistem Ayarları ve Oranlar</t>
        </is>
      </c>
    </row>
    <row r="4" ht="54.75" customHeight="1" s="81">
      <c r="A4" s="110" t="inlineStr">
        <is>
          <t>Tüm sabitler bu sayfadadır. Fon oranı, kurumlar vergisi oranı ve iskonto oranını güncelleyin; değişen her değer tüm hesaplamalara anında yansır.</t>
        </is>
      </c>
    </row>
    <row r="6" ht="30" customHeight="1" s="81">
      <c r="A6" s="120" t="inlineStr">
        <is>
          <t>anahtar</t>
        </is>
      </c>
      <c r="B6" s="120" t="inlineStr">
        <is>
          <t>deger</t>
        </is>
      </c>
      <c r="C6" s="120" t="inlineStr">
        <is>
          <t>birim</t>
        </is>
      </c>
      <c r="D6" s="120" t="inlineStr">
        <is>
          <t>alt</t>
        </is>
      </c>
      <c r="E6" s="120" t="inlineStr">
        <is>
          <t>ust</t>
        </is>
      </c>
      <c r="F6" s="120" t="inlineStr">
        <is>
          <t>aciklama</t>
        </is>
      </c>
      <c r="G6" s="120" t="inlineStr">
        <is>
          <t>kaynak</t>
        </is>
      </c>
      <c r="H6" s="120" t="inlineStr">
        <is>
          <t>yururluk_tarihi</t>
        </is>
      </c>
      <c r="I6" s="120" t="inlineStr">
        <is>
          <t>dogrulama_tarihi</t>
        </is>
      </c>
    </row>
    <row r="7" ht="25.5" customHeight="1" s="81">
      <c r="A7" s="169" t="inlineStr">
        <is>
          <t>FirmaUnvan</t>
        </is>
      </c>
      <c r="B7" s="170" t="inlineStr">
        <is>
          <t>Örnek Firma A.Ş.</t>
        </is>
      </c>
      <c r="C7" s="114" t="inlineStr">
        <is>
          <t>Metin</t>
        </is>
      </c>
      <c r="D7" s="171" t="n"/>
      <c r="E7" s="171" t="n"/>
      <c r="F7" s="119" t="inlineStr">
        <is>
          <t>Rapor ve kapakta görünen firma adı.</t>
        </is>
      </c>
      <c r="G7" s="114" t="inlineStr">
        <is>
          <t>Kullanıcı</t>
        </is>
      </c>
      <c r="H7" s="172" t="n">
        <v>46023</v>
      </c>
      <c r="I7" s="172" t="n">
        <v>46244</v>
      </c>
    </row>
    <row r="8" ht="25.5" customHeight="1" s="81">
      <c r="A8" s="169" t="inlineStr">
        <is>
          <t>RaporTarihi</t>
        </is>
      </c>
      <c r="B8" s="173" t="n">
        <v>46244</v>
      </c>
      <c r="C8" s="114" t="inlineStr">
        <is>
          <t>Tarih</t>
        </is>
      </c>
      <c r="D8" s="171" t="n"/>
      <c r="E8" s="171" t="n"/>
      <c r="F8" s="119" t="inlineStr">
        <is>
          <t>Tüm hesapların ve kararın alındığı tarih.</t>
        </is>
      </c>
      <c r="G8" s="114" t="inlineStr">
        <is>
          <t>Kullanıcı</t>
        </is>
      </c>
      <c r="H8" s="172" t="n">
        <v>46023</v>
      </c>
      <c r="I8" s="172" t="n">
        <v>46244</v>
      </c>
    </row>
    <row r="9" ht="25.5" customHeight="1" s="81">
      <c r="A9" s="169" t="inlineStr">
        <is>
          <t>RaporHazirlayan</t>
        </is>
      </c>
      <c r="B9" s="170" t="inlineStr">
        <is>
          <t>Mali İşler Direktörü</t>
        </is>
      </c>
      <c r="C9" s="114" t="inlineStr">
        <is>
          <t>Metin</t>
        </is>
      </c>
      <c r="D9" s="171" t="n"/>
      <c r="E9" s="171" t="n"/>
      <c r="F9" s="119" t="inlineStr">
        <is>
          <t>Raporu hazırlayan kişi/rol.</t>
        </is>
      </c>
      <c r="G9" s="114" t="inlineStr">
        <is>
          <t>Kullanıcı</t>
        </is>
      </c>
      <c r="H9" s="172" t="n">
        <v>46023</v>
      </c>
      <c r="I9" s="172" t="n">
        <v>46244</v>
      </c>
    </row>
    <row r="10" ht="25.5" customHeight="1" s="81">
      <c r="A10" s="169" t="inlineStr">
        <is>
          <t>DosyaSurumu</t>
        </is>
      </c>
      <c r="B10" s="170" t="inlineStr">
        <is>
          <t>1.0.0</t>
        </is>
      </c>
      <c r="C10" s="114" t="inlineStr">
        <is>
          <t>Metin</t>
        </is>
      </c>
      <c r="D10" s="171" t="n"/>
      <c r="E10" s="171" t="n"/>
      <c r="F10" s="119" t="inlineStr">
        <is>
          <t>Ürün sürüm bilgisi; rapor alt bilgisinde görünür.</t>
        </is>
      </c>
      <c r="G10" s="114" t="inlineStr">
        <is>
          <t>Kullanıcı</t>
        </is>
      </c>
      <c r="H10" s="172" t="n">
        <v>46023</v>
      </c>
      <c r="I10" s="172" t="n">
        <v>46244</v>
      </c>
    </row>
    <row r="11" ht="25.5" customHeight="1" s="81">
      <c r="A11" s="169" t="inlineStr">
        <is>
          <t>YenidegerFonOran</t>
        </is>
      </c>
      <c r="B11" s="174" t="n">
        <v>0.02</v>
      </c>
      <c r="C11" s="114" t="inlineStr">
        <is>
          <t>Oran</t>
        </is>
      </c>
      <c r="D11" s="171" t="n">
        <v>0</v>
      </c>
      <c r="E11" s="171" t="n">
        <v>0.1</v>
      </c>
      <c r="F11" s="119" t="inlineStr">
        <is>
          <t>Değer artışı üzerinden alınan fon vergisi oranı (%2).</t>
        </is>
      </c>
      <c r="G11" s="114" t="inlineStr">
        <is>
          <t>Mevzuat (VUK Geçici 31)</t>
        </is>
      </c>
      <c r="H11" s="172" t="n">
        <v>46023</v>
      </c>
      <c r="I11" s="172" t="n">
        <v>46244</v>
      </c>
    </row>
    <row r="12" ht="25.5" customHeight="1" s="81">
      <c r="A12" s="169" t="inlineStr">
        <is>
          <t>YenidegerKurumlarVergiOran</t>
        </is>
      </c>
      <c r="B12" s="174" t="n">
        <v>0.25</v>
      </c>
      <c r="C12" s="114" t="inlineStr">
        <is>
          <t>Oran</t>
        </is>
      </c>
      <c r="D12" s="171" t="n">
        <v>0</v>
      </c>
      <c r="E12" s="171" t="n">
        <v>1</v>
      </c>
      <c r="F12" s="119" t="inlineStr">
        <is>
          <t>Kurumlar vergisi oranı (%25); tasarruf hesabında kullanılır.</t>
        </is>
      </c>
      <c r="G12" s="114" t="inlineStr">
        <is>
          <t>Mevzuat (KVK Md. 32)</t>
        </is>
      </c>
      <c r="H12" s="172" t="n">
        <v>46023</v>
      </c>
      <c r="I12" s="172" t="n">
        <v>46244</v>
      </c>
    </row>
    <row r="13" ht="25.5" customHeight="1" s="81">
      <c r="A13" s="169" t="inlineStr">
        <is>
          <t>YenidegerIskontoOrani</t>
        </is>
      </c>
      <c r="B13" s="174" t="n">
        <v>0.15</v>
      </c>
      <c r="C13" s="114" t="inlineStr">
        <is>
          <t>Oran</t>
        </is>
      </c>
      <c r="D13" s="171" t="n">
        <v>0</v>
      </c>
      <c r="E13" s="171" t="n">
        <v>1</v>
      </c>
      <c r="F13" s="119" t="inlineStr">
        <is>
          <t>Tasarrufları bugünkü değere indirgemede kullanılan iskonto oranı.</t>
        </is>
      </c>
      <c r="G13" s="114" t="inlineStr">
        <is>
          <t>Varsayım</t>
        </is>
      </c>
      <c r="H13" s="172" t="n">
        <v>46023</v>
      </c>
      <c r="I13" s="172" t="n">
        <v>46244</v>
      </c>
    </row>
    <row r="14" ht="25.5" customHeight="1" s="81">
      <c r="A14" s="169" t="inlineStr">
        <is>
          <t>YenidegerIyiIskonto</t>
        </is>
      </c>
      <c r="B14" s="174" t="n">
        <v>0.1</v>
      </c>
      <c r="C14" s="114" t="inlineStr">
        <is>
          <t>Oran</t>
        </is>
      </c>
      <c r="D14" s="171" t="n">
        <v>0</v>
      </c>
      <c r="E14" s="171" t="n">
        <v>1</v>
      </c>
      <c r="F14" s="119" t="inlineStr">
        <is>
          <t>İyimser senaryo iskonto oranı.</t>
        </is>
      </c>
      <c r="G14" s="114" t="inlineStr">
        <is>
          <t>Varsayım</t>
        </is>
      </c>
      <c r="H14" s="172" t="n">
        <v>46023</v>
      </c>
      <c r="I14" s="172" t="n">
        <v>46244</v>
      </c>
    </row>
    <row r="15" ht="25.5" customHeight="1" s="81">
      <c r="A15" s="169" t="inlineStr">
        <is>
          <t>YenidegerBazIskonto</t>
        </is>
      </c>
      <c r="B15" s="174" t="n">
        <v>0.15</v>
      </c>
      <c r="C15" s="114" t="inlineStr">
        <is>
          <t>Oran</t>
        </is>
      </c>
      <c r="D15" s="171" t="n">
        <v>0</v>
      </c>
      <c r="E15" s="171" t="n">
        <v>1</v>
      </c>
      <c r="F15" s="119" t="inlineStr">
        <is>
          <t>Baz senaryo iskonto oranı.</t>
        </is>
      </c>
      <c r="G15" s="114" t="inlineStr">
        <is>
          <t>Varsayım</t>
        </is>
      </c>
      <c r="H15" s="172" t="n">
        <v>46023</v>
      </c>
      <c r="I15" s="172" t="n">
        <v>46244</v>
      </c>
    </row>
    <row r="16" ht="25.5" customHeight="1" s="81">
      <c r="A16" s="169" t="inlineStr">
        <is>
          <t>YenidegerKotuIskonto</t>
        </is>
      </c>
      <c r="B16" s="174" t="n">
        <v>0.22</v>
      </c>
      <c r="C16" s="114" t="inlineStr">
        <is>
          <t>Oran</t>
        </is>
      </c>
      <c r="D16" s="171" t="n">
        <v>0</v>
      </c>
      <c r="E16" s="171" t="n">
        <v>1</v>
      </c>
      <c r="F16" s="119" t="inlineStr">
        <is>
          <t>Kötümser senaryo iskonto oranı.</t>
        </is>
      </c>
      <c r="G16" s="114" t="inlineStr">
        <is>
          <t>Varsayım</t>
        </is>
      </c>
      <c r="H16" s="172" t="n">
        <v>46023</v>
      </c>
      <c r="I16" s="172" t="n">
        <v>46244</v>
      </c>
    </row>
    <row r="17" ht="25.5" customHeight="1" s="81">
      <c r="A17" s="169" t="inlineStr">
        <is>
          <t>YenidegerKritikIskonto</t>
        </is>
      </c>
      <c r="B17" s="174" t="n">
        <v>0.3</v>
      </c>
      <c r="C17" s="114" t="inlineStr">
        <is>
          <t>Oran</t>
        </is>
      </c>
      <c r="D17" s="171" t="n">
        <v>0</v>
      </c>
      <c r="E17" s="171" t="n">
        <v>1</v>
      </c>
      <c r="F17" s="119" t="inlineStr">
        <is>
          <t>Kritik senaryo iskonto oranı.</t>
        </is>
      </c>
      <c r="G17" s="114" t="inlineStr">
        <is>
          <t>Varsayım</t>
        </is>
      </c>
      <c r="H17" s="172" t="n">
        <v>46023</v>
      </c>
      <c r="I17" s="172" t="n">
        <v>46244</v>
      </c>
    </row>
    <row r="18" ht="25.5" customHeight="1" s="81">
      <c r="A18" s="169" t="inlineStr">
        <is>
          <t>YenidegerNbdEsik</t>
        </is>
      </c>
      <c r="B18" s="175" t="n">
        <v>100000</v>
      </c>
      <c r="C18" s="114" t="inlineStr">
        <is>
          <t>TL</t>
        </is>
      </c>
      <c r="D18" s="171" t="n">
        <v>0</v>
      </c>
      <c r="E18" s="171" t="n">
        <v>10000000000</v>
      </c>
      <c r="F18" s="119" t="inlineStr">
        <is>
          <t>Net fayda eşiği; üzerinde karar UYGUN olur.</t>
        </is>
      </c>
      <c r="G18" s="114" t="inlineStr">
        <is>
          <t>Varsayım</t>
        </is>
      </c>
      <c r="H18" s="172" t="n">
        <v>46023</v>
      </c>
      <c r="I18" s="172" t="n">
        <v>46244</v>
      </c>
    </row>
    <row r="19" ht="25.5" customHeight="1" s="81">
      <c r="A19" s="169" t="inlineStr">
        <is>
          <t>YenidegerArtisEsik</t>
        </is>
      </c>
      <c r="B19" s="175" t="n">
        <v>50000</v>
      </c>
      <c r="C19" s="114" t="inlineStr">
        <is>
          <t>TL</t>
        </is>
      </c>
      <c r="D19" s="171" t="n">
        <v>0</v>
      </c>
      <c r="E19" s="171" t="n">
        <v>10000000000</v>
      </c>
      <c r="F19" s="119" t="inlineStr">
        <is>
          <t>Değer artışı eşiği; üzerinde karar İNCELE olur.</t>
        </is>
      </c>
      <c r="G19" s="114" t="inlineStr">
        <is>
          <t>Varsayım</t>
        </is>
      </c>
      <c r="H19" s="172" t="n">
        <v>46023</v>
      </c>
      <c r="I19" s="172" t="n">
        <v>46244</v>
      </c>
    </row>
    <row r="20" ht="25.5" customHeight="1" s="81">
      <c r="A20" s="169" t="inlineStr">
        <is>
          <t>YenidegerFonEsik</t>
        </is>
      </c>
      <c r="B20" s="175" t="n">
        <v>200000</v>
      </c>
      <c r="C20" s="114" t="inlineStr">
        <is>
          <t>TL</t>
        </is>
      </c>
      <c r="D20" s="171" t="n">
        <v>0</v>
      </c>
      <c r="E20" s="171" t="n">
        <v>10000000000</v>
      </c>
      <c r="F20" s="119" t="inlineStr">
        <is>
          <t>Fon yükü eşiği; üzerinde kontroller AŞIYOR üretir.</t>
        </is>
      </c>
      <c r="G20" s="114" t="inlineStr">
        <is>
          <t>Varsayım</t>
        </is>
      </c>
      <c r="H20" s="172" t="n">
        <v>46023</v>
      </c>
      <c r="I20" s="172" t="n">
        <v>46244</v>
      </c>
    </row>
    <row r="21" ht="25.5" customHeight="1" s="81">
      <c r="A21" s="169" t="inlineStr">
        <is>
          <t>YenidegerTornadoIskonto</t>
        </is>
      </c>
      <c r="B21" s="174" t="n">
        <v>0.01</v>
      </c>
      <c r="C21" s="114" t="inlineStr">
        <is>
          <t>Oran</t>
        </is>
      </c>
      <c r="D21" s="171" t="n">
        <v>0</v>
      </c>
      <c r="E21" s="171" t="n">
        <v>0.1</v>
      </c>
      <c r="F21" s="119" t="inlineStr">
        <is>
          <t>İskonto oranının %1 artışının net faydaya etkisi.</t>
        </is>
      </c>
      <c r="G21" s="114" t="inlineStr">
        <is>
          <t>Varsayım</t>
        </is>
      </c>
      <c r="H21" s="172" t="n">
        <v>46023</v>
      </c>
      <c r="I21" s="172" t="n">
        <v>46244</v>
      </c>
    </row>
    <row r="22" ht="25.5" customHeight="1" s="81">
      <c r="A22" s="169" t="inlineStr">
        <is>
          <t>YenidegerTornadoFon</t>
        </is>
      </c>
      <c r="B22" s="174" t="n">
        <v>0.01</v>
      </c>
      <c r="C22" s="114" t="inlineStr">
        <is>
          <t>Oran</t>
        </is>
      </c>
      <c r="D22" s="171" t="n">
        <v>0</v>
      </c>
      <c r="E22" s="171" t="n">
        <v>0.1</v>
      </c>
      <c r="F22" s="119" t="inlineStr">
        <is>
          <t>Fon oranının %1 artışının net faydaya etkisi.</t>
        </is>
      </c>
      <c r="G22" s="114" t="inlineStr">
        <is>
          <t>Varsayım</t>
        </is>
      </c>
      <c r="H22" s="172" t="n">
        <v>46023</v>
      </c>
      <c r="I22" s="172" t="n">
        <v>46244</v>
      </c>
    </row>
    <row r="23" ht="25.5" customHeight="1" s="81">
      <c r="A23" s="169" t="inlineStr">
        <is>
          <t>YenidegerTahminCarpan</t>
        </is>
      </c>
      <c r="B23" s="174" t="n">
        <v>1.645</v>
      </c>
      <c r="C23" s="114" t="inlineStr">
        <is>
          <t>Oran</t>
        </is>
      </c>
      <c r="D23" s="171" t="n">
        <v>0</v>
      </c>
      <c r="E23" s="171" t="n">
        <v>3</v>
      </c>
      <c r="F23" s="119" t="inlineStr">
        <is>
          <t>Tahmin bandı genişliği (standart sapma katı).</t>
        </is>
      </c>
      <c r="G23" s="114" t="inlineStr">
        <is>
          <t>Varsayım</t>
        </is>
      </c>
      <c r="H23" s="172" t="n">
        <v>46023</v>
      </c>
      <c r="I23" s="172" t="n">
        <v>46244</v>
      </c>
    </row>
    <row r="24" ht="25.5" customHeight="1" s="81">
      <c r="A24" s="169" t="inlineStr">
        <is>
          <t>YenidegerKaliteIyi</t>
        </is>
      </c>
      <c r="B24" s="176" t="n">
        <v>90</v>
      </c>
      <c r="C24" s="114" t="inlineStr">
        <is>
          <t>Skor</t>
        </is>
      </c>
      <c r="D24" s="171" t="n">
        <v>0</v>
      </c>
      <c r="E24" s="171" t="n">
        <v>100</v>
      </c>
      <c r="F24" s="119" t="inlineStr">
        <is>
          <t>Kalite skoru bu eşiğin üzerindeyse YÜKSEK kalite.</t>
        </is>
      </c>
      <c r="G24" s="114" t="inlineStr">
        <is>
          <t>Varsayım</t>
        </is>
      </c>
      <c r="H24" s="172" t="n">
        <v>46023</v>
      </c>
      <c r="I24" s="172" t="n">
        <v>46244</v>
      </c>
    </row>
    <row r="25" ht="25.5" customHeight="1" s="81">
      <c r="A25" s="169" t="inlineStr">
        <is>
          <t>YenidegerKaliteOrta</t>
        </is>
      </c>
      <c r="B25" s="176" t="n">
        <v>70</v>
      </c>
      <c r="C25" s="114" t="inlineStr">
        <is>
          <t>Skor</t>
        </is>
      </c>
      <c r="D25" s="171" t="n">
        <v>0</v>
      </c>
      <c r="E25" s="171" t="n">
        <v>100</v>
      </c>
      <c r="F25" s="119" t="inlineStr">
        <is>
          <t>Kalite skoru bu eşiğin üzerindeyse ORTA kalite.</t>
        </is>
      </c>
      <c r="G25" s="114" t="inlineStr">
        <is>
          <t>Varsayım</t>
        </is>
      </c>
      <c r="H25" s="172" t="n">
        <v>46023</v>
      </c>
      <c r="I25" s="172" t="n">
        <v>46244</v>
      </c>
    </row>
    <row r="26" ht="25.5" customHeight="1" s="81">
      <c r="A26" s="169" t="inlineStr">
        <is>
          <t>YenidegerAksiyon1_ACIKLAMA</t>
        </is>
      </c>
      <c r="B26" s="177" t="inlineStr">
        <is>
          <t>Net fayda eşiğin üzerinde: yeniden değerleme yapılabilir; değer artışını dönem beyanına işleyin ve ek amortismanı kalan ömür boyunca ayırın.</t>
        </is>
      </c>
      <c r="C26" s="114" t="inlineStr">
        <is>
          <t>Metin</t>
        </is>
      </c>
      <c r="D26" s="171" t="n"/>
      <c r="E26" s="171" t="n"/>
      <c r="F26" s="119" t="inlineStr">
        <is>
          <t>UYGUN kararında gösterilen ilk öneri.</t>
        </is>
      </c>
      <c r="G26" s="114" t="inlineStr">
        <is>
          <t>Varsayım</t>
        </is>
      </c>
      <c r="H26" s="172" t="n">
        <v>46023</v>
      </c>
      <c r="I26" s="172" t="n">
        <v>46244</v>
      </c>
    </row>
    <row r="27" ht="25.5" customHeight="1" s="81">
      <c r="A27" s="169" t="inlineStr">
        <is>
          <t>YenidegerAksiyon2_ACIKLAMA</t>
        </is>
      </c>
      <c r="B27" s="177" t="inlineStr">
        <is>
          <t>Net fayda pozitif değil: kalan faydalı ömrü, iskonto oranını ve fon oranını mali müşavirinizle yeniden gözden geçirin; kıymet bazlı seçim yapın.</t>
        </is>
      </c>
      <c r="C27" s="114" t="inlineStr">
        <is>
          <t>Metin</t>
        </is>
      </c>
      <c r="D27" s="171" t="n"/>
      <c r="E27" s="171" t="n"/>
      <c r="F27" s="119" t="inlineStr">
        <is>
          <t>İNCELE kararında gösterilen ikinci öneri.</t>
        </is>
      </c>
      <c r="G27" s="114" t="inlineStr">
        <is>
          <t>Varsayım</t>
        </is>
      </c>
      <c r="H27" s="172" t="n">
        <v>46023</v>
      </c>
      <c r="I27" s="172" t="n">
        <v>46244</v>
      </c>
    </row>
    <row r="28" ht="25.5" customHeight="1" s="81">
      <c r="A28" s="169" t="inlineStr">
        <is>
          <t>YenidegerAksiyon3_ACIKLAMA</t>
        </is>
      </c>
      <c r="B28" s="177" t="inlineStr">
        <is>
          <t>Yeniden değerleme bu portföyde vergi tasarrufu üretmiyor; katsayı ve oran değişimlerini izleyin, uygun dönemde yeniden değerlendirin.</t>
        </is>
      </c>
      <c r="C28" s="114" t="inlineStr">
        <is>
          <t>Metin</t>
        </is>
      </c>
      <c r="D28" s="171" t="n"/>
      <c r="E28" s="171" t="n"/>
      <c r="F28" s="119" t="inlineStr">
        <is>
          <t>DURDUR kararında gösterilen üçüncü öneri.</t>
        </is>
      </c>
      <c r="G28" s="114" t="inlineStr">
        <is>
          <t>Varsayım</t>
        </is>
      </c>
      <c r="H28" s="172" t="n">
        <v>46023</v>
      </c>
      <c r="I28" s="172" t="n">
        <v>46244</v>
      </c>
    </row>
    <row r="29" ht="25.5" customHeight="1" s="81">
      <c r="A29" s="169" t="inlineStr">
        <is>
          <t>YenidegerP90Oran</t>
        </is>
      </c>
      <c r="B29" s="174" t="n">
        <v>0.9</v>
      </c>
      <c r="C29" s="114" t="inlineStr">
        <is>
          <t>Oran</t>
        </is>
      </c>
      <c r="D29" s="171" t="n">
        <v>0.5</v>
      </c>
      <c r="E29" s="171" t="n">
        <v>1</v>
      </c>
      <c r="F29" s="119" t="inlineStr">
        <is>
          <t>Net fayda dağılımında üst yüzdelik dilimin oranı.</t>
        </is>
      </c>
      <c r="G29" s="114" t="inlineStr">
        <is>
          <t>Varsayım</t>
        </is>
      </c>
      <c r="H29" s="172" t="n">
        <v>46023</v>
      </c>
      <c r="I29" s="172" t="n">
        <v>46244</v>
      </c>
    </row>
    <row r="30" ht="25.5" customHeight="1" s="81">
      <c r="A30" s="169" t="inlineStr">
        <is>
          <t>YenidegerTemelKolonSayisi</t>
        </is>
      </c>
      <c r="B30" s="176" t="n">
        <v>5</v>
      </c>
      <c r="C30" s="114" t="inlineStr">
        <is>
          <t>Adet</t>
        </is>
      </c>
      <c r="D30" s="171" t="n">
        <v>1</v>
      </c>
      <c r="E30" s="171" t="n">
        <v>20</v>
      </c>
      <c r="F30" s="119" t="inlineStr">
        <is>
          <t>Veri kalitesi skorunda temel kabul edilen zorunlu giriş kolonu sayısı.</t>
        </is>
      </c>
      <c r="G30" s="114" t="inlineStr">
        <is>
          <t>Varsayım</t>
        </is>
      </c>
      <c r="H30" s="172" t="n">
        <v>46023</v>
      </c>
      <c r="I30" s="172" t="n">
        <v>46244</v>
      </c>
    </row>
    <row r="32" ht="25.5" customHeight="1" s="81">
      <c r="A32" s="178" t="inlineStr">
        <is>
          <t>YenidegerPanelSatir1</t>
        </is>
      </c>
      <c r="B32" s="179" t="n">
        <v>1</v>
      </c>
      <c r="C32" s="114" t="inlineStr">
        <is>
          <t>Satır</t>
        </is>
      </c>
      <c r="F32" s="119" t="inlineStr">
        <is>
          <t>PANO'daki kıymet bazlı net fayda grafiğinin tablodaki veri satırı (1. veri).</t>
        </is>
      </c>
      <c r="G32" s="114" t="inlineStr">
        <is>
          <t>Kullanıcı</t>
        </is>
      </c>
      <c r="H32" s="172" t="n">
        <v>46023</v>
      </c>
      <c r="I32" s="172" t="n">
        <v>46244</v>
      </c>
    </row>
    <row r="33" ht="25.5" customHeight="1" s="81">
      <c r="A33" s="178" t="inlineStr">
        <is>
          <t>YenidegerPanelSatir2</t>
        </is>
      </c>
      <c r="B33" s="179" t="n">
        <v>2</v>
      </c>
      <c r="C33" s="114" t="inlineStr">
        <is>
          <t>Satır</t>
        </is>
      </c>
      <c r="F33" s="119" t="inlineStr">
        <is>
          <t>PANO'daki kıymet bazlı net fayda grafiğinin tablodaki veri satırı (2. veri).</t>
        </is>
      </c>
      <c r="G33" s="114" t="inlineStr">
        <is>
          <t>Kullanıcı</t>
        </is>
      </c>
      <c r="H33" s="172" t="n">
        <v>46023</v>
      </c>
      <c r="I33" s="172" t="n">
        <v>46244</v>
      </c>
    </row>
    <row r="34" ht="25.5" customHeight="1" s="81">
      <c r="A34" s="178" t="inlineStr">
        <is>
          <t>YenidegerPanelSatir3</t>
        </is>
      </c>
      <c r="B34" s="179" t="n">
        <v>3</v>
      </c>
      <c r="C34" s="114" t="inlineStr">
        <is>
          <t>Satır</t>
        </is>
      </c>
      <c r="F34" s="119" t="inlineStr">
        <is>
          <t>PANO'daki kıymet bazlı net fayda grafiğinin tablodaki veri satırı (3. veri).</t>
        </is>
      </c>
      <c r="G34" s="114" t="inlineStr">
        <is>
          <t>Kullanıcı</t>
        </is>
      </c>
      <c r="H34" s="172" t="n">
        <v>46023</v>
      </c>
      <c r="I34" s="172" t="n">
        <v>46244</v>
      </c>
    </row>
    <row r="35" ht="25.5" customHeight="1" s="81">
      <c r="A35" s="178" t="inlineStr">
        <is>
          <t>YenidegerPanelSatir4</t>
        </is>
      </c>
      <c r="B35" s="179" t="n">
        <v>4</v>
      </c>
      <c r="C35" s="114" t="inlineStr">
        <is>
          <t>Satır</t>
        </is>
      </c>
      <c r="F35" s="119" t="inlineStr">
        <is>
          <t>PANO'daki kıymet bazlı net fayda grafiğinin tablodaki veri satırı (4. veri).</t>
        </is>
      </c>
      <c r="G35" s="114" t="inlineStr">
        <is>
          <t>Kullanıcı</t>
        </is>
      </c>
      <c r="H35" s="172" t="n">
        <v>46023</v>
      </c>
      <c r="I35" s="172" t="n">
        <v>46244</v>
      </c>
    </row>
    <row r="36" ht="25.5" customHeight="1" s="81">
      <c r="A36" s="178" t="inlineStr">
        <is>
          <t>YenidegerPanelSatir5</t>
        </is>
      </c>
      <c r="B36" s="179" t="n">
        <v>5</v>
      </c>
      <c r="C36" s="114" t="inlineStr">
        <is>
          <t>Satır</t>
        </is>
      </c>
      <c r="F36" s="119" t="inlineStr">
        <is>
          <t>PANO'daki kıymet bazlı net fayda grafiğinin tablodaki veri satırı (5. veri).</t>
        </is>
      </c>
      <c r="G36" s="114" t="inlineStr">
        <is>
          <t>Kullanıcı</t>
        </is>
      </c>
      <c r="H36" s="172" t="n">
        <v>46023</v>
      </c>
      <c r="I36" s="172" t="n">
        <v>46244</v>
      </c>
    </row>
    <row r="37" ht="25.5" customHeight="1" s="81">
      <c r="A37" s="178" t="inlineStr">
        <is>
          <t>YenidegerPanelSatir6</t>
        </is>
      </c>
      <c r="B37" s="179" t="n">
        <v>6</v>
      </c>
      <c r="C37" s="114" t="inlineStr">
        <is>
          <t>Satır</t>
        </is>
      </c>
      <c r="F37" s="119" t="inlineStr">
        <is>
          <t>PANO'daki kıymet bazlı net fayda grafiğinin tablodaki veri satırı (6. veri).</t>
        </is>
      </c>
      <c r="G37" s="114" t="inlineStr">
        <is>
          <t>Kullanıcı</t>
        </is>
      </c>
      <c r="H37" s="172" t="n">
        <v>46023</v>
      </c>
      <c r="I37" s="172" t="n">
        <v>46244</v>
      </c>
    </row>
    <row r="38" ht="25.5" customHeight="1" s="81">
      <c r="A38" s="178" t="inlineStr">
        <is>
          <t>YenidegerPanelSatir7</t>
        </is>
      </c>
      <c r="B38" s="179" t="n">
        <v>7</v>
      </c>
      <c r="C38" s="114" t="inlineStr">
        <is>
          <t>Satır</t>
        </is>
      </c>
      <c r="F38" s="119" t="inlineStr">
        <is>
          <t>PANO'daki kıymet bazlı net fayda grafiğinin tablodaki veri satırı (7. veri).</t>
        </is>
      </c>
      <c r="G38" s="114" t="inlineStr">
        <is>
          <t>Kullanıcı</t>
        </is>
      </c>
      <c r="H38" s="172" t="n">
        <v>46023</v>
      </c>
      <c r="I38" s="172" t="n">
        <v>46244</v>
      </c>
    </row>
    <row r="39" ht="25.5" customHeight="1" s="81">
      <c r="A39" s="178" t="inlineStr">
        <is>
          <t>YenidegerPanelSatir8</t>
        </is>
      </c>
      <c r="B39" s="179" t="n">
        <v>8</v>
      </c>
      <c r="C39" s="114" t="inlineStr">
        <is>
          <t>Satır</t>
        </is>
      </c>
      <c r="F39" s="119" t="inlineStr">
        <is>
          <t>PANO'daki kıymet bazlı net fayda grafiğinin tablodaki veri satırı (8. veri).</t>
        </is>
      </c>
      <c r="G39" s="114" t="inlineStr">
        <is>
          <t>Kullanıcı</t>
        </is>
      </c>
      <c r="H39" s="172" t="n">
        <v>46023</v>
      </c>
      <c r="I39" s="172" t="n">
        <v>46244</v>
      </c>
    </row>
    <row r="40" ht="25.5" customHeight="1" s="81">
      <c r="A40" s="178" t="inlineStr">
        <is>
          <t>YenidegerPanelSatir9</t>
        </is>
      </c>
      <c r="B40" s="179" t="n">
        <v>9</v>
      </c>
      <c r="C40" s="114" t="inlineStr">
        <is>
          <t>Satır</t>
        </is>
      </c>
      <c r="F40" s="119" t="inlineStr">
        <is>
          <t>PANO'daki kıymet bazlı net fayda grafiğinin tablodaki veri satırı (9. veri).</t>
        </is>
      </c>
      <c r="G40" s="114" t="inlineStr">
        <is>
          <t>Kullanıcı</t>
        </is>
      </c>
      <c r="H40" s="172" t="n">
        <v>46023</v>
      </c>
      <c r="I40" s="172" t="n">
        <v>46244</v>
      </c>
    </row>
    <row r="41" ht="25.5" customHeight="1" s="81">
      <c r="A41" s="178" t="inlineStr">
        <is>
          <t>YenidegerPanelSatir10</t>
        </is>
      </c>
      <c r="B41" s="179" t="n">
        <v>10</v>
      </c>
      <c r="C41" s="114" t="inlineStr">
        <is>
          <t>Satır</t>
        </is>
      </c>
      <c r="F41" s="119" t="inlineStr">
        <is>
          <t>PANO'daki kıymet bazlı net fayda grafiğinin tablodaki veri satırı (10. veri).</t>
        </is>
      </c>
      <c r="G41" s="114" t="inlineStr">
        <is>
          <t>Kullanıcı</t>
        </is>
      </c>
      <c r="H41" s="172" t="n">
        <v>46023</v>
      </c>
      <c r="I41" s="172" t="n">
        <v>46244</v>
      </c>
    </row>
    <row r="42" ht="25.5" customHeight="1" s="81">
      <c r="A42" s="178" t="inlineStr">
        <is>
          <t>YenidegerPanelSatir11</t>
        </is>
      </c>
      <c r="B42" s="179" t="n">
        <v>11</v>
      </c>
      <c r="C42" s="114" t="inlineStr">
        <is>
          <t>Satır</t>
        </is>
      </c>
      <c r="F42" s="119" t="inlineStr">
        <is>
          <t>PANO'daki kıymet bazlı net fayda grafiğinin tablodaki veri satırı (11. veri).</t>
        </is>
      </c>
      <c r="G42" s="114" t="inlineStr">
        <is>
          <t>Kullanıcı</t>
        </is>
      </c>
      <c r="H42" s="172" t="n">
        <v>46023</v>
      </c>
      <c r="I42" s="172" t="n">
        <v>46244</v>
      </c>
    </row>
    <row r="43" ht="25.5" customHeight="1" s="81">
      <c r="A43" s="178" t="inlineStr">
        <is>
          <t>YenidegerPanelSatir12</t>
        </is>
      </c>
      <c r="B43" s="179" t="n">
        <v>12</v>
      </c>
      <c r="C43" s="114" t="inlineStr">
        <is>
          <t>Satır</t>
        </is>
      </c>
      <c r="F43" s="119" t="inlineStr">
        <is>
          <t>PANO'daki kıymet bazlı net fayda grafiğinin tablodaki veri satırı (12. veri).</t>
        </is>
      </c>
      <c r="G43" s="114" t="inlineStr">
        <is>
          <t>Kullanıcı</t>
        </is>
      </c>
      <c r="H43" s="172" t="n">
        <v>46023</v>
      </c>
      <c r="I43" s="172" t="n">
        <v>46244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dataValidations count="17">
    <dataValidation sqref="B11" showDropDown="0" showInputMessage="0" showErrorMessage="1" allowBlank="0" errorTitle="Değer aralık dışı" error="Değer artışı üzerinden alınan fon vergisi oranı (%2)." promptTitle="YenidegerFonOran" prompt="Değer artışı üzerinden alınan fon vergisi oranı (%2)." type="decimal" errorStyle="stop" operator="between">
      <formula1>0</formula1>
      <formula2>0.1</formula2>
    </dataValidation>
    <dataValidation sqref="B12" showDropDown="0" showInputMessage="0" showErrorMessage="1" allowBlank="0" errorTitle="Değer aralık dışı" error="Kurumlar vergisi oranı (%25); tasarruf hesabında kullanılır." promptTitle="YenidegerKurumlarVergiOran" prompt="Kurumlar vergisi oranı (%25); tasarruf hesabında kullanılır." type="decimal" errorStyle="stop" operator="between">
      <formula1>0</formula1>
      <formula2>1</formula2>
    </dataValidation>
    <dataValidation sqref="B13" showDropDown="0" showInputMessage="0" showErrorMessage="1" allowBlank="0" errorTitle="Değer aralık dışı" error="Tasarrufları bugünkü değere indirgemede kullanılan iskonto oranı." promptTitle="YenidegerIskontoOrani" prompt="Tasarrufları bugünkü değere indirgemede kullanılan iskonto oranı." type="decimal" errorStyle="stop" operator="between">
      <formula1>0</formula1>
      <formula2>1</formula2>
    </dataValidation>
    <dataValidation sqref="B14" showDropDown="0" showInputMessage="0" showErrorMessage="1" allowBlank="0" errorTitle="Değer aralık dışı" error="İyimser senaryo iskonto oranı." promptTitle="YenidegerIyiIskonto" prompt="İyimser senaryo iskonto oranı." type="decimal" errorStyle="stop" operator="between">
      <formula1>0</formula1>
      <formula2>1</formula2>
    </dataValidation>
    <dataValidation sqref="B15" showDropDown="0" showInputMessage="0" showErrorMessage="1" allowBlank="0" errorTitle="Değer aralık dışı" error="Baz senaryo iskonto oranı." promptTitle="YenidegerBazIskonto" prompt="Baz senaryo iskonto oranı." type="decimal" errorStyle="stop" operator="between">
      <formula1>0</formula1>
      <formula2>1</formula2>
    </dataValidation>
    <dataValidation sqref="B16" showDropDown="0" showInputMessage="0" showErrorMessage="1" allowBlank="0" errorTitle="Değer aralık dışı" error="Kötümser senaryo iskonto oranı." promptTitle="YenidegerKotuIskonto" prompt="Kötümser senaryo iskonto oranı." type="decimal" errorStyle="stop" operator="between">
      <formula1>0</formula1>
      <formula2>1</formula2>
    </dataValidation>
    <dataValidation sqref="B17" showDropDown="0" showInputMessage="0" showErrorMessage="1" allowBlank="0" errorTitle="Değer aralık dışı" error="Kritik senaryo iskonto oranı." promptTitle="YenidegerKritikIskonto" prompt="Kritik senaryo iskonto oranı." type="decimal" errorStyle="stop" operator="between">
      <formula1>0</formula1>
      <formula2>1</formula2>
    </dataValidation>
    <dataValidation sqref="B18" showDropDown="0" showInputMessage="0" showErrorMessage="1" allowBlank="0" errorTitle="Değer aralık dışı" error="Net fayda eşiği; üzerinde karar UYGUN olur." promptTitle="YenidegerNbdEsik" prompt="Net fayda eşiği; üzerinde karar UYGUN olur." type="decimal" errorStyle="stop" operator="between">
      <formula1>0</formula1>
      <formula2>10000000000</formula2>
    </dataValidation>
    <dataValidation sqref="B19" showDropDown="0" showInputMessage="0" showErrorMessage="1" allowBlank="0" errorTitle="Değer aralık dışı" error="Değer artışı eşiği; üzerinde karar İNCELE olur." promptTitle="YenidegerArtisEsik" prompt="Değer artışı eşiği; üzerinde karar İNCELE olur." type="decimal" errorStyle="stop" operator="between">
      <formula1>0</formula1>
      <formula2>10000000000</formula2>
    </dataValidation>
    <dataValidation sqref="B20" showDropDown="0" showInputMessage="0" showErrorMessage="1" allowBlank="0" errorTitle="Değer aralık dışı" error="Fon yükü eşiği; üzerinde kontroller AŞIYOR üretir." promptTitle="YenidegerFonEsik" prompt="Fon yükü eşiği; üzerinde kontroller AŞIYOR üretir." type="decimal" errorStyle="stop" operator="between">
      <formula1>0</formula1>
      <formula2>10000000000</formula2>
    </dataValidation>
    <dataValidation sqref="B21" showDropDown="0" showInputMessage="0" showErrorMessage="1" allowBlank="0" errorTitle="Değer aralık dışı" error="İskonto oranının %1 artışının net faydaya etkisi." promptTitle="YenidegerTornadoIskonto" prompt="İskonto oranının %1 artışının net faydaya etkisi." type="decimal" errorStyle="stop" operator="between">
      <formula1>0</formula1>
      <formula2>0.1</formula2>
    </dataValidation>
    <dataValidation sqref="B22" showDropDown="0" showInputMessage="0" showErrorMessage="1" allowBlank="0" errorTitle="Değer aralık dışı" error="Fon oranının %1 artışının net faydaya etkisi." promptTitle="YenidegerTornadoFon" prompt="Fon oranının %1 artışının net faydaya etkisi." type="decimal" errorStyle="stop" operator="between">
      <formula1>0</formula1>
      <formula2>0.1</formula2>
    </dataValidation>
    <dataValidation sqref="B23" showDropDown="0" showInputMessage="0" showErrorMessage="1" allowBlank="0" errorTitle="Değer aralık dışı" error="Tahmin bandı genişliği (standart sapma katı)." promptTitle="YenidegerTahminCarpan" prompt="Tahmin bandı genişliği (standart sapma katı)." type="decimal" errorStyle="stop" operator="between">
      <formula1>0</formula1>
      <formula2>3</formula2>
    </dataValidation>
    <dataValidation sqref="B24" showDropDown="0" showInputMessage="0" showErrorMessage="1" allowBlank="0" errorTitle="Değer aralık dışı" error="Kalite skoru bu eşiğin üzerindeyse YÜKSEK kalite." promptTitle="YenidegerKaliteIyi" prompt="Kalite skoru bu eşiğin üzerindeyse YÜKSEK kalite." type="decimal" errorStyle="stop" operator="between">
      <formula1>0</formula1>
      <formula2>100</formula2>
    </dataValidation>
    <dataValidation sqref="B25" showDropDown="0" showInputMessage="0" showErrorMessage="1" allowBlank="0" errorTitle="Değer aralık dışı" error="Kalite skoru bu eşiğin üzerindeyse ORTA kalite." promptTitle="YenidegerKaliteOrta" prompt="Kalite skoru bu eşiğin üzerindeyse ORTA kalite." type="decimal" errorStyle="stop" operator="between">
      <formula1>0</formula1>
      <formula2>100</formula2>
    </dataValidation>
    <dataValidation sqref="B29" showDropDown="0" showInputMessage="0" showErrorMessage="1" allowBlank="0" errorTitle="Değer aralık dışı" error="Net fayda dağılımında üst yüzdelik dilimin oranı." promptTitle="YenidegerP90Oran" prompt="Net fayda dağılımında üst yüzdelik dilimin oranı." type="decimal" errorStyle="stop" operator="between">
      <formula1>0.5</formula1>
      <formula2>1</formula2>
    </dataValidation>
    <dataValidation sqref="B30" showDropDown="0" showInputMessage="0" showErrorMessage="1" allowBlank="0" errorTitle="Değer aralık dışı" error="Veri kalitesi skorunda temel kabul edilen zorunlu giriş kolonu sayısı." promptTitle="YenidegerTemelKolonSayisi" prompt="Veri kalitesi skorunda temel kabul edilen zorunlu giriş kolonu sayısı." type="decimal" errorStyle="stop" operator="between">
      <formula1>1</formula1>
      <formula2>20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AD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7" min="1" max="1"/>
    <col width="60" customWidth="1" style="107" min="2" max="2"/>
  </cols>
  <sheetData>
    <row r="1" ht="25.5" customHeight="1" s="81">
      <c r="A1" s="108" t="inlineStr">
        <is>
          <t>KILAVUZ — Yeniden Değerleme Yapmalı Mıyım? (Vergi Tasarruf Analizi)</t>
        </is>
      </c>
    </row>
    <row r="3" ht="15.75" customHeight="1" s="81">
      <c r="A3" s="115" t="inlineStr">
        <is>
          <t>Kullanım Kılavuzu</t>
        </is>
      </c>
    </row>
    <row r="5" ht="15" customHeight="1" s="81">
      <c r="A5" s="116" t="inlineStr">
        <is>
          <t>Veri girişi</t>
        </is>
      </c>
      <c r="B5" s="112" t="inlineStr">
        <is>
          <t>KIYMET_LISTESI sayfasında sarı hücrelere kıymetlerinizi girin. Kıymet türünü listeden seçin; defter değeri, birikmiş amortisman, amortisman oranı, kalan faydalı ömür ve yeniden değerleme katsayısını girin.</t>
        </is>
      </c>
    </row>
    <row r="6" ht="15" customHeight="1" s="81">
      <c r="A6" s="116" t="inlineStr">
        <is>
          <t>Hesap katmanı</t>
        </is>
      </c>
      <c r="B6" s="112" t="inlineStr">
        <is>
          <t>HESAP sayfası kıymet türü bazında değer artışını, %2 fon vergisini, yıllık ek amortismanı ve vergi tasarrufunun bugünkü değerini otomatik özetler.</t>
        </is>
      </c>
    </row>
    <row r="7" ht="15" customHeight="1" s="81">
      <c r="A7" s="116" t="inlineStr">
        <is>
          <t>Karar ve rapor</t>
        </is>
      </c>
      <c r="B7" s="112" t="inlineStr">
        <is>
          <t>KARAR sayfası UYGUN/İNCELE/DURDUR kararını üretir; RAPOR yöneticiye sunulabilir.</t>
        </is>
      </c>
    </row>
    <row r="8" ht="15" customHeight="1" s="81">
      <c r="A8" s="116" t="inlineStr">
        <is>
          <t>Ayarlar</t>
        </is>
      </c>
      <c r="B8" s="112" t="inlineStr">
        <is>
          <t>AYARLAR sayfasındaki fon oranı, kurumlar vergisi oranı ve iskonto oranını mali müşavirinize göre güncelleyin.</t>
        </is>
      </c>
    </row>
    <row r="9" ht="15" customHeight="1" s="81">
      <c r="A9" s="116" t="inlineStr">
        <is>
          <t>Koruma</t>
        </is>
      </c>
      <c r="B9" s="112" t="inlineStr">
        <is>
          <t>Tüm sayfalar 1234 şifresiyle korunur; sarı hücreler serbesttir, formül hücreleri kilitlidir.</t>
        </is>
      </c>
    </row>
    <row r="11" ht="24.75" customHeight="1" s="81">
      <c r="A11" s="119" t="inlineStr">
        <is>
          <t>Bu dosya karar destek aracıdır; mali müşavir ve vergi danışmanı görüşü niteliği taşımaz.</t>
        </is>
      </c>
    </row>
    <row r="13" ht="15" customHeight="1" s="81">
      <c r="A13" s="111" t="inlineStr">
        <is>
          <t>Varsayım İşaretli Parametreler</t>
        </is>
      </c>
    </row>
    <row r="14" ht="41.25" customHeight="1" s="81">
      <c r="A14" s="112" t="inlineStr">
        <is>
          <t>Aşağıdaki eşik ve çarpanlar AYARLAR sayfasında kaynak=Varsayım olarak işaretlidir; mevzuat zorunluluğu yoktur ve işletmeye göre güncellenmelidir.</t>
        </is>
      </c>
      <c r="B14" s="107" t="n"/>
    </row>
    <row r="15" ht="24.75" customHeight="1" s="81">
      <c r="A15" s="180" t="inlineStr">
        <is>
          <t>• İskonto Oranı ve Senaryo Oranları (iyimser-baz-kötümser-kritik)</t>
        </is>
      </c>
    </row>
    <row r="16" ht="15" customHeight="1" s="81">
      <c r="A16" s="180" t="inlineStr">
        <is>
          <t>• Net Fayda ve Değer Artışı Eşikleri</t>
        </is>
      </c>
    </row>
    <row r="17" ht="15" customHeight="1" s="81">
      <c r="A17" s="180" t="inlineStr">
        <is>
          <t>• Fon Yükü Eşiği</t>
        </is>
      </c>
    </row>
    <row r="18" ht="15" customHeight="1" s="81">
      <c r="A18" s="180" t="inlineStr">
        <is>
          <t>• Tornado İskonto ve Fon Etkisi Oranları</t>
        </is>
      </c>
    </row>
    <row r="19" ht="15" customHeight="1" s="81">
      <c r="A19" s="180" t="inlineStr">
        <is>
          <t>• Tahmin Çarpanı (standart sapma katı)</t>
        </is>
      </c>
    </row>
    <row r="20" ht="15" customHeight="1" s="81">
      <c r="A20" s="180" t="inlineStr">
        <is>
          <t>• Kalite Skoru İyi ve Orta Eşikleri</t>
        </is>
      </c>
    </row>
    <row r="21" ht="15" customHeight="1" s="81">
      <c r="A21" s="180" t="inlineStr">
        <is>
          <t>• P90 Yüzdelik Oranı</t>
        </is>
      </c>
    </row>
    <row r="22" ht="15" customHeight="1" s="81">
      <c r="A22" s="180" t="inlineStr">
        <is>
          <t>• Aksiyon Önerisi Açıklamaları</t>
        </is>
      </c>
    </row>
    <row r="24" ht="24.75" customHeight="1" s="81">
      <c r="A24" s="119" t="inlineStr">
        <is>
          <t>Bu dosya tamamen çevrimdışı çalışır; verileriniz cihazınızdan çıkmaz. Makro ve dış bağlantı yoktur.</t>
        </is>
      </c>
      <c r="B24" s="107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8">
    <mergeCell ref="B5:T5"/>
    <mergeCell ref="B14:T14"/>
    <mergeCell ref="B8:T8"/>
    <mergeCell ref="B9:T9"/>
    <mergeCell ref="B6:T6"/>
    <mergeCell ref="B24:T24"/>
    <mergeCell ref="A1:AD1"/>
    <mergeCell ref="B7:T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tr-TR</dc:language>
  <dcterms:created xmlns:dcterms="http://purl.org/dc/terms/" xmlns:xsi="http://www.w3.org/2001/XMLSchema-instance" xsi:type="dcterms:W3CDTF">2026-08-10T15:39:24Z</dcterms:created>
  <dcterms:modified xmlns:dcterms="http://purl.org/dc/terms/" xmlns:xsi="http://www.w3.org/2001/XMLSchema-instance" xsi:type="dcterms:W3CDTF">2026-09-25T15:13:57Z</dcterms:modified>
  <cp:revision>0</cp:revision>
</cp:coreProperties>
</file>