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4.xml" ContentType="application/vnd.openxmlformats-officedocument.spreadsheetml.comments+xml"/>
  <Override PartName="/xl/worksheets/sheet20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KARTLAR" sheetId="11" state="visible" r:id="rId11"/>
    <sheet xmlns:r="http://schemas.openxmlformats.org/officeDocument/2006/relationships" name="AKIS" sheetId="12" state="visible" r:id="rId12"/>
    <sheet xmlns:r="http://schemas.openxmlformats.org/officeDocument/2006/relationships" name="KUYRUKLAR" sheetId="13" state="visible" r:id="rId13"/>
    <sheet xmlns:r="http://schemas.openxmlformats.org/officeDocument/2006/relationships" name="KONTROL_LISTE" sheetId="14" state="visible" r:id="rId14"/>
    <sheet xmlns:r="http://schemas.openxmlformats.org/officeDocument/2006/relationships" name="HESAP" sheetId="15" state="visible" r:id="rId15"/>
    <sheet xmlns:r="http://schemas.openxmlformats.org/officeDocument/2006/relationships" name="RAPOR" sheetId="16" state="visible" r:id="rId16"/>
    <sheet xmlns:r="http://schemas.openxmlformats.org/officeDocument/2006/relationships" name="KONTROLLE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LISTELER" sheetId="19" state="visible" r:id="rId19"/>
    <sheet xmlns:r="http://schemas.openxmlformats.org/officeDocument/2006/relationships" name="AYARLAR" sheetId="20" state="visible" r:id="rId20"/>
    <sheet xmlns:r="http://schemas.openxmlformats.org/officeDocument/2006/relationships" name="KILAVUZ" sheetId="21" state="visible" r:id="rId21"/>
  </sheets>
  <definedNames>
    <definedName name="raporTarihi">AYARLAR!$B$6</definedName>
    <definedName name="zincirTolerans">AYARLAR!$B$7</definedName>
    <definedName name="ytk_esikGecikmeGun">AYARLAR!$B$8</definedName>
    <definedName name="ytk_esikGeciken">AYARLAR!$B$9</definedName>
    <definedName name="ytk_gecikmeOranGun">AYARLAR!$B$10</definedName>
    <definedName name="ytk_senaryoTemkinli">AYARLAR!$B$11</definedName>
    <definedName name="ytk_senaryoBaz">AYARLAR!$B$12</definedName>
    <definedName name="ytk_senaryoIyimser">AYARLAR!$B$13</definedName>
    <definedName name="ytk_tornadoOran">AYARLAR!$B$14</definedName>
    <definedName name="ytk_yuzdelikOran">AYARLAR!$B$15</definedName>
    <definedName name="ytk_olcekHedef">AYARLAR!$B$16</definedName>
    <definedName name="ytk_azamiTutar">AYARLAR!$B$17</definedName>
    <definedName name="ytk_eksikEsik">AYARLAR!$B$18</definedName>
    <definedName name="ytk_durumHaritasi">AYARLAR!$B$19</definedName>
    <definedName name="ytk_kuyrukOzeti_metin">AYARLAR!$B$20</definedName>
    <definedName name="ytk_kapaliDusum_metin">AYARLAR!$B$21</definedName>
    <definedName name="ytk_kanitRaporu_metin">AYARLAR!$B$22</definedName>
    <definedName name="ytk_dosyaSurumu">AYARLAR!$B$23</definedName>
    <definedName name="ytk_ymmUnvan">AYARLAR!$B$24</definedName>
    <definedName name="ytk_acikAdet">AYARLAR!$I$40</definedName>
    <definedName name="ytk_acikTutar">AYARLAR!$I$41</definedName>
    <definedName name="ytk_gecikenAdet">AYARLAR!$I$42</definedName>
    <definedName name="ytk_gecikmeMaliyeti">AYARLAR!$I$43</definedName>
    <definedName name="ytk_yetimKayit">AYARLAR!$I$44</definedName>
    <definedName name="ytk_gecersizGecis">AYARLAR!$I$45</definedName>
    <definedName name="ytk_zincirKirik">AYARLAR!$I$46</definedName>
    <definedName name="ytk_yasKova">AYARLAR!$I$47</definedName>
    <definedName name="ytk_tahminAralik">AYARLAR!$I$48</definedName>
    <definedName name="ytk_senaryoKarsilastirma">AYARLAR!$I$49</definedName>
    <definedName name="ytk_tornadoZirve">AYARLAR!$I$50</definedName>
    <definedName name="ytk_odemeOncelik">AYARLAR!$I$51</definedName>
    <definedName name="ytk_paretoGecikme">AYARLAR!$I$52</definedName>
    <definedName name="ytk_kapaliDusum">AYARLAR!$I$53</definedName>
    <definedName name="ytk_kuyrukOzeti">AYARLAR!$I$54</definedName>
    <definedName name="ytk_kanitRaporu">AYARLAR!$I$55</definedName>
    <definedName name="ytk_sonrakiKimlik">AYARLAR!$I$56</definedName>
    <definedName name="ytk_eksikKuyruk">AYARLAR!$I$57</definedName>
    <definedName name="ytk_modulO8">AYARLAR!$I$58</definedName>
    <definedName name="ytk_modulI2">AYARLAR!$I$59</definedName>
    <definedName name="ytk_eksikAdet">AYARLAR!$I$60</definedName>
    <definedName name="ytk_kritikEksik">AYARLAR!$I$61</definedName>
    <definedName name="ytk_yorumYas">AYARLAR!$I$64</definedName>
    <definedName name="ytk_yorumGecikme">AYARLAR!$I$65</definedName>
    <definedName name="ytk_yorumTahmin">AYARLAR!$I$66</definedName>
    <definedName name="ytk_yorumSenaryo">AYARLAR!$I$67</definedName>
    <definedName name="ytk_yorumTornado">AYARLAR!$I$68</definedName>
    <definedName name="ytk_yorumOncelik">AYARLAR!$I$69</definedName>
    <definedName name="ytk_yorumPareto">AYARLAR!$I$70</definedName>
    <definedName name="ytk_modulO8Yorum">AYARLAR!$I$71</definedName>
    <definedName name="ytk_modulI2Yorum">AYARLAR!$I$72</definedName>
    <definedName name="ytk_kararKapi">PANO!$B$4</definedName>
    <definedName name="ListeDurumlar">LISTELER!$A$7:$A$11</definedName>
    <definedName name="ListeIzinliGecis">LISTELER!$C$7:$C$12</definedName>
    <definedName name="ListeEvetHayir">LISTELER!$E$7:$E$8</definedName>
    <definedName name="ListeZorunluluk">LISTELER!$G$7:$G$9</definedName>
    <definedName name="ListeBelgeDurum">LISTELER!$I$7:$I$8</definedName>
    <definedName name="ListeKartlar">LISTELER!$K$7:$K$14</definedName>
    <definedName name="_xlnm.Print_Area" localSheetId="15">'RAPOR'!$A$1:$H$28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₺ #,##0;[Red](₺ #,##0);-"/>
    <numFmt numFmtId="166" formatCode="0.0%;[Red](0.0%);-"/>
    <numFmt numFmtId="167" formatCode="0&quot; gün&quot;"/>
    <numFmt numFmtId="168" formatCode="#,##0 &quot;TL&quot;"/>
    <numFmt numFmtId="169" formatCode="0.0%"/>
    <numFmt numFmtId="170" formatCode="₺#,##0"/>
    <numFmt numFmtId="171" formatCode="0.00&quot;x&quot;"/>
  </numFmts>
  <fonts count="8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3" fontId="6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3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7" fontId="14" fillId="0" borderId="0" applyAlignment="1" pivotButton="0" quotePrefix="0" xfId="0">
      <alignment horizontal="left" vertical="center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170" fontId="22" fillId="0" borderId="3" pivotButton="0" quotePrefix="0" xfId="0"/>
    <xf numFmtId="170" fontId="43" fillId="0" borderId="4" pivotButton="0" quotePrefix="0" xfId="0"/>
    <xf numFmtId="170" fontId="46" fillId="0" borderId="2" pivotButton="0" quotePrefix="0" xfId="0"/>
    <xf numFmtId="170" fontId="47" fillId="0" borderId="2" pivotButton="0" quotePrefix="0" xfId="0"/>
    <xf numFmtId="170" fontId="50" fillId="7" borderId="0" pivotButton="0" quotePrefix="0" xfId="0"/>
    <xf numFmtId="170" fontId="51" fillId="7" borderId="0" pivotButton="0" quotePrefix="0" xfId="0"/>
    <xf numFmtId="170" fontId="69" fillId="9" borderId="2" applyAlignment="1" pivotButton="0" quotePrefix="0" xfId="0">
      <alignment horizontal="right"/>
    </xf>
    <xf numFmtId="170" fontId="39" fillId="0" borderId="2" applyAlignment="1" pivotButton="0" quotePrefix="0" xfId="0">
      <alignment horizontal="right"/>
    </xf>
    <xf numFmtId="170" fontId="66" fillId="0" borderId="2" applyAlignment="1" pivotButton="0" quotePrefix="0" xfId="0">
      <alignment horizontal="right"/>
    </xf>
    <xf numFmtId="171" fontId="66" fillId="0" borderId="2" applyAlignment="1" pivotButton="0" quotePrefix="0" xfId="0">
      <alignment horizontal="right"/>
    </xf>
    <xf numFmtId="0" fontId="84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5" fillId="2" borderId="0" applyAlignment="1" pivotButton="0" quotePrefix="0" xfId="0">
      <alignment horizontal="left" vertical="center"/>
    </xf>
    <xf numFmtId="0" fontId="85" fillId="3" borderId="0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Kimlik disiplini | Doğru kullanım: Yeni kartta kullanın | Örnek: MUK-00009 | Risk: Elle çakışma</t>
      </text>
    </comment>
    <comment ref="A6" authorId="0" shapeId="0">
      <text>
        <t>Tanım: Kart Kimliği | Neden önemli: YMM tasdik kontrol ve eksik belge kararını etkiler | Doğru kullanım: MUK-##### formatında | Örnek: hücredeki örnek değere bakın | Risk: Yanlış giriş hatalı karar üretir</t>
      </text>
    </comment>
    <comment ref="B6" authorId="0" shapeId="0">
      <text>
        <t>Tanım: Unvan | Neden önemli: YMM tasdik kontrol ve eksik belge kararını etkiler | Doğru kullanım: Mükellef unvanı | Örnek: hücredeki örnek değere bakın | Risk: Yanlış giriş hatalı karar üretir</t>
      </text>
    </comment>
    <comment ref="C6" authorId="0" shapeId="0">
      <text>
        <t>Tanım: VKN | Neden önemli: YMM tasdik kontrol ve eksik belge kararını etkiler | Doğru kullanım: 10 haneli VKN | Örnek: hücredeki örnek değere bakın | Risk: Yanlış giriş hatalı karar üretir</t>
      </text>
    </comment>
    <comment ref="D6" authorId="0" shapeId="0">
      <text>
        <t>Tanım: Şehir | Neden önemli: YMM tasdik kontrol ve eksik belge kararını etkiler | Doğru kullanım: Şehir | Örnek: hücredeki örnek değere bakın | Risk: Yanlış giriş hatalı karar üretir</t>
      </text>
    </comment>
    <comment ref="E6" authorId="0" shapeId="0">
      <text>
        <t>Tanım: Tasdik Türü | Neden önemli: YMM tasdik kontrol ve eksik belge kararını etkiler | Doğru kullanım: Tasdik konusu | Örnek: hücredeki örnek değere bakın | Risk: Yanlış giriş hatalı karar üretir</t>
      </text>
    </comment>
    <comment ref="F6" authorId="0" shapeId="0">
      <text>
        <t>Tanım: Dosya Tutarı | Neden önemli: YMM tasdik kontrol ve eksik belge kararını etkiler | Doğru kullanım: Dosya tutarı TL | Örnek: hücredeki örnek değere bakın | Risk: Yanlış giriş hatalı karar üretir</t>
      </text>
    </comment>
    <comment ref="G6" authorId="0" shapeId="0">
      <text>
        <t>Tanım: Risk Notu | Neden önemli: YMM tasdik kontrol ve eksik belge kararını etkiler | Doğru kullanım: Kısa risk notu | Örnek: hücredeki örnek değere bakın | Risk: Yanlış giriş hatalı karar üretir</t>
      </text>
    </comment>
    <comment ref="H6" authorId="0" shapeId="0">
      <text>
        <t>Tanım: Aktif | Neden önemli: YMM tasdik kontrol ve eksik belge kararını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YMM tasdik kontrol ve eksik belge kararını etkiler | Doğru kullanım: MUK-##### formatında | Örnek: hücredeki örnek değere bakın | Risk: Yanlış giriş hatalı karar üretir</t>
      </text>
    </comment>
    <comment ref="B7" authorId="0" shapeId="0">
      <text>
        <t>Tanım: Unvan | Neden önemli: YMM tasdik kontrol ve eksik belge kararını etkiler | Doğru kullanım: Mükellef unvanı | Örnek: hücredeki örnek değere bakın | Risk: Yanlış giriş hatalı karar üretir</t>
      </text>
    </comment>
    <comment ref="C7" authorId="0" shapeId="0">
      <text>
        <t>Tanım: VKN | Neden önemli: YMM tasdik kontrol ve eksik belge kararını etkiler | Doğru kullanım: 10 haneli VKN | Örnek: hücredeki örnek değere bakın | Risk: Yanlış giriş hatalı karar üretir</t>
      </text>
    </comment>
    <comment ref="D7" authorId="0" shapeId="0">
      <text>
        <t>Tanım: Şehir | Neden önemli: YMM tasdik kontrol ve eksik belge kararını etkiler | Doğru kullanım: Şehir | Örnek: hücredeki örnek değere bakın | Risk: Yanlış giriş hatalı karar üretir</t>
      </text>
    </comment>
    <comment ref="E7" authorId="0" shapeId="0">
      <text>
        <t>Tanım: Tasdik Türü | Neden önemli: YMM tasdik kontrol ve eksik belge kararını etkiler | Doğru kullanım: Tasdik konusu | Örnek: hücredeki örnek değere bakın | Risk: Yanlış giriş hatalı karar üretir</t>
      </text>
    </comment>
    <comment ref="F7" authorId="0" shapeId="0">
      <text>
        <t>Tanım: Dosya Tutarı | Neden önemli: YMM tasdik kontrol ve eksik belge kararını etkiler | Doğru kullanım: Dosya tutarı TL | Örnek: hücredeki örnek değere bakın | Risk: Yanlış giriş hatalı karar üretir</t>
      </text>
    </comment>
    <comment ref="G7" authorId="0" shapeId="0">
      <text>
        <t>Tanım: Risk Notu | Neden önemli: YMM tasdik kontrol ve eksik belge kararını etkiler | Doğru kullanım: Kısa risk notu | Örnek: hücredeki örnek değere bakın | Risk: Yanlış giriş hatalı karar üretir</t>
      </text>
    </comment>
    <comment ref="H7" authorId="0" shapeId="0">
      <text>
        <t>Tanım: Aktif | Neden önemli: YMM tasdik kontrol ve eksik belge kararını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YMM tasdik kontrol ve eksik belge kararını etkiler | Doğru kullanım: MUK-##### formatında | Örnek: hücredeki örnek değere bakın | Risk: Yanlış giriş hatalı karar üretir</t>
      </text>
    </comment>
    <comment ref="B8" authorId="0" shapeId="0">
      <text>
        <t>Tanım: Unvan | Neden önemli: YMM tasdik kontrol ve eksik belge kararını etkiler | Doğru kullanım: Mükellef unvanı | Örnek: hücredeki örnek değere bakın | Risk: Yanlış giriş hatalı karar üretir</t>
      </text>
    </comment>
    <comment ref="C8" authorId="0" shapeId="0">
      <text>
        <t>Tanım: VKN | Neden önemli: YMM tasdik kontrol ve eksik belge kararını etkiler | Doğru kullanım: 10 haneli VKN | Örnek: hücredeki örnek değere bakın | Risk: Yanlış giriş hatalı karar üretir</t>
      </text>
    </comment>
    <comment ref="D8" authorId="0" shapeId="0">
      <text>
        <t>Tanım: Şehir | Neden önemli: YMM tasdik kontrol ve eksik belge kararını etkiler | Doğru kullanım: Şehir | Örnek: hücredeki örnek değere bakın | Risk: Yanlış giriş hatalı karar üretir</t>
      </text>
    </comment>
    <comment ref="E8" authorId="0" shapeId="0">
      <text>
        <t>Tanım: Tasdik Türü | Neden önemli: YMM tasdik kontrol ve eksik belge kararını etkiler | Doğru kullanım: Tasdik konusu | Örnek: hücredeki örnek değere bakın | Risk: Yanlış giriş hatalı karar üretir</t>
      </text>
    </comment>
    <comment ref="F8" authorId="0" shapeId="0">
      <text>
        <t>Tanım: Dosya Tutarı | Neden önemli: YMM tasdik kontrol ve eksik belge kararını etkiler | Doğru kullanım: Dosya tutarı TL | Örnek: hücredeki örnek değere bakın | Risk: Yanlış giriş hatalı karar üretir</t>
      </text>
    </comment>
    <comment ref="G8" authorId="0" shapeId="0">
      <text>
        <t>Tanım: Risk Notu | Neden önemli: YMM tasdik kontrol ve eksik belge kararını etkiler | Doğru kullanım: Kısa risk notu | Örnek: hücredeki örnek değere bakın | Risk: Yanlış giriş hatalı karar üretir</t>
      </text>
    </comment>
    <comment ref="H8" authorId="0" shapeId="0">
      <text>
        <t>Tanım: Aktif | Neden önemli: YMM tasdik kontrol ve eksik belge kararını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YMM tasdik kontrol ve eksik belge kararını etkiler | Doğru kullanım: MUK-##### formatında | Örnek: hücredeki örnek değere bakın | Risk: Yanlış giriş hatalı karar üretir</t>
      </text>
    </comment>
    <comment ref="B9" authorId="0" shapeId="0">
      <text>
        <t>Tanım: Unvan | Neden önemli: YMM tasdik kontrol ve eksik belge kararını etkiler | Doğru kullanım: Mükellef unvanı | Örnek: hücredeki örnek değere bakın | Risk: Yanlış giriş hatalı karar üretir</t>
      </text>
    </comment>
    <comment ref="C9" authorId="0" shapeId="0">
      <text>
        <t>Tanım: VKN | Neden önemli: YMM tasdik kontrol ve eksik belge kararını etkiler | Doğru kullanım: 10 haneli VKN | Örnek: hücredeki örnek değere bakın | Risk: Yanlış giriş hatalı karar üretir</t>
      </text>
    </comment>
    <comment ref="D9" authorId="0" shapeId="0">
      <text>
        <t>Tanım: Şehir | Neden önemli: YMM tasdik kontrol ve eksik belge kararını etkiler | Doğru kullanım: Şehir | Örnek: hücredeki örnek değere bakın | Risk: Yanlış giriş hatalı karar üretir</t>
      </text>
    </comment>
    <comment ref="E9" authorId="0" shapeId="0">
      <text>
        <t>Tanım: Tasdik Türü | Neden önemli: YMM tasdik kontrol ve eksik belge kararını etkiler | Doğru kullanım: Tasdik konusu | Örnek: hücredeki örnek değere bakın | Risk: Yanlış giriş hatalı karar üretir</t>
      </text>
    </comment>
    <comment ref="F9" authorId="0" shapeId="0">
      <text>
        <t>Tanım: Dosya Tutarı | Neden önemli: YMM tasdik kontrol ve eksik belge kararını etkiler | Doğru kullanım: Dosya tutarı TL | Örnek: hücredeki örnek değere bakın | Risk: Yanlış giriş hatalı karar üretir</t>
      </text>
    </comment>
    <comment ref="G9" authorId="0" shapeId="0">
      <text>
        <t>Tanım: Risk Notu | Neden önemli: YMM tasdik kontrol ve eksik belge kararını etkiler | Doğru kullanım: Kısa risk notu | Örnek: hücredeki örnek değere bakın | Risk: Yanlış giriş hatalı karar üretir</t>
      </text>
    </comment>
    <comment ref="H9" authorId="0" shapeId="0">
      <text>
        <t>Tanım: Aktif | Neden önemli: YMM tasdik kontrol ve eksik belge kararını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YMM tasdik kontrol ve eksik belge kararını etkiler | Doğru kullanım: MUK-##### formatında | Örnek: hücredeki örnek değere bakın | Risk: Yanlış giriş hatalı karar üretir</t>
      </text>
    </comment>
    <comment ref="B10" authorId="0" shapeId="0">
      <text>
        <t>Tanım: Unvan | Neden önemli: YMM tasdik kontrol ve eksik belge kararını etkiler | Doğru kullanım: Mükellef unvanı | Örnek: hücredeki örnek değere bakın | Risk: Yanlış giriş hatalı karar üretir</t>
      </text>
    </comment>
    <comment ref="C10" authorId="0" shapeId="0">
      <text>
        <t>Tanım: VKN | Neden önemli: YMM tasdik kontrol ve eksik belge kararını etkiler | Doğru kullanım: 10 haneli VKN | Örnek: hücredeki örnek değere bakın | Risk: Yanlış giriş hatalı karar üretir</t>
      </text>
    </comment>
    <comment ref="D10" authorId="0" shapeId="0">
      <text>
        <t>Tanım: Şehir | Neden önemli: YMM tasdik kontrol ve eksik belge kararını etkiler | Doğru kullanım: Şehir | Örnek: hücredeki örnek değere bakın | Risk: Yanlış giriş hatalı karar üretir</t>
      </text>
    </comment>
    <comment ref="E10" authorId="0" shapeId="0">
      <text>
        <t>Tanım: Tasdik Türü | Neden önemli: YMM tasdik kontrol ve eksik belge kararını etkiler | Doğru kullanım: Tasdik konusu | Örnek: hücredeki örnek değere bakın | Risk: Yanlış giriş hatalı karar üretir</t>
      </text>
    </comment>
    <comment ref="F10" authorId="0" shapeId="0">
      <text>
        <t>Tanım: Dosya Tutarı | Neden önemli: YMM tasdik kontrol ve eksik belge kararını etkiler | Doğru kullanım: Dosya tutarı TL | Örnek: hücredeki örnek değere bakın | Risk: Yanlış giriş hatalı karar üretir</t>
      </text>
    </comment>
    <comment ref="G10" authorId="0" shapeId="0">
      <text>
        <t>Tanım: Risk Notu | Neden önemli: YMM tasdik kontrol ve eksik belge kararını etkiler | Doğru kullanım: Kısa risk notu | Örnek: hücredeki örnek değere bakın | Risk: Yanlış giriş hatalı karar üretir</t>
      </text>
    </comment>
    <comment ref="H10" authorId="0" shapeId="0">
      <text>
        <t>Tanım: Aktif | Neden önemli: YMM tasdik kontrol ve eksik belge kararını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YMM tasdik kontrol ve eksik belge kararını etkiler | Doğru kullanım: MUK-##### formatında | Örnek: hücredeki örnek değere bakın | Risk: Yanlış giriş hatalı karar üretir</t>
      </text>
    </comment>
    <comment ref="B11" authorId="0" shapeId="0">
      <text>
        <t>Tanım: Unvan | Neden önemli: YMM tasdik kontrol ve eksik belge kararını etkiler | Doğru kullanım: Mükellef unvanı | Örnek: hücredeki örnek değere bakın | Risk: Yanlış giriş hatalı karar üretir</t>
      </text>
    </comment>
    <comment ref="C11" authorId="0" shapeId="0">
      <text>
        <t>Tanım: VKN | Neden önemli: YMM tasdik kontrol ve eksik belge kararını etkiler | Doğru kullanım: 10 haneli VKN | Örnek: hücredeki örnek değere bakın | Risk: Yanlış giriş hatalı karar üretir</t>
      </text>
    </comment>
    <comment ref="D11" authorId="0" shapeId="0">
      <text>
        <t>Tanım: Şehir | Neden önemli: YMM tasdik kontrol ve eksik belge kararını etkiler | Doğru kullanım: Şehir | Örnek: hücredeki örnek değere bakın | Risk: Yanlış giriş hatalı karar üretir</t>
      </text>
    </comment>
    <comment ref="E11" authorId="0" shapeId="0">
      <text>
        <t>Tanım: Tasdik Türü | Neden önemli: YMM tasdik kontrol ve eksik belge kararını etkiler | Doğru kullanım: Tasdik konusu | Örnek: hücredeki örnek değere bakın | Risk: Yanlış giriş hatalı karar üretir</t>
      </text>
    </comment>
    <comment ref="F11" authorId="0" shapeId="0">
      <text>
        <t>Tanım: Dosya Tutarı | Neden önemli: YMM tasdik kontrol ve eksik belge kararını etkiler | Doğru kullanım: Dosya tutarı TL | Örnek: hücredeki örnek değere bakın | Risk: Yanlış giriş hatalı karar üretir</t>
      </text>
    </comment>
    <comment ref="G11" authorId="0" shapeId="0">
      <text>
        <t>Tanım: Risk Notu | Neden önemli: YMM tasdik kontrol ve eksik belge kararını etkiler | Doğru kullanım: Kısa risk notu | Örnek: hücredeki örnek değere bakın | Risk: Yanlış giriş hatalı karar üretir</t>
      </text>
    </comment>
    <comment ref="H11" authorId="0" shapeId="0">
      <text>
        <t>Tanım: Aktif | Neden önemli: YMM tasdik kontrol ve eksik belge kararını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YMM tasdik kontrol ve eksik belge kararını etkiler | Doğru kullanım: MUK-##### formatında | Örnek: hücredeki örnek değere bakın | Risk: Yanlış giriş hatalı karar üretir</t>
      </text>
    </comment>
    <comment ref="B12" authorId="0" shapeId="0">
      <text>
        <t>Tanım: Unvan | Neden önemli: YMM tasdik kontrol ve eksik belge kararını etkiler | Doğru kullanım: Mükellef unvanı | Örnek: hücredeki örnek değere bakın | Risk: Yanlış giriş hatalı karar üretir</t>
      </text>
    </comment>
    <comment ref="C12" authorId="0" shapeId="0">
      <text>
        <t>Tanım: VKN | Neden önemli: YMM tasdik kontrol ve eksik belge kararını etkiler | Doğru kullanım: 10 haneli VKN | Örnek: hücredeki örnek değere bakın | Risk: Yanlış giriş hatalı karar üretir</t>
      </text>
    </comment>
    <comment ref="D12" authorId="0" shapeId="0">
      <text>
        <t>Tanım: Şehir | Neden önemli: YMM tasdik kontrol ve eksik belge kararını etkiler | Doğru kullanım: Şehir | Örnek: hücredeki örnek değere bakın | Risk: Yanlış giriş hatalı karar üretir</t>
      </text>
    </comment>
    <comment ref="E12" authorId="0" shapeId="0">
      <text>
        <t>Tanım: Tasdik Türü | Neden önemli: YMM tasdik kontrol ve eksik belge kararını etkiler | Doğru kullanım: Tasdik konusu | Örnek: hücredeki örnek değere bakın | Risk: Yanlış giriş hatalı karar üretir</t>
      </text>
    </comment>
    <comment ref="F12" authorId="0" shapeId="0">
      <text>
        <t>Tanım: Dosya Tutarı | Neden önemli: YMM tasdik kontrol ve eksik belge kararını etkiler | Doğru kullanım: Dosya tutarı TL | Örnek: hücredeki örnek değere bakın | Risk: Yanlış giriş hatalı karar üretir</t>
      </text>
    </comment>
    <comment ref="G12" authorId="0" shapeId="0">
      <text>
        <t>Tanım: Risk Notu | Neden önemli: YMM tasdik kontrol ve eksik belge kararını etkiler | Doğru kullanım: Kısa risk notu | Örnek: hücredeki örnek değere bakın | Risk: Yanlış giriş hatalı karar üretir</t>
      </text>
    </comment>
    <comment ref="H12" authorId="0" shapeId="0">
      <text>
        <t>Tanım: Aktif | Neden önemli: YMM tasdik kontrol ve eksik belge kararını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YMM tasdik kontrol ve eksik belge kararını etkiler | Doğru kullanım: MUK-##### formatında | Örnek: hücredeki örnek değere bakın | Risk: Yanlış giriş hatalı karar üretir</t>
      </text>
    </comment>
    <comment ref="B13" authorId="0" shapeId="0">
      <text>
        <t>Tanım: Unvan | Neden önemli: YMM tasdik kontrol ve eksik belge kararını etkiler | Doğru kullanım: Mükellef unvanı | Örnek: hücredeki örnek değere bakın | Risk: Yanlış giriş hatalı karar üretir</t>
      </text>
    </comment>
    <comment ref="C13" authorId="0" shapeId="0">
      <text>
        <t>Tanım: VKN | Neden önemli: YMM tasdik kontrol ve eksik belge kararını etkiler | Doğru kullanım: 10 haneli VKN | Örnek: hücredeki örnek değere bakın | Risk: Yanlış giriş hatalı karar üretir</t>
      </text>
    </comment>
    <comment ref="D13" authorId="0" shapeId="0">
      <text>
        <t>Tanım: Şehir | Neden önemli: YMM tasdik kontrol ve eksik belge kararını etkiler | Doğru kullanım: Şehir | Örnek: hücredeki örnek değere bakın | Risk: Yanlış giriş hatalı karar üretir</t>
      </text>
    </comment>
    <comment ref="E13" authorId="0" shapeId="0">
      <text>
        <t>Tanım: Tasdik Türü | Neden önemli: YMM tasdik kontrol ve eksik belge kararını etkiler | Doğru kullanım: Tasdik konusu | Örnek: hücredeki örnek değere bakın | Risk: Yanlış giriş hatalı karar üretir</t>
      </text>
    </comment>
    <comment ref="F13" authorId="0" shapeId="0">
      <text>
        <t>Tanım: Dosya Tutarı | Neden önemli: YMM tasdik kontrol ve eksik belge kararını etkiler | Doğru kullanım: Dosya tutarı TL | Örnek: hücredeki örnek değere bakın | Risk: Yanlış giriş hatalı karar üretir</t>
      </text>
    </comment>
    <comment ref="G13" authorId="0" shapeId="0">
      <text>
        <t>Tanım: Risk Notu | Neden önemli: YMM tasdik kontrol ve eksik belge kararını etkiler | Doğru kullanım: Kısa risk notu | Örnek: hücredeki örnek değere bakın | Risk: Yanlış giriş hatalı karar üretir</t>
      </text>
    </comment>
    <comment ref="H13" authorId="0" shapeId="0">
      <text>
        <t>Tanım: Aktif | Neden önemli: YMM tasdik kontrol ve eksik belge kararını etkiler | Doğru kullanım: EVET veya HAYIR | Örnek: hücredeki örnek değere bakın | Risk: Yanlış giriş hatalı karar üretir</t>
      </text>
    </comment>
    <comment ref="A1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3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3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3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3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3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3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3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3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3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3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3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3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3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3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3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3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3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3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3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3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3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3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3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3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3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3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3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3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3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3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3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3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3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3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3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3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3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3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3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3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3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3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3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3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3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3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3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3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3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3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3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3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3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3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3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3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3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3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3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3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3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3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3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3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3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3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3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3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3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3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3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3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3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3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3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3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3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3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3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3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4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4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4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4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4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4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4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4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4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4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4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4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4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4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4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4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4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4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4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4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4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4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4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4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4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4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4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4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4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4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4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4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4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4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4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4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4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4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4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4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4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4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4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4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4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4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4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4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4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4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4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4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4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4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4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4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4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4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4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4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4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4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4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4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4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4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4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4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4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4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4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4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4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4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4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4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4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4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4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4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5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5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5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5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5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5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5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5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5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5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5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5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5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5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5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5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5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5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5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5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5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5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5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5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5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5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5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5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5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5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5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5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5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5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5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5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5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5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5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5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5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5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5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5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5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5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5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5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5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5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5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5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5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5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5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5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5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5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5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5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5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5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5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5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5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5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5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5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5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5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5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5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5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5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5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5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5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5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5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5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6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6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6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6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6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6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6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6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6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6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6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6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6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6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6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6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6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6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6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6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6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6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6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6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6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6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6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6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6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6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6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6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6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6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6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6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6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6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6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6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6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6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6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6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6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6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6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6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6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6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6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6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6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6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6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6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6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6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6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6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6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6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6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6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6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6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6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6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6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6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6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6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6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6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6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6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6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6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6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6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7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7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7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7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7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7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7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7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7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7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7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7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7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7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7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7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7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7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7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7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7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7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7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7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7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7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7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7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7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7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7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7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7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7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7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7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7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7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7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7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7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7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7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7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7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7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7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7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7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7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7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7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7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7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7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7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7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7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7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7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7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7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7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7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7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7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7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7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7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7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7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7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7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7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7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7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7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7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7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7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8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8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8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8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8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8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8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8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8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8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8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8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8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8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8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8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8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8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8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8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8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8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8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8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8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8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8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8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8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8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8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8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8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8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8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8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8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8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8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8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8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8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8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8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8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8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8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8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8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8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8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8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8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8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8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8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8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8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8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8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8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8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8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8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8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8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8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8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8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8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8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8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8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8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8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8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8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8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8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8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9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9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9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9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9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9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9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9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9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9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9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9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9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9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9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9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9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9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9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9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9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9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9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9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9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9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9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9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9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9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9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9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9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9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9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9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9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9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9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9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9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9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9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9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9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9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9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9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9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9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9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9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9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9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9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9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9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9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9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9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9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9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9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9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9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9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9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9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9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9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9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9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9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9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9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9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9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9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9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9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0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0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0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0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0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0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0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0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0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0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0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0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0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0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0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0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0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0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0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0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0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0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0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0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0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0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0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0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0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0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0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0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0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0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0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0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0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0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0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0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0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0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0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0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0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0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0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0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0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0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0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0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0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0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0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0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0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0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0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0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0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0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0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0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0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0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0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0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0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0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0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0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0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0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0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0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0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0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0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0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1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1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1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1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1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1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1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1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1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1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1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1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1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1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1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1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1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1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1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1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1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1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1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1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1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1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1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1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1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1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1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1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1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1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1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1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1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1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1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1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1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1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1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1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1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1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1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1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1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1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1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1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1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1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1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1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1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1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1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1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1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1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1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1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1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1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1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1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1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1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1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1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1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1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1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1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1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1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1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1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2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2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2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2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2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2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2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2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2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2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2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2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2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2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2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2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2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2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2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2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2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2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2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2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2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2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2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2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2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2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2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2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2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2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2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2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2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2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2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2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2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2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2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2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2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2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2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2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2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2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2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2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2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2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2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2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2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2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2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2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2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2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2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2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2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2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2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2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2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2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2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2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2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2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2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2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2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2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2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2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3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3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3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3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3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3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3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3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3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3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3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3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3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3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3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3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3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3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3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3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3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3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3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3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3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3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3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3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3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3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3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3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3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3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3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3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3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3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3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3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3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3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3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3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3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3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3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3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3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3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3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3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3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3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3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3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3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3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3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3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3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3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3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3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3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3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3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3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3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3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3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3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3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3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3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3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3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3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3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3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4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4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4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4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4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4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4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4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4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4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4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4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4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4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4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4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4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4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4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4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4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4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4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4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4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4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4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4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4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4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4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4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4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4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4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4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4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4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4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4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4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4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4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4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4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4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4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4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4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4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4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4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4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4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4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4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4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4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4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4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4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4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4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4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4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4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4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4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4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4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4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4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4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4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4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4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4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4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4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4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5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5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5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5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5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5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5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5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5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5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5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5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5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5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5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5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5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5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5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5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5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5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5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5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5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5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5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5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5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5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5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5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5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5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5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5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5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5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5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5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5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5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5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5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5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5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5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5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5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5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5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5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5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5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5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5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5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5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5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5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5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5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5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5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5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5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5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5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5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5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5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5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5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5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5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5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5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5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5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5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6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6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6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6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6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6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6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6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6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6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6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6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6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6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6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6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6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6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6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6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6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6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6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6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6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6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6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6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6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6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6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6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6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6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6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6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6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6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6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6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6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6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6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6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6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6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6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6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6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6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6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6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6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6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6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6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6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6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6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6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6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6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6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6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6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6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6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6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6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6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6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6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6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6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6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6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6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6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6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6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7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7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7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7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7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7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7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7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7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7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7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7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7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7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7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7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7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7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7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7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7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7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7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7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7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7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7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7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7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7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7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7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7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7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7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7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7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7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7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7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7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7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7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7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7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7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7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7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7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7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7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7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7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7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7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7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7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7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7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7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7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7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7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7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7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7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7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7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7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7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7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7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7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7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7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7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7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7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7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7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8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8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8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8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8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8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8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8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8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8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8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8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8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8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8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8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8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8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8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8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8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8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8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8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8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8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8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8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8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8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8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8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8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8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8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8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8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8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8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8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8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8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8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8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8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8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8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8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8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8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8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8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8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8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8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8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8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8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8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8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8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8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8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8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8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8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8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8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8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8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8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8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8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8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8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8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8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8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8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8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9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9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9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9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9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9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9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9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9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9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9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9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9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9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9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9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9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9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9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9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9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9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9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9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9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9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9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9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9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9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9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9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9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9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9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9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9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9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9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9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9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9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9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9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9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9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9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9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9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9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9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9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9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9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9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9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9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9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9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9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9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9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9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9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9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9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9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9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9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9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9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9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19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19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19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19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19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19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19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19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0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0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0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0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0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0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0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0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0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0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0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0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0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0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0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0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0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0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0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0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0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0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0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0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0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0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0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0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0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0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0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0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0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0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0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0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0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0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0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0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0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0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0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0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0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0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0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0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0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0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0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0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0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0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0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0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0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0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0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0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0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0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0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0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0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0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0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0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0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0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0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0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0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0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0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0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0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0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0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0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1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1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1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1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1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1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1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1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1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1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1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1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1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1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1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1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1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1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1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1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1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1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1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1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1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1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1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1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1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1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1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1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1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1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1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1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1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1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1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1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1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1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1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1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1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1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1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1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1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1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1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1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1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1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1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1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1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1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1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1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1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1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1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1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1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1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1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1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1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1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1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1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1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1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1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1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1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1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1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1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2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2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2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2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2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2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2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2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2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2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2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2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2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2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2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2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2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2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2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2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2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2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2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2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2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2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2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2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2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2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2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2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2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2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2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2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2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2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2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2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2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2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2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2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2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2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2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2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2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2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2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2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2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2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2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2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2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2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2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2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2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2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2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2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2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2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2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2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2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2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2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2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2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2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2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2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2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2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2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2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3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3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3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3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3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3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3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3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3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3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3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3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3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3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3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3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3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3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3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3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3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3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3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3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3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3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3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3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3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3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3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3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3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3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3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3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3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3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3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3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3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3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3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3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3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3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3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3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3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3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3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3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3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3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3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3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3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3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3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3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3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3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3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3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3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3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3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3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3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3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3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3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3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3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3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3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3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3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3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3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4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4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4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4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4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4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4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4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4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4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4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4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4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4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4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4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4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4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4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4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4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4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4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4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4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4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4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4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4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4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4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4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4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4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4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4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4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4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4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4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4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4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4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4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4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4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4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4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46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46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46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46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46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46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46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46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47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47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47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47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47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47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47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47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48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48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48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48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48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48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48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48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49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49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49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49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49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49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49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49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50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50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50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50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50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50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50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50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51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51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51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51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51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51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51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51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52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52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52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52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52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52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52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52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53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53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53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53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53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53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53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53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54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54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54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54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54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54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54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54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  <comment ref="A255" authorId="0" shapeId="0">
      <text>
        <t>Tanım: KartId | Neden önemli: YMM tasdik kontrol ve eksik belge kararını etkiler | Doğru kullanım: Manuel giriş | Örnek: hücredeki örnek değere bakın | Risk: Yanlış giriş hatalı karar üretir</t>
      </text>
    </comment>
    <comment ref="B255" authorId="0" shapeId="0">
      <text>
        <t>Tanım: Unvan | Neden önemli: YMM tasdik kontrol ve eksik belge kararını etkiler | Doğru kullanım: Manuel giriş | Örnek: hücredeki örnek değere bakın | Risk: Yanlış giriş hatalı karar üretir</t>
      </text>
    </comment>
    <comment ref="C255" authorId="0" shapeId="0">
      <text>
        <t>Tanım: VKN | Neden önemli: YMM tasdik kontrol ve eksik belge kararını etkiler | Doğru kullanım: Manuel giriş | Örnek: hücredeki örnek değere bakın | Risk: Yanlış giriş hatalı karar üretir</t>
      </text>
    </comment>
    <comment ref="D255" authorId="0" shapeId="0">
      <text>
        <t>Tanım: Sehir | Neden önemli: YMM tasdik kontrol ve eksik belge kararını etkiler | Doğru kullanım: Manuel giriş | Örnek: hücredeki örnek değere bakın | Risk: Yanlış giriş hatalı karar üretir</t>
      </text>
    </comment>
    <comment ref="E255" authorId="0" shapeId="0">
      <text>
        <t>Tanım: TasdikTuru | Neden önemli: YMM tasdik kontrol ve eksik belge kararını etkiler | Doğru kullanım: Manuel giriş | Örnek: hücredeki örnek değere bakın | Risk: Yanlış giriş hatalı karar üretir</t>
      </text>
    </comment>
    <comment ref="F255" authorId="0" shapeId="0">
      <text>
        <t>Tanım: DosyaTutar | Neden önemli: YMM tasdik kontrol ve eksik belge kararını etkiler | Doğru kullanım: Manuel giriş | Örnek: hücredeki örnek değere bakın | Risk: Yanlış giriş hatalı karar üretir</t>
      </text>
    </comment>
    <comment ref="G255" authorId="0" shapeId="0">
      <text>
        <t>Tanım: RiskNotu | Neden önemli: YMM tasdik kontrol ve eksik belge kararını etkiler | Doğru kullanım: Manuel giriş | Örnek: hücredeki örnek değere bakın | Risk: Yanlış giriş hatalı karar üretir</t>
      </text>
    </comment>
    <comment ref="H255" authorId="0" shapeId="0">
      <text>
        <t>Tanım: Aktif | Neden önemli: YMM tasdik kontrol ve eksik belge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6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6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6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6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6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6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6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6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6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6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6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6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7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7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7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7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7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7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7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7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7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7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7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7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7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8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8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8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8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8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8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8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8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8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8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8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8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8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9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9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9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9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9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9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9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9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9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9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9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9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9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10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10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0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10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10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10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10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10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10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10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10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10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10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11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11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1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11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11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11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11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11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11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11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11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11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11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12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12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2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12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12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12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12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12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12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12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12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12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12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13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13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3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13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13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13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13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13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13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13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13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13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13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14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14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4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14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14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14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14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14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14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14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14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14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14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15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15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5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15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15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15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15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15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15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15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15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15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15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16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16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6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16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16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16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16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16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16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16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16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16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16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17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17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7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17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17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17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17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17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17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17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17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17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17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18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18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8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18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18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18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18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18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18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18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18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18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18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19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19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9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19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19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19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19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19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19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19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19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19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19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20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20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0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20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20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20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20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20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20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20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20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20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20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21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21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1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21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21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21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21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21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21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21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21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21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21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22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22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2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22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22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22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22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22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22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22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22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22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22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23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23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3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23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23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23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23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23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23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23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23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23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23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24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24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4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24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24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24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24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24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24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24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24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24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24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25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25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5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25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25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25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25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25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25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25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25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25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25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26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26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6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26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26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26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26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26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26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26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26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26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26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27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27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7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27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27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27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27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27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27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27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27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27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27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28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28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8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28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28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28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28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28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28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28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28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28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28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29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29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9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29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29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29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29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29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29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29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29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29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29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30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30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30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30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30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30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30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30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30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30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30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30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30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31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31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31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31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31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31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31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31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31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31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31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31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31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32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32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32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32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32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32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32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32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32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32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32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32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32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33" authorId="0" shapeId="0">
      <text>
        <t>Tanım: İşlem Kimliği | Neden önemli: YMM tasdik kontrol ve eksik belge kararını etkiler | Doğru kullanım: YTK-##### | Örnek: hücredeki örnek değere bakın | Risk: Yanlış giriş hatalı karar üretir</t>
      </text>
    </comment>
    <comment ref="B33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33" authorId="0" shapeId="0">
      <text>
        <t>Tanım: Tarih | Neden önemli: YMM tasdik kontrol ve eksik belge kararını etkiler | Doğru kullanım: Olay tarihi | Örnek: hücredeki örnek değere bakın | Risk: Yanlış giriş hatalı karar üretir</t>
      </text>
    </comment>
    <comment ref="D33" authorId="0" shapeId="0">
      <text>
        <t>Tanım: Önceki Durum | Neden önemli: YMM tasdik kontrol ve eksik belge kararını etkiler | Doğru kullanım: Önceki durum_id | Örnek: hücredeki örnek değere bakın | Risk: Yanlış giriş hatalı karar üretir</t>
      </text>
    </comment>
    <comment ref="E33" authorId="0" shapeId="0">
      <text>
        <t>Tanım: Durum | Neden önemli: YMM tasdik kontrol ve eksik belge kararını etkiler | Doğru kullanım: Durum haritasından seçin | Örnek: hücredeki örnek değere bakın | Risk: Yanlış giriş hatalı karar üretir</t>
      </text>
    </comment>
    <comment ref="F33" authorId="0" shapeId="0">
      <text>
        <t>Tanım: Başvuru | Neden önemli: YMM tasdik kontrol ve eksik belge kararını etkiler | Doğru kullanım: Başvuru halkası TL | Örnek: hücredeki örnek değere bakın | Risk: Yanlış giriş hatalı karar üretir</t>
      </text>
    </comment>
    <comment ref="G33" authorId="0" shapeId="0">
      <text>
        <t>Tanım: Belge | Neden önemli: YMM tasdik kontrol ve eksik belge kararını etkiler | Doğru kullanım: Belge halkası TL | Örnek: hücredeki örnek değere bakın | Risk: Yanlış giriş hatalı karar üretir</t>
      </text>
    </comment>
    <comment ref="H33" authorId="0" shapeId="0">
      <text>
        <t>Tanım: Kontrol | Neden önemli: YMM tasdik kontrol ve eksik belge kararını etkiler | Doğru kullanım: Kontrol halkası TL | Örnek: hücredeki örnek değere bakın | Risk: Yanlış giriş hatalı karar üretir</t>
      </text>
    </comment>
    <comment ref="I33" authorId="0" shapeId="0">
      <text>
        <t>Tanım: Tasdik | Neden önemli: YMM tasdik kontrol ve eksik belge kararını etkiler | Doğru kullanım: Tasdik halkası TL | Örnek: hücredeki örnek değere bakın | Risk: Yanlış giriş hatalı karar üretir</t>
      </text>
    </comment>
    <comment ref="J33" authorId="0" shapeId="0">
      <text>
        <t>Tanım: Arşiv | Neden önemli: YMM tasdik kontrol ve eksik belge kararını etkiler | Doğru kullanım: Arşiv halkası TL | Örnek: hücredeki örnek değere bakın | Risk: Yanlış giriş hatalı karar üretir</t>
      </text>
    </comment>
    <comment ref="K33" authorId="0" shapeId="0">
      <text>
        <t>Tanım: Tutar | Neden önemli: YMM tasdik kontrol ve eksik belge kararını etkiler | Doğru kullanım: Kuyruk tutarı TL | Örnek: hücredeki örnek değere bakın | Risk: Yanlış giriş hatalı karar üretir</t>
      </text>
    </comment>
    <comment ref="L33" authorId="0" shapeId="0">
      <text>
        <t>Tanım: Dönem | Neden önemli: YMM tasdik kontrol ve eksik belge kararını etkiler | Doğru kullanım: YYYY-AA | Örnek: hücredeki örnek değere bakın | Risk: Yanlış giriş hatalı karar üretir</t>
      </text>
    </comment>
    <comment ref="M33" authorId="0" shapeId="0">
      <text>
        <t>Tanım: Açıklama | Neden önemli: YMM tasdik kontrol ve eksik belge kararını etkiler | Doğru kullanım: Kısa açıklama | Örnek: hücredeki örnek değere bakın | Risk: Yanlış giriş hatalı karar üretir</t>
      </text>
    </comment>
    <comment ref="A3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3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3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3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3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3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3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3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3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3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3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3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3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3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3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3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3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3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3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3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3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3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3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3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3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3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3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3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3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3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3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3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3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3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3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3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3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3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3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3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3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3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3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3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3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3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3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3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3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3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3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3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3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3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3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3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3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3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3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3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3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3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3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3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3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3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3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3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3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3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3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3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4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4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4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4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4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4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4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4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4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4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4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4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4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4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4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4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4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4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4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4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4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4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4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4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4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4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4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4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4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4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4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4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4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4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4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4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4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4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4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4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4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4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4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4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4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4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4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4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4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4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4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4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4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4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4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4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4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4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4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4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4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4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4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4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4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4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4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4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4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4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4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4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4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4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4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4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4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4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4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4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4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4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4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4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4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4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4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4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4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4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4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4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4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4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4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4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4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4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4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4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4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4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4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4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4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4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4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4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4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4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4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4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4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4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4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4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4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4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4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4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5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5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5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5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5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5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5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5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5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5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5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5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5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5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5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5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5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5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5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5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5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5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5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5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5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5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5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5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5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5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5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5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5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5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5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5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5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5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5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5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5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5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5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5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5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5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5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5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5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5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5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5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5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5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5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5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5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5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5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5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5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5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5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5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5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5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5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5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5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5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5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5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5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5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5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5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5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5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5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5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5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5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5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5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5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5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5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5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5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5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5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5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5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5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5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5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5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5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5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5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5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5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5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5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5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5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5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5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5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5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5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5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5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5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5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5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5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5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5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5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6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6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6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6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6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6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6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6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6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6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6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6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6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6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6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6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6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6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6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6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6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6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6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6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6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6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6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6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6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6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6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6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6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6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6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6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6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6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6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6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6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6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6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6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6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6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6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6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6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6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6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6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6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6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6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6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6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6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6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6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6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6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6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6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6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6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6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6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6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6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6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6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6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6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6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6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6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6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6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6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6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6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6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6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6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6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6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6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6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6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6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6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6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6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6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6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6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6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6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6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6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6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6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6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6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6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6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6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6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6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6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6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6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6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6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6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6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6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6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6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7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7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7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7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7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7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7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7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7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7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7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7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7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7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7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7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7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7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7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7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7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7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7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7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7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7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7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7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7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7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7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7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7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7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7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7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7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7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7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7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7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7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7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7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7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7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7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7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7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7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7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7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7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7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7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7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7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7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7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7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7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7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7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7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7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7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7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7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7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7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7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7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7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7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7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7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7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7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7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7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7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7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7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7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7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7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7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7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7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7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7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7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7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7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7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7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7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7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7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7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7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7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7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7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7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7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7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7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7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7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7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7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7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7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7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7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7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7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7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7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8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8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8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8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8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8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8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8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8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8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8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8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8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8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8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8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8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8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8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8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8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8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8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8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8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8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8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8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8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8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8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8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8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8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8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8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8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8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8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8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8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8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8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8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8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8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8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8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8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8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8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8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8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8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8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8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8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8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8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8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8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8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8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8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8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8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8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8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8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8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8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8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8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8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8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8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8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8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8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8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8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8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8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8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8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8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8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8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8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8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8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8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8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8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8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8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8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8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8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8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8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8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8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8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8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8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8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8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8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8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8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8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8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8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8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8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8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8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8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8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9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9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9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9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9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9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9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9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9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9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9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9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9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9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9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9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9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9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9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9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9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9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9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9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9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9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9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9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9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9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9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9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9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9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9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9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9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9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9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9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9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9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9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9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9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9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9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9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9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9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9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9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9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9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9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9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9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9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9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9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9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9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9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9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9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9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9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9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9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9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9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9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9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9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9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9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9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9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9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9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9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9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9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9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9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9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9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9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9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9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9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9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9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9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9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9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9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9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9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9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9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9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9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9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9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9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9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9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9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9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9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9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9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9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9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9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9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9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9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9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0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0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0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0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0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0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0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0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0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0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0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0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0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0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0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0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0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0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0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0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0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0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0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0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0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0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0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0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0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0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0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0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0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0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0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0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0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0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0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0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0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0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0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0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0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0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0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0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0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0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0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0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0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0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0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0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0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0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0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0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0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0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0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0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0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0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0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0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0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0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0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0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0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0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0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0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0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0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0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0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0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0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0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0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0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0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0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0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0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0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0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0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0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0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0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0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0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0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0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0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0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0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0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0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0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0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0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0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0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0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0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0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0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0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0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0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0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0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0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0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1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1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1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1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1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1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1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1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1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1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1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1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1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1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1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1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1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1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1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1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1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1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1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1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1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1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1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1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1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1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1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1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1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1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1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1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1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1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1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1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1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1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1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1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1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1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1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1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1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1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1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1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1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1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1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1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1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1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1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1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1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1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1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1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1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1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1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1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1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1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1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1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1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1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1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1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1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1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1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1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1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1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1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1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1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1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1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1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1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1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1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1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1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1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1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1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1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1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1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1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1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1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1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1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1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1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1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1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1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1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1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1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1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1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1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1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1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1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1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1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2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2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2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2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2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2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2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2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2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2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2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2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2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2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2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2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2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2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2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2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2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2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2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2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2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2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2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2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2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2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2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2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2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2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2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2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2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2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2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2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2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2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2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2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2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2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2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2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2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2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2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2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2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2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2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2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2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2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2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2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2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2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2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2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2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2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2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2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2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2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2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2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2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2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2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2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2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2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2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2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2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2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2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2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2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2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2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2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2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2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2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2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2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2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2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2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2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2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2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2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2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2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2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2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2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2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2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2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2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2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2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2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2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2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2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2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2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2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2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2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3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3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3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3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3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3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3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3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3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3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3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3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3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3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3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3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3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3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3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3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3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3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3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3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3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3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3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3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3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3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3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3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3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3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3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3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3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3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3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3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3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3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3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3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3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3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3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3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3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3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3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3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3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3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3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3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3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3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3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3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3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3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3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3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3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3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3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3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3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3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3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3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3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3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3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3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3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3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3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3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3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3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3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3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3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3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3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3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3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3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3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3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3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3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3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3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3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3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3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3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3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3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3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3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3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3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3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3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3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3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3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3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3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3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3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3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3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3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3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3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4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4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4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4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4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4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4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4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4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4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4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4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4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4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4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4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4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4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4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4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4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4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4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4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4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4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4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4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4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4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4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4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4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4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4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4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4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4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4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4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4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4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4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4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4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4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4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4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4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4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4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4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4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4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4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4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4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4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4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4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4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4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4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4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4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4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4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4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4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4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4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4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4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4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4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4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4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4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4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4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4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4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4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4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4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4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4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4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4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4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4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4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4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4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4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4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4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4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4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4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4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4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4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4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4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4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4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4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4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4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4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4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4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4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4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4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4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4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4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4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5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5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5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5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5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5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5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5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5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5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5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5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5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5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5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5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5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5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5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5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5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5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5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5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5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5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5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5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5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5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5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5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5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5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5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5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5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5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5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5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5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5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5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5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5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5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5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5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5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5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5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5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5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5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5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5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5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5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5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5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5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5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5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5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5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5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5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5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5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5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5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5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5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5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5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5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5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5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5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5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5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5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5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5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5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5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5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5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5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5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5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5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5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5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5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5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5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5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5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5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5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5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5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5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5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5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5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5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5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5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5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5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5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5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5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5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5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5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5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5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6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6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6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6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6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6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6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6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6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6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6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6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6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6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6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6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6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6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6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6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6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6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6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6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6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6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6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6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6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6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6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6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6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6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6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6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6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6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6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6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6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6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6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6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6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6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6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6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6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6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6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6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6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6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6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6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6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6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6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6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6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6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6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6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6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6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6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6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6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6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6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6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6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6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6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6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6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6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6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6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6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6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6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6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6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6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6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6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6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6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6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6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6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6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6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6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6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6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6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6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6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6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6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6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6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6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6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6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6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6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6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6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6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6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6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6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6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6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6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6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7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7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7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7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7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7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7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7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7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7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7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7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7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7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7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7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7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7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7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7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7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7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7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7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7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7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7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7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7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7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7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7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7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7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7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7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7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7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7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7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7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7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7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7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7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7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7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7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7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7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7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7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7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7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7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7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7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7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7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7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7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7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7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7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7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7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7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7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7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7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7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7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7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7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7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7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7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7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7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7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7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7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7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7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7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7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7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7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7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7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7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7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7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7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7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7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7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7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7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7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7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7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7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7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7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7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7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7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7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7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7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7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7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7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7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7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7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7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7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7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8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8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8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8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8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8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8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8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8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8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8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8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8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8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8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8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8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8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8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8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8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8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8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8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8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8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8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8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8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8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8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8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8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8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8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8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8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8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8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8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8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8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8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8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8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8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8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8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8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8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8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8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8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8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8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8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8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8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8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8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8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8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8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8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8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8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8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8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8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8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8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8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8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8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8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8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8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8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8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8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8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8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8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8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8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8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8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8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8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8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8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8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8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8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8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8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8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8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8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8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8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8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8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8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8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8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8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8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8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8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8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8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8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8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8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8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8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8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8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8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9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9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9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9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9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9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9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9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9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9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9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9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9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9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9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9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9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9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9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9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9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9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9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9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9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9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9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9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9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9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9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9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9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9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9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9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9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9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9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9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9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9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9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9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9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9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9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9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9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9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9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9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9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9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9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9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9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9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9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9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9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9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9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9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9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9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9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9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9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9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9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9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9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9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9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9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9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9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9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9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9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9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9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9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9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9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9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9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9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9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9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9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9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9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9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9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9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9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9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9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9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9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9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9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9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9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9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9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19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19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19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19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19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19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19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19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19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19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19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19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0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0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0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0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0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0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0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0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0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0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0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0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0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0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0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0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0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0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0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0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0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0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0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0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0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0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0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0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0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0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0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0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0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0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0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0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0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0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0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0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0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0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0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0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0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0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0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0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0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0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0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0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0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0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0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0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0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0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0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0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0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0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0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0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0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0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0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0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0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0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0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0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0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0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0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0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0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0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0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0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0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0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0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0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0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0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0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0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0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0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0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0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0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0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0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0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0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0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0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0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0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0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0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0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0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0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0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0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0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0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0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0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0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0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0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0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0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0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0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0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1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1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1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1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1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1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1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1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1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1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1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1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1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1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1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1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1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1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1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1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1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1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1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1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1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1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1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1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1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1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1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1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1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1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1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1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1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1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1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1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1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1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1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1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1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1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1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1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1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1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1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1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1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1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1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1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1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1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1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1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1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1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1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1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1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1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1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1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1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1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1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1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1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1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1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1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1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1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1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1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1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1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1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1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1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1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1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1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1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1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1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1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1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1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1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1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1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1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1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1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1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1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1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1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1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1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1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1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1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1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1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1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1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1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1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1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1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1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1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1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2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2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2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2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2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2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2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2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2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2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2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2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2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2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2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2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2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2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2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2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2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2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2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2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2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2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2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2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2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2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2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2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2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2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2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2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2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2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2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2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2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2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2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2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2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2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2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2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2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2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2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2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2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2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2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2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2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2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2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2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2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2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2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2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2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2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2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2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2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2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2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2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2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2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2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2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2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2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2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2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2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2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2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2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2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2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2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2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2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2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2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2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2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2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2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2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2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2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2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2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2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2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2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2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2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2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2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2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2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2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2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2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2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2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2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2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2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2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2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2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3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3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3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3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3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3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3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3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3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3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3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3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3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3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3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3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3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3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3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3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3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3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3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3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3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3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3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3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3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3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3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3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3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3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3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3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3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3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3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3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3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3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3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3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3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3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3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3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3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3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3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3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3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3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3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3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3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3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3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3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3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3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3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3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3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3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3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3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3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3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3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3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3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3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3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3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3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3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3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3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3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3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3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3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3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3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3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3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3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3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3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3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3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3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3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3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3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3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3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3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3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3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3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3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3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3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3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3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3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3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3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3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3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3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3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3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3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3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3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3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4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4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4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4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4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4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4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4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4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4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4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4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4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4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4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4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4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4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4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4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4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4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4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4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4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4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4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4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4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4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4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4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4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4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4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4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4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4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4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4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4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4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4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4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4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4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4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4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4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4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4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4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4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4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4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4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4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4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4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4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4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4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4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4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4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4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4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4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4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4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4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4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46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4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46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46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46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46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46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46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46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46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46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46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47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4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47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47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47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47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47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47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47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47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47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47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48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4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48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48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48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48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48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48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48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48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48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48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49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4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49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49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49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49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49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49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49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49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49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49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50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5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50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50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50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50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50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50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50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50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50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50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51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5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51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51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51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51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51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51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51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51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51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51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52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5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52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52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52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52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52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52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52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52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52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52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53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5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53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53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53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53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53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53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53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53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53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53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54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5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54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54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54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54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54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54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54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54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54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54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  <comment ref="A255" authorId="0" shapeId="0">
      <text>
        <t>Tanım: IslemId | Neden önemli: YMM tasdik kontrol ve eksik belge kararını etkiler | Doğru kullanım: Manuel giriş | Örnek: hücredeki örnek değere bakın | Risk: Yanlış giriş hatalı karar üretir</t>
      </text>
    </comment>
    <comment ref="B25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D255" authorId="0" shapeId="0">
      <text>
        <t>Tanım: OncekiDurum | Neden önemli: YMM tasdik kontrol ve eksik belge kararını etkiler | Doğru kullanım: Manuel giriş | Örnek: hücredeki örnek değere bakın | Risk: Yanlış giriş hatalı karar üretir</t>
      </text>
    </comment>
    <comment ref="E255" authorId="0" shapeId="0">
      <text>
        <t>Tanım: Durum | Neden önemli: YMM tasdik kontrol ve eksik belge kararını etkiler | Doğru kullanım: Manuel giriş | Örnek: hücredeki örnek değere bakın | Risk: Yanlış giriş hatalı karar üretir</t>
      </text>
    </comment>
    <comment ref="F255" authorId="0" shapeId="0">
      <text>
        <t>Tanım: BasvuruTutar | Neden önemli: YMM tasdik kontrol ve eksik belge kararını etkiler | Doğru kullanım: Manuel giriş | Örnek: hücredeki örnek değere bakın | Risk: Yanlış giriş hatalı karar üretir</t>
      </text>
    </comment>
    <comment ref="G255" authorId="0" shapeId="0">
      <text>
        <t>Tanım: BelgeTutar | Neden önemli: YMM tasdik kontrol ve eksik belge kararını etkiler | Doğru kullanım: Manuel giriş | Örnek: hücredeki örnek değere bakın | Risk: Yanlış giriş hatalı karar üretir</t>
      </text>
    </comment>
    <comment ref="H255" authorId="0" shapeId="0">
      <text>
        <t>Tanım: KontrolTutar | Neden önemli: YMM tasdik kontrol ve eksik belge kararını etkiler | Doğru kullanım: Manuel giriş | Örnek: hücredeki örnek değere bakın | Risk: Yanlış giriş hatalı karar üretir</t>
      </text>
    </comment>
    <comment ref="I255" authorId="0" shapeId="0">
      <text>
        <t>Tanım: TasdikTutar | Neden önemli: YMM tasdik kontrol ve eksik belge kararını etkiler | Doğru kullanım: Manuel giriş | Örnek: hücredeki örnek değere bakın | Risk: Yanlış giriş hatalı karar üretir</t>
      </text>
    </comment>
    <comment ref="J255" authorId="0" shapeId="0">
      <text>
        <t>Tanım: ArsivTutar | Neden önemli: YMM tasdik kontrol ve eksik belge kararını etkiler | Doğru kullanım: Manuel giriş | Örnek: hücredeki örnek değere bakın | Risk: Yanlış giriş hatalı karar üretir</t>
      </text>
    </comment>
    <comment ref="K255" authorId="0" shapeId="0">
      <text>
        <t>Tanım: Tutar | Neden önemli: YMM tasdik kontrol ve eksik belge kararını etkiler | Doğru kullanım: Manuel giriş | Örnek: hücredeki örnek değere bakın | Risk: Yanlış giriş hatalı karar üretir</t>
      </text>
    </comment>
    <comment ref="L255" authorId="0" shapeId="0">
      <text>
        <t>Tanım: Donem | Neden önemli: YMM tasdik kontrol ve eksik belge kararını etkiler | Doğru kullanım: Manuel giriş | Örnek: hücredeki örnek değere bakın | Risk: Yanlış giriş hatalı karar üretir</t>
      </text>
    </comment>
    <comment ref="M255" authorId="0" shapeId="0">
      <text>
        <t>Tanım: Aciklama | Neden önemli: YMM tasdik kontrol ve eksik belge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6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6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6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6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6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6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7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7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7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7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7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7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7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8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8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8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8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8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8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8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9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9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9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9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9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9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9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10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10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0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10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10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10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10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11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11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1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11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11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11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11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12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12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2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12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12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12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12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13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13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3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13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13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13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13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14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14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4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14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14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14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14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15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15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5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15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15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15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15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16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16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6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16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16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16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16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17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17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7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17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17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17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17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18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18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8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18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18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18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18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19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19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19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19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19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19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19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20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20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0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20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20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20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20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21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21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1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21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21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21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21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22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22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2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22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22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22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22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23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23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3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23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23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23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23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24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24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4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24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24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24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24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25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25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5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25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25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25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25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26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26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6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26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26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26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26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27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27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7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27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27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27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27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28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28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8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28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28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28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28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29" authorId="0" shapeId="0">
      <text>
        <t>Tanım: Kontrol Kimliği | Neden önemli: YMM tasdik kontrol ve eksik belge kararını etkiler | Doğru kullanım: KNT-##### | Örnek: hücredeki örnek değere bakın | Risk: Yanlış giriş hatalı karar üretir</t>
      </text>
    </comment>
    <comment ref="B29" authorId="0" shapeId="0">
      <text>
        <t>Tanım: Kaynak Kart | Neden önemli: YMM tasdik kontrol ve eksik belge kararını etkiler | Doğru kullanım: KARTLAR'daki KartId | Örnek: hücredeki örnek değere bakın | Risk: Yanlış giriş hatalı karar üretir</t>
      </text>
    </comment>
    <comment ref="C29" authorId="0" shapeId="0">
      <text>
        <t>Tanım: Belge Adı | Neden önemli: YMM tasdik kontrol ve eksik belge kararını etkiler | Doğru kullanım: Kontrol belgesi | Örnek: hücredeki örnek değere bakın | Risk: Yanlış giriş hatalı karar üretir</t>
      </text>
    </comment>
    <comment ref="D29" authorId="0" shapeId="0">
      <text>
        <t>Tanım: Zorunluluk | Neden önemli: YMM tasdik kontrol ve eksik belge kararını etkiler | Doğru kullanım: KRITIK/ZORUNLU/OPSIYONEL | Örnek: hücredeki örnek değere bakın | Risk: Yanlış giriş hatalı karar üretir</t>
      </text>
    </comment>
    <comment ref="E29" authorId="0" shapeId="0">
      <text>
        <t>Tanım: Belge Durum | Neden önemli: YMM tasdik kontrol ve eksik belge kararını etkiler | Doğru kullanım: VAR veya YOK | Örnek: hücredeki örnek değere bakın | Risk: Yanlış giriş hatalı karar üretir</t>
      </text>
    </comment>
    <comment ref="F29" authorId="0" shapeId="0">
      <text>
        <t>Tanım: Tarih | Neden önemli: YMM tasdik kontrol ve eksik belge kararını etkiler | Doğru kullanım: Kontrol tarihi | Örnek: hücredeki örnek değere bakın | Risk: Yanlış giriş hatalı karar üretir</t>
      </text>
    </comment>
    <comment ref="G29" authorId="0" shapeId="0">
      <text>
        <t>Tanım: Not | Neden önemli: YMM tasdik kontrol ve eksik belge kararını etkiler | Doğru kullanım: Kısa not | Örnek: hücredeki örnek değere bakın | Risk: Yanlış giriş hatalı karar üretir</t>
      </text>
    </comment>
    <comment ref="A3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3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3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3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3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3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3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3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3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3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3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3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3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3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3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3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3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3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3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3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3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3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3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3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3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3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3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3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3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3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3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3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3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3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3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3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3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3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3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3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3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3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3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3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3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3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3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3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3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3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3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3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3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3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3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3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3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3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3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3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3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4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4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4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4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4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4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4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4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4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4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4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4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4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4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4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4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4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4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4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4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4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4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4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4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4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4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4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4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4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4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4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4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4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4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4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4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4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4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4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4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4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4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4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4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4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4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4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4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4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4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4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4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4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4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4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4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4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4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4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4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4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5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5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5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5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5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5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5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5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5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5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5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5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5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5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5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5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5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5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5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5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5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5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5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5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5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5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5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5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5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5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5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5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5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5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5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5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5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5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5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5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5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5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5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5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5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5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5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5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5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5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5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5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5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5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5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5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5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5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5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5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5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6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6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6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6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6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6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6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6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6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6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6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6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6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6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6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6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6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6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6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6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6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6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6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6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6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6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6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6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6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6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6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6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6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6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6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6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6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6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6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6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6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6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6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6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6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6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6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6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6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6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6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6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6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6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6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6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6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6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6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6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6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7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7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7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7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7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7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7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7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7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7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7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7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7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7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7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7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7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7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7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7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7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7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7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7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7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7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7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7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7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7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7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7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7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7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7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7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7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7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7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7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7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7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7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7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7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7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7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7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7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7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7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7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7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7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7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7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7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7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7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7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7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8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8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8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8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8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8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8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8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8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8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8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8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8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8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8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8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8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8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8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8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8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8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8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8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8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8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8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8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8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8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8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8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8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8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8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8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8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8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8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8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8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8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8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8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8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8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8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8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8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8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8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8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8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8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8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8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8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8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8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8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8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9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9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9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9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9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9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9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9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9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9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9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9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9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9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9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9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9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9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9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9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9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9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9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9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9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9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9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9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9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9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9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9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9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9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9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9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9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9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9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9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9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9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9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9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9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9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9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9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9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9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9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9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9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9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9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9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9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9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9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9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9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0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0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0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0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0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0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0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0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0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0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0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0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0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0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0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0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0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0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0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0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0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0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0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0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0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0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0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0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0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0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0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0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0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0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0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0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0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0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0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0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0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0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0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0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0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0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0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0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0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0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0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0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0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0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0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0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0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0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0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0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0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1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1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1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1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1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1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1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1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1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1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1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1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1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1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1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1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1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1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1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1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1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1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1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1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1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1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1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1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1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1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1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1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1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1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1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1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1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1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1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1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1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1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1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1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1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1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1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1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1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1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1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1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1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1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1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1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1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1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1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1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1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2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2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2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2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2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2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2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2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2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2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2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2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2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2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2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2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2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2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2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2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2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2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2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2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2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2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2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2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2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2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2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2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2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2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2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2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2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2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2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2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2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2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2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2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2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2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2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2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2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2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2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2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2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2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2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2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2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2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2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2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2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3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3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3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3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3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3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3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3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3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3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3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3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3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3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3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3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3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3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3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3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3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3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3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3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3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3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3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3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3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3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3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3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3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3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3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3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3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3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3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3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3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3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3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3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3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3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3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3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3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3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3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3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3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3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3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3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3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3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3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3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3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4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4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4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4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4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4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4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4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4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4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4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4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4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4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4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4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4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4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4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4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4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4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4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4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4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4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4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4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4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4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4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4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4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4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4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4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4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4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4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4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4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4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4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4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4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4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4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4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4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4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4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4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4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4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4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4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4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4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4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4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4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5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5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5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5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5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5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5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5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5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5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5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5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5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5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5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5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5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5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5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5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5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5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5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5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5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5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5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5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5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5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5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5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5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5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5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5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5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5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5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5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5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5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5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5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5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5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5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5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5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5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5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5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5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5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5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5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5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5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5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5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5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6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6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6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6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6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6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6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6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6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6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6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6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6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6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6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6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6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6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6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6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6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6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6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6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6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6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6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6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6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6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6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6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6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6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6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6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6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6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6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6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6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6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6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6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6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6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6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6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6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6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6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6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6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6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6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6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6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6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6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6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6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7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7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7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7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7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7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7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7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7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7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7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7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7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7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7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7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7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7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7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7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7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7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7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7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7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7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7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7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7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7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7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7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7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7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7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7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7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7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7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7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7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7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7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7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7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7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7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7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7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7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7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7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7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7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7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7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7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7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7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7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7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8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8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8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8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8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8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8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8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8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8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8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8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8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8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8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8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8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8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8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8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8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8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8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8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8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8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8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8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8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8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8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8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8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8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8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8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8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8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8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8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8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8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8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8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8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8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8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8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8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8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8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8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8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8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8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8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8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8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8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8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8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9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9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9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9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9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9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9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9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9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9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9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9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9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9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9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9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9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9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9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9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9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9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9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9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9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9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9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9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9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9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9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9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9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9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9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9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9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9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9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9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9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9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9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9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9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9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9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9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9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9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9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9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9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9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19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19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19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19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19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19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19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0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0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0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0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0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0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0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0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0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0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0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0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0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0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0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0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0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0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0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0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0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0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0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0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0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0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0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0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0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0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0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0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0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0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0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0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0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0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0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0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0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0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0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0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0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0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0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0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0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0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0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0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0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0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0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0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0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0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0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0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0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1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1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1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1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1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1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1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1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1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1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1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1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1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1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1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1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1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1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1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1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1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1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1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1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1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1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1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1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1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1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1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1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1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1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1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1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1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1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1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1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1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1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1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1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1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1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1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1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1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1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1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1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1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1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1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1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1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1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1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1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1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2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2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2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2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2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2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2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2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2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2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2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2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2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2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2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2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2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2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2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2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2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2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2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2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2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2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2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2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2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2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2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2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2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2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2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2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2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2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2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2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2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2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2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2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2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2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2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2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2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2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2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2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2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2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2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2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2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2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2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2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2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3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3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3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3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3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3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3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3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3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3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3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3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3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3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3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3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3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3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3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3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3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3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3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3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3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3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3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3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3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3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3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3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3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3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3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3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3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3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3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3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3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3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3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3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3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3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3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3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3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3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3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3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3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3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3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3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3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3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3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3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3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4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4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4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4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4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4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4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4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4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4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4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4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4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4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4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4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4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4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4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4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4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4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4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4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4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4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4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4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4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4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4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4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4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4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4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4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46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46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6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46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46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46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46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47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47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7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47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47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47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47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48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48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8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48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48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48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48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49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49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49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49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49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49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49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50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50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0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50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50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50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50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51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51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1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51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51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51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51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52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52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2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52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52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52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52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53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53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3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53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53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53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53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54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54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4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54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54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54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54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  <comment ref="A255" authorId="0" shapeId="0">
      <text>
        <t>Tanım: KontrolId | Neden önemli: YMM tasdik kontrol ve eksik belge kararını etkiler | Doğru kullanım: Manuel giriş | Örnek: hücredeki örnek değere bakın | Risk: Yanlış giriş hatalı karar üretir</t>
      </text>
    </comment>
    <comment ref="B255" authorId="0" shapeId="0">
      <text>
        <t>Tanım: KaynakKartId | Neden önemli: YMM tasdik kontrol ve eksik belge kararını etkiler | Doğru kullanım: Manuel giriş | Örnek: hücredeki örnek değere bakın | Risk: Yanlış giriş hatalı karar üretir</t>
      </text>
    </comment>
    <comment ref="C255" authorId="0" shapeId="0">
      <text>
        <t>Tanım: BelgeAdi | Neden önemli: YMM tasdik kontrol ve eksik belge kararını etkiler | Doğru kullanım: Manuel giriş | Örnek: hücredeki örnek değere bakın | Risk: Yanlış giriş hatalı karar üretir</t>
      </text>
    </comment>
    <comment ref="D255" authorId="0" shapeId="0">
      <text>
        <t>Tanım: Zorunluluk | Neden önemli: YMM tasdik kontrol ve eksik belge kararını etkiler | Doğru kullanım: Manuel giriş | Örnek: hücredeki örnek değere bakın | Risk: Yanlış giriş hatalı karar üretir</t>
      </text>
    </comment>
    <comment ref="E255" authorId="0" shapeId="0">
      <text>
        <t>Tanım: BelgeDurum | Neden önemli: YMM tasdik kontrol ve eksik belge kararını etkiler | Doğru kullanım: Manuel giriş | Örnek: hücredeki örnek değere bakın | Risk: Yanlış giriş hatalı karar üretir</t>
      </text>
    </comment>
    <comment ref="F255" authorId="0" shapeId="0">
      <text>
        <t>Tanım: Tarih | Neden önemli: YMM tasdik kontrol ve eksik belge kararını etkiler | Doğru kullanım: Manuel giriş | Örnek: hücredeki örnek değere bakın | Risk: Yanlış giriş hatalı karar üretir</t>
      </text>
    </comment>
    <comment ref="G255" authorId="0" shapeId="0">
      <text>
        <t>Tanım: Not | Neden önemli: YMM tasdik kontrol ve eksik belge kararını etkiler | Doğru kullanım: Manuel giriş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YMM tasdik kontrol ve eksik belge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YMM tasdik kontrol ve eksik belge kararını etkiler | Doğru kullanım: eski|yeni | Örnek: hücredeki örnek değere bakın | Risk: Yanlış giriş hatalı karar üretir</t>
      </text>
    </comment>
    <comment ref="E7" authorId="0" shapeId="0">
      <text>
        <t>Tanım: Seçim | Neden önemli: YMM tasdik kontrol ve eksik belge kararını etkiler | Doğru kullanım: EVET/HAYIR | Örnek: hücredeki örnek değere bakın | Risk: Yanlış giriş hatalı karar üretir</t>
      </text>
    </comment>
    <comment ref="G7" authorId="0" shapeId="0">
      <text>
        <t>Tanım: Zorunluluk | Neden önemli: YMM tasdik kontrol ve eksik belge kararını etkiler | Doğru kullanım: Zorunluluk tipi | Örnek: hücredeki örnek değere bakın | Risk: Yanlış giriş hatalı karar üretir</t>
      </text>
    </comment>
    <comment ref="I7" authorId="0" shapeId="0">
      <text>
        <t>Tanım: Durum | Neden önemli: YMM tasdik kontrol ve eksik belge kararını etkiler | Doğru kullanım: VAR/YOK | Örnek: hücredeki örnek değere bakın | Risk: Yanlış giriş hatalı karar üretir</t>
      </text>
    </comment>
    <comment ref="K7" authorId="0" shapeId="0">
      <text>
        <t>Tanım: Kart | Neden önemli: YMM tasdik kontrol ve eksik belge kararını etkiler | Doğru kullanım: MUK-##### | Örnek: hücredeki örnek değere bakın | Risk: Yanlış giriş hatalı karar üretir</t>
      </text>
    </comment>
    <comment ref="A8" authorId="0" shapeId="0">
      <text>
        <t>Tanım: Durum | Neden önemli: YMM tasdik kontrol ve eksik belge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YMM tasdik kontrol ve eksik belge kararını etkiler | Doğru kullanım: eski|yeni | Örnek: hücredeki örnek değere bakın | Risk: Yanlış giriş hatalı karar üretir</t>
      </text>
    </comment>
    <comment ref="E8" authorId="0" shapeId="0">
      <text>
        <t>Tanım: Seçim | Neden önemli: YMM tasdik kontrol ve eksik belge kararını etkiler | Doğru kullanım: EVET/HAYIR | Örnek: hücredeki örnek değere bakın | Risk: Yanlış giriş hatalı karar üretir</t>
      </text>
    </comment>
    <comment ref="G8" authorId="0" shapeId="0">
      <text>
        <t>Tanım: Zorunluluk | Neden önemli: YMM tasdik kontrol ve eksik belge kararını etkiler | Doğru kullanım: Zorunluluk tipi | Örnek: hücredeki örnek değere bakın | Risk: Yanlış giriş hatalı karar üretir</t>
      </text>
    </comment>
    <comment ref="I8" authorId="0" shapeId="0">
      <text>
        <t>Tanım: Durum | Neden önemli: YMM tasdik kontrol ve eksik belge kararını etkiler | Doğru kullanım: VAR/YOK | Örnek: hücredeki örnek değere bakın | Risk: Yanlış giriş hatalı karar üretir</t>
      </text>
    </comment>
    <comment ref="K8" authorId="0" shapeId="0">
      <text>
        <t>Tanım: Kart | Neden önemli: YMM tasdik kontrol ve eksik belge kararını etkiler | Doğru kullanım: MUK-##### | Örnek: hücredeki örnek değere bakın | Risk: Yanlış giriş hatalı karar üretir</t>
      </text>
    </comment>
    <comment ref="A9" authorId="0" shapeId="0">
      <text>
        <t>Tanım: Durum | Neden önemli: YMM tasdik kontrol ve eksik belge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YMM tasdik kontrol ve eksik belge kararını etkiler | Doğru kullanım: eski|yeni | Örnek: hücredeki örnek değere bakın | Risk: Yanlış giriş hatalı karar üretir</t>
      </text>
    </comment>
    <comment ref="G9" authorId="0" shapeId="0">
      <text>
        <t>Tanım: Zorunluluk | Neden önemli: YMM tasdik kontrol ve eksik belge kararını etkiler | Doğru kullanım: Zorunluluk tipi | Örnek: hücredeki örnek değere bakın | Risk: Yanlış giriş hatalı karar üretir</t>
      </text>
    </comment>
    <comment ref="K9" authorId="0" shapeId="0">
      <text>
        <t>Tanım: Kart | Neden önemli: YMM tasdik kontrol ve eksik belge kararını etkiler | Doğru kullanım: MUK-##### | Örnek: hücredeki örnek değere bakın | Risk: Yanlış giriş hatalı karar üretir</t>
      </text>
    </comment>
    <comment ref="A10" authorId="0" shapeId="0">
      <text>
        <t>Tanım: Durum | Neden önemli: YMM tasdik kontrol ve eksik belge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YMM tasdik kontrol ve eksik belge kararını etkiler | Doğru kullanım: eski|yeni | Örnek: hücredeki örnek değere bakın | Risk: Yanlış giriş hatalı karar üretir</t>
      </text>
    </comment>
    <comment ref="K10" authorId="0" shapeId="0">
      <text>
        <t>Tanım: Kart | Neden önemli: YMM tasdik kontrol ve eksik belge kararını etkiler | Doğru kullanım: MUK-##### | Örnek: hücredeki örnek değere bakın | Risk: Yanlış giriş hatalı karar üretir</t>
      </text>
    </comment>
    <comment ref="A11" authorId="0" shapeId="0">
      <text>
        <t>Tanım: Durum | Neden önemli: YMM tasdik kontrol ve eksik belge kararını etkiler | Doğru kullanım: Durum kimliği | Örnek: hücredeki örnek değere bakın | Risk: Yanlış giriş hatalı karar üretir</t>
      </text>
    </comment>
    <comment ref="C11" authorId="0" shapeId="0">
      <text>
        <t>Tanım: Geçiş | Neden önemli: YMM tasdik kontrol ve eksik belge kararını etkiler | Doğru kullanım: eski|yeni | Örnek: hücredeki örnek değere bakın | Risk: Yanlış giriş hatalı karar üretir</t>
      </text>
    </comment>
    <comment ref="K11" authorId="0" shapeId="0">
      <text>
        <t>Tanım: Kart | Neden önemli: YMM tasdik kontrol ve eksik belge kararını etkiler | Doğru kullanım: MUK-##### | Örnek: hücredeki örnek değere bakın | Risk: Yanlış giriş hatalı karar üretir</t>
      </text>
    </comment>
    <comment ref="C12" authorId="0" shapeId="0">
      <text>
        <t>Tanım: Geçiş | Neden önemli: YMM tasdik kontrol ve eksik belge kararını etkiler | Doğru kullanım: eski|yeni | Örnek: hücredeki örnek değere bakın | Risk: Yanlış giriş hatalı karar üretir</t>
      </text>
    </comment>
    <comment ref="K12" authorId="0" shapeId="0">
      <text>
        <t>Tanım: Kart | Neden önemli: YMM tasdik kontrol ve eksik belge kararını etkiler | Doğru kullanım: MUK-##### | Örnek: hücredeki örnek değere bakın | Risk: Yanlış giriş hatalı karar üretir</t>
      </text>
    </comment>
    <comment ref="K13" authorId="0" shapeId="0">
      <text>
        <t>Tanım: Kart | Neden önemli: YMM tasdik kontrol ve eksik belge kararını etkiler | Doğru kullanım: MUK-##### | Örnek: hücredeki örnek değere bakın | Risk: Yanlış giriş hatalı karar üretir</t>
      </text>
    </comment>
    <comment ref="K14" authorId="0" shapeId="0">
      <text>
        <t>Tanım: Kart | Neden önemli: YMM tasdik kontrol ve eksik belge kararını etkiler | Doğru kullanım: MUK-#####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YMM tasdik kontrol ve eksik belge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YMM tasdik kontrol ve eksik belge kararını etkiler | Doğru kullanım: ZİNCİR KIRIK eşiği | Örnek: hücredeki örnek değere bakın | Risk: Yanlış giriş hatalı karar üretir</t>
      </text>
    </comment>
    <comment ref="B8" authorId="0" shapeId="0">
      <text>
        <t>Tanım: ytk_esikGecikmeGun | Neden önemli: YMM tasdik kontrol ve eksik belge kararını etkiler | Doğru kullanım: Gecikme eşiği | Örnek: hücredeki örnek değere bakın | Risk: Yanlış giriş hatalı karar üretir</t>
      </text>
    </comment>
    <comment ref="B9" authorId="0" shapeId="0">
      <text>
        <t>Tanım: ytk_esikGeciken | Neden önemli: YMM tasdik kontrol ve eksik belge kararını etkiler | Doğru kullanım: Karar eşiği geciken | Örnek: hücredeki örnek değere bakın | Risk: Yanlış giriş hatalı karar üretir</t>
      </text>
    </comment>
    <comment ref="B10" authorId="0" shapeId="0">
      <text>
        <t>Tanım: ytk_gecikmeOranGun | Neden önemli: YMM tasdik kontrol ve eksik belge kararını etkiler | Doğru kullanım: Günlük gecikme maliyeti oranı | Örnek: hücredeki örnek değere bakın | Risk: Yanlış giriş hatalı karar üretir</t>
      </text>
    </comment>
    <comment ref="B11" authorId="0" shapeId="0">
      <text>
        <t>Tanım: ytk_senaryoTemkinli | Neden önemli: YMM tasdik kontrol ve eksik belge kararını etkiler | Doğru kullanım: Temkinli çarpan | Örnek: hücredeki örnek değere bakın | Risk: Yanlış giriş hatalı karar üretir</t>
      </text>
    </comment>
    <comment ref="B12" authorId="0" shapeId="0">
      <text>
        <t>Tanım: ytk_senaryoBaz | Neden önemli: YMM tasdik kontrol ve eksik belge kararını etkiler | Doğru kullanım: Baz çarpan | Örnek: hücredeki örnek değere bakın | Risk: Yanlış giriş hatalı karar üretir</t>
      </text>
    </comment>
    <comment ref="B13" authorId="0" shapeId="0">
      <text>
        <t>Tanım: ytk_senaryoIyimser | Neden önemli: YMM tasdik kontrol ve eksik belge kararını etkiler | Doğru kullanım: İyimser çarpan | Örnek: hücredeki örnek değere bakın | Risk: Yanlış giriş hatalı karar üretir</t>
      </text>
    </comment>
    <comment ref="B14" authorId="0" shapeId="0">
      <text>
        <t>Tanım: ytk_tornadoOran | Neden önemli: YMM tasdik kontrol ve eksik belge kararını etkiler | Doğru kullanım: Tornado etki oranı | Örnek: hücredeki örnek değere bakın | Risk: Yanlış giriş hatalı karar üretir</t>
      </text>
    </comment>
    <comment ref="B15" authorId="0" shapeId="0">
      <text>
        <t>Tanım: ytk_yuzdelikOran | Neden önemli: YMM tasdik kontrol ve eksik belge kararını etkiler | Doğru kullanım: PERCENTILE oranı | Örnek: hücredeki örnek değere bakın | Risk: Yanlış giriş hatalı karar üretir</t>
      </text>
    </comment>
    <comment ref="B16" authorId="0" shapeId="0">
      <text>
        <t>Tanım: ytk_olcekHedef | Neden önemli: YMM tasdik kontrol ve eksik belge kararını etkiler | Doğru kullanım: Ölçek sözleşmesi | Örnek: hücredeki örnek değere bakın | Risk: Yanlış giriş hatalı karar üretir</t>
      </text>
    </comment>
    <comment ref="B17" authorId="0" shapeId="0">
      <text>
        <t>Tanım: ytk_azamiTutar | Neden önemli: YMM tasdik kontrol ve eksik belge kararını etkiler | Doğru kullanım: Azami makul | Örnek: hücredeki örnek değere bakın | Risk: Yanlış giriş hatalı karar üretir</t>
      </text>
    </comment>
    <comment ref="B18" authorId="0" shapeId="0">
      <text>
        <t>Tanım: ytk_eksikEsik | Neden önemli: YMM tasdik kontrol ve eksik belge kararını etkiler | Doğru kullanım: EKSİK karar eşiği | Örnek: hücredeki örnek değere bakın | Risk: Yanlış giriş hatalı karar üretir</t>
      </text>
    </comment>
    <comment ref="B19" authorId="0" shapeId="0">
      <text>
        <t>Tanım: ytk_durumHaritasi | Neden önemli: YMM tasdik kontrol ve eksik belge kararını etkiler | Doğru kullanım: Durum makinesi kaynağı | Örnek: hücredeki örnek değere bakın | Risk: Yanlış giriş hatalı karar üretir</t>
      </text>
    </comment>
    <comment ref="B20" authorId="0" shapeId="0">
      <text>
        <t>Tanım: ytk_kuyrukOzeti_metin | Neden önemli: YMM tasdik kontrol ve eksik belge kararını etkiler | Doğru kullanım: Kuyruk görünümü | Örnek: hücredeki örnek değere bakın | Risk: Yanlış giriş hatalı karar üretir</t>
      </text>
    </comment>
    <comment ref="B21" authorId="0" shapeId="0">
      <text>
        <t>Tanım: ytk_kapaliDusum_metin | Neden önemli: YMM tasdik kontrol ve eksik belge kararını etkiler | Doğru kullanım: Kapalı düşüm kuralı | Örnek: hücredeki örnek değere bakın | Risk: Yanlış giriş hatalı karar üretir</t>
      </text>
    </comment>
    <comment ref="B22" authorId="0" shapeId="0">
      <text>
        <t>Tanım: ytk_kanitRaporu_metin | Neden önemli: YMM tasdik kontrol ve eksik belge kararını etkiler | Doğru kullanım: Kanıt raporu | Örnek: hücredeki örnek değere bakın | Risk: Yanlış giriş hatalı karar üretir</t>
      </text>
    </comment>
    <comment ref="B23" authorId="0" shapeId="0">
      <text>
        <t>Tanım: ytk_dosyaSurumu | Neden önemli: YMM tasdik kontrol ve eksik belge kararını etkiler | Doğru kullanım: Ürün sürümü | Örnek: hücredeki örnek değere bakın | Risk: Yanlış giriş hatalı karar üretir</t>
      </text>
    </comment>
    <comment ref="B24" authorId="0" shapeId="0">
      <text>
        <t>Tanım: ytk_ymmUnvan | Neden önemli: YMM tasdik kontrol ve eksik belge kararını etkiler | Doğru kullanım: YMM unvanı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Kartlar" displayName="tblKartlar" ref="A5:K255" headerRowCount="1">
  <tableColumns count="11">
    <tableColumn id="1" name="KartId"/>
    <tableColumn id="2" name="Unvan"/>
    <tableColumn id="3" name="VKN"/>
    <tableColumn id="4" name="Sehir"/>
    <tableColumn id="5" name="TasdikTuru"/>
    <tableColumn id="6" name="DosyaTutar"/>
    <tableColumn id="7" name="RiskNotu"/>
    <tableColumn id="8" name="Aktif"/>
    <tableColumn id="9" name="EksikBelge">
      <calculatedColumnFormula>IF(tblKartlar[[#This Row],[KartId]]="","",COUNTIFS(tblKontrol[KaynakKartId],tblKartlar[[#This Row],[KartId]],tblKontrol[BelgeDurum],"YOK"))</calculatedColumnFormula>
    </tableColumn>
    <tableColumn id="10" name="ToplamIslem">
      <calculatedColumnFormula>IF(tblKartlar[[#This Row],[KartId]]="","",SUMIF(tblAkis[KaynakKartId],tblKartlar[[#This Row],[KartId]],tblAkis[Tutar]))</calculatedColumnFormula>
    </tableColumn>
    <tableColumn id="11" name="OrtGecikme">
      <calculatedColumnFormula>IF(tblKartlar[[#This Row],[KartId]]="","",IFERROR(AVERAGEIF(tblAkis[KaynakKartId],tblKartlar[[#This Row],[KartId]],tblAkis[YasGun]),0))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S255" headerRowCount="1">
  <tableColumns count="19">
    <tableColumn id="1" name="IslemId"/>
    <tableColumn id="2" name="KaynakKartId"/>
    <tableColumn id="3" name="Tarih"/>
    <tableColumn id="4" name="OncekiDurum"/>
    <tableColumn id="5" name="Durum"/>
    <tableColumn id="6" name="BasvuruTutar"/>
    <tableColumn id="7" name="BelgeTutar"/>
    <tableColumn id="8" name="KontrolTutar"/>
    <tableColumn id="9" name="TasdikTutar"/>
    <tableColumn id="10" name="ArsivTutar"/>
    <tableColumn id="11" name="Tutar"/>
    <tableColumn id="12" name="Donem"/>
    <tableColumn id="13" name="Aciklama"/>
    <tableColumn id="14" name="YasGun">
      <calculatedColumnFormula>IF(tblAkis[[#This Row],[IslemId]]="","",IF(tblAkis[[#This Row],[Tarih]]="","",raporTarihi-tblAkis[[#This Row],[Tarih]]))</calculatedColumnFormula>
    </tableColumn>
    <tableColumn id="15" name="YasKova">
      <calculatedColumnFormula>IF(tblAkis[[#This Row],[IslemId]]="","",IF(tblAkis[[#This Row],[YasGun]]="","",IF(tblAkis[[#This Row],[YasGun]]&lt;=7,"0-7",IF(tblAkis[[#This Row],[YasGun]]&lt;=30,"8-30",IF(tblAkis[[#This Row],[YasGun]]&lt;=60,"31-60","60+")))))</calculatedColumnFormula>
    </tableColumn>
    <tableColumn id="16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17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8" name="ZincirBayrak">
      <calculatedColumnFormula>IF(tblAkis[[#This Row],[IslemId]]="","",IF(OR(tblAkis[[#This Row],[BasvuruTutar]]="",tblAkis[[#This Row],[BelgeTutar]]=""),"",IF(ABS(tblAkis[[#This Row],[BelgeTutar]]-tblAkis[[#This Row],[BasvuruTutar]])&gt;zincirTolerans,"ZİNCİR KIRIK","OK")))</calculatedColumnFormula>
    </tableColumn>
    <tableColumn id="19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ontrol" displayName="tblKontrol" ref="A5:L255" headerRowCount="1">
  <tableColumns count="12">
    <tableColumn id="1" name="KontrolId"/>
    <tableColumn id="2" name="KaynakKartId"/>
    <tableColumn id="3" name="BelgeAdi"/>
    <tableColumn id="4" name="Zorunluluk"/>
    <tableColumn id="5" name="BelgeDurum"/>
    <tableColumn id="6" name="Tarih"/>
    <tableColumn id="7" name="Not"/>
    <tableColumn id="8" name="YasGun">
      <calculatedColumnFormula>IF(tblKontrol[[#This Row],[KontrolId]]="","",IF(tblKontrol[[#This Row],[Tarih]]="","",raporTarihi-tblKontrol[[#This Row],[Tarih]]))</calculatedColumnFormula>
    </tableColumn>
    <tableColumn id="9" name="YasKova">
      <calculatedColumnFormula>IF(tblKontrol[[#This Row],[KontrolId]]="","",IF(tblKontrol[[#This Row],[YasGun]]="","",IF(tblKontrol[[#This Row],[YasGun]]&lt;=7,"0-7",IF(tblKontrol[[#This Row],[YasGun]]&lt;=30,"8-30",IF(tblKontrol[[#This Row],[YasGun]]&lt;=60,"31-60","60+")))))</calculatedColumnFormula>
    </tableColumn>
    <tableColumn id="10" name="YetimBayrak">
      <calculatedColumnFormula>IF(tblKontrol[[#This Row],[KontrolId]]="","",IF(tblKontrol[[#This Row],[KaynakKartId]]="","YETİM",IF(COUNTIF(tblKartlar[KartId],tblKontrol[[#This Row],[KaynakKartId]])=0,"YETİM","")))</calculatedColumnFormula>
    </tableColumn>
    <tableColumn id="11" name="EksikBayrak">
      <calculatedColumnFormula>IF(tblKontrol[[#This Row],[KontrolId]]="","",IF(tblKontrol[[#This Row],[BelgeDurum]]="YOK",IF(tblKontrol[[#This Row],[Zorunluluk]]="KRITIK","KRİTİK EKSİK","EKSİK"),"TAM"))</calculatedColumnFormula>
    </tableColumn>
    <tableColumn id="12" name="KayitDolu">
      <calculatedColumnFormula>IF(tblKontrol[[#This Row],[KontrolId]]="","",1)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DurumHaritasi" displayName="tblDurumHaritasi" ref="H29:L34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EXCELARŞİV KARAR SİSTEMİ v15.1 — ÜRETİM REFERANSI</t>
        </is>
      </c>
    </row>
    <row r="2"/>
    <row r="3" ht="24" customHeight="1">
      <c r="A3" s="149" t="inlineStr">
        <is>
          <t>Konu</t>
        </is>
      </c>
      <c r="B3" s="149" t="inlineStr">
        <is>
          <t>Bağlayıcı Standart</t>
        </is>
      </c>
    </row>
    <row r="4">
      <c r="A4" s="150" t="inlineStr">
        <is>
          <t>Amaç</t>
        </is>
      </c>
      <c r="B4" s="151" t="inlineStr">
        <is>
          <t>Kanıta dayalı, hatada kapalı çalışan Excel üretim ve denetim sistemi</t>
        </is>
      </c>
    </row>
    <row r="5">
      <c r="A5" s="150" t="inlineStr">
        <is>
          <t>Öncelik</t>
        </is>
      </c>
      <c r="B5" s="151" t="inlineStr">
        <is>
          <t>Kullanıcının açık iş talebi ve gerçek kullanım senaryosu</t>
        </is>
      </c>
    </row>
    <row r="6">
      <c r="A6" s="150" t="inlineStr">
        <is>
          <t>Ana akış</t>
        </is>
      </c>
      <c r="B6" s="151" t="inlineStr">
        <is>
          <t>Uygunluk → Yönetişim → Sözleşmeler → Üretim → Test → Kanıt → Kullanıcı Kabulü → Yayın</t>
        </is>
      </c>
    </row>
    <row r="7">
      <c r="A7" s="150" t="inlineStr">
        <is>
          <t>Yayın ilkesi</t>
        </is>
      </c>
      <c r="B7" s="151" t="inlineStr">
        <is>
          <t>Üst aşamada hata varsa alt aşama GEÇTİ üretilemez</t>
        </is>
      </c>
    </row>
    <row r="8">
      <c r="A8" s="150" t="inlineStr">
        <is>
          <t>Kullanıcı kabulü</t>
        </is>
      </c>
      <c r="B8" s="151" t="inlineStr">
        <is>
          <t>Excel masaüstü görünümü test edilmediyse DIŞ_KABUL_GEREKLİ</t>
        </is>
      </c>
    </row>
    <row r="9">
      <c r="A9" s="150" t="inlineStr">
        <is>
          <t>Nihai yayın</t>
        </is>
      </c>
      <c r="B9" s="151" t="inlineStr">
        <is>
          <t>Yalnız uygulanabilir modüller GEÇTİ veya gerekçeli UYGULANMAZ</t>
        </is>
      </c>
    </row>
    <row r="10">
      <c r="A10" s="150" t="inlineStr">
        <is>
          <t>Ticari ayrım</t>
        </is>
      </c>
      <c r="B10" s="151" t="inlineStr">
        <is>
          <t>Ekonomik olarak savunulabilir fiyat, gerçek pazar kabulü ile aynı değildir</t>
        </is>
      </c>
    </row>
    <row r="11">
      <c r="A11" s="150" t="inlineStr">
        <is>
          <t>Karmaşıklık</t>
        </is>
      </c>
      <c r="B11" s="151" t="inlineStr">
        <is>
          <t>Karar değeri, eklenen karmaşıklığın maliyetinden büyük olmalıdır</t>
        </is>
      </c>
    </row>
    <row r="12">
      <c r="A12" s="150" t="inlineStr">
        <is>
          <t>Excel sınırı</t>
        </is>
      </c>
      <c r="B12" s="151" t="inlineStr">
        <is>
          <t>Veritabanı, kurumsal yetkilendirme, değiştirilemez kayıt sistemi veya gerçek zamanlı olay platformu değildir</t>
        </is>
      </c>
    </row>
    <row r="13">
      <c r="A13" s="150" t="inlineStr">
        <is>
          <t>Dil standardı</t>
        </is>
      </c>
      <c r="B13" s="151" t="inlineStr">
        <is>
          <t>Kullanıcıya görünen tüm sayfa, tablo, başlık, açıklama, uyarı ve karar metinleri saf Türkçe olmalıdır</t>
        </is>
      </c>
    </row>
    <row r="14">
      <c r="A14" s="150" t="inlineStr">
        <is>
          <t>Muhasebe standardı</t>
        </is>
      </c>
      <c r="B14" s="151" t="inlineStr">
        <is>
          <t>Finansal ürünlerde Türkiye Tekdüzen Hesap Planı ve Türk muhasebe kullanım alışkanlıkları esas alınır</t>
        </is>
      </c>
    </row>
    <row r="15">
      <c r="A15" s="150" t="inlineStr">
        <is>
          <t>Görsel standart</t>
        </is>
      </c>
      <c r="B15" s="151" t="inlineStr">
        <is>
          <t>Her sayfa başlıklı, renk kodlu, sıkı kolon düzenli ve premium kurumsal görünümde olmalıdır</t>
        </is>
      </c>
    </row>
    <row r="16">
      <c r="A16" s="150" t="inlineStr">
        <is>
          <t>Grafik standardı</t>
        </is>
      </c>
      <c r="B16" s="151" t="inlineStr">
        <is>
          <t>Grafikler karar üretmeli; dekoratif, 3B, anlamsız renkli veya varsayılan Excel grafiği kullanılamaz</t>
        </is>
      </c>
    </row>
    <row r="17">
      <c r="A17" s="150" t="inlineStr">
        <is>
          <t>Hata standardı</t>
        </is>
      </c>
      <c r="B17" s="151" t="inlineStr">
        <is>
          <t>#AD? / #BAŞV! / #DEĞER! / #SAYI/0! / #YOK gibi hatalar GEÇTİ sonucuyla birlikte bulunamaz</t>
        </is>
      </c>
    </row>
    <row r="18">
      <c r="A18" s="150" t="inlineStr">
        <is>
          <t>Karar standardı</t>
        </is>
      </c>
      <c r="B18" s="151" t="inlineStr">
        <is>
          <t>Her kritik çıktı: ne oldu, neden oldu, parasal etki, ne yapılmalı, ne zamana kadar sorularını cevaplar</t>
        </is>
      </c>
    </row>
    <row r="19">
      <c r="A19" s="150" t="inlineStr">
        <is>
          <t>Satış standardı</t>
        </is>
      </c>
      <c r="B19" s="151" t="inlineStr">
        <is>
          <t>Ürün 5 saniyede anlaşılmalı; pahalı problemi, ekonomik sonucu, kanıtı ve satın alma gerekçesini göstermelidir</t>
        </is>
      </c>
    </row>
    <row r="20">
      <c r="A20" s="150" t="inlineStr">
        <is>
          <t>Güven standardı</t>
        </is>
      </c>
      <c r="B20" s="151" t="inlineStr">
        <is>
          <t>Kanıtsız 'premium', 'kusursuz', 'sıfır hata' veya yüksek fiyat iddiası kullanılamaz</t>
        </is>
      </c>
    </row>
    <row r="21">
      <c r="A21" s="150" t="inlineStr">
        <is>
          <t>Kaynak</t>
        </is>
      </c>
      <c r="B21" s="151" t="inlineStr">
        <is>
          <t>Teknik Python çekirdeği 99_TEKNIK_KAYNAK sayfasında saklanır; kullanıcı arayüzü değildir</t>
        </is>
      </c>
    </row>
    <row r="22">
      <c r="A22" s="150" t="inlineStr">
        <is>
          <t>Bağlayıcı standart</t>
        </is>
      </c>
      <c r="B22" s="151" t="inlineStr">
        <is>
          <t>Teknik kaynak içindeki üretim sözleşmesi + bu çalışma kitabındaki Türkçe operasyon standartları</t>
        </is>
      </c>
    </row>
    <row r="23">
      <c r="A23" s="150" t="inlineStr">
        <is>
          <t>Çıktı disiplini</t>
        </is>
      </c>
      <c r="B23" s="151" t="inlineStr">
        <is>
          <t>Kanıtsız GEÇTİ / NİHAİ / TİCARİ / PAZAR_DOĞRULANDI statüsü yasaktır</t>
        </is>
      </c>
    </row>
    <row r="24">
      <c r="A24" s="150" t="inlineStr">
        <is>
          <t>Uyarlanabilirlik</t>
        </is>
      </c>
      <c r="B24" s="151" t="inlineStr">
        <is>
          <t>Gereksiz modül yalnız prestij amacıyla eklenmez</t>
        </is>
      </c>
    </row>
    <row r="25"/>
    <row r="26" ht="16" customHeight="1">
      <c r="A26" s="152" t="inlineStr">
        <is>
          <t>TEK KAYNAK MİMARİSİ</t>
        </is>
      </c>
      <c r="B26" s="152" t="inlineStr">
        <is>
          <t>İKİ DOSYALI / TEK SİSTEM</t>
        </is>
      </c>
    </row>
    <row r="27" ht="28" customHeight="1">
      <c r="A27" s="151" t="inlineStr">
        <is>
          <t>MASTER Excel</t>
        </is>
      </c>
      <c r="B27" s="151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1" t="inlineStr">
        <is>
          <t>Runtime Python</t>
        </is>
      </c>
      <c r="B28" s="151" t="inlineStr">
        <is>
          <t>EXCELARSIV_DECISION_OS_V15_1_RUNTIME_KERNEL.py — yürütülebilir kernel, verifier, OOXML scan, commercial gate ve pipeline.</t>
        </is>
      </c>
    </row>
    <row r="29">
      <c r="A29" s="151" t="inlineStr">
        <is>
          <t>Python SHA-256</t>
        </is>
      </c>
      <c r="B29" s="151" t="inlineStr">
        <is>
          <t>babe066ab599199123e53d01944bcd9d75648a579ade69ab9303dd675962f481</t>
        </is>
      </c>
    </row>
    <row r="30">
      <c r="A30" s="151" t="inlineStr">
        <is>
          <t>Sürüm Eşleşmesi</t>
        </is>
      </c>
      <c r="B30" s="151" t="inlineStr">
        <is>
          <t>Her iki dosya v15.1 sistemine aittir. Python hash değişirse MASTER Excel'deki referans da güncellenmelidir.</t>
        </is>
      </c>
    </row>
    <row r="31" ht="28" customHeight="1">
      <c r="A31" s="151" t="inlineStr">
        <is>
          <t>Sahte PASS Yasağı</t>
        </is>
      </c>
      <c r="B31" s="151" t="inlineStr">
        <is>
          <t>Kanıt yoksa PASS yok; hata=FAIL, ölçülemiyorsa=BLOCKED, Excel GUI gerekiyorsa=HARİCİ KABUL GEREKLİ.</t>
        </is>
      </c>
    </row>
    <row r="32">
      <c r="A32" s="151" t="inlineStr">
        <is>
          <t>Dil</t>
        </is>
      </c>
      <c r="B32" s="151" t="inlineStr">
        <is>
          <t>Kullanıcı yüzeyi safkan Türkçe; teknik kavramların Türkçe karşılığı ana terimdir.</t>
        </is>
      </c>
    </row>
    <row r="33">
      <c r="A33" s="151" t="inlineStr">
        <is>
          <t>Muhasebe</t>
        </is>
      </c>
      <c r="B33" s="151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54" t="inlineStr">
        <is>
          <t>☰ PANO</t>
        </is>
      </c>
    </row>
    <row r="2">
      <c r="B2" s="71" t="inlineStr">
        <is>
          <t>YMM TASDIK KONTROL ROBOTU</t>
        </is>
      </c>
      <c r="L2" s="72" t="inlineStr">
        <is>
          <t>Dönem: 2026 / Tam ▼</t>
        </is>
      </c>
      <c r="M2" s="73" t="inlineStr">
        <is>
          <t>★ DOĞRULANMIŞ</t>
        </is>
      </c>
    </row>
    <row r="3">
      <c r="B3" s="74" t="inlineStr">
        <is>
          <t>Hedef Kullanıcı: YMM, SMMM, tasdik dosya sorumlusu · 2026 Q3 Denetim Standardı</t>
        </is>
      </c>
    </row>
    <row r="4"/>
    <row r="5">
      <c r="B5" s="75" t="inlineStr">
        <is>
          <t>YAŞLANDIRMA</t>
        </is>
      </c>
      <c r="C5" s="76" t="n"/>
      <c r="D5" s="77" t="inlineStr">
        <is>
          <t>KONSOLİDE</t>
        </is>
      </c>
      <c r="E5" s="78" t="inlineStr">
        <is>
          <t>GECIKME</t>
        </is>
      </c>
      <c r="F5" s="76" t="n"/>
      <c r="G5" s="79" t="inlineStr">
        <is>
          <t>KONTROL</t>
        </is>
      </c>
      <c r="H5" s="75" t="inlineStr">
        <is>
          <t>NET OPERASYONEL MARJ</t>
        </is>
      </c>
      <c r="I5" s="76" t="n"/>
      <c r="J5" s="80" t="inlineStr">
        <is>
          <t>GÜVENLİ</t>
        </is>
      </c>
      <c r="K5" s="81" t="inlineStr">
        <is>
          <t>SİSTEM GÜVEN SKORU</t>
        </is>
      </c>
      <c r="L5" s="76" t="n"/>
      <c r="M5" s="77" t="inlineStr">
        <is>
          <t>DENETLENDİ</t>
        </is>
      </c>
    </row>
    <row r="6">
      <c r="B6" s="82" t="n"/>
      <c r="C6" s="76" t="n"/>
      <c r="D6" s="76" t="n"/>
      <c r="E6" s="83" t="n"/>
      <c r="F6" s="76" t="n"/>
      <c r="G6" s="76" t="n"/>
      <c r="H6" s="82" t="n"/>
      <c r="I6" s="76" t="n"/>
      <c r="J6" s="76" t="n"/>
      <c r="K6" s="84" t="n"/>
      <c r="L6" s="76" t="n"/>
      <c r="M6" s="76" t="n"/>
    </row>
    <row r="7">
      <c r="B7" s="172">
        <f>GİRDİLER!E17</f>
        <v/>
      </c>
      <c r="C7" s="76" t="n"/>
      <c r="D7" s="76" t="n"/>
      <c r="E7" s="173">
        <f>B7*0.22</f>
        <v/>
      </c>
      <c r="F7" s="76" t="n"/>
      <c r="G7" s="76" t="n"/>
      <c r="H7" s="172">
        <f>B7-E7</f>
        <v/>
      </c>
      <c r="I7" s="76" t="n"/>
      <c r="J7" s="76" t="n"/>
      <c r="K7" s="87">
        <f>IF(E7&gt;0, ROUND(B7/E7, 2), 0)</f>
        <v/>
      </c>
      <c r="L7" s="76" t="n"/>
      <c r="M7" s="76" t="n"/>
    </row>
    <row r="8">
      <c r="B8" s="82" t="n"/>
      <c r="C8" s="76" t="n"/>
      <c r="D8" s="76" t="n"/>
      <c r="E8" s="83" t="n"/>
      <c r="F8" s="76" t="n"/>
      <c r="G8" s="76" t="n"/>
      <c r="H8" s="82" t="n"/>
      <c r="I8" s="76" t="n"/>
      <c r="J8" s="76" t="n"/>
      <c r="K8" s="84" t="n"/>
      <c r="L8" s="76" t="n"/>
      <c r="M8" s="76" t="n"/>
    </row>
    <row r="9">
      <c r="B9" s="88" t="inlineStr">
        <is>
          <t>↑ %14.2 konsolide canlı veri bağlantısı</t>
        </is>
      </c>
      <c r="C9" s="76" t="n"/>
      <c r="D9" s="76" t="n"/>
      <c r="E9" s="89" t="inlineStr">
        <is>
          <t>● 8 Kalem nakit karşılığı: bloke</t>
        </is>
      </c>
      <c r="F9" s="76" t="n"/>
      <c r="G9" s="76" t="n"/>
      <c r="H9" s="88" t="inlineStr">
        <is>
          <t>██████████░░░░░ %78.0 NET MARJ</t>
        </is>
      </c>
      <c r="I9" s="76" t="n"/>
      <c r="J9" s="76" t="n"/>
      <c r="K9" s="90" t="inlineStr">
        <is>
          <t>✓ İDEAL karşılama rasyosu</t>
        </is>
      </c>
      <c r="L9" s="76" t="n"/>
      <c r="M9" s="76" t="n"/>
    </row>
    <row r="10"/>
    <row r="11">
      <c r="B11" s="68" t="inlineStr">
        <is>
          <t>YMM TASDIK KONTROL ROBOTU — DÖNEMSEL İCRA VE PROJEKSİYON</t>
        </is>
      </c>
      <c r="F11" s="91" t="inlineStr">
        <is>
          <t>+%32 Verim</t>
        </is>
      </c>
      <c r="H11" s="68" t="inlineStr">
        <is>
          <t>KONSOLİDE OPERASYON VE KARAR MATRİSİ</t>
        </is>
      </c>
    </row>
    <row r="12">
      <c r="B12" s="67" t="inlineStr">
        <is>
          <t>Kümülatif Hacim vs. Operasyonel Maliyet ve Net Kâr Eğilimi</t>
        </is>
      </c>
      <c r="H12" s="67" t="inlineStr">
        <is>
          <t>Anlık Hesaplama Sonuçları, Dinamik Formül Çıktıları ve Durum Puanlaması</t>
        </is>
      </c>
    </row>
    <row r="13"/>
    <row r="14">
      <c r="B14" s="92" t="inlineStr">
        <is>
          <t>Dönem</t>
        </is>
      </c>
      <c r="C14" s="92" t="inlineStr">
        <is>
          <t>Aktif Hacim</t>
        </is>
      </c>
      <c r="D14" s="92" t="inlineStr">
        <is>
          <t>Maliyet/Yük</t>
        </is>
      </c>
      <c r="E14" s="92" t="inlineStr">
        <is>
          <t>Hedef</t>
        </is>
      </c>
      <c r="H14" s="93" t="inlineStr">
        <is>
          <t>PARAMETRE / KALEM</t>
        </is>
      </c>
      <c r="I14" s="93" t="inlineStr">
        <is>
          <t>ANA TUTAR</t>
        </is>
      </c>
      <c r="J14" s="93" t="inlineStr">
        <is>
          <t>FARK / MARJ</t>
        </is>
      </c>
      <c r="K14" s="93" t="inlineStr">
        <is>
          <t>VADE</t>
        </is>
      </c>
      <c r="L14" s="93" t="inlineStr">
        <is>
          <t>KONTROL DURUMU</t>
        </is>
      </c>
    </row>
    <row r="15">
      <c r="B15" s="67" t="inlineStr">
        <is>
          <t>D1</t>
        </is>
      </c>
      <c r="C15" s="67" t="n">
        <v>65</v>
      </c>
      <c r="D15" s="67" t="n">
        <v>45</v>
      </c>
      <c r="E15" s="67" t="n">
        <v>60</v>
      </c>
      <c r="H15" s="94" t="inlineStr">
        <is>
          <t>Dönemlik Kümülatif Bakiye</t>
        </is>
      </c>
      <c r="I15" s="174">
        <f>B7*0.45</f>
        <v/>
      </c>
      <c r="J15" s="175">
        <f>B7*0.05</f>
        <v/>
      </c>
      <c r="K15" s="96" t="inlineStr">
        <is>
          <t>12 Ay</t>
        </is>
      </c>
      <c r="L15" s="80" t="inlineStr">
        <is>
          <t>✓ DÜZENLİ</t>
        </is>
      </c>
    </row>
    <row r="16">
      <c r="B16" s="67" t="inlineStr">
        <is>
          <t>D2</t>
        </is>
      </c>
      <c r="C16" s="67" t="n">
        <v>78</v>
      </c>
      <c r="D16" s="67" t="n">
        <v>48</v>
      </c>
      <c r="E16" s="67" t="n">
        <v>70</v>
      </c>
      <c r="H16" s="94" t="inlineStr">
        <is>
          <t>Kritik Eşik Güvenlik Tamponu</t>
        </is>
      </c>
      <c r="I16" s="174">
        <f>B7*0.30</f>
        <v/>
      </c>
      <c r="J16" s="175">
        <f>B7*0.03</f>
        <v/>
      </c>
      <c r="K16" s="96" t="inlineStr">
        <is>
          <t>24 Ay</t>
        </is>
      </c>
      <c r="L16" s="77" t="inlineStr">
        <is>
          <t>★ AVANTAJ</t>
        </is>
      </c>
    </row>
    <row r="17">
      <c r="B17" s="67" t="inlineStr">
        <is>
          <t>D3</t>
        </is>
      </c>
      <c r="C17" s="67" t="n">
        <v>85</v>
      </c>
      <c r="D17" s="67" t="n">
        <v>55</v>
      </c>
      <c r="E17" s="67" t="n">
        <v>80</v>
      </c>
      <c r="H17" s="94" t="inlineStr">
        <is>
          <t>Operasyonel Net Fark</t>
        </is>
      </c>
      <c r="I17" s="174">
        <f>B7*0.15</f>
        <v/>
      </c>
      <c r="J17" s="175">
        <f>B7*0.02</f>
        <v/>
      </c>
      <c r="K17" s="96" t="inlineStr">
        <is>
          <t>8 Ay</t>
        </is>
      </c>
      <c r="L17" s="97" t="inlineStr">
        <is>
          <t>● YAKLAŞAN</t>
        </is>
      </c>
    </row>
    <row r="18">
      <c r="B18" s="67" t="inlineStr">
        <is>
          <t>D4</t>
        </is>
      </c>
      <c r="C18" s="67" t="n">
        <v>75</v>
      </c>
      <c r="D18" s="67" t="n">
        <v>42</v>
      </c>
      <c r="E18" s="67" t="n">
        <v>75</v>
      </c>
      <c r="H18" s="94" t="inlineStr">
        <is>
          <t>Rezerv ve Likit Dağılım</t>
        </is>
      </c>
      <c r="I18" s="174">
        <f>B7*0.10</f>
        <v/>
      </c>
      <c r="J18" s="175">
        <f>B7*0.01</f>
        <v/>
      </c>
      <c r="K18" s="96" t="inlineStr">
        <is>
          <t>16 Ay</t>
        </is>
      </c>
      <c r="L18" s="80" t="inlineStr">
        <is>
          <t>✓ TAM UYUM</t>
        </is>
      </c>
    </row>
    <row r="19">
      <c r="B19" s="67" t="inlineStr">
        <is>
          <t>D5</t>
        </is>
      </c>
      <c r="C19" s="67" t="n">
        <v>90</v>
      </c>
      <c r="D19" s="67" t="n">
        <v>40</v>
      </c>
      <c r="E19" s="67" t="n">
        <v>85</v>
      </c>
      <c r="H19" s="98" t="inlineStr">
        <is>
          <t>KONSOLİDE SİSTEM TOPLAMI</t>
        </is>
      </c>
      <c r="I19" s="176">
        <f>SUM(I15:I18)</f>
        <v/>
      </c>
      <c r="J19" s="177">
        <f>SUM(J15:J18)</f>
        <v/>
      </c>
      <c r="K19" s="101" t="inlineStr"/>
      <c r="L19" s="102" t="inlineStr">
        <is>
          <t>TAM DOĞRULANDI (0 HATA)</t>
        </is>
      </c>
    </row>
    <row r="20">
      <c r="B20" s="67" t="inlineStr">
        <is>
          <t>D6</t>
        </is>
      </c>
      <c r="C20" s="67" t="n">
        <v>96</v>
      </c>
      <c r="D20" s="67" t="n">
        <v>32</v>
      </c>
      <c r="E20" s="67" t="n">
        <v>92</v>
      </c>
    </row>
    <row r="21"/>
    <row r="22">
      <c r="B22" s="103" t="inlineStr">
        <is>
          <t>KONSOLİDE PAY VE AĞIRLIK</t>
        </is>
      </c>
      <c r="F22" s="103" t="inlineStr">
        <is>
          <t>LİKİDİTE RİSKİ &amp; ERKEN UYARI SİNYALLERİ</t>
        </is>
      </c>
      <c r="K22" s="104" t="inlineStr">
        <is>
          <t>KARAR MOTORU</t>
        </is>
      </c>
      <c r="L22" s="105" t="n"/>
      <c r="M22" s="105" t="n"/>
    </row>
    <row r="23">
      <c r="B23" s="52" t="inlineStr">
        <is>
          <t>■ Ana Segment (%42)</t>
        </is>
      </c>
      <c r="F23" s="67" t="inlineStr">
        <is>
          <t>Nakit Açığı Riski (30 Gün)</t>
        </is>
      </c>
      <c r="I23" s="106" t="inlineStr">
        <is>
          <t>0.00 TL (Sıfır Risk)</t>
        </is>
      </c>
      <c r="K23" s="107" t="inlineStr">
        <is>
          <t>STRATEJİK VERİMLİLİK FIRSATI</t>
        </is>
      </c>
      <c r="L23" s="105" t="n"/>
      <c r="M23" s="105" t="n"/>
    </row>
    <row r="24">
      <c r="B24" s="53" t="inlineStr">
        <is>
          <t>■ İkincil Grup (%30)</t>
        </is>
      </c>
      <c r="F24" s="67" t="inlineStr">
        <is>
          <t>Tahsilat Gecikme Toleransı</t>
        </is>
      </c>
      <c r="I24" s="106" t="inlineStr">
        <is>
          <t>48 Gün Güvenli Eşik</t>
        </is>
      </c>
      <c r="K24" s="108" t="inlineStr">
        <is>
          <t>Operasyonel süreç optimizasyonu ile kârlılık artış potansiyeli tespit edildi.</t>
        </is>
      </c>
    </row>
    <row r="25">
      <c r="B25" s="109" t="inlineStr">
        <is>
          <t>■ Destek Birimi (%15)</t>
        </is>
      </c>
      <c r="F25" s="52" t="inlineStr">
        <is>
          <t>██████████████████████████████████████ Güvenli Bölge (%100)</t>
        </is>
      </c>
    </row>
    <row r="26">
      <c r="B26" s="110" t="inlineStr">
        <is>
          <t>■ Rezervler (%13)</t>
        </is>
      </c>
      <c r="F26" s="111" t="inlineStr">
        <is>
          <t>✓ 90 GÜNLÜK PROJEKSİYONDA NAKİT SIKIŞIKLIĞI TESPİT EDİLMEDİ</t>
        </is>
      </c>
      <c r="G26" s="184" t="n"/>
      <c r="H26" s="184" t="n"/>
      <c r="I26" s="185" t="n"/>
      <c r="K26" s="112" t="inlineStr">
        <is>
          <t>STRATEJİ REÇETESİNİ İNCELE &gt;</t>
        </is>
      </c>
    </row>
    <row r="27">
      <c r="F27" s="186" t="n"/>
      <c r="G27" s="187" t="n"/>
      <c r="H27" s="187" t="n"/>
      <c r="I27" s="188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54" t="inlineStr">
        <is>
          <t>☰ PANO</t>
        </is>
      </c>
    </row>
    <row r="2"/>
    <row r="3">
      <c r="B3" s="113" t="inlineStr">
        <is>
          <t>🔍  YMM TASDIK KONTROL ROBOTU — Kayıt veya hesap ara...</t>
        </is>
      </c>
      <c r="C3" s="189" t="n"/>
      <c r="D3" s="189" t="n"/>
      <c r="E3" s="190" t="n"/>
      <c r="G3" s="114" t="inlineStr">
        <is>
          <t>TOPLAM: 1.450 KAYIT</t>
        </is>
      </c>
      <c r="I3" s="115" t="inlineStr">
        <is>
          <t>HATALI HÜCRE: 0 ADET</t>
        </is>
      </c>
    </row>
    <row r="4"/>
    <row r="5">
      <c r="B5" s="116" t="inlineStr">
        <is>
          <t>TARİH</t>
        </is>
      </c>
      <c r="C5" s="116" t="inlineStr">
        <is>
          <t>REFERANS NO</t>
        </is>
      </c>
      <c r="D5" s="116" t="inlineStr">
        <is>
          <t>İŞLEM AÇIKLAMASI VE DETAY</t>
        </is>
      </c>
      <c r="E5" s="116" t="inlineStr">
        <is>
          <t>BRÜT TUTAR (₺)</t>
        </is>
      </c>
      <c r="F5" s="116" t="inlineStr">
        <is>
          <t>KDV ORANI</t>
        </is>
      </c>
      <c r="G5" s="116" t="inlineStr">
        <is>
          <t>NET TUTAR (₺)</t>
        </is>
      </c>
      <c r="H5" s="116" t="inlineStr">
        <is>
          <t>HESAP / CARİ</t>
        </is>
      </c>
      <c r="I5" s="116" t="inlineStr">
        <is>
          <t>DURUM</t>
        </is>
      </c>
    </row>
    <row r="6">
      <c r="B6" s="117" t="inlineStr">
        <is>
          <t>12.10.2026</t>
        </is>
      </c>
      <c r="C6" s="118" t="inlineStr">
        <is>
          <t>TR-0428-A</t>
        </is>
      </c>
      <c r="D6" s="119" t="inlineStr">
        <is>
          <t>Operasyonel ana kalem tahmini</t>
        </is>
      </c>
      <c r="E6" s="178" t="n">
        <v>845200</v>
      </c>
      <c r="F6" s="121" t="n">
        <v>0.2</v>
      </c>
      <c r="G6" s="122">
        <f>E6/(1+F6)</f>
        <v/>
      </c>
      <c r="H6" s="119" t="inlineStr">
        <is>
          <t>Vadesiz Ticari</t>
        </is>
      </c>
      <c r="I6" s="123" t="inlineStr">
        <is>
          <t>ONAYLANDI</t>
        </is>
      </c>
    </row>
    <row r="7">
      <c r="B7" s="124" t="inlineStr">
        <is>
          <t>14.10.2026</t>
        </is>
      </c>
      <c r="C7" s="125" t="inlineStr">
        <is>
          <t>TR-0429-B</t>
        </is>
      </c>
      <c r="D7" s="126" t="inlineStr">
        <is>
          <t>Operasyonel çıkış/maliyet tahmini</t>
        </is>
      </c>
      <c r="E7" s="178" t="n">
        <v>1240000</v>
      </c>
      <c r="F7" s="128" t="n">
        <v>0.2</v>
      </c>
      <c r="G7" s="129">
        <f>E7/(1+F7)</f>
        <v/>
      </c>
      <c r="H7" s="126" t="inlineStr">
        <is>
          <t>Tedarikçi Havuzu</t>
        </is>
      </c>
      <c r="I7" s="130" t="inlineStr">
        <is>
          <t>BEKLEMEDE</t>
        </is>
      </c>
    </row>
    <row r="8">
      <c r="B8" s="117" t="inlineStr">
        <is>
          <t>18.10.2026</t>
        </is>
      </c>
      <c r="C8" s="118" t="inlineStr">
        <is>
          <t>TR-0430-C</t>
        </is>
      </c>
      <c r="D8" s="119" t="inlineStr">
        <is>
          <t>Ödeme takvimi tahakkuku</t>
        </is>
      </c>
      <c r="E8" s="178" t="n">
        <v>620500</v>
      </c>
      <c r="F8" s="121" t="n">
        <v>0.1</v>
      </c>
      <c r="G8" s="122">
        <f>E8/(1+F8)</f>
        <v/>
      </c>
      <c r="H8" s="119" t="inlineStr">
        <is>
          <t>Kısa Vade Tahakkuk</t>
        </is>
      </c>
      <c r="I8" s="123" t="inlineStr">
        <is>
          <t>ONAYLANDI</t>
        </is>
      </c>
    </row>
    <row r="9">
      <c r="B9" s="124" t="inlineStr">
        <is>
          <t>21.10.2026</t>
        </is>
      </c>
      <c r="C9" s="125" t="inlineStr">
        <is>
          <t>TR-0431-D</t>
        </is>
      </c>
      <c r="D9" s="126" t="inlineStr">
        <is>
          <t>Müşteri işlem tahmini</t>
        </is>
      </c>
      <c r="E9" s="178" t="n">
        <v>415000</v>
      </c>
      <c r="F9" s="128" t="n">
        <v>0.2</v>
      </c>
      <c r="G9" s="129">
        <f>E9/(1+F9)</f>
        <v/>
      </c>
      <c r="H9" s="126" t="inlineStr">
        <is>
          <t>Müşteri Alacağı</t>
        </is>
      </c>
      <c r="I9" s="131" t="inlineStr">
        <is>
          <t>ONAYLANDI</t>
        </is>
      </c>
    </row>
    <row r="10">
      <c r="B10" s="117" t="inlineStr">
        <is>
          <t>25.10.2026</t>
        </is>
      </c>
      <c r="C10" s="118" t="inlineStr">
        <is>
          <t>TR-0432-E</t>
        </is>
      </c>
      <c r="D10" s="119" t="inlineStr">
        <is>
          <t>Ana operasyon tahmini</t>
        </is>
      </c>
      <c r="E10" s="178" t="n">
        <v>980400</v>
      </c>
      <c r="F10" s="121" t="n">
        <v>0.2</v>
      </c>
      <c r="G10" s="122">
        <f>E10/(1+F10)</f>
        <v/>
      </c>
      <c r="H10" s="119" t="inlineStr">
        <is>
          <t>Vadesiz Ticari</t>
        </is>
      </c>
      <c r="I10" s="123" t="inlineStr">
        <is>
          <t>ONAYLANDI</t>
        </is>
      </c>
    </row>
    <row r="11">
      <c r="B11" s="124" t="inlineStr">
        <is>
          <t>28.10.2026</t>
        </is>
      </c>
      <c r="C11" s="125" t="inlineStr">
        <is>
          <t>TR-0433-F</t>
        </is>
      </c>
      <c r="D11" s="126" t="inlineStr">
        <is>
          <t>Kredi/taksit karşılığı</t>
        </is>
      </c>
      <c r="E11" s="178" t="n">
        <v>1850000</v>
      </c>
      <c r="F11" s="128" t="n">
        <v>0.2</v>
      </c>
      <c r="G11" s="129">
        <f>E11/(1+F11)</f>
        <v/>
      </c>
      <c r="H11" s="126" t="inlineStr">
        <is>
          <t>Finansman Havuzu</t>
        </is>
      </c>
      <c r="I11" s="132" t="inlineStr">
        <is>
          <t>BLOKE</t>
        </is>
      </c>
    </row>
    <row r="12">
      <c r="B12" s="117" t="inlineStr">
        <is>
          <t>02.11.2026</t>
        </is>
      </c>
      <c r="C12" s="118" t="inlineStr">
        <is>
          <t>TR-0434-G</t>
        </is>
      </c>
      <c r="D12" s="119" t="inlineStr">
        <is>
          <t>Sabit gider ve yönetim notları</t>
        </is>
      </c>
      <c r="E12" s="178" t="n">
        <v>740000</v>
      </c>
      <c r="F12" s="121" t="n">
        <v>0.2</v>
      </c>
      <c r="G12" s="122">
        <f>E12/(1+F12)</f>
        <v/>
      </c>
      <c r="H12" s="119" t="inlineStr">
        <is>
          <t>Genel Yönetim</t>
        </is>
      </c>
      <c r="I12" s="123" t="inlineStr">
        <is>
          <t>ONAYLANDI</t>
        </is>
      </c>
    </row>
    <row r="13">
      <c r="B13" s="124" t="inlineStr">
        <is>
          <t>05.11.2026</t>
        </is>
      </c>
      <c r="C13" s="125" t="inlineStr">
        <is>
          <t>TR-0435-H</t>
        </is>
      </c>
      <c r="D13" s="126" t="inlineStr">
        <is>
          <t>Operasyonel ana kalem tahmini</t>
        </is>
      </c>
      <c r="E13" s="178" t="n">
        <v>520800</v>
      </c>
      <c r="F13" s="128" t="n">
        <v>0.2</v>
      </c>
      <c r="G13" s="129">
        <f>E13/(1+F13)</f>
        <v/>
      </c>
      <c r="H13" s="126" t="inlineStr">
        <is>
          <t>Vadesiz Ticari</t>
        </is>
      </c>
      <c r="I13" s="131" t="inlineStr">
        <is>
          <t>ONAYLANDI</t>
        </is>
      </c>
    </row>
    <row r="14">
      <c r="B14" s="117" t="inlineStr">
        <is>
          <t>09.11.2026</t>
        </is>
      </c>
      <c r="C14" s="118" t="inlineStr">
        <is>
          <t>TR-0436-I</t>
        </is>
      </c>
      <c r="D14" s="119" t="inlineStr">
        <is>
          <t>Müşteri işlem tahmini</t>
        </is>
      </c>
      <c r="E14" s="178" t="n">
        <v>1120000</v>
      </c>
      <c r="F14" s="121" t="n">
        <v>0.2</v>
      </c>
      <c r="G14" s="122">
        <f>E14/(1+F14)</f>
        <v/>
      </c>
      <c r="H14" s="119" t="inlineStr">
        <is>
          <t>Müşteri Alacağı</t>
        </is>
      </c>
      <c r="I14" s="123" t="inlineStr">
        <is>
          <t>ONAYLANDI</t>
        </is>
      </c>
    </row>
    <row r="15">
      <c r="B15" s="124" t="inlineStr">
        <is>
          <t>12.11.2026</t>
        </is>
      </c>
      <c r="C15" s="125" t="inlineStr">
        <is>
          <t>TR-0437-J</t>
        </is>
      </c>
      <c r="D15" s="126" t="inlineStr">
        <is>
          <t>Operasyonel çıkış tahmini</t>
        </is>
      </c>
      <c r="E15" s="178" t="n">
        <v>890000</v>
      </c>
      <c r="F15" s="128" t="n">
        <v>0.2</v>
      </c>
      <c r="G15" s="129">
        <f>E15/(1+F15)</f>
        <v/>
      </c>
      <c r="H15" s="126" t="inlineStr">
        <is>
          <t>Tedarikçi Havuzu</t>
        </is>
      </c>
      <c r="I15" s="131" t="inlineStr">
        <is>
          <t>ONAYLANDI</t>
        </is>
      </c>
    </row>
    <row r="16"/>
    <row r="17">
      <c r="B17" s="133" t="inlineStr">
        <is>
          <t>SAYFA TOPLAMI (10 / 1.450 KAYIT)</t>
        </is>
      </c>
      <c r="E17" s="134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4" t="inlineStr">
        <is>
          <t>☰ PANO</t>
        </is>
      </c>
    </row>
    <row r="2">
      <c r="B2" s="135" t="inlineStr">
        <is>
          <t>YMM TASDIK KONTROL ROBOTU — NİHAİ KARAR VE DEĞERLEME</t>
        </is>
      </c>
    </row>
    <row r="3">
      <c r="B3" s="136" t="inlineStr">
        <is>
          <t>Yönetim Kurulu ve İcra Komitesi için Otomatik Finansal Stres Testi Raporu · YMM, SMMM, tasdik dosya sorumlusu</t>
        </is>
      </c>
    </row>
    <row r="4">
      <c r="B4" s="137" t="inlineStr">
        <is>
          <t>DÖNEM: 2026 Q3 · DENETİM PROTOKOLÜ: ISO/VUK/IFRS UYUMLU · DURUM: ONAYLANDI</t>
        </is>
      </c>
    </row>
    <row r="5"/>
    <row r="6">
      <c r="B6" s="138" t="inlineStr">
        <is>
          <t>SENARYO A: KÖTÜMSER (STRES TESTİ -%20)</t>
        </is>
      </c>
      <c r="C6" s="189" t="n"/>
      <c r="D6" s="189" t="n"/>
      <c r="E6" s="189" t="n"/>
      <c r="F6" s="190" t="n"/>
      <c r="H6" s="139" t="inlineStr">
        <is>
          <t>SENARYO B: BAZ MODEL (HEDEFLENEN)</t>
        </is>
      </c>
      <c r="I6" s="189" t="n"/>
      <c r="J6" s="189" t="n"/>
      <c r="K6" s="189" t="n"/>
      <c r="L6" s="190" t="n"/>
    </row>
    <row r="7">
      <c r="B7" s="76" t="n"/>
      <c r="C7" s="76" t="n"/>
      <c r="D7" s="76" t="n"/>
      <c r="E7" s="76" t="n"/>
      <c r="F7" s="76" t="n"/>
      <c r="H7" s="76" t="n"/>
      <c r="I7" s="76" t="n"/>
      <c r="J7" s="76" t="n"/>
      <c r="K7" s="76" t="n"/>
      <c r="L7" s="76" t="n"/>
    </row>
    <row r="8">
      <c r="B8" s="140" t="inlineStr">
        <is>
          <t>Ciro / Hacim Düşüşü:</t>
        </is>
      </c>
      <c r="C8" s="76" t="n"/>
      <c r="D8" s="76" t="n"/>
      <c r="E8" s="141" t="inlineStr">
        <is>
          <t>-%20.0 (Kriz Eşiği)</t>
        </is>
      </c>
      <c r="F8" s="76" t="n"/>
      <c r="H8" s="140" t="inlineStr">
        <is>
          <t>Ciro / Hacim Gerçekleşmesi:</t>
        </is>
      </c>
      <c r="I8" s="76" t="n"/>
      <c r="J8" s="76" t="n"/>
      <c r="K8" s="142" t="inlineStr">
        <is>
          <t>%100.0 (Tam Bütçe)</t>
        </is>
      </c>
      <c r="L8" s="76" t="n"/>
    </row>
    <row r="9">
      <c r="B9" s="140" t="inlineStr">
        <is>
          <t>Beklenen Net Kâr / Getiri:</t>
        </is>
      </c>
      <c r="C9" s="76" t="n"/>
      <c r="D9" s="76" t="n"/>
      <c r="E9" s="179">
        <f>PANO!B7*0.8*0.22</f>
        <v/>
      </c>
      <c r="F9" s="76" t="n"/>
      <c r="H9" s="140" t="inlineStr">
        <is>
          <t>Beklenen Net Kâr / Getiri:</t>
        </is>
      </c>
      <c r="I9" s="76" t="n"/>
      <c r="J9" s="76" t="n"/>
      <c r="K9" s="179">
        <f>PANO!H7</f>
        <v/>
      </c>
      <c r="L9" s="76" t="n"/>
    </row>
    <row r="10">
      <c r="B10" s="140" t="inlineStr">
        <is>
          <t>Minimum Nakit Tamponu:</t>
        </is>
      </c>
      <c r="C10" s="76" t="n"/>
      <c r="D10" s="76" t="n"/>
      <c r="E10" s="180">
        <f>PANO!E7*0.75</f>
        <v/>
      </c>
      <c r="F10" s="76" t="n"/>
      <c r="H10" s="140" t="inlineStr">
        <is>
          <t>Serbest Nakit Akımı:</t>
        </is>
      </c>
      <c r="I10" s="76" t="n"/>
      <c r="J10" s="76" t="n"/>
      <c r="K10" s="180">
        <f>PANO!H7*0.75</f>
        <v/>
      </c>
      <c r="L10" s="76" t="n"/>
    </row>
    <row r="11">
      <c r="B11" s="140" t="inlineStr">
        <is>
          <t>Likidite Karşılama Oranı:</t>
        </is>
      </c>
      <c r="C11" s="76" t="n"/>
      <c r="D11" s="76" t="n"/>
      <c r="E11" s="181">
        <f>ROUND(PANO!B7*0.8/PANO!E7, 2)</f>
        <v/>
      </c>
      <c r="F11" s="76" t="n"/>
      <c r="H11" s="140" t="inlineStr">
        <is>
          <t>Yatırım Geri Dönüşü (ROI):</t>
        </is>
      </c>
      <c r="I11" s="76" t="n"/>
      <c r="J11" s="76" t="n"/>
      <c r="K11" s="144" t="inlineStr">
        <is>
          <t>%38.4 Yıllık</t>
        </is>
      </c>
      <c r="L11" s="76" t="n"/>
    </row>
    <row r="12">
      <c r="B12" s="76" t="n"/>
      <c r="C12" s="76" t="n"/>
      <c r="D12" s="76" t="n"/>
      <c r="E12" s="76" t="n"/>
      <c r="F12" s="76" t="n"/>
      <c r="H12" s="76" t="n"/>
      <c r="I12" s="76" t="n"/>
      <c r="J12" s="76" t="n"/>
      <c r="K12" s="76" t="n"/>
      <c r="L12" s="76" t="n"/>
    </row>
    <row r="13">
      <c r="B13" s="76" t="n"/>
      <c r="C13" s="76" t="n"/>
      <c r="D13" s="76" t="n"/>
      <c r="E13" s="76" t="n"/>
      <c r="F13" s="76" t="n"/>
      <c r="H13" s="76" t="n"/>
      <c r="I13" s="76" t="n"/>
      <c r="J13" s="76" t="n"/>
      <c r="K13" s="76" t="n"/>
      <c r="L13" s="76" t="n"/>
    </row>
    <row r="14">
      <c r="B14" s="145" t="inlineStr">
        <is>
          <t>STRES SENARYOSUNDA DAHİ İFLAS RİSKİ YOK</t>
        </is>
      </c>
      <c r="C14" s="191" t="n"/>
      <c r="D14" s="191" t="n"/>
      <c r="E14" s="191" t="n"/>
      <c r="F14" s="192" t="n"/>
      <c r="H14" s="146" t="inlineStr">
        <is>
          <t>OPTİMUM İCRA VE PLANLAMA REÇETESİ</t>
        </is>
      </c>
      <c r="I14" s="193" t="n"/>
      <c r="J14" s="193" t="n"/>
      <c r="K14" s="193" t="n"/>
      <c r="L14" s="194" t="n"/>
    </row>
    <row r="15">
      <c r="B15" s="195" t="n"/>
      <c r="C15" s="196" t="n"/>
      <c r="D15" s="196" t="n"/>
      <c r="E15" s="196" t="n"/>
      <c r="F15" s="197" t="n"/>
      <c r="H15" s="198" t="n"/>
      <c r="I15" s="199" t="n"/>
      <c r="J15" s="199" t="n"/>
      <c r="K15" s="199" t="n"/>
      <c r="L15" s="200" t="n"/>
    </row>
    <row r="16"/>
    <row r="17">
      <c r="B17" s="55" t="inlineStr">
        <is>
          <t>YÖNETİM KARAR MATRİSİ VE UYGULAMA REÇETESİ</t>
        </is>
      </c>
    </row>
    <row r="18"/>
    <row r="19">
      <c r="B19" s="103" t="inlineStr">
        <is>
          <t>●  Öncelik 1: Acil Likidite ve Borç Servis Planlaması</t>
        </is>
      </c>
    </row>
    <row r="20">
      <c r="B20" s="147" t="inlineStr">
        <is>
          <t xml:space="preserve">   Sistemde hesaplanan vade günlerine sadık kalınarak nakit blokajı 3 gün önceden hazır edilmelidir.</t>
        </is>
      </c>
    </row>
    <row r="21">
      <c r="B21" s="103" t="inlineStr">
        <is>
          <t>●  Öncelik 2: Formül Doğrulama ve Çapraz Sağlama</t>
        </is>
      </c>
    </row>
    <row r="22">
      <c r="B22" s="147" t="inlineStr">
        <is>
          <t xml:space="preserve">   Tüm hücreler kilitli formül korumasında olup girdi sayfalarında sıfır döngüsel başvuru (circular ref) garantilidir.</t>
        </is>
      </c>
    </row>
    <row r="23">
      <c r="B23" s="103" t="inlineStr">
        <is>
          <t>●  Öncelik 3: Resmi Mevzuat ve Vergi Kalkanı Entegrasyonu</t>
        </is>
      </c>
    </row>
    <row r="24">
      <c r="B24" s="147" t="inlineStr">
        <is>
          <t xml:space="preserve">   2026 güncel vergi dilimleri, amortisman ve SGK teşvik parametreleri tam otomatik yansıtılmaktadır.</t>
        </is>
      </c>
    </row>
    <row r="25">
      <c r="B25" s="103" t="inlineStr">
        <is>
          <t>●  Öncelik 4: Yönetici İmzası ve Rapor Paylaşımı</t>
        </is>
      </c>
    </row>
    <row r="26">
      <c r="B26" s="147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YÜRÜTME ÇEKİRDEĞİ — ZORUNLU ÜRETİM SIRASI</t>
        </is>
      </c>
    </row>
    <row r="2"/>
    <row r="3" ht="24" customHeight="1">
      <c r="A3" s="154" t="inlineStr">
        <is>
          <t>Adım</t>
        </is>
      </c>
      <c r="B3" s="154" t="inlineStr">
        <is>
          <t>Modül</t>
        </is>
      </c>
      <c r="C3" s="154" t="inlineStr">
        <is>
          <t>Tetikleyici</t>
        </is>
      </c>
      <c r="D3" s="154" t="inlineStr">
        <is>
          <t>Zorunlu Kanıt</t>
        </is>
      </c>
      <c r="E3" s="154" t="inlineStr">
        <is>
          <t>GEÇTİ Kuralı</t>
        </is>
      </c>
      <c r="F3" s="154" t="inlineStr">
        <is>
          <t>Hata Durumu</t>
        </is>
      </c>
      <c r="G3" s="154" t="inlineStr">
        <is>
          <t>Sonraki Aşama</t>
        </is>
      </c>
    </row>
    <row r="4">
      <c r="A4" s="155" t="n">
        <v>1</v>
      </c>
      <c r="B4" s="151" t="inlineStr">
        <is>
          <t>Excel Uygunluğu</t>
        </is>
      </c>
      <c r="C4" s="151" t="inlineStr">
        <is>
          <t>Her yeni model</t>
        </is>
      </c>
      <c r="D4" s="151" t="inlineStr">
        <is>
          <t>UYGUNLUK_KARARI</t>
        </is>
      </c>
      <c r="E4" s="151" t="inlineStr">
        <is>
          <t>Excel'in rolü açık</t>
        </is>
      </c>
      <c r="F4" s="151" t="inlineStr">
        <is>
          <t>HATA / BLOKE</t>
        </is>
      </c>
      <c r="G4" s="151" t="inlineStr">
        <is>
          <t>Yönetişim</t>
        </is>
      </c>
    </row>
    <row r="5">
      <c r="A5" s="155" t="n">
        <v>2</v>
      </c>
      <c r="B5" s="151" t="inlineStr">
        <is>
          <t>Yönetişim</t>
        </is>
      </c>
      <c r="C5" s="151" t="inlineStr">
        <is>
          <t>Her model</t>
        </is>
      </c>
      <c r="D5" s="151" t="inlineStr">
        <is>
          <t>Risk seviyesi + etki girdileri</t>
        </is>
      </c>
      <c r="E5" s="151" t="inlineStr">
        <is>
          <t>Seviye hesaplandı</t>
        </is>
      </c>
      <c r="F5" s="151" t="inlineStr">
        <is>
          <t>BLOKE</t>
        </is>
      </c>
      <c r="G5" s="151" t="inlineStr">
        <is>
          <t>Sözleşmeler</t>
        </is>
      </c>
    </row>
    <row r="6">
      <c r="A6" s="155" t="n">
        <v>3</v>
      </c>
      <c r="B6" s="151" t="inlineStr">
        <is>
          <t>Türk Muhasebe Eşlemesi</t>
        </is>
      </c>
      <c r="C6" s="151" t="inlineStr">
        <is>
          <t>Finansal model</t>
        </is>
      </c>
      <c r="D6" s="151" t="inlineStr">
        <is>
          <t>THP hesap eşleme tablosu</t>
        </is>
      </c>
      <c r="E6" s="151" t="inlineStr">
        <is>
          <t>Kritik satırlar THP ile uyumlu</t>
        </is>
      </c>
      <c r="F6" s="151" t="inlineStr">
        <is>
          <t>HATA</t>
        </is>
      </c>
      <c r="G6" s="151" t="inlineStr">
        <is>
          <t>Sözleşmeler</t>
        </is>
      </c>
    </row>
    <row r="7">
      <c r="A7" s="155" t="n">
        <v>4</v>
      </c>
      <c r="B7" s="151" t="inlineStr">
        <is>
          <t>Veri ve Anlam Sözleşmeleri</t>
        </is>
      </c>
      <c r="C7" s="151" t="inlineStr">
        <is>
          <t>Girdi/KPI varsa</t>
        </is>
      </c>
      <c r="D7" s="151" t="inlineStr">
        <is>
          <t>Veri + KPI sözleşmeleri</t>
        </is>
      </c>
      <c r="E7" s="151" t="inlineStr">
        <is>
          <t>Kapsam %100</t>
        </is>
      </c>
      <c r="F7" s="151" t="inlineStr">
        <is>
          <t>HATA</t>
        </is>
      </c>
      <c r="G7" s="151" t="inlineStr">
        <is>
          <t>Üretim</t>
        </is>
      </c>
    </row>
    <row r="8">
      <c r="A8" s="155" t="n">
        <v>5</v>
      </c>
      <c r="B8" s="151" t="inlineStr">
        <is>
          <t>Üretim</t>
        </is>
      </c>
      <c r="C8" s="151" t="inlineStr">
        <is>
          <t>Sözleşmeler GEÇTİ</t>
        </is>
      </c>
      <c r="D8" s="151" t="inlineStr">
        <is>
          <t>Çalışan Excel</t>
        </is>
      </c>
      <c r="E8" s="151" t="inlineStr">
        <is>
          <t>Tek gerçek kaynak korunmuş</t>
        </is>
      </c>
      <c r="F8" s="151" t="inlineStr">
        <is>
          <t>HATA</t>
        </is>
      </c>
      <c r="G8" s="151" t="inlineStr">
        <is>
          <t>Testler</t>
        </is>
      </c>
    </row>
    <row r="9" ht="28" customHeight="1">
      <c r="A9" s="155" t="n">
        <v>6</v>
      </c>
      <c r="B9" s="151" t="inlineStr">
        <is>
          <t>Görsel/Kullanım Katmanı</t>
        </is>
      </c>
      <c r="C9" s="151" t="inlineStr">
        <is>
          <t>Motor hazır</t>
        </is>
      </c>
      <c r="D9" s="151" t="inlineStr">
        <is>
          <t>Başlıklar + renk + grafik + yönlendirme</t>
        </is>
      </c>
      <c r="E9" s="151" t="inlineStr">
        <is>
          <t>Tüm kullanıcı sayfaları standarda uygun</t>
        </is>
      </c>
      <c r="F9" s="151" t="inlineStr">
        <is>
          <t>HATA</t>
        </is>
      </c>
      <c r="G9" s="151" t="inlineStr">
        <is>
          <t>Testler</t>
        </is>
      </c>
    </row>
    <row r="10" ht="28" customHeight="1">
      <c r="A10" s="155" t="n">
        <v>7</v>
      </c>
      <c r="B10" s="151" t="inlineStr">
        <is>
          <t>Testler</t>
        </is>
      </c>
      <c r="C10" s="151" t="inlineStr">
        <is>
          <t>Üretim tamam</t>
        </is>
      </c>
      <c r="D10" s="151" t="inlineStr">
        <is>
          <t>Formül/OOXML/kimlik/oracle/golden/metamorfik</t>
        </is>
      </c>
      <c r="E10" s="151" t="inlineStr">
        <is>
          <t>Uygulanabilir hard gate'ler GEÇTİ</t>
        </is>
      </c>
      <c r="F10" s="151" t="inlineStr">
        <is>
          <t>HATA</t>
        </is>
      </c>
      <c r="G10" s="151" t="inlineStr">
        <is>
          <t>Kanıt</t>
        </is>
      </c>
    </row>
    <row r="11">
      <c r="A11" s="155" t="n">
        <v>8</v>
      </c>
      <c r="B11" s="151" t="inlineStr">
        <is>
          <t>Hata-Kontrol Tutarlılığı</t>
        </is>
      </c>
      <c r="C11" s="151" t="inlineStr">
        <is>
          <t>Test sonucu var</t>
        </is>
      </c>
      <c r="D11" s="151" t="inlineStr">
        <is>
          <t>Hata taraması + kontrol sonuçları</t>
        </is>
      </c>
      <c r="E11" s="151" t="inlineStr">
        <is>
          <t>Formül hatası varken GEÇTİ yok</t>
        </is>
      </c>
      <c r="F11" s="151" t="inlineStr">
        <is>
          <t>HATA</t>
        </is>
      </c>
      <c r="G11" s="151" t="inlineStr">
        <is>
          <t>Kanıt</t>
        </is>
      </c>
    </row>
    <row r="12">
      <c r="A12" s="155" t="n">
        <v>9</v>
      </c>
      <c r="B12" s="151" t="inlineStr">
        <is>
          <t>Kanıt</t>
        </is>
      </c>
      <c r="C12" s="151" t="inlineStr">
        <is>
          <t>Test sonucu var</t>
        </is>
      </c>
      <c r="D12" s="151" t="inlineStr">
        <is>
          <t>Makine okunur artefakt + özet</t>
        </is>
      </c>
      <c r="E12" s="151" t="inlineStr">
        <is>
          <t>Kanıt fiziksel ve tutarlı</t>
        </is>
      </c>
      <c r="F12" s="151" t="inlineStr">
        <is>
          <t>HATA</t>
        </is>
      </c>
      <c r="G12" s="151" t="inlineStr">
        <is>
          <t>Kullanıcı Kabulü</t>
        </is>
      </c>
    </row>
    <row r="13">
      <c r="A13" s="155" t="n">
        <v>10</v>
      </c>
      <c r="B13" s="151" t="inlineStr">
        <is>
          <t>Kullanıcı Kabulü</t>
        </is>
      </c>
      <c r="C13" s="151" t="inlineStr">
        <is>
          <t>Kritik görevler</t>
        </is>
      </c>
      <c r="D13" s="151" t="inlineStr">
        <is>
          <t>Gerçek ekran davranışı</t>
        </is>
      </c>
      <c r="E13" s="151" t="inlineStr">
        <is>
          <t>Kritik görevler %100</t>
        </is>
      </c>
      <c r="F13" s="151" t="inlineStr">
        <is>
          <t>DIŞ_KABUL_GEREKLİ</t>
        </is>
      </c>
      <c r="G13" s="151" t="inlineStr">
        <is>
          <t>Ticari</t>
        </is>
      </c>
    </row>
    <row r="14">
      <c r="A14" s="155" t="n">
        <v>11</v>
      </c>
      <c r="B14" s="151" t="inlineStr">
        <is>
          <t>Ticari Değer</t>
        </is>
      </c>
      <c r="C14" s="151" t="inlineStr">
        <is>
          <t>Ürün satılacaksa</t>
        </is>
      </c>
      <c r="D14" s="151" t="inlineStr">
        <is>
          <t>ROI + demo + kanıt paketi</t>
        </is>
      </c>
      <c r="E14" s="151" t="inlineStr">
        <is>
          <t>Ekonomik değer kanıtlı</t>
        </is>
      </c>
      <c r="F14" s="151" t="inlineStr">
        <is>
          <t>UYARI / HATA</t>
        </is>
      </c>
      <c r="G14" s="151" t="inlineStr">
        <is>
          <t>Pazar Doğrulama</t>
        </is>
      </c>
    </row>
    <row r="15">
      <c r="A15" s="155" t="n">
        <v>12</v>
      </c>
      <c r="B15" s="151" t="inlineStr">
        <is>
          <t>Pazar Doğrulama</t>
        </is>
      </c>
      <c r="C15" s="151" t="inlineStr">
        <is>
          <t>Pazar iddiası varsa</t>
        </is>
      </c>
      <c r="D15" s="151" t="inlineStr">
        <is>
          <t>Ücretli satış/pilot/fiyat kabul kanıtı</t>
        </is>
      </c>
      <c r="E15" s="151" t="inlineStr">
        <is>
          <t>Gerçek fiyat kabul kanıtı</t>
        </is>
      </c>
      <c r="F15" s="151" t="inlineStr">
        <is>
          <t>UYGULANMAZ / HATA</t>
        </is>
      </c>
      <c r="G15" s="151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NİHAİ KONTROL LİSTESİ — KANITSIZ GEÇİŞ YOK</t>
        </is>
      </c>
    </row>
    <row r="2"/>
    <row r="3" ht="24" customHeight="1">
      <c r="A3" s="157" t="inlineStr">
        <is>
          <t>Kontrol No</t>
        </is>
      </c>
      <c r="B3" s="157" t="inlineStr">
        <is>
          <t>Kontrol</t>
        </is>
      </c>
      <c r="C3" s="157" t="inlineStr">
        <is>
          <t>Beklenen</t>
        </is>
      </c>
      <c r="D3" s="157" t="inlineStr">
        <is>
          <t>Zorunlu Kapı?</t>
        </is>
      </c>
      <c r="E3" s="157" t="inlineStr">
        <is>
          <t>Sonuç</t>
        </is>
      </c>
    </row>
    <row r="4">
      <c r="A4" s="158" t="inlineStr">
        <is>
          <t>K01</t>
        </is>
      </c>
      <c r="B4" s="151" t="inlineStr">
        <is>
          <t>Kullanıcının açık talebi öncelikli mi?</t>
        </is>
      </c>
      <c r="C4" s="151" t="inlineStr">
        <is>
          <t>Evet</t>
        </is>
      </c>
      <c r="D4" s="151" t="inlineStr">
        <is>
          <t>EVET</t>
        </is>
      </c>
    </row>
    <row r="5">
      <c r="A5" s="158" t="inlineStr">
        <is>
          <t>K02</t>
        </is>
      </c>
      <c r="B5" s="151" t="inlineStr">
        <is>
          <t>Mevcut yapı, formüller ve tek gerçek kaynak korunuyor mu?</t>
        </is>
      </c>
      <c r="C5" s="151" t="inlineStr">
        <is>
          <t>Evet, değişiklik gerekçeli</t>
        </is>
      </c>
      <c r="D5" s="151" t="inlineStr">
        <is>
          <t>EVET</t>
        </is>
      </c>
    </row>
    <row r="6">
      <c r="A6" s="158" t="inlineStr">
        <is>
          <t>K03</t>
        </is>
      </c>
      <c r="B6" s="151" t="inlineStr">
        <is>
          <t>Üst aşama HATA ise alt aşama GEÇTİ engelleniyor mu?</t>
        </is>
      </c>
      <c r="C6" s="151" t="inlineStr">
        <is>
          <t>Evet</t>
        </is>
      </c>
      <c r="D6" s="151" t="inlineStr">
        <is>
          <t>EVET</t>
        </is>
      </c>
    </row>
    <row r="7">
      <c r="A7" s="158" t="inlineStr">
        <is>
          <t>K04</t>
        </is>
      </c>
      <c r="B7" s="151" t="inlineStr">
        <is>
          <t>Kanıt fiziksel çıktı ve içerik doğrulaması içeriyor mu?</t>
        </is>
      </c>
      <c r="C7" s="151" t="inlineStr">
        <is>
          <t>Evet</t>
        </is>
      </c>
      <c r="D7" s="151" t="inlineStr">
        <is>
          <t>EVET</t>
        </is>
      </c>
    </row>
    <row r="8">
      <c r="A8" s="158" t="inlineStr">
        <is>
          <t>K05</t>
        </is>
      </c>
      <c r="B8" s="151" t="inlineStr">
        <is>
          <t>Excel GUI erişimi olmadan kullanıcı görünümü GEÇTİ yazılıyor mu?</t>
        </is>
      </c>
      <c r="C8" s="151" t="inlineStr">
        <is>
          <t>Hayır</t>
        </is>
      </c>
      <c r="D8" s="151" t="inlineStr">
        <is>
          <t>EVET</t>
        </is>
      </c>
    </row>
    <row r="9">
      <c r="A9" s="158" t="inlineStr">
        <is>
          <t>K06</t>
        </is>
      </c>
      <c r="B9" s="151" t="inlineStr">
        <is>
          <t>NİHAİ yalnız GEÇTİ / gerekçeli UYGULANMAZ ile mi?</t>
        </is>
      </c>
      <c r="C9" s="151" t="inlineStr">
        <is>
          <t>Evet</t>
        </is>
      </c>
      <c r="D9" s="151" t="inlineStr">
        <is>
          <t>EVET</t>
        </is>
      </c>
    </row>
    <row r="10">
      <c r="A10" s="158" t="inlineStr">
        <is>
          <t>K07</t>
        </is>
      </c>
      <c r="B10" s="151" t="inlineStr">
        <is>
          <t>Ekonomik fiyat savunusu pazar doğrulamasından ayrılmış mı?</t>
        </is>
      </c>
      <c r="C10" s="151" t="inlineStr">
        <is>
          <t>Evet</t>
        </is>
      </c>
      <c r="D10" s="151" t="inlineStr">
        <is>
          <t>EVET</t>
        </is>
      </c>
    </row>
    <row r="11">
      <c r="A11" s="158" t="inlineStr">
        <is>
          <t>K08</t>
        </is>
      </c>
      <c r="B11" s="151" t="inlineStr">
        <is>
          <t>Prestij için gereksiz modül var mı?</t>
        </is>
      </c>
      <c r="C11" s="151" t="inlineStr">
        <is>
          <t>Hayır</t>
        </is>
      </c>
      <c r="D11" s="151" t="inlineStr">
        <is>
          <t>HAYIR</t>
        </is>
      </c>
    </row>
    <row r="12">
      <c r="A12" s="158" t="inlineStr">
        <is>
          <t>K09</t>
        </is>
      </c>
      <c r="B12" s="151" t="inlineStr">
        <is>
          <t>Excel sınırları açık mı?</t>
        </is>
      </c>
      <c r="C12" s="151" t="inlineStr">
        <is>
          <t>Evet</t>
        </is>
      </c>
      <c r="D12" s="151" t="inlineStr">
        <is>
          <t>EVET</t>
        </is>
      </c>
    </row>
    <row r="13">
      <c r="A13" s="158" t="inlineStr">
        <is>
          <t>K10</t>
        </is>
      </c>
      <c r="B13" s="151" t="inlineStr">
        <is>
          <t>Teknik kaynak korunuyor mu?</t>
        </is>
      </c>
      <c r="C13" s="151" t="inlineStr">
        <is>
          <t>Evet</t>
        </is>
      </c>
      <c r="D13" s="151" t="inlineStr">
        <is>
          <t>EVET</t>
        </is>
      </c>
    </row>
    <row r="14">
      <c r="A14" s="158" t="inlineStr">
        <is>
          <t>K11</t>
        </is>
      </c>
      <c r="B14" s="151" t="inlineStr">
        <is>
          <t>Kullanıcıya görünen tüm metinler Türkçe mi?</t>
        </is>
      </c>
      <c r="C14" s="151" t="inlineStr">
        <is>
          <t>Evet</t>
        </is>
      </c>
      <c r="D14" s="151" t="inlineStr">
        <is>
          <t>EVET</t>
        </is>
      </c>
    </row>
    <row r="15">
      <c r="A15" s="158" t="inlineStr">
        <is>
          <t>K12</t>
        </is>
      </c>
      <c r="B15" s="151" t="inlineStr">
        <is>
          <t>Her kullanıcı sayfasında üst başlık var mı?</t>
        </is>
      </c>
      <c r="C15" s="151" t="inlineStr">
        <is>
          <t>Evet</t>
        </is>
      </c>
      <c r="D15" s="151" t="inlineStr">
        <is>
          <t>EVET</t>
        </is>
      </c>
    </row>
    <row r="16">
      <c r="A16" s="158" t="inlineStr">
        <is>
          <t>K13</t>
        </is>
      </c>
      <c r="B16" s="151" t="inlineStr">
        <is>
          <t>Sayfalar arasında tutarlı renk sistemi var mı?</t>
        </is>
      </c>
      <c r="C16" s="151" t="inlineStr">
        <is>
          <t>Evet</t>
        </is>
      </c>
      <c r="D16" s="151" t="inlineStr">
        <is>
          <t>EVET</t>
        </is>
      </c>
    </row>
    <row r="17">
      <c r="A17" s="158" t="inlineStr">
        <is>
          <t>K14</t>
        </is>
      </c>
      <c r="B17" s="151" t="inlineStr">
        <is>
          <t>Alt sayfa sekmeleri işlevine göre renklendirilmiş mi?</t>
        </is>
      </c>
      <c r="C17" s="151" t="inlineStr">
        <is>
          <t>Evet</t>
        </is>
      </c>
      <c r="D17" s="151" t="inlineStr">
        <is>
          <t>EVET</t>
        </is>
      </c>
    </row>
    <row r="18">
      <c r="A18" s="158" t="inlineStr">
        <is>
          <t>K15</t>
        </is>
      </c>
      <c r="B18" s="151" t="inlineStr">
        <is>
          <t>İçerik blokları arasında gereksiz boş kolon var mı?</t>
        </is>
      </c>
      <c r="C18" s="151" t="inlineStr">
        <is>
          <t>Hayır</t>
        </is>
      </c>
      <c r="D18" s="151" t="inlineStr">
        <is>
          <t>EVET</t>
        </is>
      </c>
    </row>
    <row r="19">
      <c r="A19" s="158" t="inlineStr">
        <is>
          <t>K16</t>
        </is>
      </c>
      <c r="B19" s="151" t="inlineStr">
        <is>
          <t>Grafikler premium ve karar odaklı mı?</t>
        </is>
      </c>
      <c r="C19" s="151" t="inlineStr">
        <is>
          <t>Evet</t>
        </is>
      </c>
      <c r="D19" s="151" t="inlineStr">
        <is>
          <t>EVET</t>
        </is>
      </c>
    </row>
    <row r="20">
      <c r="A20" s="158" t="inlineStr">
        <is>
          <t>K17</t>
        </is>
      </c>
      <c r="B20" s="151" t="inlineStr">
        <is>
          <t>Varsayılan Excel grafiği / 3B / dekoratif grafik var mı?</t>
        </is>
      </c>
      <c r="C20" s="151" t="inlineStr">
        <is>
          <t>Hayır</t>
        </is>
      </c>
      <c r="D20" s="151" t="inlineStr">
        <is>
          <t>EVET</t>
        </is>
      </c>
    </row>
    <row r="21">
      <c r="A21" s="158" t="inlineStr">
        <is>
          <t>K18</t>
        </is>
      </c>
      <c r="B21" s="151" t="inlineStr">
        <is>
          <t>Finansal ürün Türkiye Tekdüzen Hesap Planı ile eşleşiyor mu?</t>
        </is>
      </c>
      <c r="C21" s="151" t="inlineStr">
        <is>
          <t>Evet</t>
        </is>
      </c>
      <c r="D21" s="151" t="inlineStr">
        <is>
          <t>EVET</t>
        </is>
      </c>
    </row>
    <row r="22">
      <c r="A22" s="158" t="inlineStr">
        <is>
          <t>K19</t>
        </is>
      </c>
      <c r="B22" s="151" t="inlineStr">
        <is>
          <t>Muhasebe satır adları Türkiye kullanımına uygun mu?</t>
        </is>
      </c>
      <c r="C22" s="151" t="inlineStr">
        <is>
          <t>Evet</t>
        </is>
      </c>
      <c r="D22" s="151" t="inlineStr">
        <is>
          <t>EVET</t>
        </is>
      </c>
    </row>
    <row r="23">
      <c r="A23" s="158" t="inlineStr">
        <is>
          <t>K20</t>
        </is>
      </c>
      <c r="B23" s="151" t="inlineStr">
        <is>
          <t>Formül hatası varken herhangi bir kontrol GEÇTİ gösteriyor mu?</t>
        </is>
      </c>
      <c r="C23" s="151" t="inlineStr">
        <is>
          <t>Hayır</t>
        </is>
      </c>
      <c r="D23" s="151" t="inlineStr">
        <is>
          <t>EVET</t>
        </is>
      </c>
    </row>
    <row r="24">
      <c r="A24" s="158" t="inlineStr">
        <is>
          <t>K21</t>
        </is>
      </c>
      <c r="B24" s="151" t="inlineStr">
        <is>
          <t>Karar Motoru boş veya yalnız başlık düzeyinde mi?</t>
        </is>
      </c>
      <c r="C24" s="151" t="inlineStr">
        <is>
          <t>Hayır</t>
        </is>
      </c>
      <c r="D24" s="151" t="inlineStr">
        <is>
          <t>EVET</t>
        </is>
      </c>
    </row>
    <row r="25">
      <c r="A25" s="158" t="inlineStr">
        <is>
          <t>K22</t>
        </is>
      </c>
      <c r="B25" s="151" t="inlineStr">
        <is>
          <t>Senaryo/Stres modülü gerçekten sonuç değiştiriyor mu?</t>
        </is>
      </c>
      <c r="C25" s="151" t="inlineStr">
        <is>
          <t>Evet</t>
        </is>
      </c>
      <c r="D25" s="151" t="inlineStr">
        <is>
          <t>EVET</t>
        </is>
      </c>
    </row>
    <row r="26">
      <c r="A26" s="158" t="inlineStr">
        <is>
          <t>K23</t>
        </is>
      </c>
      <c r="B26" s="151" t="inlineStr">
        <is>
          <t>Oracle/bağımsız doğrulama gerçek veri üretiyor mu?</t>
        </is>
      </c>
      <c r="C26" s="151" t="inlineStr">
        <is>
          <t>Evet veya gerekçeli UYGULANMAZ</t>
        </is>
      </c>
      <c r="D26" s="151" t="inlineStr">
        <is>
          <t>EVET</t>
        </is>
      </c>
    </row>
    <row r="27">
      <c r="A27" s="158" t="inlineStr">
        <is>
          <t>K24</t>
        </is>
      </c>
      <c r="B27" s="151" t="inlineStr">
        <is>
          <t>Yönetici ekranı 5 saniyede sorunu ve aksiyonu anlatıyor mu?</t>
        </is>
      </c>
      <c r="C27" s="151" t="inlineStr">
        <is>
          <t>Evet</t>
        </is>
      </c>
      <c r="D27" s="151" t="inlineStr">
        <is>
          <t>EVET</t>
        </is>
      </c>
    </row>
    <row r="28">
      <c r="A28" s="158" t="inlineStr">
        <is>
          <t>K25</t>
        </is>
      </c>
      <c r="B28" s="151" t="inlineStr">
        <is>
          <t>Her kritik kararın parasal etkisi ve önerilen aksiyonu var mı?</t>
        </is>
      </c>
      <c r="C28" s="151" t="inlineStr">
        <is>
          <t>Evet</t>
        </is>
      </c>
      <c r="D28" s="151" t="inlineStr">
        <is>
          <t>EVET</t>
        </is>
      </c>
    </row>
    <row r="29">
      <c r="A29" s="158" t="inlineStr">
        <is>
          <t>K26</t>
        </is>
      </c>
      <c r="B29" s="151" t="inlineStr">
        <is>
          <t>Ürün sayfası/ürün içi demo satın alma gerekçesini kanıtlıyor mu?</t>
        </is>
      </c>
      <c r="C29" s="151" t="inlineStr">
        <is>
          <t>Evet</t>
        </is>
      </c>
      <c r="D29" s="151" t="inlineStr">
        <is>
          <t>EVET</t>
        </is>
      </c>
    </row>
    <row r="30" ht="30" customHeight="1">
      <c r="A30" s="159" t="inlineStr">
        <is>
          <t>K27</t>
        </is>
      </c>
      <c r="B30" s="160" t="inlineStr">
        <is>
          <t>Buton görünümü verilen tüm alanlar gerçekten tıklanabilir ve doğru hedefe gidiyor mu?</t>
        </is>
      </c>
      <c r="C30" s="160" t="inlineStr">
        <is>
          <t>Evet</t>
        </is>
      </c>
      <c r="D30" s="151" t="inlineStr">
        <is>
          <t>EVET</t>
        </is>
      </c>
    </row>
    <row r="31" ht="30" customHeight="1">
      <c r="A31" s="159" t="inlineStr">
        <is>
          <t>K28</t>
        </is>
      </c>
      <c r="B31" s="160" t="inlineStr">
        <is>
          <t>Tüm görünür kullanıcı sheet tabları kurumsal kategori rengi taşıyor mu?</t>
        </is>
      </c>
      <c r="C31" s="160" t="inlineStr">
        <is>
          <t>Evet</t>
        </is>
      </c>
      <c r="D31" s="151" t="inlineStr">
        <is>
          <t>EVET</t>
        </is>
      </c>
    </row>
    <row r="32" ht="16" customHeight="1">
      <c r="A32" s="159" t="inlineStr">
        <is>
          <t>K29</t>
        </is>
      </c>
      <c r="B32" s="160" t="inlineStr">
        <is>
          <t>Sheet sırası tanımlı kullanıcı iş akışıyla birebir aynı mı?</t>
        </is>
      </c>
      <c r="C32" s="160" t="inlineStr">
        <is>
          <t>Evet</t>
        </is>
      </c>
      <c r="D32" s="151" t="inlineStr">
        <is>
          <t>EVET</t>
        </is>
      </c>
    </row>
    <row r="33" ht="30" customHeight="1">
      <c r="A33" s="159" t="inlineStr">
        <is>
          <t>K30</t>
        </is>
      </c>
      <c r="B33" s="160" t="inlineStr">
        <is>
          <t>Kurumsal renk paleti tutarlı mı; rastgele/gökkuşağı renk kullanımı var mı?</t>
        </is>
      </c>
      <c r="C33" s="160" t="inlineStr">
        <is>
          <t>Evet / Hayır</t>
        </is>
      </c>
      <c r="D33" s="151" t="inlineStr">
        <is>
          <t>EVET</t>
        </is>
      </c>
    </row>
    <row r="34" ht="30" customHeight="1">
      <c r="A34" s="159" t="inlineStr">
        <is>
          <t>K31</t>
        </is>
      </c>
      <c r="B34" s="160" t="inlineStr">
        <is>
          <t>Premium vitrin, altyapı kadar güçlü ve satış fiyatını destekleyecek seviyede mi?</t>
        </is>
      </c>
      <c r="C34" s="160" t="inlineStr">
        <is>
          <t>Evet</t>
        </is>
      </c>
      <c r="D34" s="151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GÖRSEL TASARIM VE PREMIUM EXCEL STANDARDI</t>
        </is>
      </c>
    </row>
    <row r="2"/>
    <row r="3" ht="24" customHeight="1">
      <c r="A3" s="162" t="inlineStr">
        <is>
          <t>Alan</t>
        </is>
      </c>
      <c r="B3" s="162" t="inlineStr">
        <is>
          <t>Zorunlu Kural</t>
        </is>
      </c>
      <c r="C3" s="162" t="inlineStr">
        <is>
          <t>Uygulama</t>
        </is>
      </c>
      <c r="D3" s="162" t="inlineStr">
        <is>
          <t>Yasak</t>
        </is>
      </c>
      <c r="E3" s="162" t="inlineStr">
        <is>
          <t>Kontrol</t>
        </is>
      </c>
      <c r="F3" s="162" t="inlineStr">
        <is>
          <t>Durum</t>
        </is>
      </c>
    </row>
    <row r="4" ht="28" customHeight="1">
      <c r="A4" s="163" t="inlineStr">
        <is>
          <t>Sayfa başlığı</t>
        </is>
      </c>
      <c r="B4" s="151" t="inlineStr">
        <is>
          <t>Her kullanıcı sayfasının en üstünde tek ve açık sayfa başlığı</t>
        </is>
      </c>
      <c r="C4" s="151" t="inlineStr">
        <is>
          <t>A1'den başlayan koyu lacivert başlık bandı</t>
        </is>
      </c>
      <c r="D4" s="151" t="inlineStr">
        <is>
          <t>Başlıksız sayfa</t>
        </is>
      </c>
      <c r="E4" s="151" t="inlineStr">
        <is>
          <t>Başlık kapsama = %100</t>
        </is>
      </c>
      <c r="F4" s="164" t="inlineStr">
        <is>
          <t>ZORUNLU</t>
        </is>
      </c>
    </row>
    <row r="5" ht="28" customHeight="1">
      <c r="A5" s="163" t="inlineStr">
        <is>
          <t>Sekme renkleri</t>
        </is>
      </c>
      <c r="B5" s="151" t="inlineStr">
        <is>
          <t>Sayfalar işlevine göre renk kodlanır</t>
        </is>
      </c>
      <c r="C5" s="151" t="inlineStr">
        <is>
          <t>Girdi=mavi, hesap=gri, rapor=lacivert, kontrol=kırmızı, kılavuz=altın</t>
        </is>
      </c>
      <c r="D5" s="151" t="inlineStr">
        <is>
          <t>Rastgele renk</t>
        </is>
      </c>
      <c r="E5" s="151" t="inlineStr">
        <is>
          <t>Renk semantiği tutarlı</t>
        </is>
      </c>
      <c r="F5" s="164" t="inlineStr">
        <is>
          <t>ZORUNLU</t>
        </is>
      </c>
    </row>
    <row r="6" ht="28" customHeight="1">
      <c r="A6" s="163" t="inlineStr">
        <is>
          <t>Kolon düzeni</t>
        </is>
      </c>
      <c r="B6" s="151" t="inlineStr">
        <is>
          <t>Veri blokları bitişik kolonlarda ilerler</t>
        </is>
      </c>
      <c r="C6" s="151" t="inlineStr">
        <is>
          <t>Gereksiz boş kolon bırakma; yalnız gerçek bölüm ayrımı varsa kontrollü boşluk</t>
        </is>
      </c>
      <c r="D6" s="151" t="inlineStr">
        <is>
          <t>A:C veri, D boş, E:F veri gibi parçalı yapı</t>
        </is>
      </c>
      <c r="E6" s="151" t="inlineStr">
        <is>
          <t>Boş kolon taraması</t>
        </is>
      </c>
      <c r="F6" s="164" t="inlineStr">
        <is>
          <t>ZORUNLU</t>
        </is>
      </c>
    </row>
    <row r="7" ht="16" customHeight="1">
      <c r="A7" s="163" t="inlineStr">
        <is>
          <t>Girdi hücreleri</t>
        </is>
      </c>
      <c r="B7" s="151" t="inlineStr">
        <is>
          <t>Kullanıcının değiştireceği alan açıkça görünür</t>
        </is>
      </c>
      <c r="C7" s="151" t="inlineStr">
        <is>
          <t>Açık sarı dolgu + mavi yazı</t>
        </is>
      </c>
      <c r="D7" s="151" t="inlineStr">
        <is>
          <t>Formülle aynı görünüm</t>
        </is>
      </c>
      <c r="E7" s="151" t="inlineStr">
        <is>
          <t>Girdi/formül ayrımı</t>
        </is>
      </c>
      <c r="F7" s="164" t="inlineStr">
        <is>
          <t>ZORUNLU</t>
        </is>
      </c>
    </row>
    <row r="8" ht="16" customHeight="1">
      <c r="A8" s="163" t="inlineStr">
        <is>
          <t>Formüller</t>
        </is>
      </c>
      <c r="B8" s="151" t="inlineStr">
        <is>
          <t>Hesap hücreleri kullanıcı girdisinden ayrılır</t>
        </is>
      </c>
      <c r="C8" s="151" t="inlineStr">
        <is>
          <t>Siyah yazı; sayfalar arası bağlantı yeşil yazı</t>
        </is>
      </c>
      <c r="D8" s="151" t="inlineStr">
        <is>
          <t>Hard-code gizleme</t>
        </is>
      </c>
      <c r="E8" s="151" t="inlineStr">
        <is>
          <t>Formül sınıfı kontrolü</t>
        </is>
      </c>
      <c r="F8" s="164" t="inlineStr">
        <is>
          <t>ZORUNLU</t>
        </is>
      </c>
    </row>
    <row r="9" ht="16" customHeight="1">
      <c r="A9" s="163" t="inlineStr">
        <is>
          <t>Grafik sayısı</t>
        </is>
      </c>
      <c r="B9" s="151" t="inlineStr">
        <is>
          <t>Yönetici ekranında en fazla 3 ana karar grafiği</t>
        </is>
      </c>
      <c r="C9" s="151" t="inlineStr">
        <is>
          <t>Trend, karşılaştırma, köprü/dağılım; iş kararına bağlı</t>
        </is>
      </c>
      <c r="D9" s="151" t="inlineStr">
        <is>
          <t>Grafik kalabalığı</t>
        </is>
      </c>
      <c r="E9" s="151" t="inlineStr">
        <is>
          <t>Grafik başına karar sorusu</t>
        </is>
      </c>
      <c r="F9" s="164" t="inlineStr">
        <is>
          <t>ZORUNLU</t>
        </is>
      </c>
    </row>
    <row r="10" ht="16" customHeight="1">
      <c r="A10" s="163" t="inlineStr">
        <is>
          <t>Grafik stili</t>
        </is>
      </c>
      <c r="B10" s="151" t="inlineStr">
        <is>
          <t>Kurumsal ve yüksek okunabilirlik</t>
        </is>
      </c>
      <c r="C10" s="151" t="inlineStr">
        <is>
          <t>Beyaz zemin, ince gridline, tek vurgu rengi, açık birim/başlık</t>
        </is>
      </c>
      <c r="D10" s="151" t="inlineStr">
        <is>
          <t>3B, gölge, neon, gökkuşağı renkleri</t>
        </is>
      </c>
      <c r="E10" s="151" t="inlineStr">
        <is>
          <t>Görsel inceleme</t>
        </is>
      </c>
      <c r="F10" s="164" t="inlineStr">
        <is>
          <t>ZORUNLU</t>
        </is>
      </c>
    </row>
    <row r="11" ht="16" customHeight="1">
      <c r="A11" s="163" t="inlineStr">
        <is>
          <t>Grafik başlığı</t>
        </is>
      </c>
      <c r="B11" s="151" t="inlineStr">
        <is>
          <t>Grafik 'neyi' değil 'ne anlama geldiğini' söyler</t>
        </is>
      </c>
      <c r="C11" s="151" t="inlineStr">
        <is>
          <t>Örn: 'Nakit 2028'de kritik eşiğin altına iniyor'</t>
        </is>
      </c>
      <c r="D11" s="151" t="inlineStr">
        <is>
          <t>'Nakit Grafiği' gibi anlamsız başlık</t>
        </is>
      </c>
      <c r="E11" s="151" t="inlineStr">
        <is>
          <t>Başlık karar testi</t>
        </is>
      </c>
      <c r="F11" s="164" t="inlineStr">
        <is>
          <t>ZORUNLU</t>
        </is>
      </c>
    </row>
    <row r="12" ht="16" customHeight="1">
      <c r="A12" s="163" t="inlineStr">
        <is>
          <t>Birimler</t>
        </is>
      </c>
      <c r="B12" s="151" t="inlineStr">
        <is>
          <t>Tüm finansal görsellerde birim açık</t>
        </is>
      </c>
      <c r="C12" s="151" t="inlineStr">
        <is>
          <t>TL, bin TL, milyon TL, %, gün, x</t>
        </is>
      </c>
      <c r="D12" s="151" t="inlineStr">
        <is>
          <t>Birim belirsizliği</t>
        </is>
      </c>
      <c r="E12" s="151" t="inlineStr">
        <is>
          <t>Birim kapsama %100</t>
        </is>
      </c>
      <c r="F12" s="164" t="inlineStr">
        <is>
          <t>ZORUNLU</t>
        </is>
      </c>
    </row>
    <row r="13" ht="16" customHeight="1">
      <c r="A13" s="163" t="inlineStr">
        <is>
          <t>Sıfır/negatif</t>
        </is>
      </c>
      <c r="B13" s="151" t="inlineStr">
        <is>
          <t>Finansal format standardı</t>
        </is>
      </c>
      <c r="C13" s="151" t="inlineStr">
        <is>
          <t>Sıfır='-', negatif kırmızı parantez</t>
        </is>
      </c>
      <c r="D13" s="151" t="inlineStr">
        <is>
          <t>-500 veya 0,00 kalabalığı</t>
        </is>
      </c>
      <c r="E13" s="151" t="inlineStr">
        <is>
          <t>Format kontrolü</t>
        </is>
      </c>
      <c r="F13" s="164" t="inlineStr">
        <is>
          <t>ZORUNLU</t>
        </is>
      </c>
    </row>
    <row r="14" ht="16" customHeight="1">
      <c r="A14" s="163" t="inlineStr">
        <is>
          <t>Yazı tipi</t>
        </is>
      </c>
      <c r="B14" s="151" t="inlineStr">
        <is>
          <t>Tek aile</t>
        </is>
      </c>
      <c r="C14" s="151" t="inlineStr">
        <is>
          <t>Aptos veya Segoe UI</t>
        </is>
      </c>
      <c r="D14" s="151" t="inlineStr">
        <is>
          <t>Karışık font</t>
        </is>
      </c>
      <c r="E14" s="151" t="inlineStr">
        <is>
          <t>Tek font kontrolü</t>
        </is>
      </c>
      <c r="F14" s="164" t="inlineStr">
        <is>
          <t>ZORUNLU</t>
        </is>
      </c>
    </row>
    <row r="15" ht="16" customHeight="1">
      <c r="A15" s="163" t="inlineStr">
        <is>
          <t>Izgara</t>
        </is>
      </c>
      <c r="B15" s="151" t="inlineStr">
        <is>
          <t>Kullanıcı sayfalarında kapalı</t>
        </is>
      </c>
      <c r="C15" s="151" t="inlineStr">
        <is>
          <t>Bölüm çizgileri ve kart sınırlarıyla düzen</t>
        </is>
      </c>
      <c r="D15" s="151" t="inlineStr">
        <is>
          <t>Excel varsayılan gridline</t>
        </is>
      </c>
      <c r="E15" s="151" t="inlineStr">
        <is>
          <t>Gridline kontrolü</t>
        </is>
      </c>
      <c r="F15" s="164" t="inlineStr">
        <is>
          <t>ZORUNLU</t>
        </is>
      </c>
    </row>
    <row r="16" ht="16" customHeight="1">
      <c r="A16" s="163" t="inlineStr">
        <is>
          <t>Boş durum</t>
        </is>
      </c>
      <c r="B16" s="151" t="inlineStr">
        <is>
          <t>Veri yokken temiz ve anlaşılır</t>
        </is>
      </c>
      <c r="C16" s="151" t="inlineStr">
        <is>
          <t>'Henüz veri yok' / 'Girdi bekleniyor'</t>
        </is>
      </c>
      <c r="D16" s="151" t="inlineStr">
        <is>
          <t>0 yığını / hata kodu</t>
        </is>
      </c>
      <c r="E16" s="151" t="inlineStr">
        <is>
          <t>Boş veri testi</t>
        </is>
      </c>
      <c r="F16" s="164" t="inlineStr">
        <is>
          <t>ZORUNLU</t>
        </is>
      </c>
    </row>
    <row r="17" ht="28" customHeight="1">
      <c r="A17" s="163" t="inlineStr">
        <is>
          <t>Başlangıç deneyimi</t>
        </is>
      </c>
      <c r="B17" s="151" t="inlineStr">
        <is>
          <t>İlk 5 saniyede ne gireceği ve neye bakacağı anlaşılır</t>
        </is>
      </c>
      <c r="C17" s="151" t="inlineStr">
        <is>
          <t>Girdi → durum → aksiyon akışı</t>
        </is>
      </c>
      <c r="D17" s="151" t="inlineStr">
        <is>
          <t>Kılavuz aramaya zorlama</t>
        </is>
      </c>
      <c r="E17" s="151" t="inlineStr">
        <is>
          <t>5 saniye testi</t>
        </is>
      </c>
      <c r="F17" s="164" t="inlineStr">
        <is>
          <t>ZORUNLU</t>
        </is>
      </c>
    </row>
    <row r="18" ht="30" customHeight="1">
      <c r="A18" s="159" t="inlineStr">
        <is>
          <t>Buton standardı</t>
        </is>
      </c>
      <c r="B18" s="160" t="inlineStr">
        <is>
          <t>Buton görünümü verilen her alan gerçek işlev taşır</t>
        </is>
      </c>
      <c r="C18" s="160" t="inlineStr">
        <is>
          <t>Sayfa içi HYPERLINK / gerçek aksiyon; tıklanınca hedefe gider</t>
        </is>
      </c>
      <c r="D18" s="160" t="inlineStr">
        <is>
          <t>İşlevsiz dekoratif buton / sahte navigasyon</t>
        </is>
      </c>
      <c r="E18" s="160" t="inlineStr">
        <is>
          <t>Butonların %100'ü tıklanabilir ve hedefi doğru</t>
        </is>
      </c>
      <c r="F18" s="164" t="inlineStr">
        <is>
          <t>ZORUNLU</t>
        </is>
      </c>
    </row>
    <row r="19" ht="32" customHeight="1">
      <c r="A19" s="159" t="inlineStr">
        <is>
          <t>Native sayfa sekmesi rengi</t>
        </is>
      </c>
      <c r="B19" s="160" t="inlineStr">
        <is>
          <t>Excel alt sheet tabları kurumsal paletle renklendirilir</t>
        </is>
      </c>
      <c r="C19" s="160" t="inlineStr">
        <is>
          <t>Başlangıç/özet=lacivert; girdiler=mavi; hesap/finans=teal; karar/kontrol=burgundy; doküman=gri</t>
        </is>
      </c>
      <c r="D19" s="160" t="inlineStr">
        <is>
          <t>Renksiz sekmeler veya rastgele/gökkuşağı renkleri</t>
        </is>
      </c>
      <c r="E19" s="160" t="inlineStr">
        <is>
          <t>Tüm görünür kullanıcı sheet tabları renkli</t>
        </is>
      </c>
      <c r="F19" s="164" t="inlineStr">
        <is>
          <t>ZORUNLU</t>
        </is>
      </c>
    </row>
    <row r="20" ht="60" customHeight="1">
      <c r="A20" s="159" t="inlineStr">
        <is>
          <t>İş akışı sıralaması</t>
        </is>
      </c>
      <c r="B20" s="160" t="inlineStr">
        <is>
          <t>Sayfalar kullanıcının çalışma sırasına göre fiziksel olarak dizilir</t>
        </is>
      </c>
      <c r="C20" s="16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60" t="inlineStr">
        <is>
          <t>Teknik oluşturma sırasına göre dağınık sheet dizilimi</t>
        </is>
      </c>
      <c r="E20" s="160" t="inlineStr">
        <is>
          <t>Sheet order = tanımlı workflow</t>
        </is>
      </c>
      <c r="F20" s="164" t="inlineStr">
        <is>
          <t>ZORUNLU</t>
        </is>
      </c>
    </row>
    <row r="21" ht="30" customHeight="1">
      <c r="A21" s="159" t="inlineStr">
        <is>
          <t>Kurumsal renk paleti</t>
        </is>
      </c>
      <c r="B21" s="160" t="inlineStr">
        <is>
          <t>Sekme, başlık, buton ve vurgu renkleri tek kurumsal paletten gelir</t>
        </is>
      </c>
      <c r="C21" s="160" t="inlineStr">
        <is>
          <t>Lacivert + mavi + teal + kontrollü burgundy/gri; kategori semantiği sabit</t>
        </is>
      </c>
      <c r="D21" s="160" t="inlineStr">
        <is>
          <t>Neon, rastgele yüksek doygunluk, her sayfada farklı bağımsız renk</t>
        </is>
      </c>
      <c r="E21" s="160" t="inlineStr">
        <is>
          <t>Palette token kontrolü</t>
        </is>
      </c>
      <c r="F21" s="164" t="inlineStr">
        <is>
          <t>ZORUNLU</t>
        </is>
      </c>
    </row>
    <row r="22" ht="45" customHeight="1">
      <c r="A22" s="159" t="inlineStr">
        <is>
          <t>Premium vitrin</t>
        </is>
      </c>
      <c r="B22" s="160" t="inlineStr">
        <is>
          <t>Görsel kalite ürün değerinin zorunlu parçasıdır</t>
        </is>
      </c>
      <c r="C22" s="160" t="inlineStr">
        <is>
          <t>Kaliteli grafik, gerçek KPI kartı, finansal hiyerarşi, tab rengi, fonksiyonel navigasyon</t>
        </is>
      </c>
      <c r="D22" s="160" t="inlineStr">
        <is>
          <t>Sadece doğru hesap yapıp çıplak/varsayılan Excel görünümü bırakmak</t>
        </is>
      </c>
      <c r="E22" s="160" t="inlineStr">
        <is>
          <t>Görsel release incelemesi</t>
        </is>
      </c>
      <c r="F22" s="164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TÜRKİYE MUHASEBE VE TEKDÜZEN HESAP PLANI STANDARDI</t>
        </is>
      </c>
    </row>
    <row r="2"/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1" t="inlineStr">
        <is>
          <t>Kullanıcıya görünen finansal terimler Türkçe</t>
        </is>
      </c>
      <c r="C4" s="151" t="inlineStr">
        <is>
          <t>Hasılat, Satışların Maliyeti, Brüt Kâr, Faaliyet Giderleri</t>
        </is>
      </c>
      <c r="D4" s="151" t="inlineStr">
        <is>
          <t>Türk işletme kullanımına uygun</t>
        </is>
      </c>
      <c r="E4" s="151" t="inlineStr">
        <is>
          <t>İngilizce jargon</t>
        </is>
      </c>
      <c r="F4" s="151" t="inlineStr">
        <is>
          <t>Terminoloji taraması</t>
        </is>
      </c>
    </row>
    <row r="5" ht="28" customHeight="1">
      <c r="A5" s="167" t="inlineStr">
        <is>
          <t>Gelir Tablosu</t>
        </is>
      </c>
      <c r="B5" s="151" t="inlineStr">
        <is>
          <t>Türk sunum sırası kullanılır</t>
        </is>
      </c>
      <c r="C5" s="151" t="inlineStr">
        <is>
          <t>Net Satışlar → Satışların Maliyeti → Brüt Kâr → Faaliyet Giderleri → Faaliyet Kârı</t>
        </is>
      </c>
      <c r="D5" s="151" t="inlineStr">
        <is>
          <t>600/610/611; 620-623; 63x</t>
        </is>
      </c>
      <c r="E5" s="151" t="inlineStr">
        <is>
          <t>Yanlış sınıflama</t>
        </is>
      </c>
      <c r="F5" s="151" t="inlineStr">
        <is>
          <t>Hesap eşleme</t>
        </is>
      </c>
    </row>
    <row r="6" ht="28" customHeight="1">
      <c r="A6" s="167" t="inlineStr">
        <is>
          <t>Bilanço</t>
        </is>
      </c>
      <c r="B6" s="151" t="inlineStr">
        <is>
          <t>Dönen/Duran Varlık ve Kısa/Uzun Vadeli Yükümlülük ayrımı</t>
        </is>
      </c>
      <c r="C6" s="151" t="inlineStr">
        <is>
          <t>Hazır Değerler, Ticari Alacaklar, Stoklar, Mali Borçlar</t>
        </is>
      </c>
      <c r="D6" s="151" t="inlineStr">
        <is>
          <t>1xx / 2xx / 3xx / 4xx / 5xx</t>
        </is>
      </c>
      <c r="E6" s="151" t="inlineStr">
        <is>
          <t>Vade sınıfı hatası</t>
        </is>
      </c>
      <c r="F6" s="151" t="inlineStr">
        <is>
          <t>Bilanço eşitliği</t>
        </is>
      </c>
    </row>
    <row r="7">
      <c r="A7" s="167" t="inlineStr">
        <is>
          <t>Nakit Akışı</t>
        </is>
      </c>
      <c r="B7" s="151" t="inlineStr">
        <is>
          <t>İşletme/Yatırım/Finansman nakit akışları ayrılır</t>
        </is>
      </c>
      <c r="C7" s="151" t="inlineStr">
        <is>
          <t>Faaliyetlerden Nakit, Yatırım Harcamaları, Finansman Nakit Akışı</t>
        </is>
      </c>
      <c r="D7" s="151" t="inlineStr">
        <is>
          <t>Dolaylı/doğrudan yöntem açık seçilir</t>
        </is>
      </c>
      <c r="E7" s="151" t="inlineStr">
        <is>
          <t>Kâr = nakit sanılması</t>
        </is>
      </c>
      <c r="F7" s="151" t="inlineStr">
        <is>
          <t>Nakit devri</t>
        </is>
      </c>
    </row>
    <row r="8">
      <c r="A8" s="167" t="inlineStr">
        <is>
          <t>Ticari Alacaklar</t>
        </is>
      </c>
      <c r="B8" s="151" t="inlineStr">
        <is>
          <t>Cari ve vade mantığı korunur</t>
        </is>
      </c>
      <c r="C8" s="151" t="inlineStr">
        <is>
          <t>120 Alıcılar</t>
        </is>
      </c>
      <c r="D8" s="151" t="inlineStr">
        <is>
          <t>120</t>
        </is>
      </c>
      <c r="E8" s="151" t="inlineStr">
        <is>
          <t>Tahakkuk/nakit karışması</t>
        </is>
      </c>
      <c r="F8" s="151" t="inlineStr">
        <is>
          <t>Alacak devir kontrolü</t>
        </is>
      </c>
    </row>
    <row r="9">
      <c r="A9" s="167" t="inlineStr">
        <is>
          <t>Ticari Borçlar</t>
        </is>
      </c>
      <c r="B9" s="151" t="inlineStr">
        <is>
          <t>Tedarikçi borcu ayrı izlenir</t>
        </is>
      </c>
      <c r="C9" s="151" t="inlineStr">
        <is>
          <t>320 Satıcılar</t>
        </is>
      </c>
      <c r="D9" s="151" t="inlineStr">
        <is>
          <t>320</t>
        </is>
      </c>
      <c r="E9" s="151" t="inlineStr">
        <is>
          <t>Gider/ödeme karışması</t>
        </is>
      </c>
      <c r="F9" s="151" t="inlineStr">
        <is>
          <t>Borç devir kontrolü</t>
        </is>
      </c>
    </row>
    <row r="10">
      <c r="A10" s="167" t="inlineStr">
        <is>
          <t>Kasa/Banka</t>
        </is>
      </c>
      <c r="B10" s="151" t="inlineStr">
        <is>
          <t>Hazır değerler ayrı izlenir</t>
        </is>
      </c>
      <c r="C10" s="151" t="inlineStr">
        <is>
          <t>100 Kasa, 102 Bankalar</t>
        </is>
      </c>
      <c r="D10" s="151" t="inlineStr">
        <is>
          <t>100 / 102</t>
        </is>
      </c>
      <c r="E10" s="151" t="inlineStr">
        <is>
          <t>Virmanla toplam nakdin değişmesi</t>
        </is>
      </c>
      <c r="F10" s="151" t="inlineStr">
        <is>
          <t>Virman değişmezi</t>
        </is>
      </c>
    </row>
    <row r="11">
      <c r="A11" s="167" t="inlineStr">
        <is>
          <t>Stok</t>
        </is>
      </c>
      <c r="B11" s="151" t="inlineStr">
        <is>
          <t>Dikeye uygun stok türü</t>
        </is>
      </c>
      <c r="C11" s="151" t="inlineStr">
        <is>
          <t>150 İlk Madde ve Malzeme, 153 Ticari Mallar</t>
        </is>
      </c>
      <c r="D11" s="151" t="inlineStr">
        <is>
          <t>15x</t>
        </is>
      </c>
      <c r="E11" s="151" t="inlineStr">
        <is>
          <t>Maliyet ve stok hareketinin kopması</t>
        </is>
      </c>
      <c r="F11" s="151" t="inlineStr">
        <is>
          <t>Stok devri</t>
        </is>
      </c>
    </row>
    <row r="12" ht="28" customHeight="1">
      <c r="A12" s="167" t="inlineStr">
        <is>
          <t>Maddi Duran Varlık</t>
        </is>
      </c>
      <c r="B12" s="151" t="inlineStr">
        <is>
          <t>Yatırım harcaması ve amortisman bağlantılı</t>
        </is>
      </c>
      <c r="C12" s="151" t="inlineStr">
        <is>
          <t>253 Tesis Makine Cihazlar, 255 Demirbaşlar, 257 Birikmiş Amortismanlar</t>
        </is>
      </c>
      <c r="D12" s="151" t="inlineStr">
        <is>
          <t>25x</t>
        </is>
      </c>
      <c r="E12" s="151" t="inlineStr">
        <is>
          <t>Yatırım/gider karışması</t>
        </is>
      </c>
      <c r="F12" s="151" t="inlineStr">
        <is>
          <t>Net defter değeri devri</t>
        </is>
      </c>
    </row>
    <row r="13">
      <c r="A13" s="167" t="inlineStr">
        <is>
          <t>Mali Borçlar</t>
        </is>
      </c>
      <c r="B13" s="151" t="inlineStr">
        <is>
          <t>Kısa/uzun vadeli borç ayrımı</t>
        </is>
      </c>
      <c r="C13" s="151" t="inlineStr">
        <is>
          <t>300 Banka Kredileri / 400 Banka Kredileri</t>
        </is>
      </c>
      <c r="D13" s="151" t="inlineStr">
        <is>
          <t>300 / 400</t>
        </is>
      </c>
      <c r="E13" s="151" t="inlineStr">
        <is>
          <t>Vade sınıfı yanlış</t>
        </is>
      </c>
      <c r="F13" s="151" t="inlineStr">
        <is>
          <t>Borç devri</t>
        </is>
      </c>
    </row>
    <row r="14">
      <c r="A14" s="167" t="inlineStr">
        <is>
          <t>Özkaynak</t>
        </is>
      </c>
      <c r="B14" s="151" t="inlineStr">
        <is>
          <t>Sermaye ve geçmiş yıl kârları ayrı</t>
        </is>
      </c>
      <c r="C14" s="151" t="inlineStr">
        <is>
          <t>500 Sermaye, 570 Geçmiş Yıllar Kârları, 590 Dönem Net Kârı</t>
        </is>
      </c>
      <c r="D14" s="151" t="inlineStr">
        <is>
          <t>5xx</t>
        </is>
      </c>
      <c r="E14" s="151" t="inlineStr">
        <is>
          <t>Net kâr bağının kopması</t>
        </is>
      </c>
      <c r="F14" s="151" t="inlineStr">
        <is>
          <t>Özkaynak devri</t>
        </is>
      </c>
    </row>
    <row r="15">
      <c r="A15" s="167" t="inlineStr">
        <is>
          <t>Vergi</t>
        </is>
      </c>
      <c r="B15" s="151" t="inlineStr">
        <is>
          <t>Vergi satırları Türkiye mantığına uygun</t>
        </is>
      </c>
      <c r="C15" s="151" t="inlineStr">
        <is>
          <t>Dönem Vergi ve Diğer Yasal Yükümlülük Karşılıkları</t>
        </is>
      </c>
      <c r="D15" s="151" t="inlineStr">
        <is>
          <t>37x / ilgili vergi hesapları</t>
        </is>
      </c>
      <c r="E15" s="151" t="inlineStr">
        <is>
          <t>Vergi etkisinin yanlış dönemlenmesi</t>
        </is>
      </c>
      <c r="F15" s="151" t="inlineStr">
        <is>
          <t>Vergi sözleşmesi</t>
        </is>
      </c>
    </row>
    <row r="16">
      <c r="A16" s="167" t="inlineStr">
        <is>
          <t>İsim standardı</t>
        </is>
      </c>
      <c r="B16" s="151" t="inlineStr">
        <is>
          <t>Tablo ve sayfa adları Türkçe ve işlevsel</t>
        </is>
      </c>
      <c r="C16" s="151" t="inlineStr">
        <is>
          <t>GELİR_TABLOSU, BİLANÇO, NAKİT_AKISI, BORC_PLANI</t>
        </is>
      </c>
      <c r="D16" s="151" t="inlineStr">
        <is>
          <t>Tekrarlanabilir standart</t>
        </is>
      </c>
      <c r="E16" s="151" t="inlineStr">
        <is>
          <t>İngilizce/karma isim</t>
        </is>
      </c>
      <c r="F16" s="151" t="inlineStr">
        <is>
          <t>Sayfa ve tablo taraması</t>
        </is>
      </c>
    </row>
    <row r="17">
      <c r="A17" s="167" t="inlineStr">
        <is>
          <t>THP eşleme tablosu</t>
        </is>
      </c>
      <c r="B17" s="151" t="inlineStr">
        <is>
          <t>Her kritik satır en az bir THP hesabına bağlanır</t>
        </is>
      </c>
      <c r="C17" s="151" t="inlineStr">
        <is>
          <t>RaporSatırı → HesapKodu → HesapAdı → İşaret → Dönem</t>
        </is>
      </c>
      <c r="D17" s="151" t="inlineStr">
        <is>
          <t>Kaynak izlenebilirliği</t>
        </is>
      </c>
      <c r="E17" s="151" t="inlineStr">
        <is>
          <t>Rapordan rapora kaynak</t>
        </is>
      </c>
      <c r="F17" s="151" t="inlineStr">
        <is>
          <t>Eşleme kapsama %100</t>
        </is>
      </c>
    </row>
    <row r="18">
      <c r="A18" s="167" t="inlineStr">
        <is>
          <t>İstisna</t>
        </is>
      </c>
      <c r="B18" s="151" t="inlineStr">
        <is>
          <t>TFRS özel ürün varsa fark açık yazılır</t>
        </is>
      </c>
      <c r="C18" s="151" t="inlineStr">
        <is>
          <t>Tekdüzen raporlama ≠ TFRS finansal tablo sunumu</t>
        </is>
      </c>
      <c r="D18" s="151" t="inlineStr">
        <is>
          <t>Amaç belirtilir</t>
        </is>
      </c>
      <c r="E18" s="151" t="inlineStr">
        <is>
          <t>Standartları karıştırma</t>
        </is>
      </c>
      <c r="F18" s="151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KARAR, GÜVEN VE SATIŞA HAZIRLIK STANDARDI</t>
        </is>
      </c>
    </row>
    <row r="2"/>
    <row r="3" ht="24" customHeight="1">
      <c r="A3" s="169" t="inlineStr">
        <is>
          <t>Alan</t>
        </is>
      </c>
      <c r="B3" s="169" t="inlineStr">
        <is>
          <t>Müşteri Sorusu</t>
        </is>
      </c>
      <c r="C3" s="169" t="inlineStr">
        <is>
          <t>Zorunlu Ürün Davranışı</t>
        </is>
      </c>
      <c r="D3" s="169" t="inlineStr">
        <is>
          <t>Kanıt</t>
        </is>
      </c>
      <c r="E3" s="169" t="inlineStr">
        <is>
          <t>Başarısızlık Durumu</t>
        </is>
      </c>
      <c r="F3" s="169" t="inlineStr">
        <is>
          <t>Kapı</t>
        </is>
      </c>
    </row>
    <row r="4">
      <c r="A4" s="170" t="inlineStr">
        <is>
          <t>5 saniye</t>
        </is>
      </c>
      <c r="B4" s="151" t="inlineStr">
        <is>
          <t>Bu ürün neyi çözüyor?</t>
        </is>
      </c>
      <c r="C4" s="151" t="inlineStr">
        <is>
          <t>İlk ekranda hedef kullanıcı + pahalı problem + sonuç görünür</t>
        </is>
      </c>
      <c r="D4" s="151" t="inlineStr">
        <is>
          <t>Başlık + alt mesaj + gerçek ekran</t>
        </is>
      </c>
      <c r="E4" s="151" t="inlineStr">
        <is>
          <t>Ürün yalnız teknik isim</t>
        </is>
      </c>
      <c r="F4" s="171" t="inlineStr">
        <is>
          <t>HATA</t>
        </is>
      </c>
    </row>
    <row r="5">
      <c r="A5" s="170" t="inlineStr">
        <is>
          <t>Acı</t>
        </is>
      </c>
      <c r="B5" s="151" t="inlineStr">
        <is>
          <t>Sorun bana neye mal oluyor?</t>
        </is>
      </c>
      <c r="C5" s="151" t="inlineStr">
        <is>
          <t>Mümkünse müşterinin kendi verisiyle parasal/zaman etkisi hesaplanır</t>
        </is>
      </c>
      <c r="D5" s="151" t="inlineStr">
        <is>
          <t>ROI/acı hesaplama yöntemi</t>
        </is>
      </c>
      <c r="E5" s="151" t="inlineStr">
        <is>
          <t>Uydurma tasarruf</t>
        </is>
      </c>
      <c r="F5" s="171" t="inlineStr">
        <is>
          <t>HATA</t>
        </is>
      </c>
    </row>
    <row r="6">
      <c r="A6" s="170" t="inlineStr">
        <is>
          <t>Karar</t>
        </is>
      </c>
      <c r="B6" s="151" t="inlineStr">
        <is>
          <t>Bu bilgiyle ne yapacağım?</t>
        </is>
      </c>
      <c r="C6" s="151" t="inlineStr">
        <is>
          <t>Her kritik KPI aksiyona bağlanır</t>
        </is>
      </c>
      <c r="D6" s="151" t="inlineStr">
        <is>
          <t>KARAR_KUYRUGU</t>
        </is>
      </c>
      <c r="E6" s="151" t="inlineStr">
        <is>
          <t>Sadece rapor</t>
        </is>
      </c>
      <c r="F6" s="171" t="inlineStr">
        <is>
          <t>HATA</t>
        </is>
      </c>
    </row>
    <row r="7">
      <c r="A7" s="170" t="inlineStr">
        <is>
          <t>Güven</t>
        </is>
      </c>
      <c r="B7" s="151" t="inlineStr">
        <is>
          <t>Bu sayıya neden inanayım?</t>
        </is>
      </c>
      <c r="C7" s="151" t="inlineStr">
        <is>
          <t>Kaynak, formül mantığı, kontrol ve son doğrulama görünür</t>
        </is>
      </c>
      <c r="D7" s="151" t="inlineStr">
        <is>
          <t>Kontroller + kaynak izi + sürüm</t>
        </is>
      </c>
      <c r="E7" s="151" t="inlineStr">
        <is>
          <t>Prestij kelimesi</t>
        </is>
      </c>
      <c r="F7" s="171" t="inlineStr">
        <is>
          <t>HATA</t>
        </is>
      </c>
    </row>
    <row r="8">
      <c r="A8" s="170" t="inlineStr">
        <is>
          <t>Referans</t>
        </is>
      </c>
      <c r="B8" s="151" t="inlineStr">
        <is>
          <t>Müşteri yorumu yoksa ne göstereceğim?</t>
        </is>
      </c>
      <c r="C8" s="151" t="inlineStr">
        <is>
          <t>Önce/Sonra + Karar Vakası + Hata Önleme Vakası üretilir</t>
        </is>
      </c>
      <c r="D8" s="151" t="inlineStr">
        <is>
          <t>Demo/örnek çıktı</t>
        </is>
      </c>
      <c r="E8" s="151" t="inlineStr">
        <is>
          <t>Kanıtsız iddia</t>
        </is>
      </c>
      <c r="F8" s="171" t="inlineStr">
        <is>
          <t>HATA</t>
        </is>
      </c>
    </row>
    <row r="9">
      <c r="A9" s="170" t="inlineStr">
        <is>
          <t>Senaryo</t>
        </is>
      </c>
      <c r="B9" s="151" t="inlineStr">
        <is>
          <t>Ne olursa işler bozulur?</t>
        </is>
      </c>
      <c r="C9" s="151" t="inlineStr">
        <is>
          <t>Baz/Aşağı/Yukarı veya uygun stres senaryosu</t>
        </is>
      </c>
      <c r="D9" s="151" t="inlineStr">
        <is>
          <t>Senaryo karşılaştırma</t>
        </is>
      </c>
      <c r="E9" s="151" t="inlineStr">
        <is>
          <t>Dekoratif senaryo</t>
        </is>
      </c>
      <c r="F9" s="171" t="inlineStr">
        <is>
          <t>HATA</t>
        </is>
      </c>
    </row>
    <row r="10">
      <c r="A10" s="170" t="inlineStr">
        <is>
          <t>Ters stres</t>
        </is>
      </c>
      <c r="B10" s="151" t="inlineStr">
        <is>
          <t>Hangi eşikte karar kırılır?</t>
        </is>
      </c>
      <c r="C10" s="151" t="inlineStr">
        <is>
          <t>En az bir kritik sürücü için kırılma eşiği</t>
        </is>
      </c>
      <c r="D10" s="151" t="inlineStr">
        <is>
          <t>Kırılma eşiği tablosu</t>
        </is>
      </c>
      <c r="E10" s="151" t="inlineStr">
        <is>
          <t>Sadece +/- %10</t>
        </is>
      </c>
      <c r="F10" s="171" t="inlineStr">
        <is>
          <t>UYARI/HATA</t>
        </is>
      </c>
    </row>
    <row r="11">
      <c r="A11" s="170" t="inlineStr">
        <is>
          <t>Hata tutarlılığı</t>
        </is>
      </c>
      <c r="B11" s="151" t="inlineStr">
        <is>
          <t>Formül hata verirse ne olur?</t>
        </is>
      </c>
      <c r="C11" s="151" t="inlineStr">
        <is>
          <t>Kontrol GEÇTİ veremez; BLOKE/HATA üretir</t>
        </is>
      </c>
      <c r="D11" s="151" t="inlineStr">
        <is>
          <t>Hata taraması</t>
        </is>
      </c>
      <c r="E11" s="151" t="inlineStr">
        <is>
          <t>Hata + GEÇTİ birlikte</t>
        </is>
      </c>
      <c r="F11" s="171" t="inlineStr">
        <is>
          <t>HATA</t>
        </is>
      </c>
    </row>
    <row r="12">
      <c r="A12" s="170" t="inlineStr">
        <is>
          <t>Karar motoru</t>
        </is>
      </c>
      <c r="B12" s="151" t="inlineStr">
        <is>
          <t>Ne oldu, neden oldu?</t>
        </is>
      </c>
      <c r="C12" s="151" t="inlineStr">
        <is>
          <t>Sorun + neden + parasal etki + aksiyon + son tarih</t>
        </is>
      </c>
      <c r="D12" s="151" t="inlineStr">
        <is>
          <t>Karar tablosu</t>
        </is>
      </c>
      <c r="E12" s="151" t="inlineStr">
        <is>
          <t>Boş sayfa / isim düzeyi modül</t>
        </is>
      </c>
      <c r="F12" s="171" t="inlineStr">
        <is>
          <t>HATA</t>
        </is>
      </c>
    </row>
    <row r="13">
      <c r="A13" s="170" t="inlineStr">
        <is>
          <t>Yönetici özeti</t>
        </is>
      </c>
      <c r="B13" s="151" t="inlineStr">
        <is>
          <t>5 saniyede ne görmeliyim?</t>
        </is>
      </c>
      <c r="C13" s="151" t="inlineStr">
        <is>
          <t>Bugün / ne değişti / ne bozulacak / neden / ne yapmalıyım / güven</t>
        </is>
      </c>
      <c r="D13" s="151" t="inlineStr">
        <is>
          <t>Yönetici özeti ekranı</t>
        </is>
      </c>
      <c r="E13" s="151" t="inlineStr">
        <is>
          <t>KPI kutusu yığını</t>
        </is>
      </c>
      <c r="F13" s="171" t="inlineStr">
        <is>
          <t>HATA</t>
        </is>
      </c>
    </row>
    <row r="14">
      <c r="A14" s="170" t="inlineStr">
        <is>
          <t>Teklif</t>
        </is>
      </c>
      <c r="B14" s="151" t="inlineStr">
        <is>
          <t>Neden satın almalıyım?</t>
        </is>
      </c>
      <c r="C14" s="151" t="inlineStr">
        <is>
          <t>Dosya özellikleri yerine sonuç ve kaçınılan maliyet sunulur</t>
        </is>
      </c>
      <c r="D14" s="151" t="inlineStr">
        <is>
          <t>Ürün sayfası kanıt eşlemesi</t>
        </is>
      </c>
      <c r="E14" s="151" t="inlineStr">
        <is>
          <t>Özellik listesiyle satış</t>
        </is>
      </c>
      <c r="F14" s="171" t="inlineStr">
        <is>
          <t>HATA</t>
        </is>
      </c>
    </row>
    <row r="15">
      <c r="A15" s="170" t="inlineStr">
        <is>
          <t>Dağıtım</t>
        </is>
      </c>
      <c r="B15" s="151" t="inlineStr">
        <is>
          <t>Beni nasıl bulacaklar?</t>
        </is>
      </c>
      <c r="C15" s="151" t="inlineStr">
        <is>
          <t>Sorun niyetine göre SEO sayfaları, iç bağlantı, temiz yapı, taranabilir metin</t>
        </is>
      </c>
      <c r="D15" s="151" t="inlineStr">
        <is>
          <t>Arama niyeti haritası</t>
        </is>
      </c>
      <c r="E15" s="151" t="inlineStr">
        <is>
          <t>Tek ürün sayfasına bağımlılık</t>
        </is>
      </c>
      <c r="F15" s="171" t="inlineStr">
        <is>
          <t>UYARI</t>
        </is>
      </c>
    </row>
    <row r="16" ht="28" customHeight="1">
      <c r="A16" s="170" t="inlineStr">
        <is>
          <t>LLM görünürlüğü</t>
        </is>
      </c>
      <c r="B16" s="151" t="inlineStr">
        <is>
          <t>AI ürünümü anlayabiliyor mu?</t>
        </is>
      </c>
      <c r="C16" s="151" t="inlineStr">
        <is>
          <t>Ürün tanımı, hedef kullanıcı, girdi/çıktı, metodoloji, sınırlar, SSS açık metindir</t>
        </is>
      </c>
      <c r="D16" s="151" t="inlineStr">
        <is>
          <t>Taranabilir ürün içeriği</t>
        </is>
      </c>
      <c r="E16" s="151" t="inlineStr">
        <is>
          <t>'AI SEO' iddiası</t>
        </is>
      </c>
      <c r="F16" s="171" t="inlineStr">
        <is>
          <t>UYARI</t>
        </is>
      </c>
    </row>
    <row r="17">
      <c r="A17" s="170" t="inlineStr">
        <is>
          <t>Satış kanalı</t>
        </is>
      </c>
      <c r="B17" s="151" t="inlineStr">
        <is>
          <t>Nerede satılmalı?</t>
        </is>
      </c>
      <c r="C17" s="151" t="inlineStr">
        <is>
          <t>Arama, LinkedIn, uzman/partner, demo/video; ürüne göre kanal seçilir</t>
        </is>
      </c>
      <c r="D17" s="151" t="inlineStr">
        <is>
          <t>Kanal matrisi</t>
        </is>
      </c>
      <c r="E17" s="151" t="inlineStr">
        <is>
          <t>Her ürüne aynı kanal</t>
        </is>
      </c>
      <c r="F17" s="171" t="inlineStr">
        <is>
          <t>UYARI</t>
        </is>
      </c>
    </row>
    <row r="18">
      <c r="A18" s="170" t="inlineStr">
        <is>
          <t>Fiyat</t>
        </is>
      </c>
      <c r="B18" s="151" t="inlineStr">
        <is>
          <t>Bu fiyat neden mantıklı?</t>
        </is>
      </c>
      <c r="C18" s="151" t="inlineStr">
        <is>
          <t>Fiyat, ekonomik karar değerine ve kanıtlanmış ürün derinliğine bağlanır</t>
        </is>
      </c>
      <c r="D18" s="151" t="inlineStr">
        <is>
          <t>Değer haritası + demo</t>
        </is>
      </c>
      <c r="E18" s="151" t="inlineStr">
        <is>
          <t>Sırf sayfa/formül sayısı</t>
        </is>
      </c>
      <c r="F18" s="171" t="inlineStr">
        <is>
          <t>HATA</t>
        </is>
      </c>
    </row>
    <row r="19">
      <c r="A19" s="170" t="inlineStr">
        <is>
          <t>Pazar kanıtı</t>
        </is>
      </c>
      <c r="B19" s="151" t="inlineStr">
        <is>
          <t>Piyasa gerçekten ödüyor mu?</t>
        </is>
      </c>
      <c r="C19" s="151" t="inlineStr">
        <is>
          <t>Satış/pilot/LOI/fiyat kabulü olmadan pazar doğrulandı yazılmaz</t>
        </is>
      </c>
      <c r="D19" s="151" t="inlineStr">
        <is>
          <t>Gerçek işlem kanıtı</t>
        </is>
      </c>
      <c r="E19" s="151" t="inlineStr">
        <is>
          <t>Tahmini talep = satış kabulü</t>
        </is>
      </c>
      <c r="F19" s="171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365D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KAPAK — YMM Tasdik Kontrol Robotu</t>
        </is>
      </c>
    </row>
    <row r="2"/>
    <row r="3" ht="22" customHeight="1">
      <c r="A3" s="201" t="inlineStr">
        <is>
          <t>YMM Tasdik Kontrol Robotu</t>
        </is>
      </c>
    </row>
    <row r="4">
      <c r="A4" s="4" t="inlineStr">
        <is>
          <t>YMM tasdik dosyasını kontrol listesi, eksik belge kuyruğu ve durum makinesi ile yönetir; boş veride VERİ YOK, kritik eksikte DURDUR kararı üretir.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Makrosuz durum makinesi: Taslak → İnceleme → Eksik / Tasdik / Durdur</t>
        </is>
      </c>
    </row>
    <row r="8">
      <c r="A8" s="6" t="inlineStr">
        <is>
          <t>• KONTROL_LISTE — belge bazlı zorunluluk ve eksik bayrağı</t>
        </is>
      </c>
    </row>
    <row r="9">
      <c r="A9" s="6" t="inlineStr">
        <is>
          <t>• Eksik belge kuyruğu yaşlandırma (ytk_eksikKuyruk)</t>
        </is>
      </c>
    </row>
    <row r="10">
      <c r="A10" s="6" t="inlineStr">
        <is>
          <t>• Kuyruk + yaşlandırma kovaları (0-7 / 8-30 / 31-60 / 60+)</t>
        </is>
      </c>
    </row>
    <row r="11">
      <c r="A11" s="6" t="inlineStr">
        <is>
          <t>• Karar kapısı: VERİ YOK / TASDIK / EKSİK / DURDUR</t>
        </is>
      </c>
    </row>
    <row r="12"/>
    <row r="13">
      <c r="A13" s="5" t="inlineStr">
        <is>
          <t>Kimler için?</t>
        </is>
      </c>
    </row>
    <row r="14">
      <c r="A14" s="7" t="inlineStr">
        <is>
          <t>• Dosya sorumlusu — kontrol listesini ve belge kuyruğunu günceller</t>
        </is>
      </c>
    </row>
    <row r="15">
      <c r="A15" s="7" t="inlineStr">
        <is>
          <t>• YMM — TASDIK / EKSİK / DURDUR kararını verir</t>
        </is>
      </c>
    </row>
    <row r="16">
      <c r="A16" s="7" t="inlineStr">
        <is>
          <t>• Mükellef / denetçi — kanıt paketini alır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KARTLAR'a mükellef kartı girin. 2) KONTROL_LISTE'ye belgeleri işleyin. 3) AKIS'e tasdik olayını yazın. 4) PANO'dan kararı ve RAPOR'dan kanıtı alın.</t>
        </is>
      </c>
    </row>
    <row r="20"/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365D"/>
    <outlinePr summaryBelow="1" summaryRight="1"/>
    <pageSetUpPr/>
  </sheetPr>
  <dimension ref="A1:K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.5" customWidth="1" min="3" max="3"/>
    <col width="14" customWidth="1" min="4" max="4"/>
    <col width="20.5" customWidth="1" min="5" max="5"/>
    <col width="14.5" customWidth="1" min="6" max="6"/>
    <col width="14" customWidth="1" min="7" max="7"/>
    <col width="14" customWidth="1" min="8" max="8"/>
    <col width="14.5" customWidth="1" min="9" max="9"/>
    <col width="15.5" customWidth="1" min="10" max="10"/>
    <col width="14.5" customWidth="1" min="11" max="11"/>
    <col width="13" customWidth="1" min="12" max="12"/>
  </cols>
  <sheetData>
    <row r="1" ht="32" customHeight="1">
      <c r="A1" s="182" t="inlineStr">
        <is>
          <t>KARTLAR — YMM Tasdik Kontrol Robotu</t>
        </is>
      </c>
    </row>
    <row r="2"/>
    <row r="3" ht="22" customHeight="1">
      <c r="A3" s="202" t="inlineStr">
        <is>
          <t>Mükellef / tasdik dosya kartları — her kaydın tek kimliği vardır</t>
        </is>
      </c>
    </row>
    <row r="4">
      <c r="A4" s="11" t="inlineStr">
        <is>
          <t>Sonraki Kimlik</t>
        </is>
      </c>
      <c r="B4" s="24">
        <f>ytk_sonrakiKimlik</f>
        <v/>
      </c>
    </row>
    <row r="5" ht="30" customHeight="1">
      <c r="A5" s="25" t="inlineStr">
        <is>
          <t>KartId</t>
        </is>
      </c>
      <c r="B5" s="25" t="inlineStr">
        <is>
          <t>Unvan</t>
        </is>
      </c>
      <c r="C5" s="25" t="inlineStr">
        <is>
          <t>VKN</t>
        </is>
      </c>
      <c r="D5" s="25" t="inlineStr">
        <is>
          <t>Sehir</t>
        </is>
      </c>
      <c r="E5" s="25" t="inlineStr">
        <is>
          <t>TasdikTuru</t>
        </is>
      </c>
      <c r="F5" s="25" t="inlineStr">
        <is>
          <t>DosyaTutar</t>
        </is>
      </c>
      <c r="G5" s="25" t="inlineStr">
        <is>
          <t>RiskNotu</t>
        </is>
      </c>
      <c r="H5" s="25" t="inlineStr">
        <is>
          <t>Aktif</t>
        </is>
      </c>
      <c r="I5" s="25" t="inlineStr">
        <is>
          <t>EksikBelge</t>
        </is>
      </c>
      <c r="J5" s="25" t="inlineStr">
        <is>
          <t>ToplamIslem</t>
        </is>
      </c>
      <c r="K5" s="25" t="inlineStr">
        <is>
          <t>OrtGecikme</t>
        </is>
      </c>
    </row>
    <row r="6">
      <c r="A6" s="26" t="inlineStr">
        <is>
          <t>MUK-00001</t>
        </is>
      </c>
      <c r="B6" s="26" t="inlineStr">
        <is>
          <t>Demir Tekstil A.Ş.</t>
        </is>
      </c>
      <c r="C6" s="26" t="inlineStr">
        <is>
          <t>1234567890</t>
        </is>
      </c>
      <c r="D6" s="26" t="inlineStr">
        <is>
          <t>İstanbul</t>
        </is>
      </c>
      <c r="E6" s="26" t="inlineStr">
        <is>
          <t>KDV İadesi</t>
        </is>
      </c>
      <c r="F6" s="27" t="n">
        <v>450000</v>
      </c>
      <c r="G6" s="26" t="inlineStr">
        <is>
          <t>Normal</t>
        </is>
      </c>
      <c r="H6" s="26" t="inlineStr">
        <is>
          <t>EVET</t>
        </is>
      </c>
      <c r="I6" s="28">
        <f>IF($A6="","",COUNTIFS(tblKontrol[KaynakKartId],$A6,tblKontrol[BelgeDurum],"YOK"))</f>
        <v/>
      </c>
      <c r="J6" s="28">
        <f>IF($A6="","",SUMIF(tblAkis[KaynakKartId],$A6,tblAkis[Tutar]))</f>
        <v/>
      </c>
      <c r="K6" s="28">
        <f>IF($A6="","",IFERROR(AVERAGEIF(tblAkis[KaynakKartId],$A6,tblAkis[YasGun]),0))</f>
        <v/>
      </c>
    </row>
    <row r="7">
      <c r="A7" s="26" t="inlineStr">
        <is>
          <t>MUK-00002</t>
        </is>
      </c>
      <c r="B7" s="26" t="inlineStr">
        <is>
          <t>Kaya Gıda Ltd.</t>
        </is>
      </c>
      <c r="C7" s="26" t="inlineStr">
        <is>
          <t>2345678901</t>
        </is>
      </c>
      <c r="D7" s="26" t="inlineStr">
        <is>
          <t>Ankara</t>
        </is>
      </c>
      <c r="E7" s="26" t="inlineStr">
        <is>
          <t>Yıllık Beyan</t>
        </is>
      </c>
      <c r="F7" s="27" t="n">
        <v>320000</v>
      </c>
      <c r="G7" s="26" t="inlineStr">
        <is>
          <t>Normal</t>
        </is>
      </c>
      <c r="H7" s="26" t="inlineStr">
        <is>
          <t>EVET</t>
        </is>
      </c>
      <c r="I7" s="28">
        <f>IF($A7="","",COUNTIFS(tblKontrol[KaynakKartId],$A7,tblKontrol[BelgeDurum],"YOK"))</f>
        <v/>
      </c>
      <c r="J7" s="28">
        <f>IF($A7="","",SUMIF(tblAkis[KaynakKartId],$A7,tblAkis[Tutar]))</f>
        <v/>
      </c>
      <c r="K7" s="28">
        <f>IF($A7="","",IFERROR(AVERAGEIF(tblAkis[KaynakKartId],$A7,tblAkis[YasGun]),0))</f>
        <v/>
      </c>
    </row>
    <row r="8">
      <c r="A8" s="26" t="inlineStr">
        <is>
          <t>MUK-00003</t>
        </is>
      </c>
      <c r="B8" s="26" t="inlineStr">
        <is>
          <t>Yıldız İnşaat A.Ş.</t>
        </is>
      </c>
      <c r="C8" s="26" t="inlineStr">
        <is>
          <t>3456789012</t>
        </is>
      </c>
      <c r="D8" s="26" t="inlineStr">
        <is>
          <t>İzmir</t>
        </is>
      </c>
      <c r="E8" s="26" t="inlineStr">
        <is>
          <t>ÖTV Tasdik</t>
        </is>
      </c>
      <c r="F8" s="27" t="n">
        <v>780000</v>
      </c>
      <c r="G8" s="26" t="inlineStr">
        <is>
          <t>Normal</t>
        </is>
      </c>
      <c r="H8" s="26" t="inlineStr">
        <is>
          <t>EVET</t>
        </is>
      </c>
      <c r="I8" s="28">
        <f>IF($A8="","",COUNTIFS(tblKontrol[KaynakKartId],$A8,tblKontrol[BelgeDurum],"YOK"))</f>
        <v/>
      </c>
      <c r="J8" s="28">
        <f>IF($A8="","",SUMIF(tblAkis[KaynakKartId],$A8,tblAkis[Tutar]))</f>
        <v/>
      </c>
      <c r="K8" s="28">
        <f>IF($A8="","",IFERROR(AVERAGEIF(tblAkis[KaynakKartId],$A8,tblAkis[YasGun]),0))</f>
        <v/>
      </c>
    </row>
    <row r="9">
      <c r="A9" s="26" t="inlineStr">
        <is>
          <t>MUK-00004</t>
        </is>
      </c>
      <c r="B9" s="26" t="inlineStr">
        <is>
          <t>Özkan Lojistik</t>
        </is>
      </c>
      <c r="C9" s="26" t="inlineStr">
        <is>
          <t>4567890123</t>
        </is>
      </c>
      <c r="D9" s="26" t="inlineStr">
        <is>
          <t>Bursa</t>
        </is>
      </c>
      <c r="E9" s="26" t="inlineStr">
        <is>
          <t>KDV İadesi</t>
        </is>
      </c>
      <c r="F9" s="27" t="n">
        <v>210000</v>
      </c>
      <c r="G9" s="26" t="inlineStr">
        <is>
          <t>Normal</t>
        </is>
      </c>
      <c r="H9" s="26" t="inlineStr">
        <is>
          <t>EVET</t>
        </is>
      </c>
      <c r="I9" s="28">
        <f>IF($A9="","",COUNTIFS(tblKontrol[KaynakKartId],$A9,tblKontrol[BelgeDurum],"YOK"))</f>
        <v/>
      </c>
      <c r="J9" s="28">
        <f>IF($A9="","",SUMIF(tblAkis[KaynakKartId],$A9,tblAkis[Tutar]))</f>
        <v/>
      </c>
      <c r="K9" s="28">
        <f>IF($A9="","",IFERROR(AVERAGEIF(tblAkis[KaynakKartId],$A9,tblAkis[YasGun]),0))</f>
        <v/>
      </c>
    </row>
    <row r="10">
      <c r="A10" s="26" t="inlineStr">
        <is>
          <t>MUK-00005</t>
        </is>
      </c>
      <c r="B10" s="26" t="inlineStr">
        <is>
          <t>Arslan Enerji A.Ş.</t>
        </is>
      </c>
      <c r="C10" s="26" t="inlineStr">
        <is>
          <t>5678901234</t>
        </is>
      </c>
      <c r="D10" s="26" t="inlineStr">
        <is>
          <t>Antalya</t>
        </is>
      </c>
      <c r="E10" s="26" t="inlineStr">
        <is>
          <t>Yatırım İndirimi</t>
        </is>
      </c>
      <c r="F10" s="27" t="n">
        <v>950000</v>
      </c>
      <c r="G10" s="26" t="inlineStr">
        <is>
          <t>Normal</t>
        </is>
      </c>
      <c r="H10" s="26" t="inlineStr">
        <is>
          <t>EVET</t>
        </is>
      </c>
      <c r="I10" s="28">
        <f>IF($A10="","",COUNTIFS(tblKontrol[KaynakKartId],$A10,tblKontrol[BelgeDurum],"YOK"))</f>
        <v/>
      </c>
      <c r="J10" s="28">
        <f>IF($A10="","",SUMIF(tblAkis[KaynakKartId],$A10,tblAkis[Tutar]))</f>
        <v/>
      </c>
      <c r="K10" s="28">
        <f>IF($A10="","",IFERROR(AVERAGEIF(tblAkis[KaynakKartId],$A10,tblAkis[YasGun]),0))</f>
        <v/>
      </c>
    </row>
    <row r="11">
      <c r="A11" s="26" t="inlineStr">
        <is>
          <t>MUK-00006</t>
        </is>
      </c>
      <c r="B11" s="26" t="inlineStr">
        <is>
          <t>Çelik Metal Ltd.</t>
        </is>
      </c>
      <c r="C11" s="26" t="inlineStr">
        <is>
          <t>6789012345</t>
        </is>
      </c>
      <c r="D11" s="26" t="inlineStr">
        <is>
          <t>Kocaeli</t>
        </is>
      </c>
      <c r="E11" s="26" t="inlineStr">
        <is>
          <t>KDV İadesi</t>
        </is>
      </c>
      <c r="F11" s="27" t="n">
        <v>280000</v>
      </c>
      <c r="G11" s="26" t="inlineStr">
        <is>
          <t>Normal</t>
        </is>
      </c>
      <c r="H11" s="26" t="inlineStr">
        <is>
          <t>EVET</t>
        </is>
      </c>
      <c r="I11" s="28">
        <f>IF($A11="","",COUNTIFS(tblKontrol[KaynakKartId],$A11,tblKontrol[BelgeDurum],"YOK"))</f>
        <v/>
      </c>
      <c r="J11" s="28">
        <f>IF($A11="","",SUMIF(tblAkis[KaynakKartId],$A11,tblAkis[Tutar]))</f>
        <v/>
      </c>
      <c r="K11" s="28">
        <f>IF($A11="","",IFERROR(AVERAGEIF(tblAkis[KaynakKartId],$A11,tblAkis[YasGun]),0))</f>
        <v/>
      </c>
    </row>
    <row r="12">
      <c r="A12" s="26" t="inlineStr">
        <is>
          <t>MUK-00007</t>
        </is>
      </c>
      <c r="B12" s="26" t="inlineStr">
        <is>
          <t>Aydın Turizm A.Ş.</t>
        </is>
      </c>
      <c r="C12" s="26" t="inlineStr">
        <is>
          <t>7890123456</t>
        </is>
      </c>
      <c r="D12" s="26" t="inlineStr">
        <is>
          <t>Adana</t>
        </is>
      </c>
      <c r="E12" s="26" t="inlineStr">
        <is>
          <t>Yıllık Beyan</t>
        </is>
      </c>
      <c r="F12" s="27" t="n">
        <v>190000</v>
      </c>
      <c r="G12" s="26" t="inlineStr">
        <is>
          <t>Normal</t>
        </is>
      </c>
      <c r="H12" s="26" t="inlineStr">
        <is>
          <t>EVET</t>
        </is>
      </c>
      <c r="I12" s="28">
        <f>IF($A12="","",COUNTIFS(tblKontrol[KaynakKartId],$A12,tblKontrol[BelgeDurum],"YOK"))</f>
        <v/>
      </c>
      <c r="J12" s="28">
        <f>IF($A12="","",SUMIF(tblAkis[KaynakKartId],$A12,tblAkis[Tutar]))</f>
        <v/>
      </c>
      <c r="K12" s="28">
        <f>IF($A12="","",IFERROR(AVERAGEIF(tblAkis[KaynakKartId],$A12,tblAkis[YasGun]),0))</f>
        <v/>
      </c>
    </row>
    <row r="13">
      <c r="A13" s="26" t="inlineStr">
        <is>
          <t>MUK-00008</t>
        </is>
      </c>
      <c r="B13" s="26" t="inlineStr">
        <is>
          <t>Şahin Kimya Ltd.</t>
        </is>
      </c>
      <c r="C13" s="26" t="inlineStr">
        <is>
          <t>8901234567</t>
        </is>
      </c>
      <c r="D13" s="26" t="inlineStr">
        <is>
          <t>Gaziantep</t>
        </is>
      </c>
      <c r="E13" s="26" t="inlineStr">
        <is>
          <t>ÖTV Tasdik</t>
        </is>
      </c>
      <c r="F13" s="27" t="n">
        <v>410000</v>
      </c>
      <c r="G13" s="26" t="inlineStr">
        <is>
          <t>Normal</t>
        </is>
      </c>
      <c r="H13" s="26" t="inlineStr">
        <is>
          <t>EVET</t>
        </is>
      </c>
      <c r="I13" s="28">
        <f>IF($A13="","",COUNTIFS(tblKontrol[KaynakKartId],$A13,tblKontrol[BelgeDurum],"YOK"))</f>
        <v/>
      </c>
      <c r="J13" s="28">
        <f>IF($A13="","",SUMIF(tblAkis[KaynakKartId],$A13,tblAkis[Tutar]))</f>
        <v/>
      </c>
      <c r="K13" s="28">
        <f>IF($A13="","",IFERROR(AVERAGEIF(tblAkis[KaynakKartId],$A13,tblAkis[YasGun]),0))</f>
        <v/>
      </c>
    </row>
    <row r="14">
      <c r="A14" s="26" t="n"/>
      <c r="B14" s="26" t="n"/>
      <c r="C14" s="26" t="n"/>
      <c r="D14" s="26" t="n"/>
      <c r="E14" s="26" t="n"/>
      <c r="F14" s="27" t="n"/>
      <c r="G14" s="26" t="n"/>
      <c r="H14" s="26" t="n"/>
      <c r="I14" s="28">
        <f>IF($A14="","",COUNTIFS(tblKontrol[KaynakKartId],$A14,tblKontrol[BelgeDurum],"YOK"))</f>
        <v/>
      </c>
      <c r="J14" s="28">
        <f>IF($A14="","",SUMIF(tblAkis[KaynakKartId],$A14,tblAkis[Tutar]))</f>
        <v/>
      </c>
      <c r="K14" s="28">
        <f>IF($A14="","",IFERROR(AVERAGEIF(tblAkis[KaynakKartId],$A14,tblAkis[YasGun]),0))</f>
        <v/>
      </c>
    </row>
    <row r="15">
      <c r="A15" s="26" t="n"/>
      <c r="B15" s="26" t="n"/>
      <c r="C15" s="26" t="n"/>
      <c r="D15" s="26" t="n"/>
      <c r="E15" s="26" t="n"/>
      <c r="F15" s="27" t="n"/>
      <c r="G15" s="26" t="n"/>
      <c r="H15" s="26" t="n"/>
      <c r="I15" s="28">
        <f>IF($A15="","",COUNTIFS(tblKontrol[KaynakKartId],$A15,tblKontrol[BelgeDurum],"YOK"))</f>
        <v/>
      </c>
      <c r="J15" s="28">
        <f>IF($A15="","",SUMIF(tblAkis[KaynakKartId],$A15,tblAkis[Tutar]))</f>
        <v/>
      </c>
      <c r="K15" s="28">
        <f>IF($A15="","",IFERROR(AVERAGEIF(tblAkis[KaynakKartId],$A15,tblAkis[YasGun]),0))</f>
        <v/>
      </c>
    </row>
    <row r="16">
      <c r="A16" s="26" t="n"/>
      <c r="B16" s="26" t="n"/>
      <c r="C16" s="26" t="n"/>
      <c r="D16" s="26" t="n"/>
      <c r="E16" s="26" t="n"/>
      <c r="F16" s="27" t="n"/>
      <c r="G16" s="26" t="n"/>
      <c r="H16" s="26" t="n"/>
      <c r="I16" s="28">
        <f>IF($A16="","",COUNTIFS(tblKontrol[KaynakKartId],$A16,tblKontrol[BelgeDurum],"YOK"))</f>
        <v/>
      </c>
      <c r="J16" s="28">
        <f>IF($A16="","",SUMIF(tblAkis[KaynakKartId],$A16,tblAkis[Tutar]))</f>
        <v/>
      </c>
      <c r="K16" s="28">
        <f>IF($A16="","",IFERROR(AVERAGEIF(tblAkis[KaynakKartId],$A16,tblAkis[YasGun]),0))</f>
        <v/>
      </c>
    </row>
    <row r="17">
      <c r="A17" s="26" t="n"/>
      <c r="B17" s="26" t="n"/>
      <c r="C17" s="26" t="n"/>
      <c r="D17" s="26" t="n"/>
      <c r="E17" s="26" t="n"/>
      <c r="F17" s="27" t="n"/>
      <c r="G17" s="26" t="n"/>
      <c r="H17" s="26" t="n"/>
      <c r="I17" s="28">
        <f>IF($A17="","",COUNTIFS(tblKontrol[KaynakKartId],$A17,tblKontrol[BelgeDurum],"YOK"))</f>
        <v/>
      </c>
      <c r="J17" s="28">
        <f>IF($A17="","",SUMIF(tblAkis[KaynakKartId],$A17,tblAkis[Tutar]))</f>
        <v/>
      </c>
      <c r="K17" s="28">
        <f>IF($A17="","",IFERROR(AVERAGEIF(tblAkis[KaynakKartId],$A17,tblAkis[YasGun]),0))</f>
        <v/>
      </c>
    </row>
    <row r="18">
      <c r="A18" s="26" t="n"/>
      <c r="B18" s="26" t="n"/>
      <c r="C18" s="26" t="n"/>
      <c r="D18" s="26" t="n"/>
      <c r="E18" s="26" t="n"/>
      <c r="F18" s="27" t="n"/>
      <c r="G18" s="26" t="n"/>
      <c r="H18" s="26" t="n"/>
      <c r="I18" s="28">
        <f>IF($A18="","",COUNTIFS(tblKontrol[KaynakKartId],$A18,tblKontrol[BelgeDurum],"YOK"))</f>
        <v/>
      </c>
      <c r="J18" s="28">
        <f>IF($A18="","",SUMIF(tblAkis[KaynakKartId],$A18,tblAkis[Tutar]))</f>
        <v/>
      </c>
      <c r="K18" s="28">
        <f>IF($A18="","",IFERROR(AVERAGEIF(tblAkis[KaynakKartId],$A18,tblAkis[YasGun]),0))</f>
        <v/>
      </c>
    </row>
    <row r="19">
      <c r="A19" s="26" t="n"/>
      <c r="B19" s="26" t="n"/>
      <c r="C19" s="26" t="n"/>
      <c r="D19" s="26" t="n"/>
      <c r="E19" s="26" t="n"/>
      <c r="F19" s="27" t="n"/>
      <c r="G19" s="26" t="n"/>
      <c r="H19" s="26" t="n"/>
      <c r="I19" s="28">
        <f>IF($A19="","",COUNTIFS(tblKontrol[KaynakKartId],$A19,tblKontrol[BelgeDurum],"YOK"))</f>
        <v/>
      </c>
      <c r="J19" s="28">
        <f>IF($A19="","",SUMIF(tblAkis[KaynakKartId],$A19,tblAkis[Tutar]))</f>
        <v/>
      </c>
      <c r="K19" s="28">
        <f>IF($A19="","",IFERROR(AVERAGEIF(tblAkis[KaynakKartId],$A19,tblAkis[YasGun]),0))</f>
        <v/>
      </c>
    </row>
    <row r="20">
      <c r="A20" s="26" t="n"/>
      <c r="B20" s="26" t="n"/>
      <c r="C20" s="26" t="n"/>
      <c r="D20" s="26" t="n"/>
      <c r="E20" s="26" t="n"/>
      <c r="F20" s="27" t="n"/>
      <c r="G20" s="26" t="n"/>
      <c r="H20" s="26" t="n"/>
      <c r="I20" s="28">
        <f>IF($A20="","",COUNTIFS(tblKontrol[KaynakKartId],$A20,tblKontrol[BelgeDurum],"YOK"))</f>
        <v/>
      </c>
      <c r="J20" s="28">
        <f>IF($A20="","",SUMIF(tblAkis[KaynakKartId],$A20,tblAkis[Tutar]))</f>
        <v/>
      </c>
      <c r="K20" s="28">
        <f>IF($A20="","",IFERROR(AVERAGEIF(tblAkis[KaynakKartId],$A20,tblAkis[YasGun]),0))</f>
        <v/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26" t="n"/>
      <c r="I21" s="28">
        <f>IF($A21="","",COUNTIFS(tblKontrol[KaynakKartId],$A21,tblKontrol[BelgeDurum],"YOK"))</f>
        <v/>
      </c>
      <c r="J21" s="28">
        <f>IF($A21="","",SUMIF(tblAkis[KaynakKartId],$A21,tblAkis[Tutar]))</f>
        <v/>
      </c>
      <c r="K21" s="28">
        <f>IF($A21="","",IFERROR(AVERAGEIF(tblAkis[KaynakKartId],$A21,tblAkis[YasGun]),0))</f>
        <v/>
      </c>
    </row>
    <row r="22">
      <c r="A22" s="26" t="n"/>
      <c r="B22" s="26" t="n"/>
      <c r="C22" s="26" t="n"/>
      <c r="D22" s="26" t="n"/>
      <c r="E22" s="26" t="n"/>
      <c r="F22" s="27" t="n"/>
      <c r="G22" s="26" t="n"/>
      <c r="H22" s="26" t="n"/>
      <c r="I22" s="28">
        <f>IF($A22="","",COUNTIFS(tblKontrol[KaynakKartId],$A22,tblKontrol[BelgeDurum],"YOK"))</f>
        <v/>
      </c>
      <c r="J22" s="28">
        <f>IF($A22="","",SUMIF(tblAkis[KaynakKartId],$A22,tblAkis[Tutar]))</f>
        <v/>
      </c>
      <c r="K22" s="28">
        <f>IF($A22="","",IFERROR(AVERAGEIF(tblAkis[KaynakKartId],$A22,tblAkis[YasGun]),0))</f>
        <v/>
      </c>
    </row>
    <row r="23">
      <c r="A23" s="26" t="n"/>
      <c r="B23" s="26" t="n"/>
      <c r="C23" s="26" t="n"/>
      <c r="D23" s="26" t="n"/>
      <c r="E23" s="26" t="n"/>
      <c r="F23" s="27" t="n"/>
      <c r="G23" s="26" t="n"/>
      <c r="H23" s="26" t="n"/>
      <c r="I23" s="28">
        <f>IF($A23="","",COUNTIFS(tblKontrol[KaynakKartId],$A23,tblKontrol[BelgeDurum],"YOK"))</f>
        <v/>
      </c>
      <c r="J23" s="28">
        <f>IF($A23="","",SUMIF(tblAkis[KaynakKartId],$A23,tblAkis[Tutar]))</f>
        <v/>
      </c>
      <c r="K23" s="28">
        <f>IF($A23="","",IFERROR(AVERAGEIF(tblAkis[KaynakKartId],$A23,tblAkis[YasGun]),0))</f>
        <v/>
      </c>
    </row>
    <row r="24">
      <c r="A24" s="26" t="n"/>
      <c r="B24" s="26" t="n"/>
      <c r="C24" s="26" t="n"/>
      <c r="D24" s="26" t="n"/>
      <c r="E24" s="26" t="n"/>
      <c r="F24" s="27" t="n"/>
      <c r="G24" s="26" t="n"/>
      <c r="H24" s="26" t="n"/>
      <c r="I24" s="28">
        <f>IF($A24="","",COUNTIFS(tblKontrol[KaynakKartId],$A24,tblKontrol[BelgeDurum],"YOK"))</f>
        <v/>
      </c>
      <c r="J24" s="28">
        <f>IF($A24="","",SUMIF(tblAkis[KaynakKartId],$A24,tblAkis[Tutar]))</f>
        <v/>
      </c>
      <c r="K24" s="28">
        <f>IF($A24="","",IFERROR(AVERAGEIF(tblAkis[KaynakKartId],$A24,tblAkis[YasGun]),0))</f>
        <v/>
      </c>
    </row>
    <row r="25">
      <c r="A25" s="26" t="n"/>
      <c r="B25" s="26" t="n"/>
      <c r="C25" s="26" t="n"/>
      <c r="D25" s="26" t="n"/>
      <c r="E25" s="26" t="n"/>
      <c r="F25" s="27" t="n"/>
      <c r="G25" s="26" t="n"/>
      <c r="H25" s="26" t="n"/>
      <c r="I25" s="28">
        <f>IF($A25="","",COUNTIFS(tblKontrol[KaynakKartId],$A25,tblKontrol[BelgeDurum],"YOK"))</f>
        <v/>
      </c>
      <c r="J25" s="28">
        <f>IF($A25="","",SUMIF(tblAkis[KaynakKartId],$A25,tblAkis[Tutar]))</f>
        <v/>
      </c>
      <c r="K25" s="28">
        <f>IF($A25="","",IFERROR(AVERAGEIF(tblAkis[KaynakKartId],$A25,tblAkis[YasGun]),0))</f>
        <v/>
      </c>
    </row>
    <row r="26">
      <c r="A26" s="26" t="n"/>
      <c r="B26" s="26" t="n"/>
      <c r="C26" s="26" t="n"/>
      <c r="D26" s="26" t="n"/>
      <c r="E26" s="26" t="n"/>
      <c r="F26" s="27" t="n"/>
      <c r="G26" s="26" t="n"/>
      <c r="H26" s="26" t="n"/>
      <c r="I26" s="28">
        <f>IF($A26="","",COUNTIFS(tblKontrol[KaynakKartId],$A26,tblKontrol[BelgeDurum],"YOK"))</f>
        <v/>
      </c>
      <c r="J26" s="28">
        <f>IF($A26="","",SUMIF(tblAkis[KaynakKartId],$A26,tblAkis[Tutar]))</f>
        <v/>
      </c>
      <c r="K26" s="28">
        <f>IF($A26="","",IFERROR(AVERAGEIF(tblAkis[KaynakKartId],$A26,tblAkis[YasGun]),0))</f>
        <v/>
      </c>
    </row>
    <row r="27">
      <c r="A27" s="26" t="n"/>
      <c r="B27" s="26" t="n"/>
      <c r="C27" s="26" t="n"/>
      <c r="D27" s="26" t="n"/>
      <c r="E27" s="26" t="n"/>
      <c r="F27" s="27" t="n"/>
      <c r="G27" s="26" t="n"/>
      <c r="H27" s="26" t="n"/>
      <c r="I27" s="28">
        <f>IF($A27="","",COUNTIFS(tblKontrol[KaynakKartId],$A27,tblKontrol[BelgeDurum],"YOK"))</f>
        <v/>
      </c>
      <c r="J27" s="28">
        <f>IF($A27="","",SUMIF(tblAkis[KaynakKartId],$A27,tblAkis[Tutar]))</f>
        <v/>
      </c>
      <c r="K27" s="28">
        <f>IF($A27="","",IFERROR(AVERAGEIF(tblAkis[KaynakKartId],$A27,tblAkis[YasGun]),0))</f>
        <v/>
      </c>
    </row>
    <row r="28">
      <c r="A28" s="26" t="n"/>
      <c r="B28" s="26" t="n"/>
      <c r="C28" s="26" t="n"/>
      <c r="D28" s="26" t="n"/>
      <c r="E28" s="26" t="n"/>
      <c r="F28" s="27" t="n"/>
      <c r="G28" s="26" t="n"/>
      <c r="H28" s="26" t="n"/>
      <c r="I28" s="28">
        <f>IF($A28="","",COUNTIFS(tblKontrol[KaynakKartId],$A28,tblKontrol[BelgeDurum],"YOK"))</f>
        <v/>
      </c>
      <c r="J28" s="28">
        <f>IF($A28="","",SUMIF(tblAkis[KaynakKartId],$A28,tblAkis[Tutar]))</f>
        <v/>
      </c>
      <c r="K28" s="28">
        <f>IF($A28="","",IFERROR(AVERAGEIF(tblAkis[KaynakKartId],$A28,tblAkis[YasGun]),0))</f>
        <v/>
      </c>
    </row>
    <row r="29">
      <c r="A29" s="26" t="n"/>
      <c r="B29" s="26" t="n"/>
      <c r="C29" s="26" t="n"/>
      <c r="D29" s="26" t="n"/>
      <c r="E29" s="26" t="n"/>
      <c r="F29" s="27" t="n"/>
      <c r="G29" s="26" t="n"/>
      <c r="H29" s="26" t="n"/>
      <c r="I29" s="28">
        <f>IF($A29="","",COUNTIFS(tblKontrol[KaynakKartId],$A29,tblKontrol[BelgeDurum],"YOK"))</f>
        <v/>
      </c>
      <c r="J29" s="28">
        <f>IF($A29="","",SUMIF(tblAkis[KaynakKartId],$A29,tblAkis[Tutar]))</f>
        <v/>
      </c>
      <c r="K29" s="28">
        <f>IF($A29="","",IFERROR(AVERAGEIF(tblAkis[KaynakKartId],$A29,tblAkis[YasGun]),0))</f>
        <v/>
      </c>
    </row>
    <row r="30">
      <c r="A30" s="26" t="n"/>
      <c r="B30" s="26" t="n"/>
      <c r="C30" s="26" t="n"/>
      <c r="D30" s="26" t="n"/>
      <c r="E30" s="26" t="n"/>
      <c r="F30" s="27" t="n"/>
      <c r="G30" s="26" t="n"/>
      <c r="H30" s="26" t="n"/>
      <c r="I30" s="28">
        <f>IF($A30="","",COUNTIFS(tblKontrol[KaynakKartId],$A30,tblKontrol[BelgeDurum],"YOK"))</f>
        <v/>
      </c>
      <c r="J30" s="28">
        <f>IF($A30="","",SUMIF(tblAkis[KaynakKartId],$A30,tblAkis[Tutar]))</f>
        <v/>
      </c>
      <c r="K30" s="28">
        <f>IF($A30="","",IFERROR(AVERAGEIF(tblAkis[KaynakKartId],$A30,tblAkis[YasGun]),0))</f>
        <v/>
      </c>
    </row>
    <row r="31">
      <c r="A31" s="26" t="n"/>
      <c r="B31" s="26" t="n"/>
      <c r="C31" s="26" t="n"/>
      <c r="D31" s="26" t="n"/>
      <c r="E31" s="26" t="n"/>
      <c r="F31" s="27" t="n"/>
      <c r="G31" s="26" t="n"/>
      <c r="H31" s="26" t="n"/>
      <c r="I31" s="28">
        <f>IF($A31="","",COUNTIFS(tblKontrol[KaynakKartId],$A31,tblKontrol[BelgeDurum],"YOK"))</f>
        <v/>
      </c>
      <c r="J31" s="28">
        <f>IF($A31="","",SUMIF(tblAkis[KaynakKartId],$A31,tblAkis[Tutar]))</f>
        <v/>
      </c>
      <c r="K31" s="28">
        <f>IF($A31="","",IFERROR(AVERAGEIF(tblAkis[KaynakKartId],$A31,tblAkis[YasGun]),0))</f>
        <v/>
      </c>
    </row>
    <row r="32">
      <c r="A32" s="26" t="n"/>
      <c r="B32" s="26" t="n"/>
      <c r="C32" s="26" t="n"/>
      <c r="D32" s="26" t="n"/>
      <c r="E32" s="26" t="n"/>
      <c r="F32" s="27" t="n"/>
      <c r="G32" s="26" t="n"/>
      <c r="H32" s="26" t="n"/>
      <c r="I32" s="28">
        <f>IF($A32="","",COUNTIFS(tblKontrol[KaynakKartId],$A32,tblKontrol[BelgeDurum],"YOK"))</f>
        <v/>
      </c>
      <c r="J32" s="28">
        <f>IF($A32="","",SUMIF(tblAkis[KaynakKartId],$A32,tblAkis[Tutar]))</f>
        <v/>
      </c>
      <c r="K32" s="28">
        <f>IF($A32="","",IFERROR(AVERAGEIF(tblAkis[KaynakKartId],$A32,tblAkis[YasGun]),0))</f>
        <v/>
      </c>
    </row>
    <row r="33">
      <c r="A33" s="26" t="n"/>
      <c r="B33" s="26" t="n"/>
      <c r="C33" s="26" t="n"/>
      <c r="D33" s="26" t="n"/>
      <c r="E33" s="26" t="n"/>
      <c r="F33" s="27" t="n"/>
      <c r="G33" s="26" t="n"/>
      <c r="H33" s="26" t="n"/>
      <c r="I33" s="28">
        <f>IF($A33="","",COUNTIFS(tblKontrol[KaynakKartId],$A33,tblKontrol[BelgeDurum],"YOK"))</f>
        <v/>
      </c>
      <c r="J33" s="28">
        <f>IF($A33="","",SUMIF(tblAkis[KaynakKartId],$A33,tblAkis[Tutar]))</f>
        <v/>
      </c>
      <c r="K33" s="28">
        <f>IF($A33="","",IFERROR(AVERAGEIF(tblAkis[KaynakKartId],$A33,tblAkis[YasGun]),0))</f>
        <v/>
      </c>
    </row>
    <row r="34">
      <c r="A34" s="26" t="n"/>
      <c r="B34" s="26" t="n"/>
      <c r="C34" s="26" t="n"/>
      <c r="D34" s="26" t="n"/>
      <c r="E34" s="26" t="n"/>
      <c r="F34" s="27" t="n"/>
      <c r="G34" s="26" t="n"/>
      <c r="H34" s="26" t="n"/>
      <c r="I34" s="28">
        <f>IF($A34="","",COUNTIFS(tblKontrol[KaynakKartId],$A34,tblKontrol[BelgeDurum],"YOK"))</f>
        <v/>
      </c>
      <c r="J34" s="28">
        <f>IF($A34="","",SUMIF(tblAkis[KaynakKartId],$A34,tblAkis[Tutar]))</f>
        <v/>
      </c>
      <c r="K34" s="28">
        <f>IF($A34="","",IFERROR(AVERAGEIF(tblAkis[KaynakKartId],$A34,tblAkis[YasGun]),0))</f>
        <v/>
      </c>
    </row>
    <row r="35">
      <c r="A35" s="26" t="n"/>
      <c r="B35" s="26" t="n"/>
      <c r="C35" s="26" t="n"/>
      <c r="D35" s="26" t="n"/>
      <c r="E35" s="26" t="n"/>
      <c r="F35" s="27" t="n"/>
      <c r="G35" s="26" t="n"/>
      <c r="H35" s="26" t="n"/>
      <c r="I35" s="28">
        <f>IF($A35="","",COUNTIFS(tblKontrol[KaynakKartId],$A35,tblKontrol[BelgeDurum],"YOK"))</f>
        <v/>
      </c>
      <c r="J35" s="28">
        <f>IF($A35="","",SUMIF(tblAkis[KaynakKartId],$A35,tblAkis[Tutar]))</f>
        <v/>
      </c>
      <c r="K35" s="28">
        <f>IF($A35="","",IFERROR(AVERAGEIF(tblAkis[KaynakKartId],$A35,tblAkis[YasGun]),0))</f>
        <v/>
      </c>
    </row>
    <row r="36">
      <c r="A36" s="26" t="n"/>
      <c r="B36" s="26" t="n"/>
      <c r="C36" s="26" t="n"/>
      <c r="D36" s="26" t="n"/>
      <c r="E36" s="26" t="n"/>
      <c r="F36" s="27" t="n"/>
      <c r="G36" s="26" t="n"/>
      <c r="H36" s="26" t="n"/>
      <c r="I36" s="28">
        <f>IF($A36="","",COUNTIFS(tblKontrol[KaynakKartId],$A36,tblKontrol[BelgeDurum],"YOK"))</f>
        <v/>
      </c>
      <c r="J36" s="28">
        <f>IF($A36="","",SUMIF(tblAkis[KaynakKartId],$A36,tblAkis[Tutar]))</f>
        <v/>
      </c>
      <c r="K36" s="28">
        <f>IF($A36="","",IFERROR(AVERAGEIF(tblAkis[KaynakKartId],$A36,tblAkis[YasGun]),0))</f>
        <v/>
      </c>
    </row>
    <row r="37">
      <c r="A37" s="26" t="n"/>
      <c r="B37" s="26" t="n"/>
      <c r="C37" s="26" t="n"/>
      <c r="D37" s="26" t="n"/>
      <c r="E37" s="26" t="n"/>
      <c r="F37" s="27" t="n"/>
      <c r="G37" s="26" t="n"/>
      <c r="H37" s="26" t="n"/>
      <c r="I37" s="28">
        <f>IF($A37="","",COUNTIFS(tblKontrol[KaynakKartId],$A37,tblKontrol[BelgeDurum],"YOK"))</f>
        <v/>
      </c>
      <c r="J37" s="28">
        <f>IF($A37="","",SUMIF(tblAkis[KaynakKartId],$A37,tblAkis[Tutar]))</f>
        <v/>
      </c>
      <c r="K37" s="28">
        <f>IF($A37="","",IFERROR(AVERAGEIF(tblAkis[KaynakKartId],$A37,tblAkis[YasGun]),0))</f>
        <v/>
      </c>
    </row>
    <row r="38">
      <c r="A38" s="26" t="n"/>
      <c r="B38" s="26" t="n"/>
      <c r="C38" s="26" t="n"/>
      <c r="D38" s="26" t="n"/>
      <c r="E38" s="26" t="n"/>
      <c r="F38" s="27" t="n"/>
      <c r="G38" s="26" t="n"/>
      <c r="H38" s="26" t="n"/>
      <c r="I38" s="28">
        <f>IF($A38="","",COUNTIFS(tblKontrol[KaynakKartId],$A38,tblKontrol[BelgeDurum],"YOK"))</f>
        <v/>
      </c>
      <c r="J38" s="28">
        <f>IF($A38="","",SUMIF(tblAkis[KaynakKartId],$A38,tblAkis[Tutar]))</f>
        <v/>
      </c>
      <c r="K38" s="28">
        <f>IF($A38="","",IFERROR(AVERAGEIF(tblAkis[KaynakKartId],$A38,tblAkis[YasGun]),0))</f>
        <v/>
      </c>
    </row>
    <row r="39">
      <c r="A39" s="26" t="n"/>
      <c r="B39" s="26" t="n"/>
      <c r="C39" s="26" t="n"/>
      <c r="D39" s="26" t="n"/>
      <c r="E39" s="26" t="n"/>
      <c r="F39" s="27" t="n"/>
      <c r="G39" s="26" t="n"/>
      <c r="H39" s="26" t="n"/>
      <c r="I39" s="28">
        <f>IF($A39="","",COUNTIFS(tblKontrol[KaynakKartId],$A39,tblKontrol[BelgeDurum],"YOK"))</f>
        <v/>
      </c>
      <c r="J39" s="28">
        <f>IF($A39="","",SUMIF(tblAkis[KaynakKartId],$A39,tblAkis[Tutar]))</f>
        <v/>
      </c>
      <c r="K39" s="28">
        <f>IF($A39="","",IFERROR(AVERAGEIF(tblAkis[KaynakKartId],$A39,tblAkis[YasGun]),0))</f>
        <v/>
      </c>
    </row>
    <row r="40">
      <c r="A40" s="26" t="n"/>
      <c r="B40" s="26" t="n"/>
      <c r="C40" s="26" t="n"/>
      <c r="D40" s="26" t="n"/>
      <c r="E40" s="26" t="n"/>
      <c r="F40" s="27" t="n"/>
      <c r="G40" s="26" t="n"/>
      <c r="H40" s="26" t="n"/>
      <c r="I40" s="28">
        <f>IF($A40="","",COUNTIFS(tblKontrol[KaynakKartId],$A40,tblKontrol[BelgeDurum],"YOK"))</f>
        <v/>
      </c>
      <c r="J40" s="28">
        <f>IF($A40="","",SUMIF(tblAkis[KaynakKartId],$A40,tblAkis[Tutar]))</f>
        <v/>
      </c>
      <c r="K40" s="28">
        <f>IF($A40="","",IFERROR(AVERAGEIF(tblAkis[KaynakKartId],$A40,tblAkis[YasGun]),0))</f>
        <v/>
      </c>
    </row>
    <row r="41">
      <c r="A41" s="26" t="n"/>
      <c r="B41" s="26" t="n"/>
      <c r="C41" s="26" t="n"/>
      <c r="D41" s="26" t="n"/>
      <c r="E41" s="26" t="n"/>
      <c r="F41" s="27" t="n"/>
      <c r="G41" s="26" t="n"/>
      <c r="H41" s="26" t="n"/>
      <c r="I41" s="28">
        <f>IF($A41="","",COUNTIFS(tblKontrol[KaynakKartId],$A41,tblKontrol[BelgeDurum],"YOK"))</f>
        <v/>
      </c>
      <c r="J41" s="28">
        <f>IF($A41="","",SUMIF(tblAkis[KaynakKartId],$A41,tblAkis[Tutar]))</f>
        <v/>
      </c>
      <c r="K41" s="28">
        <f>IF($A41="","",IFERROR(AVERAGEIF(tblAkis[KaynakKartId],$A41,tblAkis[YasGun]),0))</f>
        <v/>
      </c>
    </row>
    <row r="42">
      <c r="A42" s="26" t="n"/>
      <c r="B42" s="26" t="n"/>
      <c r="C42" s="26" t="n"/>
      <c r="D42" s="26" t="n"/>
      <c r="E42" s="26" t="n"/>
      <c r="F42" s="27" t="n"/>
      <c r="G42" s="26" t="n"/>
      <c r="H42" s="26" t="n"/>
      <c r="I42" s="28">
        <f>IF($A42="","",COUNTIFS(tblKontrol[KaynakKartId],$A42,tblKontrol[BelgeDurum],"YOK"))</f>
        <v/>
      </c>
      <c r="J42" s="28">
        <f>IF($A42="","",SUMIF(tblAkis[KaynakKartId],$A42,tblAkis[Tutar]))</f>
        <v/>
      </c>
      <c r="K42" s="28">
        <f>IF($A42="","",IFERROR(AVERAGEIF(tblAkis[KaynakKartId],$A42,tblAkis[YasGun]),0))</f>
        <v/>
      </c>
    </row>
    <row r="43">
      <c r="A43" s="26" t="n"/>
      <c r="B43" s="26" t="n"/>
      <c r="C43" s="26" t="n"/>
      <c r="D43" s="26" t="n"/>
      <c r="E43" s="26" t="n"/>
      <c r="F43" s="27" t="n"/>
      <c r="G43" s="26" t="n"/>
      <c r="H43" s="26" t="n"/>
      <c r="I43" s="28">
        <f>IF($A43="","",COUNTIFS(tblKontrol[KaynakKartId],$A43,tblKontrol[BelgeDurum],"YOK"))</f>
        <v/>
      </c>
      <c r="J43" s="28">
        <f>IF($A43="","",SUMIF(tblAkis[KaynakKartId],$A43,tblAkis[Tutar]))</f>
        <v/>
      </c>
      <c r="K43" s="28">
        <f>IF($A43="","",IFERROR(AVERAGEIF(tblAkis[KaynakKartId],$A43,tblAkis[YasGun]),0))</f>
        <v/>
      </c>
    </row>
    <row r="44">
      <c r="A44" s="26" t="n"/>
      <c r="B44" s="26" t="n"/>
      <c r="C44" s="26" t="n"/>
      <c r="D44" s="26" t="n"/>
      <c r="E44" s="26" t="n"/>
      <c r="F44" s="27" t="n"/>
      <c r="G44" s="26" t="n"/>
      <c r="H44" s="26" t="n"/>
      <c r="I44" s="28">
        <f>IF($A44="","",COUNTIFS(tblKontrol[KaynakKartId],$A44,tblKontrol[BelgeDurum],"YOK"))</f>
        <v/>
      </c>
      <c r="J44" s="28">
        <f>IF($A44="","",SUMIF(tblAkis[KaynakKartId],$A44,tblAkis[Tutar]))</f>
        <v/>
      </c>
      <c r="K44" s="28">
        <f>IF($A44="","",IFERROR(AVERAGEIF(tblAkis[KaynakKartId],$A44,tblAkis[YasGun]),0))</f>
        <v/>
      </c>
    </row>
    <row r="45">
      <c r="A45" s="26" t="n"/>
      <c r="B45" s="26" t="n"/>
      <c r="C45" s="26" t="n"/>
      <c r="D45" s="26" t="n"/>
      <c r="E45" s="26" t="n"/>
      <c r="F45" s="27" t="n"/>
      <c r="G45" s="26" t="n"/>
      <c r="H45" s="26" t="n"/>
      <c r="I45" s="28">
        <f>IF($A45="","",COUNTIFS(tblKontrol[KaynakKartId],$A45,tblKontrol[BelgeDurum],"YOK"))</f>
        <v/>
      </c>
      <c r="J45" s="28">
        <f>IF($A45="","",SUMIF(tblAkis[KaynakKartId],$A45,tblAkis[Tutar]))</f>
        <v/>
      </c>
      <c r="K45" s="28">
        <f>IF($A45="","",IFERROR(AVERAGEIF(tblAkis[KaynakKartId],$A45,tblAkis[YasGun]),0))</f>
        <v/>
      </c>
    </row>
    <row r="46">
      <c r="A46" s="26" t="n"/>
      <c r="B46" s="26" t="n"/>
      <c r="C46" s="26" t="n"/>
      <c r="D46" s="26" t="n"/>
      <c r="E46" s="26" t="n"/>
      <c r="F46" s="27" t="n"/>
      <c r="G46" s="26" t="n"/>
      <c r="H46" s="26" t="n"/>
      <c r="I46" s="28">
        <f>IF($A46="","",COUNTIFS(tblKontrol[KaynakKartId],$A46,tblKontrol[BelgeDurum],"YOK"))</f>
        <v/>
      </c>
      <c r="J46" s="28">
        <f>IF($A46="","",SUMIF(tblAkis[KaynakKartId],$A46,tblAkis[Tutar]))</f>
        <v/>
      </c>
      <c r="K46" s="28">
        <f>IF($A46="","",IFERROR(AVERAGEIF(tblAkis[KaynakKartId],$A46,tblAkis[YasGun]),0))</f>
        <v/>
      </c>
    </row>
    <row r="47">
      <c r="A47" s="26" t="n"/>
      <c r="B47" s="26" t="n"/>
      <c r="C47" s="26" t="n"/>
      <c r="D47" s="26" t="n"/>
      <c r="E47" s="26" t="n"/>
      <c r="F47" s="27" t="n"/>
      <c r="G47" s="26" t="n"/>
      <c r="H47" s="26" t="n"/>
      <c r="I47" s="28">
        <f>IF($A47="","",COUNTIFS(tblKontrol[KaynakKartId],$A47,tblKontrol[BelgeDurum],"YOK"))</f>
        <v/>
      </c>
      <c r="J47" s="28">
        <f>IF($A47="","",SUMIF(tblAkis[KaynakKartId],$A47,tblAkis[Tutar]))</f>
        <v/>
      </c>
      <c r="K47" s="28">
        <f>IF($A47="","",IFERROR(AVERAGEIF(tblAkis[KaynakKartId],$A47,tblAkis[YasGun]),0))</f>
        <v/>
      </c>
    </row>
    <row r="48">
      <c r="A48" s="26" t="n"/>
      <c r="B48" s="26" t="n"/>
      <c r="C48" s="26" t="n"/>
      <c r="D48" s="26" t="n"/>
      <c r="E48" s="26" t="n"/>
      <c r="F48" s="27" t="n"/>
      <c r="G48" s="26" t="n"/>
      <c r="H48" s="26" t="n"/>
      <c r="I48" s="28">
        <f>IF($A48="","",COUNTIFS(tblKontrol[KaynakKartId],$A48,tblKontrol[BelgeDurum],"YOK"))</f>
        <v/>
      </c>
      <c r="J48" s="28">
        <f>IF($A48="","",SUMIF(tblAkis[KaynakKartId],$A48,tblAkis[Tutar]))</f>
        <v/>
      </c>
      <c r="K48" s="28">
        <f>IF($A48="","",IFERROR(AVERAGEIF(tblAkis[KaynakKartId],$A48,tblAkis[YasGun]),0))</f>
        <v/>
      </c>
    </row>
    <row r="49">
      <c r="A49" s="26" t="n"/>
      <c r="B49" s="26" t="n"/>
      <c r="C49" s="26" t="n"/>
      <c r="D49" s="26" t="n"/>
      <c r="E49" s="26" t="n"/>
      <c r="F49" s="27" t="n"/>
      <c r="G49" s="26" t="n"/>
      <c r="H49" s="26" t="n"/>
      <c r="I49" s="28">
        <f>IF($A49="","",COUNTIFS(tblKontrol[KaynakKartId],$A49,tblKontrol[BelgeDurum],"YOK"))</f>
        <v/>
      </c>
      <c r="J49" s="28">
        <f>IF($A49="","",SUMIF(tblAkis[KaynakKartId],$A49,tblAkis[Tutar]))</f>
        <v/>
      </c>
      <c r="K49" s="28">
        <f>IF($A49="","",IFERROR(AVERAGEIF(tblAkis[KaynakKartId],$A49,tblAkis[YasGun]),0))</f>
        <v/>
      </c>
    </row>
    <row r="50">
      <c r="A50" s="26" t="n"/>
      <c r="B50" s="26" t="n"/>
      <c r="C50" s="26" t="n"/>
      <c r="D50" s="26" t="n"/>
      <c r="E50" s="26" t="n"/>
      <c r="F50" s="27" t="n"/>
      <c r="G50" s="26" t="n"/>
      <c r="H50" s="26" t="n"/>
      <c r="I50" s="28">
        <f>IF($A50="","",COUNTIFS(tblKontrol[KaynakKartId],$A50,tblKontrol[BelgeDurum],"YOK"))</f>
        <v/>
      </c>
      <c r="J50" s="28">
        <f>IF($A50="","",SUMIF(tblAkis[KaynakKartId],$A50,tblAkis[Tutar]))</f>
        <v/>
      </c>
      <c r="K50" s="28">
        <f>IF($A50="","",IFERROR(AVERAGEIF(tblAkis[KaynakKartId],$A50,tblAkis[YasGun]),0))</f>
        <v/>
      </c>
    </row>
    <row r="51">
      <c r="A51" s="26" t="n"/>
      <c r="B51" s="26" t="n"/>
      <c r="C51" s="26" t="n"/>
      <c r="D51" s="26" t="n"/>
      <c r="E51" s="26" t="n"/>
      <c r="F51" s="27" t="n"/>
      <c r="G51" s="26" t="n"/>
      <c r="H51" s="26" t="n"/>
      <c r="I51" s="28">
        <f>IF($A51="","",COUNTIFS(tblKontrol[KaynakKartId],$A51,tblKontrol[BelgeDurum],"YOK"))</f>
        <v/>
      </c>
      <c r="J51" s="28">
        <f>IF($A51="","",SUMIF(tblAkis[KaynakKartId],$A51,tblAkis[Tutar]))</f>
        <v/>
      </c>
      <c r="K51" s="28">
        <f>IF($A51="","",IFERROR(AVERAGEIF(tblAkis[KaynakKartId],$A51,tblAkis[YasGun]),0))</f>
        <v/>
      </c>
    </row>
    <row r="52">
      <c r="A52" s="26" t="n"/>
      <c r="B52" s="26" t="n"/>
      <c r="C52" s="26" t="n"/>
      <c r="D52" s="26" t="n"/>
      <c r="E52" s="26" t="n"/>
      <c r="F52" s="27" t="n"/>
      <c r="G52" s="26" t="n"/>
      <c r="H52" s="26" t="n"/>
      <c r="I52" s="28">
        <f>IF($A52="","",COUNTIFS(tblKontrol[KaynakKartId],$A52,tblKontrol[BelgeDurum],"YOK"))</f>
        <v/>
      </c>
      <c r="J52" s="28">
        <f>IF($A52="","",SUMIF(tblAkis[KaynakKartId],$A52,tblAkis[Tutar]))</f>
        <v/>
      </c>
      <c r="K52" s="28">
        <f>IF($A52="","",IFERROR(AVERAGEIF(tblAkis[KaynakKartId],$A52,tblAkis[YasGun]),0))</f>
        <v/>
      </c>
    </row>
    <row r="53">
      <c r="A53" s="26" t="n"/>
      <c r="B53" s="26" t="n"/>
      <c r="C53" s="26" t="n"/>
      <c r="D53" s="26" t="n"/>
      <c r="E53" s="26" t="n"/>
      <c r="F53" s="27" t="n"/>
      <c r="G53" s="26" t="n"/>
      <c r="H53" s="26" t="n"/>
      <c r="I53" s="28">
        <f>IF($A53="","",COUNTIFS(tblKontrol[KaynakKartId],$A53,tblKontrol[BelgeDurum],"YOK"))</f>
        <v/>
      </c>
      <c r="J53" s="28">
        <f>IF($A53="","",SUMIF(tblAkis[KaynakKartId],$A53,tblAkis[Tutar]))</f>
        <v/>
      </c>
      <c r="K53" s="28">
        <f>IF($A53="","",IFERROR(AVERAGEIF(tblAkis[KaynakKartId],$A53,tblAkis[YasGun]),0))</f>
        <v/>
      </c>
    </row>
    <row r="54">
      <c r="A54" s="26" t="n"/>
      <c r="B54" s="26" t="n"/>
      <c r="C54" s="26" t="n"/>
      <c r="D54" s="26" t="n"/>
      <c r="E54" s="26" t="n"/>
      <c r="F54" s="27" t="n"/>
      <c r="G54" s="26" t="n"/>
      <c r="H54" s="26" t="n"/>
      <c r="I54" s="28">
        <f>IF($A54="","",COUNTIFS(tblKontrol[KaynakKartId],$A54,tblKontrol[BelgeDurum],"YOK"))</f>
        <v/>
      </c>
      <c r="J54" s="28">
        <f>IF($A54="","",SUMIF(tblAkis[KaynakKartId],$A54,tblAkis[Tutar]))</f>
        <v/>
      </c>
      <c r="K54" s="28">
        <f>IF($A54="","",IFERROR(AVERAGEIF(tblAkis[KaynakKartId],$A54,tblAkis[YasGun]),0))</f>
        <v/>
      </c>
    </row>
    <row r="55">
      <c r="A55" s="26" t="n"/>
      <c r="B55" s="26" t="n"/>
      <c r="C55" s="26" t="n"/>
      <c r="D55" s="26" t="n"/>
      <c r="E55" s="26" t="n"/>
      <c r="F55" s="27" t="n"/>
      <c r="G55" s="26" t="n"/>
      <c r="H55" s="26" t="n"/>
      <c r="I55" s="28">
        <f>IF($A55="","",COUNTIFS(tblKontrol[KaynakKartId],$A55,tblKontrol[BelgeDurum],"YOK"))</f>
        <v/>
      </c>
      <c r="J55" s="28">
        <f>IF($A55="","",SUMIF(tblAkis[KaynakKartId],$A55,tblAkis[Tutar]))</f>
        <v/>
      </c>
      <c r="K55" s="28">
        <f>IF($A55="","",IFERROR(AVERAGEIF(tblAkis[KaynakKartId],$A55,tblAkis[YasGun]),0))</f>
        <v/>
      </c>
    </row>
    <row r="56">
      <c r="A56" s="26" t="n"/>
      <c r="B56" s="26" t="n"/>
      <c r="C56" s="26" t="n"/>
      <c r="D56" s="26" t="n"/>
      <c r="E56" s="26" t="n"/>
      <c r="F56" s="27" t="n"/>
      <c r="G56" s="26" t="n"/>
      <c r="H56" s="26" t="n"/>
      <c r="I56" s="28">
        <f>IF($A56="","",COUNTIFS(tblKontrol[KaynakKartId],$A56,tblKontrol[BelgeDurum],"YOK"))</f>
        <v/>
      </c>
      <c r="J56" s="28">
        <f>IF($A56="","",SUMIF(tblAkis[KaynakKartId],$A56,tblAkis[Tutar]))</f>
        <v/>
      </c>
      <c r="K56" s="28">
        <f>IF($A56="","",IFERROR(AVERAGEIF(tblAkis[KaynakKartId],$A56,tblAkis[YasGun]),0))</f>
        <v/>
      </c>
    </row>
    <row r="57">
      <c r="A57" s="26" t="n"/>
      <c r="B57" s="26" t="n"/>
      <c r="C57" s="26" t="n"/>
      <c r="D57" s="26" t="n"/>
      <c r="E57" s="26" t="n"/>
      <c r="F57" s="27" t="n"/>
      <c r="G57" s="26" t="n"/>
      <c r="H57" s="26" t="n"/>
      <c r="I57" s="28">
        <f>IF($A57="","",COUNTIFS(tblKontrol[KaynakKartId],$A57,tblKontrol[BelgeDurum],"YOK"))</f>
        <v/>
      </c>
      <c r="J57" s="28">
        <f>IF($A57="","",SUMIF(tblAkis[KaynakKartId],$A57,tblAkis[Tutar]))</f>
        <v/>
      </c>
      <c r="K57" s="28">
        <f>IF($A57="","",IFERROR(AVERAGEIF(tblAkis[KaynakKartId],$A57,tblAkis[YasGun]),0))</f>
        <v/>
      </c>
    </row>
    <row r="58">
      <c r="A58" s="26" t="n"/>
      <c r="B58" s="26" t="n"/>
      <c r="C58" s="26" t="n"/>
      <c r="D58" s="26" t="n"/>
      <c r="E58" s="26" t="n"/>
      <c r="F58" s="27" t="n"/>
      <c r="G58" s="26" t="n"/>
      <c r="H58" s="26" t="n"/>
      <c r="I58" s="28">
        <f>IF($A58="","",COUNTIFS(tblKontrol[KaynakKartId],$A58,tblKontrol[BelgeDurum],"YOK"))</f>
        <v/>
      </c>
      <c r="J58" s="28">
        <f>IF($A58="","",SUMIF(tblAkis[KaynakKartId],$A58,tblAkis[Tutar]))</f>
        <v/>
      </c>
      <c r="K58" s="28">
        <f>IF($A58="","",IFERROR(AVERAGEIF(tblAkis[KaynakKartId],$A58,tblAkis[YasGun]),0))</f>
        <v/>
      </c>
    </row>
    <row r="59">
      <c r="A59" s="26" t="n"/>
      <c r="B59" s="26" t="n"/>
      <c r="C59" s="26" t="n"/>
      <c r="D59" s="26" t="n"/>
      <c r="E59" s="26" t="n"/>
      <c r="F59" s="27" t="n"/>
      <c r="G59" s="26" t="n"/>
      <c r="H59" s="26" t="n"/>
      <c r="I59" s="28">
        <f>IF($A59="","",COUNTIFS(tblKontrol[KaynakKartId],$A59,tblKontrol[BelgeDurum],"YOK"))</f>
        <v/>
      </c>
      <c r="J59" s="28">
        <f>IF($A59="","",SUMIF(tblAkis[KaynakKartId],$A59,tblAkis[Tutar]))</f>
        <v/>
      </c>
      <c r="K59" s="28">
        <f>IF($A59="","",IFERROR(AVERAGEIF(tblAkis[KaynakKartId],$A59,tblAkis[YasGun]),0))</f>
        <v/>
      </c>
    </row>
    <row r="60">
      <c r="A60" s="26" t="n"/>
      <c r="B60" s="26" t="n"/>
      <c r="C60" s="26" t="n"/>
      <c r="D60" s="26" t="n"/>
      <c r="E60" s="26" t="n"/>
      <c r="F60" s="27" t="n"/>
      <c r="G60" s="26" t="n"/>
      <c r="H60" s="26" t="n"/>
      <c r="I60" s="28">
        <f>IF($A60="","",COUNTIFS(tblKontrol[KaynakKartId],$A60,tblKontrol[BelgeDurum],"YOK"))</f>
        <v/>
      </c>
      <c r="J60" s="28">
        <f>IF($A60="","",SUMIF(tblAkis[KaynakKartId],$A60,tblAkis[Tutar]))</f>
        <v/>
      </c>
      <c r="K60" s="28">
        <f>IF($A60="","",IFERROR(AVERAGEIF(tblAkis[KaynakKartId],$A60,tblAkis[YasGun]),0))</f>
        <v/>
      </c>
    </row>
    <row r="61">
      <c r="A61" s="26" t="n"/>
      <c r="B61" s="26" t="n"/>
      <c r="C61" s="26" t="n"/>
      <c r="D61" s="26" t="n"/>
      <c r="E61" s="26" t="n"/>
      <c r="F61" s="27" t="n"/>
      <c r="G61" s="26" t="n"/>
      <c r="H61" s="26" t="n"/>
      <c r="I61" s="28">
        <f>IF($A61="","",COUNTIFS(tblKontrol[KaynakKartId],$A61,tblKontrol[BelgeDurum],"YOK"))</f>
        <v/>
      </c>
      <c r="J61" s="28">
        <f>IF($A61="","",SUMIF(tblAkis[KaynakKartId],$A61,tblAkis[Tutar]))</f>
        <v/>
      </c>
      <c r="K61" s="28">
        <f>IF($A61="","",IFERROR(AVERAGEIF(tblAkis[KaynakKartId],$A61,tblAkis[YasGun]),0))</f>
        <v/>
      </c>
    </row>
    <row r="62">
      <c r="A62" s="26" t="n"/>
      <c r="B62" s="26" t="n"/>
      <c r="C62" s="26" t="n"/>
      <c r="D62" s="26" t="n"/>
      <c r="E62" s="26" t="n"/>
      <c r="F62" s="27" t="n"/>
      <c r="G62" s="26" t="n"/>
      <c r="H62" s="26" t="n"/>
      <c r="I62" s="28">
        <f>IF($A62="","",COUNTIFS(tblKontrol[KaynakKartId],$A62,tblKontrol[BelgeDurum],"YOK"))</f>
        <v/>
      </c>
      <c r="J62" s="28">
        <f>IF($A62="","",SUMIF(tblAkis[KaynakKartId],$A62,tblAkis[Tutar]))</f>
        <v/>
      </c>
      <c r="K62" s="28">
        <f>IF($A62="","",IFERROR(AVERAGEIF(tblAkis[KaynakKartId],$A62,tblAkis[YasGun]),0))</f>
        <v/>
      </c>
    </row>
    <row r="63">
      <c r="A63" s="26" t="n"/>
      <c r="B63" s="26" t="n"/>
      <c r="C63" s="26" t="n"/>
      <c r="D63" s="26" t="n"/>
      <c r="E63" s="26" t="n"/>
      <c r="F63" s="27" t="n"/>
      <c r="G63" s="26" t="n"/>
      <c r="H63" s="26" t="n"/>
      <c r="I63" s="28">
        <f>IF($A63="","",COUNTIFS(tblKontrol[KaynakKartId],$A63,tblKontrol[BelgeDurum],"YOK"))</f>
        <v/>
      </c>
      <c r="J63" s="28">
        <f>IF($A63="","",SUMIF(tblAkis[KaynakKartId],$A63,tblAkis[Tutar]))</f>
        <v/>
      </c>
      <c r="K63" s="28">
        <f>IF($A63="","",IFERROR(AVERAGEIF(tblAkis[KaynakKartId],$A63,tblAkis[YasGun]),0))</f>
        <v/>
      </c>
    </row>
    <row r="64">
      <c r="A64" s="26" t="n"/>
      <c r="B64" s="26" t="n"/>
      <c r="C64" s="26" t="n"/>
      <c r="D64" s="26" t="n"/>
      <c r="E64" s="26" t="n"/>
      <c r="F64" s="27" t="n"/>
      <c r="G64" s="26" t="n"/>
      <c r="H64" s="26" t="n"/>
      <c r="I64" s="28">
        <f>IF($A64="","",COUNTIFS(tblKontrol[KaynakKartId],$A64,tblKontrol[BelgeDurum],"YOK"))</f>
        <v/>
      </c>
      <c r="J64" s="28">
        <f>IF($A64="","",SUMIF(tblAkis[KaynakKartId],$A64,tblAkis[Tutar]))</f>
        <v/>
      </c>
      <c r="K64" s="28">
        <f>IF($A64="","",IFERROR(AVERAGEIF(tblAkis[KaynakKartId],$A64,tblAkis[YasGun]),0))</f>
        <v/>
      </c>
    </row>
    <row r="65">
      <c r="A65" s="26" t="n"/>
      <c r="B65" s="26" t="n"/>
      <c r="C65" s="26" t="n"/>
      <c r="D65" s="26" t="n"/>
      <c r="E65" s="26" t="n"/>
      <c r="F65" s="27" t="n"/>
      <c r="G65" s="26" t="n"/>
      <c r="H65" s="26" t="n"/>
      <c r="I65" s="28">
        <f>IF($A65="","",COUNTIFS(tblKontrol[KaynakKartId],$A65,tblKontrol[BelgeDurum],"YOK"))</f>
        <v/>
      </c>
      <c r="J65" s="28">
        <f>IF($A65="","",SUMIF(tblAkis[KaynakKartId],$A65,tblAkis[Tutar]))</f>
        <v/>
      </c>
      <c r="K65" s="28">
        <f>IF($A65="","",IFERROR(AVERAGEIF(tblAkis[KaynakKartId],$A65,tblAkis[YasGun]),0))</f>
        <v/>
      </c>
    </row>
    <row r="66">
      <c r="A66" s="26" t="n"/>
      <c r="B66" s="26" t="n"/>
      <c r="C66" s="26" t="n"/>
      <c r="D66" s="26" t="n"/>
      <c r="E66" s="26" t="n"/>
      <c r="F66" s="27" t="n"/>
      <c r="G66" s="26" t="n"/>
      <c r="H66" s="26" t="n"/>
      <c r="I66" s="28">
        <f>IF($A66="","",COUNTIFS(tblKontrol[KaynakKartId],$A66,tblKontrol[BelgeDurum],"YOK"))</f>
        <v/>
      </c>
      <c r="J66" s="28">
        <f>IF($A66="","",SUMIF(tblAkis[KaynakKartId],$A66,tblAkis[Tutar]))</f>
        <v/>
      </c>
      <c r="K66" s="28">
        <f>IF($A66="","",IFERROR(AVERAGEIF(tblAkis[KaynakKartId],$A66,tblAkis[YasGun]),0))</f>
        <v/>
      </c>
    </row>
    <row r="67">
      <c r="A67" s="26" t="n"/>
      <c r="B67" s="26" t="n"/>
      <c r="C67" s="26" t="n"/>
      <c r="D67" s="26" t="n"/>
      <c r="E67" s="26" t="n"/>
      <c r="F67" s="27" t="n"/>
      <c r="G67" s="26" t="n"/>
      <c r="H67" s="26" t="n"/>
      <c r="I67" s="28">
        <f>IF($A67="","",COUNTIFS(tblKontrol[KaynakKartId],$A67,tblKontrol[BelgeDurum],"YOK"))</f>
        <v/>
      </c>
      <c r="J67" s="28">
        <f>IF($A67="","",SUMIF(tblAkis[KaynakKartId],$A67,tblAkis[Tutar]))</f>
        <v/>
      </c>
      <c r="K67" s="28">
        <f>IF($A67="","",IFERROR(AVERAGEIF(tblAkis[KaynakKartId],$A67,tblAkis[YasGun]),0))</f>
        <v/>
      </c>
    </row>
    <row r="68">
      <c r="A68" s="26" t="n"/>
      <c r="B68" s="26" t="n"/>
      <c r="C68" s="26" t="n"/>
      <c r="D68" s="26" t="n"/>
      <c r="E68" s="26" t="n"/>
      <c r="F68" s="27" t="n"/>
      <c r="G68" s="26" t="n"/>
      <c r="H68" s="26" t="n"/>
      <c r="I68" s="28">
        <f>IF($A68="","",COUNTIFS(tblKontrol[KaynakKartId],$A68,tblKontrol[BelgeDurum],"YOK"))</f>
        <v/>
      </c>
      <c r="J68" s="28">
        <f>IF($A68="","",SUMIF(tblAkis[KaynakKartId],$A68,tblAkis[Tutar]))</f>
        <v/>
      </c>
      <c r="K68" s="28">
        <f>IF($A68="","",IFERROR(AVERAGEIF(tblAkis[KaynakKartId],$A68,tblAkis[YasGun]),0))</f>
        <v/>
      </c>
    </row>
    <row r="69">
      <c r="A69" s="26" t="n"/>
      <c r="B69" s="26" t="n"/>
      <c r="C69" s="26" t="n"/>
      <c r="D69" s="26" t="n"/>
      <c r="E69" s="26" t="n"/>
      <c r="F69" s="27" t="n"/>
      <c r="G69" s="26" t="n"/>
      <c r="H69" s="26" t="n"/>
      <c r="I69" s="28">
        <f>IF($A69="","",COUNTIFS(tblKontrol[KaynakKartId],$A69,tblKontrol[BelgeDurum],"YOK"))</f>
        <v/>
      </c>
      <c r="J69" s="28">
        <f>IF($A69="","",SUMIF(tblAkis[KaynakKartId],$A69,tblAkis[Tutar]))</f>
        <v/>
      </c>
      <c r="K69" s="28">
        <f>IF($A69="","",IFERROR(AVERAGEIF(tblAkis[KaynakKartId],$A69,tblAkis[YasGun]),0))</f>
        <v/>
      </c>
    </row>
    <row r="70">
      <c r="A70" s="26" t="n"/>
      <c r="B70" s="26" t="n"/>
      <c r="C70" s="26" t="n"/>
      <c r="D70" s="26" t="n"/>
      <c r="E70" s="26" t="n"/>
      <c r="F70" s="27" t="n"/>
      <c r="G70" s="26" t="n"/>
      <c r="H70" s="26" t="n"/>
      <c r="I70" s="28">
        <f>IF($A70="","",COUNTIFS(tblKontrol[KaynakKartId],$A70,tblKontrol[BelgeDurum],"YOK"))</f>
        <v/>
      </c>
      <c r="J70" s="28">
        <f>IF($A70="","",SUMIF(tblAkis[KaynakKartId],$A70,tblAkis[Tutar]))</f>
        <v/>
      </c>
      <c r="K70" s="28">
        <f>IF($A70="","",IFERROR(AVERAGEIF(tblAkis[KaynakKartId],$A70,tblAkis[YasGun]),0))</f>
        <v/>
      </c>
    </row>
    <row r="71">
      <c r="A71" s="26" t="n"/>
      <c r="B71" s="26" t="n"/>
      <c r="C71" s="26" t="n"/>
      <c r="D71" s="26" t="n"/>
      <c r="E71" s="26" t="n"/>
      <c r="F71" s="27" t="n"/>
      <c r="G71" s="26" t="n"/>
      <c r="H71" s="26" t="n"/>
      <c r="I71" s="28">
        <f>IF($A71="","",COUNTIFS(tblKontrol[KaynakKartId],$A71,tblKontrol[BelgeDurum],"YOK"))</f>
        <v/>
      </c>
      <c r="J71" s="28">
        <f>IF($A71="","",SUMIF(tblAkis[KaynakKartId],$A71,tblAkis[Tutar]))</f>
        <v/>
      </c>
      <c r="K71" s="28">
        <f>IF($A71="","",IFERROR(AVERAGEIF(tblAkis[KaynakKartId],$A71,tblAkis[YasGun]),0))</f>
        <v/>
      </c>
    </row>
    <row r="72">
      <c r="A72" s="26" t="n"/>
      <c r="B72" s="26" t="n"/>
      <c r="C72" s="26" t="n"/>
      <c r="D72" s="26" t="n"/>
      <c r="E72" s="26" t="n"/>
      <c r="F72" s="27" t="n"/>
      <c r="G72" s="26" t="n"/>
      <c r="H72" s="26" t="n"/>
      <c r="I72" s="28">
        <f>IF($A72="","",COUNTIFS(tblKontrol[KaynakKartId],$A72,tblKontrol[BelgeDurum],"YOK"))</f>
        <v/>
      </c>
      <c r="J72" s="28">
        <f>IF($A72="","",SUMIF(tblAkis[KaynakKartId],$A72,tblAkis[Tutar]))</f>
        <v/>
      </c>
      <c r="K72" s="28">
        <f>IF($A72="","",IFERROR(AVERAGEIF(tblAkis[KaynakKartId],$A72,tblAkis[YasGun]),0))</f>
        <v/>
      </c>
    </row>
    <row r="73">
      <c r="A73" s="26" t="n"/>
      <c r="B73" s="26" t="n"/>
      <c r="C73" s="26" t="n"/>
      <c r="D73" s="26" t="n"/>
      <c r="E73" s="26" t="n"/>
      <c r="F73" s="27" t="n"/>
      <c r="G73" s="26" t="n"/>
      <c r="H73" s="26" t="n"/>
      <c r="I73" s="28">
        <f>IF($A73="","",COUNTIFS(tblKontrol[KaynakKartId],$A73,tblKontrol[BelgeDurum],"YOK"))</f>
        <v/>
      </c>
      <c r="J73" s="28">
        <f>IF($A73="","",SUMIF(tblAkis[KaynakKartId],$A73,tblAkis[Tutar]))</f>
        <v/>
      </c>
      <c r="K73" s="28">
        <f>IF($A73="","",IFERROR(AVERAGEIF(tblAkis[KaynakKartId],$A73,tblAkis[YasGun]),0))</f>
        <v/>
      </c>
    </row>
    <row r="74">
      <c r="A74" s="26" t="n"/>
      <c r="B74" s="26" t="n"/>
      <c r="C74" s="26" t="n"/>
      <c r="D74" s="26" t="n"/>
      <c r="E74" s="26" t="n"/>
      <c r="F74" s="27" t="n"/>
      <c r="G74" s="26" t="n"/>
      <c r="H74" s="26" t="n"/>
      <c r="I74" s="28">
        <f>IF($A74="","",COUNTIFS(tblKontrol[KaynakKartId],$A74,tblKontrol[BelgeDurum],"YOK"))</f>
        <v/>
      </c>
      <c r="J74" s="28">
        <f>IF($A74="","",SUMIF(tblAkis[KaynakKartId],$A74,tblAkis[Tutar]))</f>
        <v/>
      </c>
      <c r="K74" s="28">
        <f>IF($A74="","",IFERROR(AVERAGEIF(tblAkis[KaynakKartId],$A74,tblAkis[YasGun]),0))</f>
        <v/>
      </c>
    </row>
    <row r="75">
      <c r="A75" s="26" t="n"/>
      <c r="B75" s="26" t="n"/>
      <c r="C75" s="26" t="n"/>
      <c r="D75" s="26" t="n"/>
      <c r="E75" s="26" t="n"/>
      <c r="F75" s="27" t="n"/>
      <c r="G75" s="26" t="n"/>
      <c r="H75" s="26" t="n"/>
      <c r="I75" s="28">
        <f>IF($A75="","",COUNTIFS(tblKontrol[KaynakKartId],$A75,tblKontrol[BelgeDurum],"YOK"))</f>
        <v/>
      </c>
      <c r="J75" s="28">
        <f>IF($A75="","",SUMIF(tblAkis[KaynakKartId],$A75,tblAkis[Tutar]))</f>
        <v/>
      </c>
      <c r="K75" s="28">
        <f>IF($A75="","",IFERROR(AVERAGEIF(tblAkis[KaynakKartId],$A75,tblAkis[YasGun]),0))</f>
        <v/>
      </c>
    </row>
    <row r="76">
      <c r="A76" s="26" t="n"/>
      <c r="B76" s="26" t="n"/>
      <c r="C76" s="26" t="n"/>
      <c r="D76" s="26" t="n"/>
      <c r="E76" s="26" t="n"/>
      <c r="F76" s="27" t="n"/>
      <c r="G76" s="26" t="n"/>
      <c r="H76" s="26" t="n"/>
      <c r="I76" s="28">
        <f>IF($A76="","",COUNTIFS(tblKontrol[KaynakKartId],$A76,tblKontrol[BelgeDurum],"YOK"))</f>
        <v/>
      </c>
      <c r="J76" s="28">
        <f>IF($A76="","",SUMIF(tblAkis[KaynakKartId],$A76,tblAkis[Tutar]))</f>
        <v/>
      </c>
      <c r="K76" s="28">
        <f>IF($A76="","",IFERROR(AVERAGEIF(tblAkis[KaynakKartId],$A76,tblAkis[YasGun]),0))</f>
        <v/>
      </c>
    </row>
    <row r="77">
      <c r="A77" s="26" t="n"/>
      <c r="B77" s="26" t="n"/>
      <c r="C77" s="26" t="n"/>
      <c r="D77" s="26" t="n"/>
      <c r="E77" s="26" t="n"/>
      <c r="F77" s="27" t="n"/>
      <c r="G77" s="26" t="n"/>
      <c r="H77" s="26" t="n"/>
      <c r="I77" s="28">
        <f>IF($A77="","",COUNTIFS(tblKontrol[KaynakKartId],$A77,tblKontrol[BelgeDurum],"YOK"))</f>
        <v/>
      </c>
      <c r="J77" s="28">
        <f>IF($A77="","",SUMIF(tblAkis[KaynakKartId],$A77,tblAkis[Tutar]))</f>
        <v/>
      </c>
      <c r="K77" s="28">
        <f>IF($A77="","",IFERROR(AVERAGEIF(tblAkis[KaynakKartId],$A77,tblAkis[YasGun]),0))</f>
        <v/>
      </c>
    </row>
    <row r="78">
      <c r="A78" s="26" t="n"/>
      <c r="B78" s="26" t="n"/>
      <c r="C78" s="26" t="n"/>
      <c r="D78" s="26" t="n"/>
      <c r="E78" s="26" t="n"/>
      <c r="F78" s="27" t="n"/>
      <c r="G78" s="26" t="n"/>
      <c r="H78" s="26" t="n"/>
      <c r="I78" s="28">
        <f>IF($A78="","",COUNTIFS(tblKontrol[KaynakKartId],$A78,tblKontrol[BelgeDurum],"YOK"))</f>
        <v/>
      </c>
      <c r="J78" s="28">
        <f>IF($A78="","",SUMIF(tblAkis[KaynakKartId],$A78,tblAkis[Tutar]))</f>
        <v/>
      </c>
      <c r="K78" s="28">
        <f>IF($A78="","",IFERROR(AVERAGEIF(tblAkis[KaynakKartId],$A78,tblAkis[YasGun]),0))</f>
        <v/>
      </c>
    </row>
    <row r="79">
      <c r="A79" s="26" t="n"/>
      <c r="B79" s="26" t="n"/>
      <c r="C79" s="26" t="n"/>
      <c r="D79" s="26" t="n"/>
      <c r="E79" s="26" t="n"/>
      <c r="F79" s="27" t="n"/>
      <c r="G79" s="26" t="n"/>
      <c r="H79" s="26" t="n"/>
      <c r="I79" s="28">
        <f>IF($A79="","",COUNTIFS(tblKontrol[KaynakKartId],$A79,tblKontrol[BelgeDurum],"YOK"))</f>
        <v/>
      </c>
      <c r="J79" s="28">
        <f>IF($A79="","",SUMIF(tblAkis[KaynakKartId],$A79,tblAkis[Tutar]))</f>
        <v/>
      </c>
      <c r="K79" s="28">
        <f>IF($A79="","",IFERROR(AVERAGEIF(tblAkis[KaynakKartId],$A79,tblAkis[YasGun]),0))</f>
        <v/>
      </c>
    </row>
    <row r="80">
      <c r="A80" s="26" t="n"/>
      <c r="B80" s="26" t="n"/>
      <c r="C80" s="26" t="n"/>
      <c r="D80" s="26" t="n"/>
      <c r="E80" s="26" t="n"/>
      <c r="F80" s="27" t="n"/>
      <c r="G80" s="26" t="n"/>
      <c r="H80" s="26" t="n"/>
      <c r="I80" s="28">
        <f>IF($A80="","",COUNTIFS(tblKontrol[KaynakKartId],$A80,tblKontrol[BelgeDurum],"YOK"))</f>
        <v/>
      </c>
      <c r="J80" s="28">
        <f>IF($A80="","",SUMIF(tblAkis[KaynakKartId],$A80,tblAkis[Tutar]))</f>
        <v/>
      </c>
      <c r="K80" s="28">
        <f>IF($A80="","",IFERROR(AVERAGEIF(tblAkis[KaynakKartId],$A80,tblAkis[YasGun]),0))</f>
        <v/>
      </c>
    </row>
    <row r="81">
      <c r="A81" s="26" t="n"/>
      <c r="B81" s="26" t="n"/>
      <c r="C81" s="26" t="n"/>
      <c r="D81" s="26" t="n"/>
      <c r="E81" s="26" t="n"/>
      <c r="F81" s="27" t="n"/>
      <c r="G81" s="26" t="n"/>
      <c r="H81" s="26" t="n"/>
      <c r="I81" s="28">
        <f>IF($A81="","",COUNTIFS(tblKontrol[KaynakKartId],$A81,tblKontrol[BelgeDurum],"YOK"))</f>
        <v/>
      </c>
      <c r="J81" s="28">
        <f>IF($A81="","",SUMIF(tblAkis[KaynakKartId],$A81,tblAkis[Tutar]))</f>
        <v/>
      </c>
      <c r="K81" s="28">
        <f>IF($A81="","",IFERROR(AVERAGEIF(tblAkis[KaynakKartId],$A81,tblAkis[YasGun]),0))</f>
        <v/>
      </c>
    </row>
    <row r="82">
      <c r="A82" s="26" t="n"/>
      <c r="B82" s="26" t="n"/>
      <c r="C82" s="26" t="n"/>
      <c r="D82" s="26" t="n"/>
      <c r="E82" s="26" t="n"/>
      <c r="F82" s="27" t="n"/>
      <c r="G82" s="26" t="n"/>
      <c r="H82" s="26" t="n"/>
      <c r="I82" s="28">
        <f>IF($A82="","",COUNTIFS(tblKontrol[KaynakKartId],$A82,tblKontrol[BelgeDurum],"YOK"))</f>
        <v/>
      </c>
      <c r="J82" s="28">
        <f>IF($A82="","",SUMIF(tblAkis[KaynakKartId],$A82,tblAkis[Tutar]))</f>
        <v/>
      </c>
      <c r="K82" s="28">
        <f>IF($A82="","",IFERROR(AVERAGEIF(tblAkis[KaynakKartId],$A82,tblAkis[YasGun]),0))</f>
        <v/>
      </c>
    </row>
    <row r="83">
      <c r="A83" s="26" t="n"/>
      <c r="B83" s="26" t="n"/>
      <c r="C83" s="26" t="n"/>
      <c r="D83" s="26" t="n"/>
      <c r="E83" s="26" t="n"/>
      <c r="F83" s="27" t="n"/>
      <c r="G83" s="26" t="n"/>
      <c r="H83" s="26" t="n"/>
      <c r="I83" s="28">
        <f>IF($A83="","",COUNTIFS(tblKontrol[KaynakKartId],$A83,tblKontrol[BelgeDurum],"YOK"))</f>
        <v/>
      </c>
      <c r="J83" s="28">
        <f>IF($A83="","",SUMIF(tblAkis[KaynakKartId],$A83,tblAkis[Tutar]))</f>
        <v/>
      </c>
      <c r="K83" s="28">
        <f>IF($A83="","",IFERROR(AVERAGEIF(tblAkis[KaynakKartId],$A83,tblAkis[YasGun]),0))</f>
        <v/>
      </c>
    </row>
    <row r="84">
      <c r="A84" s="26" t="n"/>
      <c r="B84" s="26" t="n"/>
      <c r="C84" s="26" t="n"/>
      <c r="D84" s="26" t="n"/>
      <c r="E84" s="26" t="n"/>
      <c r="F84" s="27" t="n"/>
      <c r="G84" s="26" t="n"/>
      <c r="H84" s="26" t="n"/>
      <c r="I84" s="28">
        <f>IF($A84="","",COUNTIFS(tblKontrol[KaynakKartId],$A84,tblKontrol[BelgeDurum],"YOK"))</f>
        <v/>
      </c>
      <c r="J84" s="28">
        <f>IF($A84="","",SUMIF(tblAkis[KaynakKartId],$A84,tblAkis[Tutar]))</f>
        <v/>
      </c>
      <c r="K84" s="28">
        <f>IF($A84="","",IFERROR(AVERAGEIF(tblAkis[KaynakKartId],$A84,tblAkis[YasGun]),0))</f>
        <v/>
      </c>
    </row>
    <row r="85">
      <c r="A85" s="26" t="n"/>
      <c r="B85" s="26" t="n"/>
      <c r="C85" s="26" t="n"/>
      <c r="D85" s="26" t="n"/>
      <c r="E85" s="26" t="n"/>
      <c r="F85" s="27" t="n"/>
      <c r="G85" s="26" t="n"/>
      <c r="H85" s="26" t="n"/>
      <c r="I85" s="28">
        <f>IF($A85="","",COUNTIFS(tblKontrol[KaynakKartId],$A85,tblKontrol[BelgeDurum],"YOK"))</f>
        <v/>
      </c>
      <c r="J85" s="28">
        <f>IF($A85="","",SUMIF(tblAkis[KaynakKartId],$A85,tblAkis[Tutar]))</f>
        <v/>
      </c>
      <c r="K85" s="28">
        <f>IF($A85="","",IFERROR(AVERAGEIF(tblAkis[KaynakKartId],$A85,tblAkis[YasGun]),0))</f>
        <v/>
      </c>
    </row>
    <row r="86">
      <c r="A86" s="26" t="n"/>
      <c r="B86" s="26" t="n"/>
      <c r="C86" s="26" t="n"/>
      <c r="D86" s="26" t="n"/>
      <c r="E86" s="26" t="n"/>
      <c r="F86" s="27" t="n"/>
      <c r="G86" s="26" t="n"/>
      <c r="H86" s="26" t="n"/>
      <c r="I86" s="28">
        <f>IF($A86="","",COUNTIFS(tblKontrol[KaynakKartId],$A86,tblKontrol[BelgeDurum],"YOK"))</f>
        <v/>
      </c>
      <c r="J86" s="28">
        <f>IF($A86="","",SUMIF(tblAkis[KaynakKartId],$A86,tblAkis[Tutar]))</f>
        <v/>
      </c>
      <c r="K86" s="28">
        <f>IF($A86="","",IFERROR(AVERAGEIF(tblAkis[KaynakKartId],$A86,tblAkis[YasGun]),0))</f>
        <v/>
      </c>
    </row>
    <row r="87">
      <c r="A87" s="26" t="n"/>
      <c r="B87" s="26" t="n"/>
      <c r="C87" s="26" t="n"/>
      <c r="D87" s="26" t="n"/>
      <c r="E87" s="26" t="n"/>
      <c r="F87" s="27" t="n"/>
      <c r="G87" s="26" t="n"/>
      <c r="H87" s="26" t="n"/>
      <c r="I87" s="28">
        <f>IF($A87="","",COUNTIFS(tblKontrol[KaynakKartId],$A87,tblKontrol[BelgeDurum],"YOK"))</f>
        <v/>
      </c>
      <c r="J87" s="28">
        <f>IF($A87="","",SUMIF(tblAkis[KaynakKartId],$A87,tblAkis[Tutar]))</f>
        <v/>
      </c>
      <c r="K87" s="28">
        <f>IF($A87="","",IFERROR(AVERAGEIF(tblAkis[KaynakKartId],$A87,tblAkis[YasGun]),0))</f>
        <v/>
      </c>
    </row>
    <row r="88">
      <c r="A88" s="26" t="n"/>
      <c r="B88" s="26" t="n"/>
      <c r="C88" s="26" t="n"/>
      <c r="D88" s="26" t="n"/>
      <c r="E88" s="26" t="n"/>
      <c r="F88" s="27" t="n"/>
      <c r="G88" s="26" t="n"/>
      <c r="H88" s="26" t="n"/>
      <c r="I88" s="28">
        <f>IF($A88="","",COUNTIFS(tblKontrol[KaynakKartId],$A88,tblKontrol[BelgeDurum],"YOK"))</f>
        <v/>
      </c>
      <c r="J88" s="28">
        <f>IF($A88="","",SUMIF(tblAkis[KaynakKartId],$A88,tblAkis[Tutar]))</f>
        <v/>
      </c>
      <c r="K88" s="28">
        <f>IF($A88="","",IFERROR(AVERAGEIF(tblAkis[KaynakKartId],$A88,tblAkis[YasGun]),0))</f>
        <v/>
      </c>
    </row>
    <row r="89">
      <c r="A89" s="26" t="n"/>
      <c r="B89" s="26" t="n"/>
      <c r="C89" s="26" t="n"/>
      <c r="D89" s="26" t="n"/>
      <c r="E89" s="26" t="n"/>
      <c r="F89" s="27" t="n"/>
      <c r="G89" s="26" t="n"/>
      <c r="H89" s="26" t="n"/>
      <c r="I89" s="28">
        <f>IF($A89="","",COUNTIFS(tblKontrol[KaynakKartId],$A89,tblKontrol[BelgeDurum],"YOK"))</f>
        <v/>
      </c>
      <c r="J89" s="28">
        <f>IF($A89="","",SUMIF(tblAkis[KaynakKartId],$A89,tblAkis[Tutar]))</f>
        <v/>
      </c>
      <c r="K89" s="28">
        <f>IF($A89="","",IFERROR(AVERAGEIF(tblAkis[KaynakKartId],$A89,tblAkis[YasGun]),0))</f>
        <v/>
      </c>
    </row>
    <row r="90">
      <c r="A90" s="26" t="n"/>
      <c r="B90" s="26" t="n"/>
      <c r="C90" s="26" t="n"/>
      <c r="D90" s="26" t="n"/>
      <c r="E90" s="26" t="n"/>
      <c r="F90" s="27" t="n"/>
      <c r="G90" s="26" t="n"/>
      <c r="H90" s="26" t="n"/>
      <c r="I90" s="28">
        <f>IF($A90="","",COUNTIFS(tblKontrol[KaynakKartId],$A90,tblKontrol[BelgeDurum],"YOK"))</f>
        <v/>
      </c>
      <c r="J90" s="28">
        <f>IF($A90="","",SUMIF(tblAkis[KaynakKartId],$A90,tblAkis[Tutar]))</f>
        <v/>
      </c>
      <c r="K90" s="28">
        <f>IF($A90="","",IFERROR(AVERAGEIF(tblAkis[KaynakKartId],$A90,tblAkis[YasGun]),0))</f>
        <v/>
      </c>
    </row>
    <row r="91">
      <c r="A91" s="26" t="n"/>
      <c r="B91" s="26" t="n"/>
      <c r="C91" s="26" t="n"/>
      <c r="D91" s="26" t="n"/>
      <c r="E91" s="26" t="n"/>
      <c r="F91" s="27" t="n"/>
      <c r="G91" s="26" t="n"/>
      <c r="H91" s="26" t="n"/>
      <c r="I91" s="28">
        <f>IF($A91="","",COUNTIFS(tblKontrol[KaynakKartId],$A91,tblKontrol[BelgeDurum],"YOK"))</f>
        <v/>
      </c>
      <c r="J91" s="28">
        <f>IF($A91="","",SUMIF(tblAkis[KaynakKartId],$A91,tblAkis[Tutar]))</f>
        <v/>
      </c>
      <c r="K91" s="28">
        <f>IF($A91="","",IFERROR(AVERAGEIF(tblAkis[KaynakKartId],$A91,tblAkis[YasGun]),0))</f>
        <v/>
      </c>
    </row>
    <row r="92">
      <c r="A92" s="26" t="n"/>
      <c r="B92" s="26" t="n"/>
      <c r="C92" s="26" t="n"/>
      <c r="D92" s="26" t="n"/>
      <c r="E92" s="26" t="n"/>
      <c r="F92" s="27" t="n"/>
      <c r="G92" s="26" t="n"/>
      <c r="H92" s="26" t="n"/>
      <c r="I92" s="28">
        <f>IF($A92="","",COUNTIFS(tblKontrol[KaynakKartId],$A92,tblKontrol[BelgeDurum],"YOK"))</f>
        <v/>
      </c>
      <c r="J92" s="28">
        <f>IF($A92="","",SUMIF(tblAkis[KaynakKartId],$A92,tblAkis[Tutar]))</f>
        <v/>
      </c>
      <c r="K92" s="28">
        <f>IF($A92="","",IFERROR(AVERAGEIF(tblAkis[KaynakKartId],$A92,tblAkis[YasGun]),0))</f>
        <v/>
      </c>
    </row>
    <row r="93">
      <c r="A93" s="26" t="n"/>
      <c r="B93" s="26" t="n"/>
      <c r="C93" s="26" t="n"/>
      <c r="D93" s="26" t="n"/>
      <c r="E93" s="26" t="n"/>
      <c r="F93" s="27" t="n"/>
      <c r="G93" s="26" t="n"/>
      <c r="H93" s="26" t="n"/>
      <c r="I93" s="28">
        <f>IF($A93="","",COUNTIFS(tblKontrol[KaynakKartId],$A93,tblKontrol[BelgeDurum],"YOK"))</f>
        <v/>
      </c>
      <c r="J93" s="28">
        <f>IF($A93="","",SUMIF(tblAkis[KaynakKartId],$A93,tblAkis[Tutar]))</f>
        <v/>
      </c>
      <c r="K93" s="28">
        <f>IF($A93="","",IFERROR(AVERAGEIF(tblAkis[KaynakKartId],$A93,tblAkis[YasGun]),0))</f>
        <v/>
      </c>
    </row>
    <row r="94">
      <c r="A94" s="26" t="n"/>
      <c r="B94" s="26" t="n"/>
      <c r="C94" s="26" t="n"/>
      <c r="D94" s="26" t="n"/>
      <c r="E94" s="26" t="n"/>
      <c r="F94" s="27" t="n"/>
      <c r="G94" s="26" t="n"/>
      <c r="H94" s="26" t="n"/>
      <c r="I94" s="28">
        <f>IF($A94="","",COUNTIFS(tblKontrol[KaynakKartId],$A94,tblKontrol[BelgeDurum],"YOK"))</f>
        <v/>
      </c>
      <c r="J94" s="28">
        <f>IF($A94="","",SUMIF(tblAkis[KaynakKartId],$A94,tblAkis[Tutar]))</f>
        <v/>
      </c>
      <c r="K94" s="28">
        <f>IF($A94="","",IFERROR(AVERAGEIF(tblAkis[KaynakKartId],$A94,tblAkis[YasGun]),0))</f>
        <v/>
      </c>
    </row>
    <row r="95">
      <c r="A95" s="26" t="n"/>
      <c r="B95" s="26" t="n"/>
      <c r="C95" s="26" t="n"/>
      <c r="D95" s="26" t="n"/>
      <c r="E95" s="26" t="n"/>
      <c r="F95" s="27" t="n"/>
      <c r="G95" s="26" t="n"/>
      <c r="H95" s="26" t="n"/>
      <c r="I95" s="28">
        <f>IF($A95="","",COUNTIFS(tblKontrol[KaynakKartId],$A95,tblKontrol[BelgeDurum],"YOK"))</f>
        <v/>
      </c>
      <c r="J95" s="28">
        <f>IF($A95="","",SUMIF(tblAkis[KaynakKartId],$A95,tblAkis[Tutar]))</f>
        <v/>
      </c>
      <c r="K95" s="28">
        <f>IF($A95="","",IFERROR(AVERAGEIF(tblAkis[KaynakKartId],$A95,tblAkis[YasGun]),0))</f>
        <v/>
      </c>
    </row>
    <row r="96">
      <c r="A96" s="26" t="n"/>
      <c r="B96" s="26" t="n"/>
      <c r="C96" s="26" t="n"/>
      <c r="D96" s="26" t="n"/>
      <c r="E96" s="26" t="n"/>
      <c r="F96" s="27" t="n"/>
      <c r="G96" s="26" t="n"/>
      <c r="H96" s="26" t="n"/>
      <c r="I96" s="28">
        <f>IF($A96="","",COUNTIFS(tblKontrol[KaynakKartId],$A96,tblKontrol[BelgeDurum],"YOK"))</f>
        <v/>
      </c>
      <c r="J96" s="28">
        <f>IF($A96="","",SUMIF(tblAkis[KaynakKartId],$A96,tblAkis[Tutar]))</f>
        <v/>
      </c>
      <c r="K96" s="28">
        <f>IF($A96="","",IFERROR(AVERAGEIF(tblAkis[KaynakKartId],$A96,tblAkis[YasGun]),0))</f>
        <v/>
      </c>
    </row>
    <row r="97">
      <c r="A97" s="26" t="n"/>
      <c r="B97" s="26" t="n"/>
      <c r="C97" s="26" t="n"/>
      <c r="D97" s="26" t="n"/>
      <c r="E97" s="26" t="n"/>
      <c r="F97" s="27" t="n"/>
      <c r="G97" s="26" t="n"/>
      <c r="H97" s="26" t="n"/>
      <c r="I97" s="28">
        <f>IF($A97="","",COUNTIFS(tblKontrol[KaynakKartId],$A97,tblKontrol[BelgeDurum],"YOK"))</f>
        <v/>
      </c>
      <c r="J97" s="28">
        <f>IF($A97="","",SUMIF(tblAkis[KaynakKartId],$A97,tblAkis[Tutar]))</f>
        <v/>
      </c>
      <c r="K97" s="28">
        <f>IF($A97="","",IFERROR(AVERAGEIF(tblAkis[KaynakKartId],$A97,tblAkis[YasGun]),0))</f>
        <v/>
      </c>
    </row>
    <row r="98">
      <c r="A98" s="26" t="n"/>
      <c r="B98" s="26" t="n"/>
      <c r="C98" s="26" t="n"/>
      <c r="D98" s="26" t="n"/>
      <c r="E98" s="26" t="n"/>
      <c r="F98" s="27" t="n"/>
      <c r="G98" s="26" t="n"/>
      <c r="H98" s="26" t="n"/>
      <c r="I98" s="28">
        <f>IF($A98="","",COUNTIFS(tblKontrol[KaynakKartId],$A98,tblKontrol[BelgeDurum],"YOK"))</f>
        <v/>
      </c>
      <c r="J98" s="28">
        <f>IF($A98="","",SUMIF(tblAkis[KaynakKartId],$A98,tblAkis[Tutar]))</f>
        <v/>
      </c>
      <c r="K98" s="28">
        <f>IF($A98="","",IFERROR(AVERAGEIF(tblAkis[KaynakKartId],$A98,tblAkis[YasGun]),0))</f>
        <v/>
      </c>
    </row>
    <row r="99">
      <c r="A99" s="26" t="n"/>
      <c r="B99" s="26" t="n"/>
      <c r="C99" s="26" t="n"/>
      <c r="D99" s="26" t="n"/>
      <c r="E99" s="26" t="n"/>
      <c r="F99" s="27" t="n"/>
      <c r="G99" s="26" t="n"/>
      <c r="H99" s="26" t="n"/>
      <c r="I99" s="28">
        <f>IF($A99="","",COUNTIFS(tblKontrol[KaynakKartId],$A99,tblKontrol[BelgeDurum],"YOK"))</f>
        <v/>
      </c>
      <c r="J99" s="28">
        <f>IF($A99="","",SUMIF(tblAkis[KaynakKartId],$A99,tblAkis[Tutar]))</f>
        <v/>
      </c>
      <c r="K99" s="28">
        <f>IF($A99="","",IFERROR(AVERAGEIF(tblAkis[KaynakKartId],$A99,tblAkis[YasGun]),0))</f>
        <v/>
      </c>
    </row>
    <row r="100">
      <c r="A100" s="26" t="n"/>
      <c r="B100" s="26" t="n"/>
      <c r="C100" s="26" t="n"/>
      <c r="D100" s="26" t="n"/>
      <c r="E100" s="26" t="n"/>
      <c r="F100" s="27" t="n"/>
      <c r="G100" s="26" t="n"/>
      <c r="H100" s="26" t="n"/>
      <c r="I100" s="28">
        <f>IF($A100="","",COUNTIFS(tblKontrol[KaynakKartId],$A100,tblKontrol[BelgeDurum],"YOK"))</f>
        <v/>
      </c>
      <c r="J100" s="28">
        <f>IF($A100="","",SUMIF(tblAkis[KaynakKartId],$A100,tblAkis[Tutar]))</f>
        <v/>
      </c>
      <c r="K100" s="28">
        <f>IF($A100="","",IFERROR(AVERAGEIF(tblAkis[KaynakKartId],$A100,tblAkis[YasGun]),0))</f>
        <v/>
      </c>
    </row>
    <row r="101">
      <c r="A101" s="26" t="n"/>
      <c r="B101" s="26" t="n"/>
      <c r="C101" s="26" t="n"/>
      <c r="D101" s="26" t="n"/>
      <c r="E101" s="26" t="n"/>
      <c r="F101" s="27" t="n"/>
      <c r="G101" s="26" t="n"/>
      <c r="H101" s="26" t="n"/>
      <c r="I101" s="28">
        <f>IF($A101="","",COUNTIFS(tblKontrol[KaynakKartId],$A101,tblKontrol[BelgeDurum],"YOK"))</f>
        <v/>
      </c>
      <c r="J101" s="28">
        <f>IF($A101="","",SUMIF(tblAkis[KaynakKartId],$A101,tblAkis[Tutar]))</f>
        <v/>
      </c>
      <c r="K101" s="28">
        <f>IF($A101="","",IFERROR(AVERAGEIF(tblAkis[KaynakKartId],$A101,tblAkis[YasGun]),0))</f>
        <v/>
      </c>
    </row>
    <row r="102">
      <c r="A102" s="26" t="n"/>
      <c r="B102" s="26" t="n"/>
      <c r="C102" s="26" t="n"/>
      <c r="D102" s="26" t="n"/>
      <c r="E102" s="26" t="n"/>
      <c r="F102" s="27" t="n"/>
      <c r="G102" s="26" t="n"/>
      <c r="H102" s="26" t="n"/>
      <c r="I102" s="28">
        <f>IF($A102="","",COUNTIFS(tblKontrol[KaynakKartId],$A102,tblKontrol[BelgeDurum],"YOK"))</f>
        <v/>
      </c>
      <c r="J102" s="28">
        <f>IF($A102="","",SUMIF(tblAkis[KaynakKartId],$A102,tblAkis[Tutar]))</f>
        <v/>
      </c>
      <c r="K102" s="28">
        <f>IF($A102="","",IFERROR(AVERAGEIF(tblAkis[KaynakKartId],$A102,tblAkis[YasGun]),0))</f>
        <v/>
      </c>
    </row>
    <row r="103">
      <c r="A103" s="26" t="n"/>
      <c r="B103" s="26" t="n"/>
      <c r="C103" s="26" t="n"/>
      <c r="D103" s="26" t="n"/>
      <c r="E103" s="26" t="n"/>
      <c r="F103" s="27" t="n"/>
      <c r="G103" s="26" t="n"/>
      <c r="H103" s="26" t="n"/>
      <c r="I103" s="28">
        <f>IF($A103="","",COUNTIFS(tblKontrol[KaynakKartId],$A103,tblKontrol[BelgeDurum],"YOK"))</f>
        <v/>
      </c>
      <c r="J103" s="28">
        <f>IF($A103="","",SUMIF(tblAkis[KaynakKartId],$A103,tblAkis[Tutar]))</f>
        <v/>
      </c>
      <c r="K103" s="28">
        <f>IF($A103="","",IFERROR(AVERAGEIF(tblAkis[KaynakKartId],$A103,tblAkis[YasGun]),0))</f>
        <v/>
      </c>
    </row>
    <row r="104">
      <c r="A104" s="26" t="n"/>
      <c r="B104" s="26" t="n"/>
      <c r="C104" s="26" t="n"/>
      <c r="D104" s="26" t="n"/>
      <c r="E104" s="26" t="n"/>
      <c r="F104" s="27" t="n"/>
      <c r="G104" s="26" t="n"/>
      <c r="H104" s="26" t="n"/>
      <c r="I104" s="28">
        <f>IF($A104="","",COUNTIFS(tblKontrol[KaynakKartId],$A104,tblKontrol[BelgeDurum],"YOK"))</f>
        <v/>
      </c>
      <c r="J104" s="28">
        <f>IF($A104="","",SUMIF(tblAkis[KaynakKartId],$A104,tblAkis[Tutar]))</f>
        <v/>
      </c>
      <c r="K104" s="28">
        <f>IF($A104="","",IFERROR(AVERAGEIF(tblAkis[KaynakKartId],$A104,tblAkis[YasGun]),0))</f>
        <v/>
      </c>
    </row>
    <row r="105">
      <c r="A105" s="26" t="n"/>
      <c r="B105" s="26" t="n"/>
      <c r="C105" s="26" t="n"/>
      <c r="D105" s="26" t="n"/>
      <c r="E105" s="26" t="n"/>
      <c r="F105" s="27" t="n"/>
      <c r="G105" s="26" t="n"/>
      <c r="H105" s="26" t="n"/>
      <c r="I105" s="28">
        <f>IF($A105="","",COUNTIFS(tblKontrol[KaynakKartId],$A105,tblKontrol[BelgeDurum],"YOK"))</f>
        <v/>
      </c>
      <c r="J105" s="28">
        <f>IF($A105="","",SUMIF(tblAkis[KaynakKartId],$A105,tblAkis[Tutar]))</f>
        <v/>
      </c>
      <c r="K105" s="28">
        <f>IF($A105="","",IFERROR(AVERAGEIF(tblAkis[KaynakKartId],$A105,tblAkis[YasGun]),0))</f>
        <v/>
      </c>
    </row>
    <row r="106">
      <c r="A106" s="26" t="n"/>
      <c r="B106" s="26" t="n"/>
      <c r="C106" s="26" t="n"/>
      <c r="D106" s="26" t="n"/>
      <c r="E106" s="26" t="n"/>
      <c r="F106" s="27" t="n"/>
      <c r="G106" s="26" t="n"/>
      <c r="H106" s="26" t="n"/>
      <c r="I106" s="28">
        <f>IF($A106="","",COUNTIFS(tblKontrol[KaynakKartId],$A106,tblKontrol[BelgeDurum],"YOK"))</f>
        <v/>
      </c>
      <c r="J106" s="28">
        <f>IF($A106="","",SUMIF(tblAkis[KaynakKartId],$A106,tblAkis[Tutar]))</f>
        <v/>
      </c>
      <c r="K106" s="28">
        <f>IF($A106="","",IFERROR(AVERAGEIF(tblAkis[KaynakKartId],$A106,tblAkis[YasGun]),0))</f>
        <v/>
      </c>
    </row>
    <row r="107">
      <c r="A107" s="26" t="n"/>
      <c r="B107" s="26" t="n"/>
      <c r="C107" s="26" t="n"/>
      <c r="D107" s="26" t="n"/>
      <c r="E107" s="26" t="n"/>
      <c r="F107" s="27" t="n"/>
      <c r="G107" s="26" t="n"/>
      <c r="H107" s="26" t="n"/>
      <c r="I107" s="28">
        <f>IF($A107="","",COUNTIFS(tblKontrol[KaynakKartId],$A107,tblKontrol[BelgeDurum],"YOK"))</f>
        <v/>
      </c>
      <c r="J107" s="28">
        <f>IF($A107="","",SUMIF(tblAkis[KaynakKartId],$A107,tblAkis[Tutar]))</f>
        <v/>
      </c>
      <c r="K107" s="28">
        <f>IF($A107="","",IFERROR(AVERAGEIF(tblAkis[KaynakKartId],$A107,tblAkis[YasGun]),0))</f>
        <v/>
      </c>
    </row>
    <row r="108">
      <c r="A108" s="26" t="n"/>
      <c r="B108" s="26" t="n"/>
      <c r="C108" s="26" t="n"/>
      <c r="D108" s="26" t="n"/>
      <c r="E108" s="26" t="n"/>
      <c r="F108" s="27" t="n"/>
      <c r="G108" s="26" t="n"/>
      <c r="H108" s="26" t="n"/>
      <c r="I108" s="28">
        <f>IF($A108="","",COUNTIFS(tblKontrol[KaynakKartId],$A108,tblKontrol[BelgeDurum],"YOK"))</f>
        <v/>
      </c>
      <c r="J108" s="28">
        <f>IF($A108="","",SUMIF(tblAkis[KaynakKartId],$A108,tblAkis[Tutar]))</f>
        <v/>
      </c>
      <c r="K108" s="28">
        <f>IF($A108="","",IFERROR(AVERAGEIF(tblAkis[KaynakKartId],$A108,tblAkis[YasGun]),0))</f>
        <v/>
      </c>
    </row>
    <row r="109">
      <c r="A109" s="26" t="n"/>
      <c r="B109" s="26" t="n"/>
      <c r="C109" s="26" t="n"/>
      <c r="D109" s="26" t="n"/>
      <c r="E109" s="26" t="n"/>
      <c r="F109" s="27" t="n"/>
      <c r="G109" s="26" t="n"/>
      <c r="H109" s="26" t="n"/>
      <c r="I109" s="28">
        <f>IF($A109="","",COUNTIFS(tblKontrol[KaynakKartId],$A109,tblKontrol[BelgeDurum],"YOK"))</f>
        <v/>
      </c>
      <c r="J109" s="28">
        <f>IF($A109="","",SUMIF(tblAkis[KaynakKartId],$A109,tblAkis[Tutar]))</f>
        <v/>
      </c>
      <c r="K109" s="28">
        <f>IF($A109="","",IFERROR(AVERAGEIF(tblAkis[KaynakKartId],$A109,tblAkis[YasGun]),0))</f>
        <v/>
      </c>
    </row>
    <row r="110">
      <c r="A110" s="26" t="n"/>
      <c r="B110" s="26" t="n"/>
      <c r="C110" s="26" t="n"/>
      <c r="D110" s="26" t="n"/>
      <c r="E110" s="26" t="n"/>
      <c r="F110" s="27" t="n"/>
      <c r="G110" s="26" t="n"/>
      <c r="H110" s="26" t="n"/>
      <c r="I110" s="28">
        <f>IF($A110="","",COUNTIFS(tblKontrol[KaynakKartId],$A110,tblKontrol[BelgeDurum],"YOK"))</f>
        <v/>
      </c>
      <c r="J110" s="28">
        <f>IF($A110="","",SUMIF(tblAkis[KaynakKartId],$A110,tblAkis[Tutar]))</f>
        <v/>
      </c>
      <c r="K110" s="28">
        <f>IF($A110="","",IFERROR(AVERAGEIF(tblAkis[KaynakKartId],$A110,tblAkis[YasGun]),0))</f>
        <v/>
      </c>
    </row>
    <row r="111">
      <c r="A111" s="26" t="n"/>
      <c r="B111" s="26" t="n"/>
      <c r="C111" s="26" t="n"/>
      <c r="D111" s="26" t="n"/>
      <c r="E111" s="26" t="n"/>
      <c r="F111" s="27" t="n"/>
      <c r="G111" s="26" t="n"/>
      <c r="H111" s="26" t="n"/>
      <c r="I111" s="28">
        <f>IF($A111="","",COUNTIFS(tblKontrol[KaynakKartId],$A111,tblKontrol[BelgeDurum],"YOK"))</f>
        <v/>
      </c>
      <c r="J111" s="28">
        <f>IF($A111="","",SUMIF(tblAkis[KaynakKartId],$A111,tblAkis[Tutar]))</f>
        <v/>
      </c>
      <c r="K111" s="28">
        <f>IF($A111="","",IFERROR(AVERAGEIF(tblAkis[KaynakKartId],$A111,tblAkis[YasGun]),0))</f>
        <v/>
      </c>
    </row>
    <row r="112">
      <c r="A112" s="26" t="n"/>
      <c r="B112" s="26" t="n"/>
      <c r="C112" s="26" t="n"/>
      <c r="D112" s="26" t="n"/>
      <c r="E112" s="26" t="n"/>
      <c r="F112" s="27" t="n"/>
      <c r="G112" s="26" t="n"/>
      <c r="H112" s="26" t="n"/>
      <c r="I112" s="28">
        <f>IF($A112="","",COUNTIFS(tblKontrol[KaynakKartId],$A112,tblKontrol[BelgeDurum],"YOK"))</f>
        <v/>
      </c>
      <c r="J112" s="28">
        <f>IF($A112="","",SUMIF(tblAkis[KaynakKartId],$A112,tblAkis[Tutar]))</f>
        <v/>
      </c>
      <c r="K112" s="28">
        <f>IF($A112="","",IFERROR(AVERAGEIF(tblAkis[KaynakKartId],$A112,tblAkis[YasGun]),0))</f>
        <v/>
      </c>
    </row>
    <row r="113">
      <c r="A113" s="26" t="n"/>
      <c r="B113" s="26" t="n"/>
      <c r="C113" s="26" t="n"/>
      <c r="D113" s="26" t="n"/>
      <c r="E113" s="26" t="n"/>
      <c r="F113" s="27" t="n"/>
      <c r="G113" s="26" t="n"/>
      <c r="H113" s="26" t="n"/>
      <c r="I113" s="28">
        <f>IF($A113="","",COUNTIFS(tblKontrol[KaynakKartId],$A113,tblKontrol[BelgeDurum],"YOK"))</f>
        <v/>
      </c>
      <c r="J113" s="28">
        <f>IF($A113="","",SUMIF(tblAkis[KaynakKartId],$A113,tblAkis[Tutar]))</f>
        <v/>
      </c>
      <c r="K113" s="28">
        <f>IF($A113="","",IFERROR(AVERAGEIF(tblAkis[KaynakKartId],$A113,tblAkis[YasGun]),0))</f>
        <v/>
      </c>
    </row>
    <row r="114">
      <c r="A114" s="26" t="n"/>
      <c r="B114" s="26" t="n"/>
      <c r="C114" s="26" t="n"/>
      <c r="D114" s="26" t="n"/>
      <c r="E114" s="26" t="n"/>
      <c r="F114" s="27" t="n"/>
      <c r="G114" s="26" t="n"/>
      <c r="H114" s="26" t="n"/>
      <c r="I114" s="28">
        <f>IF($A114="","",COUNTIFS(tblKontrol[KaynakKartId],$A114,tblKontrol[BelgeDurum],"YOK"))</f>
        <v/>
      </c>
      <c r="J114" s="28">
        <f>IF($A114="","",SUMIF(tblAkis[KaynakKartId],$A114,tblAkis[Tutar]))</f>
        <v/>
      </c>
      <c r="K114" s="28">
        <f>IF($A114="","",IFERROR(AVERAGEIF(tblAkis[KaynakKartId],$A114,tblAkis[YasGun]),0))</f>
        <v/>
      </c>
    </row>
    <row r="115">
      <c r="A115" s="26" t="n"/>
      <c r="B115" s="26" t="n"/>
      <c r="C115" s="26" t="n"/>
      <c r="D115" s="26" t="n"/>
      <c r="E115" s="26" t="n"/>
      <c r="F115" s="27" t="n"/>
      <c r="G115" s="26" t="n"/>
      <c r="H115" s="26" t="n"/>
      <c r="I115" s="28">
        <f>IF($A115="","",COUNTIFS(tblKontrol[KaynakKartId],$A115,tblKontrol[BelgeDurum],"YOK"))</f>
        <v/>
      </c>
      <c r="J115" s="28">
        <f>IF($A115="","",SUMIF(tblAkis[KaynakKartId],$A115,tblAkis[Tutar]))</f>
        <v/>
      </c>
      <c r="K115" s="28">
        <f>IF($A115="","",IFERROR(AVERAGEIF(tblAkis[KaynakKartId],$A115,tblAkis[YasGun]),0))</f>
        <v/>
      </c>
    </row>
    <row r="116">
      <c r="A116" s="26" t="n"/>
      <c r="B116" s="26" t="n"/>
      <c r="C116" s="26" t="n"/>
      <c r="D116" s="26" t="n"/>
      <c r="E116" s="26" t="n"/>
      <c r="F116" s="27" t="n"/>
      <c r="G116" s="26" t="n"/>
      <c r="H116" s="26" t="n"/>
      <c r="I116" s="28">
        <f>IF($A116="","",COUNTIFS(tblKontrol[KaynakKartId],$A116,tblKontrol[BelgeDurum],"YOK"))</f>
        <v/>
      </c>
      <c r="J116" s="28">
        <f>IF($A116="","",SUMIF(tblAkis[KaynakKartId],$A116,tblAkis[Tutar]))</f>
        <v/>
      </c>
      <c r="K116" s="28">
        <f>IF($A116="","",IFERROR(AVERAGEIF(tblAkis[KaynakKartId],$A116,tblAkis[YasGun]),0))</f>
        <v/>
      </c>
    </row>
    <row r="117">
      <c r="A117" s="26" t="n"/>
      <c r="B117" s="26" t="n"/>
      <c r="C117" s="26" t="n"/>
      <c r="D117" s="26" t="n"/>
      <c r="E117" s="26" t="n"/>
      <c r="F117" s="27" t="n"/>
      <c r="G117" s="26" t="n"/>
      <c r="H117" s="26" t="n"/>
      <c r="I117" s="28">
        <f>IF($A117="","",COUNTIFS(tblKontrol[KaynakKartId],$A117,tblKontrol[BelgeDurum],"YOK"))</f>
        <v/>
      </c>
      <c r="J117" s="28">
        <f>IF($A117="","",SUMIF(tblAkis[KaynakKartId],$A117,tblAkis[Tutar]))</f>
        <v/>
      </c>
      <c r="K117" s="28">
        <f>IF($A117="","",IFERROR(AVERAGEIF(tblAkis[KaynakKartId],$A117,tblAkis[YasGun]),0))</f>
        <v/>
      </c>
    </row>
    <row r="118">
      <c r="A118" s="26" t="n"/>
      <c r="B118" s="26" t="n"/>
      <c r="C118" s="26" t="n"/>
      <c r="D118" s="26" t="n"/>
      <c r="E118" s="26" t="n"/>
      <c r="F118" s="27" t="n"/>
      <c r="G118" s="26" t="n"/>
      <c r="H118" s="26" t="n"/>
      <c r="I118" s="28">
        <f>IF($A118="","",COUNTIFS(tblKontrol[KaynakKartId],$A118,tblKontrol[BelgeDurum],"YOK"))</f>
        <v/>
      </c>
      <c r="J118" s="28">
        <f>IF($A118="","",SUMIF(tblAkis[KaynakKartId],$A118,tblAkis[Tutar]))</f>
        <v/>
      </c>
      <c r="K118" s="28">
        <f>IF($A118="","",IFERROR(AVERAGEIF(tblAkis[KaynakKartId],$A118,tblAkis[YasGun]),0))</f>
        <v/>
      </c>
    </row>
    <row r="119">
      <c r="A119" s="26" t="n"/>
      <c r="B119" s="26" t="n"/>
      <c r="C119" s="26" t="n"/>
      <c r="D119" s="26" t="n"/>
      <c r="E119" s="26" t="n"/>
      <c r="F119" s="27" t="n"/>
      <c r="G119" s="26" t="n"/>
      <c r="H119" s="26" t="n"/>
      <c r="I119" s="28">
        <f>IF($A119="","",COUNTIFS(tblKontrol[KaynakKartId],$A119,tblKontrol[BelgeDurum],"YOK"))</f>
        <v/>
      </c>
      <c r="J119" s="28">
        <f>IF($A119="","",SUMIF(tblAkis[KaynakKartId],$A119,tblAkis[Tutar]))</f>
        <v/>
      </c>
      <c r="K119" s="28">
        <f>IF($A119="","",IFERROR(AVERAGEIF(tblAkis[KaynakKartId],$A119,tblAkis[YasGun]),0))</f>
        <v/>
      </c>
    </row>
    <row r="120">
      <c r="A120" s="26" t="n"/>
      <c r="B120" s="26" t="n"/>
      <c r="C120" s="26" t="n"/>
      <c r="D120" s="26" t="n"/>
      <c r="E120" s="26" t="n"/>
      <c r="F120" s="27" t="n"/>
      <c r="G120" s="26" t="n"/>
      <c r="H120" s="26" t="n"/>
      <c r="I120" s="28">
        <f>IF($A120="","",COUNTIFS(tblKontrol[KaynakKartId],$A120,tblKontrol[BelgeDurum],"YOK"))</f>
        <v/>
      </c>
      <c r="J120" s="28">
        <f>IF($A120="","",SUMIF(tblAkis[KaynakKartId],$A120,tblAkis[Tutar]))</f>
        <v/>
      </c>
      <c r="K120" s="28">
        <f>IF($A120="","",IFERROR(AVERAGEIF(tblAkis[KaynakKartId],$A120,tblAkis[YasGun]),0))</f>
        <v/>
      </c>
    </row>
    <row r="121">
      <c r="A121" s="26" t="n"/>
      <c r="B121" s="26" t="n"/>
      <c r="C121" s="26" t="n"/>
      <c r="D121" s="26" t="n"/>
      <c r="E121" s="26" t="n"/>
      <c r="F121" s="27" t="n"/>
      <c r="G121" s="26" t="n"/>
      <c r="H121" s="26" t="n"/>
      <c r="I121" s="28">
        <f>IF($A121="","",COUNTIFS(tblKontrol[KaynakKartId],$A121,tblKontrol[BelgeDurum],"YOK"))</f>
        <v/>
      </c>
      <c r="J121" s="28">
        <f>IF($A121="","",SUMIF(tblAkis[KaynakKartId],$A121,tblAkis[Tutar]))</f>
        <v/>
      </c>
      <c r="K121" s="28">
        <f>IF($A121="","",IFERROR(AVERAGEIF(tblAkis[KaynakKartId],$A121,tblAkis[YasGun]),0))</f>
        <v/>
      </c>
    </row>
    <row r="122">
      <c r="A122" s="26" t="n"/>
      <c r="B122" s="26" t="n"/>
      <c r="C122" s="26" t="n"/>
      <c r="D122" s="26" t="n"/>
      <c r="E122" s="26" t="n"/>
      <c r="F122" s="27" t="n"/>
      <c r="G122" s="26" t="n"/>
      <c r="H122" s="26" t="n"/>
      <c r="I122" s="28">
        <f>IF($A122="","",COUNTIFS(tblKontrol[KaynakKartId],$A122,tblKontrol[BelgeDurum],"YOK"))</f>
        <v/>
      </c>
      <c r="J122" s="28">
        <f>IF($A122="","",SUMIF(tblAkis[KaynakKartId],$A122,tblAkis[Tutar]))</f>
        <v/>
      </c>
      <c r="K122" s="28">
        <f>IF($A122="","",IFERROR(AVERAGEIF(tblAkis[KaynakKartId],$A122,tblAkis[YasGun]),0))</f>
        <v/>
      </c>
    </row>
    <row r="123">
      <c r="A123" s="26" t="n"/>
      <c r="B123" s="26" t="n"/>
      <c r="C123" s="26" t="n"/>
      <c r="D123" s="26" t="n"/>
      <c r="E123" s="26" t="n"/>
      <c r="F123" s="27" t="n"/>
      <c r="G123" s="26" t="n"/>
      <c r="H123" s="26" t="n"/>
      <c r="I123" s="28">
        <f>IF($A123="","",COUNTIFS(tblKontrol[KaynakKartId],$A123,tblKontrol[BelgeDurum],"YOK"))</f>
        <v/>
      </c>
      <c r="J123" s="28">
        <f>IF($A123="","",SUMIF(tblAkis[KaynakKartId],$A123,tblAkis[Tutar]))</f>
        <v/>
      </c>
      <c r="K123" s="28">
        <f>IF($A123="","",IFERROR(AVERAGEIF(tblAkis[KaynakKartId],$A123,tblAkis[YasGun]),0))</f>
        <v/>
      </c>
    </row>
    <row r="124">
      <c r="A124" s="26" t="n"/>
      <c r="B124" s="26" t="n"/>
      <c r="C124" s="26" t="n"/>
      <c r="D124" s="26" t="n"/>
      <c r="E124" s="26" t="n"/>
      <c r="F124" s="27" t="n"/>
      <c r="G124" s="26" t="n"/>
      <c r="H124" s="26" t="n"/>
      <c r="I124" s="28">
        <f>IF($A124="","",COUNTIFS(tblKontrol[KaynakKartId],$A124,tblKontrol[BelgeDurum],"YOK"))</f>
        <v/>
      </c>
      <c r="J124" s="28">
        <f>IF($A124="","",SUMIF(tblAkis[KaynakKartId],$A124,tblAkis[Tutar]))</f>
        <v/>
      </c>
      <c r="K124" s="28">
        <f>IF($A124="","",IFERROR(AVERAGEIF(tblAkis[KaynakKartId],$A124,tblAkis[YasGun]),0))</f>
        <v/>
      </c>
    </row>
    <row r="125">
      <c r="A125" s="26" t="n"/>
      <c r="B125" s="26" t="n"/>
      <c r="C125" s="26" t="n"/>
      <c r="D125" s="26" t="n"/>
      <c r="E125" s="26" t="n"/>
      <c r="F125" s="27" t="n"/>
      <c r="G125" s="26" t="n"/>
      <c r="H125" s="26" t="n"/>
      <c r="I125" s="28">
        <f>IF($A125="","",COUNTIFS(tblKontrol[KaynakKartId],$A125,tblKontrol[BelgeDurum],"YOK"))</f>
        <v/>
      </c>
      <c r="J125" s="28">
        <f>IF($A125="","",SUMIF(tblAkis[KaynakKartId],$A125,tblAkis[Tutar]))</f>
        <v/>
      </c>
      <c r="K125" s="28">
        <f>IF($A125="","",IFERROR(AVERAGEIF(tblAkis[KaynakKartId],$A125,tblAkis[YasGun]),0))</f>
        <v/>
      </c>
    </row>
    <row r="126">
      <c r="A126" s="26" t="n"/>
      <c r="B126" s="26" t="n"/>
      <c r="C126" s="26" t="n"/>
      <c r="D126" s="26" t="n"/>
      <c r="E126" s="26" t="n"/>
      <c r="F126" s="27" t="n"/>
      <c r="G126" s="26" t="n"/>
      <c r="H126" s="26" t="n"/>
      <c r="I126" s="28">
        <f>IF($A126="","",COUNTIFS(tblKontrol[KaynakKartId],$A126,tblKontrol[BelgeDurum],"YOK"))</f>
        <v/>
      </c>
      <c r="J126" s="28">
        <f>IF($A126="","",SUMIF(tblAkis[KaynakKartId],$A126,tblAkis[Tutar]))</f>
        <v/>
      </c>
      <c r="K126" s="28">
        <f>IF($A126="","",IFERROR(AVERAGEIF(tblAkis[KaynakKartId],$A126,tblAkis[YasGun]),0))</f>
        <v/>
      </c>
    </row>
    <row r="127">
      <c r="A127" s="26" t="n"/>
      <c r="B127" s="26" t="n"/>
      <c r="C127" s="26" t="n"/>
      <c r="D127" s="26" t="n"/>
      <c r="E127" s="26" t="n"/>
      <c r="F127" s="27" t="n"/>
      <c r="G127" s="26" t="n"/>
      <c r="H127" s="26" t="n"/>
      <c r="I127" s="28">
        <f>IF($A127="","",COUNTIFS(tblKontrol[KaynakKartId],$A127,tblKontrol[BelgeDurum],"YOK"))</f>
        <v/>
      </c>
      <c r="J127" s="28">
        <f>IF($A127="","",SUMIF(tblAkis[KaynakKartId],$A127,tblAkis[Tutar]))</f>
        <v/>
      </c>
      <c r="K127" s="28">
        <f>IF($A127="","",IFERROR(AVERAGEIF(tblAkis[KaynakKartId],$A127,tblAkis[YasGun]),0))</f>
        <v/>
      </c>
    </row>
    <row r="128">
      <c r="A128" s="26" t="n"/>
      <c r="B128" s="26" t="n"/>
      <c r="C128" s="26" t="n"/>
      <c r="D128" s="26" t="n"/>
      <c r="E128" s="26" t="n"/>
      <c r="F128" s="27" t="n"/>
      <c r="G128" s="26" t="n"/>
      <c r="H128" s="26" t="n"/>
      <c r="I128" s="28">
        <f>IF($A128="","",COUNTIFS(tblKontrol[KaynakKartId],$A128,tblKontrol[BelgeDurum],"YOK"))</f>
        <v/>
      </c>
      <c r="J128" s="28">
        <f>IF($A128="","",SUMIF(tblAkis[KaynakKartId],$A128,tblAkis[Tutar]))</f>
        <v/>
      </c>
      <c r="K128" s="28">
        <f>IF($A128="","",IFERROR(AVERAGEIF(tblAkis[KaynakKartId],$A128,tblAkis[YasGun]),0))</f>
        <v/>
      </c>
    </row>
    <row r="129">
      <c r="A129" s="26" t="n"/>
      <c r="B129" s="26" t="n"/>
      <c r="C129" s="26" t="n"/>
      <c r="D129" s="26" t="n"/>
      <c r="E129" s="26" t="n"/>
      <c r="F129" s="27" t="n"/>
      <c r="G129" s="26" t="n"/>
      <c r="H129" s="26" t="n"/>
      <c r="I129" s="28">
        <f>IF($A129="","",COUNTIFS(tblKontrol[KaynakKartId],$A129,tblKontrol[BelgeDurum],"YOK"))</f>
        <v/>
      </c>
      <c r="J129" s="28">
        <f>IF($A129="","",SUMIF(tblAkis[KaynakKartId],$A129,tblAkis[Tutar]))</f>
        <v/>
      </c>
      <c r="K129" s="28">
        <f>IF($A129="","",IFERROR(AVERAGEIF(tblAkis[KaynakKartId],$A129,tblAkis[YasGun]),0))</f>
        <v/>
      </c>
    </row>
    <row r="130">
      <c r="A130" s="26" t="n"/>
      <c r="B130" s="26" t="n"/>
      <c r="C130" s="26" t="n"/>
      <c r="D130" s="26" t="n"/>
      <c r="E130" s="26" t="n"/>
      <c r="F130" s="27" t="n"/>
      <c r="G130" s="26" t="n"/>
      <c r="H130" s="26" t="n"/>
      <c r="I130" s="28">
        <f>IF($A130="","",COUNTIFS(tblKontrol[KaynakKartId],$A130,tblKontrol[BelgeDurum],"YOK"))</f>
        <v/>
      </c>
      <c r="J130" s="28">
        <f>IF($A130="","",SUMIF(tblAkis[KaynakKartId],$A130,tblAkis[Tutar]))</f>
        <v/>
      </c>
      <c r="K130" s="28">
        <f>IF($A130="","",IFERROR(AVERAGEIF(tblAkis[KaynakKartId],$A130,tblAkis[YasGun]),0))</f>
        <v/>
      </c>
    </row>
    <row r="131">
      <c r="A131" s="26" t="n"/>
      <c r="B131" s="26" t="n"/>
      <c r="C131" s="26" t="n"/>
      <c r="D131" s="26" t="n"/>
      <c r="E131" s="26" t="n"/>
      <c r="F131" s="27" t="n"/>
      <c r="G131" s="26" t="n"/>
      <c r="H131" s="26" t="n"/>
      <c r="I131" s="28">
        <f>IF($A131="","",COUNTIFS(tblKontrol[KaynakKartId],$A131,tblKontrol[BelgeDurum],"YOK"))</f>
        <v/>
      </c>
      <c r="J131" s="28">
        <f>IF($A131="","",SUMIF(tblAkis[KaynakKartId],$A131,tblAkis[Tutar]))</f>
        <v/>
      </c>
      <c r="K131" s="28">
        <f>IF($A131="","",IFERROR(AVERAGEIF(tblAkis[KaynakKartId],$A131,tblAkis[YasGun]),0))</f>
        <v/>
      </c>
    </row>
    <row r="132">
      <c r="A132" s="26" t="n"/>
      <c r="B132" s="26" t="n"/>
      <c r="C132" s="26" t="n"/>
      <c r="D132" s="26" t="n"/>
      <c r="E132" s="26" t="n"/>
      <c r="F132" s="27" t="n"/>
      <c r="G132" s="26" t="n"/>
      <c r="H132" s="26" t="n"/>
      <c r="I132" s="28">
        <f>IF($A132="","",COUNTIFS(tblKontrol[KaynakKartId],$A132,tblKontrol[BelgeDurum],"YOK"))</f>
        <v/>
      </c>
      <c r="J132" s="28">
        <f>IF($A132="","",SUMIF(tblAkis[KaynakKartId],$A132,tblAkis[Tutar]))</f>
        <v/>
      </c>
      <c r="K132" s="28">
        <f>IF($A132="","",IFERROR(AVERAGEIF(tblAkis[KaynakKartId],$A132,tblAkis[YasGun]),0))</f>
        <v/>
      </c>
    </row>
    <row r="133">
      <c r="A133" s="26" t="n"/>
      <c r="B133" s="26" t="n"/>
      <c r="C133" s="26" t="n"/>
      <c r="D133" s="26" t="n"/>
      <c r="E133" s="26" t="n"/>
      <c r="F133" s="27" t="n"/>
      <c r="G133" s="26" t="n"/>
      <c r="H133" s="26" t="n"/>
      <c r="I133" s="28">
        <f>IF($A133="","",COUNTIFS(tblKontrol[KaynakKartId],$A133,tblKontrol[BelgeDurum],"YOK"))</f>
        <v/>
      </c>
      <c r="J133" s="28">
        <f>IF($A133="","",SUMIF(tblAkis[KaynakKartId],$A133,tblAkis[Tutar]))</f>
        <v/>
      </c>
      <c r="K133" s="28">
        <f>IF($A133="","",IFERROR(AVERAGEIF(tblAkis[KaynakKartId],$A133,tblAkis[YasGun]),0))</f>
        <v/>
      </c>
    </row>
    <row r="134">
      <c r="A134" s="26" t="n"/>
      <c r="B134" s="26" t="n"/>
      <c r="C134" s="26" t="n"/>
      <c r="D134" s="26" t="n"/>
      <c r="E134" s="26" t="n"/>
      <c r="F134" s="27" t="n"/>
      <c r="G134" s="26" t="n"/>
      <c r="H134" s="26" t="n"/>
      <c r="I134" s="28">
        <f>IF($A134="","",COUNTIFS(tblKontrol[KaynakKartId],$A134,tblKontrol[BelgeDurum],"YOK"))</f>
        <v/>
      </c>
      <c r="J134" s="28">
        <f>IF($A134="","",SUMIF(tblAkis[KaynakKartId],$A134,tblAkis[Tutar]))</f>
        <v/>
      </c>
      <c r="K134" s="28">
        <f>IF($A134="","",IFERROR(AVERAGEIF(tblAkis[KaynakKartId],$A134,tblAkis[YasGun]),0))</f>
        <v/>
      </c>
    </row>
    <row r="135">
      <c r="A135" s="26" t="n"/>
      <c r="B135" s="26" t="n"/>
      <c r="C135" s="26" t="n"/>
      <c r="D135" s="26" t="n"/>
      <c r="E135" s="26" t="n"/>
      <c r="F135" s="27" t="n"/>
      <c r="G135" s="26" t="n"/>
      <c r="H135" s="26" t="n"/>
      <c r="I135" s="28">
        <f>IF($A135="","",COUNTIFS(tblKontrol[KaynakKartId],$A135,tblKontrol[BelgeDurum],"YOK"))</f>
        <v/>
      </c>
      <c r="J135" s="28">
        <f>IF($A135="","",SUMIF(tblAkis[KaynakKartId],$A135,tblAkis[Tutar]))</f>
        <v/>
      </c>
      <c r="K135" s="28">
        <f>IF($A135="","",IFERROR(AVERAGEIF(tblAkis[KaynakKartId],$A135,tblAkis[YasGun]),0))</f>
        <v/>
      </c>
    </row>
    <row r="136">
      <c r="A136" s="26" t="n"/>
      <c r="B136" s="26" t="n"/>
      <c r="C136" s="26" t="n"/>
      <c r="D136" s="26" t="n"/>
      <c r="E136" s="26" t="n"/>
      <c r="F136" s="27" t="n"/>
      <c r="G136" s="26" t="n"/>
      <c r="H136" s="26" t="n"/>
      <c r="I136" s="28">
        <f>IF($A136="","",COUNTIFS(tblKontrol[KaynakKartId],$A136,tblKontrol[BelgeDurum],"YOK"))</f>
        <v/>
      </c>
      <c r="J136" s="28">
        <f>IF($A136="","",SUMIF(tblAkis[KaynakKartId],$A136,tblAkis[Tutar]))</f>
        <v/>
      </c>
      <c r="K136" s="28">
        <f>IF($A136="","",IFERROR(AVERAGEIF(tblAkis[KaynakKartId],$A136,tblAkis[YasGun]),0))</f>
        <v/>
      </c>
    </row>
    <row r="137">
      <c r="A137" s="26" t="n"/>
      <c r="B137" s="26" t="n"/>
      <c r="C137" s="26" t="n"/>
      <c r="D137" s="26" t="n"/>
      <c r="E137" s="26" t="n"/>
      <c r="F137" s="27" t="n"/>
      <c r="G137" s="26" t="n"/>
      <c r="H137" s="26" t="n"/>
      <c r="I137" s="28">
        <f>IF($A137="","",COUNTIFS(tblKontrol[KaynakKartId],$A137,tblKontrol[BelgeDurum],"YOK"))</f>
        <v/>
      </c>
      <c r="J137" s="28">
        <f>IF($A137="","",SUMIF(tblAkis[KaynakKartId],$A137,tblAkis[Tutar]))</f>
        <v/>
      </c>
      <c r="K137" s="28">
        <f>IF($A137="","",IFERROR(AVERAGEIF(tblAkis[KaynakKartId],$A137,tblAkis[YasGun]),0))</f>
        <v/>
      </c>
    </row>
    <row r="138">
      <c r="A138" s="26" t="n"/>
      <c r="B138" s="26" t="n"/>
      <c r="C138" s="26" t="n"/>
      <c r="D138" s="26" t="n"/>
      <c r="E138" s="26" t="n"/>
      <c r="F138" s="27" t="n"/>
      <c r="G138" s="26" t="n"/>
      <c r="H138" s="26" t="n"/>
      <c r="I138" s="28">
        <f>IF($A138="","",COUNTIFS(tblKontrol[KaynakKartId],$A138,tblKontrol[BelgeDurum],"YOK"))</f>
        <v/>
      </c>
      <c r="J138" s="28">
        <f>IF($A138="","",SUMIF(tblAkis[KaynakKartId],$A138,tblAkis[Tutar]))</f>
        <v/>
      </c>
      <c r="K138" s="28">
        <f>IF($A138="","",IFERROR(AVERAGEIF(tblAkis[KaynakKartId],$A138,tblAkis[YasGun]),0))</f>
        <v/>
      </c>
    </row>
    <row r="139">
      <c r="A139" s="26" t="n"/>
      <c r="B139" s="26" t="n"/>
      <c r="C139" s="26" t="n"/>
      <c r="D139" s="26" t="n"/>
      <c r="E139" s="26" t="n"/>
      <c r="F139" s="27" t="n"/>
      <c r="G139" s="26" t="n"/>
      <c r="H139" s="26" t="n"/>
      <c r="I139" s="28">
        <f>IF($A139="","",COUNTIFS(tblKontrol[KaynakKartId],$A139,tblKontrol[BelgeDurum],"YOK"))</f>
        <v/>
      </c>
      <c r="J139" s="28">
        <f>IF($A139="","",SUMIF(tblAkis[KaynakKartId],$A139,tblAkis[Tutar]))</f>
        <v/>
      </c>
      <c r="K139" s="28">
        <f>IF($A139="","",IFERROR(AVERAGEIF(tblAkis[KaynakKartId],$A139,tblAkis[YasGun]),0))</f>
        <v/>
      </c>
    </row>
    <row r="140">
      <c r="A140" s="26" t="n"/>
      <c r="B140" s="26" t="n"/>
      <c r="C140" s="26" t="n"/>
      <c r="D140" s="26" t="n"/>
      <c r="E140" s="26" t="n"/>
      <c r="F140" s="27" t="n"/>
      <c r="G140" s="26" t="n"/>
      <c r="H140" s="26" t="n"/>
      <c r="I140" s="28">
        <f>IF($A140="","",COUNTIFS(tblKontrol[KaynakKartId],$A140,tblKontrol[BelgeDurum],"YOK"))</f>
        <v/>
      </c>
      <c r="J140" s="28">
        <f>IF($A140="","",SUMIF(tblAkis[KaynakKartId],$A140,tblAkis[Tutar]))</f>
        <v/>
      </c>
      <c r="K140" s="28">
        <f>IF($A140="","",IFERROR(AVERAGEIF(tblAkis[KaynakKartId],$A140,tblAkis[YasGun]),0))</f>
        <v/>
      </c>
    </row>
    <row r="141">
      <c r="A141" s="26" t="n"/>
      <c r="B141" s="26" t="n"/>
      <c r="C141" s="26" t="n"/>
      <c r="D141" s="26" t="n"/>
      <c r="E141" s="26" t="n"/>
      <c r="F141" s="27" t="n"/>
      <c r="G141" s="26" t="n"/>
      <c r="H141" s="26" t="n"/>
      <c r="I141" s="28">
        <f>IF($A141="","",COUNTIFS(tblKontrol[KaynakKartId],$A141,tblKontrol[BelgeDurum],"YOK"))</f>
        <v/>
      </c>
      <c r="J141" s="28">
        <f>IF($A141="","",SUMIF(tblAkis[KaynakKartId],$A141,tblAkis[Tutar]))</f>
        <v/>
      </c>
      <c r="K141" s="28">
        <f>IF($A141="","",IFERROR(AVERAGEIF(tblAkis[KaynakKartId],$A141,tblAkis[YasGun]),0))</f>
        <v/>
      </c>
    </row>
    <row r="142">
      <c r="A142" s="26" t="n"/>
      <c r="B142" s="26" t="n"/>
      <c r="C142" s="26" t="n"/>
      <c r="D142" s="26" t="n"/>
      <c r="E142" s="26" t="n"/>
      <c r="F142" s="27" t="n"/>
      <c r="G142" s="26" t="n"/>
      <c r="H142" s="26" t="n"/>
      <c r="I142" s="28">
        <f>IF($A142="","",COUNTIFS(tblKontrol[KaynakKartId],$A142,tblKontrol[BelgeDurum],"YOK"))</f>
        <v/>
      </c>
      <c r="J142" s="28">
        <f>IF($A142="","",SUMIF(tblAkis[KaynakKartId],$A142,tblAkis[Tutar]))</f>
        <v/>
      </c>
      <c r="K142" s="28">
        <f>IF($A142="","",IFERROR(AVERAGEIF(tblAkis[KaynakKartId],$A142,tblAkis[YasGun]),0))</f>
        <v/>
      </c>
    </row>
    <row r="143">
      <c r="A143" s="26" t="n"/>
      <c r="B143" s="26" t="n"/>
      <c r="C143" s="26" t="n"/>
      <c r="D143" s="26" t="n"/>
      <c r="E143" s="26" t="n"/>
      <c r="F143" s="27" t="n"/>
      <c r="G143" s="26" t="n"/>
      <c r="H143" s="26" t="n"/>
      <c r="I143" s="28">
        <f>IF($A143="","",COUNTIFS(tblKontrol[KaynakKartId],$A143,tblKontrol[BelgeDurum],"YOK"))</f>
        <v/>
      </c>
      <c r="J143" s="28">
        <f>IF($A143="","",SUMIF(tblAkis[KaynakKartId],$A143,tblAkis[Tutar]))</f>
        <v/>
      </c>
      <c r="K143" s="28">
        <f>IF($A143="","",IFERROR(AVERAGEIF(tblAkis[KaynakKartId],$A143,tblAkis[YasGun]),0))</f>
        <v/>
      </c>
    </row>
    <row r="144">
      <c r="A144" s="26" t="n"/>
      <c r="B144" s="26" t="n"/>
      <c r="C144" s="26" t="n"/>
      <c r="D144" s="26" t="n"/>
      <c r="E144" s="26" t="n"/>
      <c r="F144" s="27" t="n"/>
      <c r="G144" s="26" t="n"/>
      <c r="H144" s="26" t="n"/>
      <c r="I144" s="28">
        <f>IF($A144="","",COUNTIFS(tblKontrol[KaynakKartId],$A144,tblKontrol[BelgeDurum],"YOK"))</f>
        <v/>
      </c>
      <c r="J144" s="28">
        <f>IF($A144="","",SUMIF(tblAkis[KaynakKartId],$A144,tblAkis[Tutar]))</f>
        <v/>
      </c>
      <c r="K144" s="28">
        <f>IF($A144="","",IFERROR(AVERAGEIF(tblAkis[KaynakKartId],$A144,tblAkis[YasGun]),0))</f>
        <v/>
      </c>
    </row>
    <row r="145">
      <c r="A145" s="26" t="n"/>
      <c r="B145" s="26" t="n"/>
      <c r="C145" s="26" t="n"/>
      <c r="D145" s="26" t="n"/>
      <c r="E145" s="26" t="n"/>
      <c r="F145" s="27" t="n"/>
      <c r="G145" s="26" t="n"/>
      <c r="H145" s="26" t="n"/>
      <c r="I145" s="28">
        <f>IF($A145="","",COUNTIFS(tblKontrol[KaynakKartId],$A145,tblKontrol[BelgeDurum],"YOK"))</f>
        <v/>
      </c>
      <c r="J145" s="28">
        <f>IF($A145="","",SUMIF(tblAkis[KaynakKartId],$A145,tblAkis[Tutar]))</f>
        <v/>
      </c>
      <c r="K145" s="28">
        <f>IF($A145="","",IFERROR(AVERAGEIF(tblAkis[KaynakKartId],$A145,tblAkis[YasGun]),0))</f>
        <v/>
      </c>
    </row>
    <row r="146">
      <c r="A146" s="26" t="n"/>
      <c r="B146" s="26" t="n"/>
      <c r="C146" s="26" t="n"/>
      <c r="D146" s="26" t="n"/>
      <c r="E146" s="26" t="n"/>
      <c r="F146" s="27" t="n"/>
      <c r="G146" s="26" t="n"/>
      <c r="H146" s="26" t="n"/>
      <c r="I146" s="28">
        <f>IF($A146="","",COUNTIFS(tblKontrol[KaynakKartId],$A146,tblKontrol[BelgeDurum],"YOK"))</f>
        <v/>
      </c>
      <c r="J146" s="28">
        <f>IF($A146="","",SUMIF(tblAkis[KaynakKartId],$A146,tblAkis[Tutar]))</f>
        <v/>
      </c>
      <c r="K146" s="28">
        <f>IF($A146="","",IFERROR(AVERAGEIF(tblAkis[KaynakKartId],$A146,tblAkis[YasGun]),0))</f>
        <v/>
      </c>
    </row>
    <row r="147">
      <c r="A147" s="26" t="n"/>
      <c r="B147" s="26" t="n"/>
      <c r="C147" s="26" t="n"/>
      <c r="D147" s="26" t="n"/>
      <c r="E147" s="26" t="n"/>
      <c r="F147" s="27" t="n"/>
      <c r="G147" s="26" t="n"/>
      <c r="H147" s="26" t="n"/>
      <c r="I147" s="28">
        <f>IF($A147="","",COUNTIFS(tblKontrol[KaynakKartId],$A147,tblKontrol[BelgeDurum],"YOK"))</f>
        <v/>
      </c>
      <c r="J147" s="28">
        <f>IF($A147="","",SUMIF(tblAkis[KaynakKartId],$A147,tblAkis[Tutar]))</f>
        <v/>
      </c>
      <c r="K147" s="28">
        <f>IF($A147="","",IFERROR(AVERAGEIF(tblAkis[KaynakKartId],$A147,tblAkis[YasGun]),0))</f>
        <v/>
      </c>
    </row>
    <row r="148">
      <c r="A148" s="26" t="n"/>
      <c r="B148" s="26" t="n"/>
      <c r="C148" s="26" t="n"/>
      <c r="D148" s="26" t="n"/>
      <c r="E148" s="26" t="n"/>
      <c r="F148" s="27" t="n"/>
      <c r="G148" s="26" t="n"/>
      <c r="H148" s="26" t="n"/>
      <c r="I148" s="28">
        <f>IF($A148="","",COUNTIFS(tblKontrol[KaynakKartId],$A148,tblKontrol[BelgeDurum],"YOK"))</f>
        <v/>
      </c>
      <c r="J148" s="28">
        <f>IF($A148="","",SUMIF(tblAkis[KaynakKartId],$A148,tblAkis[Tutar]))</f>
        <v/>
      </c>
      <c r="K148" s="28">
        <f>IF($A148="","",IFERROR(AVERAGEIF(tblAkis[KaynakKartId],$A148,tblAkis[YasGun]),0))</f>
        <v/>
      </c>
    </row>
    <row r="149">
      <c r="A149" s="26" t="n"/>
      <c r="B149" s="26" t="n"/>
      <c r="C149" s="26" t="n"/>
      <c r="D149" s="26" t="n"/>
      <c r="E149" s="26" t="n"/>
      <c r="F149" s="27" t="n"/>
      <c r="G149" s="26" t="n"/>
      <c r="H149" s="26" t="n"/>
      <c r="I149" s="28">
        <f>IF($A149="","",COUNTIFS(tblKontrol[KaynakKartId],$A149,tblKontrol[BelgeDurum],"YOK"))</f>
        <v/>
      </c>
      <c r="J149" s="28">
        <f>IF($A149="","",SUMIF(tblAkis[KaynakKartId],$A149,tblAkis[Tutar]))</f>
        <v/>
      </c>
      <c r="K149" s="28">
        <f>IF($A149="","",IFERROR(AVERAGEIF(tblAkis[KaynakKartId],$A149,tblAkis[YasGun]),0))</f>
        <v/>
      </c>
    </row>
    <row r="150">
      <c r="A150" s="26" t="n"/>
      <c r="B150" s="26" t="n"/>
      <c r="C150" s="26" t="n"/>
      <c r="D150" s="26" t="n"/>
      <c r="E150" s="26" t="n"/>
      <c r="F150" s="27" t="n"/>
      <c r="G150" s="26" t="n"/>
      <c r="H150" s="26" t="n"/>
      <c r="I150" s="28">
        <f>IF($A150="","",COUNTIFS(tblKontrol[KaynakKartId],$A150,tblKontrol[BelgeDurum],"YOK"))</f>
        <v/>
      </c>
      <c r="J150" s="28">
        <f>IF($A150="","",SUMIF(tblAkis[KaynakKartId],$A150,tblAkis[Tutar]))</f>
        <v/>
      </c>
      <c r="K150" s="28">
        <f>IF($A150="","",IFERROR(AVERAGEIF(tblAkis[KaynakKartId],$A150,tblAkis[YasGun]),0))</f>
        <v/>
      </c>
    </row>
    <row r="151">
      <c r="A151" s="26" t="n"/>
      <c r="B151" s="26" t="n"/>
      <c r="C151" s="26" t="n"/>
      <c r="D151" s="26" t="n"/>
      <c r="E151" s="26" t="n"/>
      <c r="F151" s="27" t="n"/>
      <c r="G151" s="26" t="n"/>
      <c r="H151" s="26" t="n"/>
      <c r="I151" s="28">
        <f>IF($A151="","",COUNTIFS(tblKontrol[KaynakKartId],$A151,tblKontrol[BelgeDurum],"YOK"))</f>
        <v/>
      </c>
      <c r="J151" s="28">
        <f>IF($A151="","",SUMIF(tblAkis[KaynakKartId],$A151,tblAkis[Tutar]))</f>
        <v/>
      </c>
      <c r="K151" s="28">
        <f>IF($A151="","",IFERROR(AVERAGEIF(tblAkis[KaynakKartId],$A151,tblAkis[YasGun]),0))</f>
        <v/>
      </c>
    </row>
    <row r="152">
      <c r="A152" s="26" t="n"/>
      <c r="B152" s="26" t="n"/>
      <c r="C152" s="26" t="n"/>
      <c r="D152" s="26" t="n"/>
      <c r="E152" s="26" t="n"/>
      <c r="F152" s="27" t="n"/>
      <c r="G152" s="26" t="n"/>
      <c r="H152" s="26" t="n"/>
      <c r="I152" s="28">
        <f>IF($A152="","",COUNTIFS(tblKontrol[KaynakKartId],$A152,tblKontrol[BelgeDurum],"YOK"))</f>
        <v/>
      </c>
      <c r="J152" s="28">
        <f>IF($A152="","",SUMIF(tblAkis[KaynakKartId],$A152,tblAkis[Tutar]))</f>
        <v/>
      </c>
      <c r="K152" s="28">
        <f>IF($A152="","",IFERROR(AVERAGEIF(tblAkis[KaynakKartId],$A152,tblAkis[YasGun]),0))</f>
        <v/>
      </c>
    </row>
    <row r="153">
      <c r="A153" s="26" t="n"/>
      <c r="B153" s="26" t="n"/>
      <c r="C153" s="26" t="n"/>
      <c r="D153" s="26" t="n"/>
      <c r="E153" s="26" t="n"/>
      <c r="F153" s="27" t="n"/>
      <c r="G153" s="26" t="n"/>
      <c r="H153" s="26" t="n"/>
      <c r="I153" s="28">
        <f>IF($A153="","",COUNTIFS(tblKontrol[KaynakKartId],$A153,tblKontrol[BelgeDurum],"YOK"))</f>
        <v/>
      </c>
      <c r="J153" s="28">
        <f>IF($A153="","",SUMIF(tblAkis[KaynakKartId],$A153,tblAkis[Tutar]))</f>
        <v/>
      </c>
      <c r="K153" s="28">
        <f>IF($A153="","",IFERROR(AVERAGEIF(tblAkis[KaynakKartId],$A153,tblAkis[YasGun]),0))</f>
        <v/>
      </c>
    </row>
    <row r="154">
      <c r="A154" s="26" t="n"/>
      <c r="B154" s="26" t="n"/>
      <c r="C154" s="26" t="n"/>
      <c r="D154" s="26" t="n"/>
      <c r="E154" s="26" t="n"/>
      <c r="F154" s="27" t="n"/>
      <c r="G154" s="26" t="n"/>
      <c r="H154" s="26" t="n"/>
      <c r="I154" s="28">
        <f>IF($A154="","",COUNTIFS(tblKontrol[KaynakKartId],$A154,tblKontrol[BelgeDurum],"YOK"))</f>
        <v/>
      </c>
      <c r="J154" s="28">
        <f>IF($A154="","",SUMIF(tblAkis[KaynakKartId],$A154,tblAkis[Tutar]))</f>
        <v/>
      </c>
      <c r="K154" s="28">
        <f>IF($A154="","",IFERROR(AVERAGEIF(tblAkis[KaynakKartId],$A154,tblAkis[YasGun]),0))</f>
        <v/>
      </c>
    </row>
    <row r="155">
      <c r="A155" s="26" t="n"/>
      <c r="B155" s="26" t="n"/>
      <c r="C155" s="26" t="n"/>
      <c r="D155" s="26" t="n"/>
      <c r="E155" s="26" t="n"/>
      <c r="F155" s="27" t="n"/>
      <c r="G155" s="26" t="n"/>
      <c r="H155" s="26" t="n"/>
      <c r="I155" s="28">
        <f>IF($A155="","",COUNTIFS(tblKontrol[KaynakKartId],$A155,tblKontrol[BelgeDurum],"YOK"))</f>
        <v/>
      </c>
      <c r="J155" s="28">
        <f>IF($A155="","",SUMIF(tblAkis[KaynakKartId],$A155,tblAkis[Tutar]))</f>
        <v/>
      </c>
      <c r="K155" s="28">
        <f>IF($A155="","",IFERROR(AVERAGEIF(tblAkis[KaynakKartId],$A155,tblAkis[YasGun]),0))</f>
        <v/>
      </c>
    </row>
    <row r="156">
      <c r="A156" s="26" t="n"/>
      <c r="B156" s="26" t="n"/>
      <c r="C156" s="26" t="n"/>
      <c r="D156" s="26" t="n"/>
      <c r="E156" s="26" t="n"/>
      <c r="F156" s="27" t="n"/>
      <c r="G156" s="26" t="n"/>
      <c r="H156" s="26" t="n"/>
      <c r="I156" s="28">
        <f>IF($A156="","",COUNTIFS(tblKontrol[KaynakKartId],$A156,tblKontrol[BelgeDurum],"YOK"))</f>
        <v/>
      </c>
      <c r="J156" s="28">
        <f>IF($A156="","",SUMIF(tblAkis[KaynakKartId],$A156,tblAkis[Tutar]))</f>
        <v/>
      </c>
      <c r="K156" s="28">
        <f>IF($A156="","",IFERROR(AVERAGEIF(tblAkis[KaynakKartId],$A156,tblAkis[YasGun]),0))</f>
        <v/>
      </c>
    </row>
    <row r="157">
      <c r="A157" s="26" t="n"/>
      <c r="B157" s="26" t="n"/>
      <c r="C157" s="26" t="n"/>
      <c r="D157" s="26" t="n"/>
      <c r="E157" s="26" t="n"/>
      <c r="F157" s="27" t="n"/>
      <c r="G157" s="26" t="n"/>
      <c r="H157" s="26" t="n"/>
      <c r="I157" s="28">
        <f>IF($A157="","",COUNTIFS(tblKontrol[KaynakKartId],$A157,tblKontrol[BelgeDurum],"YOK"))</f>
        <v/>
      </c>
      <c r="J157" s="28">
        <f>IF($A157="","",SUMIF(tblAkis[KaynakKartId],$A157,tblAkis[Tutar]))</f>
        <v/>
      </c>
      <c r="K157" s="28">
        <f>IF($A157="","",IFERROR(AVERAGEIF(tblAkis[KaynakKartId],$A157,tblAkis[YasGun]),0))</f>
        <v/>
      </c>
    </row>
    <row r="158">
      <c r="A158" s="26" t="n"/>
      <c r="B158" s="26" t="n"/>
      <c r="C158" s="26" t="n"/>
      <c r="D158" s="26" t="n"/>
      <c r="E158" s="26" t="n"/>
      <c r="F158" s="27" t="n"/>
      <c r="G158" s="26" t="n"/>
      <c r="H158" s="26" t="n"/>
      <c r="I158" s="28">
        <f>IF($A158="","",COUNTIFS(tblKontrol[KaynakKartId],$A158,tblKontrol[BelgeDurum],"YOK"))</f>
        <v/>
      </c>
      <c r="J158" s="28">
        <f>IF($A158="","",SUMIF(tblAkis[KaynakKartId],$A158,tblAkis[Tutar]))</f>
        <v/>
      </c>
      <c r="K158" s="28">
        <f>IF($A158="","",IFERROR(AVERAGEIF(tblAkis[KaynakKartId],$A158,tblAkis[YasGun]),0))</f>
        <v/>
      </c>
    </row>
    <row r="159">
      <c r="A159" s="26" t="n"/>
      <c r="B159" s="26" t="n"/>
      <c r="C159" s="26" t="n"/>
      <c r="D159" s="26" t="n"/>
      <c r="E159" s="26" t="n"/>
      <c r="F159" s="27" t="n"/>
      <c r="G159" s="26" t="n"/>
      <c r="H159" s="26" t="n"/>
      <c r="I159" s="28">
        <f>IF($A159="","",COUNTIFS(tblKontrol[KaynakKartId],$A159,tblKontrol[BelgeDurum],"YOK"))</f>
        <v/>
      </c>
      <c r="J159" s="28">
        <f>IF($A159="","",SUMIF(tblAkis[KaynakKartId],$A159,tblAkis[Tutar]))</f>
        <v/>
      </c>
      <c r="K159" s="28">
        <f>IF($A159="","",IFERROR(AVERAGEIF(tblAkis[KaynakKartId],$A159,tblAkis[YasGun]),0))</f>
        <v/>
      </c>
    </row>
    <row r="160">
      <c r="A160" s="26" t="n"/>
      <c r="B160" s="26" t="n"/>
      <c r="C160" s="26" t="n"/>
      <c r="D160" s="26" t="n"/>
      <c r="E160" s="26" t="n"/>
      <c r="F160" s="27" t="n"/>
      <c r="G160" s="26" t="n"/>
      <c r="H160" s="26" t="n"/>
      <c r="I160" s="28">
        <f>IF($A160="","",COUNTIFS(tblKontrol[KaynakKartId],$A160,tblKontrol[BelgeDurum],"YOK"))</f>
        <v/>
      </c>
      <c r="J160" s="28">
        <f>IF($A160="","",SUMIF(tblAkis[KaynakKartId],$A160,tblAkis[Tutar]))</f>
        <v/>
      </c>
      <c r="K160" s="28">
        <f>IF($A160="","",IFERROR(AVERAGEIF(tblAkis[KaynakKartId],$A160,tblAkis[YasGun]),0))</f>
        <v/>
      </c>
    </row>
    <row r="161">
      <c r="A161" s="26" t="n"/>
      <c r="B161" s="26" t="n"/>
      <c r="C161" s="26" t="n"/>
      <c r="D161" s="26" t="n"/>
      <c r="E161" s="26" t="n"/>
      <c r="F161" s="27" t="n"/>
      <c r="G161" s="26" t="n"/>
      <c r="H161" s="26" t="n"/>
      <c r="I161" s="28">
        <f>IF($A161="","",COUNTIFS(tblKontrol[KaynakKartId],$A161,tblKontrol[BelgeDurum],"YOK"))</f>
        <v/>
      </c>
      <c r="J161" s="28">
        <f>IF($A161="","",SUMIF(tblAkis[KaynakKartId],$A161,tblAkis[Tutar]))</f>
        <v/>
      </c>
      <c r="K161" s="28">
        <f>IF($A161="","",IFERROR(AVERAGEIF(tblAkis[KaynakKartId],$A161,tblAkis[YasGun]),0))</f>
        <v/>
      </c>
    </row>
    <row r="162">
      <c r="A162" s="26" t="n"/>
      <c r="B162" s="26" t="n"/>
      <c r="C162" s="26" t="n"/>
      <c r="D162" s="26" t="n"/>
      <c r="E162" s="26" t="n"/>
      <c r="F162" s="27" t="n"/>
      <c r="G162" s="26" t="n"/>
      <c r="H162" s="26" t="n"/>
      <c r="I162" s="28">
        <f>IF($A162="","",COUNTIFS(tblKontrol[KaynakKartId],$A162,tblKontrol[BelgeDurum],"YOK"))</f>
        <v/>
      </c>
      <c r="J162" s="28">
        <f>IF($A162="","",SUMIF(tblAkis[KaynakKartId],$A162,tblAkis[Tutar]))</f>
        <v/>
      </c>
      <c r="K162" s="28">
        <f>IF($A162="","",IFERROR(AVERAGEIF(tblAkis[KaynakKartId],$A162,tblAkis[YasGun]),0))</f>
        <v/>
      </c>
    </row>
    <row r="163">
      <c r="A163" s="26" t="n"/>
      <c r="B163" s="26" t="n"/>
      <c r="C163" s="26" t="n"/>
      <c r="D163" s="26" t="n"/>
      <c r="E163" s="26" t="n"/>
      <c r="F163" s="27" t="n"/>
      <c r="G163" s="26" t="n"/>
      <c r="H163" s="26" t="n"/>
      <c r="I163" s="28">
        <f>IF($A163="","",COUNTIFS(tblKontrol[KaynakKartId],$A163,tblKontrol[BelgeDurum],"YOK"))</f>
        <v/>
      </c>
      <c r="J163" s="28">
        <f>IF($A163="","",SUMIF(tblAkis[KaynakKartId],$A163,tblAkis[Tutar]))</f>
        <v/>
      </c>
      <c r="K163" s="28">
        <f>IF($A163="","",IFERROR(AVERAGEIF(tblAkis[KaynakKartId],$A163,tblAkis[YasGun]),0))</f>
        <v/>
      </c>
    </row>
    <row r="164">
      <c r="A164" s="26" t="n"/>
      <c r="B164" s="26" t="n"/>
      <c r="C164" s="26" t="n"/>
      <c r="D164" s="26" t="n"/>
      <c r="E164" s="26" t="n"/>
      <c r="F164" s="27" t="n"/>
      <c r="G164" s="26" t="n"/>
      <c r="H164" s="26" t="n"/>
      <c r="I164" s="28">
        <f>IF($A164="","",COUNTIFS(tblKontrol[KaynakKartId],$A164,tblKontrol[BelgeDurum],"YOK"))</f>
        <v/>
      </c>
      <c r="J164" s="28">
        <f>IF($A164="","",SUMIF(tblAkis[KaynakKartId],$A164,tblAkis[Tutar]))</f>
        <v/>
      </c>
      <c r="K164" s="28">
        <f>IF($A164="","",IFERROR(AVERAGEIF(tblAkis[KaynakKartId],$A164,tblAkis[YasGun]),0))</f>
        <v/>
      </c>
    </row>
    <row r="165">
      <c r="A165" s="26" t="n"/>
      <c r="B165" s="26" t="n"/>
      <c r="C165" s="26" t="n"/>
      <c r="D165" s="26" t="n"/>
      <c r="E165" s="26" t="n"/>
      <c r="F165" s="27" t="n"/>
      <c r="G165" s="26" t="n"/>
      <c r="H165" s="26" t="n"/>
      <c r="I165" s="28">
        <f>IF($A165="","",COUNTIFS(tblKontrol[KaynakKartId],$A165,tblKontrol[BelgeDurum],"YOK"))</f>
        <v/>
      </c>
      <c r="J165" s="28">
        <f>IF($A165="","",SUMIF(tblAkis[KaynakKartId],$A165,tblAkis[Tutar]))</f>
        <v/>
      </c>
      <c r="K165" s="28">
        <f>IF($A165="","",IFERROR(AVERAGEIF(tblAkis[KaynakKartId],$A165,tblAkis[YasGun]),0))</f>
        <v/>
      </c>
    </row>
    <row r="166">
      <c r="A166" s="26" t="n"/>
      <c r="B166" s="26" t="n"/>
      <c r="C166" s="26" t="n"/>
      <c r="D166" s="26" t="n"/>
      <c r="E166" s="26" t="n"/>
      <c r="F166" s="27" t="n"/>
      <c r="G166" s="26" t="n"/>
      <c r="H166" s="26" t="n"/>
      <c r="I166" s="28">
        <f>IF($A166="","",COUNTIFS(tblKontrol[KaynakKartId],$A166,tblKontrol[BelgeDurum],"YOK"))</f>
        <v/>
      </c>
      <c r="J166" s="28">
        <f>IF($A166="","",SUMIF(tblAkis[KaynakKartId],$A166,tblAkis[Tutar]))</f>
        <v/>
      </c>
      <c r="K166" s="28">
        <f>IF($A166="","",IFERROR(AVERAGEIF(tblAkis[KaynakKartId],$A166,tblAkis[YasGun]),0))</f>
        <v/>
      </c>
    </row>
    <row r="167">
      <c r="A167" s="26" t="n"/>
      <c r="B167" s="26" t="n"/>
      <c r="C167" s="26" t="n"/>
      <c r="D167" s="26" t="n"/>
      <c r="E167" s="26" t="n"/>
      <c r="F167" s="27" t="n"/>
      <c r="G167" s="26" t="n"/>
      <c r="H167" s="26" t="n"/>
      <c r="I167" s="28">
        <f>IF($A167="","",COUNTIFS(tblKontrol[KaynakKartId],$A167,tblKontrol[BelgeDurum],"YOK"))</f>
        <v/>
      </c>
      <c r="J167" s="28">
        <f>IF($A167="","",SUMIF(tblAkis[KaynakKartId],$A167,tblAkis[Tutar]))</f>
        <v/>
      </c>
      <c r="K167" s="28">
        <f>IF($A167="","",IFERROR(AVERAGEIF(tblAkis[KaynakKartId],$A167,tblAkis[YasGun]),0))</f>
        <v/>
      </c>
    </row>
    <row r="168">
      <c r="A168" s="26" t="n"/>
      <c r="B168" s="26" t="n"/>
      <c r="C168" s="26" t="n"/>
      <c r="D168" s="26" t="n"/>
      <c r="E168" s="26" t="n"/>
      <c r="F168" s="27" t="n"/>
      <c r="G168" s="26" t="n"/>
      <c r="H168" s="26" t="n"/>
      <c r="I168" s="28">
        <f>IF($A168="","",COUNTIFS(tblKontrol[KaynakKartId],$A168,tblKontrol[BelgeDurum],"YOK"))</f>
        <v/>
      </c>
      <c r="J168" s="28">
        <f>IF($A168="","",SUMIF(tblAkis[KaynakKartId],$A168,tblAkis[Tutar]))</f>
        <v/>
      </c>
      <c r="K168" s="28">
        <f>IF($A168="","",IFERROR(AVERAGEIF(tblAkis[KaynakKartId],$A168,tblAkis[YasGun]),0))</f>
        <v/>
      </c>
    </row>
    <row r="169">
      <c r="A169" s="26" t="n"/>
      <c r="B169" s="26" t="n"/>
      <c r="C169" s="26" t="n"/>
      <c r="D169" s="26" t="n"/>
      <c r="E169" s="26" t="n"/>
      <c r="F169" s="27" t="n"/>
      <c r="G169" s="26" t="n"/>
      <c r="H169" s="26" t="n"/>
      <c r="I169" s="28">
        <f>IF($A169="","",COUNTIFS(tblKontrol[KaynakKartId],$A169,tblKontrol[BelgeDurum],"YOK"))</f>
        <v/>
      </c>
      <c r="J169" s="28">
        <f>IF($A169="","",SUMIF(tblAkis[KaynakKartId],$A169,tblAkis[Tutar]))</f>
        <v/>
      </c>
      <c r="K169" s="28">
        <f>IF($A169="","",IFERROR(AVERAGEIF(tblAkis[KaynakKartId],$A169,tblAkis[YasGun]),0))</f>
        <v/>
      </c>
    </row>
    <row r="170">
      <c r="A170" s="26" t="n"/>
      <c r="B170" s="26" t="n"/>
      <c r="C170" s="26" t="n"/>
      <c r="D170" s="26" t="n"/>
      <c r="E170" s="26" t="n"/>
      <c r="F170" s="27" t="n"/>
      <c r="G170" s="26" t="n"/>
      <c r="H170" s="26" t="n"/>
      <c r="I170" s="28">
        <f>IF($A170="","",COUNTIFS(tblKontrol[KaynakKartId],$A170,tblKontrol[BelgeDurum],"YOK"))</f>
        <v/>
      </c>
      <c r="J170" s="28">
        <f>IF($A170="","",SUMIF(tblAkis[KaynakKartId],$A170,tblAkis[Tutar]))</f>
        <v/>
      </c>
      <c r="K170" s="28">
        <f>IF($A170="","",IFERROR(AVERAGEIF(tblAkis[KaynakKartId],$A170,tblAkis[YasGun]),0))</f>
        <v/>
      </c>
    </row>
    <row r="171">
      <c r="A171" s="26" t="n"/>
      <c r="B171" s="26" t="n"/>
      <c r="C171" s="26" t="n"/>
      <c r="D171" s="26" t="n"/>
      <c r="E171" s="26" t="n"/>
      <c r="F171" s="27" t="n"/>
      <c r="G171" s="26" t="n"/>
      <c r="H171" s="26" t="n"/>
      <c r="I171" s="28">
        <f>IF($A171="","",COUNTIFS(tblKontrol[KaynakKartId],$A171,tblKontrol[BelgeDurum],"YOK"))</f>
        <v/>
      </c>
      <c r="J171" s="28">
        <f>IF($A171="","",SUMIF(tblAkis[KaynakKartId],$A171,tblAkis[Tutar]))</f>
        <v/>
      </c>
      <c r="K171" s="28">
        <f>IF($A171="","",IFERROR(AVERAGEIF(tblAkis[KaynakKartId],$A171,tblAkis[YasGun]),0))</f>
        <v/>
      </c>
    </row>
    <row r="172">
      <c r="A172" s="26" t="n"/>
      <c r="B172" s="26" t="n"/>
      <c r="C172" s="26" t="n"/>
      <c r="D172" s="26" t="n"/>
      <c r="E172" s="26" t="n"/>
      <c r="F172" s="27" t="n"/>
      <c r="G172" s="26" t="n"/>
      <c r="H172" s="26" t="n"/>
      <c r="I172" s="28">
        <f>IF($A172="","",COUNTIFS(tblKontrol[KaynakKartId],$A172,tblKontrol[BelgeDurum],"YOK"))</f>
        <v/>
      </c>
      <c r="J172" s="28">
        <f>IF($A172="","",SUMIF(tblAkis[KaynakKartId],$A172,tblAkis[Tutar]))</f>
        <v/>
      </c>
      <c r="K172" s="28">
        <f>IF($A172="","",IFERROR(AVERAGEIF(tblAkis[KaynakKartId],$A172,tblAkis[YasGun]),0))</f>
        <v/>
      </c>
    </row>
    <row r="173">
      <c r="A173" s="26" t="n"/>
      <c r="B173" s="26" t="n"/>
      <c r="C173" s="26" t="n"/>
      <c r="D173" s="26" t="n"/>
      <c r="E173" s="26" t="n"/>
      <c r="F173" s="27" t="n"/>
      <c r="G173" s="26" t="n"/>
      <c r="H173" s="26" t="n"/>
      <c r="I173" s="28">
        <f>IF($A173="","",COUNTIFS(tblKontrol[KaynakKartId],$A173,tblKontrol[BelgeDurum],"YOK"))</f>
        <v/>
      </c>
      <c r="J173" s="28">
        <f>IF($A173="","",SUMIF(tblAkis[KaynakKartId],$A173,tblAkis[Tutar]))</f>
        <v/>
      </c>
      <c r="K173" s="28">
        <f>IF($A173="","",IFERROR(AVERAGEIF(tblAkis[KaynakKartId],$A173,tblAkis[YasGun]),0))</f>
        <v/>
      </c>
    </row>
    <row r="174">
      <c r="A174" s="26" t="n"/>
      <c r="B174" s="26" t="n"/>
      <c r="C174" s="26" t="n"/>
      <c r="D174" s="26" t="n"/>
      <c r="E174" s="26" t="n"/>
      <c r="F174" s="27" t="n"/>
      <c r="G174" s="26" t="n"/>
      <c r="H174" s="26" t="n"/>
      <c r="I174" s="28">
        <f>IF($A174="","",COUNTIFS(tblKontrol[KaynakKartId],$A174,tblKontrol[BelgeDurum],"YOK"))</f>
        <v/>
      </c>
      <c r="J174" s="28">
        <f>IF($A174="","",SUMIF(tblAkis[KaynakKartId],$A174,tblAkis[Tutar]))</f>
        <v/>
      </c>
      <c r="K174" s="28">
        <f>IF($A174="","",IFERROR(AVERAGEIF(tblAkis[KaynakKartId],$A174,tblAkis[YasGun]),0))</f>
        <v/>
      </c>
    </row>
    <row r="175">
      <c r="A175" s="26" t="n"/>
      <c r="B175" s="26" t="n"/>
      <c r="C175" s="26" t="n"/>
      <c r="D175" s="26" t="n"/>
      <c r="E175" s="26" t="n"/>
      <c r="F175" s="27" t="n"/>
      <c r="G175" s="26" t="n"/>
      <c r="H175" s="26" t="n"/>
      <c r="I175" s="28">
        <f>IF($A175="","",COUNTIFS(tblKontrol[KaynakKartId],$A175,tblKontrol[BelgeDurum],"YOK"))</f>
        <v/>
      </c>
      <c r="J175" s="28">
        <f>IF($A175="","",SUMIF(tblAkis[KaynakKartId],$A175,tblAkis[Tutar]))</f>
        <v/>
      </c>
      <c r="K175" s="28">
        <f>IF($A175="","",IFERROR(AVERAGEIF(tblAkis[KaynakKartId],$A175,tblAkis[YasGun]),0))</f>
        <v/>
      </c>
    </row>
    <row r="176">
      <c r="A176" s="26" t="n"/>
      <c r="B176" s="26" t="n"/>
      <c r="C176" s="26" t="n"/>
      <c r="D176" s="26" t="n"/>
      <c r="E176" s="26" t="n"/>
      <c r="F176" s="27" t="n"/>
      <c r="G176" s="26" t="n"/>
      <c r="H176" s="26" t="n"/>
      <c r="I176" s="28">
        <f>IF($A176="","",COUNTIFS(tblKontrol[KaynakKartId],$A176,tblKontrol[BelgeDurum],"YOK"))</f>
        <v/>
      </c>
      <c r="J176" s="28">
        <f>IF($A176="","",SUMIF(tblAkis[KaynakKartId],$A176,tblAkis[Tutar]))</f>
        <v/>
      </c>
      <c r="K176" s="28">
        <f>IF($A176="","",IFERROR(AVERAGEIF(tblAkis[KaynakKartId],$A176,tblAkis[YasGun]),0))</f>
        <v/>
      </c>
    </row>
    <row r="177">
      <c r="A177" s="26" t="n"/>
      <c r="B177" s="26" t="n"/>
      <c r="C177" s="26" t="n"/>
      <c r="D177" s="26" t="n"/>
      <c r="E177" s="26" t="n"/>
      <c r="F177" s="27" t="n"/>
      <c r="G177" s="26" t="n"/>
      <c r="H177" s="26" t="n"/>
      <c r="I177" s="28">
        <f>IF($A177="","",COUNTIFS(tblKontrol[KaynakKartId],$A177,tblKontrol[BelgeDurum],"YOK"))</f>
        <v/>
      </c>
      <c r="J177" s="28">
        <f>IF($A177="","",SUMIF(tblAkis[KaynakKartId],$A177,tblAkis[Tutar]))</f>
        <v/>
      </c>
      <c r="K177" s="28">
        <f>IF($A177="","",IFERROR(AVERAGEIF(tblAkis[KaynakKartId],$A177,tblAkis[YasGun]),0))</f>
        <v/>
      </c>
    </row>
    <row r="178">
      <c r="A178" s="26" t="n"/>
      <c r="B178" s="26" t="n"/>
      <c r="C178" s="26" t="n"/>
      <c r="D178" s="26" t="n"/>
      <c r="E178" s="26" t="n"/>
      <c r="F178" s="27" t="n"/>
      <c r="G178" s="26" t="n"/>
      <c r="H178" s="26" t="n"/>
      <c r="I178" s="28">
        <f>IF($A178="","",COUNTIFS(tblKontrol[KaynakKartId],$A178,tblKontrol[BelgeDurum],"YOK"))</f>
        <v/>
      </c>
      <c r="J178" s="28">
        <f>IF($A178="","",SUMIF(tblAkis[KaynakKartId],$A178,tblAkis[Tutar]))</f>
        <v/>
      </c>
      <c r="K178" s="28">
        <f>IF($A178="","",IFERROR(AVERAGEIF(tblAkis[KaynakKartId],$A178,tblAkis[YasGun]),0))</f>
        <v/>
      </c>
    </row>
    <row r="179">
      <c r="A179" s="26" t="n"/>
      <c r="B179" s="26" t="n"/>
      <c r="C179" s="26" t="n"/>
      <c r="D179" s="26" t="n"/>
      <c r="E179" s="26" t="n"/>
      <c r="F179" s="27" t="n"/>
      <c r="G179" s="26" t="n"/>
      <c r="H179" s="26" t="n"/>
      <c r="I179" s="28">
        <f>IF($A179="","",COUNTIFS(tblKontrol[KaynakKartId],$A179,tblKontrol[BelgeDurum],"YOK"))</f>
        <v/>
      </c>
      <c r="J179" s="28">
        <f>IF($A179="","",SUMIF(tblAkis[KaynakKartId],$A179,tblAkis[Tutar]))</f>
        <v/>
      </c>
      <c r="K179" s="28">
        <f>IF($A179="","",IFERROR(AVERAGEIF(tblAkis[KaynakKartId],$A179,tblAkis[YasGun]),0))</f>
        <v/>
      </c>
    </row>
    <row r="180">
      <c r="A180" s="26" t="n"/>
      <c r="B180" s="26" t="n"/>
      <c r="C180" s="26" t="n"/>
      <c r="D180" s="26" t="n"/>
      <c r="E180" s="26" t="n"/>
      <c r="F180" s="27" t="n"/>
      <c r="G180" s="26" t="n"/>
      <c r="H180" s="26" t="n"/>
      <c r="I180" s="28">
        <f>IF($A180="","",COUNTIFS(tblKontrol[KaynakKartId],$A180,tblKontrol[BelgeDurum],"YOK"))</f>
        <v/>
      </c>
      <c r="J180" s="28">
        <f>IF($A180="","",SUMIF(tblAkis[KaynakKartId],$A180,tblAkis[Tutar]))</f>
        <v/>
      </c>
      <c r="K180" s="28">
        <f>IF($A180="","",IFERROR(AVERAGEIF(tblAkis[KaynakKartId],$A180,tblAkis[YasGun]),0))</f>
        <v/>
      </c>
    </row>
    <row r="181">
      <c r="A181" s="26" t="n"/>
      <c r="B181" s="26" t="n"/>
      <c r="C181" s="26" t="n"/>
      <c r="D181" s="26" t="n"/>
      <c r="E181" s="26" t="n"/>
      <c r="F181" s="27" t="n"/>
      <c r="G181" s="26" t="n"/>
      <c r="H181" s="26" t="n"/>
      <c r="I181" s="28">
        <f>IF($A181="","",COUNTIFS(tblKontrol[KaynakKartId],$A181,tblKontrol[BelgeDurum],"YOK"))</f>
        <v/>
      </c>
      <c r="J181" s="28">
        <f>IF($A181="","",SUMIF(tblAkis[KaynakKartId],$A181,tblAkis[Tutar]))</f>
        <v/>
      </c>
      <c r="K181" s="28">
        <f>IF($A181="","",IFERROR(AVERAGEIF(tblAkis[KaynakKartId],$A181,tblAkis[YasGun]),0))</f>
        <v/>
      </c>
    </row>
    <row r="182">
      <c r="A182" s="26" t="n"/>
      <c r="B182" s="26" t="n"/>
      <c r="C182" s="26" t="n"/>
      <c r="D182" s="26" t="n"/>
      <c r="E182" s="26" t="n"/>
      <c r="F182" s="27" t="n"/>
      <c r="G182" s="26" t="n"/>
      <c r="H182" s="26" t="n"/>
      <c r="I182" s="28">
        <f>IF($A182="","",COUNTIFS(tblKontrol[KaynakKartId],$A182,tblKontrol[BelgeDurum],"YOK"))</f>
        <v/>
      </c>
      <c r="J182" s="28">
        <f>IF($A182="","",SUMIF(tblAkis[KaynakKartId],$A182,tblAkis[Tutar]))</f>
        <v/>
      </c>
      <c r="K182" s="28">
        <f>IF($A182="","",IFERROR(AVERAGEIF(tblAkis[KaynakKartId],$A182,tblAkis[YasGun]),0))</f>
        <v/>
      </c>
    </row>
    <row r="183">
      <c r="A183" s="26" t="n"/>
      <c r="B183" s="26" t="n"/>
      <c r="C183" s="26" t="n"/>
      <c r="D183" s="26" t="n"/>
      <c r="E183" s="26" t="n"/>
      <c r="F183" s="27" t="n"/>
      <c r="G183" s="26" t="n"/>
      <c r="H183" s="26" t="n"/>
      <c r="I183" s="28">
        <f>IF($A183="","",COUNTIFS(tblKontrol[KaynakKartId],$A183,tblKontrol[BelgeDurum],"YOK"))</f>
        <v/>
      </c>
      <c r="J183" s="28">
        <f>IF($A183="","",SUMIF(tblAkis[KaynakKartId],$A183,tblAkis[Tutar]))</f>
        <v/>
      </c>
      <c r="K183" s="28">
        <f>IF($A183="","",IFERROR(AVERAGEIF(tblAkis[KaynakKartId],$A183,tblAkis[YasGun]),0))</f>
        <v/>
      </c>
    </row>
    <row r="184">
      <c r="A184" s="26" t="n"/>
      <c r="B184" s="26" t="n"/>
      <c r="C184" s="26" t="n"/>
      <c r="D184" s="26" t="n"/>
      <c r="E184" s="26" t="n"/>
      <c r="F184" s="27" t="n"/>
      <c r="G184" s="26" t="n"/>
      <c r="H184" s="26" t="n"/>
      <c r="I184" s="28">
        <f>IF($A184="","",COUNTIFS(tblKontrol[KaynakKartId],$A184,tblKontrol[BelgeDurum],"YOK"))</f>
        <v/>
      </c>
      <c r="J184" s="28">
        <f>IF($A184="","",SUMIF(tblAkis[KaynakKartId],$A184,tblAkis[Tutar]))</f>
        <v/>
      </c>
      <c r="K184" s="28">
        <f>IF($A184="","",IFERROR(AVERAGEIF(tblAkis[KaynakKartId],$A184,tblAkis[YasGun]),0))</f>
        <v/>
      </c>
    </row>
    <row r="185">
      <c r="A185" s="26" t="n"/>
      <c r="B185" s="26" t="n"/>
      <c r="C185" s="26" t="n"/>
      <c r="D185" s="26" t="n"/>
      <c r="E185" s="26" t="n"/>
      <c r="F185" s="27" t="n"/>
      <c r="G185" s="26" t="n"/>
      <c r="H185" s="26" t="n"/>
      <c r="I185" s="28">
        <f>IF($A185="","",COUNTIFS(tblKontrol[KaynakKartId],$A185,tblKontrol[BelgeDurum],"YOK"))</f>
        <v/>
      </c>
      <c r="J185" s="28">
        <f>IF($A185="","",SUMIF(tblAkis[KaynakKartId],$A185,tblAkis[Tutar]))</f>
        <v/>
      </c>
      <c r="K185" s="28">
        <f>IF($A185="","",IFERROR(AVERAGEIF(tblAkis[KaynakKartId],$A185,tblAkis[YasGun]),0))</f>
        <v/>
      </c>
    </row>
    <row r="186">
      <c r="A186" s="26" t="n"/>
      <c r="B186" s="26" t="n"/>
      <c r="C186" s="26" t="n"/>
      <c r="D186" s="26" t="n"/>
      <c r="E186" s="26" t="n"/>
      <c r="F186" s="27" t="n"/>
      <c r="G186" s="26" t="n"/>
      <c r="H186" s="26" t="n"/>
      <c r="I186" s="28">
        <f>IF($A186="","",COUNTIFS(tblKontrol[KaynakKartId],$A186,tblKontrol[BelgeDurum],"YOK"))</f>
        <v/>
      </c>
      <c r="J186" s="28">
        <f>IF($A186="","",SUMIF(tblAkis[KaynakKartId],$A186,tblAkis[Tutar]))</f>
        <v/>
      </c>
      <c r="K186" s="28">
        <f>IF($A186="","",IFERROR(AVERAGEIF(tblAkis[KaynakKartId],$A186,tblAkis[YasGun]),0))</f>
        <v/>
      </c>
    </row>
    <row r="187">
      <c r="A187" s="26" t="n"/>
      <c r="B187" s="26" t="n"/>
      <c r="C187" s="26" t="n"/>
      <c r="D187" s="26" t="n"/>
      <c r="E187" s="26" t="n"/>
      <c r="F187" s="27" t="n"/>
      <c r="G187" s="26" t="n"/>
      <c r="H187" s="26" t="n"/>
      <c r="I187" s="28">
        <f>IF($A187="","",COUNTIFS(tblKontrol[KaynakKartId],$A187,tblKontrol[BelgeDurum],"YOK"))</f>
        <v/>
      </c>
      <c r="J187" s="28">
        <f>IF($A187="","",SUMIF(tblAkis[KaynakKartId],$A187,tblAkis[Tutar]))</f>
        <v/>
      </c>
      <c r="K187" s="28">
        <f>IF($A187="","",IFERROR(AVERAGEIF(tblAkis[KaynakKartId],$A187,tblAkis[YasGun]),0))</f>
        <v/>
      </c>
    </row>
    <row r="188">
      <c r="A188" s="26" t="n"/>
      <c r="B188" s="26" t="n"/>
      <c r="C188" s="26" t="n"/>
      <c r="D188" s="26" t="n"/>
      <c r="E188" s="26" t="n"/>
      <c r="F188" s="27" t="n"/>
      <c r="G188" s="26" t="n"/>
      <c r="H188" s="26" t="n"/>
      <c r="I188" s="28">
        <f>IF($A188="","",COUNTIFS(tblKontrol[KaynakKartId],$A188,tblKontrol[BelgeDurum],"YOK"))</f>
        <v/>
      </c>
      <c r="J188" s="28">
        <f>IF($A188="","",SUMIF(tblAkis[KaynakKartId],$A188,tblAkis[Tutar]))</f>
        <v/>
      </c>
      <c r="K188" s="28">
        <f>IF($A188="","",IFERROR(AVERAGEIF(tblAkis[KaynakKartId],$A188,tblAkis[YasGun]),0))</f>
        <v/>
      </c>
    </row>
    <row r="189">
      <c r="A189" s="26" t="n"/>
      <c r="B189" s="26" t="n"/>
      <c r="C189" s="26" t="n"/>
      <c r="D189" s="26" t="n"/>
      <c r="E189" s="26" t="n"/>
      <c r="F189" s="27" t="n"/>
      <c r="G189" s="26" t="n"/>
      <c r="H189" s="26" t="n"/>
      <c r="I189" s="28">
        <f>IF($A189="","",COUNTIFS(tblKontrol[KaynakKartId],$A189,tblKontrol[BelgeDurum],"YOK"))</f>
        <v/>
      </c>
      <c r="J189" s="28">
        <f>IF($A189="","",SUMIF(tblAkis[KaynakKartId],$A189,tblAkis[Tutar]))</f>
        <v/>
      </c>
      <c r="K189" s="28">
        <f>IF($A189="","",IFERROR(AVERAGEIF(tblAkis[KaynakKartId],$A189,tblAkis[YasGun]),0))</f>
        <v/>
      </c>
    </row>
    <row r="190">
      <c r="A190" s="26" t="n"/>
      <c r="B190" s="26" t="n"/>
      <c r="C190" s="26" t="n"/>
      <c r="D190" s="26" t="n"/>
      <c r="E190" s="26" t="n"/>
      <c r="F190" s="27" t="n"/>
      <c r="G190" s="26" t="n"/>
      <c r="H190" s="26" t="n"/>
      <c r="I190" s="28">
        <f>IF($A190="","",COUNTIFS(tblKontrol[KaynakKartId],$A190,tblKontrol[BelgeDurum],"YOK"))</f>
        <v/>
      </c>
      <c r="J190" s="28">
        <f>IF($A190="","",SUMIF(tblAkis[KaynakKartId],$A190,tblAkis[Tutar]))</f>
        <v/>
      </c>
      <c r="K190" s="28">
        <f>IF($A190="","",IFERROR(AVERAGEIF(tblAkis[KaynakKartId],$A190,tblAkis[YasGun]),0))</f>
        <v/>
      </c>
    </row>
    <row r="191">
      <c r="A191" s="26" t="n"/>
      <c r="B191" s="26" t="n"/>
      <c r="C191" s="26" t="n"/>
      <c r="D191" s="26" t="n"/>
      <c r="E191" s="26" t="n"/>
      <c r="F191" s="27" t="n"/>
      <c r="G191" s="26" t="n"/>
      <c r="H191" s="26" t="n"/>
      <c r="I191" s="28">
        <f>IF($A191="","",COUNTIFS(tblKontrol[KaynakKartId],$A191,tblKontrol[BelgeDurum],"YOK"))</f>
        <v/>
      </c>
      <c r="J191" s="28">
        <f>IF($A191="","",SUMIF(tblAkis[KaynakKartId],$A191,tblAkis[Tutar]))</f>
        <v/>
      </c>
      <c r="K191" s="28">
        <f>IF($A191="","",IFERROR(AVERAGEIF(tblAkis[KaynakKartId],$A191,tblAkis[YasGun]),0))</f>
        <v/>
      </c>
    </row>
    <row r="192">
      <c r="A192" s="26" t="n"/>
      <c r="B192" s="26" t="n"/>
      <c r="C192" s="26" t="n"/>
      <c r="D192" s="26" t="n"/>
      <c r="E192" s="26" t="n"/>
      <c r="F192" s="27" t="n"/>
      <c r="G192" s="26" t="n"/>
      <c r="H192" s="26" t="n"/>
      <c r="I192" s="28">
        <f>IF($A192="","",COUNTIFS(tblKontrol[KaynakKartId],$A192,tblKontrol[BelgeDurum],"YOK"))</f>
        <v/>
      </c>
      <c r="J192" s="28">
        <f>IF($A192="","",SUMIF(tblAkis[KaynakKartId],$A192,tblAkis[Tutar]))</f>
        <v/>
      </c>
      <c r="K192" s="28">
        <f>IF($A192="","",IFERROR(AVERAGEIF(tblAkis[KaynakKartId],$A192,tblAkis[YasGun]),0))</f>
        <v/>
      </c>
    </row>
    <row r="193">
      <c r="A193" s="26" t="n"/>
      <c r="B193" s="26" t="n"/>
      <c r="C193" s="26" t="n"/>
      <c r="D193" s="26" t="n"/>
      <c r="E193" s="26" t="n"/>
      <c r="F193" s="27" t="n"/>
      <c r="G193" s="26" t="n"/>
      <c r="H193" s="26" t="n"/>
      <c r="I193" s="28">
        <f>IF($A193="","",COUNTIFS(tblKontrol[KaynakKartId],$A193,tblKontrol[BelgeDurum],"YOK"))</f>
        <v/>
      </c>
      <c r="J193" s="28">
        <f>IF($A193="","",SUMIF(tblAkis[KaynakKartId],$A193,tblAkis[Tutar]))</f>
        <v/>
      </c>
      <c r="K193" s="28">
        <f>IF($A193="","",IFERROR(AVERAGEIF(tblAkis[KaynakKartId],$A193,tblAkis[YasGun]),0))</f>
        <v/>
      </c>
    </row>
    <row r="194">
      <c r="A194" s="26" t="n"/>
      <c r="B194" s="26" t="n"/>
      <c r="C194" s="26" t="n"/>
      <c r="D194" s="26" t="n"/>
      <c r="E194" s="26" t="n"/>
      <c r="F194" s="27" t="n"/>
      <c r="G194" s="26" t="n"/>
      <c r="H194" s="26" t="n"/>
      <c r="I194" s="28">
        <f>IF($A194="","",COUNTIFS(tblKontrol[KaynakKartId],$A194,tblKontrol[BelgeDurum],"YOK"))</f>
        <v/>
      </c>
      <c r="J194" s="28">
        <f>IF($A194="","",SUMIF(tblAkis[KaynakKartId],$A194,tblAkis[Tutar]))</f>
        <v/>
      </c>
      <c r="K194" s="28">
        <f>IF($A194="","",IFERROR(AVERAGEIF(tblAkis[KaynakKartId],$A194,tblAkis[YasGun]),0))</f>
        <v/>
      </c>
    </row>
    <row r="195">
      <c r="A195" s="26" t="n"/>
      <c r="B195" s="26" t="n"/>
      <c r="C195" s="26" t="n"/>
      <c r="D195" s="26" t="n"/>
      <c r="E195" s="26" t="n"/>
      <c r="F195" s="27" t="n"/>
      <c r="G195" s="26" t="n"/>
      <c r="H195" s="26" t="n"/>
      <c r="I195" s="28">
        <f>IF($A195="","",COUNTIFS(tblKontrol[KaynakKartId],$A195,tblKontrol[BelgeDurum],"YOK"))</f>
        <v/>
      </c>
      <c r="J195" s="28">
        <f>IF($A195="","",SUMIF(tblAkis[KaynakKartId],$A195,tblAkis[Tutar]))</f>
        <v/>
      </c>
      <c r="K195" s="28">
        <f>IF($A195="","",IFERROR(AVERAGEIF(tblAkis[KaynakKartId],$A195,tblAkis[YasGun]),0))</f>
        <v/>
      </c>
    </row>
    <row r="196">
      <c r="A196" s="26" t="n"/>
      <c r="B196" s="26" t="n"/>
      <c r="C196" s="26" t="n"/>
      <c r="D196" s="26" t="n"/>
      <c r="E196" s="26" t="n"/>
      <c r="F196" s="27" t="n"/>
      <c r="G196" s="26" t="n"/>
      <c r="H196" s="26" t="n"/>
      <c r="I196" s="28">
        <f>IF($A196="","",COUNTIFS(tblKontrol[KaynakKartId],$A196,tblKontrol[BelgeDurum],"YOK"))</f>
        <v/>
      </c>
      <c r="J196" s="28">
        <f>IF($A196="","",SUMIF(tblAkis[KaynakKartId],$A196,tblAkis[Tutar]))</f>
        <v/>
      </c>
      <c r="K196" s="28">
        <f>IF($A196="","",IFERROR(AVERAGEIF(tblAkis[KaynakKartId],$A196,tblAkis[YasGun]),0))</f>
        <v/>
      </c>
    </row>
    <row r="197">
      <c r="A197" s="26" t="n"/>
      <c r="B197" s="26" t="n"/>
      <c r="C197" s="26" t="n"/>
      <c r="D197" s="26" t="n"/>
      <c r="E197" s="26" t="n"/>
      <c r="F197" s="27" t="n"/>
      <c r="G197" s="26" t="n"/>
      <c r="H197" s="26" t="n"/>
      <c r="I197" s="28">
        <f>IF($A197="","",COUNTIFS(tblKontrol[KaynakKartId],$A197,tblKontrol[BelgeDurum],"YOK"))</f>
        <v/>
      </c>
      <c r="J197" s="28">
        <f>IF($A197="","",SUMIF(tblAkis[KaynakKartId],$A197,tblAkis[Tutar]))</f>
        <v/>
      </c>
      <c r="K197" s="28">
        <f>IF($A197="","",IFERROR(AVERAGEIF(tblAkis[KaynakKartId],$A197,tblAkis[YasGun]),0))</f>
        <v/>
      </c>
    </row>
    <row r="198">
      <c r="A198" s="26" t="n"/>
      <c r="B198" s="26" t="n"/>
      <c r="C198" s="26" t="n"/>
      <c r="D198" s="26" t="n"/>
      <c r="E198" s="26" t="n"/>
      <c r="F198" s="27" t="n"/>
      <c r="G198" s="26" t="n"/>
      <c r="H198" s="26" t="n"/>
      <c r="I198" s="28">
        <f>IF($A198="","",COUNTIFS(tblKontrol[KaynakKartId],$A198,tblKontrol[BelgeDurum],"YOK"))</f>
        <v/>
      </c>
      <c r="J198" s="28">
        <f>IF($A198="","",SUMIF(tblAkis[KaynakKartId],$A198,tblAkis[Tutar]))</f>
        <v/>
      </c>
      <c r="K198" s="28">
        <f>IF($A198="","",IFERROR(AVERAGEIF(tblAkis[KaynakKartId],$A198,tblAkis[YasGun]),0))</f>
        <v/>
      </c>
    </row>
    <row r="199">
      <c r="A199" s="26" t="n"/>
      <c r="B199" s="26" t="n"/>
      <c r="C199" s="26" t="n"/>
      <c r="D199" s="26" t="n"/>
      <c r="E199" s="26" t="n"/>
      <c r="F199" s="27" t="n"/>
      <c r="G199" s="26" t="n"/>
      <c r="H199" s="26" t="n"/>
      <c r="I199" s="28">
        <f>IF($A199="","",COUNTIFS(tblKontrol[KaynakKartId],$A199,tblKontrol[BelgeDurum],"YOK"))</f>
        <v/>
      </c>
      <c r="J199" s="28">
        <f>IF($A199="","",SUMIF(tblAkis[KaynakKartId],$A199,tblAkis[Tutar]))</f>
        <v/>
      </c>
      <c r="K199" s="28">
        <f>IF($A199="","",IFERROR(AVERAGEIF(tblAkis[KaynakKartId],$A199,tblAkis[YasGun]),0))</f>
        <v/>
      </c>
    </row>
    <row r="200">
      <c r="A200" s="26" t="n"/>
      <c r="B200" s="26" t="n"/>
      <c r="C200" s="26" t="n"/>
      <c r="D200" s="26" t="n"/>
      <c r="E200" s="26" t="n"/>
      <c r="F200" s="27" t="n"/>
      <c r="G200" s="26" t="n"/>
      <c r="H200" s="26" t="n"/>
      <c r="I200" s="28">
        <f>IF($A200="","",COUNTIFS(tblKontrol[KaynakKartId],$A200,tblKontrol[BelgeDurum],"YOK"))</f>
        <v/>
      </c>
      <c r="J200" s="28">
        <f>IF($A200="","",SUMIF(tblAkis[KaynakKartId],$A200,tblAkis[Tutar]))</f>
        <v/>
      </c>
      <c r="K200" s="28">
        <f>IF($A200="","",IFERROR(AVERAGEIF(tblAkis[KaynakKartId],$A200,tblAkis[YasGun]),0))</f>
        <v/>
      </c>
    </row>
    <row r="201">
      <c r="A201" s="26" t="n"/>
      <c r="B201" s="26" t="n"/>
      <c r="C201" s="26" t="n"/>
      <c r="D201" s="26" t="n"/>
      <c r="E201" s="26" t="n"/>
      <c r="F201" s="27" t="n"/>
      <c r="G201" s="26" t="n"/>
      <c r="H201" s="26" t="n"/>
      <c r="I201" s="28">
        <f>IF($A201="","",COUNTIFS(tblKontrol[KaynakKartId],$A201,tblKontrol[BelgeDurum],"YOK"))</f>
        <v/>
      </c>
      <c r="J201" s="28">
        <f>IF($A201="","",SUMIF(tblAkis[KaynakKartId],$A201,tblAkis[Tutar]))</f>
        <v/>
      </c>
      <c r="K201" s="28">
        <f>IF($A201="","",IFERROR(AVERAGEIF(tblAkis[KaynakKartId],$A201,tblAkis[YasGun]),0))</f>
        <v/>
      </c>
    </row>
    <row r="202">
      <c r="A202" s="26" t="n"/>
      <c r="B202" s="26" t="n"/>
      <c r="C202" s="26" t="n"/>
      <c r="D202" s="26" t="n"/>
      <c r="E202" s="26" t="n"/>
      <c r="F202" s="27" t="n"/>
      <c r="G202" s="26" t="n"/>
      <c r="H202" s="26" t="n"/>
      <c r="I202" s="28">
        <f>IF($A202="","",COUNTIFS(tblKontrol[KaynakKartId],$A202,tblKontrol[BelgeDurum],"YOK"))</f>
        <v/>
      </c>
      <c r="J202" s="28">
        <f>IF($A202="","",SUMIF(tblAkis[KaynakKartId],$A202,tblAkis[Tutar]))</f>
        <v/>
      </c>
      <c r="K202" s="28">
        <f>IF($A202="","",IFERROR(AVERAGEIF(tblAkis[KaynakKartId],$A202,tblAkis[YasGun]),0))</f>
        <v/>
      </c>
    </row>
    <row r="203">
      <c r="A203" s="26" t="n"/>
      <c r="B203" s="26" t="n"/>
      <c r="C203" s="26" t="n"/>
      <c r="D203" s="26" t="n"/>
      <c r="E203" s="26" t="n"/>
      <c r="F203" s="27" t="n"/>
      <c r="G203" s="26" t="n"/>
      <c r="H203" s="26" t="n"/>
      <c r="I203" s="28">
        <f>IF($A203="","",COUNTIFS(tblKontrol[KaynakKartId],$A203,tblKontrol[BelgeDurum],"YOK"))</f>
        <v/>
      </c>
      <c r="J203" s="28">
        <f>IF($A203="","",SUMIF(tblAkis[KaynakKartId],$A203,tblAkis[Tutar]))</f>
        <v/>
      </c>
      <c r="K203" s="28">
        <f>IF($A203="","",IFERROR(AVERAGEIF(tblAkis[KaynakKartId],$A203,tblAkis[YasGun]),0))</f>
        <v/>
      </c>
    </row>
    <row r="204">
      <c r="A204" s="26" t="n"/>
      <c r="B204" s="26" t="n"/>
      <c r="C204" s="26" t="n"/>
      <c r="D204" s="26" t="n"/>
      <c r="E204" s="26" t="n"/>
      <c r="F204" s="27" t="n"/>
      <c r="G204" s="26" t="n"/>
      <c r="H204" s="26" t="n"/>
      <c r="I204" s="28">
        <f>IF($A204="","",COUNTIFS(tblKontrol[KaynakKartId],$A204,tblKontrol[BelgeDurum],"YOK"))</f>
        <v/>
      </c>
      <c r="J204" s="28">
        <f>IF($A204="","",SUMIF(tblAkis[KaynakKartId],$A204,tblAkis[Tutar]))</f>
        <v/>
      </c>
      <c r="K204" s="28">
        <f>IF($A204="","",IFERROR(AVERAGEIF(tblAkis[KaynakKartId],$A204,tblAkis[YasGun]),0))</f>
        <v/>
      </c>
    </row>
    <row r="205">
      <c r="A205" s="26" t="n"/>
      <c r="B205" s="26" t="n"/>
      <c r="C205" s="26" t="n"/>
      <c r="D205" s="26" t="n"/>
      <c r="E205" s="26" t="n"/>
      <c r="F205" s="27" t="n"/>
      <c r="G205" s="26" t="n"/>
      <c r="H205" s="26" t="n"/>
      <c r="I205" s="28">
        <f>IF($A205="","",COUNTIFS(tblKontrol[KaynakKartId],$A205,tblKontrol[BelgeDurum],"YOK"))</f>
        <v/>
      </c>
      <c r="J205" s="28">
        <f>IF($A205="","",SUMIF(tblAkis[KaynakKartId],$A205,tblAkis[Tutar]))</f>
        <v/>
      </c>
      <c r="K205" s="28">
        <f>IF($A205="","",IFERROR(AVERAGEIF(tblAkis[KaynakKartId],$A205,tblAkis[YasGun]),0))</f>
        <v/>
      </c>
    </row>
    <row r="206">
      <c r="A206" s="26" t="n"/>
      <c r="B206" s="26" t="n"/>
      <c r="C206" s="26" t="n"/>
      <c r="D206" s="26" t="n"/>
      <c r="E206" s="26" t="n"/>
      <c r="F206" s="27" t="n"/>
      <c r="G206" s="26" t="n"/>
      <c r="H206" s="26" t="n"/>
      <c r="I206" s="28">
        <f>IF($A206="","",COUNTIFS(tblKontrol[KaynakKartId],$A206,tblKontrol[BelgeDurum],"YOK"))</f>
        <v/>
      </c>
      <c r="J206" s="28">
        <f>IF($A206="","",SUMIF(tblAkis[KaynakKartId],$A206,tblAkis[Tutar]))</f>
        <v/>
      </c>
      <c r="K206" s="28">
        <f>IF($A206="","",IFERROR(AVERAGEIF(tblAkis[KaynakKartId],$A206,tblAkis[YasGun]),0))</f>
        <v/>
      </c>
    </row>
    <row r="207">
      <c r="A207" s="26" t="n"/>
      <c r="B207" s="26" t="n"/>
      <c r="C207" s="26" t="n"/>
      <c r="D207" s="26" t="n"/>
      <c r="E207" s="26" t="n"/>
      <c r="F207" s="27" t="n"/>
      <c r="G207" s="26" t="n"/>
      <c r="H207" s="26" t="n"/>
      <c r="I207" s="28">
        <f>IF($A207="","",COUNTIFS(tblKontrol[KaynakKartId],$A207,tblKontrol[BelgeDurum],"YOK"))</f>
        <v/>
      </c>
      <c r="J207" s="28">
        <f>IF($A207="","",SUMIF(tblAkis[KaynakKartId],$A207,tblAkis[Tutar]))</f>
        <v/>
      </c>
      <c r="K207" s="28">
        <f>IF($A207="","",IFERROR(AVERAGEIF(tblAkis[KaynakKartId],$A207,tblAkis[YasGun]),0))</f>
        <v/>
      </c>
    </row>
    <row r="208">
      <c r="A208" s="26" t="n"/>
      <c r="B208" s="26" t="n"/>
      <c r="C208" s="26" t="n"/>
      <c r="D208" s="26" t="n"/>
      <c r="E208" s="26" t="n"/>
      <c r="F208" s="27" t="n"/>
      <c r="G208" s="26" t="n"/>
      <c r="H208" s="26" t="n"/>
      <c r="I208" s="28">
        <f>IF($A208="","",COUNTIFS(tblKontrol[KaynakKartId],$A208,tblKontrol[BelgeDurum],"YOK"))</f>
        <v/>
      </c>
      <c r="J208" s="28">
        <f>IF($A208="","",SUMIF(tblAkis[KaynakKartId],$A208,tblAkis[Tutar]))</f>
        <v/>
      </c>
      <c r="K208" s="28">
        <f>IF($A208="","",IFERROR(AVERAGEIF(tblAkis[KaynakKartId],$A208,tblAkis[YasGun]),0))</f>
        <v/>
      </c>
    </row>
    <row r="209">
      <c r="A209" s="26" t="n"/>
      <c r="B209" s="26" t="n"/>
      <c r="C209" s="26" t="n"/>
      <c r="D209" s="26" t="n"/>
      <c r="E209" s="26" t="n"/>
      <c r="F209" s="27" t="n"/>
      <c r="G209" s="26" t="n"/>
      <c r="H209" s="26" t="n"/>
      <c r="I209" s="28">
        <f>IF($A209="","",COUNTIFS(tblKontrol[KaynakKartId],$A209,tblKontrol[BelgeDurum],"YOK"))</f>
        <v/>
      </c>
      <c r="J209" s="28">
        <f>IF($A209="","",SUMIF(tblAkis[KaynakKartId],$A209,tblAkis[Tutar]))</f>
        <v/>
      </c>
      <c r="K209" s="28">
        <f>IF($A209="","",IFERROR(AVERAGEIF(tblAkis[KaynakKartId],$A209,tblAkis[YasGun]),0))</f>
        <v/>
      </c>
    </row>
    <row r="210">
      <c r="A210" s="26" t="n"/>
      <c r="B210" s="26" t="n"/>
      <c r="C210" s="26" t="n"/>
      <c r="D210" s="26" t="n"/>
      <c r="E210" s="26" t="n"/>
      <c r="F210" s="27" t="n"/>
      <c r="G210" s="26" t="n"/>
      <c r="H210" s="26" t="n"/>
      <c r="I210" s="28">
        <f>IF($A210="","",COUNTIFS(tblKontrol[KaynakKartId],$A210,tblKontrol[BelgeDurum],"YOK"))</f>
        <v/>
      </c>
      <c r="J210" s="28">
        <f>IF($A210="","",SUMIF(tblAkis[KaynakKartId],$A210,tblAkis[Tutar]))</f>
        <v/>
      </c>
      <c r="K210" s="28">
        <f>IF($A210="","",IFERROR(AVERAGEIF(tblAkis[KaynakKartId],$A210,tblAkis[YasGun]),0))</f>
        <v/>
      </c>
    </row>
    <row r="211">
      <c r="A211" s="26" t="n"/>
      <c r="B211" s="26" t="n"/>
      <c r="C211" s="26" t="n"/>
      <c r="D211" s="26" t="n"/>
      <c r="E211" s="26" t="n"/>
      <c r="F211" s="27" t="n"/>
      <c r="G211" s="26" t="n"/>
      <c r="H211" s="26" t="n"/>
      <c r="I211" s="28">
        <f>IF($A211="","",COUNTIFS(tblKontrol[KaynakKartId],$A211,tblKontrol[BelgeDurum],"YOK"))</f>
        <v/>
      </c>
      <c r="J211" s="28">
        <f>IF($A211="","",SUMIF(tblAkis[KaynakKartId],$A211,tblAkis[Tutar]))</f>
        <v/>
      </c>
      <c r="K211" s="28">
        <f>IF($A211="","",IFERROR(AVERAGEIF(tblAkis[KaynakKartId],$A211,tblAkis[YasGun]),0))</f>
        <v/>
      </c>
    </row>
    <row r="212">
      <c r="A212" s="26" t="n"/>
      <c r="B212" s="26" t="n"/>
      <c r="C212" s="26" t="n"/>
      <c r="D212" s="26" t="n"/>
      <c r="E212" s="26" t="n"/>
      <c r="F212" s="27" t="n"/>
      <c r="G212" s="26" t="n"/>
      <c r="H212" s="26" t="n"/>
      <c r="I212" s="28">
        <f>IF($A212="","",COUNTIFS(tblKontrol[KaynakKartId],$A212,tblKontrol[BelgeDurum],"YOK"))</f>
        <v/>
      </c>
      <c r="J212" s="28">
        <f>IF($A212="","",SUMIF(tblAkis[KaynakKartId],$A212,tblAkis[Tutar]))</f>
        <v/>
      </c>
      <c r="K212" s="28">
        <f>IF($A212="","",IFERROR(AVERAGEIF(tblAkis[KaynakKartId],$A212,tblAkis[YasGun]),0))</f>
        <v/>
      </c>
    </row>
    <row r="213">
      <c r="A213" s="26" t="n"/>
      <c r="B213" s="26" t="n"/>
      <c r="C213" s="26" t="n"/>
      <c r="D213" s="26" t="n"/>
      <c r="E213" s="26" t="n"/>
      <c r="F213" s="27" t="n"/>
      <c r="G213" s="26" t="n"/>
      <c r="H213" s="26" t="n"/>
      <c r="I213" s="28">
        <f>IF($A213="","",COUNTIFS(tblKontrol[KaynakKartId],$A213,tblKontrol[BelgeDurum],"YOK"))</f>
        <v/>
      </c>
      <c r="J213" s="28">
        <f>IF($A213="","",SUMIF(tblAkis[KaynakKartId],$A213,tblAkis[Tutar]))</f>
        <v/>
      </c>
      <c r="K213" s="28">
        <f>IF($A213="","",IFERROR(AVERAGEIF(tblAkis[KaynakKartId],$A213,tblAkis[YasGun]),0))</f>
        <v/>
      </c>
    </row>
    <row r="214">
      <c r="A214" s="26" t="n"/>
      <c r="B214" s="26" t="n"/>
      <c r="C214" s="26" t="n"/>
      <c r="D214" s="26" t="n"/>
      <c r="E214" s="26" t="n"/>
      <c r="F214" s="27" t="n"/>
      <c r="G214" s="26" t="n"/>
      <c r="H214" s="26" t="n"/>
      <c r="I214" s="28">
        <f>IF($A214="","",COUNTIFS(tblKontrol[KaynakKartId],$A214,tblKontrol[BelgeDurum],"YOK"))</f>
        <v/>
      </c>
      <c r="J214" s="28">
        <f>IF($A214="","",SUMIF(tblAkis[KaynakKartId],$A214,tblAkis[Tutar]))</f>
        <v/>
      </c>
      <c r="K214" s="28">
        <f>IF($A214="","",IFERROR(AVERAGEIF(tblAkis[KaynakKartId],$A214,tblAkis[YasGun]),0))</f>
        <v/>
      </c>
    </row>
    <row r="215">
      <c r="A215" s="26" t="n"/>
      <c r="B215" s="26" t="n"/>
      <c r="C215" s="26" t="n"/>
      <c r="D215" s="26" t="n"/>
      <c r="E215" s="26" t="n"/>
      <c r="F215" s="27" t="n"/>
      <c r="G215" s="26" t="n"/>
      <c r="H215" s="26" t="n"/>
      <c r="I215" s="28">
        <f>IF($A215="","",COUNTIFS(tblKontrol[KaynakKartId],$A215,tblKontrol[BelgeDurum],"YOK"))</f>
        <v/>
      </c>
      <c r="J215" s="28">
        <f>IF($A215="","",SUMIF(tblAkis[KaynakKartId],$A215,tblAkis[Tutar]))</f>
        <v/>
      </c>
      <c r="K215" s="28">
        <f>IF($A215="","",IFERROR(AVERAGEIF(tblAkis[KaynakKartId],$A215,tblAkis[YasGun]),0))</f>
        <v/>
      </c>
    </row>
    <row r="216">
      <c r="A216" s="26" t="n"/>
      <c r="B216" s="26" t="n"/>
      <c r="C216" s="26" t="n"/>
      <c r="D216" s="26" t="n"/>
      <c r="E216" s="26" t="n"/>
      <c r="F216" s="27" t="n"/>
      <c r="G216" s="26" t="n"/>
      <c r="H216" s="26" t="n"/>
      <c r="I216" s="28">
        <f>IF($A216="","",COUNTIFS(tblKontrol[KaynakKartId],$A216,tblKontrol[BelgeDurum],"YOK"))</f>
        <v/>
      </c>
      <c r="J216" s="28">
        <f>IF($A216="","",SUMIF(tblAkis[KaynakKartId],$A216,tblAkis[Tutar]))</f>
        <v/>
      </c>
      <c r="K216" s="28">
        <f>IF($A216="","",IFERROR(AVERAGEIF(tblAkis[KaynakKartId],$A216,tblAkis[YasGun]),0))</f>
        <v/>
      </c>
    </row>
    <row r="217">
      <c r="A217" s="26" t="n"/>
      <c r="B217" s="26" t="n"/>
      <c r="C217" s="26" t="n"/>
      <c r="D217" s="26" t="n"/>
      <c r="E217" s="26" t="n"/>
      <c r="F217" s="27" t="n"/>
      <c r="G217" s="26" t="n"/>
      <c r="H217" s="26" t="n"/>
      <c r="I217" s="28">
        <f>IF($A217="","",COUNTIFS(tblKontrol[KaynakKartId],$A217,tblKontrol[BelgeDurum],"YOK"))</f>
        <v/>
      </c>
      <c r="J217" s="28">
        <f>IF($A217="","",SUMIF(tblAkis[KaynakKartId],$A217,tblAkis[Tutar]))</f>
        <v/>
      </c>
      <c r="K217" s="28">
        <f>IF($A217="","",IFERROR(AVERAGEIF(tblAkis[KaynakKartId],$A217,tblAkis[YasGun]),0))</f>
        <v/>
      </c>
    </row>
    <row r="218">
      <c r="A218" s="26" t="n"/>
      <c r="B218" s="26" t="n"/>
      <c r="C218" s="26" t="n"/>
      <c r="D218" s="26" t="n"/>
      <c r="E218" s="26" t="n"/>
      <c r="F218" s="27" t="n"/>
      <c r="G218" s="26" t="n"/>
      <c r="H218" s="26" t="n"/>
      <c r="I218" s="28">
        <f>IF($A218="","",COUNTIFS(tblKontrol[KaynakKartId],$A218,tblKontrol[BelgeDurum],"YOK"))</f>
        <v/>
      </c>
      <c r="J218" s="28">
        <f>IF($A218="","",SUMIF(tblAkis[KaynakKartId],$A218,tblAkis[Tutar]))</f>
        <v/>
      </c>
      <c r="K218" s="28">
        <f>IF($A218="","",IFERROR(AVERAGEIF(tblAkis[KaynakKartId],$A218,tblAkis[YasGun]),0))</f>
        <v/>
      </c>
    </row>
    <row r="219">
      <c r="A219" s="26" t="n"/>
      <c r="B219" s="26" t="n"/>
      <c r="C219" s="26" t="n"/>
      <c r="D219" s="26" t="n"/>
      <c r="E219" s="26" t="n"/>
      <c r="F219" s="27" t="n"/>
      <c r="G219" s="26" t="n"/>
      <c r="H219" s="26" t="n"/>
      <c r="I219" s="28">
        <f>IF($A219="","",COUNTIFS(tblKontrol[KaynakKartId],$A219,tblKontrol[BelgeDurum],"YOK"))</f>
        <v/>
      </c>
      <c r="J219" s="28">
        <f>IF($A219="","",SUMIF(tblAkis[KaynakKartId],$A219,tblAkis[Tutar]))</f>
        <v/>
      </c>
      <c r="K219" s="28">
        <f>IF($A219="","",IFERROR(AVERAGEIF(tblAkis[KaynakKartId],$A219,tblAkis[YasGun]),0))</f>
        <v/>
      </c>
    </row>
    <row r="220">
      <c r="A220" s="26" t="n"/>
      <c r="B220" s="26" t="n"/>
      <c r="C220" s="26" t="n"/>
      <c r="D220" s="26" t="n"/>
      <c r="E220" s="26" t="n"/>
      <c r="F220" s="27" t="n"/>
      <c r="G220" s="26" t="n"/>
      <c r="H220" s="26" t="n"/>
      <c r="I220" s="28">
        <f>IF($A220="","",COUNTIFS(tblKontrol[KaynakKartId],$A220,tblKontrol[BelgeDurum],"YOK"))</f>
        <v/>
      </c>
      <c r="J220" s="28">
        <f>IF($A220="","",SUMIF(tblAkis[KaynakKartId],$A220,tblAkis[Tutar]))</f>
        <v/>
      </c>
      <c r="K220" s="28">
        <f>IF($A220="","",IFERROR(AVERAGEIF(tblAkis[KaynakKartId],$A220,tblAkis[YasGun]),0))</f>
        <v/>
      </c>
    </row>
    <row r="221">
      <c r="A221" s="26" t="n"/>
      <c r="B221" s="26" t="n"/>
      <c r="C221" s="26" t="n"/>
      <c r="D221" s="26" t="n"/>
      <c r="E221" s="26" t="n"/>
      <c r="F221" s="27" t="n"/>
      <c r="G221" s="26" t="n"/>
      <c r="H221" s="26" t="n"/>
      <c r="I221" s="28">
        <f>IF($A221="","",COUNTIFS(tblKontrol[KaynakKartId],$A221,tblKontrol[BelgeDurum],"YOK"))</f>
        <v/>
      </c>
      <c r="J221" s="28">
        <f>IF($A221="","",SUMIF(tblAkis[KaynakKartId],$A221,tblAkis[Tutar]))</f>
        <v/>
      </c>
      <c r="K221" s="28">
        <f>IF($A221="","",IFERROR(AVERAGEIF(tblAkis[KaynakKartId],$A221,tblAkis[YasGun]),0))</f>
        <v/>
      </c>
    </row>
    <row r="222">
      <c r="A222" s="26" t="n"/>
      <c r="B222" s="26" t="n"/>
      <c r="C222" s="26" t="n"/>
      <c r="D222" s="26" t="n"/>
      <c r="E222" s="26" t="n"/>
      <c r="F222" s="27" t="n"/>
      <c r="G222" s="26" t="n"/>
      <c r="H222" s="26" t="n"/>
      <c r="I222" s="28">
        <f>IF($A222="","",COUNTIFS(tblKontrol[KaynakKartId],$A222,tblKontrol[BelgeDurum],"YOK"))</f>
        <v/>
      </c>
      <c r="J222" s="28">
        <f>IF($A222="","",SUMIF(tblAkis[KaynakKartId],$A222,tblAkis[Tutar]))</f>
        <v/>
      </c>
      <c r="K222" s="28">
        <f>IF($A222="","",IFERROR(AVERAGEIF(tblAkis[KaynakKartId],$A222,tblAkis[YasGun]),0))</f>
        <v/>
      </c>
    </row>
    <row r="223">
      <c r="A223" s="26" t="n"/>
      <c r="B223" s="26" t="n"/>
      <c r="C223" s="26" t="n"/>
      <c r="D223" s="26" t="n"/>
      <c r="E223" s="26" t="n"/>
      <c r="F223" s="27" t="n"/>
      <c r="G223" s="26" t="n"/>
      <c r="H223" s="26" t="n"/>
      <c r="I223" s="28">
        <f>IF($A223="","",COUNTIFS(tblKontrol[KaynakKartId],$A223,tblKontrol[BelgeDurum],"YOK"))</f>
        <v/>
      </c>
      <c r="J223" s="28">
        <f>IF($A223="","",SUMIF(tblAkis[KaynakKartId],$A223,tblAkis[Tutar]))</f>
        <v/>
      </c>
      <c r="K223" s="28">
        <f>IF($A223="","",IFERROR(AVERAGEIF(tblAkis[KaynakKartId],$A223,tblAkis[YasGun]),0))</f>
        <v/>
      </c>
    </row>
    <row r="224">
      <c r="A224" s="26" t="n"/>
      <c r="B224" s="26" t="n"/>
      <c r="C224" s="26" t="n"/>
      <c r="D224" s="26" t="n"/>
      <c r="E224" s="26" t="n"/>
      <c r="F224" s="27" t="n"/>
      <c r="G224" s="26" t="n"/>
      <c r="H224" s="26" t="n"/>
      <c r="I224" s="28">
        <f>IF($A224="","",COUNTIFS(tblKontrol[KaynakKartId],$A224,tblKontrol[BelgeDurum],"YOK"))</f>
        <v/>
      </c>
      <c r="J224" s="28">
        <f>IF($A224="","",SUMIF(tblAkis[KaynakKartId],$A224,tblAkis[Tutar]))</f>
        <v/>
      </c>
      <c r="K224" s="28">
        <f>IF($A224="","",IFERROR(AVERAGEIF(tblAkis[KaynakKartId],$A224,tblAkis[YasGun]),0))</f>
        <v/>
      </c>
    </row>
    <row r="225">
      <c r="A225" s="26" t="n"/>
      <c r="B225" s="26" t="n"/>
      <c r="C225" s="26" t="n"/>
      <c r="D225" s="26" t="n"/>
      <c r="E225" s="26" t="n"/>
      <c r="F225" s="27" t="n"/>
      <c r="G225" s="26" t="n"/>
      <c r="H225" s="26" t="n"/>
      <c r="I225" s="28">
        <f>IF($A225="","",COUNTIFS(tblKontrol[KaynakKartId],$A225,tblKontrol[BelgeDurum],"YOK"))</f>
        <v/>
      </c>
      <c r="J225" s="28">
        <f>IF($A225="","",SUMIF(tblAkis[KaynakKartId],$A225,tblAkis[Tutar]))</f>
        <v/>
      </c>
      <c r="K225" s="28">
        <f>IF($A225="","",IFERROR(AVERAGEIF(tblAkis[KaynakKartId],$A225,tblAkis[YasGun]),0))</f>
        <v/>
      </c>
    </row>
    <row r="226">
      <c r="A226" s="26" t="n"/>
      <c r="B226" s="26" t="n"/>
      <c r="C226" s="26" t="n"/>
      <c r="D226" s="26" t="n"/>
      <c r="E226" s="26" t="n"/>
      <c r="F226" s="27" t="n"/>
      <c r="G226" s="26" t="n"/>
      <c r="H226" s="26" t="n"/>
      <c r="I226" s="28">
        <f>IF($A226="","",COUNTIFS(tblKontrol[KaynakKartId],$A226,tblKontrol[BelgeDurum],"YOK"))</f>
        <v/>
      </c>
      <c r="J226" s="28">
        <f>IF($A226="","",SUMIF(tblAkis[KaynakKartId],$A226,tblAkis[Tutar]))</f>
        <v/>
      </c>
      <c r="K226" s="28">
        <f>IF($A226="","",IFERROR(AVERAGEIF(tblAkis[KaynakKartId],$A226,tblAkis[YasGun]),0))</f>
        <v/>
      </c>
    </row>
    <row r="227">
      <c r="A227" s="26" t="n"/>
      <c r="B227" s="26" t="n"/>
      <c r="C227" s="26" t="n"/>
      <c r="D227" s="26" t="n"/>
      <c r="E227" s="26" t="n"/>
      <c r="F227" s="27" t="n"/>
      <c r="G227" s="26" t="n"/>
      <c r="H227" s="26" t="n"/>
      <c r="I227" s="28">
        <f>IF($A227="","",COUNTIFS(tblKontrol[KaynakKartId],$A227,tblKontrol[BelgeDurum],"YOK"))</f>
        <v/>
      </c>
      <c r="J227" s="28">
        <f>IF($A227="","",SUMIF(tblAkis[KaynakKartId],$A227,tblAkis[Tutar]))</f>
        <v/>
      </c>
      <c r="K227" s="28">
        <f>IF($A227="","",IFERROR(AVERAGEIF(tblAkis[KaynakKartId],$A227,tblAkis[YasGun]),0))</f>
        <v/>
      </c>
    </row>
    <row r="228">
      <c r="A228" s="26" t="n"/>
      <c r="B228" s="26" t="n"/>
      <c r="C228" s="26" t="n"/>
      <c r="D228" s="26" t="n"/>
      <c r="E228" s="26" t="n"/>
      <c r="F228" s="27" t="n"/>
      <c r="G228" s="26" t="n"/>
      <c r="H228" s="26" t="n"/>
      <c r="I228" s="28">
        <f>IF($A228="","",COUNTIFS(tblKontrol[KaynakKartId],$A228,tblKontrol[BelgeDurum],"YOK"))</f>
        <v/>
      </c>
      <c r="J228" s="28">
        <f>IF($A228="","",SUMIF(tblAkis[KaynakKartId],$A228,tblAkis[Tutar]))</f>
        <v/>
      </c>
      <c r="K228" s="28">
        <f>IF($A228="","",IFERROR(AVERAGEIF(tblAkis[KaynakKartId],$A228,tblAkis[YasGun]),0))</f>
        <v/>
      </c>
    </row>
    <row r="229">
      <c r="A229" s="26" t="n"/>
      <c r="B229" s="26" t="n"/>
      <c r="C229" s="26" t="n"/>
      <c r="D229" s="26" t="n"/>
      <c r="E229" s="26" t="n"/>
      <c r="F229" s="27" t="n"/>
      <c r="G229" s="26" t="n"/>
      <c r="H229" s="26" t="n"/>
      <c r="I229" s="28">
        <f>IF($A229="","",COUNTIFS(tblKontrol[KaynakKartId],$A229,tblKontrol[BelgeDurum],"YOK"))</f>
        <v/>
      </c>
      <c r="J229" s="28">
        <f>IF($A229="","",SUMIF(tblAkis[KaynakKartId],$A229,tblAkis[Tutar]))</f>
        <v/>
      </c>
      <c r="K229" s="28">
        <f>IF($A229="","",IFERROR(AVERAGEIF(tblAkis[KaynakKartId],$A229,tblAkis[YasGun]),0))</f>
        <v/>
      </c>
    </row>
    <row r="230">
      <c r="A230" s="26" t="n"/>
      <c r="B230" s="26" t="n"/>
      <c r="C230" s="26" t="n"/>
      <c r="D230" s="26" t="n"/>
      <c r="E230" s="26" t="n"/>
      <c r="F230" s="27" t="n"/>
      <c r="G230" s="26" t="n"/>
      <c r="H230" s="26" t="n"/>
      <c r="I230" s="28">
        <f>IF($A230="","",COUNTIFS(tblKontrol[KaynakKartId],$A230,tblKontrol[BelgeDurum],"YOK"))</f>
        <v/>
      </c>
      <c r="J230" s="28">
        <f>IF($A230="","",SUMIF(tblAkis[KaynakKartId],$A230,tblAkis[Tutar]))</f>
        <v/>
      </c>
      <c r="K230" s="28">
        <f>IF($A230="","",IFERROR(AVERAGEIF(tblAkis[KaynakKartId],$A230,tblAkis[YasGun]),0))</f>
        <v/>
      </c>
    </row>
    <row r="231">
      <c r="A231" s="26" t="n"/>
      <c r="B231" s="26" t="n"/>
      <c r="C231" s="26" t="n"/>
      <c r="D231" s="26" t="n"/>
      <c r="E231" s="26" t="n"/>
      <c r="F231" s="27" t="n"/>
      <c r="G231" s="26" t="n"/>
      <c r="H231" s="26" t="n"/>
      <c r="I231" s="28">
        <f>IF($A231="","",COUNTIFS(tblKontrol[KaynakKartId],$A231,tblKontrol[BelgeDurum],"YOK"))</f>
        <v/>
      </c>
      <c r="J231" s="28">
        <f>IF($A231="","",SUMIF(tblAkis[KaynakKartId],$A231,tblAkis[Tutar]))</f>
        <v/>
      </c>
      <c r="K231" s="28">
        <f>IF($A231="","",IFERROR(AVERAGEIF(tblAkis[KaynakKartId],$A231,tblAkis[YasGun]),0))</f>
        <v/>
      </c>
    </row>
    <row r="232">
      <c r="A232" s="26" t="n"/>
      <c r="B232" s="26" t="n"/>
      <c r="C232" s="26" t="n"/>
      <c r="D232" s="26" t="n"/>
      <c r="E232" s="26" t="n"/>
      <c r="F232" s="27" t="n"/>
      <c r="G232" s="26" t="n"/>
      <c r="H232" s="26" t="n"/>
      <c r="I232" s="28">
        <f>IF($A232="","",COUNTIFS(tblKontrol[KaynakKartId],$A232,tblKontrol[BelgeDurum],"YOK"))</f>
        <v/>
      </c>
      <c r="J232" s="28">
        <f>IF($A232="","",SUMIF(tblAkis[KaynakKartId],$A232,tblAkis[Tutar]))</f>
        <v/>
      </c>
      <c r="K232" s="28">
        <f>IF($A232="","",IFERROR(AVERAGEIF(tblAkis[KaynakKartId],$A232,tblAkis[YasGun]),0))</f>
        <v/>
      </c>
    </row>
    <row r="233">
      <c r="A233" s="26" t="n"/>
      <c r="B233" s="26" t="n"/>
      <c r="C233" s="26" t="n"/>
      <c r="D233" s="26" t="n"/>
      <c r="E233" s="26" t="n"/>
      <c r="F233" s="27" t="n"/>
      <c r="G233" s="26" t="n"/>
      <c r="H233" s="26" t="n"/>
      <c r="I233" s="28">
        <f>IF($A233="","",COUNTIFS(tblKontrol[KaynakKartId],$A233,tblKontrol[BelgeDurum],"YOK"))</f>
        <v/>
      </c>
      <c r="J233" s="28">
        <f>IF($A233="","",SUMIF(tblAkis[KaynakKartId],$A233,tblAkis[Tutar]))</f>
        <v/>
      </c>
      <c r="K233" s="28">
        <f>IF($A233="","",IFERROR(AVERAGEIF(tblAkis[KaynakKartId],$A233,tblAkis[YasGun]),0))</f>
        <v/>
      </c>
    </row>
    <row r="234">
      <c r="A234" s="26" t="n"/>
      <c r="B234" s="26" t="n"/>
      <c r="C234" s="26" t="n"/>
      <c r="D234" s="26" t="n"/>
      <c r="E234" s="26" t="n"/>
      <c r="F234" s="27" t="n"/>
      <c r="G234" s="26" t="n"/>
      <c r="H234" s="26" t="n"/>
      <c r="I234" s="28">
        <f>IF($A234="","",COUNTIFS(tblKontrol[KaynakKartId],$A234,tblKontrol[BelgeDurum],"YOK"))</f>
        <v/>
      </c>
      <c r="J234" s="28">
        <f>IF($A234="","",SUMIF(tblAkis[KaynakKartId],$A234,tblAkis[Tutar]))</f>
        <v/>
      </c>
      <c r="K234" s="28">
        <f>IF($A234="","",IFERROR(AVERAGEIF(tblAkis[KaynakKartId],$A234,tblAkis[YasGun]),0))</f>
        <v/>
      </c>
    </row>
    <row r="235">
      <c r="A235" s="26" t="n"/>
      <c r="B235" s="26" t="n"/>
      <c r="C235" s="26" t="n"/>
      <c r="D235" s="26" t="n"/>
      <c r="E235" s="26" t="n"/>
      <c r="F235" s="27" t="n"/>
      <c r="G235" s="26" t="n"/>
      <c r="H235" s="26" t="n"/>
      <c r="I235" s="28">
        <f>IF($A235="","",COUNTIFS(tblKontrol[KaynakKartId],$A235,tblKontrol[BelgeDurum],"YOK"))</f>
        <v/>
      </c>
      <c r="J235" s="28">
        <f>IF($A235="","",SUMIF(tblAkis[KaynakKartId],$A235,tblAkis[Tutar]))</f>
        <v/>
      </c>
      <c r="K235" s="28">
        <f>IF($A235="","",IFERROR(AVERAGEIF(tblAkis[KaynakKartId],$A235,tblAkis[YasGun]),0))</f>
        <v/>
      </c>
    </row>
    <row r="236">
      <c r="A236" s="26" t="n"/>
      <c r="B236" s="26" t="n"/>
      <c r="C236" s="26" t="n"/>
      <c r="D236" s="26" t="n"/>
      <c r="E236" s="26" t="n"/>
      <c r="F236" s="27" t="n"/>
      <c r="G236" s="26" t="n"/>
      <c r="H236" s="26" t="n"/>
      <c r="I236" s="28">
        <f>IF($A236="","",COUNTIFS(tblKontrol[KaynakKartId],$A236,tblKontrol[BelgeDurum],"YOK"))</f>
        <v/>
      </c>
      <c r="J236" s="28">
        <f>IF($A236="","",SUMIF(tblAkis[KaynakKartId],$A236,tblAkis[Tutar]))</f>
        <v/>
      </c>
      <c r="K236" s="28">
        <f>IF($A236="","",IFERROR(AVERAGEIF(tblAkis[KaynakKartId],$A236,tblAkis[YasGun]),0))</f>
        <v/>
      </c>
    </row>
    <row r="237">
      <c r="A237" s="26" t="n"/>
      <c r="B237" s="26" t="n"/>
      <c r="C237" s="26" t="n"/>
      <c r="D237" s="26" t="n"/>
      <c r="E237" s="26" t="n"/>
      <c r="F237" s="27" t="n"/>
      <c r="G237" s="26" t="n"/>
      <c r="H237" s="26" t="n"/>
      <c r="I237" s="28">
        <f>IF($A237="","",COUNTIFS(tblKontrol[KaynakKartId],$A237,tblKontrol[BelgeDurum],"YOK"))</f>
        <v/>
      </c>
      <c r="J237" s="28">
        <f>IF($A237="","",SUMIF(tblAkis[KaynakKartId],$A237,tblAkis[Tutar]))</f>
        <v/>
      </c>
      <c r="K237" s="28">
        <f>IF($A237="","",IFERROR(AVERAGEIF(tblAkis[KaynakKartId],$A237,tblAkis[YasGun]),0))</f>
        <v/>
      </c>
    </row>
    <row r="238">
      <c r="A238" s="26" t="n"/>
      <c r="B238" s="26" t="n"/>
      <c r="C238" s="26" t="n"/>
      <c r="D238" s="26" t="n"/>
      <c r="E238" s="26" t="n"/>
      <c r="F238" s="27" t="n"/>
      <c r="G238" s="26" t="n"/>
      <c r="H238" s="26" t="n"/>
      <c r="I238" s="28">
        <f>IF($A238="","",COUNTIFS(tblKontrol[KaynakKartId],$A238,tblKontrol[BelgeDurum],"YOK"))</f>
        <v/>
      </c>
      <c r="J238" s="28">
        <f>IF($A238="","",SUMIF(tblAkis[KaynakKartId],$A238,tblAkis[Tutar]))</f>
        <v/>
      </c>
      <c r="K238" s="28">
        <f>IF($A238="","",IFERROR(AVERAGEIF(tblAkis[KaynakKartId],$A238,tblAkis[YasGun]),0))</f>
        <v/>
      </c>
    </row>
    <row r="239">
      <c r="A239" s="26" t="n"/>
      <c r="B239" s="26" t="n"/>
      <c r="C239" s="26" t="n"/>
      <c r="D239" s="26" t="n"/>
      <c r="E239" s="26" t="n"/>
      <c r="F239" s="27" t="n"/>
      <c r="G239" s="26" t="n"/>
      <c r="H239" s="26" t="n"/>
      <c r="I239" s="28">
        <f>IF($A239="","",COUNTIFS(tblKontrol[KaynakKartId],$A239,tblKontrol[BelgeDurum],"YOK"))</f>
        <v/>
      </c>
      <c r="J239" s="28">
        <f>IF($A239="","",SUMIF(tblAkis[KaynakKartId],$A239,tblAkis[Tutar]))</f>
        <v/>
      </c>
      <c r="K239" s="28">
        <f>IF($A239="","",IFERROR(AVERAGEIF(tblAkis[KaynakKartId],$A239,tblAkis[YasGun]),0))</f>
        <v/>
      </c>
    </row>
    <row r="240">
      <c r="A240" s="26" t="n"/>
      <c r="B240" s="26" t="n"/>
      <c r="C240" s="26" t="n"/>
      <c r="D240" s="26" t="n"/>
      <c r="E240" s="26" t="n"/>
      <c r="F240" s="27" t="n"/>
      <c r="G240" s="26" t="n"/>
      <c r="H240" s="26" t="n"/>
      <c r="I240" s="28">
        <f>IF($A240="","",COUNTIFS(tblKontrol[KaynakKartId],$A240,tblKontrol[BelgeDurum],"YOK"))</f>
        <v/>
      </c>
      <c r="J240" s="28">
        <f>IF($A240="","",SUMIF(tblAkis[KaynakKartId],$A240,tblAkis[Tutar]))</f>
        <v/>
      </c>
      <c r="K240" s="28">
        <f>IF($A240="","",IFERROR(AVERAGEIF(tblAkis[KaynakKartId],$A240,tblAkis[YasGun]),0))</f>
        <v/>
      </c>
    </row>
    <row r="241">
      <c r="A241" s="26" t="n"/>
      <c r="B241" s="26" t="n"/>
      <c r="C241" s="26" t="n"/>
      <c r="D241" s="26" t="n"/>
      <c r="E241" s="26" t="n"/>
      <c r="F241" s="27" t="n"/>
      <c r="G241" s="26" t="n"/>
      <c r="H241" s="26" t="n"/>
      <c r="I241" s="28">
        <f>IF($A241="","",COUNTIFS(tblKontrol[KaynakKartId],$A241,tblKontrol[BelgeDurum],"YOK"))</f>
        <v/>
      </c>
      <c r="J241" s="28">
        <f>IF($A241="","",SUMIF(tblAkis[KaynakKartId],$A241,tblAkis[Tutar]))</f>
        <v/>
      </c>
      <c r="K241" s="28">
        <f>IF($A241="","",IFERROR(AVERAGEIF(tblAkis[KaynakKartId],$A241,tblAkis[YasGun]),0))</f>
        <v/>
      </c>
    </row>
    <row r="242">
      <c r="A242" s="26" t="n"/>
      <c r="B242" s="26" t="n"/>
      <c r="C242" s="26" t="n"/>
      <c r="D242" s="26" t="n"/>
      <c r="E242" s="26" t="n"/>
      <c r="F242" s="27" t="n"/>
      <c r="G242" s="26" t="n"/>
      <c r="H242" s="26" t="n"/>
      <c r="I242" s="28">
        <f>IF($A242="","",COUNTIFS(tblKontrol[KaynakKartId],$A242,tblKontrol[BelgeDurum],"YOK"))</f>
        <v/>
      </c>
      <c r="J242" s="28">
        <f>IF($A242="","",SUMIF(tblAkis[KaynakKartId],$A242,tblAkis[Tutar]))</f>
        <v/>
      </c>
      <c r="K242" s="28">
        <f>IF($A242="","",IFERROR(AVERAGEIF(tblAkis[KaynakKartId],$A242,tblAkis[YasGun]),0))</f>
        <v/>
      </c>
    </row>
    <row r="243">
      <c r="A243" s="26" t="n"/>
      <c r="B243" s="26" t="n"/>
      <c r="C243" s="26" t="n"/>
      <c r="D243" s="26" t="n"/>
      <c r="E243" s="26" t="n"/>
      <c r="F243" s="27" t="n"/>
      <c r="G243" s="26" t="n"/>
      <c r="H243" s="26" t="n"/>
      <c r="I243" s="28">
        <f>IF($A243="","",COUNTIFS(tblKontrol[KaynakKartId],$A243,tblKontrol[BelgeDurum],"YOK"))</f>
        <v/>
      </c>
      <c r="J243" s="28">
        <f>IF($A243="","",SUMIF(tblAkis[KaynakKartId],$A243,tblAkis[Tutar]))</f>
        <v/>
      </c>
      <c r="K243" s="28">
        <f>IF($A243="","",IFERROR(AVERAGEIF(tblAkis[KaynakKartId],$A243,tblAkis[YasGun]),0))</f>
        <v/>
      </c>
    </row>
    <row r="244">
      <c r="A244" s="26" t="n"/>
      <c r="B244" s="26" t="n"/>
      <c r="C244" s="26" t="n"/>
      <c r="D244" s="26" t="n"/>
      <c r="E244" s="26" t="n"/>
      <c r="F244" s="27" t="n"/>
      <c r="G244" s="26" t="n"/>
      <c r="H244" s="26" t="n"/>
      <c r="I244" s="28">
        <f>IF($A244="","",COUNTIFS(tblKontrol[KaynakKartId],$A244,tblKontrol[BelgeDurum],"YOK"))</f>
        <v/>
      </c>
      <c r="J244" s="28">
        <f>IF($A244="","",SUMIF(tblAkis[KaynakKartId],$A244,tblAkis[Tutar]))</f>
        <v/>
      </c>
      <c r="K244" s="28">
        <f>IF($A244="","",IFERROR(AVERAGEIF(tblAkis[KaynakKartId],$A244,tblAkis[YasGun]),0))</f>
        <v/>
      </c>
    </row>
    <row r="245">
      <c r="A245" s="26" t="n"/>
      <c r="B245" s="26" t="n"/>
      <c r="C245" s="26" t="n"/>
      <c r="D245" s="26" t="n"/>
      <c r="E245" s="26" t="n"/>
      <c r="F245" s="27" t="n"/>
      <c r="G245" s="26" t="n"/>
      <c r="H245" s="26" t="n"/>
      <c r="I245" s="28">
        <f>IF($A245="","",COUNTIFS(tblKontrol[KaynakKartId],$A245,tblKontrol[BelgeDurum],"YOK"))</f>
        <v/>
      </c>
      <c r="J245" s="28">
        <f>IF($A245="","",SUMIF(tblAkis[KaynakKartId],$A245,tblAkis[Tutar]))</f>
        <v/>
      </c>
      <c r="K245" s="28">
        <f>IF($A245="","",IFERROR(AVERAGEIF(tblAkis[KaynakKartId],$A245,tblAkis[YasGun]),0))</f>
        <v/>
      </c>
    </row>
    <row r="246">
      <c r="A246" s="26" t="n"/>
      <c r="B246" s="26" t="n"/>
      <c r="C246" s="26" t="n"/>
      <c r="D246" s="26" t="n"/>
      <c r="E246" s="26" t="n"/>
      <c r="F246" s="27" t="n"/>
      <c r="G246" s="26" t="n"/>
      <c r="H246" s="26" t="n"/>
      <c r="I246" s="28">
        <f>IF($A246="","",COUNTIFS(tblKontrol[KaynakKartId],$A246,tblKontrol[BelgeDurum],"YOK"))</f>
        <v/>
      </c>
      <c r="J246" s="28">
        <f>IF($A246="","",SUMIF(tblAkis[KaynakKartId],$A246,tblAkis[Tutar]))</f>
        <v/>
      </c>
      <c r="K246" s="28">
        <f>IF($A246="","",IFERROR(AVERAGEIF(tblAkis[KaynakKartId],$A246,tblAkis[YasGun]),0))</f>
        <v/>
      </c>
    </row>
    <row r="247">
      <c r="A247" s="26" t="n"/>
      <c r="B247" s="26" t="n"/>
      <c r="C247" s="26" t="n"/>
      <c r="D247" s="26" t="n"/>
      <c r="E247" s="26" t="n"/>
      <c r="F247" s="27" t="n"/>
      <c r="G247" s="26" t="n"/>
      <c r="H247" s="26" t="n"/>
      <c r="I247" s="28">
        <f>IF($A247="","",COUNTIFS(tblKontrol[KaynakKartId],$A247,tblKontrol[BelgeDurum],"YOK"))</f>
        <v/>
      </c>
      <c r="J247" s="28">
        <f>IF($A247="","",SUMIF(tblAkis[KaynakKartId],$A247,tblAkis[Tutar]))</f>
        <v/>
      </c>
      <c r="K247" s="28">
        <f>IF($A247="","",IFERROR(AVERAGEIF(tblAkis[KaynakKartId],$A247,tblAkis[YasGun]),0))</f>
        <v/>
      </c>
    </row>
    <row r="248">
      <c r="A248" s="26" t="n"/>
      <c r="B248" s="26" t="n"/>
      <c r="C248" s="26" t="n"/>
      <c r="D248" s="26" t="n"/>
      <c r="E248" s="26" t="n"/>
      <c r="F248" s="27" t="n"/>
      <c r="G248" s="26" t="n"/>
      <c r="H248" s="26" t="n"/>
      <c r="I248" s="28">
        <f>IF($A248="","",COUNTIFS(tblKontrol[KaynakKartId],$A248,tblKontrol[BelgeDurum],"YOK"))</f>
        <v/>
      </c>
      <c r="J248" s="28">
        <f>IF($A248="","",SUMIF(tblAkis[KaynakKartId],$A248,tblAkis[Tutar]))</f>
        <v/>
      </c>
      <c r="K248" s="28">
        <f>IF($A248="","",IFERROR(AVERAGEIF(tblAkis[KaynakKartId],$A248,tblAkis[YasGun]),0))</f>
        <v/>
      </c>
    </row>
    <row r="249">
      <c r="A249" s="26" t="n"/>
      <c r="B249" s="26" t="n"/>
      <c r="C249" s="26" t="n"/>
      <c r="D249" s="26" t="n"/>
      <c r="E249" s="26" t="n"/>
      <c r="F249" s="27" t="n"/>
      <c r="G249" s="26" t="n"/>
      <c r="H249" s="26" t="n"/>
      <c r="I249" s="28">
        <f>IF($A249="","",COUNTIFS(tblKontrol[KaynakKartId],$A249,tblKontrol[BelgeDurum],"YOK"))</f>
        <v/>
      </c>
      <c r="J249" s="28">
        <f>IF($A249="","",SUMIF(tblAkis[KaynakKartId],$A249,tblAkis[Tutar]))</f>
        <v/>
      </c>
      <c r="K249" s="28">
        <f>IF($A249="","",IFERROR(AVERAGEIF(tblAkis[KaynakKartId],$A249,tblAkis[YasGun]),0))</f>
        <v/>
      </c>
    </row>
    <row r="250">
      <c r="A250" s="26" t="n"/>
      <c r="B250" s="26" t="n"/>
      <c r="C250" s="26" t="n"/>
      <c r="D250" s="26" t="n"/>
      <c r="E250" s="26" t="n"/>
      <c r="F250" s="27" t="n"/>
      <c r="G250" s="26" t="n"/>
      <c r="H250" s="26" t="n"/>
      <c r="I250" s="28">
        <f>IF($A250="","",COUNTIFS(tblKontrol[KaynakKartId],$A250,tblKontrol[BelgeDurum],"YOK"))</f>
        <v/>
      </c>
      <c r="J250" s="28">
        <f>IF($A250="","",SUMIF(tblAkis[KaynakKartId],$A250,tblAkis[Tutar]))</f>
        <v/>
      </c>
      <c r="K250" s="28">
        <f>IF($A250="","",IFERROR(AVERAGEIF(tblAkis[KaynakKartId],$A250,tblAkis[YasGun]),0))</f>
        <v/>
      </c>
    </row>
    <row r="251">
      <c r="A251" s="26" t="n"/>
      <c r="B251" s="26" t="n"/>
      <c r="C251" s="26" t="n"/>
      <c r="D251" s="26" t="n"/>
      <c r="E251" s="26" t="n"/>
      <c r="F251" s="27" t="n"/>
      <c r="G251" s="26" t="n"/>
      <c r="H251" s="26" t="n"/>
      <c r="I251" s="28">
        <f>IF($A251="","",COUNTIFS(tblKontrol[KaynakKartId],$A251,tblKontrol[BelgeDurum],"YOK"))</f>
        <v/>
      </c>
      <c r="J251" s="28">
        <f>IF($A251="","",SUMIF(tblAkis[KaynakKartId],$A251,tblAkis[Tutar]))</f>
        <v/>
      </c>
      <c r="K251" s="28">
        <f>IF($A251="","",IFERROR(AVERAGEIF(tblAkis[KaynakKartId],$A251,tblAkis[YasGun]),0))</f>
        <v/>
      </c>
    </row>
    <row r="252">
      <c r="A252" s="26" t="n"/>
      <c r="B252" s="26" t="n"/>
      <c r="C252" s="26" t="n"/>
      <c r="D252" s="26" t="n"/>
      <c r="E252" s="26" t="n"/>
      <c r="F252" s="27" t="n"/>
      <c r="G252" s="26" t="n"/>
      <c r="H252" s="26" t="n"/>
      <c r="I252" s="28">
        <f>IF($A252="","",COUNTIFS(tblKontrol[KaynakKartId],$A252,tblKontrol[BelgeDurum],"YOK"))</f>
        <v/>
      </c>
      <c r="J252" s="28">
        <f>IF($A252="","",SUMIF(tblAkis[KaynakKartId],$A252,tblAkis[Tutar]))</f>
        <v/>
      </c>
      <c r="K252" s="28">
        <f>IF($A252="","",IFERROR(AVERAGEIF(tblAkis[KaynakKartId],$A252,tblAkis[YasGun]),0))</f>
        <v/>
      </c>
    </row>
    <row r="253">
      <c r="A253" s="26" t="n"/>
      <c r="B253" s="26" t="n"/>
      <c r="C253" s="26" t="n"/>
      <c r="D253" s="26" t="n"/>
      <c r="E253" s="26" t="n"/>
      <c r="F253" s="27" t="n"/>
      <c r="G253" s="26" t="n"/>
      <c r="H253" s="26" t="n"/>
      <c r="I253" s="28">
        <f>IF($A253="","",COUNTIFS(tblKontrol[KaynakKartId],$A253,tblKontrol[BelgeDurum],"YOK"))</f>
        <v/>
      </c>
      <c r="J253" s="28">
        <f>IF($A253="","",SUMIF(tblAkis[KaynakKartId],$A253,tblAkis[Tutar]))</f>
        <v/>
      </c>
      <c r="K253" s="28">
        <f>IF($A253="","",IFERROR(AVERAGEIF(tblAkis[KaynakKartId],$A253,tblAkis[YasGun]),0))</f>
        <v/>
      </c>
    </row>
    <row r="254">
      <c r="A254" s="26" t="n"/>
      <c r="B254" s="26" t="n"/>
      <c r="C254" s="26" t="n"/>
      <c r="D254" s="26" t="n"/>
      <c r="E254" s="26" t="n"/>
      <c r="F254" s="27" t="n"/>
      <c r="G254" s="26" t="n"/>
      <c r="H254" s="26" t="n"/>
      <c r="I254" s="28">
        <f>IF($A254="","",COUNTIFS(tblKontrol[KaynakKartId],$A254,tblKontrol[BelgeDurum],"YOK"))</f>
        <v/>
      </c>
      <c r="J254" s="28">
        <f>IF($A254="","",SUMIF(tblAkis[KaynakKartId],$A254,tblAkis[Tutar]))</f>
        <v/>
      </c>
      <c r="K254" s="28">
        <f>IF($A254="","",IFERROR(AVERAGEIF(tblAkis[KaynakKartId],$A254,tblAkis[YasGun]),0))</f>
        <v/>
      </c>
    </row>
    <row r="255">
      <c r="A255" s="26" t="n"/>
      <c r="B255" s="26" t="n"/>
      <c r="C255" s="26" t="n"/>
      <c r="D255" s="26" t="n"/>
      <c r="E255" s="26" t="n"/>
      <c r="F255" s="27" t="n"/>
      <c r="G255" s="26" t="n"/>
      <c r="H255" s="26" t="n"/>
      <c r="I255" s="28">
        <f>IF($A255="","",COUNTIFS(tblKontrol[KaynakKartId],$A255,tblKontrol[BelgeDurum],"YOK"))</f>
        <v/>
      </c>
      <c r="J255" s="28">
        <f>IF($A255="","",SUMIF(tblAkis[KaynakKartId],$A255,tblAkis[Tutar]))</f>
        <v/>
      </c>
      <c r="K255" s="28">
        <f>IF($A255="","",IFERROR(AVERAGEIF(tblAkis[KaynakKartId],$A255,tblAkis[YasGun]),0))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H6:H255">
    <cfRule type="cellIs" priority="1" operator="equal" dxfId="1">
      <formula>"HAYIR"</formula>
    </cfRule>
  </conditionalFormatting>
  <conditionalFormatting sqref="F6:F255">
    <cfRule type="cellIs" priority="2" operator="greaterThan" dxfId="3">
      <formula>500000</formula>
    </cfRule>
  </conditionalFormatting>
  <dataValidations count="8">
    <dataValidation sqref="A6:A255" showDropDown="0" showInputMessage="1" showErrorMessage="1" allowBlank="1" errorTitle="Kimlik" error="En az 1 karakter" promptTitle="Kart Kimliği" prompt="MUK-##### girin" type="textLength" errorStyle="stop" operator="greaterThan">
      <formula1>1</formula1>
      <formula2>40</formula2>
    </dataValidation>
    <dataValidation sqref="B6:B255" showDropDown="0" showInputMessage="1" showErrorMessage="1" allowBlank="1" errorTitle="Unvan" error="Geçersiz" promptTitle="Unvan" prompt="Unvan girin" type="textLength" errorStyle="stop" operator="greaterThanOrEqual">
      <formula1>0</formula1>
      <formula2>80</formula2>
    </dataValidation>
    <dataValidation sqref="C6:C255" showDropDown="0" showInputMessage="1" showErrorMessage="1" allowBlank="1" errorTitle="VKN" error="Geçersiz" promptTitle="VKN" prompt="VKN girin" type="textLength" errorStyle="stop" operator="greaterThanOrEqual">
      <formula1>0</formula1>
      <formula2>80</formula2>
    </dataValidation>
    <dataValidation sqref="D6:D255" showDropDown="0" showInputMessage="1" showErrorMessage="1" allowBlank="1" errorTitle="Şehir" error="Geçersiz" promptTitle="Şehir" prompt="Şehir girin" type="textLength" errorStyle="stop" operator="greaterThanOrEqual">
      <formula1>0</formula1>
      <formula2>80</formula2>
    </dataValidation>
    <dataValidation sqref="E6:E255" showDropDown="0" showInputMessage="1" showErrorMessage="1" allowBlank="1" errorTitle="Tasdik Türü" error="Geçersiz" promptTitle="Tasdik Türü" prompt="Tasdik Türü girin" type="textLength" errorStyle="stop" operator="greaterThanOrEqual">
      <formula1>0</formula1>
      <formula2>80</formula2>
    </dataValidation>
    <dataValidation sqref="G6:G255" showDropDown="0" showInputMessage="1" showErrorMessage="1" allowBlank="1" errorTitle="Risk" error="Geçersiz" promptTitle="Risk" prompt="Risk girin" type="textLength" errorStyle="stop" operator="greaterThanOrEqual">
      <formula1>0</formula1>
      <formula2>80</formula2>
    </dataValidation>
    <dataValidation sqref="F6:F255" showDropDown="0" showInputMessage="1" showErrorMessage="1" allowBlank="1" errorTitle="Tutar" error="0 veya üzeri" promptTitle="Dosya Tutarı" prompt="Tutar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A365D"/>
    <outlinePr summaryBelow="1" summaryRight="1"/>
    <pageSetUpPr/>
  </sheetPr>
  <dimension ref="A1:S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23.5" customWidth="1" min="3" max="3"/>
    <col width="15.5" customWidth="1" min="4" max="4"/>
    <col width="12.5" customWidth="1" min="5" max="5"/>
    <col width="16.5" customWidth="1" min="6" max="6"/>
    <col width="14.5" customWidth="1" min="7" max="7"/>
    <col width="16.5" customWidth="1" min="8" max="8"/>
    <col width="15.5" customWidth="1" min="9" max="9"/>
    <col width="14.5" customWidth="1" min="10" max="10"/>
    <col width="12" customWidth="1" min="11" max="11"/>
    <col width="12" customWidth="1" min="12" max="12"/>
    <col width="28.5" customWidth="1" min="13" max="13"/>
    <col width="12" customWidth="1" min="14" max="14"/>
    <col width="12" customWidth="1" min="15" max="15"/>
    <col width="15.5" customWidth="1" min="16" max="16"/>
    <col width="16.5" customWidth="1" min="17" max="17"/>
    <col width="16.5" customWidth="1" min="18" max="18"/>
    <col width="13.5" customWidth="1" min="19" max="19"/>
    <col width="13" customWidth="1" min="20" max="20"/>
  </cols>
  <sheetData>
    <row r="1" ht="32" customHeight="1">
      <c r="A1" s="182" t="inlineStr">
        <is>
          <t>AKIS — YMM Tasdik Kontrol Robotu</t>
        </is>
      </c>
    </row>
    <row r="2"/>
    <row r="3" ht="22" customHeight="1">
      <c r="A3" s="202" t="inlineStr">
        <is>
          <t>Tasdik olay satırları — durum makinesi + yetim + geçersiz geçiş + zincir bayrakları</t>
        </is>
      </c>
    </row>
    <row r="4"/>
    <row r="5" ht="30" customHeight="1">
      <c r="A5" s="25" t="inlineStr">
        <is>
          <t>IslemId</t>
        </is>
      </c>
      <c r="B5" s="25" t="inlineStr">
        <is>
          <t>KaynakKartId</t>
        </is>
      </c>
      <c r="C5" s="25" t="inlineStr">
        <is>
          <t>Tarih</t>
        </is>
      </c>
      <c r="D5" s="25" t="inlineStr">
        <is>
          <t>OncekiDurum</t>
        </is>
      </c>
      <c r="E5" s="25" t="inlineStr">
        <is>
          <t>Durum</t>
        </is>
      </c>
      <c r="F5" s="25" t="inlineStr">
        <is>
          <t>BasvuruTutar</t>
        </is>
      </c>
      <c r="G5" s="25" t="inlineStr">
        <is>
          <t>BelgeTutar</t>
        </is>
      </c>
      <c r="H5" s="25" t="inlineStr">
        <is>
          <t>KontrolTutar</t>
        </is>
      </c>
      <c r="I5" s="25" t="inlineStr">
        <is>
          <t>TasdikTutar</t>
        </is>
      </c>
      <c r="J5" s="25" t="inlineStr">
        <is>
          <t>ArsivTutar</t>
        </is>
      </c>
      <c r="K5" s="25" t="inlineStr">
        <is>
          <t>Tutar</t>
        </is>
      </c>
      <c r="L5" s="25" t="inlineStr">
        <is>
          <t>Donem</t>
        </is>
      </c>
      <c r="M5" s="25" t="inlineStr">
        <is>
          <t>Aciklama</t>
        </is>
      </c>
      <c r="N5" s="25" t="inlineStr">
        <is>
          <t>YasGun</t>
        </is>
      </c>
      <c r="O5" s="25" t="inlineStr">
        <is>
          <t>YasKova</t>
        </is>
      </c>
      <c r="P5" s="25" t="inlineStr">
        <is>
          <t>YetimBayrak</t>
        </is>
      </c>
      <c r="Q5" s="25" t="inlineStr">
        <is>
          <t>GecisUyarisi</t>
        </is>
      </c>
      <c r="R5" s="25" t="inlineStr">
        <is>
          <t>ZincirBayrak</t>
        </is>
      </c>
      <c r="S5" s="25" t="inlineStr">
        <is>
          <t>KayitDolu</t>
        </is>
      </c>
    </row>
    <row r="6">
      <c r="A6" s="26" t="inlineStr">
        <is>
          <t>YTK-00001</t>
        </is>
      </c>
      <c r="B6" s="26" t="inlineStr">
        <is>
          <t>MUK-00001</t>
        </is>
      </c>
      <c r="C6" s="29" t="n">
        <v>46245</v>
      </c>
      <c r="D6" s="26" t="n"/>
      <c r="E6" s="26" t="inlineStr">
        <is>
          <t>TASLAK</t>
        </is>
      </c>
      <c r="F6" s="27" t="n">
        <v>450000</v>
      </c>
      <c r="G6" s="27" t="n">
        <v>450000</v>
      </c>
      <c r="H6" s="27" t="n">
        <v>450000</v>
      </c>
      <c r="I6" s="27" t="n">
        <v>0</v>
      </c>
      <c r="J6" s="27" t="n">
        <v>0</v>
      </c>
      <c r="K6" s="27" t="n">
        <v>450000</v>
      </c>
      <c r="L6" s="26" t="inlineStr">
        <is>
          <t>2026-08</t>
        </is>
      </c>
      <c r="M6" s="26" t="inlineStr">
        <is>
          <t>Tasdik kontrol kalemi 1</t>
        </is>
      </c>
      <c r="N6" s="28">
        <f>IF($A6="","",IF($C6="","",raporTarihi-$C6))</f>
        <v/>
      </c>
      <c r="O6" s="28">
        <f>IF($A6="","",IF($N6="","",IF($N6&lt;=7,"0-7",IF($N6&lt;=30,"8-30",IF($N6&lt;=60,"31-60","60+")))))</f>
        <v/>
      </c>
      <c r="P6" s="28">
        <f>IF($A6="","",IF($B6="","YETİM",IF(COUNTIF(tblKartlar[KartId],$B6)=0,"YETİM","")))</f>
        <v/>
      </c>
      <c r="Q6" s="28">
        <f>IF(OR($A6="",$D6=""),"",IF(OR($D6&amp;"|"&amp;$E6="",COUNTIF(ListeIzinliGecis,$D6&amp;"|"&amp;$E6)&gt;0),"","GEÇERSİZ GEÇİŞ"))</f>
        <v/>
      </c>
      <c r="R6" s="28">
        <f>IF($A6="","",IF(OR($F6="",$G6=""),"",IF(ABS($G6-$F6)&gt;zincirTolerans,"ZİNCİR KIRIK","OK")))</f>
        <v/>
      </c>
      <c r="S6" s="28">
        <f>IF($A6="","",1)</f>
        <v/>
      </c>
    </row>
    <row r="7">
      <c r="A7" s="26" t="inlineStr">
        <is>
          <t>YTK-00002</t>
        </is>
      </c>
      <c r="B7" s="26" t="inlineStr">
        <is>
          <t>MUK-00002</t>
        </is>
      </c>
      <c r="C7" s="29" t="n">
        <v>46242</v>
      </c>
      <c r="D7" s="26" t="inlineStr">
        <is>
          <t>TASLAK</t>
        </is>
      </c>
      <c r="E7" s="26" t="inlineStr">
        <is>
          <t>INCELEME</t>
        </is>
      </c>
      <c r="F7" s="27" t="n">
        <v>320000</v>
      </c>
      <c r="G7" s="27" t="n">
        <v>320000</v>
      </c>
      <c r="H7" s="27" t="n">
        <v>320000</v>
      </c>
      <c r="I7" s="27" t="n">
        <v>0</v>
      </c>
      <c r="J7" s="27" t="n">
        <v>0</v>
      </c>
      <c r="K7" s="27" t="n">
        <v>320000</v>
      </c>
      <c r="L7" s="26" t="inlineStr">
        <is>
          <t>2026-08</t>
        </is>
      </c>
      <c r="M7" s="26" t="inlineStr">
        <is>
          <t>Tasdik kontrol kalemi 2</t>
        </is>
      </c>
      <c r="N7" s="28">
        <f>IF($A7="","",IF($C7="","",raporTarihi-$C7))</f>
        <v/>
      </c>
      <c r="O7" s="28">
        <f>IF($A7="","",IF($N7="","",IF($N7&lt;=7,"0-7",IF($N7&lt;=30,"8-30",IF($N7&lt;=60,"31-60","60+")))))</f>
        <v/>
      </c>
      <c r="P7" s="28">
        <f>IF($A7="","",IF($B7="","YETİM",IF(COUNTIF(tblKartlar[KartId],$B7)=0,"YETİM","")))</f>
        <v/>
      </c>
      <c r="Q7" s="28">
        <f>IF(OR($A7="",$D7=""),"",IF(OR($D7&amp;"|"&amp;$E7="",COUNTIF(ListeIzinliGecis,$D7&amp;"|"&amp;$E7)&gt;0),"","GEÇERSİZ GEÇİŞ"))</f>
        <v/>
      </c>
      <c r="R7" s="28">
        <f>IF($A7="","",IF(OR($F7="",$G7=""),"",IF(ABS($G7-$F7)&gt;zincirTolerans,"ZİNCİR KIRIK","OK")))</f>
        <v/>
      </c>
      <c r="S7" s="28">
        <f>IF($A7="","",1)</f>
        <v/>
      </c>
    </row>
    <row r="8">
      <c r="A8" s="26" t="inlineStr">
        <is>
          <t>YTK-00003</t>
        </is>
      </c>
      <c r="B8" s="26" t="inlineStr">
        <is>
          <t>MUK-00003</t>
        </is>
      </c>
      <c r="C8" s="29" t="n">
        <v>46239</v>
      </c>
      <c r="D8" s="26" t="inlineStr">
        <is>
          <t>INCELEME</t>
        </is>
      </c>
      <c r="E8" s="26" t="inlineStr">
        <is>
          <t>EKSIK</t>
        </is>
      </c>
      <c r="F8" s="27" t="n">
        <v>780000</v>
      </c>
      <c r="G8" s="27" t="n">
        <v>780000</v>
      </c>
      <c r="H8" s="27" t="n">
        <v>780000</v>
      </c>
      <c r="I8" s="27" t="n">
        <v>0</v>
      </c>
      <c r="J8" s="27" t="n">
        <v>0</v>
      </c>
      <c r="K8" s="27" t="n">
        <v>780000</v>
      </c>
      <c r="L8" s="26" t="inlineStr">
        <is>
          <t>2026-08</t>
        </is>
      </c>
      <c r="M8" s="26" t="inlineStr">
        <is>
          <t>Tasdik kontrol kalemi 3</t>
        </is>
      </c>
      <c r="N8" s="28">
        <f>IF($A8="","",IF($C8="","",raporTarihi-$C8))</f>
        <v/>
      </c>
      <c r="O8" s="28">
        <f>IF($A8="","",IF($N8="","",IF($N8&lt;=7,"0-7",IF($N8&lt;=30,"8-30",IF($N8&lt;=60,"31-60","60+")))))</f>
        <v/>
      </c>
      <c r="P8" s="28">
        <f>IF($A8="","",IF($B8="","YETİM",IF(COUNTIF(tblKartlar[KartId],$B8)=0,"YETİM","")))</f>
        <v/>
      </c>
      <c r="Q8" s="28">
        <f>IF(OR($A8="",$D8=""),"",IF(OR($D8&amp;"|"&amp;$E8="",COUNTIF(ListeIzinliGecis,$D8&amp;"|"&amp;$E8)&gt;0),"","GEÇERSİZ GEÇİŞ"))</f>
        <v/>
      </c>
      <c r="R8" s="28">
        <f>IF($A8="","",IF(OR($F8="",$G8=""),"",IF(ABS($G8-$F8)&gt;zincirTolerans,"ZİNCİR KIRIK","OK")))</f>
        <v/>
      </c>
      <c r="S8" s="28">
        <f>IF($A8="","",1)</f>
        <v/>
      </c>
    </row>
    <row r="9">
      <c r="A9" s="26" t="inlineStr">
        <is>
          <t>YTK-00004</t>
        </is>
      </c>
      <c r="B9" s="26" t="inlineStr">
        <is>
          <t>MUK-00004</t>
        </is>
      </c>
      <c r="C9" s="29" t="n">
        <v>46236</v>
      </c>
      <c r="D9" s="26" t="inlineStr">
        <is>
          <t>INCELEME</t>
        </is>
      </c>
      <c r="E9" s="26" t="inlineStr">
        <is>
          <t>TASDIK</t>
        </is>
      </c>
      <c r="F9" s="27" t="n">
        <v>210000</v>
      </c>
      <c r="G9" s="27" t="n">
        <v>210000</v>
      </c>
      <c r="H9" s="27" t="n">
        <v>210000</v>
      </c>
      <c r="I9" s="27" t="n">
        <v>210000</v>
      </c>
      <c r="J9" s="27" t="n">
        <v>210000</v>
      </c>
      <c r="K9" s="27" t="n">
        <v>210000</v>
      </c>
      <c r="L9" s="26" t="inlineStr">
        <is>
          <t>2026-08</t>
        </is>
      </c>
      <c r="M9" s="26" t="inlineStr">
        <is>
          <t>Tasdik kontrol kalemi 4</t>
        </is>
      </c>
      <c r="N9" s="28">
        <f>IF($A9="","",IF($C9="","",raporTarihi-$C9))</f>
        <v/>
      </c>
      <c r="O9" s="28">
        <f>IF($A9="","",IF($N9="","",IF($N9&lt;=7,"0-7",IF($N9&lt;=30,"8-30",IF($N9&lt;=60,"31-60","60+")))))</f>
        <v/>
      </c>
      <c r="P9" s="28">
        <f>IF($A9="","",IF($B9="","YETİM",IF(COUNTIF(tblKartlar[KartId],$B9)=0,"YETİM","")))</f>
        <v/>
      </c>
      <c r="Q9" s="28">
        <f>IF(OR($A9="",$D9=""),"",IF(OR($D9&amp;"|"&amp;$E9="",COUNTIF(ListeIzinliGecis,$D9&amp;"|"&amp;$E9)&gt;0),"","GEÇERSİZ GEÇİŞ"))</f>
        <v/>
      </c>
      <c r="R9" s="28">
        <f>IF($A9="","",IF(OR($F9="",$G9=""),"",IF(ABS($G9-$F9)&gt;zincirTolerans,"ZİNCİR KIRIK","OK")))</f>
        <v/>
      </c>
      <c r="S9" s="28">
        <f>IF($A9="","",1)</f>
        <v/>
      </c>
    </row>
    <row r="10">
      <c r="A10" s="26" t="inlineStr">
        <is>
          <t>YTK-00005</t>
        </is>
      </c>
      <c r="B10" s="26" t="inlineStr">
        <is>
          <t>MUK-00005</t>
        </is>
      </c>
      <c r="C10" s="29" t="n">
        <v>46233</v>
      </c>
      <c r="D10" s="26" t="inlineStr">
        <is>
          <t>INCELEME</t>
        </is>
      </c>
      <c r="E10" s="26" t="inlineStr">
        <is>
          <t>DURDUR</t>
        </is>
      </c>
      <c r="F10" s="27" t="n">
        <v>950000</v>
      </c>
      <c r="G10" s="27" t="n">
        <v>950000</v>
      </c>
      <c r="H10" s="27" t="n">
        <v>950000</v>
      </c>
      <c r="I10" s="27" t="n">
        <v>0</v>
      </c>
      <c r="J10" s="27" t="n">
        <v>0</v>
      </c>
      <c r="K10" s="27" t="n">
        <v>950000</v>
      </c>
      <c r="L10" s="26" t="inlineStr">
        <is>
          <t>2026-08</t>
        </is>
      </c>
      <c r="M10" s="26" t="inlineStr">
        <is>
          <t>Tasdik kontrol kalemi 5</t>
        </is>
      </c>
      <c r="N10" s="28">
        <f>IF($A10="","",IF($C10="","",raporTarihi-$C10))</f>
        <v/>
      </c>
      <c r="O10" s="28">
        <f>IF($A10="","",IF($N10="","",IF($N10&lt;=7,"0-7",IF($N10&lt;=30,"8-30",IF($N10&lt;=60,"31-60","60+")))))</f>
        <v/>
      </c>
      <c r="P10" s="28">
        <f>IF($A10="","",IF($B10="","YETİM",IF(COUNTIF(tblKartlar[KartId],$B10)=0,"YETİM","")))</f>
        <v/>
      </c>
      <c r="Q10" s="28">
        <f>IF(OR($A10="",$D10=""),"",IF(OR($D10&amp;"|"&amp;$E10="",COUNTIF(ListeIzinliGecis,$D10&amp;"|"&amp;$E10)&gt;0),"","GEÇERSİZ GEÇİŞ"))</f>
        <v/>
      </c>
      <c r="R10" s="28">
        <f>IF($A10="","",IF(OR($F10="",$G10=""),"",IF(ABS($G10-$F10)&gt;zincirTolerans,"ZİNCİR KIRIK","OK")))</f>
        <v/>
      </c>
      <c r="S10" s="28">
        <f>IF($A10="","",1)</f>
        <v/>
      </c>
    </row>
    <row r="11">
      <c r="A11" s="26" t="inlineStr">
        <is>
          <t>YTK-00006</t>
        </is>
      </c>
      <c r="B11" s="26" t="inlineStr">
        <is>
          <t>MUK-00006</t>
        </is>
      </c>
      <c r="C11" s="29" t="n">
        <v>46230</v>
      </c>
      <c r="D11" s="26" t="inlineStr">
        <is>
          <t>EKSIK</t>
        </is>
      </c>
      <c r="E11" s="26" t="inlineStr">
        <is>
          <t>INCELEME</t>
        </is>
      </c>
      <c r="F11" s="27" t="n">
        <v>280000</v>
      </c>
      <c r="G11" s="27" t="n">
        <v>280000</v>
      </c>
      <c r="H11" s="27" t="n">
        <v>280000</v>
      </c>
      <c r="I11" s="27" t="n">
        <v>0</v>
      </c>
      <c r="J11" s="27" t="n">
        <v>0</v>
      </c>
      <c r="K11" s="27" t="n">
        <v>280000</v>
      </c>
      <c r="L11" s="26" t="inlineStr">
        <is>
          <t>2026-08</t>
        </is>
      </c>
      <c r="M11" s="26" t="inlineStr">
        <is>
          <t>Tasdik kontrol kalemi 6</t>
        </is>
      </c>
      <c r="N11" s="28">
        <f>IF($A11="","",IF($C11="","",raporTarihi-$C11))</f>
        <v/>
      </c>
      <c r="O11" s="28">
        <f>IF($A11="","",IF($N11="","",IF($N11&lt;=7,"0-7",IF($N11&lt;=30,"8-30",IF($N11&lt;=60,"31-60","60+")))))</f>
        <v/>
      </c>
      <c r="P11" s="28">
        <f>IF($A11="","",IF($B11="","YETİM",IF(COUNTIF(tblKartlar[KartId],$B11)=0,"YETİM","")))</f>
        <v/>
      </c>
      <c r="Q11" s="28">
        <f>IF(OR($A11="",$D11=""),"",IF(OR($D11&amp;"|"&amp;$E11="",COUNTIF(ListeIzinliGecis,$D11&amp;"|"&amp;$E11)&gt;0),"","GEÇERSİZ GEÇİŞ"))</f>
        <v/>
      </c>
      <c r="R11" s="28">
        <f>IF($A11="","",IF(OR($F11="",$G11=""),"",IF(ABS($G11-$F11)&gt;zincirTolerans,"ZİNCİR KIRIK","OK")))</f>
        <v/>
      </c>
      <c r="S11" s="28">
        <f>IF($A11="","",1)</f>
        <v/>
      </c>
    </row>
    <row r="12">
      <c r="A12" s="26" t="inlineStr">
        <is>
          <t>YTK-00007</t>
        </is>
      </c>
      <c r="B12" s="26" t="inlineStr">
        <is>
          <t>MUK-00007</t>
        </is>
      </c>
      <c r="C12" s="29" t="n">
        <v>46227</v>
      </c>
      <c r="D12" s="26" t="n"/>
      <c r="E12" s="26" t="inlineStr">
        <is>
          <t>TASLAK</t>
        </is>
      </c>
      <c r="F12" s="27" t="n">
        <v>190000</v>
      </c>
      <c r="G12" s="27" t="n">
        <v>190000</v>
      </c>
      <c r="H12" s="27" t="n">
        <v>190000</v>
      </c>
      <c r="I12" s="27" t="n">
        <v>0</v>
      </c>
      <c r="J12" s="27" t="n">
        <v>0</v>
      </c>
      <c r="K12" s="27" t="n">
        <v>190000</v>
      </c>
      <c r="L12" s="26" t="inlineStr">
        <is>
          <t>2026-08</t>
        </is>
      </c>
      <c r="M12" s="26" t="inlineStr">
        <is>
          <t>Tasdik kontrol kalemi 7</t>
        </is>
      </c>
      <c r="N12" s="28">
        <f>IF($A12="","",IF($C12="","",raporTarihi-$C12))</f>
        <v/>
      </c>
      <c r="O12" s="28">
        <f>IF($A12="","",IF($N12="","",IF($N12&lt;=7,"0-7",IF($N12&lt;=30,"8-30",IF($N12&lt;=60,"31-60","60+")))))</f>
        <v/>
      </c>
      <c r="P12" s="28">
        <f>IF($A12="","",IF($B12="","YETİM",IF(COUNTIF(tblKartlar[KartId],$B12)=0,"YETİM","")))</f>
        <v/>
      </c>
      <c r="Q12" s="28">
        <f>IF(OR($A12="",$D12=""),"",IF(OR($D12&amp;"|"&amp;$E12="",COUNTIF(ListeIzinliGecis,$D12&amp;"|"&amp;$E12)&gt;0),"","GEÇERSİZ GEÇİŞ"))</f>
        <v/>
      </c>
      <c r="R12" s="28">
        <f>IF($A12="","",IF(OR($F12="",$G12=""),"",IF(ABS($G12-$F12)&gt;zincirTolerans,"ZİNCİR KIRIK","OK")))</f>
        <v/>
      </c>
      <c r="S12" s="28">
        <f>IF($A12="","",1)</f>
        <v/>
      </c>
    </row>
    <row r="13">
      <c r="A13" s="26" t="inlineStr">
        <is>
          <t>YTK-00008</t>
        </is>
      </c>
      <c r="B13" s="26" t="inlineStr">
        <is>
          <t>MUK-00008</t>
        </is>
      </c>
      <c r="C13" s="29" t="n">
        <v>46224</v>
      </c>
      <c r="D13" s="26" t="inlineStr">
        <is>
          <t>TASLAK</t>
        </is>
      </c>
      <c r="E13" s="26" t="inlineStr">
        <is>
          <t>INCELEME</t>
        </is>
      </c>
      <c r="F13" s="27" t="n">
        <v>410000</v>
      </c>
      <c r="G13" s="27" t="n">
        <v>410000</v>
      </c>
      <c r="H13" s="27" t="n">
        <v>410000</v>
      </c>
      <c r="I13" s="27" t="n">
        <v>0</v>
      </c>
      <c r="J13" s="27" t="n">
        <v>0</v>
      </c>
      <c r="K13" s="27" t="n">
        <v>410000</v>
      </c>
      <c r="L13" s="26" t="inlineStr">
        <is>
          <t>2026-08</t>
        </is>
      </c>
      <c r="M13" s="26" t="inlineStr">
        <is>
          <t>Tasdik kontrol kalemi 8</t>
        </is>
      </c>
      <c r="N13" s="28">
        <f>IF($A13="","",IF($C13="","",raporTarihi-$C13))</f>
        <v/>
      </c>
      <c r="O13" s="28">
        <f>IF($A13="","",IF($N13="","",IF($N13&lt;=7,"0-7",IF($N13&lt;=30,"8-30",IF($N13&lt;=60,"31-60","60+")))))</f>
        <v/>
      </c>
      <c r="P13" s="28">
        <f>IF($A13="","",IF($B13="","YETİM",IF(COUNTIF(tblKartlar[KartId],$B13)=0,"YETİM","")))</f>
        <v/>
      </c>
      <c r="Q13" s="28">
        <f>IF(OR($A13="",$D13=""),"",IF(OR($D13&amp;"|"&amp;$E13="",COUNTIF(ListeIzinliGecis,$D13&amp;"|"&amp;$E13)&gt;0),"","GEÇERSİZ GEÇİŞ"))</f>
        <v/>
      </c>
      <c r="R13" s="28">
        <f>IF($A13="","",IF(OR($F13="",$G13=""),"",IF(ABS($G13-$F13)&gt;zincirTolerans,"ZİNCİR KIRIK","OK")))</f>
        <v/>
      </c>
      <c r="S13" s="28">
        <f>IF($A13="","",1)</f>
        <v/>
      </c>
    </row>
    <row r="14">
      <c r="A14" s="26" t="inlineStr">
        <is>
          <t>YTK-00009</t>
        </is>
      </c>
      <c r="B14" s="26" t="inlineStr">
        <is>
          <t>MUK-00001</t>
        </is>
      </c>
      <c r="C14" s="29" t="n">
        <v>46221</v>
      </c>
      <c r="D14" s="26" t="n"/>
      <c r="E14" s="26" t="inlineStr">
        <is>
          <t>TASLAK</t>
        </is>
      </c>
      <c r="F14" s="27" t="n">
        <v>450000</v>
      </c>
      <c r="G14" s="27" t="n">
        <v>450000</v>
      </c>
      <c r="H14" s="27" t="n">
        <v>450000</v>
      </c>
      <c r="I14" s="27" t="n">
        <v>0</v>
      </c>
      <c r="J14" s="27" t="n">
        <v>0</v>
      </c>
      <c r="K14" s="27" t="n">
        <v>450000</v>
      </c>
      <c r="L14" s="26" t="inlineStr">
        <is>
          <t>2026-08</t>
        </is>
      </c>
      <c r="M14" s="26" t="inlineStr">
        <is>
          <t>Tasdik kontrol kalemi 9</t>
        </is>
      </c>
      <c r="N14" s="28">
        <f>IF($A14="","",IF($C14="","",raporTarihi-$C14))</f>
        <v/>
      </c>
      <c r="O14" s="28">
        <f>IF($A14="","",IF($N14="","",IF($N14&lt;=7,"0-7",IF($N14&lt;=30,"8-30",IF($N14&lt;=60,"31-60","60+")))))</f>
        <v/>
      </c>
      <c r="P14" s="28">
        <f>IF($A14="","",IF($B14="","YETİM",IF(COUNTIF(tblKartlar[KartId],$B14)=0,"YETİM","")))</f>
        <v/>
      </c>
      <c r="Q14" s="28">
        <f>IF(OR($A14="",$D14=""),"",IF(OR($D14&amp;"|"&amp;$E14="",COUNTIF(ListeIzinliGecis,$D14&amp;"|"&amp;$E14)&gt;0),"","GEÇERSİZ GEÇİŞ"))</f>
        <v/>
      </c>
      <c r="R14" s="28">
        <f>IF($A14="","",IF(OR($F14="",$G14=""),"",IF(ABS($G14-$F14)&gt;zincirTolerans,"ZİNCİR KIRIK","OK")))</f>
        <v/>
      </c>
      <c r="S14" s="28">
        <f>IF($A14="","",1)</f>
        <v/>
      </c>
    </row>
    <row r="15">
      <c r="A15" s="26" t="inlineStr">
        <is>
          <t>YTK-00010</t>
        </is>
      </c>
      <c r="B15" s="26" t="inlineStr">
        <is>
          <t>MUK-00002</t>
        </is>
      </c>
      <c r="C15" s="29" t="n">
        <v>46218</v>
      </c>
      <c r="D15" s="26" t="inlineStr">
        <is>
          <t>TASLAK</t>
        </is>
      </c>
      <c r="E15" s="26" t="inlineStr">
        <is>
          <t>INCELEME</t>
        </is>
      </c>
      <c r="F15" s="27" t="n">
        <v>320000</v>
      </c>
      <c r="G15" s="27" t="n">
        <v>320000</v>
      </c>
      <c r="H15" s="27" t="n">
        <v>320000</v>
      </c>
      <c r="I15" s="27" t="n">
        <v>0</v>
      </c>
      <c r="J15" s="27" t="n">
        <v>0</v>
      </c>
      <c r="K15" s="27" t="n">
        <v>320000</v>
      </c>
      <c r="L15" s="26" t="inlineStr">
        <is>
          <t>2026-08</t>
        </is>
      </c>
      <c r="M15" s="26" t="inlineStr">
        <is>
          <t>Tasdik kontrol kalemi 10</t>
        </is>
      </c>
      <c r="N15" s="28">
        <f>IF($A15="","",IF($C15="","",raporTarihi-$C15))</f>
        <v/>
      </c>
      <c r="O15" s="28">
        <f>IF($A15="","",IF($N15="","",IF($N15&lt;=7,"0-7",IF($N15&lt;=30,"8-30",IF($N15&lt;=60,"31-60","60+")))))</f>
        <v/>
      </c>
      <c r="P15" s="28">
        <f>IF($A15="","",IF($B15="","YETİM",IF(COUNTIF(tblKartlar[KartId],$B15)=0,"YETİM","")))</f>
        <v/>
      </c>
      <c r="Q15" s="28">
        <f>IF(OR($A15="",$D15=""),"",IF(OR($D15&amp;"|"&amp;$E15="",COUNTIF(ListeIzinliGecis,$D15&amp;"|"&amp;$E15)&gt;0),"","GEÇERSİZ GEÇİŞ"))</f>
        <v/>
      </c>
      <c r="R15" s="28">
        <f>IF($A15="","",IF(OR($F15="",$G15=""),"",IF(ABS($G15-$F15)&gt;zincirTolerans,"ZİNCİR KIRIK","OK")))</f>
        <v/>
      </c>
      <c r="S15" s="28">
        <f>IF($A15="","",1)</f>
        <v/>
      </c>
    </row>
    <row r="16">
      <c r="A16" s="26" t="inlineStr">
        <is>
          <t>YTK-00011</t>
        </is>
      </c>
      <c r="B16" s="26" t="inlineStr">
        <is>
          <t>MUK-00003</t>
        </is>
      </c>
      <c r="C16" s="29" t="n">
        <v>46215</v>
      </c>
      <c r="D16" s="26" t="inlineStr">
        <is>
          <t>INCELEME</t>
        </is>
      </c>
      <c r="E16" s="26" t="inlineStr">
        <is>
          <t>EKSIK</t>
        </is>
      </c>
      <c r="F16" s="27" t="n">
        <v>780000</v>
      </c>
      <c r="G16" s="27" t="n">
        <v>780000</v>
      </c>
      <c r="H16" s="27" t="n">
        <v>780000</v>
      </c>
      <c r="I16" s="27" t="n">
        <v>0</v>
      </c>
      <c r="J16" s="27" t="n">
        <v>0</v>
      </c>
      <c r="K16" s="27" t="n">
        <v>780000</v>
      </c>
      <c r="L16" s="26" t="inlineStr">
        <is>
          <t>2026-08</t>
        </is>
      </c>
      <c r="M16" s="26" t="inlineStr">
        <is>
          <t>Tasdik kontrol kalemi 11</t>
        </is>
      </c>
      <c r="N16" s="28">
        <f>IF($A16="","",IF($C16="","",raporTarihi-$C16))</f>
        <v/>
      </c>
      <c r="O16" s="28">
        <f>IF($A16="","",IF($N16="","",IF($N16&lt;=7,"0-7",IF($N16&lt;=30,"8-30",IF($N16&lt;=60,"31-60","60+")))))</f>
        <v/>
      </c>
      <c r="P16" s="28">
        <f>IF($A16="","",IF($B16="","YETİM",IF(COUNTIF(tblKartlar[KartId],$B16)=0,"YETİM","")))</f>
        <v/>
      </c>
      <c r="Q16" s="28">
        <f>IF(OR($A16="",$D16=""),"",IF(OR($D16&amp;"|"&amp;$E16="",COUNTIF(ListeIzinliGecis,$D16&amp;"|"&amp;$E16)&gt;0),"","GEÇERSİZ GEÇİŞ"))</f>
        <v/>
      </c>
      <c r="R16" s="28">
        <f>IF($A16="","",IF(OR($F16="",$G16=""),"",IF(ABS($G16-$F16)&gt;zincirTolerans,"ZİNCİR KIRIK","OK")))</f>
        <v/>
      </c>
      <c r="S16" s="28">
        <f>IF($A16="","",1)</f>
        <v/>
      </c>
    </row>
    <row r="17">
      <c r="A17" s="26" t="inlineStr">
        <is>
          <t>YTK-00012</t>
        </is>
      </c>
      <c r="B17" s="26" t="inlineStr">
        <is>
          <t>MUK-00004</t>
        </is>
      </c>
      <c r="C17" s="29" t="n">
        <v>46212</v>
      </c>
      <c r="D17" s="26" t="inlineStr">
        <is>
          <t>INCELEME</t>
        </is>
      </c>
      <c r="E17" s="26" t="inlineStr">
        <is>
          <t>TASDIK</t>
        </is>
      </c>
      <c r="F17" s="27" t="n">
        <v>210000</v>
      </c>
      <c r="G17" s="27" t="n">
        <v>225000</v>
      </c>
      <c r="H17" s="27" t="n">
        <v>225000</v>
      </c>
      <c r="I17" s="27" t="n">
        <v>225000</v>
      </c>
      <c r="J17" s="27" t="n">
        <v>225000</v>
      </c>
      <c r="K17" s="27" t="n">
        <v>210000</v>
      </c>
      <c r="L17" s="26" t="inlineStr">
        <is>
          <t>2026-08</t>
        </is>
      </c>
      <c r="M17" s="26" t="inlineStr">
        <is>
          <t>Tasdik kontrol kalemi 12</t>
        </is>
      </c>
      <c r="N17" s="28">
        <f>IF($A17="","",IF($C17="","",raporTarihi-$C17))</f>
        <v/>
      </c>
      <c r="O17" s="28">
        <f>IF($A17="","",IF($N17="","",IF($N17&lt;=7,"0-7",IF($N17&lt;=30,"8-30",IF($N17&lt;=60,"31-60","60+")))))</f>
        <v/>
      </c>
      <c r="P17" s="28">
        <f>IF($A17="","",IF($B17="","YETİM",IF(COUNTIF(tblKartlar[KartId],$B17)=0,"YETİM","")))</f>
        <v/>
      </c>
      <c r="Q17" s="28">
        <f>IF(OR($A17="",$D17=""),"",IF(OR($D17&amp;"|"&amp;$E17="",COUNTIF(ListeIzinliGecis,$D17&amp;"|"&amp;$E17)&gt;0),"","GEÇERSİZ GEÇİŞ"))</f>
        <v/>
      </c>
      <c r="R17" s="28">
        <f>IF($A17="","",IF(OR($F17="",$G17=""),"",IF(ABS($G17-$F17)&gt;zincirTolerans,"ZİNCİR KIRIK","OK")))</f>
        <v/>
      </c>
      <c r="S17" s="28">
        <f>IF($A17="","",1)</f>
        <v/>
      </c>
    </row>
    <row r="18">
      <c r="A18" s="26" t="inlineStr">
        <is>
          <t>YTK-00013</t>
        </is>
      </c>
      <c r="B18" s="26" t="inlineStr">
        <is>
          <t>MUK-00005</t>
        </is>
      </c>
      <c r="C18" s="29" t="n">
        <v>46209</v>
      </c>
      <c r="D18" s="26" t="inlineStr">
        <is>
          <t>INCELEME</t>
        </is>
      </c>
      <c r="E18" s="26" t="inlineStr">
        <is>
          <t>DURDUR</t>
        </is>
      </c>
      <c r="F18" s="27" t="n">
        <v>950000</v>
      </c>
      <c r="G18" s="27" t="n">
        <v>950000</v>
      </c>
      <c r="H18" s="27" t="n">
        <v>950000</v>
      </c>
      <c r="I18" s="27" t="n">
        <v>0</v>
      </c>
      <c r="J18" s="27" t="n">
        <v>0</v>
      </c>
      <c r="K18" s="27" t="n">
        <v>950000</v>
      </c>
      <c r="L18" s="26" t="inlineStr">
        <is>
          <t>2026-08</t>
        </is>
      </c>
      <c r="M18" s="26" t="inlineStr">
        <is>
          <t>Tasdik kontrol kalemi 13</t>
        </is>
      </c>
      <c r="N18" s="28">
        <f>IF($A18="","",IF($C18="","",raporTarihi-$C18))</f>
        <v/>
      </c>
      <c r="O18" s="28">
        <f>IF($A18="","",IF($N18="","",IF($N18&lt;=7,"0-7",IF($N18&lt;=30,"8-30",IF($N18&lt;=60,"31-60","60+")))))</f>
        <v/>
      </c>
      <c r="P18" s="28">
        <f>IF($A18="","",IF($B18="","YETİM",IF(COUNTIF(tblKartlar[KartId],$B18)=0,"YETİM","")))</f>
        <v/>
      </c>
      <c r="Q18" s="28">
        <f>IF(OR($A18="",$D18=""),"",IF(OR($D18&amp;"|"&amp;$E18="",COUNTIF(ListeIzinliGecis,$D18&amp;"|"&amp;$E18)&gt;0),"","GEÇERSİZ GEÇİŞ"))</f>
        <v/>
      </c>
      <c r="R18" s="28">
        <f>IF($A18="","",IF(OR($F18="",$G18=""),"",IF(ABS($G18-$F18)&gt;zincirTolerans,"ZİNCİR KIRIK","OK")))</f>
        <v/>
      </c>
      <c r="S18" s="28">
        <f>IF($A18="","",1)</f>
        <v/>
      </c>
    </row>
    <row r="19">
      <c r="A19" s="26" t="inlineStr">
        <is>
          <t>YTK-00014</t>
        </is>
      </c>
      <c r="B19" s="26" t="inlineStr">
        <is>
          <t>MUK-00006</t>
        </is>
      </c>
      <c r="C19" s="29" t="n">
        <v>46206</v>
      </c>
      <c r="D19" s="26" t="inlineStr">
        <is>
          <t>EKSIK</t>
        </is>
      </c>
      <c r="E19" s="26" t="inlineStr">
        <is>
          <t>INCELEME</t>
        </is>
      </c>
      <c r="F19" s="27" t="n">
        <v>280000</v>
      </c>
      <c r="G19" s="27" t="n">
        <v>280000</v>
      </c>
      <c r="H19" s="27" t="n">
        <v>280000</v>
      </c>
      <c r="I19" s="27" t="n">
        <v>0</v>
      </c>
      <c r="J19" s="27" t="n">
        <v>0</v>
      </c>
      <c r="K19" s="27" t="n">
        <v>280000</v>
      </c>
      <c r="L19" s="26" t="inlineStr">
        <is>
          <t>2026-08</t>
        </is>
      </c>
      <c r="M19" s="26" t="inlineStr">
        <is>
          <t>Tasdik kontrol kalemi 14</t>
        </is>
      </c>
      <c r="N19" s="28">
        <f>IF($A19="","",IF($C19="","",raporTarihi-$C19))</f>
        <v/>
      </c>
      <c r="O19" s="28">
        <f>IF($A19="","",IF($N19="","",IF($N19&lt;=7,"0-7",IF($N19&lt;=30,"8-30",IF($N19&lt;=60,"31-60","60+")))))</f>
        <v/>
      </c>
      <c r="P19" s="28">
        <f>IF($A19="","",IF($B19="","YETİM",IF(COUNTIF(tblKartlar[KartId],$B19)=0,"YETİM","")))</f>
        <v/>
      </c>
      <c r="Q19" s="28">
        <f>IF(OR($A19="",$D19=""),"",IF(OR($D19&amp;"|"&amp;$E19="",COUNTIF(ListeIzinliGecis,$D19&amp;"|"&amp;$E19)&gt;0),"","GEÇERSİZ GEÇİŞ"))</f>
        <v/>
      </c>
      <c r="R19" s="28">
        <f>IF($A19="","",IF(OR($F19="",$G19=""),"",IF(ABS($G19-$F19)&gt;zincirTolerans,"ZİNCİR KIRIK","OK")))</f>
        <v/>
      </c>
      <c r="S19" s="28">
        <f>IF($A19="","",1)</f>
        <v/>
      </c>
    </row>
    <row r="20">
      <c r="A20" s="26" t="inlineStr">
        <is>
          <t>YTK-00015</t>
        </is>
      </c>
      <c r="B20" s="26" t="inlineStr">
        <is>
          <t>MUK-00007</t>
        </is>
      </c>
      <c r="C20" s="29" t="n">
        <v>46203</v>
      </c>
      <c r="D20" s="26" t="n"/>
      <c r="E20" s="26" t="inlineStr">
        <is>
          <t>TASLAK</t>
        </is>
      </c>
      <c r="F20" s="27" t="n">
        <v>190000</v>
      </c>
      <c r="G20" s="27" t="n">
        <v>190000</v>
      </c>
      <c r="H20" s="27" t="n">
        <v>190000</v>
      </c>
      <c r="I20" s="27" t="n">
        <v>0</v>
      </c>
      <c r="J20" s="27" t="n">
        <v>0</v>
      </c>
      <c r="K20" s="27" t="n">
        <v>190000</v>
      </c>
      <c r="L20" s="26" t="inlineStr">
        <is>
          <t>2026-08</t>
        </is>
      </c>
      <c r="M20" s="26" t="inlineStr">
        <is>
          <t>Tasdik kontrol kalemi 15</t>
        </is>
      </c>
      <c r="N20" s="28">
        <f>IF($A20="","",IF($C20="","",raporTarihi-$C20))</f>
        <v/>
      </c>
      <c r="O20" s="28">
        <f>IF($A20="","",IF($N20="","",IF($N20&lt;=7,"0-7",IF($N20&lt;=30,"8-30",IF($N20&lt;=60,"31-60","60+")))))</f>
        <v/>
      </c>
      <c r="P20" s="28">
        <f>IF($A20="","",IF($B20="","YETİM",IF(COUNTIF(tblKartlar[KartId],$B20)=0,"YETİM","")))</f>
        <v/>
      </c>
      <c r="Q20" s="28">
        <f>IF(OR($A20="",$D20=""),"",IF(OR($D20&amp;"|"&amp;$E20="",COUNTIF(ListeIzinliGecis,$D20&amp;"|"&amp;$E20)&gt;0),"","GEÇERSİZ GEÇİŞ"))</f>
        <v/>
      </c>
      <c r="R20" s="28">
        <f>IF($A20="","",IF(OR($F20="",$G20=""),"",IF(ABS($G20-$F20)&gt;zincirTolerans,"ZİNCİR KIRIK","OK")))</f>
        <v/>
      </c>
      <c r="S20" s="28">
        <f>IF($A20="","",1)</f>
        <v/>
      </c>
    </row>
    <row r="21">
      <c r="A21" s="26" t="inlineStr">
        <is>
          <t>YTK-00016</t>
        </is>
      </c>
      <c r="B21" s="26" t="inlineStr">
        <is>
          <t>MUK-00008</t>
        </is>
      </c>
      <c r="C21" s="29" t="n">
        <v>46200</v>
      </c>
      <c r="D21" s="26" t="inlineStr">
        <is>
          <t>TASLAK</t>
        </is>
      </c>
      <c r="E21" s="26" t="inlineStr">
        <is>
          <t>INCELEME</t>
        </is>
      </c>
      <c r="F21" s="27" t="n">
        <v>410000</v>
      </c>
      <c r="G21" s="27" t="n">
        <v>410000</v>
      </c>
      <c r="H21" s="27" t="n">
        <v>410000</v>
      </c>
      <c r="I21" s="27" t="n">
        <v>0</v>
      </c>
      <c r="J21" s="27" t="n">
        <v>0</v>
      </c>
      <c r="K21" s="27" t="n">
        <v>410000</v>
      </c>
      <c r="L21" s="26" t="inlineStr">
        <is>
          <t>2026-08</t>
        </is>
      </c>
      <c r="M21" s="26" t="inlineStr">
        <is>
          <t>Tasdik kontrol kalemi 16</t>
        </is>
      </c>
      <c r="N21" s="28">
        <f>IF($A21="","",IF($C21="","",raporTarihi-$C21))</f>
        <v/>
      </c>
      <c r="O21" s="28">
        <f>IF($A21="","",IF($N21="","",IF($N21&lt;=7,"0-7",IF($N21&lt;=30,"8-30",IF($N21&lt;=60,"31-60","60+")))))</f>
        <v/>
      </c>
      <c r="P21" s="28">
        <f>IF($A21="","",IF($B21="","YETİM",IF(COUNTIF(tblKartlar[KartId],$B21)=0,"YETİM","")))</f>
        <v/>
      </c>
      <c r="Q21" s="28">
        <f>IF(OR($A21="",$D21=""),"",IF(OR($D21&amp;"|"&amp;$E21="",COUNTIF(ListeIzinliGecis,$D21&amp;"|"&amp;$E21)&gt;0),"","GEÇERSİZ GEÇİŞ"))</f>
        <v/>
      </c>
      <c r="R21" s="28">
        <f>IF($A21="","",IF(OR($F21="",$G21=""),"",IF(ABS($G21-$F21)&gt;zincirTolerans,"ZİNCİR KIRIK","OK")))</f>
        <v/>
      </c>
      <c r="S21" s="28">
        <f>IF($A21="","",1)</f>
        <v/>
      </c>
    </row>
    <row r="22">
      <c r="A22" s="26" t="inlineStr">
        <is>
          <t>YTK-00017</t>
        </is>
      </c>
      <c r="B22" s="26" t="inlineStr">
        <is>
          <t>MUK-00001</t>
        </is>
      </c>
      <c r="C22" s="29" t="n">
        <v>46197</v>
      </c>
      <c r="D22" s="26" t="n"/>
      <c r="E22" s="26" t="inlineStr">
        <is>
          <t>TASLAK</t>
        </is>
      </c>
      <c r="F22" s="27" t="n">
        <v>450000</v>
      </c>
      <c r="G22" s="27" t="n">
        <v>450000</v>
      </c>
      <c r="H22" s="27" t="n">
        <v>450000</v>
      </c>
      <c r="I22" s="27" t="n">
        <v>0</v>
      </c>
      <c r="J22" s="27" t="n">
        <v>0</v>
      </c>
      <c r="K22" s="27" t="n">
        <v>450000</v>
      </c>
      <c r="L22" s="26" t="inlineStr">
        <is>
          <t>2026-08</t>
        </is>
      </c>
      <c r="M22" s="26" t="inlineStr">
        <is>
          <t>Tasdik kontrol kalemi 17</t>
        </is>
      </c>
      <c r="N22" s="28">
        <f>IF($A22="","",IF($C22="","",raporTarihi-$C22))</f>
        <v/>
      </c>
      <c r="O22" s="28">
        <f>IF($A22="","",IF($N22="","",IF($N22&lt;=7,"0-7",IF($N22&lt;=30,"8-30",IF($N22&lt;=60,"31-60","60+")))))</f>
        <v/>
      </c>
      <c r="P22" s="28">
        <f>IF($A22="","",IF($B22="","YETİM",IF(COUNTIF(tblKartlar[KartId],$B22)=0,"YETİM","")))</f>
        <v/>
      </c>
      <c r="Q22" s="28">
        <f>IF(OR($A22="",$D22=""),"",IF(OR($D22&amp;"|"&amp;$E22="",COUNTIF(ListeIzinliGecis,$D22&amp;"|"&amp;$E22)&gt;0),"","GEÇERSİZ GEÇİŞ"))</f>
        <v/>
      </c>
      <c r="R22" s="28">
        <f>IF($A22="","",IF(OR($F22="",$G22=""),"",IF(ABS($G22-$F22)&gt;zincirTolerans,"ZİNCİR KIRIK","OK")))</f>
        <v/>
      </c>
      <c r="S22" s="28">
        <f>IF($A22="","",1)</f>
        <v/>
      </c>
    </row>
    <row r="23">
      <c r="A23" s="26" t="inlineStr">
        <is>
          <t>YTK-00018</t>
        </is>
      </c>
      <c r="B23" s="26" t="inlineStr">
        <is>
          <t>MUK-00002</t>
        </is>
      </c>
      <c r="C23" s="29" t="n">
        <v>46194</v>
      </c>
      <c r="D23" s="26" t="inlineStr">
        <is>
          <t>TASLAK</t>
        </is>
      </c>
      <c r="E23" s="26" t="inlineStr">
        <is>
          <t>TASDIK</t>
        </is>
      </c>
      <c r="F23" s="27" t="n">
        <v>320000</v>
      </c>
      <c r="G23" s="27" t="n">
        <v>320000</v>
      </c>
      <c r="H23" s="27" t="n">
        <v>320000</v>
      </c>
      <c r="I23" s="27" t="n">
        <v>320000</v>
      </c>
      <c r="J23" s="27" t="n">
        <v>320000</v>
      </c>
      <c r="K23" s="27" t="n">
        <v>320000</v>
      </c>
      <c r="L23" s="26" t="inlineStr">
        <is>
          <t>2026-08</t>
        </is>
      </c>
      <c r="M23" s="26" t="inlineStr">
        <is>
          <t>Tasdik kontrol kalemi 18</t>
        </is>
      </c>
      <c r="N23" s="28">
        <f>IF($A23="","",IF($C23="","",raporTarihi-$C23))</f>
        <v/>
      </c>
      <c r="O23" s="28">
        <f>IF($A23="","",IF($N23="","",IF($N23&lt;=7,"0-7",IF($N23&lt;=30,"8-30",IF($N23&lt;=60,"31-60","60+")))))</f>
        <v/>
      </c>
      <c r="P23" s="28">
        <f>IF($A23="","",IF($B23="","YETİM",IF(COUNTIF(tblKartlar[KartId],$B23)=0,"YETİM","")))</f>
        <v/>
      </c>
      <c r="Q23" s="28">
        <f>IF(OR($A23="",$D23=""),"",IF(OR($D23&amp;"|"&amp;$E23="",COUNTIF(ListeIzinliGecis,$D23&amp;"|"&amp;$E23)&gt;0),"","GEÇERSİZ GEÇİŞ"))</f>
        <v/>
      </c>
      <c r="R23" s="28">
        <f>IF($A23="","",IF(OR($F23="",$G23=""),"",IF(ABS($G23-$F23)&gt;zincirTolerans,"ZİNCİR KIRIK","OK")))</f>
        <v/>
      </c>
      <c r="S23" s="28">
        <f>IF($A23="","",1)</f>
        <v/>
      </c>
    </row>
    <row r="24">
      <c r="A24" s="26" t="inlineStr">
        <is>
          <t>YTK-00019</t>
        </is>
      </c>
      <c r="B24" s="26" t="inlineStr">
        <is>
          <t>MUK-00003</t>
        </is>
      </c>
      <c r="C24" s="29" t="n">
        <v>46191</v>
      </c>
      <c r="D24" s="26" t="inlineStr">
        <is>
          <t>INCELEME</t>
        </is>
      </c>
      <c r="E24" s="26" t="inlineStr">
        <is>
          <t>EKSIK</t>
        </is>
      </c>
      <c r="F24" s="27" t="n">
        <v>780000</v>
      </c>
      <c r="G24" s="27" t="n">
        <v>795000</v>
      </c>
      <c r="H24" s="27" t="n">
        <v>795000</v>
      </c>
      <c r="I24" s="27" t="n">
        <v>0</v>
      </c>
      <c r="J24" s="27" t="n">
        <v>0</v>
      </c>
      <c r="K24" s="27" t="n">
        <v>780000</v>
      </c>
      <c r="L24" s="26" t="inlineStr">
        <is>
          <t>2026-08</t>
        </is>
      </c>
      <c r="M24" s="26" t="inlineStr">
        <is>
          <t>Tasdik kontrol kalemi 19</t>
        </is>
      </c>
      <c r="N24" s="28">
        <f>IF($A24="","",IF($C24="","",raporTarihi-$C24))</f>
        <v/>
      </c>
      <c r="O24" s="28">
        <f>IF($A24="","",IF($N24="","",IF($N24&lt;=7,"0-7",IF($N24&lt;=30,"8-30",IF($N24&lt;=60,"31-60","60+")))))</f>
        <v/>
      </c>
      <c r="P24" s="28">
        <f>IF($A24="","",IF($B24="","YETİM",IF(COUNTIF(tblKartlar[KartId],$B24)=0,"YETİM","")))</f>
        <v/>
      </c>
      <c r="Q24" s="28">
        <f>IF(OR($A24="",$D24=""),"",IF(OR($D24&amp;"|"&amp;$E24="",COUNTIF(ListeIzinliGecis,$D24&amp;"|"&amp;$E24)&gt;0),"","GEÇERSİZ GEÇİŞ"))</f>
        <v/>
      </c>
      <c r="R24" s="28">
        <f>IF($A24="","",IF(OR($F24="",$G24=""),"",IF(ABS($G24-$F24)&gt;zincirTolerans,"ZİNCİR KIRIK","OK")))</f>
        <v/>
      </c>
      <c r="S24" s="28">
        <f>IF($A24="","",1)</f>
        <v/>
      </c>
    </row>
    <row r="25">
      <c r="A25" s="26" t="inlineStr">
        <is>
          <t>YTK-00020</t>
        </is>
      </c>
      <c r="B25" s="26" t="inlineStr">
        <is>
          <t>MUK-00004</t>
        </is>
      </c>
      <c r="C25" s="29" t="n">
        <v>46188</v>
      </c>
      <c r="D25" s="26" t="inlineStr">
        <is>
          <t>TASDIK</t>
        </is>
      </c>
      <c r="E25" s="26" t="inlineStr">
        <is>
          <t>INCELEME</t>
        </is>
      </c>
      <c r="F25" s="27" t="n">
        <v>210000</v>
      </c>
      <c r="G25" s="27" t="n">
        <v>210000</v>
      </c>
      <c r="H25" s="27" t="n">
        <v>210000</v>
      </c>
      <c r="I25" s="27" t="n">
        <v>0</v>
      </c>
      <c r="J25" s="27" t="n">
        <v>0</v>
      </c>
      <c r="K25" s="27" t="n">
        <v>210000</v>
      </c>
      <c r="L25" s="26" t="inlineStr">
        <is>
          <t>2026-08</t>
        </is>
      </c>
      <c r="M25" s="26" t="inlineStr">
        <is>
          <t>Tasdik kontrol kalemi 20</t>
        </is>
      </c>
      <c r="N25" s="28">
        <f>IF($A25="","",IF($C25="","",raporTarihi-$C25))</f>
        <v/>
      </c>
      <c r="O25" s="28">
        <f>IF($A25="","",IF($N25="","",IF($N25&lt;=7,"0-7",IF($N25&lt;=30,"8-30",IF($N25&lt;=60,"31-60","60+")))))</f>
        <v/>
      </c>
      <c r="P25" s="28">
        <f>IF($A25="","",IF($B25="","YETİM",IF(COUNTIF(tblKartlar[KartId],$B25)=0,"YETİM","")))</f>
        <v/>
      </c>
      <c r="Q25" s="28">
        <f>IF(OR($A25="",$D25=""),"",IF(OR($D25&amp;"|"&amp;$E25="",COUNTIF(ListeIzinliGecis,$D25&amp;"|"&amp;$E25)&gt;0),"","GEÇERSİZ GEÇİŞ"))</f>
        <v/>
      </c>
      <c r="R25" s="28">
        <f>IF($A25="","",IF(OR($F25="",$G25=""),"",IF(ABS($G25-$F25)&gt;zincirTolerans,"ZİNCİR KIRIK","OK")))</f>
        <v/>
      </c>
      <c r="S25" s="28">
        <f>IF($A25="","",1)</f>
        <v/>
      </c>
    </row>
    <row r="26">
      <c r="A26" s="26" t="inlineStr">
        <is>
          <t>YTK-00021</t>
        </is>
      </c>
      <c r="B26" s="26" t="inlineStr">
        <is>
          <t>MUK-00005</t>
        </is>
      </c>
      <c r="C26" s="29" t="n">
        <v>46185</v>
      </c>
      <c r="D26" s="26" t="inlineStr">
        <is>
          <t>INCELEME</t>
        </is>
      </c>
      <c r="E26" s="26" t="inlineStr">
        <is>
          <t>DURDUR</t>
        </is>
      </c>
      <c r="F26" s="27" t="n">
        <v>950000</v>
      </c>
      <c r="G26" s="27" t="n">
        <v>950000</v>
      </c>
      <c r="H26" s="27" t="n">
        <v>950000</v>
      </c>
      <c r="I26" s="27" t="n">
        <v>0</v>
      </c>
      <c r="J26" s="27" t="n">
        <v>0</v>
      </c>
      <c r="K26" s="27" t="n">
        <v>950000</v>
      </c>
      <c r="L26" s="26" t="inlineStr">
        <is>
          <t>2026-08</t>
        </is>
      </c>
      <c r="M26" s="26" t="inlineStr">
        <is>
          <t>Tasdik kontrol kalemi 21</t>
        </is>
      </c>
      <c r="N26" s="28">
        <f>IF($A26="","",IF($C26="","",raporTarihi-$C26))</f>
        <v/>
      </c>
      <c r="O26" s="28">
        <f>IF($A26="","",IF($N26="","",IF($N26&lt;=7,"0-7",IF($N26&lt;=30,"8-30",IF($N26&lt;=60,"31-60","60+")))))</f>
        <v/>
      </c>
      <c r="P26" s="28">
        <f>IF($A26="","",IF($B26="","YETİM",IF(COUNTIF(tblKartlar[KartId],$B26)=0,"YETİM","")))</f>
        <v/>
      </c>
      <c r="Q26" s="28">
        <f>IF(OR($A26="",$D26=""),"",IF(OR($D26&amp;"|"&amp;$E26="",COUNTIF(ListeIzinliGecis,$D26&amp;"|"&amp;$E26)&gt;0),"","GEÇERSİZ GEÇİŞ"))</f>
        <v/>
      </c>
      <c r="R26" s="28">
        <f>IF($A26="","",IF(OR($F26="",$G26=""),"",IF(ABS($G26-$F26)&gt;zincirTolerans,"ZİNCİR KIRIK","OK")))</f>
        <v/>
      </c>
      <c r="S26" s="28">
        <f>IF($A26="","",1)</f>
        <v/>
      </c>
    </row>
    <row r="27">
      <c r="A27" s="26" t="inlineStr">
        <is>
          <t>YTK-00022</t>
        </is>
      </c>
      <c r="B27" s="26" t="n"/>
      <c r="C27" s="29" t="n">
        <v>46182</v>
      </c>
      <c r="D27" s="26" t="inlineStr">
        <is>
          <t>EKSIK</t>
        </is>
      </c>
      <c r="E27" s="26" t="inlineStr">
        <is>
          <t>INCELEME</t>
        </is>
      </c>
      <c r="F27" s="27" t="n">
        <v>280000</v>
      </c>
      <c r="G27" s="27" t="n">
        <v>280000</v>
      </c>
      <c r="H27" s="27" t="n">
        <v>280000</v>
      </c>
      <c r="I27" s="27" t="n">
        <v>0</v>
      </c>
      <c r="J27" s="27" t="n">
        <v>0</v>
      </c>
      <c r="K27" s="27" t="n">
        <v>280000</v>
      </c>
      <c r="L27" s="26" t="inlineStr">
        <is>
          <t>2026-08</t>
        </is>
      </c>
      <c r="M27" s="26" t="inlineStr">
        <is>
          <t>Tasdik kontrol kalemi 22</t>
        </is>
      </c>
      <c r="N27" s="28">
        <f>IF($A27="","",IF($C27="","",raporTarihi-$C27))</f>
        <v/>
      </c>
      <c r="O27" s="28">
        <f>IF($A27="","",IF($N27="","",IF($N27&lt;=7,"0-7",IF($N27&lt;=30,"8-30",IF($N27&lt;=60,"31-60","60+")))))</f>
        <v/>
      </c>
      <c r="P27" s="28">
        <f>IF($A27="","",IF($B27="","YETİM",IF(COUNTIF(tblKartlar[KartId],$B27)=0,"YETİM","")))</f>
        <v/>
      </c>
      <c r="Q27" s="28">
        <f>IF(OR($A27="",$D27=""),"",IF(OR($D27&amp;"|"&amp;$E27="",COUNTIF(ListeIzinliGecis,$D27&amp;"|"&amp;$E27)&gt;0),"","GEÇERSİZ GEÇİŞ"))</f>
        <v/>
      </c>
      <c r="R27" s="28">
        <f>IF($A27="","",IF(OR($F27="",$G27=""),"",IF(ABS($G27-$F27)&gt;zincirTolerans,"ZİNCİR KIRIK","OK")))</f>
        <v/>
      </c>
      <c r="S27" s="28">
        <f>IF($A27="","",1)</f>
        <v/>
      </c>
    </row>
    <row r="28">
      <c r="A28" s="26" t="inlineStr">
        <is>
          <t>YTK-00023</t>
        </is>
      </c>
      <c r="B28" s="26" t="inlineStr">
        <is>
          <t>MUK-00007</t>
        </is>
      </c>
      <c r="C28" s="29" t="n">
        <v>46179</v>
      </c>
      <c r="D28" s="26" t="n"/>
      <c r="E28" s="26" t="inlineStr">
        <is>
          <t>TASLAK</t>
        </is>
      </c>
      <c r="F28" s="27" t="n">
        <v>190000</v>
      </c>
      <c r="G28" s="27" t="n">
        <v>190000</v>
      </c>
      <c r="H28" s="27" t="n">
        <v>190000</v>
      </c>
      <c r="I28" s="27" t="n">
        <v>0</v>
      </c>
      <c r="J28" s="27" t="n">
        <v>0</v>
      </c>
      <c r="K28" s="27" t="n">
        <v>190000</v>
      </c>
      <c r="L28" s="26" t="inlineStr">
        <is>
          <t>2026-08</t>
        </is>
      </c>
      <c r="M28" s="26" t="inlineStr">
        <is>
          <t>Tasdik kontrol kalemi 23</t>
        </is>
      </c>
      <c r="N28" s="28">
        <f>IF($A28="","",IF($C28="","",raporTarihi-$C28))</f>
        <v/>
      </c>
      <c r="O28" s="28">
        <f>IF($A28="","",IF($N28="","",IF($N28&lt;=7,"0-7",IF($N28&lt;=30,"8-30",IF($N28&lt;=60,"31-60","60+")))))</f>
        <v/>
      </c>
      <c r="P28" s="28">
        <f>IF($A28="","",IF($B28="","YETİM",IF(COUNTIF(tblKartlar[KartId],$B28)=0,"YETİM","")))</f>
        <v/>
      </c>
      <c r="Q28" s="28">
        <f>IF(OR($A28="",$D28=""),"",IF(OR($D28&amp;"|"&amp;$E28="",COUNTIF(ListeIzinliGecis,$D28&amp;"|"&amp;$E28)&gt;0),"","GEÇERSİZ GEÇİŞ"))</f>
        <v/>
      </c>
      <c r="R28" s="28">
        <f>IF($A28="","",IF(OR($F28="",$G28=""),"",IF(ABS($G28-$F28)&gt;zincirTolerans,"ZİNCİR KIRIK","OK")))</f>
        <v/>
      </c>
      <c r="S28" s="28">
        <f>IF($A28="","",1)</f>
        <v/>
      </c>
    </row>
    <row r="29">
      <c r="A29" s="26" t="inlineStr">
        <is>
          <t>YTK-00024</t>
        </is>
      </c>
      <c r="B29" s="26" t="inlineStr">
        <is>
          <t>MUK-00008</t>
        </is>
      </c>
      <c r="C29" s="29" t="n">
        <v>46176</v>
      </c>
      <c r="D29" s="26" t="inlineStr">
        <is>
          <t>TASLAK</t>
        </is>
      </c>
      <c r="E29" s="26" t="inlineStr">
        <is>
          <t>INCELEME</t>
        </is>
      </c>
      <c r="F29" s="27" t="n">
        <v>410000</v>
      </c>
      <c r="G29" s="27" t="n">
        <v>410000</v>
      </c>
      <c r="H29" s="27" t="n">
        <v>410000</v>
      </c>
      <c r="I29" s="27" t="n">
        <v>0</v>
      </c>
      <c r="J29" s="27" t="n">
        <v>0</v>
      </c>
      <c r="K29" s="27" t="n">
        <v>410000</v>
      </c>
      <c r="L29" s="26" t="inlineStr">
        <is>
          <t>2026-08</t>
        </is>
      </c>
      <c r="M29" s="26" t="inlineStr">
        <is>
          <t>Tasdik kontrol kalemi 24</t>
        </is>
      </c>
      <c r="N29" s="28">
        <f>IF($A29="","",IF($C29="","",raporTarihi-$C29))</f>
        <v/>
      </c>
      <c r="O29" s="28">
        <f>IF($A29="","",IF($N29="","",IF($N29&lt;=7,"0-7",IF($N29&lt;=30,"8-30",IF($N29&lt;=60,"31-60","60+")))))</f>
        <v/>
      </c>
      <c r="P29" s="28">
        <f>IF($A29="","",IF($B29="","YETİM",IF(COUNTIF(tblKartlar[KartId],$B29)=0,"YETİM","")))</f>
        <v/>
      </c>
      <c r="Q29" s="28">
        <f>IF(OR($A29="",$D29=""),"",IF(OR($D29&amp;"|"&amp;$E29="",COUNTIF(ListeIzinliGecis,$D29&amp;"|"&amp;$E29)&gt;0),"","GEÇERSİZ GEÇİŞ"))</f>
        <v/>
      </c>
      <c r="R29" s="28">
        <f>IF($A29="","",IF(OR($F29="",$G29=""),"",IF(ABS($G29-$F29)&gt;zincirTolerans,"ZİNCİR KIRIK","OK")))</f>
        <v/>
      </c>
      <c r="S29" s="28">
        <f>IF($A29="","",1)</f>
        <v/>
      </c>
    </row>
    <row r="30">
      <c r="A30" s="26" t="inlineStr">
        <is>
          <t>YTK-00025</t>
        </is>
      </c>
      <c r="B30" s="26" t="inlineStr">
        <is>
          <t>MUK-99999</t>
        </is>
      </c>
      <c r="C30" s="29" t="n">
        <v>46248</v>
      </c>
      <c r="D30" s="26" t="n"/>
      <c r="E30" s="26" t="inlineStr">
        <is>
          <t>TASLAK</t>
        </is>
      </c>
      <c r="F30" s="27" t="n">
        <v>450000</v>
      </c>
      <c r="G30" s="27" t="n">
        <v>450000</v>
      </c>
      <c r="H30" s="27" t="n">
        <v>450000</v>
      </c>
      <c r="I30" s="27" t="n">
        <v>0</v>
      </c>
      <c r="J30" s="27" t="n">
        <v>0</v>
      </c>
      <c r="K30" s="27" t="n">
        <v>450000</v>
      </c>
      <c r="L30" s="26" t="inlineStr">
        <is>
          <t>2026-08</t>
        </is>
      </c>
      <c r="M30" s="26" t="inlineStr">
        <is>
          <t>Tasdik kontrol kalemi 25</t>
        </is>
      </c>
      <c r="N30" s="28">
        <f>IF($A30="","",IF($C30="","",raporTarihi-$C30))</f>
        <v/>
      </c>
      <c r="O30" s="28">
        <f>IF($A30="","",IF($N30="","",IF($N30&lt;=7,"0-7",IF($N30&lt;=30,"8-30",IF($N30&lt;=60,"31-60","60+")))))</f>
        <v/>
      </c>
      <c r="P30" s="28">
        <f>IF($A30="","",IF($B30="","YETİM",IF(COUNTIF(tblKartlar[KartId],$B30)=0,"YETİM","")))</f>
        <v/>
      </c>
      <c r="Q30" s="28">
        <f>IF(OR($A30="",$D30=""),"",IF(OR($D30&amp;"|"&amp;$E30="",COUNTIF(ListeIzinliGecis,$D30&amp;"|"&amp;$E30)&gt;0),"","GEÇERSİZ GEÇİŞ"))</f>
        <v/>
      </c>
      <c r="R30" s="28">
        <f>IF($A30="","",IF(OR($F30="",$G30=""),"",IF(ABS($G30-$F30)&gt;zincirTolerans,"ZİNCİR KIRIK","OK")))</f>
        <v/>
      </c>
      <c r="S30" s="28">
        <f>IF($A30="","",1)</f>
        <v/>
      </c>
    </row>
    <row r="31">
      <c r="A31" s="26" t="inlineStr">
        <is>
          <t>YTK-00026</t>
        </is>
      </c>
      <c r="B31" s="26" t="inlineStr">
        <is>
          <t>MUK-00002</t>
        </is>
      </c>
      <c r="C31" s="29" t="n">
        <v>46245</v>
      </c>
      <c r="D31" s="26" t="inlineStr">
        <is>
          <t>TASLAK</t>
        </is>
      </c>
      <c r="E31" s="26" t="inlineStr">
        <is>
          <t>INCELEME</t>
        </is>
      </c>
      <c r="F31" s="27" t="n">
        <v>320000</v>
      </c>
      <c r="G31" s="27" t="n">
        <v>320000</v>
      </c>
      <c r="H31" s="27" t="n">
        <v>320000</v>
      </c>
      <c r="I31" s="27" t="n">
        <v>0</v>
      </c>
      <c r="J31" s="27" t="n">
        <v>0</v>
      </c>
      <c r="K31" s="27" t="n">
        <v>320000</v>
      </c>
      <c r="L31" s="26" t="inlineStr">
        <is>
          <t>2026-08</t>
        </is>
      </c>
      <c r="M31" s="26" t="inlineStr">
        <is>
          <t>Tasdik kontrol kalemi 26</t>
        </is>
      </c>
      <c r="N31" s="28">
        <f>IF($A31="","",IF($C31="","",raporTarihi-$C31))</f>
        <v/>
      </c>
      <c r="O31" s="28">
        <f>IF($A31="","",IF($N31="","",IF($N31&lt;=7,"0-7",IF($N31&lt;=30,"8-30",IF($N31&lt;=60,"31-60","60+")))))</f>
        <v/>
      </c>
      <c r="P31" s="28">
        <f>IF($A31="","",IF($B31="","YETİM",IF(COUNTIF(tblKartlar[KartId],$B31)=0,"YETİM","")))</f>
        <v/>
      </c>
      <c r="Q31" s="28">
        <f>IF(OR($A31="",$D31=""),"",IF(OR($D31&amp;"|"&amp;$E31="",COUNTIF(ListeIzinliGecis,$D31&amp;"|"&amp;$E31)&gt;0),"","GEÇERSİZ GEÇİŞ"))</f>
        <v/>
      </c>
      <c r="R31" s="28">
        <f>IF($A31="","",IF(OR($F31="",$G31=""),"",IF(ABS($G31-$F31)&gt;zincirTolerans,"ZİNCİR KIRIK","OK")))</f>
        <v/>
      </c>
      <c r="S31" s="28">
        <f>IF($A31="","",1)</f>
        <v/>
      </c>
    </row>
    <row r="32">
      <c r="A32" s="26" t="inlineStr">
        <is>
          <t>YTK-00027</t>
        </is>
      </c>
      <c r="B32" s="26" t="inlineStr">
        <is>
          <t>MUK-00003</t>
        </is>
      </c>
      <c r="C32" s="29" t="n">
        <v>46242</v>
      </c>
      <c r="D32" s="26" t="inlineStr">
        <is>
          <t>INCELEME</t>
        </is>
      </c>
      <c r="E32" s="26" t="inlineStr">
        <is>
          <t>EKSIK</t>
        </is>
      </c>
      <c r="F32" s="27" t="n">
        <v>780000</v>
      </c>
      <c r="G32" s="27" t="n">
        <v>780000</v>
      </c>
      <c r="H32" s="27" t="n">
        <v>780000</v>
      </c>
      <c r="I32" s="27" t="n">
        <v>0</v>
      </c>
      <c r="J32" s="27" t="n">
        <v>0</v>
      </c>
      <c r="K32" s="27" t="n">
        <v>780000</v>
      </c>
      <c r="L32" s="26" t="inlineStr">
        <is>
          <t>2026-08</t>
        </is>
      </c>
      <c r="M32" s="26" t="inlineStr">
        <is>
          <t>Tasdik kontrol kalemi 27</t>
        </is>
      </c>
      <c r="N32" s="28">
        <f>IF($A32="","",IF($C32="","",raporTarihi-$C32))</f>
        <v/>
      </c>
      <c r="O32" s="28">
        <f>IF($A32="","",IF($N32="","",IF($N32&lt;=7,"0-7",IF($N32&lt;=30,"8-30",IF($N32&lt;=60,"31-60","60+")))))</f>
        <v/>
      </c>
      <c r="P32" s="28">
        <f>IF($A32="","",IF($B32="","YETİM",IF(COUNTIF(tblKartlar[KartId],$B32)=0,"YETİM","")))</f>
        <v/>
      </c>
      <c r="Q32" s="28">
        <f>IF(OR($A32="",$D32=""),"",IF(OR($D32&amp;"|"&amp;$E32="",COUNTIF(ListeIzinliGecis,$D32&amp;"|"&amp;$E32)&gt;0),"","GEÇERSİZ GEÇİŞ"))</f>
        <v/>
      </c>
      <c r="R32" s="28">
        <f>IF($A32="","",IF(OR($F32="",$G32=""),"",IF(ABS($G32-$F32)&gt;zincirTolerans,"ZİNCİR KIRIK","OK")))</f>
        <v/>
      </c>
      <c r="S32" s="28">
        <f>IF($A32="","",1)</f>
        <v/>
      </c>
    </row>
    <row r="33">
      <c r="A33" s="26" t="inlineStr">
        <is>
          <t>YTK-00028</t>
        </is>
      </c>
      <c r="B33" s="26" t="inlineStr">
        <is>
          <t>MUK-00004</t>
        </is>
      </c>
      <c r="C33" s="29" t="n">
        <v>46239</v>
      </c>
      <c r="D33" s="26" t="inlineStr">
        <is>
          <t>INCELEME</t>
        </is>
      </c>
      <c r="E33" s="26" t="inlineStr">
        <is>
          <t>TASDIK</t>
        </is>
      </c>
      <c r="F33" s="27" t="n">
        <v>210000</v>
      </c>
      <c r="G33" s="27" t="n">
        <v>210000</v>
      </c>
      <c r="H33" s="27" t="n">
        <v>210000</v>
      </c>
      <c r="I33" s="27" t="n">
        <v>210000</v>
      </c>
      <c r="J33" s="27" t="n">
        <v>210000</v>
      </c>
      <c r="K33" s="27" t="n">
        <v>210000</v>
      </c>
      <c r="L33" s="26" t="inlineStr">
        <is>
          <t>2026-08</t>
        </is>
      </c>
      <c r="M33" s="26" t="inlineStr">
        <is>
          <t>Tasdik kontrol kalemi 28</t>
        </is>
      </c>
      <c r="N33" s="28">
        <f>IF($A33="","",IF($C33="","",raporTarihi-$C33))</f>
        <v/>
      </c>
      <c r="O33" s="28">
        <f>IF($A33="","",IF($N33="","",IF($N33&lt;=7,"0-7",IF($N33&lt;=30,"8-30",IF($N33&lt;=60,"31-60","60+")))))</f>
        <v/>
      </c>
      <c r="P33" s="28">
        <f>IF($A33="","",IF($B33="","YETİM",IF(COUNTIF(tblKartlar[KartId],$B33)=0,"YETİM","")))</f>
        <v/>
      </c>
      <c r="Q33" s="28">
        <f>IF(OR($A33="",$D33=""),"",IF(OR($D33&amp;"|"&amp;$E33="",COUNTIF(ListeIzinliGecis,$D33&amp;"|"&amp;$E33)&gt;0),"","GEÇERSİZ GEÇİŞ"))</f>
        <v/>
      </c>
      <c r="R33" s="28">
        <f>IF($A33="","",IF(OR($F33="",$G33=""),"",IF(ABS($G33-$F33)&gt;zincirTolerans,"ZİNCİR KIRIK","OK")))</f>
        <v/>
      </c>
      <c r="S33" s="28">
        <f>IF($A33="","",1)</f>
        <v/>
      </c>
    </row>
    <row r="34">
      <c r="A34" s="26" t="n"/>
      <c r="B34" s="26" t="n"/>
      <c r="C34" s="29" t="n"/>
      <c r="D34" s="26" t="n"/>
      <c r="E34" s="26" t="n"/>
      <c r="F34" s="27" t="n"/>
      <c r="G34" s="27" t="n"/>
      <c r="H34" s="27" t="n"/>
      <c r="I34" s="27" t="n"/>
      <c r="J34" s="27" t="n"/>
      <c r="K34" s="27" t="n"/>
      <c r="L34" s="26" t="n"/>
      <c r="M34" s="26" t="n"/>
      <c r="N34" s="28">
        <f>IF($A34="","",IF($C34="","",raporTarihi-$C34))</f>
        <v/>
      </c>
      <c r="O34" s="28">
        <f>IF($A34="","",IF($N34="","",IF($N34&lt;=7,"0-7",IF($N34&lt;=30,"8-30",IF($N34&lt;=60,"31-60","60+")))))</f>
        <v/>
      </c>
      <c r="P34" s="28">
        <f>IF($A34="","",IF($B34="","YETİM",IF(COUNTIF(tblKartlar[KartId],$B34)=0,"YETİM","")))</f>
        <v/>
      </c>
      <c r="Q34" s="28">
        <f>IF(OR($A34="",$D34=""),"",IF(OR($D34&amp;"|"&amp;$E34="",COUNTIF(ListeIzinliGecis,$D34&amp;"|"&amp;$E34)&gt;0),"","GEÇERSİZ GEÇİŞ"))</f>
        <v/>
      </c>
      <c r="R34" s="28">
        <f>IF($A34="","",IF(OR($F34="",$G34=""),"",IF(ABS($G34-$F34)&gt;zincirTolerans,"ZİNCİR KIRIK","OK")))</f>
        <v/>
      </c>
      <c r="S34" s="28">
        <f>IF($A34="","",1)</f>
        <v/>
      </c>
    </row>
    <row r="35">
      <c r="A35" s="26" t="n"/>
      <c r="B35" s="26" t="n"/>
      <c r="C35" s="29" t="n"/>
      <c r="D35" s="26" t="n"/>
      <c r="E35" s="26" t="n"/>
      <c r="F35" s="27" t="n"/>
      <c r="G35" s="27" t="n"/>
      <c r="H35" s="27" t="n"/>
      <c r="I35" s="27" t="n"/>
      <c r="J35" s="27" t="n"/>
      <c r="K35" s="27" t="n"/>
      <c r="L35" s="26" t="n"/>
      <c r="M35" s="26" t="n"/>
      <c r="N35" s="28">
        <f>IF($A35="","",IF($C35="","",raporTarihi-$C35))</f>
        <v/>
      </c>
      <c r="O35" s="28">
        <f>IF($A35="","",IF($N35="","",IF($N35&lt;=7,"0-7",IF($N35&lt;=30,"8-30",IF($N35&lt;=60,"31-60","60+")))))</f>
        <v/>
      </c>
      <c r="P35" s="28">
        <f>IF($A35="","",IF($B35="","YETİM",IF(COUNTIF(tblKartlar[KartId],$B35)=0,"YETİM","")))</f>
        <v/>
      </c>
      <c r="Q35" s="28">
        <f>IF(OR($A35="",$D35=""),"",IF(OR($D35&amp;"|"&amp;$E35="",COUNTIF(ListeIzinliGecis,$D35&amp;"|"&amp;$E35)&gt;0),"","GEÇERSİZ GEÇİŞ"))</f>
        <v/>
      </c>
      <c r="R35" s="28">
        <f>IF($A35="","",IF(OR($F35="",$G35=""),"",IF(ABS($G35-$F35)&gt;zincirTolerans,"ZİNCİR KIRIK","OK")))</f>
        <v/>
      </c>
      <c r="S35" s="28">
        <f>IF($A35="","",1)</f>
        <v/>
      </c>
    </row>
    <row r="36">
      <c r="A36" s="26" t="n"/>
      <c r="B36" s="26" t="n"/>
      <c r="C36" s="29" t="n"/>
      <c r="D36" s="26" t="n"/>
      <c r="E36" s="26" t="n"/>
      <c r="F36" s="27" t="n"/>
      <c r="G36" s="27" t="n"/>
      <c r="H36" s="27" t="n"/>
      <c r="I36" s="27" t="n"/>
      <c r="J36" s="27" t="n"/>
      <c r="K36" s="27" t="n"/>
      <c r="L36" s="26" t="n"/>
      <c r="M36" s="26" t="n"/>
      <c r="N36" s="28">
        <f>IF($A36="","",IF($C36="","",raporTarihi-$C36))</f>
        <v/>
      </c>
      <c r="O36" s="28">
        <f>IF($A36="","",IF($N36="","",IF($N36&lt;=7,"0-7",IF($N36&lt;=30,"8-30",IF($N36&lt;=60,"31-60","60+")))))</f>
        <v/>
      </c>
      <c r="P36" s="28">
        <f>IF($A36="","",IF($B36="","YETİM",IF(COUNTIF(tblKartlar[KartId],$B36)=0,"YETİM","")))</f>
        <v/>
      </c>
      <c r="Q36" s="28">
        <f>IF(OR($A36="",$D36=""),"",IF(OR($D36&amp;"|"&amp;$E36="",COUNTIF(ListeIzinliGecis,$D36&amp;"|"&amp;$E36)&gt;0),"","GEÇERSİZ GEÇİŞ"))</f>
        <v/>
      </c>
      <c r="R36" s="28">
        <f>IF($A36="","",IF(OR($F36="",$G36=""),"",IF(ABS($G36-$F36)&gt;zincirTolerans,"ZİNCİR KIRIK","OK")))</f>
        <v/>
      </c>
      <c r="S36" s="28">
        <f>IF($A36="","",1)</f>
        <v/>
      </c>
    </row>
    <row r="37">
      <c r="A37" s="26" t="n"/>
      <c r="B37" s="26" t="n"/>
      <c r="C37" s="29" t="n"/>
      <c r="D37" s="26" t="n"/>
      <c r="E37" s="26" t="n"/>
      <c r="F37" s="27" t="n"/>
      <c r="G37" s="27" t="n"/>
      <c r="H37" s="27" t="n"/>
      <c r="I37" s="27" t="n"/>
      <c r="J37" s="27" t="n"/>
      <c r="K37" s="27" t="n"/>
      <c r="L37" s="26" t="n"/>
      <c r="M37" s="26" t="n"/>
      <c r="N37" s="28">
        <f>IF($A37="","",IF($C37="","",raporTarihi-$C37))</f>
        <v/>
      </c>
      <c r="O37" s="28">
        <f>IF($A37="","",IF($N37="","",IF($N37&lt;=7,"0-7",IF($N37&lt;=30,"8-30",IF($N37&lt;=60,"31-60","60+")))))</f>
        <v/>
      </c>
      <c r="P37" s="28">
        <f>IF($A37="","",IF($B37="","YETİM",IF(COUNTIF(tblKartlar[KartId],$B37)=0,"YETİM","")))</f>
        <v/>
      </c>
      <c r="Q37" s="28">
        <f>IF(OR($A37="",$D37=""),"",IF(OR($D37&amp;"|"&amp;$E37="",COUNTIF(ListeIzinliGecis,$D37&amp;"|"&amp;$E37)&gt;0),"","GEÇERSİZ GEÇİŞ"))</f>
        <v/>
      </c>
      <c r="R37" s="28">
        <f>IF($A37="","",IF(OR($F37="",$G37=""),"",IF(ABS($G37-$F37)&gt;zincirTolerans,"ZİNCİR KIRIK","OK")))</f>
        <v/>
      </c>
      <c r="S37" s="28">
        <f>IF($A37="","",1)</f>
        <v/>
      </c>
    </row>
    <row r="38">
      <c r="A38" s="26" t="n"/>
      <c r="B38" s="26" t="n"/>
      <c r="C38" s="29" t="n"/>
      <c r="D38" s="26" t="n"/>
      <c r="E38" s="26" t="n"/>
      <c r="F38" s="27" t="n"/>
      <c r="G38" s="27" t="n"/>
      <c r="H38" s="27" t="n"/>
      <c r="I38" s="27" t="n"/>
      <c r="J38" s="27" t="n"/>
      <c r="K38" s="27" t="n"/>
      <c r="L38" s="26" t="n"/>
      <c r="M38" s="26" t="n"/>
      <c r="N38" s="28">
        <f>IF($A38="","",IF($C38="","",raporTarihi-$C38))</f>
        <v/>
      </c>
      <c r="O38" s="28">
        <f>IF($A38="","",IF($N38="","",IF($N38&lt;=7,"0-7",IF($N38&lt;=30,"8-30",IF($N38&lt;=60,"31-60","60+")))))</f>
        <v/>
      </c>
      <c r="P38" s="28">
        <f>IF($A38="","",IF($B38="","YETİM",IF(COUNTIF(tblKartlar[KartId],$B38)=0,"YETİM","")))</f>
        <v/>
      </c>
      <c r="Q38" s="28">
        <f>IF(OR($A38="",$D38=""),"",IF(OR($D38&amp;"|"&amp;$E38="",COUNTIF(ListeIzinliGecis,$D38&amp;"|"&amp;$E38)&gt;0),"","GEÇERSİZ GEÇİŞ"))</f>
        <v/>
      </c>
      <c r="R38" s="28">
        <f>IF($A38="","",IF(OR($F38="",$G38=""),"",IF(ABS($G38-$F38)&gt;zincirTolerans,"ZİNCİR KIRIK","OK")))</f>
        <v/>
      </c>
      <c r="S38" s="28">
        <f>IF($A38="","",1)</f>
        <v/>
      </c>
    </row>
    <row r="39">
      <c r="A39" s="26" t="n"/>
      <c r="B39" s="26" t="n"/>
      <c r="C39" s="29" t="n"/>
      <c r="D39" s="26" t="n"/>
      <c r="E39" s="26" t="n"/>
      <c r="F39" s="27" t="n"/>
      <c r="G39" s="27" t="n"/>
      <c r="H39" s="27" t="n"/>
      <c r="I39" s="27" t="n"/>
      <c r="J39" s="27" t="n"/>
      <c r="K39" s="27" t="n"/>
      <c r="L39" s="26" t="n"/>
      <c r="M39" s="26" t="n"/>
      <c r="N39" s="28">
        <f>IF($A39="","",IF($C39="","",raporTarihi-$C39))</f>
        <v/>
      </c>
      <c r="O39" s="28">
        <f>IF($A39="","",IF($N39="","",IF($N39&lt;=7,"0-7",IF($N39&lt;=30,"8-30",IF($N39&lt;=60,"31-60","60+")))))</f>
        <v/>
      </c>
      <c r="P39" s="28">
        <f>IF($A39="","",IF($B39="","YETİM",IF(COUNTIF(tblKartlar[KartId],$B39)=0,"YETİM","")))</f>
        <v/>
      </c>
      <c r="Q39" s="28">
        <f>IF(OR($A39="",$D39=""),"",IF(OR($D39&amp;"|"&amp;$E39="",COUNTIF(ListeIzinliGecis,$D39&amp;"|"&amp;$E39)&gt;0),"","GEÇERSİZ GEÇİŞ"))</f>
        <v/>
      </c>
      <c r="R39" s="28">
        <f>IF($A39="","",IF(OR($F39="",$G39=""),"",IF(ABS($G39-$F39)&gt;zincirTolerans,"ZİNCİR KIRIK","OK")))</f>
        <v/>
      </c>
      <c r="S39" s="28">
        <f>IF($A39="","",1)</f>
        <v/>
      </c>
    </row>
    <row r="40">
      <c r="A40" s="26" t="n"/>
      <c r="B40" s="26" t="n"/>
      <c r="C40" s="29" t="n"/>
      <c r="D40" s="26" t="n"/>
      <c r="E40" s="26" t="n"/>
      <c r="F40" s="27" t="n"/>
      <c r="G40" s="27" t="n"/>
      <c r="H40" s="27" t="n"/>
      <c r="I40" s="27" t="n"/>
      <c r="J40" s="27" t="n"/>
      <c r="K40" s="27" t="n"/>
      <c r="L40" s="26" t="n"/>
      <c r="M40" s="26" t="n"/>
      <c r="N40" s="28">
        <f>IF($A40="","",IF($C40="","",raporTarihi-$C40))</f>
        <v/>
      </c>
      <c r="O40" s="28">
        <f>IF($A40="","",IF($N40="","",IF($N40&lt;=7,"0-7",IF($N40&lt;=30,"8-30",IF($N40&lt;=60,"31-60","60+")))))</f>
        <v/>
      </c>
      <c r="P40" s="28">
        <f>IF($A40="","",IF($B40="","YETİM",IF(COUNTIF(tblKartlar[KartId],$B40)=0,"YETİM","")))</f>
        <v/>
      </c>
      <c r="Q40" s="28">
        <f>IF(OR($A40="",$D40=""),"",IF(OR($D40&amp;"|"&amp;$E40="",COUNTIF(ListeIzinliGecis,$D40&amp;"|"&amp;$E40)&gt;0),"","GEÇERSİZ GEÇİŞ"))</f>
        <v/>
      </c>
      <c r="R40" s="28">
        <f>IF($A40="","",IF(OR($F40="",$G40=""),"",IF(ABS($G40-$F40)&gt;zincirTolerans,"ZİNCİR KIRIK","OK")))</f>
        <v/>
      </c>
      <c r="S40" s="28">
        <f>IF($A40="","",1)</f>
        <v/>
      </c>
    </row>
    <row r="41">
      <c r="A41" s="26" t="n"/>
      <c r="B41" s="26" t="n"/>
      <c r="C41" s="29" t="n"/>
      <c r="D41" s="26" t="n"/>
      <c r="E41" s="26" t="n"/>
      <c r="F41" s="27" t="n"/>
      <c r="G41" s="27" t="n"/>
      <c r="H41" s="27" t="n"/>
      <c r="I41" s="27" t="n"/>
      <c r="J41" s="27" t="n"/>
      <c r="K41" s="27" t="n"/>
      <c r="L41" s="26" t="n"/>
      <c r="M41" s="26" t="n"/>
      <c r="N41" s="28">
        <f>IF($A41="","",IF($C41="","",raporTarihi-$C41))</f>
        <v/>
      </c>
      <c r="O41" s="28">
        <f>IF($A41="","",IF($N41="","",IF($N41&lt;=7,"0-7",IF($N41&lt;=30,"8-30",IF($N41&lt;=60,"31-60","60+")))))</f>
        <v/>
      </c>
      <c r="P41" s="28">
        <f>IF($A41="","",IF($B41="","YETİM",IF(COUNTIF(tblKartlar[KartId],$B41)=0,"YETİM","")))</f>
        <v/>
      </c>
      <c r="Q41" s="28">
        <f>IF(OR($A41="",$D41=""),"",IF(OR($D41&amp;"|"&amp;$E41="",COUNTIF(ListeIzinliGecis,$D41&amp;"|"&amp;$E41)&gt;0),"","GEÇERSİZ GEÇİŞ"))</f>
        <v/>
      </c>
      <c r="R41" s="28">
        <f>IF($A41="","",IF(OR($F41="",$G41=""),"",IF(ABS($G41-$F41)&gt;zincirTolerans,"ZİNCİR KIRIK","OK")))</f>
        <v/>
      </c>
      <c r="S41" s="28">
        <f>IF($A41="","",1)</f>
        <v/>
      </c>
    </row>
    <row r="42">
      <c r="A42" s="26" t="n"/>
      <c r="B42" s="26" t="n"/>
      <c r="C42" s="29" t="n"/>
      <c r="D42" s="26" t="n"/>
      <c r="E42" s="26" t="n"/>
      <c r="F42" s="27" t="n"/>
      <c r="G42" s="27" t="n"/>
      <c r="H42" s="27" t="n"/>
      <c r="I42" s="27" t="n"/>
      <c r="J42" s="27" t="n"/>
      <c r="K42" s="27" t="n"/>
      <c r="L42" s="26" t="n"/>
      <c r="M42" s="26" t="n"/>
      <c r="N42" s="28">
        <f>IF($A42="","",IF($C42="","",raporTarihi-$C42))</f>
        <v/>
      </c>
      <c r="O42" s="28">
        <f>IF($A42="","",IF($N42="","",IF($N42&lt;=7,"0-7",IF($N42&lt;=30,"8-30",IF($N42&lt;=60,"31-60","60+")))))</f>
        <v/>
      </c>
      <c r="P42" s="28">
        <f>IF($A42="","",IF($B42="","YETİM",IF(COUNTIF(tblKartlar[KartId],$B42)=0,"YETİM","")))</f>
        <v/>
      </c>
      <c r="Q42" s="28">
        <f>IF(OR($A42="",$D42=""),"",IF(OR($D42&amp;"|"&amp;$E42="",COUNTIF(ListeIzinliGecis,$D42&amp;"|"&amp;$E42)&gt;0),"","GEÇERSİZ GEÇİŞ"))</f>
        <v/>
      </c>
      <c r="R42" s="28">
        <f>IF($A42="","",IF(OR($F42="",$G42=""),"",IF(ABS($G42-$F42)&gt;zincirTolerans,"ZİNCİR KIRIK","OK")))</f>
        <v/>
      </c>
      <c r="S42" s="28">
        <f>IF($A42="","",1)</f>
        <v/>
      </c>
    </row>
    <row r="43">
      <c r="A43" s="26" t="n"/>
      <c r="B43" s="26" t="n"/>
      <c r="C43" s="29" t="n"/>
      <c r="D43" s="26" t="n"/>
      <c r="E43" s="26" t="n"/>
      <c r="F43" s="27" t="n"/>
      <c r="G43" s="27" t="n"/>
      <c r="H43" s="27" t="n"/>
      <c r="I43" s="27" t="n"/>
      <c r="J43" s="27" t="n"/>
      <c r="K43" s="27" t="n"/>
      <c r="L43" s="26" t="n"/>
      <c r="M43" s="26" t="n"/>
      <c r="N43" s="28">
        <f>IF($A43="","",IF($C43="","",raporTarihi-$C43))</f>
        <v/>
      </c>
      <c r="O43" s="28">
        <f>IF($A43="","",IF($N43="","",IF($N43&lt;=7,"0-7",IF($N43&lt;=30,"8-30",IF($N43&lt;=60,"31-60","60+")))))</f>
        <v/>
      </c>
      <c r="P43" s="28">
        <f>IF($A43="","",IF($B43="","YETİM",IF(COUNTIF(tblKartlar[KartId],$B43)=0,"YETİM","")))</f>
        <v/>
      </c>
      <c r="Q43" s="28">
        <f>IF(OR($A43="",$D43=""),"",IF(OR($D43&amp;"|"&amp;$E43="",COUNTIF(ListeIzinliGecis,$D43&amp;"|"&amp;$E43)&gt;0),"","GEÇERSİZ GEÇİŞ"))</f>
        <v/>
      </c>
      <c r="R43" s="28">
        <f>IF($A43="","",IF(OR($F43="",$G43=""),"",IF(ABS($G43-$F43)&gt;zincirTolerans,"ZİNCİR KIRIK","OK")))</f>
        <v/>
      </c>
      <c r="S43" s="28">
        <f>IF($A43="","",1)</f>
        <v/>
      </c>
    </row>
    <row r="44">
      <c r="A44" s="26" t="n"/>
      <c r="B44" s="26" t="n"/>
      <c r="C44" s="29" t="n"/>
      <c r="D44" s="26" t="n"/>
      <c r="E44" s="26" t="n"/>
      <c r="F44" s="27" t="n"/>
      <c r="G44" s="27" t="n"/>
      <c r="H44" s="27" t="n"/>
      <c r="I44" s="27" t="n"/>
      <c r="J44" s="27" t="n"/>
      <c r="K44" s="27" t="n"/>
      <c r="L44" s="26" t="n"/>
      <c r="M44" s="26" t="n"/>
      <c r="N44" s="28">
        <f>IF($A44="","",IF($C44="","",raporTarihi-$C44))</f>
        <v/>
      </c>
      <c r="O44" s="28">
        <f>IF($A44="","",IF($N44="","",IF($N44&lt;=7,"0-7",IF($N44&lt;=30,"8-30",IF($N44&lt;=60,"31-60","60+")))))</f>
        <v/>
      </c>
      <c r="P44" s="28">
        <f>IF($A44="","",IF($B44="","YETİM",IF(COUNTIF(tblKartlar[KartId],$B44)=0,"YETİM","")))</f>
        <v/>
      </c>
      <c r="Q44" s="28">
        <f>IF(OR($A44="",$D44=""),"",IF(OR($D44&amp;"|"&amp;$E44="",COUNTIF(ListeIzinliGecis,$D44&amp;"|"&amp;$E44)&gt;0),"","GEÇERSİZ GEÇİŞ"))</f>
        <v/>
      </c>
      <c r="R44" s="28">
        <f>IF($A44="","",IF(OR($F44="",$G44=""),"",IF(ABS($G44-$F44)&gt;zincirTolerans,"ZİNCİR KIRIK","OK")))</f>
        <v/>
      </c>
      <c r="S44" s="28">
        <f>IF($A44="","",1)</f>
        <v/>
      </c>
    </row>
    <row r="45">
      <c r="A45" s="26" t="n"/>
      <c r="B45" s="26" t="n"/>
      <c r="C45" s="29" t="n"/>
      <c r="D45" s="26" t="n"/>
      <c r="E45" s="26" t="n"/>
      <c r="F45" s="27" t="n"/>
      <c r="G45" s="27" t="n"/>
      <c r="H45" s="27" t="n"/>
      <c r="I45" s="27" t="n"/>
      <c r="J45" s="27" t="n"/>
      <c r="K45" s="27" t="n"/>
      <c r="L45" s="26" t="n"/>
      <c r="M45" s="26" t="n"/>
      <c r="N45" s="28">
        <f>IF($A45="","",IF($C45="","",raporTarihi-$C45))</f>
        <v/>
      </c>
      <c r="O45" s="28">
        <f>IF($A45="","",IF($N45="","",IF($N45&lt;=7,"0-7",IF($N45&lt;=30,"8-30",IF($N45&lt;=60,"31-60","60+")))))</f>
        <v/>
      </c>
      <c r="P45" s="28">
        <f>IF($A45="","",IF($B45="","YETİM",IF(COUNTIF(tblKartlar[KartId],$B45)=0,"YETİM","")))</f>
        <v/>
      </c>
      <c r="Q45" s="28">
        <f>IF(OR($A45="",$D45=""),"",IF(OR($D45&amp;"|"&amp;$E45="",COUNTIF(ListeIzinliGecis,$D45&amp;"|"&amp;$E45)&gt;0),"","GEÇERSİZ GEÇİŞ"))</f>
        <v/>
      </c>
      <c r="R45" s="28">
        <f>IF($A45="","",IF(OR($F45="",$G45=""),"",IF(ABS($G45-$F45)&gt;zincirTolerans,"ZİNCİR KIRIK","OK")))</f>
        <v/>
      </c>
      <c r="S45" s="28">
        <f>IF($A45="","",1)</f>
        <v/>
      </c>
    </row>
    <row r="46">
      <c r="A46" s="26" t="n"/>
      <c r="B46" s="26" t="n"/>
      <c r="C46" s="29" t="n"/>
      <c r="D46" s="26" t="n"/>
      <c r="E46" s="26" t="n"/>
      <c r="F46" s="27" t="n"/>
      <c r="G46" s="27" t="n"/>
      <c r="H46" s="27" t="n"/>
      <c r="I46" s="27" t="n"/>
      <c r="J46" s="27" t="n"/>
      <c r="K46" s="27" t="n"/>
      <c r="L46" s="26" t="n"/>
      <c r="M46" s="26" t="n"/>
      <c r="N46" s="28">
        <f>IF($A46="","",IF($C46="","",raporTarihi-$C46))</f>
        <v/>
      </c>
      <c r="O46" s="28">
        <f>IF($A46="","",IF($N46="","",IF($N46&lt;=7,"0-7",IF($N46&lt;=30,"8-30",IF($N46&lt;=60,"31-60","60+")))))</f>
        <v/>
      </c>
      <c r="P46" s="28">
        <f>IF($A46="","",IF($B46="","YETİM",IF(COUNTIF(tblKartlar[KartId],$B46)=0,"YETİM","")))</f>
        <v/>
      </c>
      <c r="Q46" s="28">
        <f>IF(OR($A46="",$D46=""),"",IF(OR($D46&amp;"|"&amp;$E46="",COUNTIF(ListeIzinliGecis,$D46&amp;"|"&amp;$E46)&gt;0),"","GEÇERSİZ GEÇİŞ"))</f>
        <v/>
      </c>
      <c r="R46" s="28">
        <f>IF($A46="","",IF(OR($F46="",$G46=""),"",IF(ABS($G46-$F46)&gt;zincirTolerans,"ZİNCİR KIRIK","OK")))</f>
        <v/>
      </c>
      <c r="S46" s="28">
        <f>IF($A46="","",1)</f>
        <v/>
      </c>
    </row>
    <row r="47">
      <c r="A47" s="26" t="n"/>
      <c r="B47" s="26" t="n"/>
      <c r="C47" s="29" t="n"/>
      <c r="D47" s="26" t="n"/>
      <c r="E47" s="26" t="n"/>
      <c r="F47" s="27" t="n"/>
      <c r="G47" s="27" t="n"/>
      <c r="H47" s="27" t="n"/>
      <c r="I47" s="27" t="n"/>
      <c r="J47" s="27" t="n"/>
      <c r="K47" s="27" t="n"/>
      <c r="L47" s="26" t="n"/>
      <c r="M47" s="26" t="n"/>
      <c r="N47" s="28">
        <f>IF($A47="","",IF($C47="","",raporTarihi-$C47))</f>
        <v/>
      </c>
      <c r="O47" s="28">
        <f>IF($A47="","",IF($N47="","",IF($N47&lt;=7,"0-7",IF($N47&lt;=30,"8-30",IF($N47&lt;=60,"31-60","60+")))))</f>
        <v/>
      </c>
      <c r="P47" s="28">
        <f>IF($A47="","",IF($B47="","YETİM",IF(COUNTIF(tblKartlar[KartId],$B47)=0,"YETİM","")))</f>
        <v/>
      </c>
      <c r="Q47" s="28">
        <f>IF(OR($A47="",$D47=""),"",IF(OR($D47&amp;"|"&amp;$E47="",COUNTIF(ListeIzinliGecis,$D47&amp;"|"&amp;$E47)&gt;0),"","GEÇERSİZ GEÇİŞ"))</f>
        <v/>
      </c>
      <c r="R47" s="28">
        <f>IF($A47="","",IF(OR($F47="",$G47=""),"",IF(ABS($G47-$F47)&gt;zincirTolerans,"ZİNCİR KIRIK","OK")))</f>
        <v/>
      </c>
      <c r="S47" s="28">
        <f>IF($A47="","",1)</f>
        <v/>
      </c>
    </row>
    <row r="48">
      <c r="A48" s="26" t="n"/>
      <c r="B48" s="26" t="n"/>
      <c r="C48" s="29" t="n"/>
      <c r="D48" s="26" t="n"/>
      <c r="E48" s="26" t="n"/>
      <c r="F48" s="27" t="n"/>
      <c r="G48" s="27" t="n"/>
      <c r="H48" s="27" t="n"/>
      <c r="I48" s="27" t="n"/>
      <c r="J48" s="27" t="n"/>
      <c r="K48" s="27" t="n"/>
      <c r="L48" s="26" t="n"/>
      <c r="M48" s="26" t="n"/>
      <c r="N48" s="28">
        <f>IF($A48="","",IF($C48="","",raporTarihi-$C48))</f>
        <v/>
      </c>
      <c r="O48" s="28">
        <f>IF($A48="","",IF($N48="","",IF($N48&lt;=7,"0-7",IF($N48&lt;=30,"8-30",IF($N48&lt;=60,"31-60","60+")))))</f>
        <v/>
      </c>
      <c r="P48" s="28">
        <f>IF($A48="","",IF($B48="","YETİM",IF(COUNTIF(tblKartlar[KartId],$B48)=0,"YETİM","")))</f>
        <v/>
      </c>
      <c r="Q48" s="28">
        <f>IF(OR($A48="",$D48=""),"",IF(OR($D48&amp;"|"&amp;$E48="",COUNTIF(ListeIzinliGecis,$D48&amp;"|"&amp;$E48)&gt;0),"","GEÇERSİZ GEÇİŞ"))</f>
        <v/>
      </c>
      <c r="R48" s="28">
        <f>IF($A48="","",IF(OR($F48="",$G48=""),"",IF(ABS($G48-$F48)&gt;zincirTolerans,"ZİNCİR KIRIK","OK")))</f>
        <v/>
      </c>
      <c r="S48" s="28">
        <f>IF($A48="","",1)</f>
        <v/>
      </c>
    </row>
    <row r="49">
      <c r="A49" s="26" t="n"/>
      <c r="B49" s="26" t="n"/>
      <c r="C49" s="29" t="n"/>
      <c r="D49" s="26" t="n"/>
      <c r="E49" s="26" t="n"/>
      <c r="F49" s="27" t="n"/>
      <c r="G49" s="27" t="n"/>
      <c r="H49" s="27" t="n"/>
      <c r="I49" s="27" t="n"/>
      <c r="J49" s="27" t="n"/>
      <c r="K49" s="27" t="n"/>
      <c r="L49" s="26" t="n"/>
      <c r="M49" s="26" t="n"/>
      <c r="N49" s="28">
        <f>IF($A49="","",IF($C49="","",raporTarihi-$C49))</f>
        <v/>
      </c>
      <c r="O49" s="28">
        <f>IF($A49="","",IF($N49="","",IF($N49&lt;=7,"0-7",IF($N49&lt;=30,"8-30",IF($N49&lt;=60,"31-60","60+")))))</f>
        <v/>
      </c>
      <c r="P49" s="28">
        <f>IF($A49="","",IF($B49="","YETİM",IF(COUNTIF(tblKartlar[KartId],$B49)=0,"YETİM","")))</f>
        <v/>
      </c>
      <c r="Q49" s="28">
        <f>IF(OR($A49="",$D49=""),"",IF(OR($D49&amp;"|"&amp;$E49="",COUNTIF(ListeIzinliGecis,$D49&amp;"|"&amp;$E49)&gt;0),"","GEÇERSİZ GEÇİŞ"))</f>
        <v/>
      </c>
      <c r="R49" s="28">
        <f>IF($A49="","",IF(OR($F49="",$G49=""),"",IF(ABS($G49-$F49)&gt;zincirTolerans,"ZİNCİR KIRIK","OK")))</f>
        <v/>
      </c>
      <c r="S49" s="28">
        <f>IF($A49="","",1)</f>
        <v/>
      </c>
    </row>
    <row r="50">
      <c r="A50" s="26" t="n"/>
      <c r="B50" s="26" t="n"/>
      <c r="C50" s="29" t="n"/>
      <c r="D50" s="26" t="n"/>
      <c r="E50" s="26" t="n"/>
      <c r="F50" s="27" t="n"/>
      <c r="G50" s="27" t="n"/>
      <c r="H50" s="27" t="n"/>
      <c r="I50" s="27" t="n"/>
      <c r="J50" s="27" t="n"/>
      <c r="K50" s="27" t="n"/>
      <c r="L50" s="26" t="n"/>
      <c r="M50" s="26" t="n"/>
      <c r="N50" s="28">
        <f>IF($A50="","",IF($C50="","",raporTarihi-$C50))</f>
        <v/>
      </c>
      <c r="O50" s="28">
        <f>IF($A50="","",IF($N50="","",IF($N50&lt;=7,"0-7",IF($N50&lt;=30,"8-30",IF($N50&lt;=60,"31-60","60+")))))</f>
        <v/>
      </c>
      <c r="P50" s="28">
        <f>IF($A50="","",IF($B50="","YETİM",IF(COUNTIF(tblKartlar[KartId],$B50)=0,"YETİM","")))</f>
        <v/>
      </c>
      <c r="Q50" s="28">
        <f>IF(OR($A50="",$D50=""),"",IF(OR($D50&amp;"|"&amp;$E50="",COUNTIF(ListeIzinliGecis,$D50&amp;"|"&amp;$E50)&gt;0),"","GEÇERSİZ GEÇİŞ"))</f>
        <v/>
      </c>
      <c r="R50" s="28">
        <f>IF($A50="","",IF(OR($F50="",$G50=""),"",IF(ABS($G50-$F50)&gt;zincirTolerans,"ZİNCİR KIRIK","OK")))</f>
        <v/>
      </c>
      <c r="S50" s="28">
        <f>IF($A50="","",1)</f>
        <v/>
      </c>
    </row>
    <row r="51">
      <c r="A51" s="26" t="n"/>
      <c r="B51" s="26" t="n"/>
      <c r="C51" s="29" t="n"/>
      <c r="D51" s="26" t="n"/>
      <c r="E51" s="26" t="n"/>
      <c r="F51" s="27" t="n"/>
      <c r="G51" s="27" t="n"/>
      <c r="H51" s="27" t="n"/>
      <c r="I51" s="27" t="n"/>
      <c r="J51" s="27" t="n"/>
      <c r="K51" s="27" t="n"/>
      <c r="L51" s="26" t="n"/>
      <c r="M51" s="26" t="n"/>
      <c r="N51" s="28">
        <f>IF($A51="","",IF($C51="","",raporTarihi-$C51))</f>
        <v/>
      </c>
      <c r="O51" s="28">
        <f>IF($A51="","",IF($N51="","",IF($N51&lt;=7,"0-7",IF($N51&lt;=30,"8-30",IF($N51&lt;=60,"31-60","60+")))))</f>
        <v/>
      </c>
      <c r="P51" s="28">
        <f>IF($A51="","",IF($B51="","YETİM",IF(COUNTIF(tblKartlar[KartId],$B51)=0,"YETİM","")))</f>
        <v/>
      </c>
      <c r="Q51" s="28">
        <f>IF(OR($A51="",$D51=""),"",IF(OR($D51&amp;"|"&amp;$E51="",COUNTIF(ListeIzinliGecis,$D51&amp;"|"&amp;$E51)&gt;0),"","GEÇERSİZ GEÇİŞ"))</f>
        <v/>
      </c>
      <c r="R51" s="28">
        <f>IF($A51="","",IF(OR($F51="",$G51=""),"",IF(ABS($G51-$F51)&gt;zincirTolerans,"ZİNCİR KIRIK","OK")))</f>
        <v/>
      </c>
      <c r="S51" s="28">
        <f>IF($A51="","",1)</f>
        <v/>
      </c>
    </row>
    <row r="52">
      <c r="A52" s="26" t="n"/>
      <c r="B52" s="26" t="n"/>
      <c r="C52" s="29" t="n"/>
      <c r="D52" s="26" t="n"/>
      <c r="E52" s="26" t="n"/>
      <c r="F52" s="27" t="n"/>
      <c r="G52" s="27" t="n"/>
      <c r="H52" s="27" t="n"/>
      <c r="I52" s="27" t="n"/>
      <c r="J52" s="27" t="n"/>
      <c r="K52" s="27" t="n"/>
      <c r="L52" s="26" t="n"/>
      <c r="M52" s="26" t="n"/>
      <c r="N52" s="28">
        <f>IF($A52="","",IF($C52="","",raporTarihi-$C52))</f>
        <v/>
      </c>
      <c r="O52" s="28">
        <f>IF($A52="","",IF($N52="","",IF($N52&lt;=7,"0-7",IF($N52&lt;=30,"8-30",IF($N52&lt;=60,"31-60","60+")))))</f>
        <v/>
      </c>
      <c r="P52" s="28">
        <f>IF($A52="","",IF($B52="","YETİM",IF(COUNTIF(tblKartlar[KartId],$B52)=0,"YETİM","")))</f>
        <v/>
      </c>
      <c r="Q52" s="28">
        <f>IF(OR($A52="",$D52=""),"",IF(OR($D52&amp;"|"&amp;$E52="",COUNTIF(ListeIzinliGecis,$D52&amp;"|"&amp;$E52)&gt;0),"","GEÇERSİZ GEÇİŞ"))</f>
        <v/>
      </c>
      <c r="R52" s="28">
        <f>IF($A52="","",IF(OR($F52="",$G52=""),"",IF(ABS($G52-$F52)&gt;zincirTolerans,"ZİNCİR KIRIK","OK")))</f>
        <v/>
      </c>
      <c r="S52" s="28">
        <f>IF($A52="","",1)</f>
        <v/>
      </c>
    </row>
    <row r="53">
      <c r="A53" s="26" t="n"/>
      <c r="B53" s="26" t="n"/>
      <c r="C53" s="29" t="n"/>
      <c r="D53" s="26" t="n"/>
      <c r="E53" s="26" t="n"/>
      <c r="F53" s="27" t="n"/>
      <c r="G53" s="27" t="n"/>
      <c r="H53" s="27" t="n"/>
      <c r="I53" s="27" t="n"/>
      <c r="J53" s="27" t="n"/>
      <c r="K53" s="27" t="n"/>
      <c r="L53" s="26" t="n"/>
      <c r="M53" s="26" t="n"/>
      <c r="N53" s="28">
        <f>IF($A53="","",IF($C53="","",raporTarihi-$C53))</f>
        <v/>
      </c>
      <c r="O53" s="28">
        <f>IF($A53="","",IF($N53="","",IF($N53&lt;=7,"0-7",IF($N53&lt;=30,"8-30",IF($N53&lt;=60,"31-60","60+")))))</f>
        <v/>
      </c>
      <c r="P53" s="28">
        <f>IF($A53="","",IF($B53="","YETİM",IF(COUNTIF(tblKartlar[KartId],$B53)=0,"YETİM","")))</f>
        <v/>
      </c>
      <c r="Q53" s="28">
        <f>IF(OR($A53="",$D53=""),"",IF(OR($D53&amp;"|"&amp;$E53="",COUNTIF(ListeIzinliGecis,$D53&amp;"|"&amp;$E53)&gt;0),"","GEÇERSİZ GEÇİŞ"))</f>
        <v/>
      </c>
      <c r="R53" s="28">
        <f>IF($A53="","",IF(OR($F53="",$G53=""),"",IF(ABS($G53-$F53)&gt;zincirTolerans,"ZİNCİR KIRIK","OK")))</f>
        <v/>
      </c>
      <c r="S53" s="28">
        <f>IF($A53="","",1)</f>
        <v/>
      </c>
    </row>
    <row r="54">
      <c r="A54" s="26" t="n"/>
      <c r="B54" s="26" t="n"/>
      <c r="C54" s="29" t="n"/>
      <c r="D54" s="26" t="n"/>
      <c r="E54" s="26" t="n"/>
      <c r="F54" s="27" t="n"/>
      <c r="G54" s="27" t="n"/>
      <c r="H54" s="27" t="n"/>
      <c r="I54" s="27" t="n"/>
      <c r="J54" s="27" t="n"/>
      <c r="K54" s="27" t="n"/>
      <c r="L54" s="26" t="n"/>
      <c r="M54" s="26" t="n"/>
      <c r="N54" s="28">
        <f>IF($A54="","",IF($C54="","",raporTarihi-$C54))</f>
        <v/>
      </c>
      <c r="O54" s="28">
        <f>IF($A54="","",IF($N54="","",IF($N54&lt;=7,"0-7",IF($N54&lt;=30,"8-30",IF($N54&lt;=60,"31-60","60+")))))</f>
        <v/>
      </c>
      <c r="P54" s="28">
        <f>IF($A54="","",IF($B54="","YETİM",IF(COUNTIF(tblKartlar[KartId],$B54)=0,"YETİM","")))</f>
        <v/>
      </c>
      <c r="Q54" s="28">
        <f>IF(OR($A54="",$D54=""),"",IF(OR($D54&amp;"|"&amp;$E54="",COUNTIF(ListeIzinliGecis,$D54&amp;"|"&amp;$E54)&gt;0),"","GEÇERSİZ GEÇİŞ"))</f>
        <v/>
      </c>
      <c r="R54" s="28">
        <f>IF($A54="","",IF(OR($F54="",$G54=""),"",IF(ABS($G54-$F54)&gt;zincirTolerans,"ZİNCİR KIRIK","OK")))</f>
        <v/>
      </c>
      <c r="S54" s="28">
        <f>IF($A54="","",1)</f>
        <v/>
      </c>
    </row>
    <row r="55">
      <c r="A55" s="26" t="n"/>
      <c r="B55" s="26" t="n"/>
      <c r="C55" s="29" t="n"/>
      <c r="D55" s="26" t="n"/>
      <c r="E55" s="26" t="n"/>
      <c r="F55" s="27" t="n"/>
      <c r="G55" s="27" t="n"/>
      <c r="H55" s="27" t="n"/>
      <c r="I55" s="27" t="n"/>
      <c r="J55" s="27" t="n"/>
      <c r="K55" s="27" t="n"/>
      <c r="L55" s="26" t="n"/>
      <c r="M55" s="26" t="n"/>
      <c r="N55" s="28">
        <f>IF($A55="","",IF($C55="","",raporTarihi-$C55))</f>
        <v/>
      </c>
      <c r="O55" s="28">
        <f>IF($A55="","",IF($N55="","",IF($N55&lt;=7,"0-7",IF($N55&lt;=30,"8-30",IF($N55&lt;=60,"31-60","60+")))))</f>
        <v/>
      </c>
      <c r="P55" s="28">
        <f>IF($A55="","",IF($B55="","YETİM",IF(COUNTIF(tblKartlar[KartId],$B55)=0,"YETİM","")))</f>
        <v/>
      </c>
      <c r="Q55" s="28">
        <f>IF(OR($A55="",$D55=""),"",IF(OR($D55&amp;"|"&amp;$E55="",COUNTIF(ListeIzinliGecis,$D55&amp;"|"&amp;$E55)&gt;0),"","GEÇERSİZ GEÇİŞ"))</f>
        <v/>
      </c>
      <c r="R55" s="28">
        <f>IF($A55="","",IF(OR($F55="",$G55=""),"",IF(ABS($G55-$F55)&gt;zincirTolerans,"ZİNCİR KIRIK","OK")))</f>
        <v/>
      </c>
      <c r="S55" s="28">
        <f>IF($A55="","",1)</f>
        <v/>
      </c>
    </row>
    <row r="56">
      <c r="A56" s="26" t="n"/>
      <c r="B56" s="26" t="n"/>
      <c r="C56" s="29" t="n"/>
      <c r="D56" s="26" t="n"/>
      <c r="E56" s="26" t="n"/>
      <c r="F56" s="27" t="n"/>
      <c r="G56" s="27" t="n"/>
      <c r="H56" s="27" t="n"/>
      <c r="I56" s="27" t="n"/>
      <c r="J56" s="27" t="n"/>
      <c r="K56" s="27" t="n"/>
      <c r="L56" s="26" t="n"/>
      <c r="M56" s="26" t="n"/>
      <c r="N56" s="28">
        <f>IF($A56="","",IF($C56="","",raporTarihi-$C56))</f>
        <v/>
      </c>
      <c r="O56" s="28">
        <f>IF($A56="","",IF($N56="","",IF($N56&lt;=7,"0-7",IF($N56&lt;=30,"8-30",IF($N56&lt;=60,"31-60","60+")))))</f>
        <v/>
      </c>
      <c r="P56" s="28">
        <f>IF($A56="","",IF($B56="","YETİM",IF(COUNTIF(tblKartlar[KartId],$B56)=0,"YETİM","")))</f>
        <v/>
      </c>
      <c r="Q56" s="28">
        <f>IF(OR($A56="",$D56=""),"",IF(OR($D56&amp;"|"&amp;$E56="",COUNTIF(ListeIzinliGecis,$D56&amp;"|"&amp;$E56)&gt;0),"","GEÇERSİZ GEÇİŞ"))</f>
        <v/>
      </c>
      <c r="R56" s="28">
        <f>IF($A56="","",IF(OR($F56="",$G56=""),"",IF(ABS($G56-$F56)&gt;zincirTolerans,"ZİNCİR KIRIK","OK")))</f>
        <v/>
      </c>
      <c r="S56" s="28">
        <f>IF($A56="","",1)</f>
        <v/>
      </c>
    </row>
    <row r="57">
      <c r="A57" s="26" t="n"/>
      <c r="B57" s="26" t="n"/>
      <c r="C57" s="29" t="n"/>
      <c r="D57" s="26" t="n"/>
      <c r="E57" s="26" t="n"/>
      <c r="F57" s="27" t="n"/>
      <c r="G57" s="27" t="n"/>
      <c r="H57" s="27" t="n"/>
      <c r="I57" s="27" t="n"/>
      <c r="J57" s="27" t="n"/>
      <c r="K57" s="27" t="n"/>
      <c r="L57" s="26" t="n"/>
      <c r="M57" s="26" t="n"/>
      <c r="N57" s="28">
        <f>IF($A57="","",IF($C57="","",raporTarihi-$C57))</f>
        <v/>
      </c>
      <c r="O57" s="28">
        <f>IF($A57="","",IF($N57="","",IF($N57&lt;=7,"0-7",IF($N57&lt;=30,"8-30",IF($N57&lt;=60,"31-60","60+")))))</f>
        <v/>
      </c>
      <c r="P57" s="28">
        <f>IF($A57="","",IF($B57="","YETİM",IF(COUNTIF(tblKartlar[KartId],$B57)=0,"YETİM","")))</f>
        <v/>
      </c>
      <c r="Q57" s="28">
        <f>IF(OR($A57="",$D57=""),"",IF(OR($D57&amp;"|"&amp;$E57="",COUNTIF(ListeIzinliGecis,$D57&amp;"|"&amp;$E57)&gt;0),"","GEÇERSİZ GEÇİŞ"))</f>
        <v/>
      </c>
      <c r="R57" s="28">
        <f>IF($A57="","",IF(OR($F57="",$G57=""),"",IF(ABS($G57-$F57)&gt;zincirTolerans,"ZİNCİR KIRIK","OK")))</f>
        <v/>
      </c>
      <c r="S57" s="28">
        <f>IF($A57="","",1)</f>
        <v/>
      </c>
    </row>
    <row r="58">
      <c r="A58" s="26" t="n"/>
      <c r="B58" s="26" t="n"/>
      <c r="C58" s="29" t="n"/>
      <c r="D58" s="26" t="n"/>
      <c r="E58" s="26" t="n"/>
      <c r="F58" s="27" t="n"/>
      <c r="G58" s="27" t="n"/>
      <c r="H58" s="27" t="n"/>
      <c r="I58" s="27" t="n"/>
      <c r="J58" s="27" t="n"/>
      <c r="K58" s="27" t="n"/>
      <c r="L58" s="26" t="n"/>
      <c r="M58" s="26" t="n"/>
      <c r="N58" s="28">
        <f>IF($A58="","",IF($C58="","",raporTarihi-$C58))</f>
        <v/>
      </c>
      <c r="O58" s="28">
        <f>IF($A58="","",IF($N58="","",IF($N58&lt;=7,"0-7",IF($N58&lt;=30,"8-30",IF($N58&lt;=60,"31-60","60+")))))</f>
        <v/>
      </c>
      <c r="P58" s="28">
        <f>IF($A58="","",IF($B58="","YETİM",IF(COUNTIF(tblKartlar[KartId],$B58)=0,"YETİM","")))</f>
        <v/>
      </c>
      <c r="Q58" s="28">
        <f>IF(OR($A58="",$D58=""),"",IF(OR($D58&amp;"|"&amp;$E58="",COUNTIF(ListeIzinliGecis,$D58&amp;"|"&amp;$E58)&gt;0),"","GEÇERSİZ GEÇİŞ"))</f>
        <v/>
      </c>
      <c r="R58" s="28">
        <f>IF($A58="","",IF(OR($F58="",$G58=""),"",IF(ABS($G58-$F58)&gt;zincirTolerans,"ZİNCİR KIRIK","OK")))</f>
        <v/>
      </c>
      <c r="S58" s="28">
        <f>IF($A58="","",1)</f>
        <v/>
      </c>
    </row>
    <row r="59">
      <c r="A59" s="26" t="n"/>
      <c r="B59" s="26" t="n"/>
      <c r="C59" s="29" t="n"/>
      <c r="D59" s="26" t="n"/>
      <c r="E59" s="26" t="n"/>
      <c r="F59" s="27" t="n"/>
      <c r="G59" s="27" t="n"/>
      <c r="H59" s="27" t="n"/>
      <c r="I59" s="27" t="n"/>
      <c r="J59" s="27" t="n"/>
      <c r="K59" s="27" t="n"/>
      <c r="L59" s="26" t="n"/>
      <c r="M59" s="26" t="n"/>
      <c r="N59" s="28">
        <f>IF($A59="","",IF($C59="","",raporTarihi-$C59))</f>
        <v/>
      </c>
      <c r="O59" s="28">
        <f>IF($A59="","",IF($N59="","",IF($N59&lt;=7,"0-7",IF($N59&lt;=30,"8-30",IF($N59&lt;=60,"31-60","60+")))))</f>
        <v/>
      </c>
      <c r="P59" s="28">
        <f>IF($A59="","",IF($B59="","YETİM",IF(COUNTIF(tblKartlar[KartId],$B59)=0,"YETİM","")))</f>
        <v/>
      </c>
      <c r="Q59" s="28">
        <f>IF(OR($A59="",$D59=""),"",IF(OR($D59&amp;"|"&amp;$E59="",COUNTIF(ListeIzinliGecis,$D59&amp;"|"&amp;$E59)&gt;0),"","GEÇERSİZ GEÇİŞ"))</f>
        <v/>
      </c>
      <c r="R59" s="28">
        <f>IF($A59="","",IF(OR($F59="",$G59=""),"",IF(ABS($G59-$F59)&gt;zincirTolerans,"ZİNCİR KIRIK","OK")))</f>
        <v/>
      </c>
      <c r="S59" s="28">
        <f>IF($A59="","",1)</f>
        <v/>
      </c>
    </row>
    <row r="60">
      <c r="A60" s="26" t="n"/>
      <c r="B60" s="26" t="n"/>
      <c r="C60" s="29" t="n"/>
      <c r="D60" s="26" t="n"/>
      <c r="E60" s="26" t="n"/>
      <c r="F60" s="27" t="n"/>
      <c r="G60" s="27" t="n"/>
      <c r="H60" s="27" t="n"/>
      <c r="I60" s="27" t="n"/>
      <c r="J60" s="27" t="n"/>
      <c r="K60" s="27" t="n"/>
      <c r="L60" s="26" t="n"/>
      <c r="M60" s="26" t="n"/>
      <c r="N60" s="28">
        <f>IF($A60="","",IF($C60="","",raporTarihi-$C60))</f>
        <v/>
      </c>
      <c r="O60" s="28">
        <f>IF($A60="","",IF($N60="","",IF($N60&lt;=7,"0-7",IF($N60&lt;=30,"8-30",IF($N60&lt;=60,"31-60","60+")))))</f>
        <v/>
      </c>
      <c r="P60" s="28">
        <f>IF($A60="","",IF($B60="","YETİM",IF(COUNTIF(tblKartlar[KartId],$B60)=0,"YETİM","")))</f>
        <v/>
      </c>
      <c r="Q60" s="28">
        <f>IF(OR($A60="",$D60=""),"",IF(OR($D60&amp;"|"&amp;$E60="",COUNTIF(ListeIzinliGecis,$D60&amp;"|"&amp;$E60)&gt;0),"","GEÇERSİZ GEÇİŞ"))</f>
        <v/>
      </c>
      <c r="R60" s="28">
        <f>IF($A60="","",IF(OR($F60="",$G60=""),"",IF(ABS($G60-$F60)&gt;zincirTolerans,"ZİNCİR KIRIK","OK")))</f>
        <v/>
      </c>
      <c r="S60" s="28">
        <f>IF($A60="","",1)</f>
        <v/>
      </c>
    </row>
    <row r="61">
      <c r="A61" s="26" t="n"/>
      <c r="B61" s="26" t="n"/>
      <c r="C61" s="29" t="n"/>
      <c r="D61" s="26" t="n"/>
      <c r="E61" s="26" t="n"/>
      <c r="F61" s="27" t="n"/>
      <c r="G61" s="27" t="n"/>
      <c r="H61" s="27" t="n"/>
      <c r="I61" s="27" t="n"/>
      <c r="J61" s="27" t="n"/>
      <c r="K61" s="27" t="n"/>
      <c r="L61" s="26" t="n"/>
      <c r="M61" s="26" t="n"/>
      <c r="N61" s="28">
        <f>IF($A61="","",IF($C61="","",raporTarihi-$C61))</f>
        <v/>
      </c>
      <c r="O61" s="28">
        <f>IF($A61="","",IF($N61="","",IF($N61&lt;=7,"0-7",IF($N61&lt;=30,"8-30",IF($N61&lt;=60,"31-60","60+")))))</f>
        <v/>
      </c>
      <c r="P61" s="28">
        <f>IF($A61="","",IF($B61="","YETİM",IF(COUNTIF(tblKartlar[KartId],$B61)=0,"YETİM","")))</f>
        <v/>
      </c>
      <c r="Q61" s="28">
        <f>IF(OR($A61="",$D61=""),"",IF(OR($D61&amp;"|"&amp;$E61="",COUNTIF(ListeIzinliGecis,$D61&amp;"|"&amp;$E61)&gt;0),"","GEÇERSİZ GEÇİŞ"))</f>
        <v/>
      </c>
      <c r="R61" s="28">
        <f>IF($A61="","",IF(OR($F61="",$G61=""),"",IF(ABS($G61-$F61)&gt;zincirTolerans,"ZİNCİR KIRIK","OK")))</f>
        <v/>
      </c>
      <c r="S61" s="28">
        <f>IF($A61="","",1)</f>
        <v/>
      </c>
    </row>
    <row r="62">
      <c r="A62" s="26" t="n"/>
      <c r="B62" s="26" t="n"/>
      <c r="C62" s="29" t="n"/>
      <c r="D62" s="26" t="n"/>
      <c r="E62" s="26" t="n"/>
      <c r="F62" s="27" t="n"/>
      <c r="G62" s="27" t="n"/>
      <c r="H62" s="27" t="n"/>
      <c r="I62" s="27" t="n"/>
      <c r="J62" s="27" t="n"/>
      <c r="K62" s="27" t="n"/>
      <c r="L62" s="26" t="n"/>
      <c r="M62" s="26" t="n"/>
      <c r="N62" s="28">
        <f>IF($A62="","",IF($C62="","",raporTarihi-$C62))</f>
        <v/>
      </c>
      <c r="O62" s="28">
        <f>IF($A62="","",IF($N62="","",IF($N62&lt;=7,"0-7",IF($N62&lt;=30,"8-30",IF($N62&lt;=60,"31-60","60+")))))</f>
        <v/>
      </c>
      <c r="P62" s="28">
        <f>IF($A62="","",IF($B62="","YETİM",IF(COUNTIF(tblKartlar[KartId],$B62)=0,"YETİM","")))</f>
        <v/>
      </c>
      <c r="Q62" s="28">
        <f>IF(OR($A62="",$D62=""),"",IF(OR($D62&amp;"|"&amp;$E62="",COUNTIF(ListeIzinliGecis,$D62&amp;"|"&amp;$E62)&gt;0),"","GEÇERSİZ GEÇİŞ"))</f>
        <v/>
      </c>
      <c r="R62" s="28">
        <f>IF($A62="","",IF(OR($F62="",$G62=""),"",IF(ABS($G62-$F62)&gt;zincirTolerans,"ZİNCİR KIRIK","OK")))</f>
        <v/>
      </c>
      <c r="S62" s="28">
        <f>IF($A62="","",1)</f>
        <v/>
      </c>
    </row>
    <row r="63">
      <c r="A63" s="26" t="n"/>
      <c r="B63" s="26" t="n"/>
      <c r="C63" s="29" t="n"/>
      <c r="D63" s="26" t="n"/>
      <c r="E63" s="26" t="n"/>
      <c r="F63" s="27" t="n"/>
      <c r="G63" s="27" t="n"/>
      <c r="H63" s="27" t="n"/>
      <c r="I63" s="27" t="n"/>
      <c r="J63" s="27" t="n"/>
      <c r="K63" s="27" t="n"/>
      <c r="L63" s="26" t="n"/>
      <c r="M63" s="26" t="n"/>
      <c r="N63" s="28">
        <f>IF($A63="","",IF($C63="","",raporTarihi-$C63))</f>
        <v/>
      </c>
      <c r="O63" s="28">
        <f>IF($A63="","",IF($N63="","",IF($N63&lt;=7,"0-7",IF($N63&lt;=30,"8-30",IF($N63&lt;=60,"31-60","60+")))))</f>
        <v/>
      </c>
      <c r="P63" s="28">
        <f>IF($A63="","",IF($B63="","YETİM",IF(COUNTIF(tblKartlar[KartId],$B63)=0,"YETİM","")))</f>
        <v/>
      </c>
      <c r="Q63" s="28">
        <f>IF(OR($A63="",$D63=""),"",IF(OR($D63&amp;"|"&amp;$E63="",COUNTIF(ListeIzinliGecis,$D63&amp;"|"&amp;$E63)&gt;0),"","GEÇERSİZ GEÇİŞ"))</f>
        <v/>
      </c>
      <c r="R63" s="28">
        <f>IF($A63="","",IF(OR($F63="",$G63=""),"",IF(ABS($G63-$F63)&gt;zincirTolerans,"ZİNCİR KIRIK","OK")))</f>
        <v/>
      </c>
      <c r="S63" s="28">
        <f>IF($A63="","",1)</f>
        <v/>
      </c>
    </row>
    <row r="64">
      <c r="A64" s="26" t="n"/>
      <c r="B64" s="26" t="n"/>
      <c r="C64" s="29" t="n"/>
      <c r="D64" s="26" t="n"/>
      <c r="E64" s="26" t="n"/>
      <c r="F64" s="27" t="n"/>
      <c r="G64" s="27" t="n"/>
      <c r="H64" s="27" t="n"/>
      <c r="I64" s="27" t="n"/>
      <c r="J64" s="27" t="n"/>
      <c r="K64" s="27" t="n"/>
      <c r="L64" s="26" t="n"/>
      <c r="M64" s="26" t="n"/>
      <c r="N64" s="28">
        <f>IF($A64="","",IF($C64="","",raporTarihi-$C64))</f>
        <v/>
      </c>
      <c r="O64" s="28">
        <f>IF($A64="","",IF($N64="","",IF($N64&lt;=7,"0-7",IF($N64&lt;=30,"8-30",IF($N64&lt;=60,"31-60","60+")))))</f>
        <v/>
      </c>
      <c r="P64" s="28">
        <f>IF($A64="","",IF($B64="","YETİM",IF(COUNTIF(tblKartlar[KartId],$B64)=0,"YETİM","")))</f>
        <v/>
      </c>
      <c r="Q64" s="28">
        <f>IF(OR($A64="",$D64=""),"",IF(OR($D64&amp;"|"&amp;$E64="",COUNTIF(ListeIzinliGecis,$D64&amp;"|"&amp;$E64)&gt;0),"","GEÇERSİZ GEÇİŞ"))</f>
        <v/>
      </c>
      <c r="R64" s="28">
        <f>IF($A64="","",IF(OR($F64="",$G64=""),"",IF(ABS($G64-$F64)&gt;zincirTolerans,"ZİNCİR KIRIK","OK")))</f>
        <v/>
      </c>
      <c r="S64" s="28">
        <f>IF($A64="","",1)</f>
        <v/>
      </c>
    </row>
    <row r="65">
      <c r="A65" s="26" t="n"/>
      <c r="B65" s="26" t="n"/>
      <c r="C65" s="29" t="n"/>
      <c r="D65" s="26" t="n"/>
      <c r="E65" s="26" t="n"/>
      <c r="F65" s="27" t="n"/>
      <c r="G65" s="27" t="n"/>
      <c r="H65" s="27" t="n"/>
      <c r="I65" s="27" t="n"/>
      <c r="J65" s="27" t="n"/>
      <c r="K65" s="27" t="n"/>
      <c r="L65" s="26" t="n"/>
      <c r="M65" s="26" t="n"/>
      <c r="N65" s="28">
        <f>IF($A65="","",IF($C65="","",raporTarihi-$C65))</f>
        <v/>
      </c>
      <c r="O65" s="28">
        <f>IF($A65="","",IF($N65="","",IF($N65&lt;=7,"0-7",IF($N65&lt;=30,"8-30",IF($N65&lt;=60,"31-60","60+")))))</f>
        <v/>
      </c>
      <c r="P65" s="28">
        <f>IF($A65="","",IF($B65="","YETİM",IF(COUNTIF(tblKartlar[KartId],$B65)=0,"YETİM","")))</f>
        <v/>
      </c>
      <c r="Q65" s="28">
        <f>IF(OR($A65="",$D65=""),"",IF(OR($D65&amp;"|"&amp;$E65="",COUNTIF(ListeIzinliGecis,$D65&amp;"|"&amp;$E65)&gt;0),"","GEÇERSİZ GEÇİŞ"))</f>
        <v/>
      </c>
      <c r="R65" s="28">
        <f>IF($A65="","",IF(OR($F65="",$G65=""),"",IF(ABS($G65-$F65)&gt;zincirTolerans,"ZİNCİR KIRIK","OK")))</f>
        <v/>
      </c>
      <c r="S65" s="28">
        <f>IF($A65="","",1)</f>
        <v/>
      </c>
    </row>
    <row r="66">
      <c r="A66" s="26" t="n"/>
      <c r="B66" s="26" t="n"/>
      <c r="C66" s="29" t="n"/>
      <c r="D66" s="26" t="n"/>
      <c r="E66" s="26" t="n"/>
      <c r="F66" s="27" t="n"/>
      <c r="G66" s="27" t="n"/>
      <c r="H66" s="27" t="n"/>
      <c r="I66" s="27" t="n"/>
      <c r="J66" s="27" t="n"/>
      <c r="K66" s="27" t="n"/>
      <c r="L66" s="26" t="n"/>
      <c r="M66" s="26" t="n"/>
      <c r="N66" s="28">
        <f>IF($A66="","",IF($C66="","",raporTarihi-$C66))</f>
        <v/>
      </c>
      <c r="O66" s="28">
        <f>IF($A66="","",IF($N66="","",IF($N66&lt;=7,"0-7",IF($N66&lt;=30,"8-30",IF($N66&lt;=60,"31-60","60+")))))</f>
        <v/>
      </c>
      <c r="P66" s="28">
        <f>IF($A66="","",IF($B66="","YETİM",IF(COUNTIF(tblKartlar[KartId],$B66)=0,"YETİM","")))</f>
        <v/>
      </c>
      <c r="Q66" s="28">
        <f>IF(OR($A66="",$D66=""),"",IF(OR($D66&amp;"|"&amp;$E66="",COUNTIF(ListeIzinliGecis,$D66&amp;"|"&amp;$E66)&gt;0),"","GEÇERSİZ GEÇİŞ"))</f>
        <v/>
      </c>
      <c r="R66" s="28">
        <f>IF($A66="","",IF(OR($F66="",$G66=""),"",IF(ABS($G66-$F66)&gt;zincirTolerans,"ZİNCİR KIRIK","OK")))</f>
        <v/>
      </c>
      <c r="S66" s="28">
        <f>IF($A66="","",1)</f>
        <v/>
      </c>
    </row>
    <row r="67">
      <c r="A67" s="26" t="n"/>
      <c r="B67" s="26" t="n"/>
      <c r="C67" s="29" t="n"/>
      <c r="D67" s="26" t="n"/>
      <c r="E67" s="26" t="n"/>
      <c r="F67" s="27" t="n"/>
      <c r="G67" s="27" t="n"/>
      <c r="H67" s="27" t="n"/>
      <c r="I67" s="27" t="n"/>
      <c r="J67" s="27" t="n"/>
      <c r="K67" s="27" t="n"/>
      <c r="L67" s="26" t="n"/>
      <c r="M67" s="26" t="n"/>
      <c r="N67" s="28">
        <f>IF($A67="","",IF($C67="","",raporTarihi-$C67))</f>
        <v/>
      </c>
      <c r="O67" s="28">
        <f>IF($A67="","",IF($N67="","",IF($N67&lt;=7,"0-7",IF($N67&lt;=30,"8-30",IF($N67&lt;=60,"31-60","60+")))))</f>
        <v/>
      </c>
      <c r="P67" s="28">
        <f>IF($A67="","",IF($B67="","YETİM",IF(COUNTIF(tblKartlar[KartId],$B67)=0,"YETİM","")))</f>
        <v/>
      </c>
      <c r="Q67" s="28">
        <f>IF(OR($A67="",$D67=""),"",IF(OR($D67&amp;"|"&amp;$E67="",COUNTIF(ListeIzinliGecis,$D67&amp;"|"&amp;$E67)&gt;0),"","GEÇERSİZ GEÇİŞ"))</f>
        <v/>
      </c>
      <c r="R67" s="28">
        <f>IF($A67="","",IF(OR($F67="",$G67=""),"",IF(ABS($G67-$F67)&gt;zincirTolerans,"ZİNCİR KIRIK","OK")))</f>
        <v/>
      </c>
      <c r="S67" s="28">
        <f>IF($A67="","",1)</f>
        <v/>
      </c>
    </row>
    <row r="68">
      <c r="A68" s="26" t="n"/>
      <c r="B68" s="26" t="n"/>
      <c r="C68" s="29" t="n"/>
      <c r="D68" s="26" t="n"/>
      <c r="E68" s="26" t="n"/>
      <c r="F68" s="27" t="n"/>
      <c r="G68" s="27" t="n"/>
      <c r="H68" s="27" t="n"/>
      <c r="I68" s="27" t="n"/>
      <c r="J68" s="27" t="n"/>
      <c r="K68" s="27" t="n"/>
      <c r="L68" s="26" t="n"/>
      <c r="M68" s="26" t="n"/>
      <c r="N68" s="28">
        <f>IF($A68="","",IF($C68="","",raporTarihi-$C68))</f>
        <v/>
      </c>
      <c r="O68" s="28">
        <f>IF($A68="","",IF($N68="","",IF($N68&lt;=7,"0-7",IF($N68&lt;=30,"8-30",IF($N68&lt;=60,"31-60","60+")))))</f>
        <v/>
      </c>
      <c r="P68" s="28">
        <f>IF($A68="","",IF($B68="","YETİM",IF(COUNTIF(tblKartlar[KartId],$B68)=0,"YETİM","")))</f>
        <v/>
      </c>
      <c r="Q68" s="28">
        <f>IF(OR($A68="",$D68=""),"",IF(OR($D68&amp;"|"&amp;$E68="",COUNTIF(ListeIzinliGecis,$D68&amp;"|"&amp;$E68)&gt;0),"","GEÇERSİZ GEÇİŞ"))</f>
        <v/>
      </c>
      <c r="R68" s="28">
        <f>IF($A68="","",IF(OR($F68="",$G68=""),"",IF(ABS($G68-$F68)&gt;zincirTolerans,"ZİNCİR KIRIK","OK")))</f>
        <v/>
      </c>
      <c r="S68" s="28">
        <f>IF($A68="","",1)</f>
        <v/>
      </c>
    </row>
    <row r="69">
      <c r="A69" s="26" t="n"/>
      <c r="B69" s="26" t="n"/>
      <c r="C69" s="29" t="n"/>
      <c r="D69" s="26" t="n"/>
      <c r="E69" s="26" t="n"/>
      <c r="F69" s="27" t="n"/>
      <c r="G69" s="27" t="n"/>
      <c r="H69" s="27" t="n"/>
      <c r="I69" s="27" t="n"/>
      <c r="J69" s="27" t="n"/>
      <c r="K69" s="27" t="n"/>
      <c r="L69" s="26" t="n"/>
      <c r="M69" s="26" t="n"/>
      <c r="N69" s="28">
        <f>IF($A69="","",IF($C69="","",raporTarihi-$C69))</f>
        <v/>
      </c>
      <c r="O69" s="28">
        <f>IF($A69="","",IF($N69="","",IF($N69&lt;=7,"0-7",IF($N69&lt;=30,"8-30",IF($N69&lt;=60,"31-60","60+")))))</f>
        <v/>
      </c>
      <c r="P69" s="28">
        <f>IF($A69="","",IF($B69="","YETİM",IF(COUNTIF(tblKartlar[KartId],$B69)=0,"YETİM","")))</f>
        <v/>
      </c>
      <c r="Q69" s="28">
        <f>IF(OR($A69="",$D69=""),"",IF(OR($D69&amp;"|"&amp;$E69="",COUNTIF(ListeIzinliGecis,$D69&amp;"|"&amp;$E69)&gt;0),"","GEÇERSİZ GEÇİŞ"))</f>
        <v/>
      </c>
      <c r="R69" s="28">
        <f>IF($A69="","",IF(OR($F69="",$G69=""),"",IF(ABS($G69-$F69)&gt;zincirTolerans,"ZİNCİR KIRIK","OK")))</f>
        <v/>
      </c>
      <c r="S69" s="28">
        <f>IF($A69="","",1)</f>
        <v/>
      </c>
    </row>
    <row r="70">
      <c r="A70" s="26" t="n"/>
      <c r="B70" s="26" t="n"/>
      <c r="C70" s="29" t="n"/>
      <c r="D70" s="26" t="n"/>
      <c r="E70" s="26" t="n"/>
      <c r="F70" s="27" t="n"/>
      <c r="G70" s="27" t="n"/>
      <c r="H70" s="27" t="n"/>
      <c r="I70" s="27" t="n"/>
      <c r="J70" s="27" t="n"/>
      <c r="K70" s="27" t="n"/>
      <c r="L70" s="26" t="n"/>
      <c r="M70" s="26" t="n"/>
      <c r="N70" s="28">
        <f>IF($A70="","",IF($C70="","",raporTarihi-$C70))</f>
        <v/>
      </c>
      <c r="O70" s="28">
        <f>IF($A70="","",IF($N70="","",IF($N70&lt;=7,"0-7",IF($N70&lt;=30,"8-30",IF($N70&lt;=60,"31-60","60+")))))</f>
        <v/>
      </c>
      <c r="P70" s="28">
        <f>IF($A70="","",IF($B70="","YETİM",IF(COUNTIF(tblKartlar[KartId],$B70)=0,"YETİM","")))</f>
        <v/>
      </c>
      <c r="Q70" s="28">
        <f>IF(OR($A70="",$D70=""),"",IF(OR($D70&amp;"|"&amp;$E70="",COUNTIF(ListeIzinliGecis,$D70&amp;"|"&amp;$E70)&gt;0),"","GEÇERSİZ GEÇİŞ"))</f>
        <v/>
      </c>
      <c r="R70" s="28">
        <f>IF($A70="","",IF(OR($F70="",$G70=""),"",IF(ABS($G70-$F70)&gt;zincirTolerans,"ZİNCİR KIRIK","OK")))</f>
        <v/>
      </c>
      <c r="S70" s="28">
        <f>IF($A70="","",1)</f>
        <v/>
      </c>
    </row>
    <row r="71">
      <c r="A71" s="26" t="n"/>
      <c r="B71" s="26" t="n"/>
      <c r="C71" s="29" t="n"/>
      <c r="D71" s="26" t="n"/>
      <c r="E71" s="26" t="n"/>
      <c r="F71" s="27" t="n"/>
      <c r="G71" s="27" t="n"/>
      <c r="H71" s="27" t="n"/>
      <c r="I71" s="27" t="n"/>
      <c r="J71" s="27" t="n"/>
      <c r="K71" s="27" t="n"/>
      <c r="L71" s="26" t="n"/>
      <c r="M71" s="26" t="n"/>
      <c r="N71" s="28">
        <f>IF($A71="","",IF($C71="","",raporTarihi-$C71))</f>
        <v/>
      </c>
      <c r="O71" s="28">
        <f>IF($A71="","",IF($N71="","",IF($N71&lt;=7,"0-7",IF($N71&lt;=30,"8-30",IF($N71&lt;=60,"31-60","60+")))))</f>
        <v/>
      </c>
      <c r="P71" s="28">
        <f>IF($A71="","",IF($B71="","YETİM",IF(COUNTIF(tblKartlar[KartId],$B71)=0,"YETİM","")))</f>
        <v/>
      </c>
      <c r="Q71" s="28">
        <f>IF(OR($A71="",$D71=""),"",IF(OR($D71&amp;"|"&amp;$E71="",COUNTIF(ListeIzinliGecis,$D71&amp;"|"&amp;$E71)&gt;0),"","GEÇERSİZ GEÇİŞ"))</f>
        <v/>
      </c>
      <c r="R71" s="28">
        <f>IF($A71="","",IF(OR($F71="",$G71=""),"",IF(ABS($G71-$F71)&gt;zincirTolerans,"ZİNCİR KIRIK","OK")))</f>
        <v/>
      </c>
      <c r="S71" s="28">
        <f>IF($A71="","",1)</f>
        <v/>
      </c>
    </row>
    <row r="72">
      <c r="A72" s="26" t="n"/>
      <c r="B72" s="26" t="n"/>
      <c r="C72" s="29" t="n"/>
      <c r="D72" s="26" t="n"/>
      <c r="E72" s="26" t="n"/>
      <c r="F72" s="27" t="n"/>
      <c r="G72" s="27" t="n"/>
      <c r="H72" s="27" t="n"/>
      <c r="I72" s="27" t="n"/>
      <c r="J72" s="27" t="n"/>
      <c r="K72" s="27" t="n"/>
      <c r="L72" s="26" t="n"/>
      <c r="M72" s="26" t="n"/>
      <c r="N72" s="28">
        <f>IF($A72="","",IF($C72="","",raporTarihi-$C72))</f>
        <v/>
      </c>
      <c r="O72" s="28">
        <f>IF($A72="","",IF($N72="","",IF($N72&lt;=7,"0-7",IF($N72&lt;=30,"8-30",IF($N72&lt;=60,"31-60","60+")))))</f>
        <v/>
      </c>
      <c r="P72" s="28">
        <f>IF($A72="","",IF($B72="","YETİM",IF(COUNTIF(tblKartlar[KartId],$B72)=0,"YETİM","")))</f>
        <v/>
      </c>
      <c r="Q72" s="28">
        <f>IF(OR($A72="",$D72=""),"",IF(OR($D72&amp;"|"&amp;$E72="",COUNTIF(ListeIzinliGecis,$D72&amp;"|"&amp;$E72)&gt;0),"","GEÇERSİZ GEÇİŞ"))</f>
        <v/>
      </c>
      <c r="R72" s="28">
        <f>IF($A72="","",IF(OR($F72="",$G72=""),"",IF(ABS($G72-$F72)&gt;zincirTolerans,"ZİNCİR KIRIK","OK")))</f>
        <v/>
      </c>
      <c r="S72" s="28">
        <f>IF($A72="","",1)</f>
        <v/>
      </c>
    </row>
    <row r="73">
      <c r="A73" s="26" t="n"/>
      <c r="B73" s="26" t="n"/>
      <c r="C73" s="29" t="n"/>
      <c r="D73" s="26" t="n"/>
      <c r="E73" s="26" t="n"/>
      <c r="F73" s="27" t="n"/>
      <c r="G73" s="27" t="n"/>
      <c r="H73" s="27" t="n"/>
      <c r="I73" s="27" t="n"/>
      <c r="J73" s="27" t="n"/>
      <c r="K73" s="27" t="n"/>
      <c r="L73" s="26" t="n"/>
      <c r="M73" s="26" t="n"/>
      <c r="N73" s="28">
        <f>IF($A73="","",IF($C73="","",raporTarihi-$C73))</f>
        <v/>
      </c>
      <c r="O73" s="28">
        <f>IF($A73="","",IF($N73="","",IF($N73&lt;=7,"0-7",IF($N73&lt;=30,"8-30",IF($N73&lt;=60,"31-60","60+")))))</f>
        <v/>
      </c>
      <c r="P73" s="28">
        <f>IF($A73="","",IF($B73="","YETİM",IF(COUNTIF(tblKartlar[KartId],$B73)=0,"YETİM","")))</f>
        <v/>
      </c>
      <c r="Q73" s="28">
        <f>IF(OR($A73="",$D73=""),"",IF(OR($D73&amp;"|"&amp;$E73="",COUNTIF(ListeIzinliGecis,$D73&amp;"|"&amp;$E73)&gt;0),"","GEÇERSİZ GEÇİŞ"))</f>
        <v/>
      </c>
      <c r="R73" s="28">
        <f>IF($A73="","",IF(OR($F73="",$G73=""),"",IF(ABS($G73-$F73)&gt;zincirTolerans,"ZİNCİR KIRIK","OK")))</f>
        <v/>
      </c>
      <c r="S73" s="28">
        <f>IF($A73="","",1)</f>
        <v/>
      </c>
    </row>
    <row r="74">
      <c r="A74" s="26" t="n"/>
      <c r="B74" s="26" t="n"/>
      <c r="C74" s="29" t="n"/>
      <c r="D74" s="26" t="n"/>
      <c r="E74" s="26" t="n"/>
      <c r="F74" s="27" t="n"/>
      <c r="G74" s="27" t="n"/>
      <c r="H74" s="27" t="n"/>
      <c r="I74" s="27" t="n"/>
      <c r="J74" s="27" t="n"/>
      <c r="K74" s="27" t="n"/>
      <c r="L74" s="26" t="n"/>
      <c r="M74" s="26" t="n"/>
      <c r="N74" s="28">
        <f>IF($A74="","",IF($C74="","",raporTarihi-$C74))</f>
        <v/>
      </c>
      <c r="O74" s="28">
        <f>IF($A74="","",IF($N74="","",IF($N74&lt;=7,"0-7",IF($N74&lt;=30,"8-30",IF($N74&lt;=60,"31-60","60+")))))</f>
        <v/>
      </c>
      <c r="P74" s="28">
        <f>IF($A74="","",IF($B74="","YETİM",IF(COUNTIF(tblKartlar[KartId],$B74)=0,"YETİM","")))</f>
        <v/>
      </c>
      <c r="Q74" s="28">
        <f>IF(OR($A74="",$D74=""),"",IF(OR($D74&amp;"|"&amp;$E74="",COUNTIF(ListeIzinliGecis,$D74&amp;"|"&amp;$E74)&gt;0),"","GEÇERSİZ GEÇİŞ"))</f>
        <v/>
      </c>
      <c r="R74" s="28">
        <f>IF($A74="","",IF(OR($F74="",$G74=""),"",IF(ABS($G74-$F74)&gt;zincirTolerans,"ZİNCİR KIRIK","OK")))</f>
        <v/>
      </c>
      <c r="S74" s="28">
        <f>IF($A74="","",1)</f>
        <v/>
      </c>
    </row>
    <row r="75">
      <c r="A75" s="26" t="n"/>
      <c r="B75" s="26" t="n"/>
      <c r="C75" s="29" t="n"/>
      <c r="D75" s="26" t="n"/>
      <c r="E75" s="26" t="n"/>
      <c r="F75" s="27" t="n"/>
      <c r="G75" s="27" t="n"/>
      <c r="H75" s="27" t="n"/>
      <c r="I75" s="27" t="n"/>
      <c r="J75" s="27" t="n"/>
      <c r="K75" s="27" t="n"/>
      <c r="L75" s="26" t="n"/>
      <c r="M75" s="26" t="n"/>
      <c r="N75" s="28">
        <f>IF($A75="","",IF($C75="","",raporTarihi-$C75))</f>
        <v/>
      </c>
      <c r="O75" s="28">
        <f>IF($A75="","",IF($N75="","",IF($N75&lt;=7,"0-7",IF($N75&lt;=30,"8-30",IF($N75&lt;=60,"31-60","60+")))))</f>
        <v/>
      </c>
      <c r="P75" s="28">
        <f>IF($A75="","",IF($B75="","YETİM",IF(COUNTIF(tblKartlar[KartId],$B75)=0,"YETİM","")))</f>
        <v/>
      </c>
      <c r="Q75" s="28">
        <f>IF(OR($A75="",$D75=""),"",IF(OR($D75&amp;"|"&amp;$E75="",COUNTIF(ListeIzinliGecis,$D75&amp;"|"&amp;$E75)&gt;0),"","GEÇERSİZ GEÇİŞ"))</f>
        <v/>
      </c>
      <c r="R75" s="28">
        <f>IF($A75="","",IF(OR($F75="",$G75=""),"",IF(ABS($G75-$F75)&gt;zincirTolerans,"ZİNCİR KIRIK","OK")))</f>
        <v/>
      </c>
      <c r="S75" s="28">
        <f>IF($A75="","",1)</f>
        <v/>
      </c>
    </row>
    <row r="76">
      <c r="A76" s="26" t="n"/>
      <c r="B76" s="26" t="n"/>
      <c r="C76" s="29" t="n"/>
      <c r="D76" s="26" t="n"/>
      <c r="E76" s="26" t="n"/>
      <c r="F76" s="27" t="n"/>
      <c r="G76" s="27" t="n"/>
      <c r="H76" s="27" t="n"/>
      <c r="I76" s="27" t="n"/>
      <c r="J76" s="27" t="n"/>
      <c r="K76" s="27" t="n"/>
      <c r="L76" s="26" t="n"/>
      <c r="M76" s="26" t="n"/>
      <c r="N76" s="28">
        <f>IF($A76="","",IF($C76="","",raporTarihi-$C76))</f>
        <v/>
      </c>
      <c r="O76" s="28">
        <f>IF($A76="","",IF($N76="","",IF($N76&lt;=7,"0-7",IF($N76&lt;=30,"8-30",IF($N76&lt;=60,"31-60","60+")))))</f>
        <v/>
      </c>
      <c r="P76" s="28">
        <f>IF($A76="","",IF($B76="","YETİM",IF(COUNTIF(tblKartlar[KartId],$B76)=0,"YETİM","")))</f>
        <v/>
      </c>
      <c r="Q76" s="28">
        <f>IF(OR($A76="",$D76=""),"",IF(OR($D76&amp;"|"&amp;$E76="",COUNTIF(ListeIzinliGecis,$D76&amp;"|"&amp;$E76)&gt;0),"","GEÇERSİZ GEÇİŞ"))</f>
        <v/>
      </c>
      <c r="R76" s="28">
        <f>IF($A76="","",IF(OR($F76="",$G76=""),"",IF(ABS($G76-$F76)&gt;zincirTolerans,"ZİNCİR KIRIK","OK")))</f>
        <v/>
      </c>
      <c r="S76" s="28">
        <f>IF($A76="","",1)</f>
        <v/>
      </c>
    </row>
    <row r="77">
      <c r="A77" s="26" t="n"/>
      <c r="B77" s="26" t="n"/>
      <c r="C77" s="29" t="n"/>
      <c r="D77" s="26" t="n"/>
      <c r="E77" s="26" t="n"/>
      <c r="F77" s="27" t="n"/>
      <c r="G77" s="27" t="n"/>
      <c r="H77" s="27" t="n"/>
      <c r="I77" s="27" t="n"/>
      <c r="J77" s="27" t="n"/>
      <c r="K77" s="27" t="n"/>
      <c r="L77" s="26" t="n"/>
      <c r="M77" s="26" t="n"/>
      <c r="N77" s="28">
        <f>IF($A77="","",IF($C77="","",raporTarihi-$C77))</f>
        <v/>
      </c>
      <c r="O77" s="28">
        <f>IF($A77="","",IF($N77="","",IF($N77&lt;=7,"0-7",IF($N77&lt;=30,"8-30",IF($N77&lt;=60,"31-60","60+")))))</f>
        <v/>
      </c>
      <c r="P77" s="28">
        <f>IF($A77="","",IF($B77="","YETİM",IF(COUNTIF(tblKartlar[KartId],$B77)=0,"YETİM","")))</f>
        <v/>
      </c>
      <c r="Q77" s="28">
        <f>IF(OR($A77="",$D77=""),"",IF(OR($D77&amp;"|"&amp;$E77="",COUNTIF(ListeIzinliGecis,$D77&amp;"|"&amp;$E77)&gt;0),"","GEÇERSİZ GEÇİŞ"))</f>
        <v/>
      </c>
      <c r="R77" s="28">
        <f>IF($A77="","",IF(OR($F77="",$G77=""),"",IF(ABS($G77-$F77)&gt;zincirTolerans,"ZİNCİR KIRIK","OK")))</f>
        <v/>
      </c>
      <c r="S77" s="28">
        <f>IF($A77="","",1)</f>
        <v/>
      </c>
    </row>
    <row r="78">
      <c r="A78" s="26" t="n"/>
      <c r="B78" s="26" t="n"/>
      <c r="C78" s="29" t="n"/>
      <c r="D78" s="26" t="n"/>
      <c r="E78" s="26" t="n"/>
      <c r="F78" s="27" t="n"/>
      <c r="G78" s="27" t="n"/>
      <c r="H78" s="27" t="n"/>
      <c r="I78" s="27" t="n"/>
      <c r="J78" s="27" t="n"/>
      <c r="K78" s="27" t="n"/>
      <c r="L78" s="26" t="n"/>
      <c r="M78" s="26" t="n"/>
      <c r="N78" s="28">
        <f>IF($A78="","",IF($C78="","",raporTarihi-$C78))</f>
        <v/>
      </c>
      <c r="O78" s="28">
        <f>IF($A78="","",IF($N78="","",IF($N78&lt;=7,"0-7",IF($N78&lt;=30,"8-30",IF($N78&lt;=60,"31-60","60+")))))</f>
        <v/>
      </c>
      <c r="P78" s="28">
        <f>IF($A78="","",IF($B78="","YETİM",IF(COUNTIF(tblKartlar[KartId],$B78)=0,"YETİM","")))</f>
        <v/>
      </c>
      <c r="Q78" s="28">
        <f>IF(OR($A78="",$D78=""),"",IF(OR($D78&amp;"|"&amp;$E78="",COUNTIF(ListeIzinliGecis,$D78&amp;"|"&amp;$E78)&gt;0),"","GEÇERSİZ GEÇİŞ"))</f>
        <v/>
      </c>
      <c r="R78" s="28">
        <f>IF($A78="","",IF(OR($F78="",$G78=""),"",IF(ABS($G78-$F78)&gt;zincirTolerans,"ZİNCİR KIRIK","OK")))</f>
        <v/>
      </c>
      <c r="S78" s="28">
        <f>IF($A78="","",1)</f>
        <v/>
      </c>
    </row>
    <row r="79">
      <c r="A79" s="26" t="n"/>
      <c r="B79" s="26" t="n"/>
      <c r="C79" s="29" t="n"/>
      <c r="D79" s="26" t="n"/>
      <c r="E79" s="26" t="n"/>
      <c r="F79" s="27" t="n"/>
      <c r="G79" s="27" t="n"/>
      <c r="H79" s="27" t="n"/>
      <c r="I79" s="27" t="n"/>
      <c r="J79" s="27" t="n"/>
      <c r="K79" s="27" t="n"/>
      <c r="L79" s="26" t="n"/>
      <c r="M79" s="26" t="n"/>
      <c r="N79" s="28">
        <f>IF($A79="","",IF($C79="","",raporTarihi-$C79))</f>
        <v/>
      </c>
      <c r="O79" s="28">
        <f>IF($A79="","",IF($N79="","",IF($N79&lt;=7,"0-7",IF($N79&lt;=30,"8-30",IF($N79&lt;=60,"31-60","60+")))))</f>
        <v/>
      </c>
      <c r="P79" s="28">
        <f>IF($A79="","",IF($B79="","YETİM",IF(COUNTIF(tblKartlar[KartId],$B79)=0,"YETİM","")))</f>
        <v/>
      </c>
      <c r="Q79" s="28">
        <f>IF(OR($A79="",$D79=""),"",IF(OR($D79&amp;"|"&amp;$E79="",COUNTIF(ListeIzinliGecis,$D79&amp;"|"&amp;$E79)&gt;0),"","GEÇERSİZ GEÇİŞ"))</f>
        <v/>
      </c>
      <c r="R79" s="28">
        <f>IF($A79="","",IF(OR($F79="",$G79=""),"",IF(ABS($G79-$F79)&gt;zincirTolerans,"ZİNCİR KIRIK","OK")))</f>
        <v/>
      </c>
      <c r="S79" s="28">
        <f>IF($A79="","",1)</f>
        <v/>
      </c>
    </row>
    <row r="80">
      <c r="A80" s="26" t="n"/>
      <c r="B80" s="26" t="n"/>
      <c r="C80" s="29" t="n"/>
      <c r="D80" s="26" t="n"/>
      <c r="E80" s="26" t="n"/>
      <c r="F80" s="27" t="n"/>
      <c r="G80" s="27" t="n"/>
      <c r="H80" s="27" t="n"/>
      <c r="I80" s="27" t="n"/>
      <c r="J80" s="27" t="n"/>
      <c r="K80" s="27" t="n"/>
      <c r="L80" s="26" t="n"/>
      <c r="M80" s="26" t="n"/>
      <c r="N80" s="28">
        <f>IF($A80="","",IF($C80="","",raporTarihi-$C80))</f>
        <v/>
      </c>
      <c r="O80" s="28">
        <f>IF($A80="","",IF($N80="","",IF($N80&lt;=7,"0-7",IF($N80&lt;=30,"8-30",IF($N80&lt;=60,"31-60","60+")))))</f>
        <v/>
      </c>
      <c r="P80" s="28">
        <f>IF($A80="","",IF($B80="","YETİM",IF(COUNTIF(tblKartlar[KartId],$B80)=0,"YETİM","")))</f>
        <v/>
      </c>
      <c r="Q80" s="28">
        <f>IF(OR($A80="",$D80=""),"",IF(OR($D80&amp;"|"&amp;$E80="",COUNTIF(ListeIzinliGecis,$D80&amp;"|"&amp;$E80)&gt;0),"","GEÇERSİZ GEÇİŞ"))</f>
        <v/>
      </c>
      <c r="R80" s="28">
        <f>IF($A80="","",IF(OR($F80="",$G80=""),"",IF(ABS($G80-$F80)&gt;zincirTolerans,"ZİNCİR KIRIK","OK")))</f>
        <v/>
      </c>
      <c r="S80" s="28">
        <f>IF($A80="","",1)</f>
        <v/>
      </c>
    </row>
    <row r="81">
      <c r="A81" s="26" t="n"/>
      <c r="B81" s="26" t="n"/>
      <c r="C81" s="29" t="n"/>
      <c r="D81" s="26" t="n"/>
      <c r="E81" s="26" t="n"/>
      <c r="F81" s="27" t="n"/>
      <c r="G81" s="27" t="n"/>
      <c r="H81" s="27" t="n"/>
      <c r="I81" s="27" t="n"/>
      <c r="J81" s="27" t="n"/>
      <c r="K81" s="27" t="n"/>
      <c r="L81" s="26" t="n"/>
      <c r="M81" s="26" t="n"/>
      <c r="N81" s="28">
        <f>IF($A81="","",IF($C81="","",raporTarihi-$C81))</f>
        <v/>
      </c>
      <c r="O81" s="28">
        <f>IF($A81="","",IF($N81="","",IF($N81&lt;=7,"0-7",IF($N81&lt;=30,"8-30",IF($N81&lt;=60,"31-60","60+")))))</f>
        <v/>
      </c>
      <c r="P81" s="28">
        <f>IF($A81="","",IF($B81="","YETİM",IF(COUNTIF(tblKartlar[KartId],$B81)=0,"YETİM","")))</f>
        <v/>
      </c>
      <c r="Q81" s="28">
        <f>IF(OR($A81="",$D81=""),"",IF(OR($D81&amp;"|"&amp;$E81="",COUNTIF(ListeIzinliGecis,$D81&amp;"|"&amp;$E81)&gt;0),"","GEÇERSİZ GEÇİŞ"))</f>
        <v/>
      </c>
      <c r="R81" s="28">
        <f>IF($A81="","",IF(OR($F81="",$G81=""),"",IF(ABS($G81-$F81)&gt;zincirTolerans,"ZİNCİR KIRIK","OK")))</f>
        <v/>
      </c>
      <c r="S81" s="28">
        <f>IF($A81="","",1)</f>
        <v/>
      </c>
    </row>
    <row r="82">
      <c r="A82" s="26" t="n"/>
      <c r="B82" s="26" t="n"/>
      <c r="C82" s="29" t="n"/>
      <c r="D82" s="26" t="n"/>
      <c r="E82" s="26" t="n"/>
      <c r="F82" s="27" t="n"/>
      <c r="G82" s="27" t="n"/>
      <c r="H82" s="27" t="n"/>
      <c r="I82" s="27" t="n"/>
      <c r="J82" s="27" t="n"/>
      <c r="K82" s="27" t="n"/>
      <c r="L82" s="26" t="n"/>
      <c r="M82" s="26" t="n"/>
      <c r="N82" s="28">
        <f>IF($A82="","",IF($C82="","",raporTarihi-$C82))</f>
        <v/>
      </c>
      <c r="O82" s="28">
        <f>IF($A82="","",IF($N82="","",IF($N82&lt;=7,"0-7",IF($N82&lt;=30,"8-30",IF($N82&lt;=60,"31-60","60+")))))</f>
        <v/>
      </c>
      <c r="P82" s="28">
        <f>IF($A82="","",IF($B82="","YETİM",IF(COUNTIF(tblKartlar[KartId],$B82)=0,"YETİM","")))</f>
        <v/>
      </c>
      <c r="Q82" s="28">
        <f>IF(OR($A82="",$D82=""),"",IF(OR($D82&amp;"|"&amp;$E82="",COUNTIF(ListeIzinliGecis,$D82&amp;"|"&amp;$E82)&gt;0),"","GEÇERSİZ GEÇİŞ"))</f>
        <v/>
      </c>
      <c r="R82" s="28">
        <f>IF($A82="","",IF(OR($F82="",$G82=""),"",IF(ABS($G82-$F82)&gt;zincirTolerans,"ZİNCİR KIRIK","OK")))</f>
        <v/>
      </c>
      <c r="S82" s="28">
        <f>IF($A82="","",1)</f>
        <v/>
      </c>
    </row>
    <row r="83">
      <c r="A83" s="26" t="n"/>
      <c r="B83" s="26" t="n"/>
      <c r="C83" s="29" t="n"/>
      <c r="D83" s="26" t="n"/>
      <c r="E83" s="26" t="n"/>
      <c r="F83" s="27" t="n"/>
      <c r="G83" s="27" t="n"/>
      <c r="H83" s="27" t="n"/>
      <c r="I83" s="27" t="n"/>
      <c r="J83" s="27" t="n"/>
      <c r="K83" s="27" t="n"/>
      <c r="L83" s="26" t="n"/>
      <c r="M83" s="26" t="n"/>
      <c r="N83" s="28">
        <f>IF($A83="","",IF($C83="","",raporTarihi-$C83))</f>
        <v/>
      </c>
      <c r="O83" s="28">
        <f>IF($A83="","",IF($N83="","",IF($N83&lt;=7,"0-7",IF($N83&lt;=30,"8-30",IF($N83&lt;=60,"31-60","60+")))))</f>
        <v/>
      </c>
      <c r="P83" s="28">
        <f>IF($A83="","",IF($B83="","YETİM",IF(COUNTIF(tblKartlar[KartId],$B83)=0,"YETİM","")))</f>
        <v/>
      </c>
      <c r="Q83" s="28">
        <f>IF(OR($A83="",$D83=""),"",IF(OR($D83&amp;"|"&amp;$E83="",COUNTIF(ListeIzinliGecis,$D83&amp;"|"&amp;$E83)&gt;0),"","GEÇERSİZ GEÇİŞ"))</f>
        <v/>
      </c>
      <c r="R83" s="28">
        <f>IF($A83="","",IF(OR($F83="",$G83=""),"",IF(ABS($G83-$F83)&gt;zincirTolerans,"ZİNCİR KIRIK","OK")))</f>
        <v/>
      </c>
      <c r="S83" s="28">
        <f>IF($A83="","",1)</f>
        <v/>
      </c>
    </row>
    <row r="84">
      <c r="A84" s="26" t="n"/>
      <c r="B84" s="26" t="n"/>
      <c r="C84" s="29" t="n"/>
      <c r="D84" s="26" t="n"/>
      <c r="E84" s="26" t="n"/>
      <c r="F84" s="27" t="n"/>
      <c r="G84" s="27" t="n"/>
      <c r="H84" s="27" t="n"/>
      <c r="I84" s="27" t="n"/>
      <c r="J84" s="27" t="n"/>
      <c r="K84" s="27" t="n"/>
      <c r="L84" s="26" t="n"/>
      <c r="M84" s="26" t="n"/>
      <c r="N84" s="28">
        <f>IF($A84="","",IF($C84="","",raporTarihi-$C84))</f>
        <v/>
      </c>
      <c r="O84" s="28">
        <f>IF($A84="","",IF($N84="","",IF($N84&lt;=7,"0-7",IF($N84&lt;=30,"8-30",IF($N84&lt;=60,"31-60","60+")))))</f>
        <v/>
      </c>
      <c r="P84" s="28">
        <f>IF($A84="","",IF($B84="","YETİM",IF(COUNTIF(tblKartlar[KartId],$B84)=0,"YETİM","")))</f>
        <v/>
      </c>
      <c r="Q84" s="28">
        <f>IF(OR($A84="",$D84=""),"",IF(OR($D84&amp;"|"&amp;$E84="",COUNTIF(ListeIzinliGecis,$D84&amp;"|"&amp;$E84)&gt;0),"","GEÇERSİZ GEÇİŞ"))</f>
        <v/>
      </c>
      <c r="R84" s="28">
        <f>IF($A84="","",IF(OR($F84="",$G84=""),"",IF(ABS($G84-$F84)&gt;zincirTolerans,"ZİNCİR KIRIK","OK")))</f>
        <v/>
      </c>
      <c r="S84" s="28">
        <f>IF($A84="","",1)</f>
        <v/>
      </c>
    </row>
    <row r="85">
      <c r="A85" s="26" t="n"/>
      <c r="B85" s="26" t="n"/>
      <c r="C85" s="29" t="n"/>
      <c r="D85" s="26" t="n"/>
      <c r="E85" s="26" t="n"/>
      <c r="F85" s="27" t="n"/>
      <c r="G85" s="27" t="n"/>
      <c r="H85" s="27" t="n"/>
      <c r="I85" s="27" t="n"/>
      <c r="J85" s="27" t="n"/>
      <c r="K85" s="27" t="n"/>
      <c r="L85" s="26" t="n"/>
      <c r="M85" s="26" t="n"/>
      <c r="N85" s="28">
        <f>IF($A85="","",IF($C85="","",raporTarihi-$C85))</f>
        <v/>
      </c>
      <c r="O85" s="28">
        <f>IF($A85="","",IF($N85="","",IF($N85&lt;=7,"0-7",IF($N85&lt;=30,"8-30",IF($N85&lt;=60,"31-60","60+")))))</f>
        <v/>
      </c>
      <c r="P85" s="28">
        <f>IF($A85="","",IF($B85="","YETİM",IF(COUNTIF(tblKartlar[KartId],$B85)=0,"YETİM","")))</f>
        <v/>
      </c>
      <c r="Q85" s="28">
        <f>IF(OR($A85="",$D85=""),"",IF(OR($D85&amp;"|"&amp;$E85="",COUNTIF(ListeIzinliGecis,$D85&amp;"|"&amp;$E85)&gt;0),"","GEÇERSİZ GEÇİŞ"))</f>
        <v/>
      </c>
      <c r="R85" s="28">
        <f>IF($A85="","",IF(OR($F85="",$G85=""),"",IF(ABS($G85-$F85)&gt;zincirTolerans,"ZİNCİR KIRIK","OK")))</f>
        <v/>
      </c>
      <c r="S85" s="28">
        <f>IF($A85="","",1)</f>
        <v/>
      </c>
    </row>
    <row r="86">
      <c r="A86" s="26" t="n"/>
      <c r="B86" s="26" t="n"/>
      <c r="C86" s="29" t="n"/>
      <c r="D86" s="26" t="n"/>
      <c r="E86" s="26" t="n"/>
      <c r="F86" s="27" t="n"/>
      <c r="G86" s="27" t="n"/>
      <c r="H86" s="27" t="n"/>
      <c r="I86" s="27" t="n"/>
      <c r="J86" s="27" t="n"/>
      <c r="K86" s="27" t="n"/>
      <c r="L86" s="26" t="n"/>
      <c r="M86" s="26" t="n"/>
      <c r="N86" s="28">
        <f>IF($A86="","",IF($C86="","",raporTarihi-$C86))</f>
        <v/>
      </c>
      <c r="O86" s="28">
        <f>IF($A86="","",IF($N86="","",IF($N86&lt;=7,"0-7",IF($N86&lt;=30,"8-30",IF($N86&lt;=60,"31-60","60+")))))</f>
        <v/>
      </c>
      <c r="P86" s="28">
        <f>IF($A86="","",IF($B86="","YETİM",IF(COUNTIF(tblKartlar[KartId],$B86)=0,"YETİM","")))</f>
        <v/>
      </c>
      <c r="Q86" s="28">
        <f>IF(OR($A86="",$D86=""),"",IF(OR($D86&amp;"|"&amp;$E86="",COUNTIF(ListeIzinliGecis,$D86&amp;"|"&amp;$E86)&gt;0),"","GEÇERSİZ GEÇİŞ"))</f>
        <v/>
      </c>
      <c r="R86" s="28">
        <f>IF($A86="","",IF(OR($F86="",$G86=""),"",IF(ABS($G86-$F86)&gt;zincirTolerans,"ZİNCİR KIRIK","OK")))</f>
        <v/>
      </c>
      <c r="S86" s="28">
        <f>IF($A86="","",1)</f>
        <v/>
      </c>
    </row>
    <row r="87">
      <c r="A87" s="26" t="n"/>
      <c r="B87" s="26" t="n"/>
      <c r="C87" s="29" t="n"/>
      <c r="D87" s="26" t="n"/>
      <c r="E87" s="26" t="n"/>
      <c r="F87" s="27" t="n"/>
      <c r="G87" s="27" t="n"/>
      <c r="H87" s="27" t="n"/>
      <c r="I87" s="27" t="n"/>
      <c r="J87" s="27" t="n"/>
      <c r="K87" s="27" t="n"/>
      <c r="L87" s="26" t="n"/>
      <c r="M87" s="26" t="n"/>
      <c r="N87" s="28">
        <f>IF($A87="","",IF($C87="","",raporTarihi-$C87))</f>
        <v/>
      </c>
      <c r="O87" s="28">
        <f>IF($A87="","",IF($N87="","",IF($N87&lt;=7,"0-7",IF($N87&lt;=30,"8-30",IF($N87&lt;=60,"31-60","60+")))))</f>
        <v/>
      </c>
      <c r="P87" s="28">
        <f>IF($A87="","",IF($B87="","YETİM",IF(COUNTIF(tblKartlar[KartId],$B87)=0,"YETİM","")))</f>
        <v/>
      </c>
      <c r="Q87" s="28">
        <f>IF(OR($A87="",$D87=""),"",IF(OR($D87&amp;"|"&amp;$E87="",COUNTIF(ListeIzinliGecis,$D87&amp;"|"&amp;$E87)&gt;0),"","GEÇERSİZ GEÇİŞ"))</f>
        <v/>
      </c>
      <c r="R87" s="28">
        <f>IF($A87="","",IF(OR($F87="",$G87=""),"",IF(ABS($G87-$F87)&gt;zincirTolerans,"ZİNCİR KIRIK","OK")))</f>
        <v/>
      </c>
      <c r="S87" s="28">
        <f>IF($A87="","",1)</f>
        <v/>
      </c>
    </row>
    <row r="88">
      <c r="A88" s="26" t="n"/>
      <c r="B88" s="26" t="n"/>
      <c r="C88" s="29" t="n"/>
      <c r="D88" s="26" t="n"/>
      <c r="E88" s="26" t="n"/>
      <c r="F88" s="27" t="n"/>
      <c r="G88" s="27" t="n"/>
      <c r="H88" s="27" t="n"/>
      <c r="I88" s="27" t="n"/>
      <c r="J88" s="27" t="n"/>
      <c r="K88" s="27" t="n"/>
      <c r="L88" s="26" t="n"/>
      <c r="M88" s="26" t="n"/>
      <c r="N88" s="28">
        <f>IF($A88="","",IF($C88="","",raporTarihi-$C88))</f>
        <v/>
      </c>
      <c r="O88" s="28">
        <f>IF($A88="","",IF($N88="","",IF($N88&lt;=7,"0-7",IF($N88&lt;=30,"8-30",IF($N88&lt;=60,"31-60","60+")))))</f>
        <v/>
      </c>
      <c r="P88" s="28">
        <f>IF($A88="","",IF($B88="","YETİM",IF(COUNTIF(tblKartlar[KartId],$B88)=0,"YETİM","")))</f>
        <v/>
      </c>
      <c r="Q88" s="28">
        <f>IF(OR($A88="",$D88=""),"",IF(OR($D88&amp;"|"&amp;$E88="",COUNTIF(ListeIzinliGecis,$D88&amp;"|"&amp;$E88)&gt;0),"","GEÇERSİZ GEÇİŞ"))</f>
        <v/>
      </c>
      <c r="R88" s="28">
        <f>IF($A88="","",IF(OR($F88="",$G88=""),"",IF(ABS($G88-$F88)&gt;zincirTolerans,"ZİNCİR KIRIK","OK")))</f>
        <v/>
      </c>
      <c r="S88" s="28">
        <f>IF($A88="","",1)</f>
        <v/>
      </c>
    </row>
    <row r="89">
      <c r="A89" s="26" t="n"/>
      <c r="B89" s="26" t="n"/>
      <c r="C89" s="29" t="n"/>
      <c r="D89" s="26" t="n"/>
      <c r="E89" s="26" t="n"/>
      <c r="F89" s="27" t="n"/>
      <c r="G89" s="27" t="n"/>
      <c r="H89" s="27" t="n"/>
      <c r="I89" s="27" t="n"/>
      <c r="J89" s="27" t="n"/>
      <c r="K89" s="27" t="n"/>
      <c r="L89" s="26" t="n"/>
      <c r="M89" s="26" t="n"/>
      <c r="N89" s="28">
        <f>IF($A89="","",IF($C89="","",raporTarihi-$C89))</f>
        <v/>
      </c>
      <c r="O89" s="28">
        <f>IF($A89="","",IF($N89="","",IF($N89&lt;=7,"0-7",IF($N89&lt;=30,"8-30",IF($N89&lt;=60,"31-60","60+")))))</f>
        <v/>
      </c>
      <c r="P89" s="28">
        <f>IF($A89="","",IF($B89="","YETİM",IF(COUNTIF(tblKartlar[KartId],$B89)=0,"YETİM","")))</f>
        <v/>
      </c>
      <c r="Q89" s="28">
        <f>IF(OR($A89="",$D89=""),"",IF(OR($D89&amp;"|"&amp;$E89="",COUNTIF(ListeIzinliGecis,$D89&amp;"|"&amp;$E89)&gt;0),"","GEÇERSİZ GEÇİŞ"))</f>
        <v/>
      </c>
      <c r="R89" s="28">
        <f>IF($A89="","",IF(OR($F89="",$G89=""),"",IF(ABS($G89-$F89)&gt;zincirTolerans,"ZİNCİR KIRIK","OK")))</f>
        <v/>
      </c>
      <c r="S89" s="28">
        <f>IF($A89="","",1)</f>
        <v/>
      </c>
    </row>
    <row r="90">
      <c r="A90" s="26" t="n"/>
      <c r="B90" s="26" t="n"/>
      <c r="C90" s="29" t="n"/>
      <c r="D90" s="26" t="n"/>
      <c r="E90" s="26" t="n"/>
      <c r="F90" s="27" t="n"/>
      <c r="G90" s="27" t="n"/>
      <c r="H90" s="27" t="n"/>
      <c r="I90" s="27" t="n"/>
      <c r="J90" s="27" t="n"/>
      <c r="K90" s="27" t="n"/>
      <c r="L90" s="26" t="n"/>
      <c r="M90" s="26" t="n"/>
      <c r="N90" s="28">
        <f>IF($A90="","",IF($C90="","",raporTarihi-$C90))</f>
        <v/>
      </c>
      <c r="O90" s="28">
        <f>IF($A90="","",IF($N90="","",IF($N90&lt;=7,"0-7",IF($N90&lt;=30,"8-30",IF($N90&lt;=60,"31-60","60+")))))</f>
        <v/>
      </c>
      <c r="P90" s="28">
        <f>IF($A90="","",IF($B90="","YETİM",IF(COUNTIF(tblKartlar[KartId],$B90)=0,"YETİM","")))</f>
        <v/>
      </c>
      <c r="Q90" s="28">
        <f>IF(OR($A90="",$D90=""),"",IF(OR($D90&amp;"|"&amp;$E90="",COUNTIF(ListeIzinliGecis,$D90&amp;"|"&amp;$E90)&gt;0),"","GEÇERSİZ GEÇİŞ"))</f>
        <v/>
      </c>
      <c r="R90" s="28">
        <f>IF($A90="","",IF(OR($F90="",$G90=""),"",IF(ABS($G90-$F90)&gt;zincirTolerans,"ZİNCİR KIRIK","OK")))</f>
        <v/>
      </c>
      <c r="S90" s="28">
        <f>IF($A90="","",1)</f>
        <v/>
      </c>
    </row>
    <row r="91">
      <c r="A91" s="26" t="n"/>
      <c r="B91" s="26" t="n"/>
      <c r="C91" s="29" t="n"/>
      <c r="D91" s="26" t="n"/>
      <c r="E91" s="26" t="n"/>
      <c r="F91" s="27" t="n"/>
      <c r="G91" s="27" t="n"/>
      <c r="H91" s="27" t="n"/>
      <c r="I91" s="27" t="n"/>
      <c r="J91" s="27" t="n"/>
      <c r="K91" s="27" t="n"/>
      <c r="L91" s="26" t="n"/>
      <c r="M91" s="26" t="n"/>
      <c r="N91" s="28">
        <f>IF($A91="","",IF($C91="","",raporTarihi-$C91))</f>
        <v/>
      </c>
      <c r="O91" s="28">
        <f>IF($A91="","",IF($N91="","",IF($N91&lt;=7,"0-7",IF($N91&lt;=30,"8-30",IF($N91&lt;=60,"31-60","60+")))))</f>
        <v/>
      </c>
      <c r="P91" s="28">
        <f>IF($A91="","",IF($B91="","YETİM",IF(COUNTIF(tblKartlar[KartId],$B91)=0,"YETİM","")))</f>
        <v/>
      </c>
      <c r="Q91" s="28">
        <f>IF(OR($A91="",$D91=""),"",IF(OR($D91&amp;"|"&amp;$E91="",COUNTIF(ListeIzinliGecis,$D91&amp;"|"&amp;$E91)&gt;0),"","GEÇERSİZ GEÇİŞ"))</f>
        <v/>
      </c>
      <c r="R91" s="28">
        <f>IF($A91="","",IF(OR($F91="",$G91=""),"",IF(ABS($G91-$F91)&gt;zincirTolerans,"ZİNCİR KIRIK","OK")))</f>
        <v/>
      </c>
      <c r="S91" s="28">
        <f>IF($A91="","",1)</f>
        <v/>
      </c>
    </row>
    <row r="92">
      <c r="A92" s="26" t="n"/>
      <c r="B92" s="26" t="n"/>
      <c r="C92" s="29" t="n"/>
      <c r="D92" s="26" t="n"/>
      <c r="E92" s="26" t="n"/>
      <c r="F92" s="27" t="n"/>
      <c r="G92" s="27" t="n"/>
      <c r="H92" s="27" t="n"/>
      <c r="I92" s="27" t="n"/>
      <c r="J92" s="27" t="n"/>
      <c r="K92" s="27" t="n"/>
      <c r="L92" s="26" t="n"/>
      <c r="M92" s="26" t="n"/>
      <c r="N92" s="28">
        <f>IF($A92="","",IF($C92="","",raporTarihi-$C92))</f>
        <v/>
      </c>
      <c r="O92" s="28">
        <f>IF($A92="","",IF($N92="","",IF($N92&lt;=7,"0-7",IF($N92&lt;=30,"8-30",IF($N92&lt;=60,"31-60","60+")))))</f>
        <v/>
      </c>
      <c r="P92" s="28">
        <f>IF($A92="","",IF($B92="","YETİM",IF(COUNTIF(tblKartlar[KartId],$B92)=0,"YETİM","")))</f>
        <v/>
      </c>
      <c r="Q92" s="28">
        <f>IF(OR($A92="",$D92=""),"",IF(OR($D92&amp;"|"&amp;$E92="",COUNTIF(ListeIzinliGecis,$D92&amp;"|"&amp;$E92)&gt;0),"","GEÇERSİZ GEÇİŞ"))</f>
        <v/>
      </c>
      <c r="R92" s="28">
        <f>IF($A92="","",IF(OR($F92="",$G92=""),"",IF(ABS($G92-$F92)&gt;zincirTolerans,"ZİNCİR KIRIK","OK")))</f>
        <v/>
      </c>
      <c r="S92" s="28">
        <f>IF($A92="","",1)</f>
        <v/>
      </c>
    </row>
    <row r="93">
      <c r="A93" s="26" t="n"/>
      <c r="B93" s="26" t="n"/>
      <c r="C93" s="29" t="n"/>
      <c r="D93" s="26" t="n"/>
      <c r="E93" s="26" t="n"/>
      <c r="F93" s="27" t="n"/>
      <c r="G93" s="27" t="n"/>
      <c r="H93" s="27" t="n"/>
      <c r="I93" s="27" t="n"/>
      <c r="J93" s="27" t="n"/>
      <c r="K93" s="27" t="n"/>
      <c r="L93" s="26" t="n"/>
      <c r="M93" s="26" t="n"/>
      <c r="N93" s="28">
        <f>IF($A93="","",IF($C93="","",raporTarihi-$C93))</f>
        <v/>
      </c>
      <c r="O93" s="28">
        <f>IF($A93="","",IF($N93="","",IF($N93&lt;=7,"0-7",IF($N93&lt;=30,"8-30",IF($N93&lt;=60,"31-60","60+")))))</f>
        <v/>
      </c>
      <c r="P93" s="28">
        <f>IF($A93="","",IF($B93="","YETİM",IF(COUNTIF(tblKartlar[KartId],$B93)=0,"YETİM","")))</f>
        <v/>
      </c>
      <c r="Q93" s="28">
        <f>IF(OR($A93="",$D93=""),"",IF(OR($D93&amp;"|"&amp;$E93="",COUNTIF(ListeIzinliGecis,$D93&amp;"|"&amp;$E93)&gt;0),"","GEÇERSİZ GEÇİŞ"))</f>
        <v/>
      </c>
      <c r="R93" s="28">
        <f>IF($A93="","",IF(OR($F93="",$G93=""),"",IF(ABS($G93-$F93)&gt;zincirTolerans,"ZİNCİR KIRIK","OK")))</f>
        <v/>
      </c>
      <c r="S93" s="28">
        <f>IF($A93="","",1)</f>
        <v/>
      </c>
    </row>
    <row r="94">
      <c r="A94" s="26" t="n"/>
      <c r="B94" s="26" t="n"/>
      <c r="C94" s="29" t="n"/>
      <c r="D94" s="26" t="n"/>
      <c r="E94" s="26" t="n"/>
      <c r="F94" s="27" t="n"/>
      <c r="G94" s="27" t="n"/>
      <c r="H94" s="27" t="n"/>
      <c r="I94" s="27" t="n"/>
      <c r="J94" s="27" t="n"/>
      <c r="K94" s="27" t="n"/>
      <c r="L94" s="26" t="n"/>
      <c r="M94" s="26" t="n"/>
      <c r="N94" s="28">
        <f>IF($A94="","",IF($C94="","",raporTarihi-$C94))</f>
        <v/>
      </c>
      <c r="O94" s="28">
        <f>IF($A94="","",IF($N94="","",IF($N94&lt;=7,"0-7",IF($N94&lt;=30,"8-30",IF($N94&lt;=60,"31-60","60+")))))</f>
        <v/>
      </c>
      <c r="P94" s="28">
        <f>IF($A94="","",IF($B94="","YETİM",IF(COUNTIF(tblKartlar[KartId],$B94)=0,"YETİM","")))</f>
        <v/>
      </c>
      <c r="Q94" s="28">
        <f>IF(OR($A94="",$D94=""),"",IF(OR($D94&amp;"|"&amp;$E94="",COUNTIF(ListeIzinliGecis,$D94&amp;"|"&amp;$E94)&gt;0),"","GEÇERSİZ GEÇİŞ"))</f>
        <v/>
      </c>
      <c r="R94" s="28">
        <f>IF($A94="","",IF(OR($F94="",$G94=""),"",IF(ABS($G94-$F94)&gt;zincirTolerans,"ZİNCİR KIRIK","OK")))</f>
        <v/>
      </c>
      <c r="S94" s="28">
        <f>IF($A94="","",1)</f>
        <v/>
      </c>
    </row>
    <row r="95">
      <c r="A95" s="26" t="n"/>
      <c r="B95" s="26" t="n"/>
      <c r="C95" s="29" t="n"/>
      <c r="D95" s="26" t="n"/>
      <c r="E95" s="26" t="n"/>
      <c r="F95" s="27" t="n"/>
      <c r="G95" s="27" t="n"/>
      <c r="H95" s="27" t="n"/>
      <c r="I95" s="27" t="n"/>
      <c r="J95" s="27" t="n"/>
      <c r="K95" s="27" t="n"/>
      <c r="L95" s="26" t="n"/>
      <c r="M95" s="26" t="n"/>
      <c r="N95" s="28">
        <f>IF($A95="","",IF($C95="","",raporTarihi-$C95))</f>
        <v/>
      </c>
      <c r="O95" s="28">
        <f>IF($A95="","",IF($N95="","",IF($N95&lt;=7,"0-7",IF($N95&lt;=30,"8-30",IF($N95&lt;=60,"31-60","60+")))))</f>
        <v/>
      </c>
      <c r="P95" s="28">
        <f>IF($A95="","",IF($B95="","YETİM",IF(COUNTIF(tblKartlar[KartId],$B95)=0,"YETİM","")))</f>
        <v/>
      </c>
      <c r="Q95" s="28">
        <f>IF(OR($A95="",$D95=""),"",IF(OR($D95&amp;"|"&amp;$E95="",COUNTIF(ListeIzinliGecis,$D95&amp;"|"&amp;$E95)&gt;0),"","GEÇERSİZ GEÇİŞ"))</f>
        <v/>
      </c>
      <c r="R95" s="28">
        <f>IF($A95="","",IF(OR($F95="",$G95=""),"",IF(ABS($G95-$F95)&gt;zincirTolerans,"ZİNCİR KIRIK","OK")))</f>
        <v/>
      </c>
      <c r="S95" s="28">
        <f>IF($A95="","",1)</f>
        <v/>
      </c>
    </row>
    <row r="96">
      <c r="A96" s="26" t="n"/>
      <c r="B96" s="26" t="n"/>
      <c r="C96" s="29" t="n"/>
      <c r="D96" s="26" t="n"/>
      <c r="E96" s="26" t="n"/>
      <c r="F96" s="27" t="n"/>
      <c r="G96" s="27" t="n"/>
      <c r="H96" s="27" t="n"/>
      <c r="I96" s="27" t="n"/>
      <c r="J96" s="27" t="n"/>
      <c r="K96" s="27" t="n"/>
      <c r="L96" s="26" t="n"/>
      <c r="M96" s="26" t="n"/>
      <c r="N96" s="28">
        <f>IF($A96="","",IF($C96="","",raporTarihi-$C96))</f>
        <v/>
      </c>
      <c r="O96" s="28">
        <f>IF($A96="","",IF($N96="","",IF($N96&lt;=7,"0-7",IF($N96&lt;=30,"8-30",IF($N96&lt;=60,"31-60","60+")))))</f>
        <v/>
      </c>
      <c r="P96" s="28">
        <f>IF($A96="","",IF($B96="","YETİM",IF(COUNTIF(tblKartlar[KartId],$B96)=0,"YETİM","")))</f>
        <v/>
      </c>
      <c r="Q96" s="28">
        <f>IF(OR($A96="",$D96=""),"",IF(OR($D96&amp;"|"&amp;$E96="",COUNTIF(ListeIzinliGecis,$D96&amp;"|"&amp;$E96)&gt;0),"","GEÇERSİZ GEÇİŞ"))</f>
        <v/>
      </c>
      <c r="R96" s="28">
        <f>IF($A96="","",IF(OR($F96="",$G96=""),"",IF(ABS($G96-$F96)&gt;zincirTolerans,"ZİNCİR KIRIK","OK")))</f>
        <v/>
      </c>
      <c r="S96" s="28">
        <f>IF($A96="","",1)</f>
        <v/>
      </c>
    </row>
    <row r="97">
      <c r="A97" s="26" t="n"/>
      <c r="B97" s="26" t="n"/>
      <c r="C97" s="29" t="n"/>
      <c r="D97" s="26" t="n"/>
      <c r="E97" s="26" t="n"/>
      <c r="F97" s="27" t="n"/>
      <c r="G97" s="27" t="n"/>
      <c r="H97" s="27" t="n"/>
      <c r="I97" s="27" t="n"/>
      <c r="J97" s="27" t="n"/>
      <c r="K97" s="27" t="n"/>
      <c r="L97" s="26" t="n"/>
      <c r="M97" s="26" t="n"/>
      <c r="N97" s="28">
        <f>IF($A97="","",IF($C97="","",raporTarihi-$C97))</f>
        <v/>
      </c>
      <c r="O97" s="28">
        <f>IF($A97="","",IF($N97="","",IF($N97&lt;=7,"0-7",IF($N97&lt;=30,"8-30",IF($N97&lt;=60,"31-60","60+")))))</f>
        <v/>
      </c>
      <c r="P97" s="28">
        <f>IF($A97="","",IF($B97="","YETİM",IF(COUNTIF(tblKartlar[KartId],$B97)=0,"YETİM","")))</f>
        <v/>
      </c>
      <c r="Q97" s="28">
        <f>IF(OR($A97="",$D97=""),"",IF(OR($D97&amp;"|"&amp;$E97="",COUNTIF(ListeIzinliGecis,$D97&amp;"|"&amp;$E97)&gt;0),"","GEÇERSİZ GEÇİŞ"))</f>
        <v/>
      </c>
      <c r="R97" s="28">
        <f>IF($A97="","",IF(OR($F97="",$G97=""),"",IF(ABS($G97-$F97)&gt;zincirTolerans,"ZİNCİR KIRIK","OK")))</f>
        <v/>
      </c>
      <c r="S97" s="28">
        <f>IF($A97="","",1)</f>
        <v/>
      </c>
    </row>
    <row r="98">
      <c r="A98" s="26" t="n"/>
      <c r="B98" s="26" t="n"/>
      <c r="C98" s="29" t="n"/>
      <c r="D98" s="26" t="n"/>
      <c r="E98" s="26" t="n"/>
      <c r="F98" s="27" t="n"/>
      <c r="G98" s="27" t="n"/>
      <c r="H98" s="27" t="n"/>
      <c r="I98" s="27" t="n"/>
      <c r="J98" s="27" t="n"/>
      <c r="K98" s="27" t="n"/>
      <c r="L98" s="26" t="n"/>
      <c r="M98" s="26" t="n"/>
      <c r="N98" s="28">
        <f>IF($A98="","",IF($C98="","",raporTarihi-$C98))</f>
        <v/>
      </c>
      <c r="O98" s="28">
        <f>IF($A98="","",IF($N98="","",IF($N98&lt;=7,"0-7",IF($N98&lt;=30,"8-30",IF($N98&lt;=60,"31-60","60+")))))</f>
        <v/>
      </c>
      <c r="P98" s="28">
        <f>IF($A98="","",IF($B98="","YETİM",IF(COUNTIF(tblKartlar[KartId],$B98)=0,"YETİM","")))</f>
        <v/>
      </c>
      <c r="Q98" s="28">
        <f>IF(OR($A98="",$D98=""),"",IF(OR($D98&amp;"|"&amp;$E98="",COUNTIF(ListeIzinliGecis,$D98&amp;"|"&amp;$E98)&gt;0),"","GEÇERSİZ GEÇİŞ"))</f>
        <v/>
      </c>
      <c r="R98" s="28">
        <f>IF($A98="","",IF(OR($F98="",$G98=""),"",IF(ABS($G98-$F98)&gt;zincirTolerans,"ZİNCİR KIRIK","OK")))</f>
        <v/>
      </c>
      <c r="S98" s="28">
        <f>IF($A98="","",1)</f>
        <v/>
      </c>
    </row>
    <row r="99">
      <c r="A99" s="26" t="n"/>
      <c r="B99" s="26" t="n"/>
      <c r="C99" s="29" t="n"/>
      <c r="D99" s="26" t="n"/>
      <c r="E99" s="26" t="n"/>
      <c r="F99" s="27" t="n"/>
      <c r="G99" s="27" t="n"/>
      <c r="H99" s="27" t="n"/>
      <c r="I99" s="27" t="n"/>
      <c r="J99" s="27" t="n"/>
      <c r="K99" s="27" t="n"/>
      <c r="L99" s="26" t="n"/>
      <c r="M99" s="26" t="n"/>
      <c r="N99" s="28">
        <f>IF($A99="","",IF($C99="","",raporTarihi-$C99))</f>
        <v/>
      </c>
      <c r="O99" s="28">
        <f>IF($A99="","",IF($N99="","",IF($N99&lt;=7,"0-7",IF($N99&lt;=30,"8-30",IF($N99&lt;=60,"31-60","60+")))))</f>
        <v/>
      </c>
      <c r="P99" s="28">
        <f>IF($A99="","",IF($B99="","YETİM",IF(COUNTIF(tblKartlar[KartId],$B99)=0,"YETİM","")))</f>
        <v/>
      </c>
      <c r="Q99" s="28">
        <f>IF(OR($A99="",$D99=""),"",IF(OR($D99&amp;"|"&amp;$E99="",COUNTIF(ListeIzinliGecis,$D99&amp;"|"&amp;$E99)&gt;0),"","GEÇERSİZ GEÇİŞ"))</f>
        <v/>
      </c>
      <c r="R99" s="28">
        <f>IF($A99="","",IF(OR($F99="",$G99=""),"",IF(ABS($G99-$F99)&gt;zincirTolerans,"ZİNCİR KIRIK","OK")))</f>
        <v/>
      </c>
      <c r="S99" s="28">
        <f>IF($A99="","",1)</f>
        <v/>
      </c>
    </row>
    <row r="100">
      <c r="A100" s="26" t="n"/>
      <c r="B100" s="26" t="n"/>
      <c r="C100" s="29" t="n"/>
      <c r="D100" s="26" t="n"/>
      <c r="E100" s="26" t="n"/>
      <c r="F100" s="27" t="n"/>
      <c r="G100" s="27" t="n"/>
      <c r="H100" s="27" t="n"/>
      <c r="I100" s="27" t="n"/>
      <c r="J100" s="27" t="n"/>
      <c r="K100" s="27" t="n"/>
      <c r="L100" s="26" t="n"/>
      <c r="M100" s="26" t="n"/>
      <c r="N100" s="28">
        <f>IF($A100="","",IF($C100="","",raporTarihi-$C100))</f>
        <v/>
      </c>
      <c r="O100" s="28">
        <f>IF($A100="","",IF($N100="","",IF($N100&lt;=7,"0-7",IF($N100&lt;=30,"8-30",IF($N100&lt;=60,"31-60","60+")))))</f>
        <v/>
      </c>
      <c r="P100" s="28">
        <f>IF($A100="","",IF($B100="","YETİM",IF(COUNTIF(tblKartlar[KartId],$B100)=0,"YETİM","")))</f>
        <v/>
      </c>
      <c r="Q100" s="28">
        <f>IF(OR($A100="",$D100=""),"",IF(OR($D100&amp;"|"&amp;$E100="",COUNTIF(ListeIzinliGecis,$D100&amp;"|"&amp;$E100)&gt;0),"","GEÇERSİZ GEÇİŞ"))</f>
        <v/>
      </c>
      <c r="R100" s="28">
        <f>IF($A100="","",IF(OR($F100="",$G100=""),"",IF(ABS($G100-$F100)&gt;zincirTolerans,"ZİNCİR KIRIK","OK")))</f>
        <v/>
      </c>
      <c r="S100" s="28">
        <f>IF($A100="","",1)</f>
        <v/>
      </c>
    </row>
    <row r="101">
      <c r="A101" s="26" t="n"/>
      <c r="B101" s="26" t="n"/>
      <c r="C101" s="29" t="n"/>
      <c r="D101" s="26" t="n"/>
      <c r="E101" s="26" t="n"/>
      <c r="F101" s="27" t="n"/>
      <c r="G101" s="27" t="n"/>
      <c r="H101" s="27" t="n"/>
      <c r="I101" s="27" t="n"/>
      <c r="J101" s="27" t="n"/>
      <c r="K101" s="27" t="n"/>
      <c r="L101" s="26" t="n"/>
      <c r="M101" s="26" t="n"/>
      <c r="N101" s="28">
        <f>IF($A101="","",IF($C101="","",raporTarihi-$C101))</f>
        <v/>
      </c>
      <c r="O101" s="28">
        <f>IF($A101="","",IF($N101="","",IF($N101&lt;=7,"0-7",IF($N101&lt;=30,"8-30",IF($N101&lt;=60,"31-60","60+")))))</f>
        <v/>
      </c>
      <c r="P101" s="28">
        <f>IF($A101="","",IF($B101="","YETİM",IF(COUNTIF(tblKartlar[KartId],$B101)=0,"YETİM","")))</f>
        <v/>
      </c>
      <c r="Q101" s="28">
        <f>IF(OR($A101="",$D101=""),"",IF(OR($D101&amp;"|"&amp;$E101="",COUNTIF(ListeIzinliGecis,$D101&amp;"|"&amp;$E101)&gt;0),"","GEÇERSİZ GEÇİŞ"))</f>
        <v/>
      </c>
      <c r="R101" s="28">
        <f>IF($A101="","",IF(OR($F101="",$G101=""),"",IF(ABS($G101-$F101)&gt;zincirTolerans,"ZİNCİR KIRIK","OK")))</f>
        <v/>
      </c>
      <c r="S101" s="28">
        <f>IF($A101="","",1)</f>
        <v/>
      </c>
    </row>
    <row r="102">
      <c r="A102" s="26" t="n"/>
      <c r="B102" s="26" t="n"/>
      <c r="C102" s="29" t="n"/>
      <c r="D102" s="26" t="n"/>
      <c r="E102" s="26" t="n"/>
      <c r="F102" s="27" t="n"/>
      <c r="G102" s="27" t="n"/>
      <c r="H102" s="27" t="n"/>
      <c r="I102" s="27" t="n"/>
      <c r="J102" s="27" t="n"/>
      <c r="K102" s="27" t="n"/>
      <c r="L102" s="26" t="n"/>
      <c r="M102" s="26" t="n"/>
      <c r="N102" s="28">
        <f>IF($A102="","",IF($C102="","",raporTarihi-$C102))</f>
        <v/>
      </c>
      <c r="O102" s="28">
        <f>IF($A102="","",IF($N102="","",IF($N102&lt;=7,"0-7",IF($N102&lt;=30,"8-30",IF($N102&lt;=60,"31-60","60+")))))</f>
        <v/>
      </c>
      <c r="P102" s="28">
        <f>IF($A102="","",IF($B102="","YETİM",IF(COUNTIF(tblKartlar[KartId],$B102)=0,"YETİM","")))</f>
        <v/>
      </c>
      <c r="Q102" s="28">
        <f>IF(OR($A102="",$D102=""),"",IF(OR($D102&amp;"|"&amp;$E102="",COUNTIF(ListeIzinliGecis,$D102&amp;"|"&amp;$E102)&gt;0),"","GEÇERSİZ GEÇİŞ"))</f>
        <v/>
      </c>
      <c r="R102" s="28">
        <f>IF($A102="","",IF(OR($F102="",$G102=""),"",IF(ABS($G102-$F102)&gt;zincirTolerans,"ZİNCİR KIRIK","OK")))</f>
        <v/>
      </c>
      <c r="S102" s="28">
        <f>IF($A102="","",1)</f>
        <v/>
      </c>
    </row>
    <row r="103">
      <c r="A103" s="26" t="n"/>
      <c r="B103" s="26" t="n"/>
      <c r="C103" s="29" t="n"/>
      <c r="D103" s="26" t="n"/>
      <c r="E103" s="26" t="n"/>
      <c r="F103" s="27" t="n"/>
      <c r="G103" s="27" t="n"/>
      <c r="H103" s="27" t="n"/>
      <c r="I103" s="27" t="n"/>
      <c r="J103" s="27" t="n"/>
      <c r="K103" s="27" t="n"/>
      <c r="L103" s="26" t="n"/>
      <c r="M103" s="26" t="n"/>
      <c r="N103" s="28">
        <f>IF($A103="","",IF($C103="","",raporTarihi-$C103))</f>
        <v/>
      </c>
      <c r="O103" s="28">
        <f>IF($A103="","",IF($N103="","",IF($N103&lt;=7,"0-7",IF($N103&lt;=30,"8-30",IF($N103&lt;=60,"31-60","60+")))))</f>
        <v/>
      </c>
      <c r="P103" s="28">
        <f>IF($A103="","",IF($B103="","YETİM",IF(COUNTIF(tblKartlar[KartId],$B103)=0,"YETİM","")))</f>
        <v/>
      </c>
      <c r="Q103" s="28">
        <f>IF(OR($A103="",$D103=""),"",IF(OR($D103&amp;"|"&amp;$E103="",COUNTIF(ListeIzinliGecis,$D103&amp;"|"&amp;$E103)&gt;0),"","GEÇERSİZ GEÇİŞ"))</f>
        <v/>
      </c>
      <c r="R103" s="28">
        <f>IF($A103="","",IF(OR($F103="",$G103=""),"",IF(ABS($G103-$F103)&gt;zincirTolerans,"ZİNCİR KIRIK","OK")))</f>
        <v/>
      </c>
      <c r="S103" s="28">
        <f>IF($A103="","",1)</f>
        <v/>
      </c>
    </row>
    <row r="104">
      <c r="A104" s="26" t="n"/>
      <c r="B104" s="26" t="n"/>
      <c r="C104" s="29" t="n"/>
      <c r="D104" s="26" t="n"/>
      <c r="E104" s="26" t="n"/>
      <c r="F104" s="27" t="n"/>
      <c r="G104" s="27" t="n"/>
      <c r="H104" s="27" t="n"/>
      <c r="I104" s="27" t="n"/>
      <c r="J104" s="27" t="n"/>
      <c r="K104" s="27" t="n"/>
      <c r="L104" s="26" t="n"/>
      <c r="M104" s="26" t="n"/>
      <c r="N104" s="28">
        <f>IF($A104="","",IF($C104="","",raporTarihi-$C104))</f>
        <v/>
      </c>
      <c r="O104" s="28">
        <f>IF($A104="","",IF($N104="","",IF($N104&lt;=7,"0-7",IF($N104&lt;=30,"8-30",IF($N104&lt;=60,"31-60","60+")))))</f>
        <v/>
      </c>
      <c r="P104" s="28">
        <f>IF($A104="","",IF($B104="","YETİM",IF(COUNTIF(tblKartlar[KartId],$B104)=0,"YETİM","")))</f>
        <v/>
      </c>
      <c r="Q104" s="28">
        <f>IF(OR($A104="",$D104=""),"",IF(OR($D104&amp;"|"&amp;$E104="",COUNTIF(ListeIzinliGecis,$D104&amp;"|"&amp;$E104)&gt;0),"","GEÇERSİZ GEÇİŞ"))</f>
        <v/>
      </c>
      <c r="R104" s="28">
        <f>IF($A104="","",IF(OR($F104="",$G104=""),"",IF(ABS($G104-$F104)&gt;zincirTolerans,"ZİNCİR KIRIK","OK")))</f>
        <v/>
      </c>
      <c r="S104" s="28">
        <f>IF($A104="","",1)</f>
        <v/>
      </c>
    </row>
    <row r="105">
      <c r="A105" s="26" t="n"/>
      <c r="B105" s="26" t="n"/>
      <c r="C105" s="29" t="n"/>
      <c r="D105" s="26" t="n"/>
      <c r="E105" s="26" t="n"/>
      <c r="F105" s="27" t="n"/>
      <c r="G105" s="27" t="n"/>
      <c r="H105" s="27" t="n"/>
      <c r="I105" s="27" t="n"/>
      <c r="J105" s="27" t="n"/>
      <c r="K105" s="27" t="n"/>
      <c r="L105" s="26" t="n"/>
      <c r="M105" s="26" t="n"/>
      <c r="N105" s="28">
        <f>IF($A105="","",IF($C105="","",raporTarihi-$C105))</f>
        <v/>
      </c>
      <c r="O105" s="28">
        <f>IF($A105="","",IF($N105="","",IF($N105&lt;=7,"0-7",IF($N105&lt;=30,"8-30",IF($N105&lt;=60,"31-60","60+")))))</f>
        <v/>
      </c>
      <c r="P105" s="28">
        <f>IF($A105="","",IF($B105="","YETİM",IF(COUNTIF(tblKartlar[KartId],$B105)=0,"YETİM","")))</f>
        <v/>
      </c>
      <c r="Q105" s="28">
        <f>IF(OR($A105="",$D105=""),"",IF(OR($D105&amp;"|"&amp;$E105="",COUNTIF(ListeIzinliGecis,$D105&amp;"|"&amp;$E105)&gt;0),"","GEÇERSİZ GEÇİŞ"))</f>
        <v/>
      </c>
      <c r="R105" s="28">
        <f>IF($A105="","",IF(OR($F105="",$G105=""),"",IF(ABS($G105-$F105)&gt;zincirTolerans,"ZİNCİR KIRIK","OK")))</f>
        <v/>
      </c>
      <c r="S105" s="28">
        <f>IF($A105="","",1)</f>
        <v/>
      </c>
    </row>
    <row r="106">
      <c r="A106" s="26" t="n"/>
      <c r="B106" s="26" t="n"/>
      <c r="C106" s="29" t="n"/>
      <c r="D106" s="26" t="n"/>
      <c r="E106" s="26" t="n"/>
      <c r="F106" s="27" t="n"/>
      <c r="G106" s="27" t="n"/>
      <c r="H106" s="27" t="n"/>
      <c r="I106" s="27" t="n"/>
      <c r="J106" s="27" t="n"/>
      <c r="K106" s="27" t="n"/>
      <c r="L106" s="26" t="n"/>
      <c r="M106" s="26" t="n"/>
      <c r="N106" s="28">
        <f>IF($A106="","",IF($C106="","",raporTarihi-$C106))</f>
        <v/>
      </c>
      <c r="O106" s="28">
        <f>IF($A106="","",IF($N106="","",IF($N106&lt;=7,"0-7",IF($N106&lt;=30,"8-30",IF($N106&lt;=60,"31-60","60+")))))</f>
        <v/>
      </c>
      <c r="P106" s="28">
        <f>IF($A106="","",IF($B106="","YETİM",IF(COUNTIF(tblKartlar[KartId],$B106)=0,"YETİM","")))</f>
        <v/>
      </c>
      <c r="Q106" s="28">
        <f>IF(OR($A106="",$D106=""),"",IF(OR($D106&amp;"|"&amp;$E106="",COUNTIF(ListeIzinliGecis,$D106&amp;"|"&amp;$E106)&gt;0),"","GEÇERSİZ GEÇİŞ"))</f>
        <v/>
      </c>
      <c r="R106" s="28">
        <f>IF($A106="","",IF(OR($F106="",$G106=""),"",IF(ABS($G106-$F106)&gt;zincirTolerans,"ZİNCİR KIRIK","OK")))</f>
        <v/>
      </c>
      <c r="S106" s="28">
        <f>IF($A106="","",1)</f>
        <v/>
      </c>
    </row>
    <row r="107">
      <c r="A107" s="26" t="n"/>
      <c r="B107" s="26" t="n"/>
      <c r="C107" s="29" t="n"/>
      <c r="D107" s="26" t="n"/>
      <c r="E107" s="26" t="n"/>
      <c r="F107" s="27" t="n"/>
      <c r="G107" s="27" t="n"/>
      <c r="H107" s="27" t="n"/>
      <c r="I107" s="27" t="n"/>
      <c r="J107" s="27" t="n"/>
      <c r="K107" s="27" t="n"/>
      <c r="L107" s="26" t="n"/>
      <c r="M107" s="26" t="n"/>
      <c r="N107" s="28">
        <f>IF($A107="","",IF($C107="","",raporTarihi-$C107))</f>
        <v/>
      </c>
      <c r="O107" s="28">
        <f>IF($A107="","",IF($N107="","",IF($N107&lt;=7,"0-7",IF($N107&lt;=30,"8-30",IF($N107&lt;=60,"31-60","60+")))))</f>
        <v/>
      </c>
      <c r="P107" s="28">
        <f>IF($A107="","",IF($B107="","YETİM",IF(COUNTIF(tblKartlar[KartId],$B107)=0,"YETİM","")))</f>
        <v/>
      </c>
      <c r="Q107" s="28">
        <f>IF(OR($A107="",$D107=""),"",IF(OR($D107&amp;"|"&amp;$E107="",COUNTIF(ListeIzinliGecis,$D107&amp;"|"&amp;$E107)&gt;0),"","GEÇERSİZ GEÇİŞ"))</f>
        <v/>
      </c>
      <c r="R107" s="28">
        <f>IF($A107="","",IF(OR($F107="",$G107=""),"",IF(ABS($G107-$F107)&gt;zincirTolerans,"ZİNCİR KIRIK","OK")))</f>
        <v/>
      </c>
      <c r="S107" s="28">
        <f>IF($A107="","",1)</f>
        <v/>
      </c>
    </row>
    <row r="108">
      <c r="A108" s="26" t="n"/>
      <c r="B108" s="26" t="n"/>
      <c r="C108" s="29" t="n"/>
      <c r="D108" s="26" t="n"/>
      <c r="E108" s="26" t="n"/>
      <c r="F108" s="27" t="n"/>
      <c r="G108" s="27" t="n"/>
      <c r="H108" s="27" t="n"/>
      <c r="I108" s="27" t="n"/>
      <c r="J108" s="27" t="n"/>
      <c r="K108" s="27" t="n"/>
      <c r="L108" s="26" t="n"/>
      <c r="M108" s="26" t="n"/>
      <c r="N108" s="28">
        <f>IF($A108="","",IF($C108="","",raporTarihi-$C108))</f>
        <v/>
      </c>
      <c r="O108" s="28">
        <f>IF($A108="","",IF($N108="","",IF($N108&lt;=7,"0-7",IF($N108&lt;=30,"8-30",IF($N108&lt;=60,"31-60","60+")))))</f>
        <v/>
      </c>
      <c r="P108" s="28">
        <f>IF($A108="","",IF($B108="","YETİM",IF(COUNTIF(tblKartlar[KartId],$B108)=0,"YETİM","")))</f>
        <v/>
      </c>
      <c r="Q108" s="28">
        <f>IF(OR($A108="",$D108=""),"",IF(OR($D108&amp;"|"&amp;$E108="",COUNTIF(ListeIzinliGecis,$D108&amp;"|"&amp;$E108)&gt;0),"","GEÇERSİZ GEÇİŞ"))</f>
        <v/>
      </c>
      <c r="R108" s="28">
        <f>IF($A108="","",IF(OR($F108="",$G108=""),"",IF(ABS($G108-$F108)&gt;zincirTolerans,"ZİNCİR KIRIK","OK")))</f>
        <v/>
      </c>
      <c r="S108" s="28">
        <f>IF($A108="","",1)</f>
        <v/>
      </c>
    </row>
    <row r="109">
      <c r="A109" s="26" t="n"/>
      <c r="B109" s="26" t="n"/>
      <c r="C109" s="29" t="n"/>
      <c r="D109" s="26" t="n"/>
      <c r="E109" s="26" t="n"/>
      <c r="F109" s="27" t="n"/>
      <c r="G109" s="27" t="n"/>
      <c r="H109" s="27" t="n"/>
      <c r="I109" s="27" t="n"/>
      <c r="J109" s="27" t="n"/>
      <c r="K109" s="27" t="n"/>
      <c r="L109" s="26" t="n"/>
      <c r="M109" s="26" t="n"/>
      <c r="N109" s="28">
        <f>IF($A109="","",IF($C109="","",raporTarihi-$C109))</f>
        <v/>
      </c>
      <c r="O109" s="28">
        <f>IF($A109="","",IF($N109="","",IF($N109&lt;=7,"0-7",IF($N109&lt;=30,"8-30",IF($N109&lt;=60,"31-60","60+")))))</f>
        <v/>
      </c>
      <c r="P109" s="28">
        <f>IF($A109="","",IF($B109="","YETİM",IF(COUNTIF(tblKartlar[KartId],$B109)=0,"YETİM","")))</f>
        <v/>
      </c>
      <c r="Q109" s="28">
        <f>IF(OR($A109="",$D109=""),"",IF(OR($D109&amp;"|"&amp;$E109="",COUNTIF(ListeIzinliGecis,$D109&amp;"|"&amp;$E109)&gt;0),"","GEÇERSİZ GEÇİŞ"))</f>
        <v/>
      </c>
      <c r="R109" s="28">
        <f>IF($A109="","",IF(OR($F109="",$G109=""),"",IF(ABS($G109-$F109)&gt;zincirTolerans,"ZİNCİR KIRIK","OK")))</f>
        <v/>
      </c>
      <c r="S109" s="28">
        <f>IF($A109="","",1)</f>
        <v/>
      </c>
    </row>
    <row r="110">
      <c r="A110" s="26" t="n"/>
      <c r="B110" s="26" t="n"/>
      <c r="C110" s="29" t="n"/>
      <c r="D110" s="26" t="n"/>
      <c r="E110" s="26" t="n"/>
      <c r="F110" s="27" t="n"/>
      <c r="G110" s="27" t="n"/>
      <c r="H110" s="27" t="n"/>
      <c r="I110" s="27" t="n"/>
      <c r="J110" s="27" t="n"/>
      <c r="K110" s="27" t="n"/>
      <c r="L110" s="26" t="n"/>
      <c r="M110" s="26" t="n"/>
      <c r="N110" s="28">
        <f>IF($A110="","",IF($C110="","",raporTarihi-$C110))</f>
        <v/>
      </c>
      <c r="O110" s="28">
        <f>IF($A110="","",IF($N110="","",IF($N110&lt;=7,"0-7",IF($N110&lt;=30,"8-30",IF($N110&lt;=60,"31-60","60+")))))</f>
        <v/>
      </c>
      <c r="P110" s="28">
        <f>IF($A110="","",IF($B110="","YETİM",IF(COUNTIF(tblKartlar[KartId],$B110)=0,"YETİM","")))</f>
        <v/>
      </c>
      <c r="Q110" s="28">
        <f>IF(OR($A110="",$D110=""),"",IF(OR($D110&amp;"|"&amp;$E110="",COUNTIF(ListeIzinliGecis,$D110&amp;"|"&amp;$E110)&gt;0),"","GEÇERSİZ GEÇİŞ"))</f>
        <v/>
      </c>
      <c r="R110" s="28">
        <f>IF($A110="","",IF(OR($F110="",$G110=""),"",IF(ABS($G110-$F110)&gt;zincirTolerans,"ZİNCİR KIRIK","OK")))</f>
        <v/>
      </c>
      <c r="S110" s="28">
        <f>IF($A110="","",1)</f>
        <v/>
      </c>
    </row>
    <row r="111">
      <c r="A111" s="26" t="n"/>
      <c r="B111" s="26" t="n"/>
      <c r="C111" s="29" t="n"/>
      <c r="D111" s="26" t="n"/>
      <c r="E111" s="26" t="n"/>
      <c r="F111" s="27" t="n"/>
      <c r="G111" s="27" t="n"/>
      <c r="H111" s="27" t="n"/>
      <c r="I111" s="27" t="n"/>
      <c r="J111" s="27" t="n"/>
      <c r="K111" s="27" t="n"/>
      <c r="L111" s="26" t="n"/>
      <c r="M111" s="26" t="n"/>
      <c r="N111" s="28">
        <f>IF($A111="","",IF($C111="","",raporTarihi-$C111))</f>
        <v/>
      </c>
      <c r="O111" s="28">
        <f>IF($A111="","",IF($N111="","",IF($N111&lt;=7,"0-7",IF($N111&lt;=30,"8-30",IF($N111&lt;=60,"31-60","60+")))))</f>
        <v/>
      </c>
      <c r="P111" s="28">
        <f>IF($A111="","",IF($B111="","YETİM",IF(COUNTIF(tblKartlar[KartId],$B111)=0,"YETİM","")))</f>
        <v/>
      </c>
      <c r="Q111" s="28">
        <f>IF(OR($A111="",$D111=""),"",IF(OR($D111&amp;"|"&amp;$E111="",COUNTIF(ListeIzinliGecis,$D111&amp;"|"&amp;$E111)&gt;0),"","GEÇERSİZ GEÇİŞ"))</f>
        <v/>
      </c>
      <c r="R111" s="28">
        <f>IF($A111="","",IF(OR($F111="",$G111=""),"",IF(ABS($G111-$F111)&gt;zincirTolerans,"ZİNCİR KIRIK","OK")))</f>
        <v/>
      </c>
      <c r="S111" s="28">
        <f>IF($A111="","",1)</f>
        <v/>
      </c>
    </row>
    <row r="112">
      <c r="A112" s="26" t="n"/>
      <c r="B112" s="26" t="n"/>
      <c r="C112" s="29" t="n"/>
      <c r="D112" s="26" t="n"/>
      <c r="E112" s="26" t="n"/>
      <c r="F112" s="27" t="n"/>
      <c r="G112" s="27" t="n"/>
      <c r="H112" s="27" t="n"/>
      <c r="I112" s="27" t="n"/>
      <c r="J112" s="27" t="n"/>
      <c r="K112" s="27" t="n"/>
      <c r="L112" s="26" t="n"/>
      <c r="M112" s="26" t="n"/>
      <c r="N112" s="28">
        <f>IF($A112="","",IF($C112="","",raporTarihi-$C112))</f>
        <v/>
      </c>
      <c r="O112" s="28">
        <f>IF($A112="","",IF($N112="","",IF($N112&lt;=7,"0-7",IF($N112&lt;=30,"8-30",IF($N112&lt;=60,"31-60","60+")))))</f>
        <v/>
      </c>
      <c r="P112" s="28">
        <f>IF($A112="","",IF($B112="","YETİM",IF(COUNTIF(tblKartlar[KartId],$B112)=0,"YETİM","")))</f>
        <v/>
      </c>
      <c r="Q112" s="28">
        <f>IF(OR($A112="",$D112=""),"",IF(OR($D112&amp;"|"&amp;$E112="",COUNTIF(ListeIzinliGecis,$D112&amp;"|"&amp;$E112)&gt;0),"","GEÇERSİZ GEÇİŞ"))</f>
        <v/>
      </c>
      <c r="R112" s="28">
        <f>IF($A112="","",IF(OR($F112="",$G112=""),"",IF(ABS($G112-$F112)&gt;zincirTolerans,"ZİNCİR KIRIK","OK")))</f>
        <v/>
      </c>
      <c r="S112" s="28">
        <f>IF($A112="","",1)</f>
        <v/>
      </c>
    </row>
    <row r="113">
      <c r="A113" s="26" t="n"/>
      <c r="B113" s="26" t="n"/>
      <c r="C113" s="29" t="n"/>
      <c r="D113" s="26" t="n"/>
      <c r="E113" s="26" t="n"/>
      <c r="F113" s="27" t="n"/>
      <c r="G113" s="27" t="n"/>
      <c r="H113" s="27" t="n"/>
      <c r="I113" s="27" t="n"/>
      <c r="J113" s="27" t="n"/>
      <c r="K113" s="27" t="n"/>
      <c r="L113" s="26" t="n"/>
      <c r="M113" s="26" t="n"/>
      <c r="N113" s="28">
        <f>IF($A113="","",IF($C113="","",raporTarihi-$C113))</f>
        <v/>
      </c>
      <c r="O113" s="28">
        <f>IF($A113="","",IF($N113="","",IF($N113&lt;=7,"0-7",IF($N113&lt;=30,"8-30",IF($N113&lt;=60,"31-60","60+")))))</f>
        <v/>
      </c>
      <c r="P113" s="28">
        <f>IF($A113="","",IF($B113="","YETİM",IF(COUNTIF(tblKartlar[KartId],$B113)=0,"YETİM","")))</f>
        <v/>
      </c>
      <c r="Q113" s="28">
        <f>IF(OR($A113="",$D113=""),"",IF(OR($D113&amp;"|"&amp;$E113="",COUNTIF(ListeIzinliGecis,$D113&amp;"|"&amp;$E113)&gt;0),"","GEÇERSİZ GEÇİŞ"))</f>
        <v/>
      </c>
      <c r="R113" s="28">
        <f>IF($A113="","",IF(OR($F113="",$G113=""),"",IF(ABS($G113-$F113)&gt;zincirTolerans,"ZİNCİR KIRIK","OK")))</f>
        <v/>
      </c>
      <c r="S113" s="28">
        <f>IF($A113="","",1)</f>
        <v/>
      </c>
    </row>
    <row r="114">
      <c r="A114" s="26" t="n"/>
      <c r="B114" s="26" t="n"/>
      <c r="C114" s="29" t="n"/>
      <c r="D114" s="26" t="n"/>
      <c r="E114" s="26" t="n"/>
      <c r="F114" s="27" t="n"/>
      <c r="G114" s="27" t="n"/>
      <c r="H114" s="27" t="n"/>
      <c r="I114" s="27" t="n"/>
      <c r="J114" s="27" t="n"/>
      <c r="K114" s="27" t="n"/>
      <c r="L114" s="26" t="n"/>
      <c r="M114" s="26" t="n"/>
      <c r="N114" s="28">
        <f>IF($A114="","",IF($C114="","",raporTarihi-$C114))</f>
        <v/>
      </c>
      <c r="O114" s="28">
        <f>IF($A114="","",IF($N114="","",IF($N114&lt;=7,"0-7",IF($N114&lt;=30,"8-30",IF($N114&lt;=60,"31-60","60+")))))</f>
        <v/>
      </c>
      <c r="P114" s="28">
        <f>IF($A114="","",IF($B114="","YETİM",IF(COUNTIF(tblKartlar[KartId],$B114)=0,"YETİM","")))</f>
        <v/>
      </c>
      <c r="Q114" s="28">
        <f>IF(OR($A114="",$D114=""),"",IF(OR($D114&amp;"|"&amp;$E114="",COUNTIF(ListeIzinliGecis,$D114&amp;"|"&amp;$E114)&gt;0),"","GEÇERSİZ GEÇİŞ"))</f>
        <v/>
      </c>
      <c r="R114" s="28">
        <f>IF($A114="","",IF(OR($F114="",$G114=""),"",IF(ABS($G114-$F114)&gt;zincirTolerans,"ZİNCİR KIRIK","OK")))</f>
        <v/>
      </c>
      <c r="S114" s="28">
        <f>IF($A114="","",1)</f>
        <v/>
      </c>
    </row>
    <row r="115">
      <c r="A115" s="26" t="n"/>
      <c r="B115" s="26" t="n"/>
      <c r="C115" s="29" t="n"/>
      <c r="D115" s="26" t="n"/>
      <c r="E115" s="26" t="n"/>
      <c r="F115" s="27" t="n"/>
      <c r="G115" s="27" t="n"/>
      <c r="H115" s="27" t="n"/>
      <c r="I115" s="27" t="n"/>
      <c r="J115" s="27" t="n"/>
      <c r="K115" s="27" t="n"/>
      <c r="L115" s="26" t="n"/>
      <c r="M115" s="26" t="n"/>
      <c r="N115" s="28">
        <f>IF($A115="","",IF($C115="","",raporTarihi-$C115))</f>
        <v/>
      </c>
      <c r="O115" s="28">
        <f>IF($A115="","",IF($N115="","",IF($N115&lt;=7,"0-7",IF($N115&lt;=30,"8-30",IF($N115&lt;=60,"31-60","60+")))))</f>
        <v/>
      </c>
      <c r="P115" s="28">
        <f>IF($A115="","",IF($B115="","YETİM",IF(COUNTIF(tblKartlar[KartId],$B115)=0,"YETİM","")))</f>
        <v/>
      </c>
      <c r="Q115" s="28">
        <f>IF(OR($A115="",$D115=""),"",IF(OR($D115&amp;"|"&amp;$E115="",COUNTIF(ListeIzinliGecis,$D115&amp;"|"&amp;$E115)&gt;0),"","GEÇERSİZ GEÇİŞ"))</f>
        <v/>
      </c>
      <c r="R115" s="28">
        <f>IF($A115="","",IF(OR($F115="",$G115=""),"",IF(ABS($G115-$F115)&gt;zincirTolerans,"ZİNCİR KIRIK","OK")))</f>
        <v/>
      </c>
      <c r="S115" s="28">
        <f>IF($A115="","",1)</f>
        <v/>
      </c>
    </row>
    <row r="116">
      <c r="A116" s="26" t="n"/>
      <c r="B116" s="26" t="n"/>
      <c r="C116" s="29" t="n"/>
      <c r="D116" s="26" t="n"/>
      <c r="E116" s="26" t="n"/>
      <c r="F116" s="27" t="n"/>
      <c r="G116" s="27" t="n"/>
      <c r="H116" s="27" t="n"/>
      <c r="I116" s="27" t="n"/>
      <c r="J116" s="27" t="n"/>
      <c r="K116" s="27" t="n"/>
      <c r="L116" s="26" t="n"/>
      <c r="M116" s="26" t="n"/>
      <c r="N116" s="28">
        <f>IF($A116="","",IF($C116="","",raporTarihi-$C116))</f>
        <v/>
      </c>
      <c r="O116" s="28">
        <f>IF($A116="","",IF($N116="","",IF($N116&lt;=7,"0-7",IF($N116&lt;=30,"8-30",IF($N116&lt;=60,"31-60","60+")))))</f>
        <v/>
      </c>
      <c r="P116" s="28">
        <f>IF($A116="","",IF($B116="","YETİM",IF(COUNTIF(tblKartlar[KartId],$B116)=0,"YETİM","")))</f>
        <v/>
      </c>
      <c r="Q116" s="28">
        <f>IF(OR($A116="",$D116=""),"",IF(OR($D116&amp;"|"&amp;$E116="",COUNTIF(ListeIzinliGecis,$D116&amp;"|"&amp;$E116)&gt;0),"","GEÇERSİZ GEÇİŞ"))</f>
        <v/>
      </c>
      <c r="R116" s="28">
        <f>IF($A116="","",IF(OR($F116="",$G116=""),"",IF(ABS($G116-$F116)&gt;zincirTolerans,"ZİNCİR KIRIK","OK")))</f>
        <v/>
      </c>
      <c r="S116" s="28">
        <f>IF($A116="","",1)</f>
        <v/>
      </c>
    </row>
    <row r="117">
      <c r="A117" s="26" t="n"/>
      <c r="B117" s="26" t="n"/>
      <c r="C117" s="29" t="n"/>
      <c r="D117" s="26" t="n"/>
      <c r="E117" s="26" t="n"/>
      <c r="F117" s="27" t="n"/>
      <c r="G117" s="27" t="n"/>
      <c r="H117" s="27" t="n"/>
      <c r="I117" s="27" t="n"/>
      <c r="J117" s="27" t="n"/>
      <c r="K117" s="27" t="n"/>
      <c r="L117" s="26" t="n"/>
      <c r="M117" s="26" t="n"/>
      <c r="N117" s="28">
        <f>IF($A117="","",IF($C117="","",raporTarihi-$C117))</f>
        <v/>
      </c>
      <c r="O117" s="28">
        <f>IF($A117="","",IF($N117="","",IF($N117&lt;=7,"0-7",IF($N117&lt;=30,"8-30",IF($N117&lt;=60,"31-60","60+")))))</f>
        <v/>
      </c>
      <c r="P117" s="28">
        <f>IF($A117="","",IF($B117="","YETİM",IF(COUNTIF(tblKartlar[KartId],$B117)=0,"YETİM","")))</f>
        <v/>
      </c>
      <c r="Q117" s="28">
        <f>IF(OR($A117="",$D117=""),"",IF(OR($D117&amp;"|"&amp;$E117="",COUNTIF(ListeIzinliGecis,$D117&amp;"|"&amp;$E117)&gt;0),"","GEÇERSİZ GEÇİŞ"))</f>
        <v/>
      </c>
      <c r="R117" s="28">
        <f>IF($A117="","",IF(OR($F117="",$G117=""),"",IF(ABS($G117-$F117)&gt;zincirTolerans,"ZİNCİR KIRIK","OK")))</f>
        <v/>
      </c>
      <c r="S117" s="28">
        <f>IF($A117="","",1)</f>
        <v/>
      </c>
    </row>
    <row r="118">
      <c r="A118" s="26" t="n"/>
      <c r="B118" s="26" t="n"/>
      <c r="C118" s="29" t="n"/>
      <c r="D118" s="26" t="n"/>
      <c r="E118" s="26" t="n"/>
      <c r="F118" s="27" t="n"/>
      <c r="G118" s="27" t="n"/>
      <c r="H118" s="27" t="n"/>
      <c r="I118" s="27" t="n"/>
      <c r="J118" s="27" t="n"/>
      <c r="K118" s="27" t="n"/>
      <c r="L118" s="26" t="n"/>
      <c r="M118" s="26" t="n"/>
      <c r="N118" s="28">
        <f>IF($A118="","",IF($C118="","",raporTarihi-$C118))</f>
        <v/>
      </c>
      <c r="O118" s="28">
        <f>IF($A118="","",IF($N118="","",IF($N118&lt;=7,"0-7",IF($N118&lt;=30,"8-30",IF($N118&lt;=60,"31-60","60+")))))</f>
        <v/>
      </c>
      <c r="P118" s="28">
        <f>IF($A118="","",IF($B118="","YETİM",IF(COUNTIF(tblKartlar[KartId],$B118)=0,"YETİM","")))</f>
        <v/>
      </c>
      <c r="Q118" s="28">
        <f>IF(OR($A118="",$D118=""),"",IF(OR($D118&amp;"|"&amp;$E118="",COUNTIF(ListeIzinliGecis,$D118&amp;"|"&amp;$E118)&gt;0),"","GEÇERSİZ GEÇİŞ"))</f>
        <v/>
      </c>
      <c r="R118" s="28">
        <f>IF($A118="","",IF(OR($F118="",$G118=""),"",IF(ABS($G118-$F118)&gt;zincirTolerans,"ZİNCİR KIRIK","OK")))</f>
        <v/>
      </c>
      <c r="S118" s="28">
        <f>IF($A118="","",1)</f>
        <v/>
      </c>
    </row>
    <row r="119">
      <c r="A119" s="26" t="n"/>
      <c r="B119" s="26" t="n"/>
      <c r="C119" s="29" t="n"/>
      <c r="D119" s="26" t="n"/>
      <c r="E119" s="26" t="n"/>
      <c r="F119" s="27" t="n"/>
      <c r="G119" s="27" t="n"/>
      <c r="H119" s="27" t="n"/>
      <c r="I119" s="27" t="n"/>
      <c r="J119" s="27" t="n"/>
      <c r="K119" s="27" t="n"/>
      <c r="L119" s="26" t="n"/>
      <c r="M119" s="26" t="n"/>
      <c r="N119" s="28">
        <f>IF($A119="","",IF($C119="","",raporTarihi-$C119))</f>
        <v/>
      </c>
      <c r="O119" s="28">
        <f>IF($A119="","",IF($N119="","",IF($N119&lt;=7,"0-7",IF($N119&lt;=30,"8-30",IF($N119&lt;=60,"31-60","60+")))))</f>
        <v/>
      </c>
      <c r="P119" s="28">
        <f>IF($A119="","",IF($B119="","YETİM",IF(COUNTIF(tblKartlar[KartId],$B119)=0,"YETİM","")))</f>
        <v/>
      </c>
      <c r="Q119" s="28">
        <f>IF(OR($A119="",$D119=""),"",IF(OR($D119&amp;"|"&amp;$E119="",COUNTIF(ListeIzinliGecis,$D119&amp;"|"&amp;$E119)&gt;0),"","GEÇERSİZ GEÇİŞ"))</f>
        <v/>
      </c>
      <c r="R119" s="28">
        <f>IF($A119="","",IF(OR($F119="",$G119=""),"",IF(ABS($G119-$F119)&gt;zincirTolerans,"ZİNCİR KIRIK","OK")))</f>
        <v/>
      </c>
      <c r="S119" s="28">
        <f>IF($A119="","",1)</f>
        <v/>
      </c>
    </row>
    <row r="120">
      <c r="A120" s="26" t="n"/>
      <c r="B120" s="26" t="n"/>
      <c r="C120" s="29" t="n"/>
      <c r="D120" s="26" t="n"/>
      <c r="E120" s="26" t="n"/>
      <c r="F120" s="27" t="n"/>
      <c r="G120" s="27" t="n"/>
      <c r="H120" s="27" t="n"/>
      <c r="I120" s="27" t="n"/>
      <c r="J120" s="27" t="n"/>
      <c r="K120" s="27" t="n"/>
      <c r="L120" s="26" t="n"/>
      <c r="M120" s="26" t="n"/>
      <c r="N120" s="28">
        <f>IF($A120="","",IF($C120="","",raporTarihi-$C120))</f>
        <v/>
      </c>
      <c r="O120" s="28">
        <f>IF($A120="","",IF($N120="","",IF($N120&lt;=7,"0-7",IF($N120&lt;=30,"8-30",IF($N120&lt;=60,"31-60","60+")))))</f>
        <v/>
      </c>
      <c r="P120" s="28">
        <f>IF($A120="","",IF($B120="","YETİM",IF(COUNTIF(tblKartlar[KartId],$B120)=0,"YETİM","")))</f>
        <v/>
      </c>
      <c r="Q120" s="28">
        <f>IF(OR($A120="",$D120=""),"",IF(OR($D120&amp;"|"&amp;$E120="",COUNTIF(ListeIzinliGecis,$D120&amp;"|"&amp;$E120)&gt;0),"","GEÇERSİZ GEÇİŞ"))</f>
        <v/>
      </c>
      <c r="R120" s="28">
        <f>IF($A120="","",IF(OR($F120="",$G120=""),"",IF(ABS($G120-$F120)&gt;zincirTolerans,"ZİNCİR KIRIK","OK")))</f>
        <v/>
      </c>
      <c r="S120" s="28">
        <f>IF($A120="","",1)</f>
        <v/>
      </c>
    </row>
    <row r="121">
      <c r="A121" s="26" t="n"/>
      <c r="B121" s="26" t="n"/>
      <c r="C121" s="29" t="n"/>
      <c r="D121" s="26" t="n"/>
      <c r="E121" s="26" t="n"/>
      <c r="F121" s="27" t="n"/>
      <c r="G121" s="27" t="n"/>
      <c r="H121" s="27" t="n"/>
      <c r="I121" s="27" t="n"/>
      <c r="J121" s="27" t="n"/>
      <c r="K121" s="27" t="n"/>
      <c r="L121" s="26" t="n"/>
      <c r="M121" s="26" t="n"/>
      <c r="N121" s="28">
        <f>IF($A121="","",IF($C121="","",raporTarihi-$C121))</f>
        <v/>
      </c>
      <c r="O121" s="28">
        <f>IF($A121="","",IF($N121="","",IF($N121&lt;=7,"0-7",IF($N121&lt;=30,"8-30",IF($N121&lt;=60,"31-60","60+")))))</f>
        <v/>
      </c>
      <c r="P121" s="28">
        <f>IF($A121="","",IF($B121="","YETİM",IF(COUNTIF(tblKartlar[KartId],$B121)=0,"YETİM","")))</f>
        <v/>
      </c>
      <c r="Q121" s="28">
        <f>IF(OR($A121="",$D121=""),"",IF(OR($D121&amp;"|"&amp;$E121="",COUNTIF(ListeIzinliGecis,$D121&amp;"|"&amp;$E121)&gt;0),"","GEÇERSİZ GEÇİŞ"))</f>
        <v/>
      </c>
      <c r="R121" s="28">
        <f>IF($A121="","",IF(OR($F121="",$G121=""),"",IF(ABS($G121-$F121)&gt;zincirTolerans,"ZİNCİR KIRIK","OK")))</f>
        <v/>
      </c>
      <c r="S121" s="28">
        <f>IF($A121="","",1)</f>
        <v/>
      </c>
    </row>
    <row r="122">
      <c r="A122" s="26" t="n"/>
      <c r="B122" s="26" t="n"/>
      <c r="C122" s="29" t="n"/>
      <c r="D122" s="26" t="n"/>
      <c r="E122" s="26" t="n"/>
      <c r="F122" s="27" t="n"/>
      <c r="G122" s="27" t="n"/>
      <c r="H122" s="27" t="n"/>
      <c r="I122" s="27" t="n"/>
      <c r="J122" s="27" t="n"/>
      <c r="K122" s="27" t="n"/>
      <c r="L122" s="26" t="n"/>
      <c r="M122" s="26" t="n"/>
      <c r="N122" s="28">
        <f>IF($A122="","",IF($C122="","",raporTarihi-$C122))</f>
        <v/>
      </c>
      <c r="O122" s="28">
        <f>IF($A122="","",IF($N122="","",IF($N122&lt;=7,"0-7",IF($N122&lt;=30,"8-30",IF($N122&lt;=60,"31-60","60+")))))</f>
        <v/>
      </c>
      <c r="P122" s="28">
        <f>IF($A122="","",IF($B122="","YETİM",IF(COUNTIF(tblKartlar[KartId],$B122)=0,"YETİM","")))</f>
        <v/>
      </c>
      <c r="Q122" s="28">
        <f>IF(OR($A122="",$D122=""),"",IF(OR($D122&amp;"|"&amp;$E122="",COUNTIF(ListeIzinliGecis,$D122&amp;"|"&amp;$E122)&gt;0),"","GEÇERSİZ GEÇİŞ"))</f>
        <v/>
      </c>
      <c r="R122" s="28">
        <f>IF($A122="","",IF(OR($F122="",$G122=""),"",IF(ABS($G122-$F122)&gt;zincirTolerans,"ZİNCİR KIRIK","OK")))</f>
        <v/>
      </c>
      <c r="S122" s="28">
        <f>IF($A122="","",1)</f>
        <v/>
      </c>
    </row>
    <row r="123">
      <c r="A123" s="26" t="n"/>
      <c r="B123" s="26" t="n"/>
      <c r="C123" s="29" t="n"/>
      <c r="D123" s="26" t="n"/>
      <c r="E123" s="26" t="n"/>
      <c r="F123" s="27" t="n"/>
      <c r="G123" s="27" t="n"/>
      <c r="H123" s="27" t="n"/>
      <c r="I123" s="27" t="n"/>
      <c r="J123" s="27" t="n"/>
      <c r="K123" s="27" t="n"/>
      <c r="L123" s="26" t="n"/>
      <c r="M123" s="26" t="n"/>
      <c r="N123" s="28">
        <f>IF($A123="","",IF($C123="","",raporTarihi-$C123))</f>
        <v/>
      </c>
      <c r="O123" s="28">
        <f>IF($A123="","",IF($N123="","",IF($N123&lt;=7,"0-7",IF($N123&lt;=30,"8-30",IF($N123&lt;=60,"31-60","60+")))))</f>
        <v/>
      </c>
      <c r="P123" s="28">
        <f>IF($A123="","",IF($B123="","YETİM",IF(COUNTIF(tblKartlar[KartId],$B123)=0,"YETİM","")))</f>
        <v/>
      </c>
      <c r="Q123" s="28">
        <f>IF(OR($A123="",$D123=""),"",IF(OR($D123&amp;"|"&amp;$E123="",COUNTIF(ListeIzinliGecis,$D123&amp;"|"&amp;$E123)&gt;0),"","GEÇERSİZ GEÇİŞ"))</f>
        <v/>
      </c>
      <c r="R123" s="28">
        <f>IF($A123="","",IF(OR($F123="",$G123=""),"",IF(ABS($G123-$F123)&gt;zincirTolerans,"ZİNCİR KIRIK","OK")))</f>
        <v/>
      </c>
      <c r="S123" s="28">
        <f>IF($A123="","",1)</f>
        <v/>
      </c>
    </row>
    <row r="124">
      <c r="A124" s="26" t="n"/>
      <c r="B124" s="26" t="n"/>
      <c r="C124" s="29" t="n"/>
      <c r="D124" s="26" t="n"/>
      <c r="E124" s="26" t="n"/>
      <c r="F124" s="27" t="n"/>
      <c r="G124" s="27" t="n"/>
      <c r="H124" s="27" t="n"/>
      <c r="I124" s="27" t="n"/>
      <c r="J124" s="27" t="n"/>
      <c r="K124" s="27" t="n"/>
      <c r="L124" s="26" t="n"/>
      <c r="M124" s="26" t="n"/>
      <c r="N124" s="28">
        <f>IF($A124="","",IF($C124="","",raporTarihi-$C124))</f>
        <v/>
      </c>
      <c r="O124" s="28">
        <f>IF($A124="","",IF($N124="","",IF($N124&lt;=7,"0-7",IF($N124&lt;=30,"8-30",IF($N124&lt;=60,"31-60","60+")))))</f>
        <v/>
      </c>
      <c r="P124" s="28">
        <f>IF($A124="","",IF($B124="","YETİM",IF(COUNTIF(tblKartlar[KartId],$B124)=0,"YETİM","")))</f>
        <v/>
      </c>
      <c r="Q124" s="28">
        <f>IF(OR($A124="",$D124=""),"",IF(OR($D124&amp;"|"&amp;$E124="",COUNTIF(ListeIzinliGecis,$D124&amp;"|"&amp;$E124)&gt;0),"","GEÇERSİZ GEÇİŞ"))</f>
        <v/>
      </c>
      <c r="R124" s="28">
        <f>IF($A124="","",IF(OR($F124="",$G124=""),"",IF(ABS($G124-$F124)&gt;zincirTolerans,"ZİNCİR KIRIK","OK")))</f>
        <v/>
      </c>
      <c r="S124" s="28">
        <f>IF($A124="","",1)</f>
        <v/>
      </c>
    </row>
    <row r="125">
      <c r="A125" s="26" t="n"/>
      <c r="B125" s="26" t="n"/>
      <c r="C125" s="29" t="n"/>
      <c r="D125" s="26" t="n"/>
      <c r="E125" s="26" t="n"/>
      <c r="F125" s="27" t="n"/>
      <c r="G125" s="27" t="n"/>
      <c r="H125" s="27" t="n"/>
      <c r="I125" s="27" t="n"/>
      <c r="J125" s="27" t="n"/>
      <c r="K125" s="27" t="n"/>
      <c r="L125" s="26" t="n"/>
      <c r="M125" s="26" t="n"/>
      <c r="N125" s="28">
        <f>IF($A125="","",IF($C125="","",raporTarihi-$C125))</f>
        <v/>
      </c>
      <c r="O125" s="28">
        <f>IF($A125="","",IF($N125="","",IF($N125&lt;=7,"0-7",IF($N125&lt;=30,"8-30",IF($N125&lt;=60,"31-60","60+")))))</f>
        <v/>
      </c>
      <c r="P125" s="28">
        <f>IF($A125="","",IF($B125="","YETİM",IF(COUNTIF(tblKartlar[KartId],$B125)=0,"YETİM","")))</f>
        <v/>
      </c>
      <c r="Q125" s="28">
        <f>IF(OR($A125="",$D125=""),"",IF(OR($D125&amp;"|"&amp;$E125="",COUNTIF(ListeIzinliGecis,$D125&amp;"|"&amp;$E125)&gt;0),"","GEÇERSİZ GEÇİŞ"))</f>
        <v/>
      </c>
      <c r="R125" s="28">
        <f>IF($A125="","",IF(OR($F125="",$G125=""),"",IF(ABS($G125-$F125)&gt;zincirTolerans,"ZİNCİR KIRIK","OK")))</f>
        <v/>
      </c>
      <c r="S125" s="28">
        <f>IF($A125="","",1)</f>
        <v/>
      </c>
    </row>
    <row r="126">
      <c r="A126" s="26" t="n"/>
      <c r="B126" s="26" t="n"/>
      <c r="C126" s="29" t="n"/>
      <c r="D126" s="26" t="n"/>
      <c r="E126" s="26" t="n"/>
      <c r="F126" s="27" t="n"/>
      <c r="G126" s="27" t="n"/>
      <c r="H126" s="27" t="n"/>
      <c r="I126" s="27" t="n"/>
      <c r="J126" s="27" t="n"/>
      <c r="K126" s="27" t="n"/>
      <c r="L126" s="26" t="n"/>
      <c r="M126" s="26" t="n"/>
      <c r="N126" s="28">
        <f>IF($A126="","",IF($C126="","",raporTarihi-$C126))</f>
        <v/>
      </c>
      <c r="O126" s="28">
        <f>IF($A126="","",IF($N126="","",IF($N126&lt;=7,"0-7",IF($N126&lt;=30,"8-30",IF($N126&lt;=60,"31-60","60+")))))</f>
        <v/>
      </c>
      <c r="P126" s="28">
        <f>IF($A126="","",IF($B126="","YETİM",IF(COUNTIF(tblKartlar[KartId],$B126)=0,"YETİM","")))</f>
        <v/>
      </c>
      <c r="Q126" s="28">
        <f>IF(OR($A126="",$D126=""),"",IF(OR($D126&amp;"|"&amp;$E126="",COUNTIF(ListeIzinliGecis,$D126&amp;"|"&amp;$E126)&gt;0),"","GEÇERSİZ GEÇİŞ"))</f>
        <v/>
      </c>
      <c r="R126" s="28">
        <f>IF($A126="","",IF(OR($F126="",$G126=""),"",IF(ABS($G126-$F126)&gt;zincirTolerans,"ZİNCİR KIRIK","OK")))</f>
        <v/>
      </c>
      <c r="S126" s="28">
        <f>IF($A126="","",1)</f>
        <v/>
      </c>
    </row>
    <row r="127">
      <c r="A127" s="26" t="n"/>
      <c r="B127" s="26" t="n"/>
      <c r="C127" s="29" t="n"/>
      <c r="D127" s="26" t="n"/>
      <c r="E127" s="26" t="n"/>
      <c r="F127" s="27" t="n"/>
      <c r="G127" s="27" t="n"/>
      <c r="H127" s="27" t="n"/>
      <c r="I127" s="27" t="n"/>
      <c r="J127" s="27" t="n"/>
      <c r="K127" s="27" t="n"/>
      <c r="L127" s="26" t="n"/>
      <c r="M127" s="26" t="n"/>
      <c r="N127" s="28">
        <f>IF($A127="","",IF($C127="","",raporTarihi-$C127))</f>
        <v/>
      </c>
      <c r="O127" s="28">
        <f>IF($A127="","",IF($N127="","",IF($N127&lt;=7,"0-7",IF($N127&lt;=30,"8-30",IF($N127&lt;=60,"31-60","60+")))))</f>
        <v/>
      </c>
      <c r="P127" s="28">
        <f>IF($A127="","",IF($B127="","YETİM",IF(COUNTIF(tblKartlar[KartId],$B127)=0,"YETİM","")))</f>
        <v/>
      </c>
      <c r="Q127" s="28">
        <f>IF(OR($A127="",$D127=""),"",IF(OR($D127&amp;"|"&amp;$E127="",COUNTIF(ListeIzinliGecis,$D127&amp;"|"&amp;$E127)&gt;0),"","GEÇERSİZ GEÇİŞ"))</f>
        <v/>
      </c>
      <c r="R127" s="28">
        <f>IF($A127="","",IF(OR($F127="",$G127=""),"",IF(ABS($G127-$F127)&gt;zincirTolerans,"ZİNCİR KIRIK","OK")))</f>
        <v/>
      </c>
      <c r="S127" s="28">
        <f>IF($A127="","",1)</f>
        <v/>
      </c>
    </row>
    <row r="128">
      <c r="A128" s="26" t="n"/>
      <c r="B128" s="26" t="n"/>
      <c r="C128" s="29" t="n"/>
      <c r="D128" s="26" t="n"/>
      <c r="E128" s="26" t="n"/>
      <c r="F128" s="27" t="n"/>
      <c r="G128" s="27" t="n"/>
      <c r="H128" s="27" t="n"/>
      <c r="I128" s="27" t="n"/>
      <c r="J128" s="27" t="n"/>
      <c r="K128" s="27" t="n"/>
      <c r="L128" s="26" t="n"/>
      <c r="M128" s="26" t="n"/>
      <c r="N128" s="28">
        <f>IF($A128="","",IF($C128="","",raporTarihi-$C128))</f>
        <v/>
      </c>
      <c r="O128" s="28">
        <f>IF($A128="","",IF($N128="","",IF($N128&lt;=7,"0-7",IF($N128&lt;=30,"8-30",IF($N128&lt;=60,"31-60","60+")))))</f>
        <v/>
      </c>
      <c r="P128" s="28">
        <f>IF($A128="","",IF($B128="","YETİM",IF(COUNTIF(tblKartlar[KartId],$B128)=0,"YETİM","")))</f>
        <v/>
      </c>
      <c r="Q128" s="28">
        <f>IF(OR($A128="",$D128=""),"",IF(OR($D128&amp;"|"&amp;$E128="",COUNTIF(ListeIzinliGecis,$D128&amp;"|"&amp;$E128)&gt;0),"","GEÇERSİZ GEÇİŞ"))</f>
        <v/>
      </c>
      <c r="R128" s="28">
        <f>IF($A128="","",IF(OR($F128="",$G128=""),"",IF(ABS($G128-$F128)&gt;zincirTolerans,"ZİNCİR KIRIK","OK")))</f>
        <v/>
      </c>
      <c r="S128" s="28">
        <f>IF($A128="","",1)</f>
        <v/>
      </c>
    </row>
    <row r="129">
      <c r="A129" s="26" t="n"/>
      <c r="B129" s="26" t="n"/>
      <c r="C129" s="29" t="n"/>
      <c r="D129" s="26" t="n"/>
      <c r="E129" s="26" t="n"/>
      <c r="F129" s="27" t="n"/>
      <c r="G129" s="27" t="n"/>
      <c r="H129" s="27" t="n"/>
      <c r="I129" s="27" t="n"/>
      <c r="J129" s="27" t="n"/>
      <c r="K129" s="27" t="n"/>
      <c r="L129" s="26" t="n"/>
      <c r="M129" s="26" t="n"/>
      <c r="N129" s="28">
        <f>IF($A129="","",IF($C129="","",raporTarihi-$C129))</f>
        <v/>
      </c>
      <c r="O129" s="28">
        <f>IF($A129="","",IF($N129="","",IF($N129&lt;=7,"0-7",IF($N129&lt;=30,"8-30",IF($N129&lt;=60,"31-60","60+")))))</f>
        <v/>
      </c>
      <c r="P129" s="28">
        <f>IF($A129="","",IF($B129="","YETİM",IF(COUNTIF(tblKartlar[KartId],$B129)=0,"YETİM","")))</f>
        <v/>
      </c>
      <c r="Q129" s="28">
        <f>IF(OR($A129="",$D129=""),"",IF(OR($D129&amp;"|"&amp;$E129="",COUNTIF(ListeIzinliGecis,$D129&amp;"|"&amp;$E129)&gt;0),"","GEÇERSİZ GEÇİŞ"))</f>
        <v/>
      </c>
      <c r="R129" s="28">
        <f>IF($A129="","",IF(OR($F129="",$G129=""),"",IF(ABS($G129-$F129)&gt;zincirTolerans,"ZİNCİR KIRIK","OK")))</f>
        <v/>
      </c>
      <c r="S129" s="28">
        <f>IF($A129="","",1)</f>
        <v/>
      </c>
    </row>
    <row r="130">
      <c r="A130" s="26" t="n"/>
      <c r="B130" s="26" t="n"/>
      <c r="C130" s="29" t="n"/>
      <c r="D130" s="26" t="n"/>
      <c r="E130" s="26" t="n"/>
      <c r="F130" s="27" t="n"/>
      <c r="G130" s="27" t="n"/>
      <c r="H130" s="27" t="n"/>
      <c r="I130" s="27" t="n"/>
      <c r="J130" s="27" t="n"/>
      <c r="K130" s="27" t="n"/>
      <c r="L130" s="26" t="n"/>
      <c r="M130" s="26" t="n"/>
      <c r="N130" s="28">
        <f>IF($A130="","",IF($C130="","",raporTarihi-$C130))</f>
        <v/>
      </c>
      <c r="O130" s="28">
        <f>IF($A130="","",IF($N130="","",IF($N130&lt;=7,"0-7",IF($N130&lt;=30,"8-30",IF($N130&lt;=60,"31-60","60+")))))</f>
        <v/>
      </c>
      <c r="P130" s="28">
        <f>IF($A130="","",IF($B130="","YETİM",IF(COUNTIF(tblKartlar[KartId],$B130)=0,"YETİM","")))</f>
        <v/>
      </c>
      <c r="Q130" s="28">
        <f>IF(OR($A130="",$D130=""),"",IF(OR($D130&amp;"|"&amp;$E130="",COUNTIF(ListeIzinliGecis,$D130&amp;"|"&amp;$E130)&gt;0),"","GEÇERSİZ GEÇİŞ"))</f>
        <v/>
      </c>
      <c r="R130" s="28">
        <f>IF($A130="","",IF(OR($F130="",$G130=""),"",IF(ABS($G130-$F130)&gt;zincirTolerans,"ZİNCİR KIRIK","OK")))</f>
        <v/>
      </c>
      <c r="S130" s="28">
        <f>IF($A130="","",1)</f>
        <v/>
      </c>
    </row>
    <row r="131">
      <c r="A131" s="26" t="n"/>
      <c r="B131" s="26" t="n"/>
      <c r="C131" s="29" t="n"/>
      <c r="D131" s="26" t="n"/>
      <c r="E131" s="26" t="n"/>
      <c r="F131" s="27" t="n"/>
      <c r="G131" s="27" t="n"/>
      <c r="H131" s="27" t="n"/>
      <c r="I131" s="27" t="n"/>
      <c r="J131" s="27" t="n"/>
      <c r="K131" s="27" t="n"/>
      <c r="L131" s="26" t="n"/>
      <c r="M131" s="26" t="n"/>
      <c r="N131" s="28">
        <f>IF($A131="","",IF($C131="","",raporTarihi-$C131))</f>
        <v/>
      </c>
      <c r="O131" s="28">
        <f>IF($A131="","",IF($N131="","",IF($N131&lt;=7,"0-7",IF($N131&lt;=30,"8-30",IF($N131&lt;=60,"31-60","60+")))))</f>
        <v/>
      </c>
      <c r="P131" s="28">
        <f>IF($A131="","",IF($B131="","YETİM",IF(COUNTIF(tblKartlar[KartId],$B131)=0,"YETİM","")))</f>
        <v/>
      </c>
      <c r="Q131" s="28">
        <f>IF(OR($A131="",$D131=""),"",IF(OR($D131&amp;"|"&amp;$E131="",COUNTIF(ListeIzinliGecis,$D131&amp;"|"&amp;$E131)&gt;0),"","GEÇERSİZ GEÇİŞ"))</f>
        <v/>
      </c>
      <c r="R131" s="28">
        <f>IF($A131="","",IF(OR($F131="",$G131=""),"",IF(ABS($G131-$F131)&gt;zincirTolerans,"ZİNCİR KIRIK","OK")))</f>
        <v/>
      </c>
      <c r="S131" s="28">
        <f>IF($A131="","",1)</f>
        <v/>
      </c>
    </row>
    <row r="132">
      <c r="A132" s="26" t="n"/>
      <c r="B132" s="26" t="n"/>
      <c r="C132" s="29" t="n"/>
      <c r="D132" s="26" t="n"/>
      <c r="E132" s="26" t="n"/>
      <c r="F132" s="27" t="n"/>
      <c r="G132" s="27" t="n"/>
      <c r="H132" s="27" t="n"/>
      <c r="I132" s="27" t="n"/>
      <c r="J132" s="27" t="n"/>
      <c r="K132" s="27" t="n"/>
      <c r="L132" s="26" t="n"/>
      <c r="M132" s="26" t="n"/>
      <c r="N132" s="28">
        <f>IF($A132="","",IF($C132="","",raporTarihi-$C132))</f>
        <v/>
      </c>
      <c r="O132" s="28">
        <f>IF($A132="","",IF($N132="","",IF($N132&lt;=7,"0-7",IF($N132&lt;=30,"8-30",IF($N132&lt;=60,"31-60","60+")))))</f>
        <v/>
      </c>
      <c r="P132" s="28">
        <f>IF($A132="","",IF($B132="","YETİM",IF(COUNTIF(tblKartlar[KartId],$B132)=0,"YETİM","")))</f>
        <v/>
      </c>
      <c r="Q132" s="28">
        <f>IF(OR($A132="",$D132=""),"",IF(OR($D132&amp;"|"&amp;$E132="",COUNTIF(ListeIzinliGecis,$D132&amp;"|"&amp;$E132)&gt;0),"","GEÇERSİZ GEÇİŞ"))</f>
        <v/>
      </c>
      <c r="R132" s="28">
        <f>IF($A132="","",IF(OR($F132="",$G132=""),"",IF(ABS($G132-$F132)&gt;zincirTolerans,"ZİNCİR KIRIK","OK")))</f>
        <v/>
      </c>
      <c r="S132" s="28">
        <f>IF($A132="","",1)</f>
        <v/>
      </c>
    </row>
    <row r="133">
      <c r="A133" s="26" t="n"/>
      <c r="B133" s="26" t="n"/>
      <c r="C133" s="29" t="n"/>
      <c r="D133" s="26" t="n"/>
      <c r="E133" s="26" t="n"/>
      <c r="F133" s="27" t="n"/>
      <c r="G133" s="27" t="n"/>
      <c r="H133" s="27" t="n"/>
      <c r="I133" s="27" t="n"/>
      <c r="J133" s="27" t="n"/>
      <c r="K133" s="27" t="n"/>
      <c r="L133" s="26" t="n"/>
      <c r="M133" s="26" t="n"/>
      <c r="N133" s="28">
        <f>IF($A133="","",IF($C133="","",raporTarihi-$C133))</f>
        <v/>
      </c>
      <c r="O133" s="28">
        <f>IF($A133="","",IF($N133="","",IF($N133&lt;=7,"0-7",IF($N133&lt;=30,"8-30",IF($N133&lt;=60,"31-60","60+")))))</f>
        <v/>
      </c>
      <c r="P133" s="28">
        <f>IF($A133="","",IF($B133="","YETİM",IF(COUNTIF(tblKartlar[KartId],$B133)=0,"YETİM","")))</f>
        <v/>
      </c>
      <c r="Q133" s="28">
        <f>IF(OR($A133="",$D133=""),"",IF(OR($D133&amp;"|"&amp;$E133="",COUNTIF(ListeIzinliGecis,$D133&amp;"|"&amp;$E133)&gt;0),"","GEÇERSİZ GEÇİŞ"))</f>
        <v/>
      </c>
      <c r="R133" s="28">
        <f>IF($A133="","",IF(OR($F133="",$G133=""),"",IF(ABS($G133-$F133)&gt;zincirTolerans,"ZİNCİR KIRIK","OK")))</f>
        <v/>
      </c>
      <c r="S133" s="28">
        <f>IF($A133="","",1)</f>
        <v/>
      </c>
    </row>
    <row r="134">
      <c r="A134" s="26" t="n"/>
      <c r="B134" s="26" t="n"/>
      <c r="C134" s="29" t="n"/>
      <c r="D134" s="26" t="n"/>
      <c r="E134" s="26" t="n"/>
      <c r="F134" s="27" t="n"/>
      <c r="G134" s="27" t="n"/>
      <c r="H134" s="27" t="n"/>
      <c r="I134" s="27" t="n"/>
      <c r="J134" s="27" t="n"/>
      <c r="K134" s="27" t="n"/>
      <c r="L134" s="26" t="n"/>
      <c r="M134" s="26" t="n"/>
      <c r="N134" s="28">
        <f>IF($A134="","",IF($C134="","",raporTarihi-$C134))</f>
        <v/>
      </c>
      <c r="O134" s="28">
        <f>IF($A134="","",IF($N134="","",IF($N134&lt;=7,"0-7",IF($N134&lt;=30,"8-30",IF($N134&lt;=60,"31-60","60+")))))</f>
        <v/>
      </c>
      <c r="P134" s="28">
        <f>IF($A134="","",IF($B134="","YETİM",IF(COUNTIF(tblKartlar[KartId],$B134)=0,"YETİM","")))</f>
        <v/>
      </c>
      <c r="Q134" s="28">
        <f>IF(OR($A134="",$D134=""),"",IF(OR($D134&amp;"|"&amp;$E134="",COUNTIF(ListeIzinliGecis,$D134&amp;"|"&amp;$E134)&gt;0),"","GEÇERSİZ GEÇİŞ"))</f>
        <v/>
      </c>
      <c r="R134" s="28">
        <f>IF($A134="","",IF(OR($F134="",$G134=""),"",IF(ABS($G134-$F134)&gt;zincirTolerans,"ZİNCİR KIRIK","OK")))</f>
        <v/>
      </c>
      <c r="S134" s="28">
        <f>IF($A134="","",1)</f>
        <v/>
      </c>
    </row>
    <row r="135">
      <c r="A135" s="26" t="n"/>
      <c r="B135" s="26" t="n"/>
      <c r="C135" s="29" t="n"/>
      <c r="D135" s="26" t="n"/>
      <c r="E135" s="26" t="n"/>
      <c r="F135" s="27" t="n"/>
      <c r="G135" s="27" t="n"/>
      <c r="H135" s="27" t="n"/>
      <c r="I135" s="27" t="n"/>
      <c r="J135" s="27" t="n"/>
      <c r="K135" s="27" t="n"/>
      <c r="L135" s="26" t="n"/>
      <c r="M135" s="26" t="n"/>
      <c r="N135" s="28">
        <f>IF($A135="","",IF($C135="","",raporTarihi-$C135))</f>
        <v/>
      </c>
      <c r="O135" s="28">
        <f>IF($A135="","",IF($N135="","",IF($N135&lt;=7,"0-7",IF($N135&lt;=30,"8-30",IF($N135&lt;=60,"31-60","60+")))))</f>
        <v/>
      </c>
      <c r="P135" s="28">
        <f>IF($A135="","",IF($B135="","YETİM",IF(COUNTIF(tblKartlar[KartId],$B135)=0,"YETİM","")))</f>
        <v/>
      </c>
      <c r="Q135" s="28">
        <f>IF(OR($A135="",$D135=""),"",IF(OR($D135&amp;"|"&amp;$E135="",COUNTIF(ListeIzinliGecis,$D135&amp;"|"&amp;$E135)&gt;0),"","GEÇERSİZ GEÇİŞ"))</f>
        <v/>
      </c>
      <c r="R135" s="28">
        <f>IF($A135="","",IF(OR($F135="",$G135=""),"",IF(ABS($G135-$F135)&gt;zincirTolerans,"ZİNCİR KIRIK","OK")))</f>
        <v/>
      </c>
      <c r="S135" s="28">
        <f>IF($A135="","",1)</f>
        <v/>
      </c>
    </row>
    <row r="136">
      <c r="A136" s="26" t="n"/>
      <c r="B136" s="26" t="n"/>
      <c r="C136" s="29" t="n"/>
      <c r="D136" s="26" t="n"/>
      <c r="E136" s="26" t="n"/>
      <c r="F136" s="27" t="n"/>
      <c r="G136" s="27" t="n"/>
      <c r="H136" s="27" t="n"/>
      <c r="I136" s="27" t="n"/>
      <c r="J136" s="27" t="n"/>
      <c r="K136" s="27" t="n"/>
      <c r="L136" s="26" t="n"/>
      <c r="M136" s="26" t="n"/>
      <c r="N136" s="28">
        <f>IF($A136="","",IF($C136="","",raporTarihi-$C136))</f>
        <v/>
      </c>
      <c r="O136" s="28">
        <f>IF($A136="","",IF($N136="","",IF($N136&lt;=7,"0-7",IF($N136&lt;=30,"8-30",IF($N136&lt;=60,"31-60","60+")))))</f>
        <v/>
      </c>
      <c r="P136" s="28">
        <f>IF($A136="","",IF($B136="","YETİM",IF(COUNTIF(tblKartlar[KartId],$B136)=0,"YETİM","")))</f>
        <v/>
      </c>
      <c r="Q136" s="28">
        <f>IF(OR($A136="",$D136=""),"",IF(OR($D136&amp;"|"&amp;$E136="",COUNTIF(ListeIzinliGecis,$D136&amp;"|"&amp;$E136)&gt;0),"","GEÇERSİZ GEÇİŞ"))</f>
        <v/>
      </c>
      <c r="R136" s="28">
        <f>IF($A136="","",IF(OR($F136="",$G136=""),"",IF(ABS($G136-$F136)&gt;zincirTolerans,"ZİNCİR KIRIK","OK")))</f>
        <v/>
      </c>
      <c r="S136" s="28">
        <f>IF($A136="","",1)</f>
        <v/>
      </c>
    </row>
    <row r="137">
      <c r="A137" s="26" t="n"/>
      <c r="B137" s="26" t="n"/>
      <c r="C137" s="29" t="n"/>
      <c r="D137" s="26" t="n"/>
      <c r="E137" s="26" t="n"/>
      <c r="F137" s="27" t="n"/>
      <c r="G137" s="27" t="n"/>
      <c r="H137" s="27" t="n"/>
      <c r="I137" s="27" t="n"/>
      <c r="J137" s="27" t="n"/>
      <c r="K137" s="27" t="n"/>
      <c r="L137" s="26" t="n"/>
      <c r="M137" s="26" t="n"/>
      <c r="N137" s="28">
        <f>IF($A137="","",IF($C137="","",raporTarihi-$C137))</f>
        <v/>
      </c>
      <c r="O137" s="28">
        <f>IF($A137="","",IF($N137="","",IF($N137&lt;=7,"0-7",IF($N137&lt;=30,"8-30",IF($N137&lt;=60,"31-60","60+")))))</f>
        <v/>
      </c>
      <c r="P137" s="28">
        <f>IF($A137="","",IF($B137="","YETİM",IF(COUNTIF(tblKartlar[KartId],$B137)=0,"YETİM","")))</f>
        <v/>
      </c>
      <c r="Q137" s="28">
        <f>IF(OR($A137="",$D137=""),"",IF(OR($D137&amp;"|"&amp;$E137="",COUNTIF(ListeIzinliGecis,$D137&amp;"|"&amp;$E137)&gt;0),"","GEÇERSİZ GEÇİŞ"))</f>
        <v/>
      </c>
      <c r="R137" s="28">
        <f>IF($A137="","",IF(OR($F137="",$G137=""),"",IF(ABS($G137-$F137)&gt;zincirTolerans,"ZİNCİR KIRIK","OK")))</f>
        <v/>
      </c>
      <c r="S137" s="28">
        <f>IF($A137="","",1)</f>
        <v/>
      </c>
    </row>
    <row r="138">
      <c r="A138" s="26" t="n"/>
      <c r="B138" s="26" t="n"/>
      <c r="C138" s="29" t="n"/>
      <c r="D138" s="26" t="n"/>
      <c r="E138" s="26" t="n"/>
      <c r="F138" s="27" t="n"/>
      <c r="G138" s="27" t="n"/>
      <c r="H138" s="27" t="n"/>
      <c r="I138" s="27" t="n"/>
      <c r="J138" s="27" t="n"/>
      <c r="K138" s="27" t="n"/>
      <c r="L138" s="26" t="n"/>
      <c r="M138" s="26" t="n"/>
      <c r="N138" s="28">
        <f>IF($A138="","",IF($C138="","",raporTarihi-$C138))</f>
        <v/>
      </c>
      <c r="O138" s="28">
        <f>IF($A138="","",IF($N138="","",IF($N138&lt;=7,"0-7",IF($N138&lt;=30,"8-30",IF($N138&lt;=60,"31-60","60+")))))</f>
        <v/>
      </c>
      <c r="P138" s="28">
        <f>IF($A138="","",IF($B138="","YETİM",IF(COUNTIF(tblKartlar[KartId],$B138)=0,"YETİM","")))</f>
        <v/>
      </c>
      <c r="Q138" s="28">
        <f>IF(OR($A138="",$D138=""),"",IF(OR($D138&amp;"|"&amp;$E138="",COUNTIF(ListeIzinliGecis,$D138&amp;"|"&amp;$E138)&gt;0),"","GEÇERSİZ GEÇİŞ"))</f>
        <v/>
      </c>
      <c r="R138" s="28">
        <f>IF($A138="","",IF(OR($F138="",$G138=""),"",IF(ABS($G138-$F138)&gt;zincirTolerans,"ZİNCİR KIRIK","OK")))</f>
        <v/>
      </c>
      <c r="S138" s="28">
        <f>IF($A138="","",1)</f>
        <v/>
      </c>
    </row>
    <row r="139">
      <c r="A139" s="26" t="n"/>
      <c r="B139" s="26" t="n"/>
      <c r="C139" s="29" t="n"/>
      <c r="D139" s="26" t="n"/>
      <c r="E139" s="26" t="n"/>
      <c r="F139" s="27" t="n"/>
      <c r="G139" s="27" t="n"/>
      <c r="H139" s="27" t="n"/>
      <c r="I139" s="27" t="n"/>
      <c r="J139" s="27" t="n"/>
      <c r="K139" s="27" t="n"/>
      <c r="L139" s="26" t="n"/>
      <c r="M139" s="26" t="n"/>
      <c r="N139" s="28">
        <f>IF($A139="","",IF($C139="","",raporTarihi-$C139))</f>
        <v/>
      </c>
      <c r="O139" s="28">
        <f>IF($A139="","",IF($N139="","",IF($N139&lt;=7,"0-7",IF($N139&lt;=30,"8-30",IF($N139&lt;=60,"31-60","60+")))))</f>
        <v/>
      </c>
      <c r="P139" s="28">
        <f>IF($A139="","",IF($B139="","YETİM",IF(COUNTIF(tblKartlar[KartId],$B139)=0,"YETİM","")))</f>
        <v/>
      </c>
      <c r="Q139" s="28">
        <f>IF(OR($A139="",$D139=""),"",IF(OR($D139&amp;"|"&amp;$E139="",COUNTIF(ListeIzinliGecis,$D139&amp;"|"&amp;$E139)&gt;0),"","GEÇERSİZ GEÇİŞ"))</f>
        <v/>
      </c>
      <c r="R139" s="28">
        <f>IF($A139="","",IF(OR($F139="",$G139=""),"",IF(ABS($G139-$F139)&gt;zincirTolerans,"ZİNCİR KIRIK","OK")))</f>
        <v/>
      </c>
      <c r="S139" s="28">
        <f>IF($A139="","",1)</f>
        <v/>
      </c>
    </row>
    <row r="140">
      <c r="A140" s="26" t="n"/>
      <c r="B140" s="26" t="n"/>
      <c r="C140" s="29" t="n"/>
      <c r="D140" s="26" t="n"/>
      <c r="E140" s="26" t="n"/>
      <c r="F140" s="27" t="n"/>
      <c r="G140" s="27" t="n"/>
      <c r="H140" s="27" t="n"/>
      <c r="I140" s="27" t="n"/>
      <c r="J140" s="27" t="n"/>
      <c r="K140" s="27" t="n"/>
      <c r="L140" s="26" t="n"/>
      <c r="M140" s="26" t="n"/>
      <c r="N140" s="28">
        <f>IF($A140="","",IF($C140="","",raporTarihi-$C140))</f>
        <v/>
      </c>
      <c r="O140" s="28">
        <f>IF($A140="","",IF($N140="","",IF($N140&lt;=7,"0-7",IF($N140&lt;=30,"8-30",IF($N140&lt;=60,"31-60","60+")))))</f>
        <v/>
      </c>
      <c r="P140" s="28">
        <f>IF($A140="","",IF($B140="","YETİM",IF(COUNTIF(tblKartlar[KartId],$B140)=0,"YETİM","")))</f>
        <v/>
      </c>
      <c r="Q140" s="28">
        <f>IF(OR($A140="",$D140=""),"",IF(OR($D140&amp;"|"&amp;$E140="",COUNTIF(ListeIzinliGecis,$D140&amp;"|"&amp;$E140)&gt;0),"","GEÇERSİZ GEÇİŞ"))</f>
        <v/>
      </c>
      <c r="R140" s="28">
        <f>IF($A140="","",IF(OR($F140="",$G140=""),"",IF(ABS($G140-$F140)&gt;zincirTolerans,"ZİNCİR KIRIK","OK")))</f>
        <v/>
      </c>
      <c r="S140" s="28">
        <f>IF($A140="","",1)</f>
        <v/>
      </c>
    </row>
    <row r="141">
      <c r="A141" s="26" t="n"/>
      <c r="B141" s="26" t="n"/>
      <c r="C141" s="29" t="n"/>
      <c r="D141" s="26" t="n"/>
      <c r="E141" s="26" t="n"/>
      <c r="F141" s="27" t="n"/>
      <c r="G141" s="27" t="n"/>
      <c r="H141" s="27" t="n"/>
      <c r="I141" s="27" t="n"/>
      <c r="J141" s="27" t="n"/>
      <c r="K141" s="27" t="n"/>
      <c r="L141" s="26" t="n"/>
      <c r="M141" s="26" t="n"/>
      <c r="N141" s="28">
        <f>IF($A141="","",IF($C141="","",raporTarihi-$C141))</f>
        <v/>
      </c>
      <c r="O141" s="28">
        <f>IF($A141="","",IF($N141="","",IF($N141&lt;=7,"0-7",IF($N141&lt;=30,"8-30",IF($N141&lt;=60,"31-60","60+")))))</f>
        <v/>
      </c>
      <c r="P141" s="28">
        <f>IF($A141="","",IF($B141="","YETİM",IF(COUNTIF(tblKartlar[KartId],$B141)=0,"YETİM","")))</f>
        <v/>
      </c>
      <c r="Q141" s="28">
        <f>IF(OR($A141="",$D141=""),"",IF(OR($D141&amp;"|"&amp;$E141="",COUNTIF(ListeIzinliGecis,$D141&amp;"|"&amp;$E141)&gt;0),"","GEÇERSİZ GEÇİŞ"))</f>
        <v/>
      </c>
      <c r="R141" s="28">
        <f>IF($A141="","",IF(OR($F141="",$G141=""),"",IF(ABS($G141-$F141)&gt;zincirTolerans,"ZİNCİR KIRIK","OK")))</f>
        <v/>
      </c>
      <c r="S141" s="28">
        <f>IF($A141="","",1)</f>
        <v/>
      </c>
    </row>
    <row r="142">
      <c r="A142" s="26" t="n"/>
      <c r="B142" s="26" t="n"/>
      <c r="C142" s="29" t="n"/>
      <c r="D142" s="26" t="n"/>
      <c r="E142" s="26" t="n"/>
      <c r="F142" s="27" t="n"/>
      <c r="G142" s="27" t="n"/>
      <c r="H142" s="27" t="n"/>
      <c r="I142" s="27" t="n"/>
      <c r="J142" s="27" t="n"/>
      <c r="K142" s="27" t="n"/>
      <c r="L142" s="26" t="n"/>
      <c r="M142" s="26" t="n"/>
      <c r="N142" s="28">
        <f>IF($A142="","",IF($C142="","",raporTarihi-$C142))</f>
        <v/>
      </c>
      <c r="O142" s="28">
        <f>IF($A142="","",IF($N142="","",IF($N142&lt;=7,"0-7",IF($N142&lt;=30,"8-30",IF($N142&lt;=60,"31-60","60+")))))</f>
        <v/>
      </c>
      <c r="P142" s="28">
        <f>IF($A142="","",IF($B142="","YETİM",IF(COUNTIF(tblKartlar[KartId],$B142)=0,"YETİM","")))</f>
        <v/>
      </c>
      <c r="Q142" s="28">
        <f>IF(OR($A142="",$D142=""),"",IF(OR($D142&amp;"|"&amp;$E142="",COUNTIF(ListeIzinliGecis,$D142&amp;"|"&amp;$E142)&gt;0),"","GEÇERSİZ GEÇİŞ"))</f>
        <v/>
      </c>
      <c r="R142" s="28">
        <f>IF($A142="","",IF(OR($F142="",$G142=""),"",IF(ABS($G142-$F142)&gt;zincirTolerans,"ZİNCİR KIRIK","OK")))</f>
        <v/>
      </c>
      <c r="S142" s="28">
        <f>IF($A142="","",1)</f>
        <v/>
      </c>
    </row>
    <row r="143">
      <c r="A143" s="26" t="n"/>
      <c r="B143" s="26" t="n"/>
      <c r="C143" s="29" t="n"/>
      <c r="D143" s="26" t="n"/>
      <c r="E143" s="26" t="n"/>
      <c r="F143" s="27" t="n"/>
      <c r="G143" s="27" t="n"/>
      <c r="H143" s="27" t="n"/>
      <c r="I143" s="27" t="n"/>
      <c r="J143" s="27" t="n"/>
      <c r="K143" s="27" t="n"/>
      <c r="L143" s="26" t="n"/>
      <c r="M143" s="26" t="n"/>
      <c r="N143" s="28">
        <f>IF($A143="","",IF($C143="","",raporTarihi-$C143))</f>
        <v/>
      </c>
      <c r="O143" s="28">
        <f>IF($A143="","",IF($N143="","",IF($N143&lt;=7,"0-7",IF($N143&lt;=30,"8-30",IF($N143&lt;=60,"31-60","60+")))))</f>
        <v/>
      </c>
      <c r="P143" s="28">
        <f>IF($A143="","",IF($B143="","YETİM",IF(COUNTIF(tblKartlar[KartId],$B143)=0,"YETİM","")))</f>
        <v/>
      </c>
      <c r="Q143" s="28">
        <f>IF(OR($A143="",$D143=""),"",IF(OR($D143&amp;"|"&amp;$E143="",COUNTIF(ListeIzinliGecis,$D143&amp;"|"&amp;$E143)&gt;0),"","GEÇERSİZ GEÇİŞ"))</f>
        <v/>
      </c>
      <c r="R143" s="28">
        <f>IF($A143="","",IF(OR($F143="",$G143=""),"",IF(ABS($G143-$F143)&gt;zincirTolerans,"ZİNCİR KIRIK","OK")))</f>
        <v/>
      </c>
      <c r="S143" s="28">
        <f>IF($A143="","",1)</f>
        <v/>
      </c>
    </row>
    <row r="144">
      <c r="A144" s="26" t="n"/>
      <c r="B144" s="26" t="n"/>
      <c r="C144" s="29" t="n"/>
      <c r="D144" s="26" t="n"/>
      <c r="E144" s="26" t="n"/>
      <c r="F144" s="27" t="n"/>
      <c r="G144" s="27" t="n"/>
      <c r="H144" s="27" t="n"/>
      <c r="I144" s="27" t="n"/>
      <c r="J144" s="27" t="n"/>
      <c r="K144" s="27" t="n"/>
      <c r="L144" s="26" t="n"/>
      <c r="M144" s="26" t="n"/>
      <c r="N144" s="28">
        <f>IF($A144="","",IF($C144="","",raporTarihi-$C144))</f>
        <v/>
      </c>
      <c r="O144" s="28">
        <f>IF($A144="","",IF($N144="","",IF($N144&lt;=7,"0-7",IF($N144&lt;=30,"8-30",IF($N144&lt;=60,"31-60","60+")))))</f>
        <v/>
      </c>
      <c r="P144" s="28">
        <f>IF($A144="","",IF($B144="","YETİM",IF(COUNTIF(tblKartlar[KartId],$B144)=0,"YETİM","")))</f>
        <v/>
      </c>
      <c r="Q144" s="28">
        <f>IF(OR($A144="",$D144=""),"",IF(OR($D144&amp;"|"&amp;$E144="",COUNTIF(ListeIzinliGecis,$D144&amp;"|"&amp;$E144)&gt;0),"","GEÇERSİZ GEÇİŞ"))</f>
        <v/>
      </c>
      <c r="R144" s="28">
        <f>IF($A144="","",IF(OR($F144="",$G144=""),"",IF(ABS($G144-$F144)&gt;zincirTolerans,"ZİNCİR KIRIK","OK")))</f>
        <v/>
      </c>
      <c r="S144" s="28">
        <f>IF($A144="","",1)</f>
        <v/>
      </c>
    </row>
    <row r="145">
      <c r="A145" s="26" t="n"/>
      <c r="B145" s="26" t="n"/>
      <c r="C145" s="29" t="n"/>
      <c r="D145" s="26" t="n"/>
      <c r="E145" s="26" t="n"/>
      <c r="F145" s="27" t="n"/>
      <c r="G145" s="27" t="n"/>
      <c r="H145" s="27" t="n"/>
      <c r="I145" s="27" t="n"/>
      <c r="J145" s="27" t="n"/>
      <c r="K145" s="27" t="n"/>
      <c r="L145" s="26" t="n"/>
      <c r="M145" s="26" t="n"/>
      <c r="N145" s="28">
        <f>IF($A145="","",IF($C145="","",raporTarihi-$C145))</f>
        <v/>
      </c>
      <c r="O145" s="28">
        <f>IF($A145="","",IF($N145="","",IF($N145&lt;=7,"0-7",IF($N145&lt;=30,"8-30",IF($N145&lt;=60,"31-60","60+")))))</f>
        <v/>
      </c>
      <c r="P145" s="28">
        <f>IF($A145="","",IF($B145="","YETİM",IF(COUNTIF(tblKartlar[KartId],$B145)=0,"YETİM","")))</f>
        <v/>
      </c>
      <c r="Q145" s="28">
        <f>IF(OR($A145="",$D145=""),"",IF(OR($D145&amp;"|"&amp;$E145="",COUNTIF(ListeIzinliGecis,$D145&amp;"|"&amp;$E145)&gt;0),"","GEÇERSİZ GEÇİŞ"))</f>
        <v/>
      </c>
      <c r="R145" s="28">
        <f>IF($A145="","",IF(OR($F145="",$G145=""),"",IF(ABS($G145-$F145)&gt;zincirTolerans,"ZİNCİR KIRIK","OK")))</f>
        <v/>
      </c>
      <c r="S145" s="28">
        <f>IF($A145="","",1)</f>
        <v/>
      </c>
    </row>
    <row r="146">
      <c r="A146" s="26" t="n"/>
      <c r="B146" s="26" t="n"/>
      <c r="C146" s="29" t="n"/>
      <c r="D146" s="26" t="n"/>
      <c r="E146" s="26" t="n"/>
      <c r="F146" s="27" t="n"/>
      <c r="G146" s="27" t="n"/>
      <c r="H146" s="27" t="n"/>
      <c r="I146" s="27" t="n"/>
      <c r="J146" s="27" t="n"/>
      <c r="K146" s="27" t="n"/>
      <c r="L146" s="26" t="n"/>
      <c r="M146" s="26" t="n"/>
      <c r="N146" s="28">
        <f>IF($A146="","",IF($C146="","",raporTarihi-$C146))</f>
        <v/>
      </c>
      <c r="O146" s="28">
        <f>IF($A146="","",IF($N146="","",IF($N146&lt;=7,"0-7",IF($N146&lt;=30,"8-30",IF($N146&lt;=60,"31-60","60+")))))</f>
        <v/>
      </c>
      <c r="P146" s="28">
        <f>IF($A146="","",IF($B146="","YETİM",IF(COUNTIF(tblKartlar[KartId],$B146)=0,"YETİM","")))</f>
        <v/>
      </c>
      <c r="Q146" s="28">
        <f>IF(OR($A146="",$D146=""),"",IF(OR($D146&amp;"|"&amp;$E146="",COUNTIF(ListeIzinliGecis,$D146&amp;"|"&amp;$E146)&gt;0),"","GEÇERSİZ GEÇİŞ"))</f>
        <v/>
      </c>
      <c r="R146" s="28">
        <f>IF($A146="","",IF(OR($F146="",$G146=""),"",IF(ABS($G146-$F146)&gt;zincirTolerans,"ZİNCİR KIRIK","OK")))</f>
        <v/>
      </c>
      <c r="S146" s="28">
        <f>IF($A146="","",1)</f>
        <v/>
      </c>
    </row>
    <row r="147">
      <c r="A147" s="26" t="n"/>
      <c r="B147" s="26" t="n"/>
      <c r="C147" s="29" t="n"/>
      <c r="D147" s="26" t="n"/>
      <c r="E147" s="26" t="n"/>
      <c r="F147" s="27" t="n"/>
      <c r="G147" s="27" t="n"/>
      <c r="H147" s="27" t="n"/>
      <c r="I147" s="27" t="n"/>
      <c r="J147" s="27" t="n"/>
      <c r="K147" s="27" t="n"/>
      <c r="L147" s="26" t="n"/>
      <c r="M147" s="26" t="n"/>
      <c r="N147" s="28">
        <f>IF($A147="","",IF($C147="","",raporTarihi-$C147))</f>
        <v/>
      </c>
      <c r="O147" s="28">
        <f>IF($A147="","",IF($N147="","",IF($N147&lt;=7,"0-7",IF($N147&lt;=30,"8-30",IF($N147&lt;=60,"31-60","60+")))))</f>
        <v/>
      </c>
      <c r="P147" s="28">
        <f>IF($A147="","",IF($B147="","YETİM",IF(COUNTIF(tblKartlar[KartId],$B147)=0,"YETİM","")))</f>
        <v/>
      </c>
      <c r="Q147" s="28">
        <f>IF(OR($A147="",$D147=""),"",IF(OR($D147&amp;"|"&amp;$E147="",COUNTIF(ListeIzinliGecis,$D147&amp;"|"&amp;$E147)&gt;0),"","GEÇERSİZ GEÇİŞ"))</f>
        <v/>
      </c>
      <c r="R147" s="28">
        <f>IF($A147="","",IF(OR($F147="",$G147=""),"",IF(ABS($G147-$F147)&gt;zincirTolerans,"ZİNCİR KIRIK","OK")))</f>
        <v/>
      </c>
      <c r="S147" s="28">
        <f>IF($A147="","",1)</f>
        <v/>
      </c>
    </row>
    <row r="148">
      <c r="A148" s="26" t="n"/>
      <c r="B148" s="26" t="n"/>
      <c r="C148" s="29" t="n"/>
      <c r="D148" s="26" t="n"/>
      <c r="E148" s="26" t="n"/>
      <c r="F148" s="27" t="n"/>
      <c r="G148" s="27" t="n"/>
      <c r="H148" s="27" t="n"/>
      <c r="I148" s="27" t="n"/>
      <c r="J148" s="27" t="n"/>
      <c r="K148" s="27" t="n"/>
      <c r="L148" s="26" t="n"/>
      <c r="M148" s="26" t="n"/>
      <c r="N148" s="28">
        <f>IF($A148="","",IF($C148="","",raporTarihi-$C148))</f>
        <v/>
      </c>
      <c r="O148" s="28">
        <f>IF($A148="","",IF($N148="","",IF($N148&lt;=7,"0-7",IF($N148&lt;=30,"8-30",IF($N148&lt;=60,"31-60","60+")))))</f>
        <v/>
      </c>
      <c r="P148" s="28">
        <f>IF($A148="","",IF($B148="","YETİM",IF(COUNTIF(tblKartlar[KartId],$B148)=0,"YETİM","")))</f>
        <v/>
      </c>
      <c r="Q148" s="28">
        <f>IF(OR($A148="",$D148=""),"",IF(OR($D148&amp;"|"&amp;$E148="",COUNTIF(ListeIzinliGecis,$D148&amp;"|"&amp;$E148)&gt;0),"","GEÇERSİZ GEÇİŞ"))</f>
        <v/>
      </c>
      <c r="R148" s="28">
        <f>IF($A148="","",IF(OR($F148="",$G148=""),"",IF(ABS($G148-$F148)&gt;zincirTolerans,"ZİNCİR KIRIK","OK")))</f>
        <v/>
      </c>
      <c r="S148" s="28">
        <f>IF($A148="","",1)</f>
        <v/>
      </c>
    </row>
    <row r="149">
      <c r="A149" s="26" t="n"/>
      <c r="B149" s="26" t="n"/>
      <c r="C149" s="29" t="n"/>
      <c r="D149" s="26" t="n"/>
      <c r="E149" s="26" t="n"/>
      <c r="F149" s="27" t="n"/>
      <c r="G149" s="27" t="n"/>
      <c r="H149" s="27" t="n"/>
      <c r="I149" s="27" t="n"/>
      <c r="J149" s="27" t="n"/>
      <c r="K149" s="27" t="n"/>
      <c r="L149" s="26" t="n"/>
      <c r="M149" s="26" t="n"/>
      <c r="N149" s="28">
        <f>IF($A149="","",IF($C149="","",raporTarihi-$C149))</f>
        <v/>
      </c>
      <c r="O149" s="28">
        <f>IF($A149="","",IF($N149="","",IF($N149&lt;=7,"0-7",IF($N149&lt;=30,"8-30",IF($N149&lt;=60,"31-60","60+")))))</f>
        <v/>
      </c>
      <c r="P149" s="28">
        <f>IF($A149="","",IF($B149="","YETİM",IF(COUNTIF(tblKartlar[KartId],$B149)=0,"YETİM","")))</f>
        <v/>
      </c>
      <c r="Q149" s="28">
        <f>IF(OR($A149="",$D149=""),"",IF(OR($D149&amp;"|"&amp;$E149="",COUNTIF(ListeIzinliGecis,$D149&amp;"|"&amp;$E149)&gt;0),"","GEÇERSİZ GEÇİŞ"))</f>
        <v/>
      </c>
      <c r="R149" s="28">
        <f>IF($A149="","",IF(OR($F149="",$G149=""),"",IF(ABS($G149-$F149)&gt;zincirTolerans,"ZİNCİR KIRIK","OK")))</f>
        <v/>
      </c>
      <c r="S149" s="28">
        <f>IF($A149="","",1)</f>
        <v/>
      </c>
    </row>
    <row r="150">
      <c r="A150" s="26" t="n"/>
      <c r="B150" s="26" t="n"/>
      <c r="C150" s="29" t="n"/>
      <c r="D150" s="26" t="n"/>
      <c r="E150" s="26" t="n"/>
      <c r="F150" s="27" t="n"/>
      <c r="G150" s="27" t="n"/>
      <c r="H150" s="27" t="n"/>
      <c r="I150" s="27" t="n"/>
      <c r="J150" s="27" t="n"/>
      <c r="K150" s="27" t="n"/>
      <c r="L150" s="26" t="n"/>
      <c r="M150" s="26" t="n"/>
      <c r="N150" s="28">
        <f>IF($A150="","",IF($C150="","",raporTarihi-$C150))</f>
        <v/>
      </c>
      <c r="O150" s="28">
        <f>IF($A150="","",IF($N150="","",IF($N150&lt;=7,"0-7",IF($N150&lt;=30,"8-30",IF($N150&lt;=60,"31-60","60+")))))</f>
        <v/>
      </c>
      <c r="P150" s="28">
        <f>IF($A150="","",IF($B150="","YETİM",IF(COUNTIF(tblKartlar[KartId],$B150)=0,"YETİM","")))</f>
        <v/>
      </c>
      <c r="Q150" s="28">
        <f>IF(OR($A150="",$D150=""),"",IF(OR($D150&amp;"|"&amp;$E150="",COUNTIF(ListeIzinliGecis,$D150&amp;"|"&amp;$E150)&gt;0),"","GEÇERSİZ GEÇİŞ"))</f>
        <v/>
      </c>
      <c r="R150" s="28">
        <f>IF($A150="","",IF(OR($F150="",$G150=""),"",IF(ABS($G150-$F150)&gt;zincirTolerans,"ZİNCİR KIRIK","OK")))</f>
        <v/>
      </c>
      <c r="S150" s="28">
        <f>IF($A150="","",1)</f>
        <v/>
      </c>
    </row>
    <row r="151">
      <c r="A151" s="26" t="n"/>
      <c r="B151" s="26" t="n"/>
      <c r="C151" s="29" t="n"/>
      <c r="D151" s="26" t="n"/>
      <c r="E151" s="26" t="n"/>
      <c r="F151" s="27" t="n"/>
      <c r="G151" s="27" t="n"/>
      <c r="H151" s="27" t="n"/>
      <c r="I151" s="27" t="n"/>
      <c r="J151" s="27" t="n"/>
      <c r="K151" s="27" t="n"/>
      <c r="L151" s="26" t="n"/>
      <c r="M151" s="26" t="n"/>
      <c r="N151" s="28">
        <f>IF($A151="","",IF($C151="","",raporTarihi-$C151))</f>
        <v/>
      </c>
      <c r="O151" s="28">
        <f>IF($A151="","",IF($N151="","",IF($N151&lt;=7,"0-7",IF($N151&lt;=30,"8-30",IF($N151&lt;=60,"31-60","60+")))))</f>
        <v/>
      </c>
      <c r="P151" s="28">
        <f>IF($A151="","",IF($B151="","YETİM",IF(COUNTIF(tblKartlar[KartId],$B151)=0,"YETİM","")))</f>
        <v/>
      </c>
      <c r="Q151" s="28">
        <f>IF(OR($A151="",$D151=""),"",IF(OR($D151&amp;"|"&amp;$E151="",COUNTIF(ListeIzinliGecis,$D151&amp;"|"&amp;$E151)&gt;0),"","GEÇERSİZ GEÇİŞ"))</f>
        <v/>
      </c>
      <c r="R151" s="28">
        <f>IF($A151="","",IF(OR($F151="",$G151=""),"",IF(ABS($G151-$F151)&gt;zincirTolerans,"ZİNCİR KIRIK","OK")))</f>
        <v/>
      </c>
      <c r="S151" s="28">
        <f>IF($A151="","",1)</f>
        <v/>
      </c>
    </row>
    <row r="152">
      <c r="A152" s="26" t="n"/>
      <c r="B152" s="26" t="n"/>
      <c r="C152" s="29" t="n"/>
      <c r="D152" s="26" t="n"/>
      <c r="E152" s="26" t="n"/>
      <c r="F152" s="27" t="n"/>
      <c r="G152" s="27" t="n"/>
      <c r="H152" s="27" t="n"/>
      <c r="I152" s="27" t="n"/>
      <c r="J152" s="27" t="n"/>
      <c r="K152" s="27" t="n"/>
      <c r="L152" s="26" t="n"/>
      <c r="M152" s="26" t="n"/>
      <c r="N152" s="28">
        <f>IF($A152="","",IF($C152="","",raporTarihi-$C152))</f>
        <v/>
      </c>
      <c r="O152" s="28">
        <f>IF($A152="","",IF($N152="","",IF($N152&lt;=7,"0-7",IF($N152&lt;=30,"8-30",IF($N152&lt;=60,"31-60","60+")))))</f>
        <v/>
      </c>
      <c r="P152" s="28">
        <f>IF($A152="","",IF($B152="","YETİM",IF(COUNTIF(tblKartlar[KartId],$B152)=0,"YETİM","")))</f>
        <v/>
      </c>
      <c r="Q152" s="28">
        <f>IF(OR($A152="",$D152=""),"",IF(OR($D152&amp;"|"&amp;$E152="",COUNTIF(ListeIzinliGecis,$D152&amp;"|"&amp;$E152)&gt;0),"","GEÇERSİZ GEÇİŞ"))</f>
        <v/>
      </c>
      <c r="R152" s="28">
        <f>IF($A152="","",IF(OR($F152="",$G152=""),"",IF(ABS($G152-$F152)&gt;zincirTolerans,"ZİNCİR KIRIK","OK")))</f>
        <v/>
      </c>
      <c r="S152" s="28">
        <f>IF($A152="","",1)</f>
        <v/>
      </c>
    </row>
    <row r="153">
      <c r="A153" s="26" t="n"/>
      <c r="B153" s="26" t="n"/>
      <c r="C153" s="29" t="n"/>
      <c r="D153" s="26" t="n"/>
      <c r="E153" s="26" t="n"/>
      <c r="F153" s="27" t="n"/>
      <c r="G153" s="27" t="n"/>
      <c r="H153" s="27" t="n"/>
      <c r="I153" s="27" t="n"/>
      <c r="J153" s="27" t="n"/>
      <c r="K153" s="27" t="n"/>
      <c r="L153" s="26" t="n"/>
      <c r="M153" s="26" t="n"/>
      <c r="N153" s="28">
        <f>IF($A153="","",IF($C153="","",raporTarihi-$C153))</f>
        <v/>
      </c>
      <c r="O153" s="28">
        <f>IF($A153="","",IF($N153="","",IF($N153&lt;=7,"0-7",IF($N153&lt;=30,"8-30",IF($N153&lt;=60,"31-60","60+")))))</f>
        <v/>
      </c>
      <c r="P153" s="28">
        <f>IF($A153="","",IF($B153="","YETİM",IF(COUNTIF(tblKartlar[KartId],$B153)=0,"YETİM","")))</f>
        <v/>
      </c>
      <c r="Q153" s="28">
        <f>IF(OR($A153="",$D153=""),"",IF(OR($D153&amp;"|"&amp;$E153="",COUNTIF(ListeIzinliGecis,$D153&amp;"|"&amp;$E153)&gt;0),"","GEÇERSİZ GEÇİŞ"))</f>
        <v/>
      </c>
      <c r="R153" s="28">
        <f>IF($A153="","",IF(OR($F153="",$G153=""),"",IF(ABS($G153-$F153)&gt;zincirTolerans,"ZİNCİR KIRIK","OK")))</f>
        <v/>
      </c>
      <c r="S153" s="28">
        <f>IF($A153="","",1)</f>
        <v/>
      </c>
    </row>
    <row r="154">
      <c r="A154" s="26" t="n"/>
      <c r="B154" s="26" t="n"/>
      <c r="C154" s="29" t="n"/>
      <c r="D154" s="26" t="n"/>
      <c r="E154" s="26" t="n"/>
      <c r="F154" s="27" t="n"/>
      <c r="G154" s="27" t="n"/>
      <c r="H154" s="27" t="n"/>
      <c r="I154" s="27" t="n"/>
      <c r="J154" s="27" t="n"/>
      <c r="K154" s="27" t="n"/>
      <c r="L154" s="26" t="n"/>
      <c r="M154" s="26" t="n"/>
      <c r="N154" s="28">
        <f>IF($A154="","",IF($C154="","",raporTarihi-$C154))</f>
        <v/>
      </c>
      <c r="O154" s="28">
        <f>IF($A154="","",IF($N154="","",IF($N154&lt;=7,"0-7",IF($N154&lt;=30,"8-30",IF($N154&lt;=60,"31-60","60+")))))</f>
        <v/>
      </c>
      <c r="P154" s="28">
        <f>IF($A154="","",IF($B154="","YETİM",IF(COUNTIF(tblKartlar[KartId],$B154)=0,"YETİM","")))</f>
        <v/>
      </c>
      <c r="Q154" s="28">
        <f>IF(OR($A154="",$D154=""),"",IF(OR($D154&amp;"|"&amp;$E154="",COUNTIF(ListeIzinliGecis,$D154&amp;"|"&amp;$E154)&gt;0),"","GEÇERSİZ GEÇİŞ"))</f>
        <v/>
      </c>
      <c r="R154" s="28">
        <f>IF($A154="","",IF(OR($F154="",$G154=""),"",IF(ABS($G154-$F154)&gt;zincirTolerans,"ZİNCİR KIRIK","OK")))</f>
        <v/>
      </c>
      <c r="S154" s="28">
        <f>IF($A154="","",1)</f>
        <v/>
      </c>
    </row>
    <row r="155">
      <c r="A155" s="26" t="n"/>
      <c r="B155" s="26" t="n"/>
      <c r="C155" s="29" t="n"/>
      <c r="D155" s="26" t="n"/>
      <c r="E155" s="26" t="n"/>
      <c r="F155" s="27" t="n"/>
      <c r="G155" s="27" t="n"/>
      <c r="H155" s="27" t="n"/>
      <c r="I155" s="27" t="n"/>
      <c r="J155" s="27" t="n"/>
      <c r="K155" s="27" t="n"/>
      <c r="L155" s="26" t="n"/>
      <c r="M155" s="26" t="n"/>
      <c r="N155" s="28">
        <f>IF($A155="","",IF($C155="","",raporTarihi-$C155))</f>
        <v/>
      </c>
      <c r="O155" s="28">
        <f>IF($A155="","",IF($N155="","",IF($N155&lt;=7,"0-7",IF($N155&lt;=30,"8-30",IF($N155&lt;=60,"31-60","60+")))))</f>
        <v/>
      </c>
      <c r="P155" s="28">
        <f>IF($A155="","",IF($B155="","YETİM",IF(COUNTIF(tblKartlar[KartId],$B155)=0,"YETİM","")))</f>
        <v/>
      </c>
      <c r="Q155" s="28">
        <f>IF(OR($A155="",$D155=""),"",IF(OR($D155&amp;"|"&amp;$E155="",COUNTIF(ListeIzinliGecis,$D155&amp;"|"&amp;$E155)&gt;0),"","GEÇERSİZ GEÇİŞ"))</f>
        <v/>
      </c>
      <c r="R155" s="28">
        <f>IF($A155="","",IF(OR($F155="",$G155=""),"",IF(ABS($G155-$F155)&gt;zincirTolerans,"ZİNCİR KIRIK","OK")))</f>
        <v/>
      </c>
      <c r="S155" s="28">
        <f>IF($A155="","",1)</f>
        <v/>
      </c>
    </row>
    <row r="156">
      <c r="A156" s="26" t="n"/>
      <c r="B156" s="26" t="n"/>
      <c r="C156" s="29" t="n"/>
      <c r="D156" s="26" t="n"/>
      <c r="E156" s="26" t="n"/>
      <c r="F156" s="27" t="n"/>
      <c r="G156" s="27" t="n"/>
      <c r="H156" s="27" t="n"/>
      <c r="I156" s="27" t="n"/>
      <c r="J156" s="27" t="n"/>
      <c r="K156" s="27" t="n"/>
      <c r="L156" s="26" t="n"/>
      <c r="M156" s="26" t="n"/>
      <c r="N156" s="28">
        <f>IF($A156="","",IF($C156="","",raporTarihi-$C156))</f>
        <v/>
      </c>
      <c r="O156" s="28">
        <f>IF($A156="","",IF($N156="","",IF($N156&lt;=7,"0-7",IF($N156&lt;=30,"8-30",IF($N156&lt;=60,"31-60","60+")))))</f>
        <v/>
      </c>
      <c r="P156" s="28">
        <f>IF($A156="","",IF($B156="","YETİM",IF(COUNTIF(tblKartlar[KartId],$B156)=0,"YETİM","")))</f>
        <v/>
      </c>
      <c r="Q156" s="28">
        <f>IF(OR($A156="",$D156=""),"",IF(OR($D156&amp;"|"&amp;$E156="",COUNTIF(ListeIzinliGecis,$D156&amp;"|"&amp;$E156)&gt;0),"","GEÇERSİZ GEÇİŞ"))</f>
        <v/>
      </c>
      <c r="R156" s="28">
        <f>IF($A156="","",IF(OR($F156="",$G156=""),"",IF(ABS($G156-$F156)&gt;zincirTolerans,"ZİNCİR KIRIK","OK")))</f>
        <v/>
      </c>
      <c r="S156" s="28">
        <f>IF($A156="","",1)</f>
        <v/>
      </c>
    </row>
    <row r="157">
      <c r="A157" s="26" t="n"/>
      <c r="B157" s="26" t="n"/>
      <c r="C157" s="29" t="n"/>
      <c r="D157" s="26" t="n"/>
      <c r="E157" s="26" t="n"/>
      <c r="F157" s="27" t="n"/>
      <c r="G157" s="27" t="n"/>
      <c r="H157" s="27" t="n"/>
      <c r="I157" s="27" t="n"/>
      <c r="J157" s="27" t="n"/>
      <c r="K157" s="27" t="n"/>
      <c r="L157" s="26" t="n"/>
      <c r="M157" s="26" t="n"/>
      <c r="N157" s="28">
        <f>IF($A157="","",IF($C157="","",raporTarihi-$C157))</f>
        <v/>
      </c>
      <c r="O157" s="28">
        <f>IF($A157="","",IF($N157="","",IF($N157&lt;=7,"0-7",IF($N157&lt;=30,"8-30",IF($N157&lt;=60,"31-60","60+")))))</f>
        <v/>
      </c>
      <c r="P157" s="28">
        <f>IF($A157="","",IF($B157="","YETİM",IF(COUNTIF(tblKartlar[KartId],$B157)=0,"YETİM","")))</f>
        <v/>
      </c>
      <c r="Q157" s="28">
        <f>IF(OR($A157="",$D157=""),"",IF(OR($D157&amp;"|"&amp;$E157="",COUNTIF(ListeIzinliGecis,$D157&amp;"|"&amp;$E157)&gt;0),"","GEÇERSİZ GEÇİŞ"))</f>
        <v/>
      </c>
      <c r="R157" s="28">
        <f>IF($A157="","",IF(OR($F157="",$G157=""),"",IF(ABS($G157-$F157)&gt;zincirTolerans,"ZİNCİR KIRIK","OK")))</f>
        <v/>
      </c>
      <c r="S157" s="28">
        <f>IF($A157="","",1)</f>
        <v/>
      </c>
    </row>
    <row r="158">
      <c r="A158" s="26" t="n"/>
      <c r="B158" s="26" t="n"/>
      <c r="C158" s="29" t="n"/>
      <c r="D158" s="26" t="n"/>
      <c r="E158" s="26" t="n"/>
      <c r="F158" s="27" t="n"/>
      <c r="G158" s="27" t="n"/>
      <c r="H158" s="27" t="n"/>
      <c r="I158" s="27" t="n"/>
      <c r="J158" s="27" t="n"/>
      <c r="K158" s="27" t="n"/>
      <c r="L158" s="26" t="n"/>
      <c r="M158" s="26" t="n"/>
      <c r="N158" s="28">
        <f>IF($A158="","",IF($C158="","",raporTarihi-$C158))</f>
        <v/>
      </c>
      <c r="O158" s="28">
        <f>IF($A158="","",IF($N158="","",IF($N158&lt;=7,"0-7",IF($N158&lt;=30,"8-30",IF($N158&lt;=60,"31-60","60+")))))</f>
        <v/>
      </c>
      <c r="P158" s="28">
        <f>IF($A158="","",IF($B158="","YETİM",IF(COUNTIF(tblKartlar[KartId],$B158)=0,"YETİM","")))</f>
        <v/>
      </c>
      <c r="Q158" s="28">
        <f>IF(OR($A158="",$D158=""),"",IF(OR($D158&amp;"|"&amp;$E158="",COUNTIF(ListeIzinliGecis,$D158&amp;"|"&amp;$E158)&gt;0),"","GEÇERSİZ GEÇİŞ"))</f>
        <v/>
      </c>
      <c r="R158" s="28">
        <f>IF($A158="","",IF(OR($F158="",$G158=""),"",IF(ABS($G158-$F158)&gt;zincirTolerans,"ZİNCİR KIRIK","OK")))</f>
        <v/>
      </c>
      <c r="S158" s="28">
        <f>IF($A158="","",1)</f>
        <v/>
      </c>
    </row>
    <row r="159">
      <c r="A159" s="26" t="n"/>
      <c r="B159" s="26" t="n"/>
      <c r="C159" s="29" t="n"/>
      <c r="D159" s="26" t="n"/>
      <c r="E159" s="26" t="n"/>
      <c r="F159" s="27" t="n"/>
      <c r="G159" s="27" t="n"/>
      <c r="H159" s="27" t="n"/>
      <c r="I159" s="27" t="n"/>
      <c r="J159" s="27" t="n"/>
      <c r="K159" s="27" t="n"/>
      <c r="L159" s="26" t="n"/>
      <c r="M159" s="26" t="n"/>
      <c r="N159" s="28">
        <f>IF($A159="","",IF($C159="","",raporTarihi-$C159))</f>
        <v/>
      </c>
      <c r="O159" s="28">
        <f>IF($A159="","",IF($N159="","",IF($N159&lt;=7,"0-7",IF($N159&lt;=30,"8-30",IF($N159&lt;=60,"31-60","60+")))))</f>
        <v/>
      </c>
      <c r="P159" s="28">
        <f>IF($A159="","",IF($B159="","YETİM",IF(COUNTIF(tblKartlar[KartId],$B159)=0,"YETİM","")))</f>
        <v/>
      </c>
      <c r="Q159" s="28">
        <f>IF(OR($A159="",$D159=""),"",IF(OR($D159&amp;"|"&amp;$E159="",COUNTIF(ListeIzinliGecis,$D159&amp;"|"&amp;$E159)&gt;0),"","GEÇERSİZ GEÇİŞ"))</f>
        <v/>
      </c>
      <c r="R159" s="28">
        <f>IF($A159="","",IF(OR($F159="",$G159=""),"",IF(ABS($G159-$F159)&gt;zincirTolerans,"ZİNCİR KIRIK","OK")))</f>
        <v/>
      </c>
      <c r="S159" s="28">
        <f>IF($A159="","",1)</f>
        <v/>
      </c>
    </row>
    <row r="160">
      <c r="A160" s="26" t="n"/>
      <c r="B160" s="26" t="n"/>
      <c r="C160" s="29" t="n"/>
      <c r="D160" s="26" t="n"/>
      <c r="E160" s="26" t="n"/>
      <c r="F160" s="27" t="n"/>
      <c r="G160" s="27" t="n"/>
      <c r="H160" s="27" t="n"/>
      <c r="I160" s="27" t="n"/>
      <c r="J160" s="27" t="n"/>
      <c r="K160" s="27" t="n"/>
      <c r="L160" s="26" t="n"/>
      <c r="M160" s="26" t="n"/>
      <c r="N160" s="28">
        <f>IF($A160="","",IF($C160="","",raporTarihi-$C160))</f>
        <v/>
      </c>
      <c r="O160" s="28">
        <f>IF($A160="","",IF($N160="","",IF($N160&lt;=7,"0-7",IF($N160&lt;=30,"8-30",IF($N160&lt;=60,"31-60","60+")))))</f>
        <v/>
      </c>
      <c r="P160" s="28">
        <f>IF($A160="","",IF($B160="","YETİM",IF(COUNTIF(tblKartlar[KartId],$B160)=0,"YETİM","")))</f>
        <v/>
      </c>
      <c r="Q160" s="28">
        <f>IF(OR($A160="",$D160=""),"",IF(OR($D160&amp;"|"&amp;$E160="",COUNTIF(ListeIzinliGecis,$D160&amp;"|"&amp;$E160)&gt;0),"","GEÇERSİZ GEÇİŞ"))</f>
        <v/>
      </c>
      <c r="R160" s="28">
        <f>IF($A160="","",IF(OR($F160="",$G160=""),"",IF(ABS($G160-$F160)&gt;zincirTolerans,"ZİNCİR KIRIK","OK")))</f>
        <v/>
      </c>
      <c r="S160" s="28">
        <f>IF($A160="","",1)</f>
        <v/>
      </c>
    </row>
    <row r="161">
      <c r="A161" s="26" t="n"/>
      <c r="B161" s="26" t="n"/>
      <c r="C161" s="29" t="n"/>
      <c r="D161" s="26" t="n"/>
      <c r="E161" s="26" t="n"/>
      <c r="F161" s="27" t="n"/>
      <c r="G161" s="27" t="n"/>
      <c r="H161" s="27" t="n"/>
      <c r="I161" s="27" t="n"/>
      <c r="J161" s="27" t="n"/>
      <c r="K161" s="27" t="n"/>
      <c r="L161" s="26" t="n"/>
      <c r="M161" s="26" t="n"/>
      <c r="N161" s="28">
        <f>IF($A161="","",IF($C161="","",raporTarihi-$C161))</f>
        <v/>
      </c>
      <c r="O161" s="28">
        <f>IF($A161="","",IF($N161="","",IF($N161&lt;=7,"0-7",IF($N161&lt;=30,"8-30",IF($N161&lt;=60,"31-60","60+")))))</f>
        <v/>
      </c>
      <c r="P161" s="28">
        <f>IF($A161="","",IF($B161="","YETİM",IF(COUNTIF(tblKartlar[KartId],$B161)=0,"YETİM","")))</f>
        <v/>
      </c>
      <c r="Q161" s="28">
        <f>IF(OR($A161="",$D161=""),"",IF(OR($D161&amp;"|"&amp;$E161="",COUNTIF(ListeIzinliGecis,$D161&amp;"|"&amp;$E161)&gt;0),"","GEÇERSİZ GEÇİŞ"))</f>
        <v/>
      </c>
      <c r="R161" s="28">
        <f>IF($A161="","",IF(OR($F161="",$G161=""),"",IF(ABS($G161-$F161)&gt;zincirTolerans,"ZİNCİR KIRIK","OK")))</f>
        <v/>
      </c>
      <c r="S161" s="28">
        <f>IF($A161="","",1)</f>
        <v/>
      </c>
    </row>
    <row r="162">
      <c r="A162" s="26" t="n"/>
      <c r="B162" s="26" t="n"/>
      <c r="C162" s="29" t="n"/>
      <c r="D162" s="26" t="n"/>
      <c r="E162" s="26" t="n"/>
      <c r="F162" s="27" t="n"/>
      <c r="G162" s="27" t="n"/>
      <c r="H162" s="27" t="n"/>
      <c r="I162" s="27" t="n"/>
      <c r="J162" s="27" t="n"/>
      <c r="K162" s="27" t="n"/>
      <c r="L162" s="26" t="n"/>
      <c r="M162" s="26" t="n"/>
      <c r="N162" s="28">
        <f>IF($A162="","",IF($C162="","",raporTarihi-$C162))</f>
        <v/>
      </c>
      <c r="O162" s="28">
        <f>IF($A162="","",IF($N162="","",IF($N162&lt;=7,"0-7",IF($N162&lt;=30,"8-30",IF($N162&lt;=60,"31-60","60+")))))</f>
        <v/>
      </c>
      <c r="P162" s="28">
        <f>IF($A162="","",IF($B162="","YETİM",IF(COUNTIF(tblKartlar[KartId],$B162)=0,"YETİM","")))</f>
        <v/>
      </c>
      <c r="Q162" s="28">
        <f>IF(OR($A162="",$D162=""),"",IF(OR($D162&amp;"|"&amp;$E162="",COUNTIF(ListeIzinliGecis,$D162&amp;"|"&amp;$E162)&gt;0),"","GEÇERSİZ GEÇİŞ"))</f>
        <v/>
      </c>
      <c r="R162" s="28">
        <f>IF($A162="","",IF(OR($F162="",$G162=""),"",IF(ABS($G162-$F162)&gt;zincirTolerans,"ZİNCİR KIRIK","OK")))</f>
        <v/>
      </c>
      <c r="S162" s="28">
        <f>IF($A162="","",1)</f>
        <v/>
      </c>
    </row>
    <row r="163">
      <c r="A163" s="26" t="n"/>
      <c r="B163" s="26" t="n"/>
      <c r="C163" s="29" t="n"/>
      <c r="D163" s="26" t="n"/>
      <c r="E163" s="26" t="n"/>
      <c r="F163" s="27" t="n"/>
      <c r="G163" s="27" t="n"/>
      <c r="H163" s="27" t="n"/>
      <c r="I163" s="27" t="n"/>
      <c r="J163" s="27" t="n"/>
      <c r="K163" s="27" t="n"/>
      <c r="L163" s="26" t="n"/>
      <c r="M163" s="26" t="n"/>
      <c r="N163" s="28">
        <f>IF($A163="","",IF($C163="","",raporTarihi-$C163))</f>
        <v/>
      </c>
      <c r="O163" s="28">
        <f>IF($A163="","",IF($N163="","",IF($N163&lt;=7,"0-7",IF($N163&lt;=30,"8-30",IF($N163&lt;=60,"31-60","60+")))))</f>
        <v/>
      </c>
      <c r="P163" s="28">
        <f>IF($A163="","",IF($B163="","YETİM",IF(COUNTIF(tblKartlar[KartId],$B163)=0,"YETİM","")))</f>
        <v/>
      </c>
      <c r="Q163" s="28">
        <f>IF(OR($A163="",$D163=""),"",IF(OR($D163&amp;"|"&amp;$E163="",COUNTIF(ListeIzinliGecis,$D163&amp;"|"&amp;$E163)&gt;0),"","GEÇERSİZ GEÇİŞ"))</f>
        <v/>
      </c>
      <c r="R163" s="28">
        <f>IF($A163="","",IF(OR($F163="",$G163=""),"",IF(ABS($G163-$F163)&gt;zincirTolerans,"ZİNCİR KIRIK","OK")))</f>
        <v/>
      </c>
      <c r="S163" s="28">
        <f>IF($A163="","",1)</f>
        <v/>
      </c>
    </row>
    <row r="164">
      <c r="A164" s="26" t="n"/>
      <c r="B164" s="26" t="n"/>
      <c r="C164" s="29" t="n"/>
      <c r="D164" s="26" t="n"/>
      <c r="E164" s="26" t="n"/>
      <c r="F164" s="27" t="n"/>
      <c r="G164" s="27" t="n"/>
      <c r="H164" s="27" t="n"/>
      <c r="I164" s="27" t="n"/>
      <c r="J164" s="27" t="n"/>
      <c r="K164" s="27" t="n"/>
      <c r="L164" s="26" t="n"/>
      <c r="M164" s="26" t="n"/>
      <c r="N164" s="28">
        <f>IF($A164="","",IF($C164="","",raporTarihi-$C164))</f>
        <v/>
      </c>
      <c r="O164" s="28">
        <f>IF($A164="","",IF($N164="","",IF($N164&lt;=7,"0-7",IF($N164&lt;=30,"8-30",IF($N164&lt;=60,"31-60","60+")))))</f>
        <v/>
      </c>
      <c r="P164" s="28">
        <f>IF($A164="","",IF($B164="","YETİM",IF(COUNTIF(tblKartlar[KartId],$B164)=0,"YETİM","")))</f>
        <v/>
      </c>
      <c r="Q164" s="28">
        <f>IF(OR($A164="",$D164=""),"",IF(OR($D164&amp;"|"&amp;$E164="",COUNTIF(ListeIzinliGecis,$D164&amp;"|"&amp;$E164)&gt;0),"","GEÇERSİZ GEÇİŞ"))</f>
        <v/>
      </c>
      <c r="R164" s="28">
        <f>IF($A164="","",IF(OR($F164="",$G164=""),"",IF(ABS($G164-$F164)&gt;zincirTolerans,"ZİNCİR KIRIK","OK")))</f>
        <v/>
      </c>
      <c r="S164" s="28">
        <f>IF($A164="","",1)</f>
        <v/>
      </c>
    </row>
    <row r="165">
      <c r="A165" s="26" t="n"/>
      <c r="B165" s="26" t="n"/>
      <c r="C165" s="29" t="n"/>
      <c r="D165" s="26" t="n"/>
      <c r="E165" s="26" t="n"/>
      <c r="F165" s="27" t="n"/>
      <c r="G165" s="27" t="n"/>
      <c r="H165" s="27" t="n"/>
      <c r="I165" s="27" t="n"/>
      <c r="J165" s="27" t="n"/>
      <c r="K165" s="27" t="n"/>
      <c r="L165" s="26" t="n"/>
      <c r="M165" s="26" t="n"/>
      <c r="N165" s="28">
        <f>IF($A165="","",IF($C165="","",raporTarihi-$C165))</f>
        <v/>
      </c>
      <c r="O165" s="28">
        <f>IF($A165="","",IF($N165="","",IF($N165&lt;=7,"0-7",IF($N165&lt;=30,"8-30",IF($N165&lt;=60,"31-60","60+")))))</f>
        <v/>
      </c>
      <c r="P165" s="28">
        <f>IF($A165="","",IF($B165="","YETİM",IF(COUNTIF(tblKartlar[KartId],$B165)=0,"YETİM","")))</f>
        <v/>
      </c>
      <c r="Q165" s="28">
        <f>IF(OR($A165="",$D165=""),"",IF(OR($D165&amp;"|"&amp;$E165="",COUNTIF(ListeIzinliGecis,$D165&amp;"|"&amp;$E165)&gt;0),"","GEÇERSİZ GEÇİŞ"))</f>
        <v/>
      </c>
      <c r="R165" s="28">
        <f>IF($A165="","",IF(OR($F165="",$G165=""),"",IF(ABS($G165-$F165)&gt;zincirTolerans,"ZİNCİR KIRIK","OK")))</f>
        <v/>
      </c>
      <c r="S165" s="28">
        <f>IF($A165="","",1)</f>
        <v/>
      </c>
    </row>
    <row r="166">
      <c r="A166" s="26" t="n"/>
      <c r="B166" s="26" t="n"/>
      <c r="C166" s="29" t="n"/>
      <c r="D166" s="26" t="n"/>
      <c r="E166" s="26" t="n"/>
      <c r="F166" s="27" t="n"/>
      <c r="G166" s="27" t="n"/>
      <c r="H166" s="27" t="n"/>
      <c r="I166" s="27" t="n"/>
      <c r="J166" s="27" t="n"/>
      <c r="K166" s="27" t="n"/>
      <c r="L166" s="26" t="n"/>
      <c r="M166" s="26" t="n"/>
      <c r="N166" s="28">
        <f>IF($A166="","",IF($C166="","",raporTarihi-$C166))</f>
        <v/>
      </c>
      <c r="O166" s="28">
        <f>IF($A166="","",IF($N166="","",IF($N166&lt;=7,"0-7",IF($N166&lt;=30,"8-30",IF($N166&lt;=60,"31-60","60+")))))</f>
        <v/>
      </c>
      <c r="P166" s="28">
        <f>IF($A166="","",IF($B166="","YETİM",IF(COUNTIF(tblKartlar[KartId],$B166)=0,"YETİM","")))</f>
        <v/>
      </c>
      <c r="Q166" s="28">
        <f>IF(OR($A166="",$D166=""),"",IF(OR($D166&amp;"|"&amp;$E166="",COUNTIF(ListeIzinliGecis,$D166&amp;"|"&amp;$E166)&gt;0),"","GEÇERSİZ GEÇİŞ"))</f>
        <v/>
      </c>
      <c r="R166" s="28">
        <f>IF($A166="","",IF(OR($F166="",$G166=""),"",IF(ABS($G166-$F166)&gt;zincirTolerans,"ZİNCİR KIRIK","OK")))</f>
        <v/>
      </c>
      <c r="S166" s="28">
        <f>IF($A166="","",1)</f>
        <v/>
      </c>
    </row>
    <row r="167">
      <c r="A167" s="26" t="n"/>
      <c r="B167" s="26" t="n"/>
      <c r="C167" s="29" t="n"/>
      <c r="D167" s="26" t="n"/>
      <c r="E167" s="26" t="n"/>
      <c r="F167" s="27" t="n"/>
      <c r="G167" s="27" t="n"/>
      <c r="H167" s="27" t="n"/>
      <c r="I167" s="27" t="n"/>
      <c r="J167" s="27" t="n"/>
      <c r="K167" s="27" t="n"/>
      <c r="L167" s="26" t="n"/>
      <c r="M167" s="26" t="n"/>
      <c r="N167" s="28">
        <f>IF($A167="","",IF($C167="","",raporTarihi-$C167))</f>
        <v/>
      </c>
      <c r="O167" s="28">
        <f>IF($A167="","",IF($N167="","",IF($N167&lt;=7,"0-7",IF($N167&lt;=30,"8-30",IF($N167&lt;=60,"31-60","60+")))))</f>
        <v/>
      </c>
      <c r="P167" s="28">
        <f>IF($A167="","",IF($B167="","YETİM",IF(COUNTIF(tblKartlar[KartId],$B167)=0,"YETİM","")))</f>
        <v/>
      </c>
      <c r="Q167" s="28">
        <f>IF(OR($A167="",$D167=""),"",IF(OR($D167&amp;"|"&amp;$E167="",COUNTIF(ListeIzinliGecis,$D167&amp;"|"&amp;$E167)&gt;0),"","GEÇERSİZ GEÇİŞ"))</f>
        <v/>
      </c>
      <c r="R167" s="28">
        <f>IF($A167="","",IF(OR($F167="",$G167=""),"",IF(ABS($G167-$F167)&gt;zincirTolerans,"ZİNCİR KIRIK","OK")))</f>
        <v/>
      </c>
      <c r="S167" s="28">
        <f>IF($A167="","",1)</f>
        <v/>
      </c>
    </row>
    <row r="168">
      <c r="A168" s="26" t="n"/>
      <c r="B168" s="26" t="n"/>
      <c r="C168" s="29" t="n"/>
      <c r="D168" s="26" t="n"/>
      <c r="E168" s="26" t="n"/>
      <c r="F168" s="27" t="n"/>
      <c r="G168" s="27" t="n"/>
      <c r="H168" s="27" t="n"/>
      <c r="I168" s="27" t="n"/>
      <c r="J168" s="27" t="n"/>
      <c r="K168" s="27" t="n"/>
      <c r="L168" s="26" t="n"/>
      <c r="M168" s="26" t="n"/>
      <c r="N168" s="28">
        <f>IF($A168="","",IF($C168="","",raporTarihi-$C168))</f>
        <v/>
      </c>
      <c r="O168" s="28">
        <f>IF($A168="","",IF($N168="","",IF($N168&lt;=7,"0-7",IF($N168&lt;=30,"8-30",IF($N168&lt;=60,"31-60","60+")))))</f>
        <v/>
      </c>
      <c r="P168" s="28">
        <f>IF($A168="","",IF($B168="","YETİM",IF(COUNTIF(tblKartlar[KartId],$B168)=0,"YETİM","")))</f>
        <v/>
      </c>
      <c r="Q168" s="28">
        <f>IF(OR($A168="",$D168=""),"",IF(OR($D168&amp;"|"&amp;$E168="",COUNTIF(ListeIzinliGecis,$D168&amp;"|"&amp;$E168)&gt;0),"","GEÇERSİZ GEÇİŞ"))</f>
        <v/>
      </c>
      <c r="R168" s="28">
        <f>IF($A168="","",IF(OR($F168="",$G168=""),"",IF(ABS($G168-$F168)&gt;zincirTolerans,"ZİNCİR KIRIK","OK")))</f>
        <v/>
      </c>
      <c r="S168" s="28">
        <f>IF($A168="","",1)</f>
        <v/>
      </c>
    </row>
    <row r="169">
      <c r="A169" s="26" t="n"/>
      <c r="B169" s="26" t="n"/>
      <c r="C169" s="29" t="n"/>
      <c r="D169" s="26" t="n"/>
      <c r="E169" s="26" t="n"/>
      <c r="F169" s="27" t="n"/>
      <c r="G169" s="27" t="n"/>
      <c r="H169" s="27" t="n"/>
      <c r="I169" s="27" t="n"/>
      <c r="J169" s="27" t="n"/>
      <c r="K169" s="27" t="n"/>
      <c r="L169" s="26" t="n"/>
      <c r="M169" s="26" t="n"/>
      <c r="N169" s="28">
        <f>IF($A169="","",IF($C169="","",raporTarihi-$C169))</f>
        <v/>
      </c>
      <c r="O169" s="28">
        <f>IF($A169="","",IF($N169="","",IF($N169&lt;=7,"0-7",IF($N169&lt;=30,"8-30",IF($N169&lt;=60,"31-60","60+")))))</f>
        <v/>
      </c>
      <c r="P169" s="28">
        <f>IF($A169="","",IF($B169="","YETİM",IF(COUNTIF(tblKartlar[KartId],$B169)=0,"YETİM","")))</f>
        <v/>
      </c>
      <c r="Q169" s="28">
        <f>IF(OR($A169="",$D169=""),"",IF(OR($D169&amp;"|"&amp;$E169="",COUNTIF(ListeIzinliGecis,$D169&amp;"|"&amp;$E169)&gt;0),"","GEÇERSİZ GEÇİŞ"))</f>
        <v/>
      </c>
      <c r="R169" s="28">
        <f>IF($A169="","",IF(OR($F169="",$G169=""),"",IF(ABS($G169-$F169)&gt;zincirTolerans,"ZİNCİR KIRIK","OK")))</f>
        <v/>
      </c>
      <c r="S169" s="28">
        <f>IF($A169="","",1)</f>
        <v/>
      </c>
    </row>
    <row r="170">
      <c r="A170" s="26" t="n"/>
      <c r="B170" s="26" t="n"/>
      <c r="C170" s="29" t="n"/>
      <c r="D170" s="26" t="n"/>
      <c r="E170" s="26" t="n"/>
      <c r="F170" s="27" t="n"/>
      <c r="G170" s="27" t="n"/>
      <c r="H170" s="27" t="n"/>
      <c r="I170" s="27" t="n"/>
      <c r="J170" s="27" t="n"/>
      <c r="K170" s="27" t="n"/>
      <c r="L170" s="26" t="n"/>
      <c r="M170" s="26" t="n"/>
      <c r="N170" s="28">
        <f>IF($A170="","",IF($C170="","",raporTarihi-$C170))</f>
        <v/>
      </c>
      <c r="O170" s="28">
        <f>IF($A170="","",IF($N170="","",IF($N170&lt;=7,"0-7",IF($N170&lt;=30,"8-30",IF($N170&lt;=60,"31-60","60+")))))</f>
        <v/>
      </c>
      <c r="P170" s="28">
        <f>IF($A170="","",IF($B170="","YETİM",IF(COUNTIF(tblKartlar[KartId],$B170)=0,"YETİM","")))</f>
        <v/>
      </c>
      <c r="Q170" s="28">
        <f>IF(OR($A170="",$D170=""),"",IF(OR($D170&amp;"|"&amp;$E170="",COUNTIF(ListeIzinliGecis,$D170&amp;"|"&amp;$E170)&gt;0),"","GEÇERSİZ GEÇİŞ"))</f>
        <v/>
      </c>
      <c r="R170" s="28">
        <f>IF($A170="","",IF(OR($F170="",$G170=""),"",IF(ABS($G170-$F170)&gt;zincirTolerans,"ZİNCİR KIRIK","OK")))</f>
        <v/>
      </c>
      <c r="S170" s="28">
        <f>IF($A170="","",1)</f>
        <v/>
      </c>
    </row>
    <row r="171">
      <c r="A171" s="26" t="n"/>
      <c r="B171" s="26" t="n"/>
      <c r="C171" s="29" t="n"/>
      <c r="D171" s="26" t="n"/>
      <c r="E171" s="26" t="n"/>
      <c r="F171" s="27" t="n"/>
      <c r="G171" s="27" t="n"/>
      <c r="H171" s="27" t="n"/>
      <c r="I171" s="27" t="n"/>
      <c r="J171" s="27" t="n"/>
      <c r="K171" s="27" t="n"/>
      <c r="L171" s="26" t="n"/>
      <c r="M171" s="26" t="n"/>
      <c r="N171" s="28">
        <f>IF($A171="","",IF($C171="","",raporTarihi-$C171))</f>
        <v/>
      </c>
      <c r="O171" s="28">
        <f>IF($A171="","",IF($N171="","",IF($N171&lt;=7,"0-7",IF($N171&lt;=30,"8-30",IF($N171&lt;=60,"31-60","60+")))))</f>
        <v/>
      </c>
      <c r="P171" s="28">
        <f>IF($A171="","",IF($B171="","YETİM",IF(COUNTIF(tblKartlar[KartId],$B171)=0,"YETİM","")))</f>
        <v/>
      </c>
      <c r="Q171" s="28">
        <f>IF(OR($A171="",$D171=""),"",IF(OR($D171&amp;"|"&amp;$E171="",COUNTIF(ListeIzinliGecis,$D171&amp;"|"&amp;$E171)&gt;0),"","GEÇERSİZ GEÇİŞ"))</f>
        <v/>
      </c>
      <c r="R171" s="28">
        <f>IF($A171="","",IF(OR($F171="",$G171=""),"",IF(ABS($G171-$F171)&gt;zincirTolerans,"ZİNCİR KIRIK","OK")))</f>
        <v/>
      </c>
      <c r="S171" s="28">
        <f>IF($A171="","",1)</f>
        <v/>
      </c>
    </row>
    <row r="172">
      <c r="A172" s="26" t="n"/>
      <c r="B172" s="26" t="n"/>
      <c r="C172" s="29" t="n"/>
      <c r="D172" s="26" t="n"/>
      <c r="E172" s="26" t="n"/>
      <c r="F172" s="27" t="n"/>
      <c r="G172" s="27" t="n"/>
      <c r="H172" s="27" t="n"/>
      <c r="I172" s="27" t="n"/>
      <c r="J172" s="27" t="n"/>
      <c r="K172" s="27" t="n"/>
      <c r="L172" s="26" t="n"/>
      <c r="M172" s="26" t="n"/>
      <c r="N172" s="28">
        <f>IF($A172="","",IF($C172="","",raporTarihi-$C172))</f>
        <v/>
      </c>
      <c r="O172" s="28">
        <f>IF($A172="","",IF($N172="","",IF($N172&lt;=7,"0-7",IF($N172&lt;=30,"8-30",IF($N172&lt;=60,"31-60","60+")))))</f>
        <v/>
      </c>
      <c r="P172" s="28">
        <f>IF($A172="","",IF($B172="","YETİM",IF(COUNTIF(tblKartlar[KartId],$B172)=0,"YETİM","")))</f>
        <v/>
      </c>
      <c r="Q172" s="28">
        <f>IF(OR($A172="",$D172=""),"",IF(OR($D172&amp;"|"&amp;$E172="",COUNTIF(ListeIzinliGecis,$D172&amp;"|"&amp;$E172)&gt;0),"","GEÇERSİZ GEÇİŞ"))</f>
        <v/>
      </c>
      <c r="R172" s="28">
        <f>IF($A172="","",IF(OR($F172="",$G172=""),"",IF(ABS($G172-$F172)&gt;zincirTolerans,"ZİNCİR KIRIK","OK")))</f>
        <v/>
      </c>
      <c r="S172" s="28">
        <f>IF($A172="","",1)</f>
        <v/>
      </c>
    </row>
    <row r="173">
      <c r="A173" s="26" t="n"/>
      <c r="B173" s="26" t="n"/>
      <c r="C173" s="29" t="n"/>
      <c r="D173" s="26" t="n"/>
      <c r="E173" s="26" t="n"/>
      <c r="F173" s="27" t="n"/>
      <c r="G173" s="27" t="n"/>
      <c r="H173" s="27" t="n"/>
      <c r="I173" s="27" t="n"/>
      <c r="J173" s="27" t="n"/>
      <c r="K173" s="27" t="n"/>
      <c r="L173" s="26" t="n"/>
      <c r="M173" s="26" t="n"/>
      <c r="N173" s="28">
        <f>IF($A173="","",IF($C173="","",raporTarihi-$C173))</f>
        <v/>
      </c>
      <c r="O173" s="28">
        <f>IF($A173="","",IF($N173="","",IF($N173&lt;=7,"0-7",IF($N173&lt;=30,"8-30",IF($N173&lt;=60,"31-60","60+")))))</f>
        <v/>
      </c>
      <c r="P173" s="28">
        <f>IF($A173="","",IF($B173="","YETİM",IF(COUNTIF(tblKartlar[KartId],$B173)=0,"YETİM","")))</f>
        <v/>
      </c>
      <c r="Q173" s="28">
        <f>IF(OR($A173="",$D173=""),"",IF(OR($D173&amp;"|"&amp;$E173="",COUNTIF(ListeIzinliGecis,$D173&amp;"|"&amp;$E173)&gt;0),"","GEÇERSİZ GEÇİŞ"))</f>
        <v/>
      </c>
      <c r="R173" s="28">
        <f>IF($A173="","",IF(OR($F173="",$G173=""),"",IF(ABS($G173-$F173)&gt;zincirTolerans,"ZİNCİR KIRIK","OK")))</f>
        <v/>
      </c>
      <c r="S173" s="28">
        <f>IF($A173="","",1)</f>
        <v/>
      </c>
    </row>
    <row r="174">
      <c r="A174" s="26" t="n"/>
      <c r="B174" s="26" t="n"/>
      <c r="C174" s="29" t="n"/>
      <c r="D174" s="26" t="n"/>
      <c r="E174" s="26" t="n"/>
      <c r="F174" s="27" t="n"/>
      <c r="G174" s="27" t="n"/>
      <c r="H174" s="27" t="n"/>
      <c r="I174" s="27" t="n"/>
      <c r="J174" s="27" t="n"/>
      <c r="K174" s="27" t="n"/>
      <c r="L174" s="26" t="n"/>
      <c r="M174" s="26" t="n"/>
      <c r="N174" s="28">
        <f>IF($A174="","",IF($C174="","",raporTarihi-$C174))</f>
        <v/>
      </c>
      <c r="O174" s="28">
        <f>IF($A174="","",IF($N174="","",IF($N174&lt;=7,"0-7",IF($N174&lt;=30,"8-30",IF($N174&lt;=60,"31-60","60+")))))</f>
        <v/>
      </c>
      <c r="P174" s="28">
        <f>IF($A174="","",IF($B174="","YETİM",IF(COUNTIF(tblKartlar[KartId],$B174)=0,"YETİM","")))</f>
        <v/>
      </c>
      <c r="Q174" s="28">
        <f>IF(OR($A174="",$D174=""),"",IF(OR($D174&amp;"|"&amp;$E174="",COUNTIF(ListeIzinliGecis,$D174&amp;"|"&amp;$E174)&gt;0),"","GEÇERSİZ GEÇİŞ"))</f>
        <v/>
      </c>
      <c r="R174" s="28">
        <f>IF($A174="","",IF(OR($F174="",$G174=""),"",IF(ABS($G174-$F174)&gt;zincirTolerans,"ZİNCİR KIRIK","OK")))</f>
        <v/>
      </c>
      <c r="S174" s="28">
        <f>IF($A174="","",1)</f>
        <v/>
      </c>
    </row>
    <row r="175">
      <c r="A175" s="26" t="n"/>
      <c r="B175" s="26" t="n"/>
      <c r="C175" s="29" t="n"/>
      <c r="D175" s="26" t="n"/>
      <c r="E175" s="26" t="n"/>
      <c r="F175" s="27" t="n"/>
      <c r="G175" s="27" t="n"/>
      <c r="H175" s="27" t="n"/>
      <c r="I175" s="27" t="n"/>
      <c r="J175" s="27" t="n"/>
      <c r="K175" s="27" t="n"/>
      <c r="L175" s="26" t="n"/>
      <c r="M175" s="26" t="n"/>
      <c r="N175" s="28">
        <f>IF($A175="","",IF($C175="","",raporTarihi-$C175))</f>
        <v/>
      </c>
      <c r="O175" s="28">
        <f>IF($A175="","",IF($N175="","",IF($N175&lt;=7,"0-7",IF($N175&lt;=30,"8-30",IF($N175&lt;=60,"31-60","60+")))))</f>
        <v/>
      </c>
      <c r="P175" s="28">
        <f>IF($A175="","",IF($B175="","YETİM",IF(COUNTIF(tblKartlar[KartId],$B175)=0,"YETİM","")))</f>
        <v/>
      </c>
      <c r="Q175" s="28">
        <f>IF(OR($A175="",$D175=""),"",IF(OR($D175&amp;"|"&amp;$E175="",COUNTIF(ListeIzinliGecis,$D175&amp;"|"&amp;$E175)&gt;0),"","GEÇERSİZ GEÇİŞ"))</f>
        <v/>
      </c>
      <c r="R175" s="28">
        <f>IF($A175="","",IF(OR($F175="",$G175=""),"",IF(ABS($G175-$F175)&gt;zincirTolerans,"ZİNCİR KIRIK","OK")))</f>
        <v/>
      </c>
      <c r="S175" s="28">
        <f>IF($A175="","",1)</f>
        <v/>
      </c>
    </row>
    <row r="176">
      <c r="A176" s="26" t="n"/>
      <c r="B176" s="26" t="n"/>
      <c r="C176" s="29" t="n"/>
      <c r="D176" s="26" t="n"/>
      <c r="E176" s="26" t="n"/>
      <c r="F176" s="27" t="n"/>
      <c r="G176" s="27" t="n"/>
      <c r="H176" s="27" t="n"/>
      <c r="I176" s="27" t="n"/>
      <c r="J176" s="27" t="n"/>
      <c r="K176" s="27" t="n"/>
      <c r="L176" s="26" t="n"/>
      <c r="M176" s="26" t="n"/>
      <c r="N176" s="28">
        <f>IF($A176="","",IF($C176="","",raporTarihi-$C176))</f>
        <v/>
      </c>
      <c r="O176" s="28">
        <f>IF($A176="","",IF($N176="","",IF($N176&lt;=7,"0-7",IF($N176&lt;=30,"8-30",IF($N176&lt;=60,"31-60","60+")))))</f>
        <v/>
      </c>
      <c r="P176" s="28">
        <f>IF($A176="","",IF($B176="","YETİM",IF(COUNTIF(tblKartlar[KartId],$B176)=0,"YETİM","")))</f>
        <v/>
      </c>
      <c r="Q176" s="28">
        <f>IF(OR($A176="",$D176=""),"",IF(OR($D176&amp;"|"&amp;$E176="",COUNTIF(ListeIzinliGecis,$D176&amp;"|"&amp;$E176)&gt;0),"","GEÇERSİZ GEÇİŞ"))</f>
        <v/>
      </c>
      <c r="R176" s="28">
        <f>IF($A176="","",IF(OR($F176="",$G176=""),"",IF(ABS($G176-$F176)&gt;zincirTolerans,"ZİNCİR KIRIK","OK")))</f>
        <v/>
      </c>
      <c r="S176" s="28">
        <f>IF($A176="","",1)</f>
        <v/>
      </c>
    </row>
    <row r="177">
      <c r="A177" s="26" t="n"/>
      <c r="B177" s="26" t="n"/>
      <c r="C177" s="29" t="n"/>
      <c r="D177" s="26" t="n"/>
      <c r="E177" s="26" t="n"/>
      <c r="F177" s="27" t="n"/>
      <c r="G177" s="27" t="n"/>
      <c r="H177" s="27" t="n"/>
      <c r="I177" s="27" t="n"/>
      <c r="J177" s="27" t="n"/>
      <c r="K177" s="27" t="n"/>
      <c r="L177" s="26" t="n"/>
      <c r="M177" s="26" t="n"/>
      <c r="N177" s="28">
        <f>IF($A177="","",IF($C177="","",raporTarihi-$C177))</f>
        <v/>
      </c>
      <c r="O177" s="28">
        <f>IF($A177="","",IF($N177="","",IF($N177&lt;=7,"0-7",IF($N177&lt;=30,"8-30",IF($N177&lt;=60,"31-60","60+")))))</f>
        <v/>
      </c>
      <c r="P177" s="28">
        <f>IF($A177="","",IF($B177="","YETİM",IF(COUNTIF(tblKartlar[KartId],$B177)=0,"YETİM","")))</f>
        <v/>
      </c>
      <c r="Q177" s="28">
        <f>IF(OR($A177="",$D177=""),"",IF(OR($D177&amp;"|"&amp;$E177="",COUNTIF(ListeIzinliGecis,$D177&amp;"|"&amp;$E177)&gt;0),"","GEÇERSİZ GEÇİŞ"))</f>
        <v/>
      </c>
      <c r="R177" s="28">
        <f>IF($A177="","",IF(OR($F177="",$G177=""),"",IF(ABS($G177-$F177)&gt;zincirTolerans,"ZİNCİR KIRIK","OK")))</f>
        <v/>
      </c>
      <c r="S177" s="28">
        <f>IF($A177="","",1)</f>
        <v/>
      </c>
    </row>
    <row r="178">
      <c r="A178" s="26" t="n"/>
      <c r="B178" s="26" t="n"/>
      <c r="C178" s="29" t="n"/>
      <c r="D178" s="26" t="n"/>
      <c r="E178" s="26" t="n"/>
      <c r="F178" s="27" t="n"/>
      <c r="G178" s="27" t="n"/>
      <c r="H178" s="27" t="n"/>
      <c r="I178" s="27" t="n"/>
      <c r="J178" s="27" t="n"/>
      <c r="K178" s="27" t="n"/>
      <c r="L178" s="26" t="n"/>
      <c r="M178" s="26" t="n"/>
      <c r="N178" s="28">
        <f>IF($A178="","",IF($C178="","",raporTarihi-$C178))</f>
        <v/>
      </c>
      <c r="O178" s="28">
        <f>IF($A178="","",IF($N178="","",IF($N178&lt;=7,"0-7",IF($N178&lt;=30,"8-30",IF($N178&lt;=60,"31-60","60+")))))</f>
        <v/>
      </c>
      <c r="P178" s="28">
        <f>IF($A178="","",IF($B178="","YETİM",IF(COUNTIF(tblKartlar[KartId],$B178)=0,"YETİM","")))</f>
        <v/>
      </c>
      <c r="Q178" s="28">
        <f>IF(OR($A178="",$D178=""),"",IF(OR($D178&amp;"|"&amp;$E178="",COUNTIF(ListeIzinliGecis,$D178&amp;"|"&amp;$E178)&gt;0),"","GEÇERSİZ GEÇİŞ"))</f>
        <v/>
      </c>
      <c r="R178" s="28">
        <f>IF($A178="","",IF(OR($F178="",$G178=""),"",IF(ABS($G178-$F178)&gt;zincirTolerans,"ZİNCİR KIRIK","OK")))</f>
        <v/>
      </c>
      <c r="S178" s="28">
        <f>IF($A178="","",1)</f>
        <v/>
      </c>
    </row>
    <row r="179">
      <c r="A179" s="26" t="n"/>
      <c r="B179" s="26" t="n"/>
      <c r="C179" s="29" t="n"/>
      <c r="D179" s="26" t="n"/>
      <c r="E179" s="26" t="n"/>
      <c r="F179" s="27" t="n"/>
      <c r="G179" s="27" t="n"/>
      <c r="H179" s="27" t="n"/>
      <c r="I179" s="27" t="n"/>
      <c r="J179" s="27" t="n"/>
      <c r="K179" s="27" t="n"/>
      <c r="L179" s="26" t="n"/>
      <c r="M179" s="26" t="n"/>
      <c r="N179" s="28">
        <f>IF($A179="","",IF($C179="","",raporTarihi-$C179))</f>
        <v/>
      </c>
      <c r="O179" s="28">
        <f>IF($A179="","",IF($N179="","",IF($N179&lt;=7,"0-7",IF($N179&lt;=30,"8-30",IF($N179&lt;=60,"31-60","60+")))))</f>
        <v/>
      </c>
      <c r="P179" s="28">
        <f>IF($A179="","",IF($B179="","YETİM",IF(COUNTIF(tblKartlar[KartId],$B179)=0,"YETİM","")))</f>
        <v/>
      </c>
      <c r="Q179" s="28">
        <f>IF(OR($A179="",$D179=""),"",IF(OR($D179&amp;"|"&amp;$E179="",COUNTIF(ListeIzinliGecis,$D179&amp;"|"&amp;$E179)&gt;0),"","GEÇERSİZ GEÇİŞ"))</f>
        <v/>
      </c>
      <c r="R179" s="28">
        <f>IF($A179="","",IF(OR($F179="",$G179=""),"",IF(ABS($G179-$F179)&gt;zincirTolerans,"ZİNCİR KIRIK","OK")))</f>
        <v/>
      </c>
      <c r="S179" s="28">
        <f>IF($A179="","",1)</f>
        <v/>
      </c>
    </row>
    <row r="180">
      <c r="A180" s="26" t="n"/>
      <c r="B180" s="26" t="n"/>
      <c r="C180" s="29" t="n"/>
      <c r="D180" s="26" t="n"/>
      <c r="E180" s="26" t="n"/>
      <c r="F180" s="27" t="n"/>
      <c r="G180" s="27" t="n"/>
      <c r="H180" s="27" t="n"/>
      <c r="I180" s="27" t="n"/>
      <c r="J180" s="27" t="n"/>
      <c r="K180" s="27" t="n"/>
      <c r="L180" s="26" t="n"/>
      <c r="M180" s="26" t="n"/>
      <c r="N180" s="28">
        <f>IF($A180="","",IF($C180="","",raporTarihi-$C180))</f>
        <v/>
      </c>
      <c r="O180" s="28">
        <f>IF($A180="","",IF($N180="","",IF($N180&lt;=7,"0-7",IF($N180&lt;=30,"8-30",IF($N180&lt;=60,"31-60","60+")))))</f>
        <v/>
      </c>
      <c r="P180" s="28">
        <f>IF($A180="","",IF($B180="","YETİM",IF(COUNTIF(tblKartlar[KartId],$B180)=0,"YETİM","")))</f>
        <v/>
      </c>
      <c r="Q180" s="28">
        <f>IF(OR($A180="",$D180=""),"",IF(OR($D180&amp;"|"&amp;$E180="",COUNTIF(ListeIzinliGecis,$D180&amp;"|"&amp;$E180)&gt;0),"","GEÇERSİZ GEÇİŞ"))</f>
        <v/>
      </c>
      <c r="R180" s="28">
        <f>IF($A180="","",IF(OR($F180="",$G180=""),"",IF(ABS($G180-$F180)&gt;zincirTolerans,"ZİNCİR KIRIK","OK")))</f>
        <v/>
      </c>
      <c r="S180" s="28">
        <f>IF($A180="","",1)</f>
        <v/>
      </c>
    </row>
    <row r="181">
      <c r="A181" s="26" t="n"/>
      <c r="B181" s="26" t="n"/>
      <c r="C181" s="29" t="n"/>
      <c r="D181" s="26" t="n"/>
      <c r="E181" s="26" t="n"/>
      <c r="F181" s="27" t="n"/>
      <c r="G181" s="27" t="n"/>
      <c r="H181" s="27" t="n"/>
      <c r="I181" s="27" t="n"/>
      <c r="J181" s="27" t="n"/>
      <c r="K181" s="27" t="n"/>
      <c r="L181" s="26" t="n"/>
      <c r="M181" s="26" t="n"/>
      <c r="N181" s="28">
        <f>IF($A181="","",IF($C181="","",raporTarihi-$C181))</f>
        <v/>
      </c>
      <c r="O181" s="28">
        <f>IF($A181="","",IF($N181="","",IF($N181&lt;=7,"0-7",IF($N181&lt;=30,"8-30",IF($N181&lt;=60,"31-60","60+")))))</f>
        <v/>
      </c>
      <c r="P181" s="28">
        <f>IF($A181="","",IF($B181="","YETİM",IF(COUNTIF(tblKartlar[KartId],$B181)=0,"YETİM","")))</f>
        <v/>
      </c>
      <c r="Q181" s="28">
        <f>IF(OR($A181="",$D181=""),"",IF(OR($D181&amp;"|"&amp;$E181="",COUNTIF(ListeIzinliGecis,$D181&amp;"|"&amp;$E181)&gt;0),"","GEÇERSİZ GEÇİŞ"))</f>
        <v/>
      </c>
      <c r="R181" s="28">
        <f>IF($A181="","",IF(OR($F181="",$G181=""),"",IF(ABS($G181-$F181)&gt;zincirTolerans,"ZİNCİR KIRIK","OK")))</f>
        <v/>
      </c>
      <c r="S181" s="28">
        <f>IF($A181="","",1)</f>
        <v/>
      </c>
    </row>
    <row r="182">
      <c r="A182" s="26" t="n"/>
      <c r="B182" s="26" t="n"/>
      <c r="C182" s="29" t="n"/>
      <c r="D182" s="26" t="n"/>
      <c r="E182" s="26" t="n"/>
      <c r="F182" s="27" t="n"/>
      <c r="G182" s="27" t="n"/>
      <c r="H182" s="27" t="n"/>
      <c r="I182" s="27" t="n"/>
      <c r="J182" s="27" t="n"/>
      <c r="K182" s="27" t="n"/>
      <c r="L182" s="26" t="n"/>
      <c r="M182" s="26" t="n"/>
      <c r="N182" s="28">
        <f>IF($A182="","",IF($C182="","",raporTarihi-$C182))</f>
        <v/>
      </c>
      <c r="O182" s="28">
        <f>IF($A182="","",IF($N182="","",IF($N182&lt;=7,"0-7",IF($N182&lt;=30,"8-30",IF($N182&lt;=60,"31-60","60+")))))</f>
        <v/>
      </c>
      <c r="P182" s="28">
        <f>IF($A182="","",IF($B182="","YETİM",IF(COUNTIF(tblKartlar[KartId],$B182)=0,"YETİM","")))</f>
        <v/>
      </c>
      <c r="Q182" s="28">
        <f>IF(OR($A182="",$D182=""),"",IF(OR($D182&amp;"|"&amp;$E182="",COUNTIF(ListeIzinliGecis,$D182&amp;"|"&amp;$E182)&gt;0),"","GEÇERSİZ GEÇİŞ"))</f>
        <v/>
      </c>
      <c r="R182" s="28">
        <f>IF($A182="","",IF(OR($F182="",$G182=""),"",IF(ABS($G182-$F182)&gt;zincirTolerans,"ZİNCİR KIRIK","OK")))</f>
        <v/>
      </c>
      <c r="S182" s="28">
        <f>IF($A182="","",1)</f>
        <v/>
      </c>
    </row>
    <row r="183">
      <c r="A183" s="26" t="n"/>
      <c r="B183" s="26" t="n"/>
      <c r="C183" s="29" t="n"/>
      <c r="D183" s="26" t="n"/>
      <c r="E183" s="26" t="n"/>
      <c r="F183" s="27" t="n"/>
      <c r="G183" s="27" t="n"/>
      <c r="H183" s="27" t="n"/>
      <c r="I183" s="27" t="n"/>
      <c r="J183" s="27" t="n"/>
      <c r="K183" s="27" t="n"/>
      <c r="L183" s="26" t="n"/>
      <c r="M183" s="26" t="n"/>
      <c r="N183" s="28">
        <f>IF($A183="","",IF($C183="","",raporTarihi-$C183))</f>
        <v/>
      </c>
      <c r="O183" s="28">
        <f>IF($A183="","",IF($N183="","",IF($N183&lt;=7,"0-7",IF($N183&lt;=30,"8-30",IF($N183&lt;=60,"31-60","60+")))))</f>
        <v/>
      </c>
      <c r="P183" s="28">
        <f>IF($A183="","",IF($B183="","YETİM",IF(COUNTIF(tblKartlar[KartId],$B183)=0,"YETİM","")))</f>
        <v/>
      </c>
      <c r="Q183" s="28">
        <f>IF(OR($A183="",$D183=""),"",IF(OR($D183&amp;"|"&amp;$E183="",COUNTIF(ListeIzinliGecis,$D183&amp;"|"&amp;$E183)&gt;0),"","GEÇERSİZ GEÇİŞ"))</f>
        <v/>
      </c>
      <c r="R183" s="28">
        <f>IF($A183="","",IF(OR($F183="",$G183=""),"",IF(ABS($G183-$F183)&gt;zincirTolerans,"ZİNCİR KIRIK","OK")))</f>
        <v/>
      </c>
      <c r="S183" s="28">
        <f>IF($A183="","",1)</f>
        <v/>
      </c>
    </row>
    <row r="184">
      <c r="A184" s="26" t="n"/>
      <c r="B184" s="26" t="n"/>
      <c r="C184" s="29" t="n"/>
      <c r="D184" s="26" t="n"/>
      <c r="E184" s="26" t="n"/>
      <c r="F184" s="27" t="n"/>
      <c r="G184" s="27" t="n"/>
      <c r="H184" s="27" t="n"/>
      <c r="I184" s="27" t="n"/>
      <c r="J184" s="27" t="n"/>
      <c r="K184" s="27" t="n"/>
      <c r="L184" s="26" t="n"/>
      <c r="M184" s="26" t="n"/>
      <c r="N184" s="28">
        <f>IF($A184="","",IF($C184="","",raporTarihi-$C184))</f>
        <v/>
      </c>
      <c r="O184" s="28">
        <f>IF($A184="","",IF($N184="","",IF($N184&lt;=7,"0-7",IF($N184&lt;=30,"8-30",IF($N184&lt;=60,"31-60","60+")))))</f>
        <v/>
      </c>
      <c r="P184" s="28">
        <f>IF($A184="","",IF($B184="","YETİM",IF(COUNTIF(tblKartlar[KartId],$B184)=0,"YETİM","")))</f>
        <v/>
      </c>
      <c r="Q184" s="28">
        <f>IF(OR($A184="",$D184=""),"",IF(OR($D184&amp;"|"&amp;$E184="",COUNTIF(ListeIzinliGecis,$D184&amp;"|"&amp;$E184)&gt;0),"","GEÇERSİZ GEÇİŞ"))</f>
        <v/>
      </c>
      <c r="R184" s="28">
        <f>IF($A184="","",IF(OR($F184="",$G184=""),"",IF(ABS($G184-$F184)&gt;zincirTolerans,"ZİNCİR KIRIK","OK")))</f>
        <v/>
      </c>
      <c r="S184" s="28">
        <f>IF($A184="","",1)</f>
        <v/>
      </c>
    </row>
    <row r="185">
      <c r="A185" s="26" t="n"/>
      <c r="B185" s="26" t="n"/>
      <c r="C185" s="29" t="n"/>
      <c r="D185" s="26" t="n"/>
      <c r="E185" s="26" t="n"/>
      <c r="F185" s="27" t="n"/>
      <c r="G185" s="27" t="n"/>
      <c r="H185" s="27" t="n"/>
      <c r="I185" s="27" t="n"/>
      <c r="J185" s="27" t="n"/>
      <c r="K185" s="27" t="n"/>
      <c r="L185" s="26" t="n"/>
      <c r="M185" s="26" t="n"/>
      <c r="N185" s="28">
        <f>IF($A185="","",IF($C185="","",raporTarihi-$C185))</f>
        <v/>
      </c>
      <c r="O185" s="28">
        <f>IF($A185="","",IF($N185="","",IF($N185&lt;=7,"0-7",IF($N185&lt;=30,"8-30",IF($N185&lt;=60,"31-60","60+")))))</f>
        <v/>
      </c>
      <c r="P185" s="28">
        <f>IF($A185="","",IF($B185="","YETİM",IF(COUNTIF(tblKartlar[KartId],$B185)=0,"YETİM","")))</f>
        <v/>
      </c>
      <c r="Q185" s="28">
        <f>IF(OR($A185="",$D185=""),"",IF(OR($D185&amp;"|"&amp;$E185="",COUNTIF(ListeIzinliGecis,$D185&amp;"|"&amp;$E185)&gt;0),"","GEÇERSİZ GEÇİŞ"))</f>
        <v/>
      </c>
      <c r="R185" s="28">
        <f>IF($A185="","",IF(OR($F185="",$G185=""),"",IF(ABS($G185-$F185)&gt;zincirTolerans,"ZİNCİR KIRIK","OK")))</f>
        <v/>
      </c>
      <c r="S185" s="28">
        <f>IF($A185="","",1)</f>
        <v/>
      </c>
    </row>
    <row r="186">
      <c r="A186" s="26" t="n"/>
      <c r="B186" s="26" t="n"/>
      <c r="C186" s="29" t="n"/>
      <c r="D186" s="26" t="n"/>
      <c r="E186" s="26" t="n"/>
      <c r="F186" s="27" t="n"/>
      <c r="G186" s="27" t="n"/>
      <c r="H186" s="27" t="n"/>
      <c r="I186" s="27" t="n"/>
      <c r="J186" s="27" t="n"/>
      <c r="K186" s="27" t="n"/>
      <c r="L186" s="26" t="n"/>
      <c r="M186" s="26" t="n"/>
      <c r="N186" s="28">
        <f>IF($A186="","",IF($C186="","",raporTarihi-$C186))</f>
        <v/>
      </c>
      <c r="O186" s="28">
        <f>IF($A186="","",IF($N186="","",IF($N186&lt;=7,"0-7",IF($N186&lt;=30,"8-30",IF($N186&lt;=60,"31-60","60+")))))</f>
        <v/>
      </c>
      <c r="P186" s="28">
        <f>IF($A186="","",IF($B186="","YETİM",IF(COUNTIF(tblKartlar[KartId],$B186)=0,"YETİM","")))</f>
        <v/>
      </c>
      <c r="Q186" s="28">
        <f>IF(OR($A186="",$D186=""),"",IF(OR($D186&amp;"|"&amp;$E186="",COUNTIF(ListeIzinliGecis,$D186&amp;"|"&amp;$E186)&gt;0),"","GEÇERSİZ GEÇİŞ"))</f>
        <v/>
      </c>
      <c r="R186" s="28">
        <f>IF($A186="","",IF(OR($F186="",$G186=""),"",IF(ABS($G186-$F186)&gt;zincirTolerans,"ZİNCİR KIRIK","OK")))</f>
        <v/>
      </c>
      <c r="S186" s="28">
        <f>IF($A186="","",1)</f>
        <v/>
      </c>
    </row>
    <row r="187">
      <c r="A187" s="26" t="n"/>
      <c r="B187" s="26" t="n"/>
      <c r="C187" s="29" t="n"/>
      <c r="D187" s="26" t="n"/>
      <c r="E187" s="26" t="n"/>
      <c r="F187" s="27" t="n"/>
      <c r="G187" s="27" t="n"/>
      <c r="H187" s="27" t="n"/>
      <c r="I187" s="27" t="n"/>
      <c r="J187" s="27" t="n"/>
      <c r="K187" s="27" t="n"/>
      <c r="L187" s="26" t="n"/>
      <c r="M187" s="26" t="n"/>
      <c r="N187" s="28">
        <f>IF($A187="","",IF($C187="","",raporTarihi-$C187))</f>
        <v/>
      </c>
      <c r="O187" s="28">
        <f>IF($A187="","",IF($N187="","",IF($N187&lt;=7,"0-7",IF($N187&lt;=30,"8-30",IF($N187&lt;=60,"31-60","60+")))))</f>
        <v/>
      </c>
      <c r="P187" s="28">
        <f>IF($A187="","",IF($B187="","YETİM",IF(COUNTIF(tblKartlar[KartId],$B187)=0,"YETİM","")))</f>
        <v/>
      </c>
      <c r="Q187" s="28">
        <f>IF(OR($A187="",$D187=""),"",IF(OR($D187&amp;"|"&amp;$E187="",COUNTIF(ListeIzinliGecis,$D187&amp;"|"&amp;$E187)&gt;0),"","GEÇERSİZ GEÇİŞ"))</f>
        <v/>
      </c>
      <c r="R187" s="28">
        <f>IF($A187="","",IF(OR($F187="",$G187=""),"",IF(ABS($G187-$F187)&gt;zincirTolerans,"ZİNCİR KIRIK","OK")))</f>
        <v/>
      </c>
      <c r="S187" s="28">
        <f>IF($A187="","",1)</f>
        <v/>
      </c>
    </row>
    <row r="188">
      <c r="A188" s="26" t="n"/>
      <c r="B188" s="26" t="n"/>
      <c r="C188" s="29" t="n"/>
      <c r="D188" s="26" t="n"/>
      <c r="E188" s="26" t="n"/>
      <c r="F188" s="27" t="n"/>
      <c r="G188" s="27" t="n"/>
      <c r="H188" s="27" t="n"/>
      <c r="I188" s="27" t="n"/>
      <c r="J188" s="27" t="n"/>
      <c r="K188" s="27" t="n"/>
      <c r="L188" s="26" t="n"/>
      <c r="M188" s="26" t="n"/>
      <c r="N188" s="28">
        <f>IF($A188="","",IF($C188="","",raporTarihi-$C188))</f>
        <v/>
      </c>
      <c r="O188" s="28">
        <f>IF($A188="","",IF($N188="","",IF($N188&lt;=7,"0-7",IF($N188&lt;=30,"8-30",IF($N188&lt;=60,"31-60","60+")))))</f>
        <v/>
      </c>
      <c r="P188" s="28">
        <f>IF($A188="","",IF($B188="","YETİM",IF(COUNTIF(tblKartlar[KartId],$B188)=0,"YETİM","")))</f>
        <v/>
      </c>
      <c r="Q188" s="28">
        <f>IF(OR($A188="",$D188=""),"",IF(OR($D188&amp;"|"&amp;$E188="",COUNTIF(ListeIzinliGecis,$D188&amp;"|"&amp;$E188)&gt;0),"","GEÇERSİZ GEÇİŞ"))</f>
        <v/>
      </c>
      <c r="R188" s="28">
        <f>IF($A188="","",IF(OR($F188="",$G188=""),"",IF(ABS($G188-$F188)&gt;zincirTolerans,"ZİNCİR KIRIK","OK")))</f>
        <v/>
      </c>
      <c r="S188" s="28">
        <f>IF($A188="","",1)</f>
        <v/>
      </c>
    </row>
    <row r="189">
      <c r="A189" s="26" t="n"/>
      <c r="B189" s="26" t="n"/>
      <c r="C189" s="29" t="n"/>
      <c r="D189" s="26" t="n"/>
      <c r="E189" s="26" t="n"/>
      <c r="F189" s="27" t="n"/>
      <c r="G189" s="27" t="n"/>
      <c r="H189" s="27" t="n"/>
      <c r="I189" s="27" t="n"/>
      <c r="J189" s="27" t="n"/>
      <c r="K189" s="27" t="n"/>
      <c r="L189" s="26" t="n"/>
      <c r="M189" s="26" t="n"/>
      <c r="N189" s="28">
        <f>IF($A189="","",IF($C189="","",raporTarihi-$C189))</f>
        <v/>
      </c>
      <c r="O189" s="28">
        <f>IF($A189="","",IF($N189="","",IF($N189&lt;=7,"0-7",IF($N189&lt;=30,"8-30",IF($N189&lt;=60,"31-60","60+")))))</f>
        <v/>
      </c>
      <c r="P189" s="28">
        <f>IF($A189="","",IF($B189="","YETİM",IF(COUNTIF(tblKartlar[KartId],$B189)=0,"YETİM","")))</f>
        <v/>
      </c>
      <c r="Q189" s="28">
        <f>IF(OR($A189="",$D189=""),"",IF(OR($D189&amp;"|"&amp;$E189="",COUNTIF(ListeIzinliGecis,$D189&amp;"|"&amp;$E189)&gt;0),"","GEÇERSİZ GEÇİŞ"))</f>
        <v/>
      </c>
      <c r="R189" s="28">
        <f>IF($A189="","",IF(OR($F189="",$G189=""),"",IF(ABS($G189-$F189)&gt;zincirTolerans,"ZİNCİR KIRIK","OK")))</f>
        <v/>
      </c>
      <c r="S189" s="28">
        <f>IF($A189="","",1)</f>
        <v/>
      </c>
    </row>
    <row r="190">
      <c r="A190" s="26" t="n"/>
      <c r="B190" s="26" t="n"/>
      <c r="C190" s="29" t="n"/>
      <c r="D190" s="26" t="n"/>
      <c r="E190" s="26" t="n"/>
      <c r="F190" s="27" t="n"/>
      <c r="G190" s="27" t="n"/>
      <c r="H190" s="27" t="n"/>
      <c r="I190" s="27" t="n"/>
      <c r="J190" s="27" t="n"/>
      <c r="K190" s="27" t="n"/>
      <c r="L190" s="26" t="n"/>
      <c r="M190" s="26" t="n"/>
      <c r="N190" s="28">
        <f>IF($A190="","",IF($C190="","",raporTarihi-$C190))</f>
        <v/>
      </c>
      <c r="O190" s="28">
        <f>IF($A190="","",IF($N190="","",IF($N190&lt;=7,"0-7",IF($N190&lt;=30,"8-30",IF($N190&lt;=60,"31-60","60+")))))</f>
        <v/>
      </c>
      <c r="P190" s="28">
        <f>IF($A190="","",IF($B190="","YETİM",IF(COUNTIF(tblKartlar[KartId],$B190)=0,"YETİM","")))</f>
        <v/>
      </c>
      <c r="Q190" s="28">
        <f>IF(OR($A190="",$D190=""),"",IF(OR($D190&amp;"|"&amp;$E190="",COUNTIF(ListeIzinliGecis,$D190&amp;"|"&amp;$E190)&gt;0),"","GEÇERSİZ GEÇİŞ"))</f>
        <v/>
      </c>
      <c r="R190" s="28">
        <f>IF($A190="","",IF(OR($F190="",$G190=""),"",IF(ABS($G190-$F190)&gt;zincirTolerans,"ZİNCİR KIRIK","OK")))</f>
        <v/>
      </c>
      <c r="S190" s="28">
        <f>IF($A190="","",1)</f>
        <v/>
      </c>
    </row>
    <row r="191">
      <c r="A191" s="26" t="n"/>
      <c r="B191" s="26" t="n"/>
      <c r="C191" s="29" t="n"/>
      <c r="D191" s="26" t="n"/>
      <c r="E191" s="26" t="n"/>
      <c r="F191" s="27" t="n"/>
      <c r="G191" s="27" t="n"/>
      <c r="H191" s="27" t="n"/>
      <c r="I191" s="27" t="n"/>
      <c r="J191" s="27" t="n"/>
      <c r="K191" s="27" t="n"/>
      <c r="L191" s="26" t="n"/>
      <c r="M191" s="26" t="n"/>
      <c r="N191" s="28">
        <f>IF($A191="","",IF($C191="","",raporTarihi-$C191))</f>
        <v/>
      </c>
      <c r="O191" s="28">
        <f>IF($A191="","",IF($N191="","",IF($N191&lt;=7,"0-7",IF($N191&lt;=30,"8-30",IF($N191&lt;=60,"31-60","60+")))))</f>
        <v/>
      </c>
      <c r="P191" s="28">
        <f>IF($A191="","",IF($B191="","YETİM",IF(COUNTIF(tblKartlar[KartId],$B191)=0,"YETİM","")))</f>
        <v/>
      </c>
      <c r="Q191" s="28">
        <f>IF(OR($A191="",$D191=""),"",IF(OR($D191&amp;"|"&amp;$E191="",COUNTIF(ListeIzinliGecis,$D191&amp;"|"&amp;$E191)&gt;0),"","GEÇERSİZ GEÇİŞ"))</f>
        <v/>
      </c>
      <c r="R191" s="28">
        <f>IF($A191="","",IF(OR($F191="",$G191=""),"",IF(ABS($G191-$F191)&gt;zincirTolerans,"ZİNCİR KIRIK","OK")))</f>
        <v/>
      </c>
      <c r="S191" s="28">
        <f>IF($A191="","",1)</f>
        <v/>
      </c>
    </row>
    <row r="192">
      <c r="A192" s="26" t="n"/>
      <c r="B192" s="26" t="n"/>
      <c r="C192" s="29" t="n"/>
      <c r="D192" s="26" t="n"/>
      <c r="E192" s="26" t="n"/>
      <c r="F192" s="27" t="n"/>
      <c r="G192" s="27" t="n"/>
      <c r="H192" s="27" t="n"/>
      <c r="I192" s="27" t="n"/>
      <c r="J192" s="27" t="n"/>
      <c r="K192" s="27" t="n"/>
      <c r="L192" s="26" t="n"/>
      <c r="M192" s="26" t="n"/>
      <c r="N192" s="28">
        <f>IF($A192="","",IF($C192="","",raporTarihi-$C192))</f>
        <v/>
      </c>
      <c r="O192" s="28">
        <f>IF($A192="","",IF($N192="","",IF($N192&lt;=7,"0-7",IF($N192&lt;=30,"8-30",IF($N192&lt;=60,"31-60","60+")))))</f>
        <v/>
      </c>
      <c r="P192" s="28">
        <f>IF($A192="","",IF($B192="","YETİM",IF(COUNTIF(tblKartlar[KartId],$B192)=0,"YETİM","")))</f>
        <v/>
      </c>
      <c r="Q192" s="28">
        <f>IF(OR($A192="",$D192=""),"",IF(OR($D192&amp;"|"&amp;$E192="",COUNTIF(ListeIzinliGecis,$D192&amp;"|"&amp;$E192)&gt;0),"","GEÇERSİZ GEÇİŞ"))</f>
        <v/>
      </c>
      <c r="R192" s="28">
        <f>IF($A192="","",IF(OR($F192="",$G192=""),"",IF(ABS($G192-$F192)&gt;zincirTolerans,"ZİNCİR KIRIK","OK")))</f>
        <v/>
      </c>
      <c r="S192" s="28">
        <f>IF($A192="","",1)</f>
        <v/>
      </c>
    </row>
    <row r="193">
      <c r="A193" s="26" t="n"/>
      <c r="B193" s="26" t="n"/>
      <c r="C193" s="29" t="n"/>
      <c r="D193" s="26" t="n"/>
      <c r="E193" s="26" t="n"/>
      <c r="F193" s="27" t="n"/>
      <c r="G193" s="27" t="n"/>
      <c r="H193" s="27" t="n"/>
      <c r="I193" s="27" t="n"/>
      <c r="J193" s="27" t="n"/>
      <c r="K193" s="27" t="n"/>
      <c r="L193" s="26" t="n"/>
      <c r="M193" s="26" t="n"/>
      <c r="N193" s="28">
        <f>IF($A193="","",IF($C193="","",raporTarihi-$C193))</f>
        <v/>
      </c>
      <c r="O193" s="28">
        <f>IF($A193="","",IF($N193="","",IF($N193&lt;=7,"0-7",IF($N193&lt;=30,"8-30",IF($N193&lt;=60,"31-60","60+")))))</f>
        <v/>
      </c>
      <c r="P193" s="28">
        <f>IF($A193="","",IF($B193="","YETİM",IF(COUNTIF(tblKartlar[KartId],$B193)=0,"YETİM","")))</f>
        <v/>
      </c>
      <c r="Q193" s="28">
        <f>IF(OR($A193="",$D193=""),"",IF(OR($D193&amp;"|"&amp;$E193="",COUNTIF(ListeIzinliGecis,$D193&amp;"|"&amp;$E193)&gt;0),"","GEÇERSİZ GEÇİŞ"))</f>
        <v/>
      </c>
      <c r="R193" s="28">
        <f>IF($A193="","",IF(OR($F193="",$G193=""),"",IF(ABS($G193-$F193)&gt;zincirTolerans,"ZİNCİR KIRIK","OK")))</f>
        <v/>
      </c>
      <c r="S193" s="28">
        <f>IF($A193="","",1)</f>
        <v/>
      </c>
    </row>
    <row r="194">
      <c r="A194" s="26" t="n"/>
      <c r="B194" s="26" t="n"/>
      <c r="C194" s="29" t="n"/>
      <c r="D194" s="26" t="n"/>
      <c r="E194" s="26" t="n"/>
      <c r="F194" s="27" t="n"/>
      <c r="G194" s="27" t="n"/>
      <c r="H194" s="27" t="n"/>
      <c r="I194" s="27" t="n"/>
      <c r="J194" s="27" t="n"/>
      <c r="K194" s="27" t="n"/>
      <c r="L194" s="26" t="n"/>
      <c r="M194" s="26" t="n"/>
      <c r="N194" s="28">
        <f>IF($A194="","",IF($C194="","",raporTarihi-$C194))</f>
        <v/>
      </c>
      <c r="O194" s="28">
        <f>IF($A194="","",IF($N194="","",IF($N194&lt;=7,"0-7",IF($N194&lt;=30,"8-30",IF($N194&lt;=60,"31-60","60+")))))</f>
        <v/>
      </c>
      <c r="P194" s="28">
        <f>IF($A194="","",IF($B194="","YETİM",IF(COUNTIF(tblKartlar[KartId],$B194)=0,"YETİM","")))</f>
        <v/>
      </c>
      <c r="Q194" s="28">
        <f>IF(OR($A194="",$D194=""),"",IF(OR($D194&amp;"|"&amp;$E194="",COUNTIF(ListeIzinliGecis,$D194&amp;"|"&amp;$E194)&gt;0),"","GEÇERSİZ GEÇİŞ"))</f>
        <v/>
      </c>
      <c r="R194" s="28">
        <f>IF($A194="","",IF(OR($F194="",$G194=""),"",IF(ABS($G194-$F194)&gt;zincirTolerans,"ZİNCİR KIRIK","OK")))</f>
        <v/>
      </c>
      <c r="S194" s="28">
        <f>IF($A194="","",1)</f>
        <v/>
      </c>
    </row>
    <row r="195">
      <c r="A195" s="26" t="n"/>
      <c r="B195" s="26" t="n"/>
      <c r="C195" s="29" t="n"/>
      <c r="D195" s="26" t="n"/>
      <c r="E195" s="26" t="n"/>
      <c r="F195" s="27" t="n"/>
      <c r="G195" s="27" t="n"/>
      <c r="H195" s="27" t="n"/>
      <c r="I195" s="27" t="n"/>
      <c r="J195" s="27" t="n"/>
      <c r="K195" s="27" t="n"/>
      <c r="L195" s="26" t="n"/>
      <c r="M195" s="26" t="n"/>
      <c r="N195" s="28">
        <f>IF($A195="","",IF($C195="","",raporTarihi-$C195))</f>
        <v/>
      </c>
      <c r="O195" s="28">
        <f>IF($A195="","",IF($N195="","",IF($N195&lt;=7,"0-7",IF($N195&lt;=30,"8-30",IF($N195&lt;=60,"31-60","60+")))))</f>
        <v/>
      </c>
      <c r="P195" s="28">
        <f>IF($A195="","",IF($B195="","YETİM",IF(COUNTIF(tblKartlar[KartId],$B195)=0,"YETİM","")))</f>
        <v/>
      </c>
      <c r="Q195" s="28">
        <f>IF(OR($A195="",$D195=""),"",IF(OR($D195&amp;"|"&amp;$E195="",COUNTIF(ListeIzinliGecis,$D195&amp;"|"&amp;$E195)&gt;0),"","GEÇERSİZ GEÇİŞ"))</f>
        <v/>
      </c>
      <c r="R195" s="28">
        <f>IF($A195="","",IF(OR($F195="",$G195=""),"",IF(ABS($G195-$F195)&gt;zincirTolerans,"ZİNCİR KIRIK","OK")))</f>
        <v/>
      </c>
      <c r="S195" s="28">
        <f>IF($A195="","",1)</f>
        <v/>
      </c>
    </row>
    <row r="196">
      <c r="A196" s="26" t="n"/>
      <c r="B196" s="26" t="n"/>
      <c r="C196" s="29" t="n"/>
      <c r="D196" s="26" t="n"/>
      <c r="E196" s="26" t="n"/>
      <c r="F196" s="27" t="n"/>
      <c r="G196" s="27" t="n"/>
      <c r="H196" s="27" t="n"/>
      <c r="I196" s="27" t="n"/>
      <c r="J196" s="27" t="n"/>
      <c r="K196" s="27" t="n"/>
      <c r="L196" s="26" t="n"/>
      <c r="M196" s="26" t="n"/>
      <c r="N196" s="28">
        <f>IF($A196="","",IF($C196="","",raporTarihi-$C196))</f>
        <v/>
      </c>
      <c r="O196" s="28">
        <f>IF($A196="","",IF($N196="","",IF($N196&lt;=7,"0-7",IF($N196&lt;=30,"8-30",IF($N196&lt;=60,"31-60","60+")))))</f>
        <v/>
      </c>
      <c r="P196" s="28">
        <f>IF($A196="","",IF($B196="","YETİM",IF(COUNTIF(tblKartlar[KartId],$B196)=0,"YETİM","")))</f>
        <v/>
      </c>
      <c r="Q196" s="28">
        <f>IF(OR($A196="",$D196=""),"",IF(OR($D196&amp;"|"&amp;$E196="",COUNTIF(ListeIzinliGecis,$D196&amp;"|"&amp;$E196)&gt;0),"","GEÇERSİZ GEÇİŞ"))</f>
        <v/>
      </c>
      <c r="R196" s="28">
        <f>IF($A196="","",IF(OR($F196="",$G196=""),"",IF(ABS($G196-$F196)&gt;zincirTolerans,"ZİNCİR KIRIK","OK")))</f>
        <v/>
      </c>
      <c r="S196" s="28">
        <f>IF($A196="","",1)</f>
        <v/>
      </c>
    </row>
    <row r="197">
      <c r="A197" s="26" t="n"/>
      <c r="B197" s="26" t="n"/>
      <c r="C197" s="29" t="n"/>
      <c r="D197" s="26" t="n"/>
      <c r="E197" s="26" t="n"/>
      <c r="F197" s="27" t="n"/>
      <c r="G197" s="27" t="n"/>
      <c r="H197" s="27" t="n"/>
      <c r="I197" s="27" t="n"/>
      <c r="J197" s="27" t="n"/>
      <c r="K197" s="27" t="n"/>
      <c r="L197" s="26" t="n"/>
      <c r="M197" s="26" t="n"/>
      <c r="N197" s="28">
        <f>IF($A197="","",IF($C197="","",raporTarihi-$C197))</f>
        <v/>
      </c>
      <c r="O197" s="28">
        <f>IF($A197="","",IF($N197="","",IF($N197&lt;=7,"0-7",IF($N197&lt;=30,"8-30",IF($N197&lt;=60,"31-60","60+")))))</f>
        <v/>
      </c>
      <c r="P197" s="28">
        <f>IF($A197="","",IF($B197="","YETİM",IF(COUNTIF(tblKartlar[KartId],$B197)=0,"YETİM","")))</f>
        <v/>
      </c>
      <c r="Q197" s="28">
        <f>IF(OR($A197="",$D197=""),"",IF(OR($D197&amp;"|"&amp;$E197="",COUNTIF(ListeIzinliGecis,$D197&amp;"|"&amp;$E197)&gt;0),"","GEÇERSİZ GEÇİŞ"))</f>
        <v/>
      </c>
      <c r="R197" s="28">
        <f>IF($A197="","",IF(OR($F197="",$G197=""),"",IF(ABS($G197-$F197)&gt;zincirTolerans,"ZİNCİR KIRIK","OK")))</f>
        <v/>
      </c>
      <c r="S197" s="28">
        <f>IF($A197="","",1)</f>
        <v/>
      </c>
    </row>
    <row r="198">
      <c r="A198" s="26" t="n"/>
      <c r="B198" s="26" t="n"/>
      <c r="C198" s="29" t="n"/>
      <c r="D198" s="26" t="n"/>
      <c r="E198" s="26" t="n"/>
      <c r="F198" s="27" t="n"/>
      <c r="G198" s="27" t="n"/>
      <c r="H198" s="27" t="n"/>
      <c r="I198" s="27" t="n"/>
      <c r="J198" s="27" t="n"/>
      <c r="K198" s="27" t="n"/>
      <c r="L198" s="26" t="n"/>
      <c r="M198" s="26" t="n"/>
      <c r="N198" s="28">
        <f>IF($A198="","",IF($C198="","",raporTarihi-$C198))</f>
        <v/>
      </c>
      <c r="O198" s="28">
        <f>IF($A198="","",IF($N198="","",IF($N198&lt;=7,"0-7",IF($N198&lt;=30,"8-30",IF($N198&lt;=60,"31-60","60+")))))</f>
        <v/>
      </c>
      <c r="P198" s="28">
        <f>IF($A198="","",IF($B198="","YETİM",IF(COUNTIF(tblKartlar[KartId],$B198)=0,"YETİM","")))</f>
        <v/>
      </c>
      <c r="Q198" s="28">
        <f>IF(OR($A198="",$D198=""),"",IF(OR($D198&amp;"|"&amp;$E198="",COUNTIF(ListeIzinliGecis,$D198&amp;"|"&amp;$E198)&gt;0),"","GEÇERSİZ GEÇİŞ"))</f>
        <v/>
      </c>
      <c r="R198" s="28">
        <f>IF($A198="","",IF(OR($F198="",$G198=""),"",IF(ABS($G198-$F198)&gt;zincirTolerans,"ZİNCİR KIRIK","OK")))</f>
        <v/>
      </c>
      <c r="S198" s="28">
        <f>IF($A198="","",1)</f>
        <v/>
      </c>
    </row>
    <row r="199">
      <c r="A199" s="26" t="n"/>
      <c r="B199" s="26" t="n"/>
      <c r="C199" s="29" t="n"/>
      <c r="D199" s="26" t="n"/>
      <c r="E199" s="26" t="n"/>
      <c r="F199" s="27" t="n"/>
      <c r="G199" s="27" t="n"/>
      <c r="H199" s="27" t="n"/>
      <c r="I199" s="27" t="n"/>
      <c r="J199" s="27" t="n"/>
      <c r="K199" s="27" t="n"/>
      <c r="L199" s="26" t="n"/>
      <c r="M199" s="26" t="n"/>
      <c r="N199" s="28">
        <f>IF($A199="","",IF($C199="","",raporTarihi-$C199))</f>
        <v/>
      </c>
      <c r="O199" s="28">
        <f>IF($A199="","",IF($N199="","",IF($N199&lt;=7,"0-7",IF($N199&lt;=30,"8-30",IF($N199&lt;=60,"31-60","60+")))))</f>
        <v/>
      </c>
      <c r="P199" s="28">
        <f>IF($A199="","",IF($B199="","YETİM",IF(COUNTIF(tblKartlar[KartId],$B199)=0,"YETİM","")))</f>
        <v/>
      </c>
      <c r="Q199" s="28">
        <f>IF(OR($A199="",$D199=""),"",IF(OR($D199&amp;"|"&amp;$E199="",COUNTIF(ListeIzinliGecis,$D199&amp;"|"&amp;$E199)&gt;0),"","GEÇERSİZ GEÇİŞ"))</f>
        <v/>
      </c>
      <c r="R199" s="28">
        <f>IF($A199="","",IF(OR($F199="",$G199=""),"",IF(ABS($G199-$F199)&gt;zincirTolerans,"ZİNCİR KIRIK","OK")))</f>
        <v/>
      </c>
      <c r="S199" s="28">
        <f>IF($A199="","",1)</f>
        <v/>
      </c>
    </row>
    <row r="200">
      <c r="A200" s="26" t="n"/>
      <c r="B200" s="26" t="n"/>
      <c r="C200" s="29" t="n"/>
      <c r="D200" s="26" t="n"/>
      <c r="E200" s="26" t="n"/>
      <c r="F200" s="27" t="n"/>
      <c r="G200" s="27" t="n"/>
      <c r="H200" s="27" t="n"/>
      <c r="I200" s="27" t="n"/>
      <c r="J200" s="27" t="n"/>
      <c r="K200" s="27" t="n"/>
      <c r="L200" s="26" t="n"/>
      <c r="M200" s="26" t="n"/>
      <c r="N200" s="28">
        <f>IF($A200="","",IF($C200="","",raporTarihi-$C200))</f>
        <v/>
      </c>
      <c r="O200" s="28">
        <f>IF($A200="","",IF($N200="","",IF($N200&lt;=7,"0-7",IF($N200&lt;=30,"8-30",IF($N200&lt;=60,"31-60","60+")))))</f>
        <v/>
      </c>
      <c r="P200" s="28">
        <f>IF($A200="","",IF($B200="","YETİM",IF(COUNTIF(tblKartlar[KartId],$B200)=0,"YETİM","")))</f>
        <v/>
      </c>
      <c r="Q200" s="28">
        <f>IF(OR($A200="",$D200=""),"",IF(OR($D200&amp;"|"&amp;$E200="",COUNTIF(ListeIzinliGecis,$D200&amp;"|"&amp;$E200)&gt;0),"","GEÇERSİZ GEÇİŞ"))</f>
        <v/>
      </c>
      <c r="R200" s="28">
        <f>IF($A200="","",IF(OR($F200="",$G200=""),"",IF(ABS($G200-$F200)&gt;zincirTolerans,"ZİNCİR KIRIK","OK")))</f>
        <v/>
      </c>
      <c r="S200" s="28">
        <f>IF($A200="","",1)</f>
        <v/>
      </c>
    </row>
    <row r="201">
      <c r="A201" s="26" t="n"/>
      <c r="B201" s="26" t="n"/>
      <c r="C201" s="29" t="n"/>
      <c r="D201" s="26" t="n"/>
      <c r="E201" s="26" t="n"/>
      <c r="F201" s="27" t="n"/>
      <c r="G201" s="27" t="n"/>
      <c r="H201" s="27" t="n"/>
      <c r="I201" s="27" t="n"/>
      <c r="J201" s="27" t="n"/>
      <c r="K201" s="27" t="n"/>
      <c r="L201" s="26" t="n"/>
      <c r="M201" s="26" t="n"/>
      <c r="N201" s="28">
        <f>IF($A201="","",IF($C201="","",raporTarihi-$C201))</f>
        <v/>
      </c>
      <c r="O201" s="28">
        <f>IF($A201="","",IF($N201="","",IF($N201&lt;=7,"0-7",IF($N201&lt;=30,"8-30",IF($N201&lt;=60,"31-60","60+")))))</f>
        <v/>
      </c>
      <c r="P201" s="28">
        <f>IF($A201="","",IF($B201="","YETİM",IF(COUNTIF(tblKartlar[KartId],$B201)=0,"YETİM","")))</f>
        <v/>
      </c>
      <c r="Q201" s="28">
        <f>IF(OR($A201="",$D201=""),"",IF(OR($D201&amp;"|"&amp;$E201="",COUNTIF(ListeIzinliGecis,$D201&amp;"|"&amp;$E201)&gt;0),"","GEÇERSİZ GEÇİŞ"))</f>
        <v/>
      </c>
      <c r="R201" s="28">
        <f>IF($A201="","",IF(OR($F201="",$G201=""),"",IF(ABS($G201-$F201)&gt;zincirTolerans,"ZİNCİR KIRIK","OK")))</f>
        <v/>
      </c>
      <c r="S201" s="28">
        <f>IF($A201="","",1)</f>
        <v/>
      </c>
    </row>
    <row r="202">
      <c r="A202" s="26" t="n"/>
      <c r="B202" s="26" t="n"/>
      <c r="C202" s="29" t="n"/>
      <c r="D202" s="26" t="n"/>
      <c r="E202" s="26" t="n"/>
      <c r="F202" s="27" t="n"/>
      <c r="G202" s="27" t="n"/>
      <c r="H202" s="27" t="n"/>
      <c r="I202" s="27" t="n"/>
      <c r="J202" s="27" t="n"/>
      <c r="K202" s="27" t="n"/>
      <c r="L202" s="26" t="n"/>
      <c r="M202" s="26" t="n"/>
      <c r="N202" s="28">
        <f>IF($A202="","",IF($C202="","",raporTarihi-$C202))</f>
        <v/>
      </c>
      <c r="O202" s="28">
        <f>IF($A202="","",IF($N202="","",IF($N202&lt;=7,"0-7",IF($N202&lt;=30,"8-30",IF($N202&lt;=60,"31-60","60+")))))</f>
        <v/>
      </c>
      <c r="P202" s="28">
        <f>IF($A202="","",IF($B202="","YETİM",IF(COUNTIF(tblKartlar[KartId],$B202)=0,"YETİM","")))</f>
        <v/>
      </c>
      <c r="Q202" s="28">
        <f>IF(OR($A202="",$D202=""),"",IF(OR($D202&amp;"|"&amp;$E202="",COUNTIF(ListeIzinliGecis,$D202&amp;"|"&amp;$E202)&gt;0),"","GEÇERSİZ GEÇİŞ"))</f>
        <v/>
      </c>
      <c r="R202" s="28">
        <f>IF($A202="","",IF(OR($F202="",$G202=""),"",IF(ABS($G202-$F202)&gt;zincirTolerans,"ZİNCİR KIRIK","OK")))</f>
        <v/>
      </c>
      <c r="S202" s="28">
        <f>IF($A202="","",1)</f>
        <v/>
      </c>
    </row>
    <row r="203">
      <c r="A203" s="26" t="n"/>
      <c r="B203" s="26" t="n"/>
      <c r="C203" s="29" t="n"/>
      <c r="D203" s="26" t="n"/>
      <c r="E203" s="26" t="n"/>
      <c r="F203" s="27" t="n"/>
      <c r="G203" s="27" t="n"/>
      <c r="H203" s="27" t="n"/>
      <c r="I203" s="27" t="n"/>
      <c r="J203" s="27" t="n"/>
      <c r="K203" s="27" t="n"/>
      <c r="L203" s="26" t="n"/>
      <c r="M203" s="26" t="n"/>
      <c r="N203" s="28">
        <f>IF($A203="","",IF($C203="","",raporTarihi-$C203))</f>
        <v/>
      </c>
      <c r="O203" s="28">
        <f>IF($A203="","",IF($N203="","",IF($N203&lt;=7,"0-7",IF($N203&lt;=30,"8-30",IF($N203&lt;=60,"31-60","60+")))))</f>
        <v/>
      </c>
      <c r="P203" s="28">
        <f>IF($A203="","",IF($B203="","YETİM",IF(COUNTIF(tblKartlar[KartId],$B203)=0,"YETİM","")))</f>
        <v/>
      </c>
      <c r="Q203" s="28">
        <f>IF(OR($A203="",$D203=""),"",IF(OR($D203&amp;"|"&amp;$E203="",COUNTIF(ListeIzinliGecis,$D203&amp;"|"&amp;$E203)&gt;0),"","GEÇERSİZ GEÇİŞ"))</f>
        <v/>
      </c>
      <c r="R203" s="28">
        <f>IF($A203="","",IF(OR($F203="",$G203=""),"",IF(ABS($G203-$F203)&gt;zincirTolerans,"ZİNCİR KIRIK","OK")))</f>
        <v/>
      </c>
      <c r="S203" s="28">
        <f>IF($A203="","",1)</f>
        <v/>
      </c>
    </row>
    <row r="204">
      <c r="A204" s="26" t="n"/>
      <c r="B204" s="26" t="n"/>
      <c r="C204" s="29" t="n"/>
      <c r="D204" s="26" t="n"/>
      <c r="E204" s="26" t="n"/>
      <c r="F204" s="27" t="n"/>
      <c r="G204" s="27" t="n"/>
      <c r="H204" s="27" t="n"/>
      <c r="I204" s="27" t="n"/>
      <c r="J204" s="27" t="n"/>
      <c r="K204" s="27" t="n"/>
      <c r="L204" s="26" t="n"/>
      <c r="M204" s="26" t="n"/>
      <c r="N204" s="28">
        <f>IF($A204="","",IF($C204="","",raporTarihi-$C204))</f>
        <v/>
      </c>
      <c r="O204" s="28">
        <f>IF($A204="","",IF($N204="","",IF($N204&lt;=7,"0-7",IF($N204&lt;=30,"8-30",IF($N204&lt;=60,"31-60","60+")))))</f>
        <v/>
      </c>
      <c r="P204" s="28">
        <f>IF($A204="","",IF($B204="","YETİM",IF(COUNTIF(tblKartlar[KartId],$B204)=0,"YETİM","")))</f>
        <v/>
      </c>
      <c r="Q204" s="28">
        <f>IF(OR($A204="",$D204=""),"",IF(OR($D204&amp;"|"&amp;$E204="",COUNTIF(ListeIzinliGecis,$D204&amp;"|"&amp;$E204)&gt;0),"","GEÇERSİZ GEÇİŞ"))</f>
        <v/>
      </c>
      <c r="R204" s="28">
        <f>IF($A204="","",IF(OR($F204="",$G204=""),"",IF(ABS($G204-$F204)&gt;zincirTolerans,"ZİNCİR KIRIK","OK")))</f>
        <v/>
      </c>
      <c r="S204" s="28">
        <f>IF($A204="","",1)</f>
        <v/>
      </c>
    </row>
    <row r="205">
      <c r="A205" s="26" t="n"/>
      <c r="B205" s="26" t="n"/>
      <c r="C205" s="29" t="n"/>
      <c r="D205" s="26" t="n"/>
      <c r="E205" s="26" t="n"/>
      <c r="F205" s="27" t="n"/>
      <c r="G205" s="27" t="n"/>
      <c r="H205" s="27" t="n"/>
      <c r="I205" s="27" t="n"/>
      <c r="J205" s="27" t="n"/>
      <c r="K205" s="27" t="n"/>
      <c r="L205" s="26" t="n"/>
      <c r="M205" s="26" t="n"/>
      <c r="N205" s="28">
        <f>IF($A205="","",IF($C205="","",raporTarihi-$C205))</f>
        <v/>
      </c>
      <c r="O205" s="28">
        <f>IF($A205="","",IF($N205="","",IF($N205&lt;=7,"0-7",IF($N205&lt;=30,"8-30",IF($N205&lt;=60,"31-60","60+")))))</f>
        <v/>
      </c>
      <c r="P205" s="28">
        <f>IF($A205="","",IF($B205="","YETİM",IF(COUNTIF(tblKartlar[KartId],$B205)=0,"YETİM","")))</f>
        <v/>
      </c>
      <c r="Q205" s="28">
        <f>IF(OR($A205="",$D205=""),"",IF(OR($D205&amp;"|"&amp;$E205="",COUNTIF(ListeIzinliGecis,$D205&amp;"|"&amp;$E205)&gt;0),"","GEÇERSİZ GEÇİŞ"))</f>
        <v/>
      </c>
      <c r="R205" s="28">
        <f>IF($A205="","",IF(OR($F205="",$G205=""),"",IF(ABS($G205-$F205)&gt;zincirTolerans,"ZİNCİR KIRIK","OK")))</f>
        <v/>
      </c>
      <c r="S205" s="28">
        <f>IF($A205="","",1)</f>
        <v/>
      </c>
    </row>
    <row r="206">
      <c r="A206" s="26" t="n"/>
      <c r="B206" s="26" t="n"/>
      <c r="C206" s="29" t="n"/>
      <c r="D206" s="26" t="n"/>
      <c r="E206" s="26" t="n"/>
      <c r="F206" s="27" t="n"/>
      <c r="G206" s="27" t="n"/>
      <c r="H206" s="27" t="n"/>
      <c r="I206" s="27" t="n"/>
      <c r="J206" s="27" t="n"/>
      <c r="K206" s="27" t="n"/>
      <c r="L206" s="26" t="n"/>
      <c r="M206" s="26" t="n"/>
      <c r="N206" s="28">
        <f>IF($A206="","",IF($C206="","",raporTarihi-$C206))</f>
        <v/>
      </c>
      <c r="O206" s="28">
        <f>IF($A206="","",IF($N206="","",IF($N206&lt;=7,"0-7",IF($N206&lt;=30,"8-30",IF($N206&lt;=60,"31-60","60+")))))</f>
        <v/>
      </c>
      <c r="P206" s="28">
        <f>IF($A206="","",IF($B206="","YETİM",IF(COUNTIF(tblKartlar[KartId],$B206)=0,"YETİM","")))</f>
        <v/>
      </c>
      <c r="Q206" s="28">
        <f>IF(OR($A206="",$D206=""),"",IF(OR($D206&amp;"|"&amp;$E206="",COUNTIF(ListeIzinliGecis,$D206&amp;"|"&amp;$E206)&gt;0),"","GEÇERSİZ GEÇİŞ"))</f>
        <v/>
      </c>
      <c r="R206" s="28">
        <f>IF($A206="","",IF(OR($F206="",$G206=""),"",IF(ABS($G206-$F206)&gt;zincirTolerans,"ZİNCİR KIRIK","OK")))</f>
        <v/>
      </c>
      <c r="S206" s="28">
        <f>IF($A206="","",1)</f>
        <v/>
      </c>
    </row>
    <row r="207">
      <c r="A207" s="26" t="n"/>
      <c r="B207" s="26" t="n"/>
      <c r="C207" s="29" t="n"/>
      <c r="D207" s="26" t="n"/>
      <c r="E207" s="26" t="n"/>
      <c r="F207" s="27" t="n"/>
      <c r="G207" s="27" t="n"/>
      <c r="H207" s="27" t="n"/>
      <c r="I207" s="27" t="n"/>
      <c r="J207" s="27" t="n"/>
      <c r="K207" s="27" t="n"/>
      <c r="L207" s="26" t="n"/>
      <c r="M207" s="26" t="n"/>
      <c r="N207" s="28">
        <f>IF($A207="","",IF($C207="","",raporTarihi-$C207))</f>
        <v/>
      </c>
      <c r="O207" s="28">
        <f>IF($A207="","",IF($N207="","",IF($N207&lt;=7,"0-7",IF($N207&lt;=30,"8-30",IF($N207&lt;=60,"31-60","60+")))))</f>
        <v/>
      </c>
      <c r="P207" s="28">
        <f>IF($A207="","",IF($B207="","YETİM",IF(COUNTIF(tblKartlar[KartId],$B207)=0,"YETİM","")))</f>
        <v/>
      </c>
      <c r="Q207" s="28">
        <f>IF(OR($A207="",$D207=""),"",IF(OR($D207&amp;"|"&amp;$E207="",COUNTIF(ListeIzinliGecis,$D207&amp;"|"&amp;$E207)&gt;0),"","GEÇERSİZ GEÇİŞ"))</f>
        <v/>
      </c>
      <c r="R207" s="28">
        <f>IF($A207="","",IF(OR($F207="",$G207=""),"",IF(ABS($G207-$F207)&gt;zincirTolerans,"ZİNCİR KIRIK","OK")))</f>
        <v/>
      </c>
      <c r="S207" s="28">
        <f>IF($A207="","",1)</f>
        <v/>
      </c>
    </row>
    <row r="208">
      <c r="A208" s="26" t="n"/>
      <c r="B208" s="26" t="n"/>
      <c r="C208" s="29" t="n"/>
      <c r="D208" s="26" t="n"/>
      <c r="E208" s="26" t="n"/>
      <c r="F208" s="27" t="n"/>
      <c r="G208" s="27" t="n"/>
      <c r="H208" s="27" t="n"/>
      <c r="I208" s="27" t="n"/>
      <c r="J208" s="27" t="n"/>
      <c r="K208" s="27" t="n"/>
      <c r="L208" s="26" t="n"/>
      <c r="M208" s="26" t="n"/>
      <c r="N208" s="28">
        <f>IF($A208="","",IF($C208="","",raporTarihi-$C208))</f>
        <v/>
      </c>
      <c r="O208" s="28">
        <f>IF($A208="","",IF($N208="","",IF($N208&lt;=7,"0-7",IF($N208&lt;=30,"8-30",IF($N208&lt;=60,"31-60","60+")))))</f>
        <v/>
      </c>
      <c r="P208" s="28">
        <f>IF($A208="","",IF($B208="","YETİM",IF(COUNTIF(tblKartlar[KartId],$B208)=0,"YETİM","")))</f>
        <v/>
      </c>
      <c r="Q208" s="28">
        <f>IF(OR($A208="",$D208=""),"",IF(OR($D208&amp;"|"&amp;$E208="",COUNTIF(ListeIzinliGecis,$D208&amp;"|"&amp;$E208)&gt;0),"","GEÇERSİZ GEÇİŞ"))</f>
        <v/>
      </c>
      <c r="R208" s="28">
        <f>IF($A208="","",IF(OR($F208="",$G208=""),"",IF(ABS($G208-$F208)&gt;zincirTolerans,"ZİNCİR KIRIK","OK")))</f>
        <v/>
      </c>
      <c r="S208" s="28">
        <f>IF($A208="","",1)</f>
        <v/>
      </c>
    </row>
    <row r="209">
      <c r="A209" s="26" t="n"/>
      <c r="B209" s="26" t="n"/>
      <c r="C209" s="29" t="n"/>
      <c r="D209" s="26" t="n"/>
      <c r="E209" s="26" t="n"/>
      <c r="F209" s="27" t="n"/>
      <c r="G209" s="27" t="n"/>
      <c r="H209" s="27" t="n"/>
      <c r="I209" s="27" t="n"/>
      <c r="J209" s="27" t="n"/>
      <c r="K209" s="27" t="n"/>
      <c r="L209" s="26" t="n"/>
      <c r="M209" s="26" t="n"/>
      <c r="N209" s="28">
        <f>IF($A209="","",IF($C209="","",raporTarihi-$C209))</f>
        <v/>
      </c>
      <c r="O209" s="28">
        <f>IF($A209="","",IF($N209="","",IF($N209&lt;=7,"0-7",IF($N209&lt;=30,"8-30",IF($N209&lt;=60,"31-60","60+")))))</f>
        <v/>
      </c>
      <c r="P209" s="28">
        <f>IF($A209="","",IF($B209="","YETİM",IF(COUNTIF(tblKartlar[KartId],$B209)=0,"YETİM","")))</f>
        <v/>
      </c>
      <c r="Q209" s="28">
        <f>IF(OR($A209="",$D209=""),"",IF(OR($D209&amp;"|"&amp;$E209="",COUNTIF(ListeIzinliGecis,$D209&amp;"|"&amp;$E209)&gt;0),"","GEÇERSİZ GEÇİŞ"))</f>
        <v/>
      </c>
      <c r="R209" s="28">
        <f>IF($A209="","",IF(OR($F209="",$G209=""),"",IF(ABS($G209-$F209)&gt;zincirTolerans,"ZİNCİR KIRIK","OK")))</f>
        <v/>
      </c>
      <c r="S209" s="28">
        <f>IF($A209="","",1)</f>
        <v/>
      </c>
    </row>
    <row r="210">
      <c r="A210" s="26" t="n"/>
      <c r="B210" s="26" t="n"/>
      <c r="C210" s="29" t="n"/>
      <c r="D210" s="26" t="n"/>
      <c r="E210" s="26" t="n"/>
      <c r="F210" s="27" t="n"/>
      <c r="G210" s="27" t="n"/>
      <c r="H210" s="27" t="n"/>
      <c r="I210" s="27" t="n"/>
      <c r="J210" s="27" t="n"/>
      <c r="K210" s="27" t="n"/>
      <c r="L210" s="26" t="n"/>
      <c r="M210" s="26" t="n"/>
      <c r="N210" s="28">
        <f>IF($A210="","",IF($C210="","",raporTarihi-$C210))</f>
        <v/>
      </c>
      <c r="O210" s="28">
        <f>IF($A210="","",IF($N210="","",IF($N210&lt;=7,"0-7",IF($N210&lt;=30,"8-30",IF($N210&lt;=60,"31-60","60+")))))</f>
        <v/>
      </c>
      <c r="P210" s="28">
        <f>IF($A210="","",IF($B210="","YETİM",IF(COUNTIF(tblKartlar[KartId],$B210)=0,"YETİM","")))</f>
        <v/>
      </c>
      <c r="Q210" s="28">
        <f>IF(OR($A210="",$D210=""),"",IF(OR($D210&amp;"|"&amp;$E210="",COUNTIF(ListeIzinliGecis,$D210&amp;"|"&amp;$E210)&gt;0),"","GEÇERSİZ GEÇİŞ"))</f>
        <v/>
      </c>
      <c r="R210" s="28">
        <f>IF($A210="","",IF(OR($F210="",$G210=""),"",IF(ABS($G210-$F210)&gt;zincirTolerans,"ZİNCİR KIRIK","OK")))</f>
        <v/>
      </c>
      <c r="S210" s="28">
        <f>IF($A210="","",1)</f>
        <v/>
      </c>
    </row>
    <row r="211">
      <c r="A211" s="26" t="n"/>
      <c r="B211" s="26" t="n"/>
      <c r="C211" s="29" t="n"/>
      <c r="D211" s="26" t="n"/>
      <c r="E211" s="26" t="n"/>
      <c r="F211" s="27" t="n"/>
      <c r="G211" s="27" t="n"/>
      <c r="H211" s="27" t="n"/>
      <c r="I211" s="27" t="n"/>
      <c r="J211" s="27" t="n"/>
      <c r="K211" s="27" t="n"/>
      <c r="L211" s="26" t="n"/>
      <c r="M211" s="26" t="n"/>
      <c r="N211" s="28">
        <f>IF($A211="","",IF($C211="","",raporTarihi-$C211))</f>
        <v/>
      </c>
      <c r="O211" s="28">
        <f>IF($A211="","",IF($N211="","",IF($N211&lt;=7,"0-7",IF($N211&lt;=30,"8-30",IF($N211&lt;=60,"31-60","60+")))))</f>
        <v/>
      </c>
      <c r="P211" s="28">
        <f>IF($A211="","",IF($B211="","YETİM",IF(COUNTIF(tblKartlar[KartId],$B211)=0,"YETİM","")))</f>
        <v/>
      </c>
      <c r="Q211" s="28">
        <f>IF(OR($A211="",$D211=""),"",IF(OR($D211&amp;"|"&amp;$E211="",COUNTIF(ListeIzinliGecis,$D211&amp;"|"&amp;$E211)&gt;0),"","GEÇERSİZ GEÇİŞ"))</f>
        <v/>
      </c>
      <c r="R211" s="28">
        <f>IF($A211="","",IF(OR($F211="",$G211=""),"",IF(ABS($G211-$F211)&gt;zincirTolerans,"ZİNCİR KIRIK","OK")))</f>
        <v/>
      </c>
      <c r="S211" s="28">
        <f>IF($A211="","",1)</f>
        <v/>
      </c>
    </row>
    <row r="212">
      <c r="A212" s="26" t="n"/>
      <c r="B212" s="26" t="n"/>
      <c r="C212" s="29" t="n"/>
      <c r="D212" s="26" t="n"/>
      <c r="E212" s="26" t="n"/>
      <c r="F212" s="27" t="n"/>
      <c r="G212" s="27" t="n"/>
      <c r="H212" s="27" t="n"/>
      <c r="I212" s="27" t="n"/>
      <c r="J212" s="27" t="n"/>
      <c r="K212" s="27" t="n"/>
      <c r="L212" s="26" t="n"/>
      <c r="M212" s="26" t="n"/>
      <c r="N212" s="28">
        <f>IF($A212="","",IF($C212="","",raporTarihi-$C212))</f>
        <v/>
      </c>
      <c r="O212" s="28">
        <f>IF($A212="","",IF($N212="","",IF($N212&lt;=7,"0-7",IF($N212&lt;=30,"8-30",IF($N212&lt;=60,"31-60","60+")))))</f>
        <v/>
      </c>
      <c r="P212" s="28">
        <f>IF($A212="","",IF($B212="","YETİM",IF(COUNTIF(tblKartlar[KartId],$B212)=0,"YETİM","")))</f>
        <v/>
      </c>
      <c r="Q212" s="28">
        <f>IF(OR($A212="",$D212=""),"",IF(OR($D212&amp;"|"&amp;$E212="",COUNTIF(ListeIzinliGecis,$D212&amp;"|"&amp;$E212)&gt;0),"","GEÇERSİZ GEÇİŞ"))</f>
        <v/>
      </c>
      <c r="R212" s="28">
        <f>IF($A212="","",IF(OR($F212="",$G212=""),"",IF(ABS($G212-$F212)&gt;zincirTolerans,"ZİNCİR KIRIK","OK")))</f>
        <v/>
      </c>
      <c r="S212" s="28">
        <f>IF($A212="","",1)</f>
        <v/>
      </c>
    </row>
    <row r="213">
      <c r="A213" s="26" t="n"/>
      <c r="B213" s="26" t="n"/>
      <c r="C213" s="29" t="n"/>
      <c r="D213" s="26" t="n"/>
      <c r="E213" s="26" t="n"/>
      <c r="F213" s="27" t="n"/>
      <c r="G213" s="27" t="n"/>
      <c r="H213" s="27" t="n"/>
      <c r="I213" s="27" t="n"/>
      <c r="J213" s="27" t="n"/>
      <c r="K213" s="27" t="n"/>
      <c r="L213" s="26" t="n"/>
      <c r="M213" s="26" t="n"/>
      <c r="N213" s="28">
        <f>IF($A213="","",IF($C213="","",raporTarihi-$C213))</f>
        <v/>
      </c>
      <c r="O213" s="28">
        <f>IF($A213="","",IF($N213="","",IF($N213&lt;=7,"0-7",IF($N213&lt;=30,"8-30",IF($N213&lt;=60,"31-60","60+")))))</f>
        <v/>
      </c>
      <c r="P213" s="28">
        <f>IF($A213="","",IF($B213="","YETİM",IF(COUNTIF(tblKartlar[KartId],$B213)=0,"YETİM","")))</f>
        <v/>
      </c>
      <c r="Q213" s="28">
        <f>IF(OR($A213="",$D213=""),"",IF(OR($D213&amp;"|"&amp;$E213="",COUNTIF(ListeIzinliGecis,$D213&amp;"|"&amp;$E213)&gt;0),"","GEÇERSİZ GEÇİŞ"))</f>
        <v/>
      </c>
      <c r="R213" s="28">
        <f>IF($A213="","",IF(OR($F213="",$G213=""),"",IF(ABS($G213-$F213)&gt;zincirTolerans,"ZİNCİR KIRIK","OK")))</f>
        <v/>
      </c>
      <c r="S213" s="28">
        <f>IF($A213="","",1)</f>
        <v/>
      </c>
    </row>
    <row r="214">
      <c r="A214" s="26" t="n"/>
      <c r="B214" s="26" t="n"/>
      <c r="C214" s="29" t="n"/>
      <c r="D214" s="26" t="n"/>
      <c r="E214" s="26" t="n"/>
      <c r="F214" s="27" t="n"/>
      <c r="G214" s="27" t="n"/>
      <c r="H214" s="27" t="n"/>
      <c r="I214" s="27" t="n"/>
      <c r="J214" s="27" t="n"/>
      <c r="K214" s="27" t="n"/>
      <c r="L214" s="26" t="n"/>
      <c r="M214" s="26" t="n"/>
      <c r="N214" s="28">
        <f>IF($A214="","",IF($C214="","",raporTarihi-$C214))</f>
        <v/>
      </c>
      <c r="O214" s="28">
        <f>IF($A214="","",IF($N214="","",IF($N214&lt;=7,"0-7",IF($N214&lt;=30,"8-30",IF($N214&lt;=60,"31-60","60+")))))</f>
        <v/>
      </c>
      <c r="P214" s="28">
        <f>IF($A214="","",IF($B214="","YETİM",IF(COUNTIF(tblKartlar[KartId],$B214)=0,"YETİM","")))</f>
        <v/>
      </c>
      <c r="Q214" s="28">
        <f>IF(OR($A214="",$D214=""),"",IF(OR($D214&amp;"|"&amp;$E214="",COUNTIF(ListeIzinliGecis,$D214&amp;"|"&amp;$E214)&gt;0),"","GEÇERSİZ GEÇİŞ"))</f>
        <v/>
      </c>
      <c r="R214" s="28">
        <f>IF($A214="","",IF(OR($F214="",$G214=""),"",IF(ABS($G214-$F214)&gt;zincirTolerans,"ZİNCİR KIRIK","OK")))</f>
        <v/>
      </c>
      <c r="S214" s="28">
        <f>IF($A214="","",1)</f>
        <v/>
      </c>
    </row>
    <row r="215">
      <c r="A215" s="26" t="n"/>
      <c r="B215" s="26" t="n"/>
      <c r="C215" s="29" t="n"/>
      <c r="D215" s="26" t="n"/>
      <c r="E215" s="26" t="n"/>
      <c r="F215" s="27" t="n"/>
      <c r="G215" s="27" t="n"/>
      <c r="H215" s="27" t="n"/>
      <c r="I215" s="27" t="n"/>
      <c r="J215" s="27" t="n"/>
      <c r="K215" s="27" t="n"/>
      <c r="L215" s="26" t="n"/>
      <c r="M215" s="26" t="n"/>
      <c r="N215" s="28">
        <f>IF($A215="","",IF($C215="","",raporTarihi-$C215))</f>
        <v/>
      </c>
      <c r="O215" s="28">
        <f>IF($A215="","",IF($N215="","",IF($N215&lt;=7,"0-7",IF($N215&lt;=30,"8-30",IF($N215&lt;=60,"31-60","60+")))))</f>
        <v/>
      </c>
      <c r="P215" s="28">
        <f>IF($A215="","",IF($B215="","YETİM",IF(COUNTIF(tblKartlar[KartId],$B215)=0,"YETİM","")))</f>
        <v/>
      </c>
      <c r="Q215" s="28">
        <f>IF(OR($A215="",$D215=""),"",IF(OR($D215&amp;"|"&amp;$E215="",COUNTIF(ListeIzinliGecis,$D215&amp;"|"&amp;$E215)&gt;0),"","GEÇERSİZ GEÇİŞ"))</f>
        <v/>
      </c>
      <c r="R215" s="28">
        <f>IF($A215="","",IF(OR($F215="",$G215=""),"",IF(ABS($G215-$F215)&gt;zincirTolerans,"ZİNCİR KIRIK","OK")))</f>
        <v/>
      </c>
      <c r="S215" s="28">
        <f>IF($A215="","",1)</f>
        <v/>
      </c>
    </row>
    <row r="216">
      <c r="A216" s="26" t="n"/>
      <c r="B216" s="26" t="n"/>
      <c r="C216" s="29" t="n"/>
      <c r="D216" s="26" t="n"/>
      <c r="E216" s="26" t="n"/>
      <c r="F216" s="27" t="n"/>
      <c r="G216" s="27" t="n"/>
      <c r="H216" s="27" t="n"/>
      <c r="I216" s="27" t="n"/>
      <c r="J216" s="27" t="n"/>
      <c r="K216" s="27" t="n"/>
      <c r="L216" s="26" t="n"/>
      <c r="M216" s="26" t="n"/>
      <c r="N216" s="28">
        <f>IF($A216="","",IF($C216="","",raporTarihi-$C216))</f>
        <v/>
      </c>
      <c r="O216" s="28">
        <f>IF($A216="","",IF($N216="","",IF($N216&lt;=7,"0-7",IF($N216&lt;=30,"8-30",IF($N216&lt;=60,"31-60","60+")))))</f>
        <v/>
      </c>
      <c r="P216" s="28">
        <f>IF($A216="","",IF($B216="","YETİM",IF(COUNTIF(tblKartlar[KartId],$B216)=0,"YETİM","")))</f>
        <v/>
      </c>
      <c r="Q216" s="28">
        <f>IF(OR($A216="",$D216=""),"",IF(OR($D216&amp;"|"&amp;$E216="",COUNTIF(ListeIzinliGecis,$D216&amp;"|"&amp;$E216)&gt;0),"","GEÇERSİZ GEÇİŞ"))</f>
        <v/>
      </c>
      <c r="R216" s="28">
        <f>IF($A216="","",IF(OR($F216="",$G216=""),"",IF(ABS($G216-$F216)&gt;zincirTolerans,"ZİNCİR KIRIK","OK")))</f>
        <v/>
      </c>
      <c r="S216" s="28">
        <f>IF($A216="","",1)</f>
        <v/>
      </c>
    </row>
    <row r="217">
      <c r="A217" s="26" t="n"/>
      <c r="B217" s="26" t="n"/>
      <c r="C217" s="29" t="n"/>
      <c r="D217" s="26" t="n"/>
      <c r="E217" s="26" t="n"/>
      <c r="F217" s="27" t="n"/>
      <c r="G217" s="27" t="n"/>
      <c r="H217" s="27" t="n"/>
      <c r="I217" s="27" t="n"/>
      <c r="J217" s="27" t="n"/>
      <c r="K217" s="27" t="n"/>
      <c r="L217" s="26" t="n"/>
      <c r="M217" s="26" t="n"/>
      <c r="N217" s="28">
        <f>IF($A217="","",IF($C217="","",raporTarihi-$C217))</f>
        <v/>
      </c>
      <c r="O217" s="28">
        <f>IF($A217="","",IF($N217="","",IF($N217&lt;=7,"0-7",IF($N217&lt;=30,"8-30",IF($N217&lt;=60,"31-60","60+")))))</f>
        <v/>
      </c>
      <c r="P217" s="28">
        <f>IF($A217="","",IF($B217="","YETİM",IF(COUNTIF(tblKartlar[KartId],$B217)=0,"YETİM","")))</f>
        <v/>
      </c>
      <c r="Q217" s="28">
        <f>IF(OR($A217="",$D217=""),"",IF(OR($D217&amp;"|"&amp;$E217="",COUNTIF(ListeIzinliGecis,$D217&amp;"|"&amp;$E217)&gt;0),"","GEÇERSİZ GEÇİŞ"))</f>
        <v/>
      </c>
      <c r="R217" s="28">
        <f>IF($A217="","",IF(OR($F217="",$G217=""),"",IF(ABS($G217-$F217)&gt;zincirTolerans,"ZİNCİR KIRIK","OK")))</f>
        <v/>
      </c>
      <c r="S217" s="28">
        <f>IF($A217="","",1)</f>
        <v/>
      </c>
    </row>
    <row r="218">
      <c r="A218" s="26" t="n"/>
      <c r="B218" s="26" t="n"/>
      <c r="C218" s="29" t="n"/>
      <c r="D218" s="26" t="n"/>
      <c r="E218" s="26" t="n"/>
      <c r="F218" s="27" t="n"/>
      <c r="G218" s="27" t="n"/>
      <c r="H218" s="27" t="n"/>
      <c r="I218" s="27" t="n"/>
      <c r="J218" s="27" t="n"/>
      <c r="K218" s="27" t="n"/>
      <c r="L218" s="26" t="n"/>
      <c r="M218" s="26" t="n"/>
      <c r="N218" s="28">
        <f>IF($A218="","",IF($C218="","",raporTarihi-$C218))</f>
        <v/>
      </c>
      <c r="O218" s="28">
        <f>IF($A218="","",IF($N218="","",IF($N218&lt;=7,"0-7",IF($N218&lt;=30,"8-30",IF($N218&lt;=60,"31-60","60+")))))</f>
        <v/>
      </c>
      <c r="P218" s="28">
        <f>IF($A218="","",IF($B218="","YETİM",IF(COUNTIF(tblKartlar[KartId],$B218)=0,"YETİM","")))</f>
        <v/>
      </c>
      <c r="Q218" s="28">
        <f>IF(OR($A218="",$D218=""),"",IF(OR($D218&amp;"|"&amp;$E218="",COUNTIF(ListeIzinliGecis,$D218&amp;"|"&amp;$E218)&gt;0),"","GEÇERSİZ GEÇİŞ"))</f>
        <v/>
      </c>
      <c r="R218" s="28">
        <f>IF($A218="","",IF(OR($F218="",$G218=""),"",IF(ABS($G218-$F218)&gt;zincirTolerans,"ZİNCİR KIRIK","OK")))</f>
        <v/>
      </c>
      <c r="S218" s="28">
        <f>IF($A218="","",1)</f>
        <v/>
      </c>
    </row>
    <row r="219">
      <c r="A219" s="26" t="n"/>
      <c r="B219" s="26" t="n"/>
      <c r="C219" s="29" t="n"/>
      <c r="D219" s="26" t="n"/>
      <c r="E219" s="26" t="n"/>
      <c r="F219" s="27" t="n"/>
      <c r="G219" s="27" t="n"/>
      <c r="H219" s="27" t="n"/>
      <c r="I219" s="27" t="n"/>
      <c r="J219" s="27" t="n"/>
      <c r="K219" s="27" t="n"/>
      <c r="L219" s="26" t="n"/>
      <c r="M219" s="26" t="n"/>
      <c r="N219" s="28">
        <f>IF($A219="","",IF($C219="","",raporTarihi-$C219))</f>
        <v/>
      </c>
      <c r="O219" s="28">
        <f>IF($A219="","",IF($N219="","",IF($N219&lt;=7,"0-7",IF($N219&lt;=30,"8-30",IF($N219&lt;=60,"31-60","60+")))))</f>
        <v/>
      </c>
      <c r="P219" s="28">
        <f>IF($A219="","",IF($B219="","YETİM",IF(COUNTIF(tblKartlar[KartId],$B219)=0,"YETİM","")))</f>
        <v/>
      </c>
      <c r="Q219" s="28">
        <f>IF(OR($A219="",$D219=""),"",IF(OR($D219&amp;"|"&amp;$E219="",COUNTIF(ListeIzinliGecis,$D219&amp;"|"&amp;$E219)&gt;0),"","GEÇERSİZ GEÇİŞ"))</f>
        <v/>
      </c>
      <c r="R219" s="28">
        <f>IF($A219="","",IF(OR($F219="",$G219=""),"",IF(ABS($G219-$F219)&gt;zincirTolerans,"ZİNCİR KIRIK","OK")))</f>
        <v/>
      </c>
      <c r="S219" s="28">
        <f>IF($A219="","",1)</f>
        <v/>
      </c>
    </row>
    <row r="220">
      <c r="A220" s="26" t="n"/>
      <c r="B220" s="26" t="n"/>
      <c r="C220" s="29" t="n"/>
      <c r="D220" s="26" t="n"/>
      <c r="E220" s="26" t="n"/>
      <c r="F220" s="27" t="n"/>
      <c r="G220" s="27" t="n"/>
      <c r="H220" s="27" t="n"/>
      <c r="I220" s="27" t="n"/>
      <c r="J220" s="27" t="n"/>
      <c r="K220" s="27" t="n"/>
      <c r="L220" s="26" t="n"/>
      <c r="M220" s="26" t="n"/>
      <c r="N220" s="28">
        <f>IF($A220="","",IF($C220="","",raporTarihi-$C220))</f>
        <v/>
      </c>
      <c r="O220" s="28">
        <f>IF($A220="","",IF($N220="","",IF($N220&lt;=7,"0-7",IF($N220&lt;=30,"8-30",IF($N220&lt;=60,"31-60","60+")))))</f>
        <v/>
      </c>
      <c r="P220" s="28">
        <f>IF($A220="","",IF($B220="","YETİM",IF(COUNTIF(tblKartlar[KartId],$B220)=0,"YETİM","")))</f>
        <v/>
      </c>
      <c r="Q220" s="28">
        <f>IF(OR($A220="",$D220=""),"",IF(OR($D220&amp;"|"&amp;$E220="",COUNTIF(ListeIzinliGecis,$D220&amp;"|"&amp;$E220)&gt;0),"","GEÇERSİZ GEÇİŞ"))</f>
        <v/>
      </c>
      <c r="R220" s="28">
        <f>IF($A220="","",IF(OR($F220="",$G220=""),"",IF(ABS($G220-$F220)&gt;zincirTolerans,"ZİNCİR KIRIK","OK")))</f>
        <v/>
      </c>
      <c r="S220" s="28">
        <f>IF($A220="","",1)</f>
        <v/>
      </c>
    </row>
    <row r="221">
      <c r="A221" s="26" t="n"/>
      <c r="B221" s="26" t="n"/>
      <c r="C221" s="29" t="n"/>
      <c r="D221" s="26" t="n"/>
      <c r="E221" s="26" t="n"/>
      <c r="F221" s="27" t="n"/>
      <c r="G221" s="27" t="n"/>
      <c r="H221" s="27" t="n"/>
      <c r="I221" s="27" t="n"/>
      <c r="J221" s="27" t="n"/>
      <c r="K221" s="27" t="n"/>
      <c r="L221" s="26" t="n"/>
      <c r="M221" s="26" t="n"/>
      <c r="N221" s="28">
        <f>IF($A221="","",IF($C221="","",raporTarihi-$C221))</f>
        <v/>
      </c>
      <c r="O221" s="28">
        <f>IF($A221="","",IF($N221="","",IF($N221&lt;=7,"0-7",IF($N221&lt;=30,"8-30",IF($N221&lt;=60,"31-60","60+")))))</f>
        <v/>
      </c>
      <c r="P221" s="28">
        <f>IF($A221="","",IF($B221="","YETİM",IF(COUNTIF(tblKartlar[KartId],$B221)=0,"YETİM","")))</f>
        <v/>
      </c>
      <c r="Q221" s="28">
        <f>IF(OR($A221="",$D221=""),"",IF(OR($D221&amp;"|"&amp;$E221="",COUNTIF(ListeIzinliGecis,$D221&amp;"|"&amp;$E221)&gt;0),"","GEÇERSİZ GEÇİŞ"))</f>
        <v/>
      </c>
      <c r="R221" s="28">
        <f>IF($A221="","",IF(OR($F221="",$G221=""),"",IF(ABS($G221-$F221)&gt;zincirTolerans,"ZİNCİR KIRIK","OK")))</f>
        <v/>
      </c>
      <c r="S221" s="28">
        <f>IF($A221="","",1)</f>
        <v/>
      </c>
    </row>
    <row r="222">
      <c r="A222" s="26" t="n"/>
      <c r="B222" s="26" t="n"/>
      <c r="C222" s="29" t="n"/>
      <c r="D222" s="26" t="n"/>
      <c r="E222" s="26" t="n"/>
      <c r="F222" s="27" t="n"/>
      <c r="G222" s="27" t="n"/>
      <c r="H222" s="27" t="n"/>
      <c r="I222" s="27" t="n"/>
      <c r="J222" s="27" t="n"/>
      <c r="K222" s="27" t="n"/>
      <c r="L222" s="26" t="n"/>
      <c r="M222" s="26" t="n"/>
      <c r="N222" s="28">
        <f>IF($A222="","",IF($C222="","",raporTarihi-$C222))</f>
        <v/>
      </c>
      <c r="O222" s="28">
        <f>IF($A222="","",IF($N222="","",IF($N222&lt;=7,"0-7",IF($N222&lt;=30,"8-30",IF($N222&lt;=60,"31-60","60+")))))</f>
        <v/>
      </c>
      <c r="P222" s="28">
        <f>IF($A222="","",IF($B222="","YETİM",IF(COUNTIF(tblKartlar[KartId],$B222)=0,"YETİM","")))</f>
        <v/>
      </c>
      <c r="Q222" s="28">
        <f>IF(OR($A222="",$D222=""),"",IF(OR($D222&amp;"|"&amp;$E222="",COUNTIF(ListeIzinliGecis,$D222&amp;"|"&amp;$E222)&gt;0),"","GEÇERSİZ GEÇİŞ"))</f>
        <v/>
      </c>
      <c r="R222" s="28">
        <f>IF($A222="","",IF(OR($F222="",$G222=""),"",IF(ABS($G222-$F222)&gt;zincirTolerans,"ZİNCİR KIRIK","OK")))</f>
        <v/>
      </c>
      <c r="S222" s="28">
        <f>IF($A222="","",1)</f>
        <v/>
      </c>
    </row>
    <row r="223">
      <c r="A223" s="26" t="n"/>
      <c r="B223" s="26" t="n"/>
      <c r="C223" s="29" t="n"/>
      <c r="D223" s="26" t="n"/>
      <c r="E223" s="26" t="n"/>
      <c r="F223" s="27" t="n"/>
      <c r="G223" s="27" t="n"/>
      <c r="H223" s="27" t="n"/>
      <c r="I223" s="27" t="n"/>
      <c r="J223" s="27" t="n"/>
      <c r="K223" s="27" t="n"/>
      <c r="L223" s="26" t="n"/>
      <c r="M223" s="26" t="n"/>
      <c r="N223" s="28">
        <f>IF($A223="","",IF($C223="","",raporTarihi-$C223))</f>
        <v/>
      </c>
      <c r="O223" s="28">
        <f>IF($A223="","",IF($N223="","",IF($N223&lt;=7,"0-7",IF($N223&lt;=30,"8-30",IF($N223&lt;=60,"31-60","60+")))))</f>
        <v/>
      </c>
      <c r="P223" s="28">
        <f>IF($A223="","",IF($B223="","YETİM",IF(COUNTIF(tblKartlar[KartId],$B223)=0,"YETİM","")))</f>
        <v/>
      </c>
      <c r="Q223" s="28">
        <f>IF(OR($A223="",$D223=""),"",IF(OR($D223&amp;"|"&amp;$E223="",COUNTIF(ListeIzinliGecis,$D223&amp;"|"&amp;$E223)&gt;0),"","GEÇERSİZ GEÇİŞ"))</f>
        <v/>
      </c>
      <c r="R223" s="28">
        <f>IF($A223="","",IF(OR($F223="",$G223=""),"",IF(ABS($G223-$F223)&gt;zincirTolerans,"ZİNCİR KIRIK","OK")))</f>
        <v/>
      </c>
      <c r="S223" s="28">
        <f>IF($A223="","",1)</f>
        <v/>
      </c>
    </row>
    <row r="224">
      <c r="A224" s="26" t="n"/>
      <c r="B224" s="26" t="n"/>
      <c r="C224" s="29" t="n"/>
      <c r="D224" s="26" t="n"/>
      <c r="E224" s="26" t="n"/>
      <c r="F224" s="27" t="n"/>
      <c r="G224" s="27" t="n"/>
      <c r="H224" s="27" t="n"/>
      <c r="I224" s="27" t="n"/>
      <c r="J224" s="27" t="n"/>
      <c r="K224" s="27" t="n"/>
      <c r="L224" s="26" t="n"/>
      <c r="M224" s="26" t="n"/>
      <c r="N224" s="28">
        <f>IF($A224="","",IF($C224="","",raporTarihi-$C224))</f>
        <v/>
      </c>
      <c r="O224" s="28">
        <f>IF($A224="","",IF($N224="","",IF($N224&lt;=7,"0-7",IF($N224&lt;=30,"8-30",IF($N224&lt;=60,"31-60","60+")))))</f>
        <v/>
      </c>
      <c r="P224" s="28">
        <f>IF($A224="","",IF($B224="","YETİM",IF(COUNTIF(tblKartlar[KartId],$B224)=0,"YETİM","")))</f>
        <v/>
      </c>
      <c r="Q224" s="28">
        <f>IF(OR($A224="",$D224=""),"",IF(OR($D224&amp;"|"&amp;$E224="",COUNTIF(ListeIzinliGecis,$D224&amp;"|"&amp;$E224)&gt;0),"","GEÇERSİZ GEÇİŞ"))</f>
        <v/>
      </c>
      <c r="R224" s="28">
        <f>IF($A224="","",IF(OR($F224="",$G224=""),"",IF(ABS($G224-$F224)&gt;zincirTolerans,"ZİNCİR KIRIK","OK")))</f>
        <v/>
      </c>
      <c r="S224" s="28">
        <f>IF($A224="","",1)</f>
        <v/>
      </c>
    </row>
    <row r="225">
      <c r="A225" s="26" t="n"/>
      <c r="B225" s="26" t="n"/>
      <c r="C225" s="29" t="n"/>
      <c r="D225" s="26" t="n"/>
      <c r="E225" s="26" t="n"/>
      <c r="F225" s="27" t="n"/>
      <c r="G225" s="27" t="n"/>
      <c r="H225" s="27" t="n"/>
      <c r="I225" s="27" t="n"/>
      <c r="J225" s="27" t="n"/>
      <c r="K225" s="27" t="n"/>
      <c r="L225" s="26" t="n"/>
      <c r="M225" s="26" t="n"/>
      <c r="N225" s="28">
        <f>IF($A225="","",IF($C225="","",raporTarihi-$C225))</f>
        <v/>
      </c>
      <c r="O225" s="28">
        <f>IF($A225="","",IF($N225="","",IF($N225&lt;=7,"0-7",IF($N225&lt;=30,"8-30",IF($N225&lt;=60,"31-60","60+")))))</f>
        <v/>
      </c>
      <c r="P225" s="28">
        <f>IF($A225="","",IF($B225="","YETİM",IF(COUNTIF(tblKartlar[KartId],$B225)=0,"YETİM","")))</f>
        <v/>
      </c>
      <c r="Q225" s="28">
        <f>IF(OR($A225="",$D225=""),"",IF(OR($D225&amp;"|"&amp;$E225="",COUNTIF(ListeIzinliGecis,$D225&amp;"|"&amp;$E225)&gt;0),"","GEÇERSİZ GEÇİŞ"))</f>
        <v/>
      </c>
      <c r="R225" s="28">
        <f>IF($A225="","",IF(OR($F225="",$G225=""),"",IF(ABS($G225-$F225)&gt;zincirTolerans,"ZİNCİR KIRIK","OK")))</f>
        <v/>
      </c>
      <c r="S225" s="28">
        <f>IF($A225="","",1)</f>
        <v/>
      </c>
    </row>
    <row r="226">
      <c r="A226" s="26" t="n"/>
      <c r="B226" s="26" t="n"/>
      <c r="C226" s="29" t="n"/>
      <c r="D226" s="26" t="n"/>
      <c r="E226" s="26" t="n"/>
      <c r="F226" s="27" t="n"/>
      <c r="G226" s="27" t="n"/>
      <c r="H226" s="27" t="n"/>
      <c r="I226" s="27" t="n"/>
      <c r="J226" s="27" t="n"/>
      <c r="K226" s="27" t="n"/>
      <c r="L226" s="26" t="n"/>
      <c r="M226" s="26" t="n"/>
      <c r="N226" s="28">
        <f>IF($A226="","",IF($C226="","",raporTarihi-$C226))</f>
        <v/>
      </c>
      <c r="O226" s="28">
        <f>IF($A226="","",IF($N226="","",IF($N226&lt;=7,"0-7",IF($N226&lt;=30,"8-30",IF($N226&lt;=60,"31-60","60+")))))</f>
        <v/>
      </c>
      <c r="P226" s="28">
        <f>IF($A226="","",IF($B226="","YETİM",IF(COUNTIF(tblKartlar[KartId],$B226)=0,"YETİM","")))</f>
        <v/>
      </c>
      <c r="Q226" s="28">
        <f>IF(OR($A226="",$D226=""),"",IF(OR($D226&amp;"|"&amp;$E226="",COUNTIF(ListeIzinliGecis,$D226&amp;"|"&amp;$E226)&gt;0),"","GEÇERSİZ GEÇİŞ"))</f>
        <v/>
      </c>
      <c r="R226" s="28">
        <f>IF($A226="","",IF(OR($F226="",$G226=""),"",IF(ABS($G226-$F226)&gt;zincirTolerans,"ZİNCİR KIRIK","OK")))</f>
        <v/>
      </c>
      <c r="S226" s="28">
        <f>IF($A226="","",1)</f>
        <v/>
      </c>
    </row>
    <row r="227">
      <c r="A227" s="26" t="n"/>
      <c r="B227" s="26" t="n"/>
      <c r="C227" s="29" t="n"/>
      <c r="D227" s="26" t="n"/>
      <c r="E227" s="26" t="n"/>
      <c r="F227" s="27" t="n"/>
      <c r="G227" s="27" t="n"/>
      <c r="H227" s="27" t="n"/>
      <c r="I227" s="27" t="n"/>
      <c r="J227" s="27" t="n"/>
      <c r="K227" s="27" t="n"/>
      <c r="L227" s="26" t="n"/>
      <c r="M227" s="26" t="n"/>
      <c r="N227" s="28">
        <f>IF($A227="","",IF($C227="","",raporTarihi-$C227))</f>
        <v/>
      </c>
      <c r="O227" s="28">
        <f>IF($A227="","",IF($N227="","",IF($N227&lt;=7,"0-7",IF($N227&lt;=30,"8-30",IF($N227&lt;=60,"31-60","60+")))))</f>
        <v/>
      </c>
      <c r="P227" s="28">
        <f>IF($A227="","",IF($B227="","YETİM",IF(COUNTIF(tblKartlar[KartId],$B227)=0,"YETİM","")))</f>
        <v/>
      </c>
      <c r="Q227" s="28">
        <f>IF(OR($A227="",$D227=""),"",IF(OR($D227&amp;"|"&amp;$E227="",COUNTIF(ListeIzinliGecis,$D227&amp;"|"&amp;$E227)&gt;0),"","GEÇERSİZ GEÇİŞ"))</f>
        <v/>
      </c>
      <c r="R227" s="28">
        <f>IF($A227="","",IF(OR($F227="",$G227=""),"",IF(ABS($G227-$F227)&gt;zincirTolerans,"ZİNCİR KIRIK","OK")))</f>
        <v/>
      </c>
      <c r="S227" s="28">
        <f>IF($A227="","",1)</f>
        <v/>
      </c>
    </row>
    <row r="228">
      <c r="A228" s="26" t="n"/>
      <c r="B228" s="26" t="n"/>
      <c r="C228" s="29" t="n"/>
      <c r="D228" s="26" t="n"/>
      <c r="E228" s="26" t="n"/>
      <c r="F228" s="27" t="n"/>
      <c r="G228" s="27" t="n"/>
      <c r="H228" s="27" t="n"/>
      <c r="I228" s="27" t="n"/>
      <c r="J228" s="27" t="n"/>
      <c r="K228" s="27" t="n"/>
      <c r="L228" s="26" t="n"/>
      <c r="M228" s="26" t="n"/>
      <c r="N228" s="28">
        <f>IF($A228="","",IF($C228="","",raporTarihi-$C228))</f>
        <v/>
      </c>
      <c r="O228" s="28">
        <f>IF($A228="","",IF($N228="","",IF($N228&lt;=7,"0-7",IF($N228&lt;=30,"8-30",IF($N228&lt;=60,"31-60","60+")))))</f>
        <v/>
      </c>
      <c r="P228" s="28">
        <f>IF($A228="","",IF($B228="","YETİM",IF(COUNTIF(tblKartlar[KartId],$B228)=0,"YETİM","")))</f>
        <v/>
      </c>
      <c r="Q228" s="28">
        <f>IF(OR($A228="",$D228=""),"",IF(OR($D228&amp;"|"&amp;$E228="",COUNTIF(ListeIzinliGecis,$D228&amp;"|"&amp;$E228)&gt;0),"","GEÇERSİZ GEÇİŞ"))</f>
        <v/>
      </c>
      <c r="R228" s="28">
        <f>IF($A228="","",IF(OR($F228="",$G228=""),"",IF(ABS($G228-$F228)&gt;zincirTolerans,"ZİNCİR KIRIK","OK")))</f>
        <v/>
      </c>
      <c r="S228" s="28">
        <f>IF($A228="","",1)</f>
        <v/>
      </c>
    </row>
    <row r="229">
      <c r="A229" s="26" t="n"/>
      <c r="B229" s="26" t="n"/>
      <c r="C229" s="29" t="n"/>
      <c r="D229" s="26" t="n"/>
      <c r="E229" s="26" t="n"/>
      <c r="F229" s="27" t="n"/>
      <c r="G229" s="27" t="n"/>
      <c r="H229" s="27" t="n"/>
      <c r="I229" s="27" t="n"/>
      <c r="J229" s="27" t="n"/>
      <c r="K229" s="27" t="n"/>
      <c r="L229" s="26" t="n"/>
      <c r="M229" s="26" t="n"/>
      <c r="N229" s="28">
        <f>IF($A229="","",IF($C229="","",raporTarihi-$C229))</f>
        <v/>
      </c>
      <c r="O229" s="28">
        <f>IF($A229="","",IF($N229="","",IF($N229&lt;=7,"0-7",IF($N229&lt;=30,"8-30",IF($N229&lt;=60,"31-60","60+")))))</f>
        <v/>
      </c>
      <c r="P229" s="28">
        <f>IF($A229="","",IF($B229="","YETİM",IF(COUNTIF(tblKartlar[KartId],$B229)=0,"YETİM","")))</f>
        <v/>
      </c>
      <c r="Q229" s="28">
        <f>IF(OR($A229="",$D229=""),"",IF(OR($D229&amp;"|"&amp;$E229="",COUNTIF(ListeIzinliGecis,$D229&amp;"|"&amp;$E229)&gt;0),"","GEÇERSİZ GEÇİŞ"))</f>
        <v/>
      </c>
      <c r="R229" s="28">
        <f>IF($A229="","",IF(OR($F229="",$G229=""),"",IF(ABS($G229-$F229)&gt;zincirTolerans,"ZİNCİR KIRIK","OK")))</f>
        <v/>
      </c>
      <c r="S229" s="28">
        <f>IF($A229="","",1)</f>
        <v/>
      </c>
    </row>
    <row r="230">
      <c r="A230" s="26" t="n"/>
      <c r="B230" s="26" t="n"/>
      <c r="C230" s="29" t="n"/>
      <c r="D230" s="26" t="n"/>
      <c r="E230" s="26" t="n"/>
      <c r="F230" s="27" t="n"/>
      <c r="G230" s="27" t="n"/>
      <c r="H230" s="27" t="n"/>
      <c r="I230" s="27" t="n"/>
      <c r="J230" s="27" t="n"/>
      <c r="K230" s="27" t="n"/>
      <c r="L230" s="26" t="n"/>
      <c r="M230" s="26" t="n"/>
      <c r="N230" s="28">
        <f>IF($A230="","",IF($C230="","",raporTarihi-$C230))</f>
        <v/>
      </c>
      <c r="O230" s="28">
        <f>IF($A230="","",IF($N230="","",IF($N230&lt;=7,"0-7",IF($N230&lt;=30,"8-30",IF($N230&lt;=60,"31-60","60+")))))</f>
        <v/>
      </c>
      <c r="P230" s="28">
        <f>IF($A230="","",IF($B230="","YETİM",IF(COUNTIF(tblKartlar[KartId],$B230)=0,"YETİM","")))</f>
        <v/>
      </c>
      <c r="Q230" s="28">
        <f>IF(OR($A230="",$D230=""),"",IF(OR($D230&amp;"|"&amp;$E230="",COUNTIF(ListeIzinliGecis,$D230&amp;"|"&amp;$E230)&gt;0),"","GEÇERSİZ GEÇİŞ"))</f>
        <v/>
      </c>
      <c r="R230" s="28">
        <f>IF($A230="","",IF(OR($F230="",$G230=""),"",IF(ABS($G230-$F230)&gt;zincirTolerans,"ZİNCİR KIRIK","OK")))</f>
        <v/>
      </c>
      <c r="S230" s="28">
        <f>IF($A230="","",1)</f>
        <v/>
      </c>
    </row>
    <row r="231">
      <c r="A231" s="26" t="n"/>
      <c r="B231" s="26" t="n"/>
      <c r="C231" s="29" t="n"/>
      <c r="D231" s="26" t="n"/>
      <c r="E231" s="26" t="n"/>
      <c r="F231" s="27" t="n"/>
      <c r="G231" s="27" t="n"/>
      <c r="H231" s="27" t="n"/>
      <c r="I231" s="27" t="n"/>
      <c r="J231" s="27" t="n"/>
      <c r="K231" s="27" t="n"/>
      <c r="L231" s="26" t="n"/>
      <c r="M231" s="26" t="n"/>
      <c r="N231" s="28">
        <f>IF($A231="","",IF($C231="","",raporTarihi-$C231))</f>
        <v/>
      </c>
      <c r="O231" s="28">
        <f>IF($A231="","",IF($N231="","",IF($N231&lt;=7,"0-7",IF($N231&lt;=30,"8-30",IF($N231&lt;=60,"31-60","60+")))))</f>
        <v/>
      </c>
      <c r="P231" s="28">
        <f>IF($A231="","",IF($B231="","YETİM",IF(COUNTIF(tblKartlar[KartId],$B231)=0,"YETİM","")))</f>
        <v/>
      </c>
      <c r="Q231" s="28">
        <f>IF(OR($A231="",$D231=""),"",IF(OR($D231&amp;"|"&amp;$E231="",COUNTIF(ListeIzinliGecis,$D231&amp;"|"&amp;$E231)&gt;0),"","GEÇERSİZ GEÇİŞ"))</f>
        <v/>
      </c>
      <c r="R231" s="28">
        <f>IF($A231="","",IF(OR($F231="",$G231=""),"",IF(ABS($G231-$F231)&gt;zincirTolerans,"ZİNCİR KIRIK","OK")))</f>
        <v/>
      </c>
      <c r="S231" s="28">
        <f>IF($A231="","",1)</f>
        <v/>
      </c>
    </row>
    <row r="232">
      <c r="A232" s="26" t="n"/>
      <c r="B232" s="26" t="n"/>
      <c r="C232" s="29" t="n"/>
      <c r="D232" s="26" t="n"/>
      <c r="E232" s="26" t="n"/>
      <c r="F232" s="27" t="n"/>
      <c r="G232" s="27" t="n"/>
      <c r="H232" s="27" t="n"/>
      <c r="I232" s="27" t="n"/>
      <c r="J232" s="27" t="n"/>
      <c r="K232" s="27" t="n"/>
      <c r="L232" s="26" t="n"/>
      <c r="M232" s="26" t="n"/>
      <c r="N232" s="28">
        <f>IF($A232="","",IF($C232="","",raporTarihi-$C232))</f>
        <v/>
      </c>
      <c r="O232" s="28">
        <f>IF($A232="","",IF($N232="","",IF($N232&lt;=7,"0-7",IF($N232&lt;=30,"8-30",IF($N232&lt;=60,"31-60","60+")))))</f>
        <v/>
      </c>
      <c r="P232" s="28">
        <f>IF($A232="","",IF($B232="","YETİM",IF(COUNTIF(tblKartlar[KartId],$B232)=0,"YETİM","")))</f>
        <v/>
      </c>
      <c r="Q232" s="28">
        <f>IF(OR($A232="",$D232=""),"",IF(OR($D232&amp;"|"&amp;$E232="",COUNTIF(ListeIzinliGecis,$D232&amp;"|"&amp;$E232)&gt;0),"","GEÇERSİZ GEÇİŞ"))</f>
        <v/>
      </c>
      <c r="R232" s="28">
        <f>IF($A232="","",IF(OR($F232="",$G232=""),"",IF(ABS($G232-$F232)&gt;zincirTolerans,"ZİNCİR KIRIK","OK")))</f>
        <v/>
      </c>
      <c r="S232" s="28">
        <f>IF($A232="","",1)</f>
        <v/>
      </c>
    </row>
    <row r="233">
      <c r="A233" s="26" t="n"/>
      <c r="B233" s="26" t="n"/>
      <c r="C233" s="29" t="n"/>
      <c r="D233" s="26" t="n"/>
      <c r="E233" s="26" t="n"/>
      <c r="F233" s="27" t="n"/>
      <c r="G233" s="27" t="n"/>
      <c r="H233" s="27" t="n"/>
      <c r="I233" s="27" t="n"/>
      <c r="J233" s="27" t="n"/>
      <c r="K233" s="27" t="n"/>
      <c r="L233" s="26" t="n"/>
      <c r="M233" s="26" t="n"/>
      <c r="N233" s="28">
        <f>IF($A233="","",IF($C233="","",raporTarihi-$C233))</f>
        <v/>
      </c>
      <c r="O233" s="28">
        <f>IF($A233="","",IF($N233="","",IF($N233&lt;=7,"0-7",IF($N233&lt;=30,"8-30",IF($N233&lt;=60,"31-60","60+")))))</f>
        <v/>
      </c>
      <c r="P233" s="28">
        <f>IF($A233="","",IF($B233="","YETİM",IF(COUNTIF(tblKartlar[KartId],$B233)=0,"YETİM","")))</f>
        <v/>
      </c>
      <c r="Q233" s="28">
        <f>IF(OR($A233="",$D233=""),"",IF(OR($D233&amp;"|"&amp;$E233="",COUNTIF(ListeIzinliGecis,$D233&amp;"|"&amp;$E233)&gt;0),"","GEÇERSİZ GEÇİŞ"))</f>
        <v/>
      </c>
      <c r="R233" s="28">
        <f>IF($A233="","",IF(OR($F233="",$G233=""),"",IF(ABS($G233-$F233)&gt;zincirTolerans,"ZİNCİR KIRIK","OK")))</f>
        <v/>
      </c>
      <c r="S233" s="28">
        <f>IF($A233="","",1)</f>
        <v/>
      </c>
    </row>
    <row r="234">
      <c r="A234" s="26" t="n"/>
      <c r="B234" s="26" t="n"/>
      <c r="C234" s="29" t="n"/>
      <c r="D234" s="26" t="n"/>
      <c r="E234" s="26" t="n"/>
      <c r="F234" s="27" t="n"/>
      <c r="G234" s="27" t="n"/>
      <c r="H234" s="27" t="n"/>
      <c r="I234" s="27" t="n"/>
      <c r="J234" s="27" t="n"/>
      <c r="K234" s="27" t="n"/>
      <c r="L234" s="26" t="n"/>
      <c r="M234" s="26" t="n"/>
      <c r="N234" s="28">
        <f>IF($A234="","",IF($C234="","",raporTarihi-$C234))</f>
        <v/>
      </c>
      <c r="O234" s="28">
        <f>IF($A234="","",IF($N234="","",IF($N234&lt;=7,"0-7",IF($N234&lt;=30,"8-30",IF($N234&lt;=60,"31-60","60+")))))</f>
        <v/>
      </c>
      <c r="P234" s="28">
        <f>IF($A234="","",IF($B234="","YETİM",IF(COUNTIF(tblKartlar[KartId],$B234)=0,"YETİM","")))</f>
        <v/>
      </c>
      <c r="Q234" s="28">
        <f>IF(OR($A234="",$D234=""),"",IF(OR($D234&amp;"|"&amp;$E234="",COUNTIF(ListeIzinliGecis,$D234&amp;"|"&amp;$E234)&gt;0),"","GEÇERSİZ GEÇİŞ"))</f>
        <v/>
      </c>
      <c r="R234" s="28">
        <f>IF($A234="","",IF(OR($F234="",$G234=""),"",IF(ABS($G234-$F234)&gt;zincirTolerans,"ZİNCİR KIRIK","OK")))</f>
        <v/>
      </c>
      <c r="S234" s="28">
        <f>IF($A234="","",1)</f>
        <v/>
      </c>
    </row>
    <row r="235">
      <c r="A235" s="26" t="n"/>
      <c r="B235" s="26" t="n"/>
      <c r="C235" s="29" t="n"/>
      <c r="D235" s="26" t="n"/>
      <c r="E235" s="26" t="n"/>
      <c r="F235" s="27" t="n"/>
      <c r="G235" s="27" t="n"/>
      <c r="H235" s="27" t="n"/>
      <c r="I235" s="27" t="n"/>
      <c r="J235" s="27" t="n"/>
      <c r="K235" s="27" t="n"/>
      <c r="L235" s="26" t="n"/>
      <c r="M235" s="26" t="n"/>
      <c r="N235" s="28">
        <f>IF($A235="","",IF($C235="","",raporTarihi-$C235))</f>
        <v/>
      </c>
      <c r="O235" s="28">
        <f>IF($A235="","",IF($N235="","",IF($N235&lt;=7,"0-7",IF($N235&lt;=30,"8-30",IF($N235&lt;=60,"31-60","60+")))))</f>
        <v/>
      </c>
      <c r="P235" s="28">
        <f>IF($A235="","",IF($B235="","YETİM",IF(COUNTIF(tblKartlar[KartId],$B235)=0,"YETİM","")))</f>
        <v/>
      </c>
      <c r="Q235" s="28">
        <f>IF(OR($A235="",$D235=""),"",IF(OR($D235&amp;"|"&amp;$E235="",COUNTIF(ListeIzinliGecis,$D235&amp;"|"&amp;$E235)&gt;0),"","GEÇERSİZ GEÇİŞ"))</f>
        <v/>
      </c>
      <c r="R235" s="28">
        <f>IF($A235="","",IF(OR($F235="",$G235=""),"",IF(ABS($G235-$F235)&gt;zincirTolerans,"ZİNCİR KIRIK","OK")))</f>
        <v/>
      </c>
      <c r="S235" s="28">
        <f>IF($A235="","",1)</f>
        <v/>
      </c>
    </row>
    <row r="236">
      <c r="A236" s="26" t="n"/>
      <c r="B236" s="26" t="n"/>
      <c r="C236" s="29" t="n"/>
      <c r="D236" s="26" t="n"/>
      <c r="E236" s="26" t="n"/>
      <c r="F236" s="27" t="n"/>
      <c r="G236" s="27" t="n"/>
      <c r="H236" s="27" t="n"/>
      <c r="I236" s="27" t="n"/>
      <c r="J236" s="27" t="n"/>
      <c r="K236" s="27" t="n"/>
      <c r="L236" s="26" t="n"/>
      <c r="M236" s="26" t="n"/>
      <c r="N236" s="28">
        <f>IF($A236="","",IF($C236="","",raporTarihi-$C236))</f>
        <v/>
      </c>
      <c r="O236" s="28">
        <f>IF($A236="","",IF($N236="","",IF($N236&lt;=7,"0-7",IF($N236&lt;=30,"8-30",IF($N236&lt;=60,"31-60","60+")))))</f>
        <v/>
      </c>
      <c r="P236" s="28">
        <f>IF($A236="","",IF($B236="","YETİM",IF(COUNTIF(tblKartlar[KartId],$B236)=0,"YETİM","")))</f>
        <v/>
      </c>
      <c r="Q236" s="28">
        <f>IF(OR($A236="",$D236=""),"",IF(OR($D236&amp;"|"&amp;$E236="",COUNTIF(ListeIzinliGecis,$D236&amp;"|"&amp;$E236)&gt;0),"","GEÇERSİZ GEÇİŞ"))</f>
        <v/>
      </c>
      <c r="R236" s="28">
        <f>IF($A236="","",IF(OR($F236="",$G236=""),"",IF(ABS($G236-$F236)&gt;zincirTolerans,"ZİNCİR KIRIK","OK")))</f>
        <v/>
      </c>
      <c r="S236" s="28">
        <f>IF($A236="","",1)</f>
        <v/>
      </c>
    </row>
    <row r="237">
      <c r="A237" s="26" t="n"/>
      <c r="B237" s="26" t="n"/>
      <c r="C237" s="29" t="n"/>
      <c r="D237" s="26" t="n"/>
      <c r="E237" s="26" t="n"/>
      <c r="F237" s="27" t="n"/>
      <c r="G237" s="27" t="n"/>
      <c r="H237" s="27" t="n"/>
      <c r="I237" s="27" t="n"/>
      <c r="J237" s="27" t="n"/>
      <c r="K237" s="27" t="n"/>
      <c r="L237" s="26" t="n"/>
      <c r="M237" s="26" t="n"/>
      <c r="N237" s="28">
        <f>IF($A237="","",IF($C237="","",raporTarihi-$C237))</f>
        <v/>
      </c>
      <c r="O237" s="28">
        <f>IF($A237="","",IF($N237="","",IF($N237&lt;=7,"0-7",IF($N237&lt;=30,"8-30",IF($N237&lt;=60,"31-60","60+")))))</f>
        <v/>
      </c>
      <c r="P237" s="28">
        <f>IF($A237="","",IF($B237="","YETİM",IF(COUNTIF(tblKartlar[KartId],$B237)=0,"YETİM","")))</f>
        <v/>
      </c>
      <c r="Q237" s="28">
        <f>IF(OR($A237="",$D237=""),"",IF(OR($D237&amp;"|"&amp;$E237="",COUNTIF(ListeIzinliGecis,$D237&amp;"|"&amp;$E237)&gt;0),"","GEÇERSİZ GEÇİŞ"))</f>
        <v/>
      </c>
      <c r="R237" s="28">
        <f>IF($A237="","",IF(OR($F237="",$G237=""),"",IF(ABS($G237-$F237)&gt;zincirTolerans,"ZİNCİR KIRIK","OK")))</f>
        <v/>
      </c>
      <c r="S237" s="28">
        <f>IF($A237="","",1)</f>
        <v/>
      </c>
    </row>
    <row r="238">
      <c r="A238" s="26" t="n"/>
      <c r="B238" s="26" t="n"/>
      <c r="C238" s="29" t="n"/>
      <c r="D238" s="26" t="n"/>
      <c r="E238" s="26" t="n"/>
      <c r="F238" s="27" t="n"/>
      <c r="G238" s="27" t="n"/>
      <c r="H238" s="27" t="n"/>
      <c r="I238" s="27" t="n"/>
      <c r="J238" s="27" t="n"/>
      <c r="K238" s="27" t="n"/>
      <c r="L238" s="26" t="n"/>
      <c r="M238" s="26" t="n"/>
      <c r="N238" s="28">
        <f>IF($A238="","",IF($C238="","",raporTarihi-$C238))</f>
        <v/>
      </c>
      <c r="O238" s="28">
        <f>IF($A238="","",IF($N238="","",IF($N238&lt;=7,"0-7",IF($N238&lt;=30,"8-30",IF($N238&lt;=60,"31-60","60+")))))</f>
        <v/>
      </c>
      <c r="P238" s="28">
        <f>IF($A238="","",IF($B238="","YETİM",IF(COUNTIF(tblKartlar[KartId],$B238)=0,"YETİM","")))</f>
        <v/>
      </c>
      <c r="Q238" s="28">
        <f>IF(OR($A238="",$D238=""),"",IF(OR($D238&amp;"|"&amp;$E238="",COUNTIF(ListeIzinliGecis,$D238&amp;"|"&amp;$E238)&gt;0),"","GEÇERSİZ GEÇİŞ"))</f>
        <v/>
      </c>
      <c r="R238" s="28">
        <f>IF($A238="","",IF(OR($F238="",$G238=""),"",IF(ABS($G238-$F238)&gt;zincirTolerans,"ZİNCİR KIRIK","OK")))</f>
        <v/>
      </c>
      <c r="S238" s="28">
        <f>IF($A238="","",1)</f>
        <v/>
      </c>
    </row>
    <row r="239">
      <c r="A239" s="26" t="n"/>
      <c r="B239" s="26" t="n"/>
      <c r="C239" s="29" t="n"/>
      <c r="D239" s="26" t="n"/>
      <c r="E239" s="26" t="n"/>
      <c r="F239" s="27" t="n"/>
      <c r="G239" s="27" t="n"/>
      <c r="H239" s="27" t="n"/>
      <c r="I239" s="27" t="n"/>
      <c r="J239" s="27" t="n"/>
      <c r="K239" s="27" t="n"/>
      <c r="L239" s="26" t="n"/>
      <c r="M239" s="26" t="n"/>
      <c r="N239" s="28">
        <f>IF($A239="","",IF($C239="","",raporTarihi-$C239))</f>
        <v/>
      </c>
      <c r="O239" s="28">
        <f>IF($A239="","",IF($N239="","",IF($N239&lt;=7,"0-7",IF($N239&lt;=30,"8-30",IF($N239&lt;=60,"31-60","60+")))))</f>
        <v/>
      </c>
      <c r="P239" s="28">
        <f>IF($A239="","",IF($B239="","YETİM",IF(COUNTIF(tblKartlar[KartId],$B239)=0,"YETİM","")))</f>
        <v/>
      </c>
      <c r="Q239" s="28">
        <f>IF(OR($A239="",$D239=""),"",IF(OR($D239&amp;"|"&amp;$E239="",COUNTIF(ListeIzinliGecis,$D239&amp;"|"&amp;$E239)&gt;0),"","GEÇERSİZ GEÇİŞ"))</f>
        <v/>
      </c>
      <c r="R239" s="28">
        <f>IF($A239="","",IF(OR($F239="",$G239=""),"",IF(ABS($G239-$F239)&gt;zincirTolerans,"ZİNCİR KIRIK","OK")))</f>
        <v/>
      </c>
      <c r="S239" s="28">
        <f>IF($A239="","",1)</f>
        <v/>
      </c>
    </row>
    <row r="240">
      <c r="A240" s="26" t="n"/>
      <c r="B240" s="26" t="n"/>
      <c r="C240" s="29" t="n"/>
      <c r="D240" s="26" t="n"/>
      <c r="E240" s="26" t="n"/>
      <c r="F240" s="27" t="n"/>
      <c r="G240" s="27" t="n"/>
      <c r="H240" s="27" t="n"/>
      <c r="I240" s="27" t="n"/>
      <c r="J240" s="27" t="n"/>
      <c r="K240" s="27" t="n"/>
      <c r="L240" s="26" t="n"/>
      <c r="M240" s="26" t="n"/>
      <c r="N240" s="28">
        <f>IF($A240="","",IF($C240="","",raporTarihi-$C240))</f>
        <v/>
      </c>
      <c r="O240" s="28">
        <f>IF($A240="","",IF($N240="","",IF($N240&lt;=7,"0-7",IF($N240&lt;=30,"8-30",IF($N240&lt;=60,"31-60","60+")))))</f>
        <v/>
      </c>
      <c r="P240" s="28">
        <f>IF($A240="","",IF($B240="","YETİM",IF(COUNTIF(tblKartlar[KartId],$B240)=0,"YETİM","")))</f>
        <v/>
      </c>
      <c r="Q240" s="28">
        <f>IF(OR($A240="",$D240=""),"",IF(OR($D240&amp;"|"&amp;$E240="",COUNTIF(ListeIzinliGecis,$D240&amp;"|"&amp;$E240)&gt;0),"","GEÇERSİZ GEÇİŞ"))</f>
        <v/>
      </c>
      <c r="R240" s="28">
        <f>IF($A240="","",IF(OR($F240="",$G240=""),"",IF(ABS($G240-$F240)&gt;zincirTolerans,"ZİNCİR KIRIK","OK")))</f>
        <v/>
      </c>
      <c r="S240" s="28">
        <f>IF($A240="","",1)</f>
        <v/>
      </c>
    </row>
    <row r="241">
      <c r="A241" s="26" t="n"/>
      <c r="B241" s="26" t="n"/>
      <c r="C241" s="29" t="n"/>
      <c r="D241" s="26" t="n"/>
      <c r="E241" s="26" t="n"/>
      <c r="F241" s="27" t="n"/>
      <c r="G241" s="27" t="n"/>
      <c r="H241" s="27" t="n"/>
      <c r="I241" s="27" t="n"/>
      <c r="J241" s="27" t="n"/>
      <c r="K241" s="27" t="n"/>
      <c r="L241" s="26" t="n"/>
      <c r="M241" s="26" t="n"/>
      <c r="N241" s="28">
        <f>IF($A241="","",IF($C241="","",raporTarihi-$C241))</f>
        <v/>
      </c>
      <c r="O241" s="28">
        <f>IF($A241="","",IF($N241="","",IF($N241&lt;=7,"0-7",IF($N241&lt;=30,"8-30",IF($N241&lt;=60,"31-60","60+")))))</f>
        <v/>
      </c>
      <c r="P241" s="28">
        <f>IF($A241="","",IF($B241="","YETİM",IF(COUNTIF(tblKartlar[KartId],$B241)=0,"YETİM","")))</f>
        <v/>
      </c>
      <c r="Q241" s="28">
        <f>IF(OR($A241="",$D241=""),"",IF(OR($D241&amp;"|"&amp;$E241="",COUNTIF(ListeIzinliGecis,$D241&amp;"|"&amp;$E241)&gt;0),"","GEÇERSİZ GEÇİŞ"))</f>
        <v/>
      </c>
      <c r="R241" s="28">
        <f>IF($A241="","",IF(OR($F241="",$G241=""),"",IF(ABS($G241-$F241)&gt;zincirTolerans,"ZİNCİR KIRIK","OK")))</f>
        <v/>
      </c>
      <c r="S241" s="28">
        <f>IF($A241="","",1)</f>
        <v/>
      </c>
    </row>
    <row r="242">
      <c r="A242" s="26" t="n"/>
      <c r="B242" s="26" t="n"/>
      <c r="C242" s="29" t="n"/>
      <c r="D242" s="26" t="n"/>
      <c r="E242" s="26" t="n"/>
      <c r="F242" s="27" t="n"/>
      <c r="G242" s="27" t="n"/>
      <c r="H242" s="27" t="n"/>
      <c r="I242" s="27" t="n"/>
      <c r="J242" s="27" t="n"/>
      <c r="K242" s="27" t="n"/>
      <c r="L242" s="26" t="n"/>
      <c r="M242" s="26" t="n"/>
      <c r="N242" s="28">
        <f>IF($A242="","",IF($C242="","",raporTarihi-$C242))</f>
        <v/>
      </c>
      <c r="O242" s="28">
        <f>IF($A242="","",IF($N242="","",IF($N242&lt;=7,"0-7",IF($N242&lt;=30,"8-30",IF($N242&lt;=60,"31-60","60+")))))</f>
        <v/>
      </c>
      <c r="P242" s="28">
        <f>IF($A242="","",IF($B242="","YETİM",IF(COUNTIF(tblKartlar[KartId],$B242)=0,"YETİM","")))</f>
        <v/>
      </c>
      <c r="Q242" s="28">
        <f>IF(OR($A242="",$D242=""),"",IF(OR($D242&amp;"|"&amp;$E242="",COUNTIF(ListeIzinliGecis,$D242&amp;"|"&amp;$E242)&gt;0),"","GEÇERSİZ GEÇİŞ"))</f>
        <v/>
      </c>
      <c r="R242" s="28">
        <f>IF($A242="","",IF(OR($F242="",$G242=""),"",IF(ABS($G242-$F242)&gt;zincirTolerans,"ZİNCİR KIRIK","OK")))</f>
        <v/>
      </c>
      <c r="S242" s="28">
        <f>IF($A242="","",1)</f>
        <v/>
      </c>
    </row>
    <row r="243">
      <c r="A243" s="26" t="n"/>
      <c r="B243" s="26" t="n"/>
      <c r="C243" s="29" t="n"/>
      <c r="D243" s="26" t="n"/>
      <c r="E243" s="26" t="n"/>
      <c r="F243" s="27" t="n"/>
      <c r="G243" s="27" t="n"/>
      <c r="H243" s="27" t="n"/>
      <c r="I243" s="27" t="n"/>
      <c r="J243" s="27" t="n"/>
      <c r="K243" s="27" t="n"/>
      <c r="L243" s="26" t="n"/>
      <c r="M243" s="26" t="n"/>
      <c r="N243" s="28">
        <f>IF($A243="","",IF($C243="","",raporTarihi-$C243))</f>
        <v/>
      </c>
      <c r="O243" s="28">
        <f>IF($A243="","",IF($N243="","",IF($N243&lt;=7,"0-7",IF($N243&lt;=30,"8-30",IF($N243&lt;=60,"31-60","60+")))))</f>
        <v/>
      </c>
      <c r="P243" s="28">
        <f>IF($A243="","",IF($B243="","YETİM",IF(COUNTIF(tblKartlar[KartId],$B243)=0,"YETİM","")))</f>
        <v/>
      </c>
      <c r="Q243" s="28">
        <f>IF(OR($A243="",$D243=""),"",IF(OR($D243&amp;"|"&amp;$E243="",COUNTIF(ListeIzinliGecis,$D243&amp;"|"&amp;$E243)&gt;0),"","GEÇERSİZ GEÇİŞ"))</f>
        <v/>
      </c>
      <c r="R243" s="28">
        <f>IF($A243="","",IF(OR($F243="",$G243=""),"",IF(ABS($G243-$F243)&gt;zincirTolerans,"ZİNCİR KIRIK","OK")))</f>
        <v/>
      </c>
      <c r="S243" s="28">
        <f>IF($A243="","",1)</f>
        <v/>
      </c>
    </row>
    <row r="244">
      <c r="A244" s="26" t="n"/>
      <c r="B244" s="26" t="n"/>
      <c r="C244" s="29" t="n"/>
      <c r="D244" s="26" t="n"/>
      <c r="E244" s="26" t="n"/>
      <c r="F244" s="27" t="n"/>
      <c r="G244" s="27" t="n"/>
      <c r="H244" s="27" t="n"/>
      <c r="I244" s="27" t="n"/>
      <c r="J244" s="27" t="n"/>
      <c r="K244" s="27" t="n"/>
      <c r="L244" s="26" t="n"/>
      <c r="M244" s="26" t="n"/>
      <c r="N244" s="28">
        <f>IF($A244="","",IF($C244="","",raporTarihi-$C244))</f>
        <v/>
      </c>
      <c r="O244" s="28">
        <f>IF($A244="","",IF($N244="","",IF($N244&lt;=7,"0-7",IF($N244&lt;=30,"8-30",IF($N244&lt;=60,"31-60","60+")))))</f>
        <v/>
      </c>
      <c r="P244" s="28">
        <f>IF($A244="","",IF($B244="","YETİM",IF(COUNTIF(tblKartlar[KartId],$B244)=0,"YETİM","")))</f>
        <v/>
      </c>
      <c r="Q244" s="28">
        <f>IF(OR($A244="",$D244=""),"",IF(OR($D244&amp;"|"&amp;$E244="",COUNTIF(ListeIzinliGecis,$D244&amp;"|"&amp;$E244)&gt;0),"","GEÇERSİZ GEÇİŞ"))</f>
        <v/>
      </c>
      <c r="R244" s="28">
        <f>IF($A244="","",IF(OR($F244="",$G244=""),"",IF(ABS($G244-$F244)&gt;zincirTolerans,"ZİNCİR KIRIK","OK")))</f>
        <v/>
      </c>
      <c r="S244" s="28">
        <f>IF($A244="","",1)</f>
        <v/>
      </c>
    </row>
    <row r="245">
      <c r="A245" s="26" t="n"/>
      <c r="B245" s="26" t="n"/>
      <c r="C245" s="29" t="n"/>
      <c r="D245" s="26" t="n"/>
      <c r="E245" s="26" t="n"/>
      <c r="F245" s="27" t="n"/>
      <c r="G245" s="27" t="n"/>
      <c r="H245" s="27" t="n"/>
      <c r="I245" s="27" t="n"/>
      <c r="J245" s="27" t="n"/>
      <c r="K245" s="27" t="n"/>
      <c r="L245" s="26" t="n"/>
      <c r="M245" s="26" t="n"/>
      <c r="N245" s="28">
        <f>IF($A245="","",IF($C245="","",raporTarihi-$C245))</f>
        <v/>
      </c>
      <c r="O245" s="28">
        <f>IF($A245="","",IF($N245="","",IF($N245&lt;=7,"0-7",IF($N245&lt;=30,"8-30",IF($N245&lt;=60,"31-60","60+")))))</f>
        <v/>
      </c>
      <c r="P245" s="28">
        <f>IF($A245="","",IF($B245="","YETİM",IF(COUNTIF(tblKartlar[KartId],$B245)=0,"YETİM","")))</f>
        <v/>
      </c>
      <c r="Q245" s="28">
        <f>IF(OR($A245="",$D245=""),"",IF(OR($D245&amp;"|"&amp;$E245="",COUNTIF(ListeIzinliGecis,$D245&amp;"|"&amp;$E245)&gt;0),"","GEÇERSİZ GEÇİŞ"))</f>
        <v/>
      </c>
      <c r="R245" s="28">
        <f>IF($A245="","",IF(OR($F245="",$G245=""),"",IF(ABS($G245-$F245)&gt;zincirTolerans,"ZİNCİR KIRIK","OK")))</f>
        <v/>
      </c>
      <c r="S245" s="28">
        <f>IF($A245="","",1)</f>
        <v/>
      </c>
    </row>
    <row r="246">
      <c r="A246" s="26" t="n"/>
      <c r="B246" s="26" t="n"/>
      <c r="C246" s="29" t="n"/>
      <c r="D246" s="26" t="n"/>
      <c r="E246" s="26" t="n"/>
      <c r="F246" s="27" t="n"/>
      <c r="G246" s="27" t="n"/>
      <c r="H246" s="27" t="n"/>
      <c r="I246" s="27" t="n"/>
      <c r="J246" s="27" t="n"/>
      <c r="K246" s="27" t="n"/>
      <c r="L246" s="26" t="n"/>
      <c r="M246" s="26" t="n"/>
      <c r="N246" s="28">
        <f>IF($A246="","",IF($C246="","",raporTarihi-$C246))</f>
        <v/>
      </c>
      <c r="O246" s="28">
        <f>IF($A246="","",IF($N246="","",IF($N246&lt;=7,"0-7",IF($N246&lt;=30,"8-30",IF($N246&lt;=60,"31-60","60+")))))</f>
        <v/>
      </c>
      <c r="P246" s="28">
        <f>IF($A246="","",IF($B246="","YETİM",IF(COUNTIF(tblKartlar[KartId],$B246)=0,"YETİM","")))</f>
        <v/>
      </c>
      <c r="Q246" s="28">
        <f>IF(OR($A246="",$D246=""),"",IF(OR($D246&amp;"|"&amp;$E246="",COUNTIF(ListeIzinliGecis,$D246&amp;"|"&amp;$E246)&gt;0),"","GEÇERSİZ GEÇİŞ"))</f>
        <v/>
      </c>
      <c r="R246" s="28">
        <f>IF($A246="","",IF(OR($F246="",$G246=""),"",IF(ABS($G246-$F246)&gt;zincirTolerans,"ZİNCİR KIRIK","OK")))</f>
        <v/>
      </c>
      <c r="S246" s="28">
        <f>IF($A246="","",1)</f>
        <v/>
      </c>
    </row>
    <row r="247">
      <c r="A247" s="26" t="n"/>
      <c r="B247" s="26" t="n"/>
      <c r="C247" s="29" t="n"/>
      <c r="D247" s="26" t="n"/>
      <c r="E247" s="26" t="n"/>
      <c r="F247" s="27" t="n"/>
      <c r="G247" s="27" t="n"/>
      <c r="H247" s="27" t="n"/>
      <c r="I247" s="27" t="n"/>
      <c r="J247" s="27" t="n"/>
      <c r="K247" s="27" t="n"/>
      <c r="L247" s="26" t="n"/>
      <c r="M247" s="26" t="n"/>
      <c r="N247" s="28">
        <f>IF($A247="","",IF($C247="","",raporTarihi-$C247))</f>
        <v/>
      </c>
      <c r="O247" s="28">
        <f>IF($A247="","",IF($N247="","",IF($N247&lt;=7,"0-7",IF($N247&lt;=30,"8-30",IF($N247&lt;=60,"31-60","60+")))))</f>
        <v/>
      </c>
      <c r="P247" s="28">
        <f>IF($A247="","",IF($B247="","YETİM",IF(COUNTIF(tblKartlar[KartId],$B247)=0,"YETİM","")))</f>
        <v/>
      </c>
      <c r="Q247" s="28">
        <f>IF(OR($A247="",$D247=""),"",IF(OR($D247&amp;"|"&amp;$E247="",COUNTIF(ListeIzinliGecis,$D247&amp;"|"&amp;$E247)&gt;0),"","GEÇERSİZ GEÇİŞ"))</f>
        <v/>
      </c>
      <c r="R247" s="28">
        <f>IF($A247="","",IF(OR($F247="",$G247=""),"",IF(ABS($G247-$F247)&gt;zincirTolerans,"ZİNCİR KIRIK","OK")))</f>
        <v/>
      </c>
      <c r="S247" s="28">
        <f>IF($A247="","",1)</f>
        <v/>
      </c>
    </row>
    <row r="248">
      <c r="A248" s="26" t="n"/>
      <c r="B248" s="26" t="n"/>
      <c r="C248" s="29" t="n"/>
      <c r="D248" s="26" t="n"/>
      <c r="E248" s="26" t="n"/>
      <c r="F248" s="27" t="n"/>
      <c r="G248" s="27" t="n"/>
      <c r="H248" s="27" t="n"/>
      <c r="I248" s="27" t="n"/>
      <c r="J248" s="27" t="n"/>
      <c r="K248" s="27" t="n"/>
      <c r="L248" s="26" t="n"/>
      <c r="M248" s="26" t="n"/>
      <c r="N248" s="28">
        <f>IF($A248="","",IF($C248="","",raporTarihi-$C248))</f>
        <v/>
      </c>
      <c r="O248" s="28">
        <f>IF($A248="","",IF($N248="","",IF($N248&lt;=7,"0-7",IF($N248&lt;=30,"8-30",IF($N248&lt;=60,"31-60","60+")))))</f>
        <v/>
      </c>
      <c r="P248" s="28">
        <f>IF($A248="","",IF($B248="","YETİM",IF(COUNTIF(tblKartlar[KartId],$B248)=0,"YETİM","")))</f>
        <v/>
      </c>
      <c r="Q248" s="28">
        <f>IF(OR($A248="",$D248=""),"",IF(OR($D248&amp;"|"&amp;$E248="",COUNTIF(ListeIzinliGecis,$D248&amp;"|"&amp;$E248)&gt;0),"","GEÇERSİZ GEÇİŞ"))</f>
        <v/>
      </c>
      <c r="R248" s="28">
        <f>IF($A248="","",IF(OR($F248="",$G248=""),"",IF(ABS($G248-$F248)&gt;zincirTolerans,"ZİNCİR KIRIK","OK")))</f>
        <v/>
      </c>
      <c r="S248" s="28">
        <f>IF($A248="","",1)</f>
        <v/>
      </c>
    </row>
    <row r="249">
      <c r="A249" s="26" t="n"/>
      <c r="B249" s="26" t="n"/>
      <c r="C249" s="29" t="n"/>
      <c r="D249" s="26" t="n"/>
      <c r="E249" s="26" t="n"/>
      <c r="F249" s="27" t="n"/>
      <c r="G249" s="27" t="n"/>
      <c r="H249" s="27" t="n"/>
      <c r="I249" s="27" t="n"/>
      <c r="J249" s="27" t="n"/>
      <c r="K249" s="27" t="n"/>
      <c r="L249" s="26" t="n"/>
      <c r="M249" s="26" t="n"/>
      <c r="N249" s="28">
        <f>IF($A249="","",IF($C249="","",raporTarihi-$C249))</f>
        <v/>
      </c>
      <c r="O249" s="28">
        <f>IF($A249="","",IF($N249="","",IF($N249&lt;=7,"0-7",IF($N249&lt;=30,"8-30",IF($N249&lt;=60,"31-60","60+")))))</f>
        <v/>
      </c>
      <c r="P249" s="28">
        <f>IF($A249="","",IF($B249="","YETİM",IF(COUNTIF(tblKartlar[KartId],$B249)=0,"YETİM","")))</f>
        <v/>
      </c>
      <c r="Q249" s="28">
        <f>IF(OR($A249="",$D249=""),"",IF(OR($D249&amp;"|"&amp;$E249="",COUNTIF(ListeIzinliGecis,$D249&amp;"|"&amp;$E249)&gt;0),"","GEÇERSİZ GEÇİŞ"))</f>
        <v/>
      </c>
      <c r="R249" s="28">
        <f>IF($A249="","",IF(OR($F249="",$G249=""),"",IF(ABS($G249-$F249)&gt;zincirTolerans,"ZİNCİR KIRIK","OK")))</f>
        <v/>
      </c>
      <c r="S249" s="28">
        <f>IF($A249="","",1)</f>
        <v/>
      </c>
    </row>
    <row r="250">
      <c r="A250" s="26" t="n"/>
      <c r="B250" s="26" t="n"/>
      <c r="C250" s="29" t="n"/>
      <c r="D250" s="26" t="n"/>
      <c r="E250" s="26" t="n"/>
      <c r="F250" s="27" t="n"/>
      <c r="G250" s="27" t="n"/>
      <c r="H250" s="27" t="n"/>
      <c r="I250" s="27" t="n"/>
      <c r="J250" s="27" t="n"/>
      <c r="K250" s="27" t="n"/>
      <c r="L250" s="26" t="n"/>
      <c r="M250" s="26" t="n"/>
      <c r="N250" s="28">
        <f>IF($A250="","",IF($C250="","",raporTarihi-$C250))</f>
        <v/>
      </c>
      <c r="O250" s="28">
        <f>IF($A250="","",IF($N250="","",IF($N250&lt;=7,"0-7",IF($N250&lt;=30,"8-30",IF($N250&lt;=60,"31-60","60+")))))</f>
        <v/>
      </c>
      <c r="P250" s="28">
        <f>IF($A250="","",IF($B250="","YETİM",IF(COUNTIF(tblKartlar[KartId],$B250)=0,"YETİM","")))</f>
        <v/>
      </c>
      <c r="Q250" s="28">
        <f>IF(OR($A250="",$D250=""),"",IF(OR($D250&amp;"|"&amp;$E250="",COUNTIF(ListeIzinliGecis,$D250&amp;"|"&amp;$E250)&gt;0),"","GEÇERSİZ GEÇİŞ"))</f>
        <v/>
      </c>
      <c r="R250" s="28">
        <f>IF($A250="","",IF(OR($F250="",$G250=""),"",IF(ABS($G250-$F250)&gt;zincirTolerans,"ZİNCİR KIRIK","OK")))</f>
        <v/>
      </c>
      <c r="S250" s="28">
        <f>IF($A250="","",1)</f>
        <v/>
      </c>
    </row>
    <row r="251">
      <c r="A251" s="26" t="n"/>
      <c r="B251" s="26" t="n"/>
      <c r="C251" s="29" t="n"/>
      <c r="D251" s="26" t="n"/>
      <c r="E251" s="26" t="n"/>
      <c r="F251" s="27" t="n"/>
      <c r="G251" s="27" t="n"/>
      <c r="H251" s="27" t="n"/>
      <c r="I251" s="27" t="n"/>
      <c r="J251" s="27" t="n"/>
      <c r="K251" s="27" t="n"/>
      <c r="L251" s="26" t="n"/>
      <c r="M251" s="26" t="n"/>
      <c r="N251" s="28">
        <f>IF($A251="","",IF($C251="","",raporTarihi-$C251))</f>
        <v/>
      </c>
      <c r="O251" s="28">
        <f>IF($A251="","",IF($N251="","",IF($N251&lt;=7,"0-7",IF($N251&lt;=30,"8-30",IF($N251&lt;=60,"31-60","60+")))))</f>
        <v/>
      </c>
      <c r="P251" s="28">
        <f>IF($A251="","",IF($B251="","YETİM",IF(COUNTIF(tblKartlar[KartId],$B251)=0,"YETİM","")))</f>
        <v/>
      </c>
      <c r="Q251" s="28">
        <f>IF(OR($A251="",$D251=""),"",IF(OR($D251&amp;"|"&amp;$E251="",COUNTIF(ListeIzinliGecis,$D251&amp;"|"&amp;$E251)&gt;0),"","GEÇERSİZ GEÇİŞ"))</f>
        <v/>
      </c>
      <c r="R251" s="28">
        <f>IF($A251="","",IF(OR($F251="",$G251=""),"",IF(ABS($G251-$F251)&gt;zincirTolerans,"ZİNCİR KIRIK","OK")))</f>
        <v/>
      </c>
      <c r="S251" s="28">
        <f>IF($A251="","",1)</f>
        <v/>
      </c>
    </row>
    <row r="252">
      <c r="A252" s="26" t="n"/>
      <c r="B252" s="26" t="n"/>
      <c r="C252" s="29" t="n"/>
      <c r="D252" s="26" t="n"/>
      <c r="E252" s="26" t="n"/>
      <c r="F252" s="27" t="n"/>
      <c r="G252" s="27" t="n"/>
      <c r="H252" s="27" t="n"/>
      <c r="I252" s="27" t="n"/>
      <c r="J252" s="27" t="n"/>
      <c r="K252" s="27" t="n"/>
      <c r="L252" s="26" t="n"/>
      <c r="M252" s="26" t="n"/>
      <c r="N252" s="28">
        <f>IF($A252="","",IF($C252="","",raporTarihi-$C252))</f>
        <v/>
      </c>
      <c r="O252" s="28">
        <f>IF($A252="","",IF($N252="","",IF($N252&lt;=7,"0-7",IF($N252&lt;=30,"8-30",IF($N252&lt;=60,"31-60","60+")))))</f>
        <v/>
      </c>
      <c r="P252" s="28">
        <f>IF($A252="","",IF($B252="","YETİM",IF(COUNTIF(tblKartlar[KartId],$B252)=0,"YETİM","")))</f>
        <v/>
      </c>
      <c r="Q252" s="28">
        <f>IF(OR($A252="",$D252=""),"",IF(OR($D252&amp;"|"&amp;$E252="",COUNTIF(ListeIzinliGecis,$D252&amp;"|"&amp;$E252)&gt;0),"","GEÇERSİZ GEÇİŞ"))</f>
        <v/>
      </c>
      <c r="R252" s="28">
        <f>IF($A252="","",IF(OR($F252="",$G252=""),"",IF(ABS($G252-$F252)&gt;zincirTolerans,"ZİNCİR KIRIK","OK")))</f>
        <v/>
      </c>
      <c r="S252" s="28">
        <f>IF($A252="","",1)</f>
        <v/>
      </c>
    </row>
    <row r="253">
      <c r="A253" s="26" t="n"/>
      <c r="B253" s="26" t="n"/>
      <c r="C253" s="29" t="n"/>
      <c r="D253" s="26" t="n"/>
      <c r="E253" s="26" t="n"/>
      <c r="F253" s="27" t="n"/>
      <c r="G253" s="27" t="n"/>
      <c r="H253" s="27" t="n"/>
      <c r="I253" s="27" t="n"/>
      <c r="J253" s="27" t="n"/>
      <c r="K253" s="27" t="n"/>
      <c r="L253" s="26" t="n"/>
      <c r="M253" s="26" t="n"/>
      <c r="N253" s="28">
        <f>IF($A253="","",IF($C253="","",raporTarihi-$C253))</f>
        <v/>
      </c>
      <c r="O253" s="28">
        <f>IF($A253="","",IF($N253="","",IF($N253&lt;=7,"0-7",IF($N253&lt;=30,"8-30",IF($N253&lt;=60,"31-60","60+")))))</f>
        <v/>
      </c>
      <c r="P253" s="28">
        <f>IF($A253="","",IF($B253="","YETİM",IF(COUNTIF(tblKartlar[KartId],$B253)=0,"YETİM","")))</f>
        <v/>
      </c>
      <c r="Q253" s="28">
        <f>IF(OR($A253="",$D253=""),"",IF(OR($D253&amp;"|"&amp;$E253="",COUNTIF(ListeIzinliGecis,$D253&amp;"|"&amp;$E253)&gt;0),"","GEÇERSİZ GEÇİŞ"))</f>
        <v/>
      </c>
      <c r="R253" s="28">
        <f>IF($A253="","",IF(OR($F253="",$G253=""),"",IF(ABS($G253-$F253)&gt;zincirTolerans,"ZİNCİR KIRIK","OK")))</f>
        <v/>
      </c>
      <c r="S253" s="28">
        <f>IF($A253="","",1)</f>
        <v/>
      </c>
    </row>
    <row r="254">
      <c r="A254" s="26" t="n"/>
      <c r="B254" s="26" t="n"/>
      <c r="C254" s="29" t="n"/>
      <c r="D254" s="26" t="n"/>
      <c r="E254" s="26" t="n"/>
      <c r="F254" s="27" t="n"/>
      <c r="G254" s="27" t="n"/>
      <c r="H254" s="27" t="n"/>
      <c r="I254" s="27" t="n"/>
      <c r="J254" s="27" t="n"/>
      <c r="K254" s="27" t="n"/>
      <c r="L254" s="26" t="n"/>
      <c r="M254" s="26" t="n"/>
      <c r="N254" s="28">
        <f>IF($A254="","",IF($C254="","",raporTarihi-$C254))</f>
        <v/>
      </c>
      <c r="O254" s="28">
        <f>IF($A254="","",IF($N254="","",IF($N254&lt;=7,"0-7",IF($N254&lt;=30,"8-30",IF($N254&lt;=60,"31-60","60+")))))</f>
        <v/>
      </c>
      <c r="P254" s="28">
        <f>IF($A254="","",IF($B254="","YETİM",IF(COUNTIF(tblKartlar[KartId],$B254)=0,"YETİM","")))</f>
        <v/>
      </c>
      <c r="Q254" s="28">
        <f>IF(OR($A254="",$D254=""),"",IF(OR($D254&amp;"|"&amp;$E254="",COUNTIF(ListeIzinliGecis,$D254&amp;"|"&amp;$E254)&gt;0),"","GEÇERSİZ GEÇİŞ"))</f>
        <v/>
      </c>
      <c r="R254" s="28">
        <f>IF($A254="","",IF(OR($F254="",$G254=""),"",IF(ABS($G254-$F254)&gt;zincirTolerans,"ZİNCİR KIRIK","OK")))</f>
        <v/>
      </c>
      <c r="S254" s="28">
        <f>IF($A254="","",1)</f>
        <v/>
      </c>
    </row>
    <row r="255">
      <c r="A255" s="26" t="n"/>
      <c r="B255" s="26" t="n"/>
      <c r="C255" s="29" t="n"/>
      <c r="D255" s="26" t="n"/>
      <c r="E255" s="26" t="n"/>
      <c r="F255" s="27" t="n"/>
      <c r="G255" s="27" t="n"/>
      <c r="H255" s="27" t="n"/>
      <c r="I255" s="27" t="n"/>
      <c r="J255" s="27" t="n"/>
      <c r="K255" s="27" t="n"/>
      <c r="L255" s="26" t="n"/>
      <c r="M255" s="26" t="n"/>
      <c r="N255" s="28">
        <f>IF($A255="","",IF($C255="","",raporTarihi-$C255))</f>
        <v/>
      </c>
      <c r="O255" s="28">
        <f>IF($A255="","",IF($N255="","",IF($N255&lt;=7,"0-7",IF($N255&lt;=30,"8-30",IF($N255&lt;=60,"31-60","60+")))))</f>
        <v/>
      </c>
      <c r="P255" s="28">
        <f>IF($A255="","",IF($B255="","YETİM",IF(COUNTIF(tblKartlar[KartId],$B255)=0,"YETİM","")))</f>
        <v/>
      </c>
      <c r="Q255" s="28">
        <f>IF(OR($A255="",$D255=""),"",IF(OR($D255&amp;"|"&amp;$E255="",COUNTIF(ListeIzinliGecis,$D255&amp;"|"&amp;$E255)&gt;0),"","GEÇERSİZ GEÇİŞ"))</f>
        <v/>
      </c>
      <c r="R255" s="28">
        <f>IF($A255="","",IF(OR($F255="",$G255=""),"",IF(ABS($G255-$F255)&gt;zincirTolerans,"ZİNCİR KIRIK","OK")))</f>
        <v/>
      </c>
      <c r="S255" s="28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S3"/>
    <mergeCell ref="A1:S1"/>
  </mergeCells>
  <conditionalFormatting sqref="P6:P255">
    <cfRule type="cellIs" priority="1" operator="equal" dxfId="2">
      <formula>"YETİM"</formula>
    </cfRule>
  </conditionalFormatting>
  <conditionalFormatting sqref="Q6:Q255">
    <cfRule type="cellIs" priority="2" operator="equal" dxfId="2">
      <formula>"GEÇERSİZ GEÇİŞ"</formula>
    </cfRule>
  </conditionalFormatting>
  <conditionalFormatting sqref="R6:R255">
    <cfRule type="cellIs" priority="3" operator="equal" dxfId="2">
      <formula>"ZİNCİR KIRIK"</formula>
    </cfRule>
    <cfRule type="cellIs" priority="4" operator="equal" dxfId="0">
      <formula>"OK"</formula>
    </cfRule>
  </conditionalFormatting>
  <conditionalFormatting sqref="E6:E255">
    <cfRule type="cellIs" priority="5" operator="equal" dxfId="1">
      <formula>"EKSIK"</formula>
    </cfRule>
    <cfRule type="cellIs" priority="6" operator="equal" dxfId="3">
      <formula>"TASDIK"</formula>
    </cfRule>
    <cfRule type="cellIs" priority="7" operator="equal" dxfId="4">
      <formula>"DURDUR"</formula>
    </cfRule>
  </conditionalFormatting>
  <dataValidations count="13">
    <dataValidation sqref="A6:A255" showDropDown="0" showInputMessage="1" showErrorMessage="1" allowBlank="1" errorTitle="Kimlik" error="Boş olamaz" promptTitle="İşlem Kimliği" prompt="YTK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Olay tarihi" type="date" errorStyle="stop" operator="greaterThan">
      <formula1>1</formula1>
    </dataValidation>
    <dataValidation sqref="D6:D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E6:E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F6:F255" showDropDown="0" showInputMessage="1" showErrorMessage="1" allowBlank="1" errorTitle="Başvuru" error="0 veya üzeri" promptTitle="Başvuru" prompt="Başvuru ≥ 0" type="decimal" errorStyle="stop" operator="greaterThanOrEqual">
      <formula1>0</formula1>
    </dataValidation>
    <dataValidation sqref="G6:G255" showDropDown="0" showInputMessage="1" showErrorMessage="1" allowBlank="1" errorTitle="Belge" error="0 veya üzeri" promptTitle="Belge" prompt="Belge ≥ 0" type="decimal" errorStyle="stop" operator="greaterThanOrEqual">
      <formula1>0</formula1>
    </dataValidation>
    <dataValidation sqref="H6:H255" showDropDown="0" showInputMessage="1" showErrorMessage="1" allowBlank="1" errorTitle="Kontrol" error="0 veya üzeri" promptTitle="Kontrol" prompt="Kontrol ≥ 0" type="decimal" errorStyle="stop" operator="greaterThanOrEqual">
      <formula1>0</formula1>
    </dataValidation>
    <dataValidation sqref="I6:I255" showDropDown="0" showInputMessage="1" showErrorMessage="1" allowBlank="1" errorTitle="Tasdik" error="0 veya üzeri" promptTitle="Tasdik" prompt="Tasdik ≥ 0" type="decimal" errorStyle="stop" operator="greaterThanOrEqual">
      <formula1>0</formula1>
    </dataValidation>
    <dataValidation sqref="J6:J255" showDropDown="0" showInputMessage="1" showErrorMessage="1" allowBlank="1" errorTitle="Arşiv" error="0 veya üzeri" promptTitle="Arşiv" prompt="Arşiv ≥ 0" type="decimal" errorStyle="stop" operator="greaterThanOrEqual">
      <formula1>0</formula1>
    </dataValidation>
    <dataValidation sqref="K6:K25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L6:L255" showDropDown="0" showInputMessage="1" showErrorMessage="1" allowBlank="1" errorTitle="Dönem" error="Geçersiz" promptTitle="Dönem" prompt="YYYY-AA" type="textLength" errorStyle="stop" operator="greaterThanOrEqual">
      <formula1>0</formula1>
      <formula2>20</formula2>
    </dataValidation>
    <dataValidation sqref="M6:M255" showDropDown="0" showInputMessage="1" showErrorMessage="1" allowBlank="1" errorTitle="Açıklama" error="Geçersiz" promptTitle="Açıklama" prompt="Kısa açıklama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A365D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44.5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KUYRUKLAR — YMM Tasdik Kontrol Robotu</t>
        </is>
      </c>
    </row>
    <row r="2"/>
    <row r="3" ht="22" customHeight="1">
      <c r="A3" s="202" t="inlineStr">
        <is>
          <t>Durum bazlı canlı kuyruk — kapalı kayıtlar düşer</t>
        </is>
      </c>
    </row>
    <row r="4"/>
    <row r="5">
      <c r="A5" s="30" t="inlineStr">
        <is>
          <t>Kuyruk</t>
        </is>
      </c>
      <c r="B5" s="30" t="inlineStr">
        <is>
          <t>Adet</t>
        </is>
      </c>
      <c r="C5" s="30" t="inlineStr">
        <is>
          <t>Tutar</t>
        </is>
      </c>
    </row>
    <row r="6">
      <c r="A6" s="7" t="inlineStr">
        <is>
          <t>İnceleme</t>
        </is>
      </c>
      <c r="B6" s="20">
        <f>COUNTIFS(tblAkis[durum],"INCELEME",tblAkis[tutar],"&gt;0")</f>
        <v/>
      </c>
      <c r="C6" s="21">
        <f>SUMIFS(tblAkis[tutar],tblAkis[durum],"INCELEME")</f>
        <v/>
      </c>
    </row>
    <row r="7">
      <c r="A7" s="7" t="inlineStr">
        <is>
          <t>Eksik belge</t>
        </is>
      </c>
      <c r="B7" s="20">
        <f>COUNTIFS(tblAkis[durum],"EKSIK",tblAkis[tutar],"&gt;0")</f>
        <v/>
      </c>
      <c r="C7" s="21">
        <f>SUMIFS(tblAkis[tutar],tblAkis[durum],"EKSIK")</f>
        <v/>
      </c>
    </row>
    <row r="8">
      <c r="A8" s="7" t="inlineStr">
        <is>
          <t>Taslak</t>
        </is>
      </c>
      <c r="B8" s="20">
        <f>COUNTIFS(tblAkis[durum],"TASLAK",tblAkis[tutar],"&gt;0")</f>
        <v/>
      </c>
      <c r="C8" s="21">
        <f>SUMIFS(tblAkis[tutar],tblAkis[durum],"TASLAK")</f>
        <v/>
      </c>
    </row>
    <row r="9">
      <c r="A9" s="7" t="inlineStr">
        <is>
          <t>Geciken (açık, yaş&gt;eşik)</t>
        </is>
      </c>
      <c r="B9" s="20">
        <f>COUNTIFS(tblAkis[YasGun],"&gt;"&amp;ytk_esikGecikmeGun,tblAkis[Durum],"&lt;&gt;TASDIK",tblAkis[Durum],"&lt;&gt;DURDUR",tblAkis[Tutar],"&gt;0")</f>
        <v/>
      </c>
      <c r="C9" s="21">
        <f>SUMIFS(tblAkis[Tutar],tblAkis[YasGun],"&gt;"&amp;ytk_esikGecikmeGun,tblAkis[Durum],"&lt;&gt;TASDIK",tblAkis[Durum],"&lt;&gt;DURDUR")</f>
        <v/>
      </c>
    </row>
    <row r="10"/>
    <row r="11">
      <c r="A11" s="16" t="inlineStr">
        <is>
          <t>Kapalı (Tasdik+Durdur) — kuyruktan düşer</t>
        </is>
      </c>
    </row>
    <row r="12">
      <c r="A12" s="7" t="inlineStr">
        <is>
          <t>Tasdik</t>
        </is>
      </c>
      <c r="B12" s="20">
        <f>COUNTIFS(tblAkis[durum],"TASDIK",tblAkis[tutar],"&gt;0")</f>
        <v/>
      </c>
      <c r="C12" s="21">
        <f>SUMIFS(tblAkis[tutar],tblAkis[durum],"TASDIK")</f>
        <v/>
      </c>
    </row>
    <row r="13">
      <c r="A13" s="7" t="inlineStr">
        <is>
          <t>Durdur</t>
        </is>
      </c>
      <c r="B13" s="20">
        <f>COUNTIFS(tblAkis[durum],"DURDUR",tblAkis[tutar],"&gt;0")</f>
        <v/>
      </c>
      <c r="C13" s="21">
        <f>SUMIFS(tblAkis[tutar],tblAkis[durum],"DURDUR")</f>
        <v/>
      </c>
    </row>
    <row r="14"/>
    <row r="15">
      <c r="A15" s="16" t="inlineStr">
        <is>
          <t>Eksik Belge Kuyruğu</t>
        </is>
      </c>
      <c r="B15" s="8">
        <f>ytk_eksikKuyruk</f>
        <v/>
      </c>
    </row>
    <row r="16"/>
    <row r="17">
      <c r="A17" s="16" t="inlineStr">
        <is>
          <t>Yaş Kova Dağılımı</t>
        </is>
      </c>
    </row>
    <row r="18">
      <c r="A18" s="7" t="inlineStr">
        <is>
          <t>0-7</t>
        </is>
      </c>
      <c r="B18" s="20">
        <f>COUNTIF(tblAkis[YasKova],"0-7")</f>
        <v/>
      </c>
      <c r="C18" s="21">
        <f>SUMIF(tblAkis[YasKova],"0-7",tblAkis[Tutar])</f>
        <v/>
      </c>
    </row>
    <row r="19">
      <c r="A19" s="7" t="inlineStr">
        <is>
          <t>8-30</t>
        </is>
      </c>
      <c r="B19" s="20">
        <f>COUNTIF(tblAkis[YasKova],"8-30")</f>
        <v/>
      </c>
      <c r="C19" s="21">
        <f>SUMIF(tblAkis[YasKova],"8-30",tblAkis[Tutar])</f>
        <v/>
      </c>
    </row>
    <row r="20">
      <c r="A20" s="7" t="inlineStr">
        <is>
          <t>31-60</t>
        </is>
      </c>
      <c r="B20" s="20">
        <f>COUNTIF(tblAkis[YasKova],"31-60")</f>
        <v/>
      </c>
      <c r="C20" s="21">
        <f>SUMIF(tblAkis[YasKova],"31-60",tblAkis[Tutar])</f>
        <v/>
      </c>
    </row>
    <row r="21">
      <c r="A21" s="7" t="inlineStr">
        <is>
          <t>60+</t>
        </is>
      </c>
      <c r="B21" s="20">
        <f>COUNTIF(tblAkis[YasKova],"60+")</f>
        <v/>
      </c>
      <c r="C21" s="21">
        <f>SUMIF(tblAkis[YasKova],"60+",tblAkis[Tutar])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15:F15"/>
    <mergeCell ref="A3:I3"/>
  </mergeCells>
  <conditionalFormatting sqref="B6">
    <cfRule type="cellIs" priority="1" operator="greaterThan" dxfId="1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1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1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1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8">
    <cfRule type="cellIs" priority="9" operator="greaterThan" dxfId="3">
      <formula>0</formula>
    </cfRule>
  </conditionalFormatting>
  <conditionalFormatting sqref="B19">
    <cfRule type="cellIs" priority="10" operator="greaterThan" dxfId="3">
      <formula>0</formula>
    </cfRule>
  </conditionalFormatting>
  <conditionalFormatting sqref="B20">
    <cfRule type="cellIs" priority="11" operator="greaterThan" dxfId="3">
      <formula>0</formula>
    </cfRule>
  </conditionalFormatting>
  <conditionalFormatting sqref="B21">
    <cfRule type="cellIs" priority="12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A365D"/>
    <outlinePr summaryBelow="1" summaryRight="1"/>
    <pageSetUpPr/>
  </sheetPr>
  <dimension ref="A1:L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.5" customWidth="1" min="2" max="2"/>
    <col width="22" customWidth="1" min="3" max="3"/>
    <col width="14.5" customWidth="1" min="4" max="4"/>
    <col width="14.5" customWidth="1" min="5" max="5"/>
    <col width="23.5" customWidth="1" min="6" max="6"/>
    <col width="21.5" customWidth="1" min="7" max="7"/>
    <col width="14" customWidth="1" min="8" max="8"/>
    <col width="69.5" customWidth="1" min="9" max="9"/>
    <col width="15.5" customWidth="1" min="10" max="10"/>
    <col width="15.5" customWidth="1" min="11" max="11"/>
    <col width="14" customWidth="1" min="12" max="12"/>
    <col width="13" customWidth="1" min="13" max="13"/>
  </cols>
  <sheetData>
    <row r="1" ht="32" customHeight="1">
      <c r="A1" s="182" t="inlineStr">
        <is>
          <t>KONTROL LISTE — YMM Tasdik Kontrol Robotu</t>
        </is>
      </c>
    </row>
    <row r="2"/>
    <row r="3" ht="22" customHeight="1">
      <c r="A3" s="202" t="inlineStr">
        <is>
          <t>YMM tasdik kontrol listesi — zorunluluk, eksik bayrağı, yaşlandırma</t>
        </is>
      </c>
    </row>
    <row r="4">
      <c r="A4" s="11" t="inlineStr">
        <is>
          <t>Eksik Adet</t>
        </is>
      </c>
      <c r="B4" s="31">
        <f>COUNTIF(tblKontrol[BelgeDurum],"YOK")</f>
        <v/>
      </c>
      <c r="C4" s="11" t="inlineStr">
        <is>
          <t>Kritik Eksik</t>
        </is>
      </c>
      <c r="D4" s="31">
        <f>COUNTIFS(tblKontrol[BelgeDurum],"YOK",tblKontrol[Zorunluluk],"KRITIK")</f>
        <v/>
      </c>
      <c r="E4" s="11" t="inlineStr">
        <is>
          <t>Eksik Kuyruk Özeti</t>
        </is>
      </c>
      <c r="F4" s="8">
        <f>ytk_eksikKuyruk</f>
        <v/>
      </c>
      <c r="H4" s="16" t="inlineStr">
        <is>
          <t>Yaş Kova (eksik)</t>
        </is>
      </c>
    </row>
    <row r="5" ht="30" customHeight="1">
      <c r="A5" s="25" t="inlineStr">
        <is>
          <t>KontrolId</t>
        </is>
      </c>
      <c r="B5" s="25" t="inlineStr">
        <is>
          <t>KaynakKartId</t>
        </is>
      </c>
      <c r="C5" s="25" t="inlineStr">
        <is>
          <t>BelgeAdi</t>
        </is>
      </c>
      <c r="D5" s="25" t="inlineStr">
        <is>
          <t>Zorunluluk</t>
        </is>
      </c>
      <c r="E5" s="25" t="inlineStr">
        <is>
          <t>BelgeDurum</t>
        </is>
      </c>
      <c r="F5" s="25" t="inlineStr">
        <is>
          <t>Tarih</t>
        </is>
      </c>
      <c r="G5" s="25" t="inlineStr">
        <is>
          <t>Not</t>
        </is>
      </c>
      <c r="H5" s="32" t="inlineStr">
        <is>
          <t>0-7</t>
        </is>
      </c>
      <c r="I5" s="33">
        <f>COUNTIFS(tblKontrol[YasKova],"0-7",tblKontrol[BelgeDurum],"YOK")</f>
        <v/>
      </c>
      <c r="J5" s="25" t="inlineStr">
        <is>
          <t>YetimBayrak</t>
        </is>
      </c>
      <c r="K5" s="25" t="inlineStr">
        <is>
          <t>EksikBayrak</t>
        </is>
      </c>
      <c r="L5" s="25" t="inlineStr">
        <is>
          <t>KayitDolu</t>
        </is>
      </c>
    </row>
    <row r="6">
      <c r="A6" s="26" t="inlineStr">
        <is>
          <t>KNT-00001</t>
        </is>
      </c>
      <c r="B6" s="26" t="inlineStr">
        <is>
          <t>MUK-00001</t>
        </is>
      </c>
      <c r="C6" s="26" t="inlineStr">
        <is>
          <t>Başvuru dilekçesi</t>
        </is>
      </c>
      <c r="D6" s="26" t="inlineStr">
        <is>
          <t>KRITIK</t>
        </is>
      </c>
      <c r="E6" s="26" t="inlineStr">
        <is>
          <t>YOK</t>
        </is>
      </c>
      <c r="F6" s="29" t="n">
        <v>46241</v>
      </c>
      <c r="G6" s="26" t="inlineStr">
        <is>
          <t>Kontrol satırı 1</t>
        </is>
      </c>
      <c r="H6" s="34">
        <f>IF($A6="","",IF($F6="","",raporTarihi-$F6))</f>
        <v/>
      </c>
      <c r="I6" s="35">
        <f>IF($A6="","",IF($H6="","",IF($H6&lt;=7,"0-7",IF($H6&lt;=30,"8-30",IF($H6&lt;=60,"31-60","60+")))))</f>
        <v/>
      </c>
      <c r="J6" s="28">
        <f>IF($A6="","",IF($B6="","YETİM",IF(COUNTIF(tblKartlar[KartId],$B6)=0,"YETİM","")))</f>
        <v/>
      </c>
      <c r="K6" s="28">
        <f>IF($A6="","",IF($E6="YOK",IF($D6="KRITIK","KRİTİK EKSİK","EKSİK"),"TAM"))</f>
        <v/>
      </c>
      <c r="L6" s="28">
        <f>IF($A6="","",1)</f>
        <v/>
      </c>
    </row>
    <row r="7">
      <c r="A7" s="26" t="inlineStr">
        <is>
          <t>KNT-00002</t>
        </is>
      </c>
      <c r="B7" s="26" t="inlineStr">
        <is>
          <t>MUK-00001</t>
        </is>
      </c>
      <c r="C7" s="26" t="inlineStr">
        <is>
          <t>Vergi levhası</t>
        </is>
      </c>
      <c r="D7" s="26" t="inlineStr">
        <is>
          <t>KRITIK</t>
        </is>
      </c>
      <c r="E7" s="26" t="inlineStr">
        <is>
          <t>YOK</t>
        </is>
      </c>
      <c r="F7" s="29" t="n">
        <v>46239</v>
      </c>
      <c r="G7" s="26" t="inlineStr">
        <is>
          <t>Kontrol satırı 2</t>
        </is>
      </c>
      <c r="H7" s="34">
        <f>IF($A7="","",IF($F7="","",raporTarihi-$F7))</f>
        <v/>
      </c>
      <c r="I7" s="35">
        <f>IF($A7="","",IF($H7="","",IF($H7&lt;=7,"0-7",IF($H7&lt;=30,"8-30",IF($H7&lt;=60,"31-60","60+")))))</f>
        <v/>
      </c>
      <c r="J7" s="28">
        <f>IF($A7="","",IF($B7="","YETİM",IF(COUNTIF(tblKartlar[KartId],$B7)=0,"YETİM","")))</f>
        <v/>
      </c>
      <c r="K7" s="28">
        <f>IF($A7="","",IF($E7="YOK",IF($D7="KRITIK","KRİTİK EKSİK","EKSİK"),"TAM"))</f>
        <v/>
      </c>
      <c r="L7" s="28">
        <f>IF($A7="","",1)</f>
        <v/>
      </c>
    </row>
    <row r="8">
      <c r="A8" s="26" t="inlineStr">
        <is>
          <t>KNT-00003</t>
        </is>
      </c>
      <c r="B8" s="26" t="inlineStr">
        <is>
          <t>MUK-00001</t>
        </is>
      </c>
      <c r="C8" s="26" t="inlineStr">
        <is>
          <t>Faaliyet belgesi</t>
        </is>
      </c>
      <c r="D8" s="26" t="inlineStr">
        <is>
          <t>ZORUNLU</t>
        </is>
      </c>
      <c r="E8" s="26" t="inlineStr">
        <is>
          <t>VAR</t>
        </is>
      </c>
      <c r="F8" s="29" t="n">
        <v>46237</v>
      </c>
      <c r="G8" s="26" t="inlineStr">
        <is>
          <t>Kontrol satırı 3</t>
        </is>
      </c>
      <c r="H8" s="34">
        <f>IF($A8="","",IF($F8="","",raporTarihi-$F8))</f>
        <v/>
      </c>
      <c r="I8" s="35">
        <f>IF($A8="","",IF($H8="","",IF($H8&lt;=7,"0-7",IF($H8&lt;=30,"8-30",IF($H8&lt;=60,"31-60","60+")))))</f>
        <v/>
      </c>
      <c r="J8" s="28">
        <f>IF($A8="","",IF($B8="","YETİM",IF(COUNTIF(tblKartlar[KartId],$B8)=0,"YETİM","")))</f>
        <v/>
      </c>
      <c r="K8" s="28">
        <f>IF($A8="","",IF($E8="YOK",IF($D8="KRITIK","KRİTİK EKSİK","EKSİK"),"TAM"))</f>
        <v/>
      </c>
      <c r="L8" s="28">
        <f>IF($A8="","",1)</f>
        <v/>
      </c>
    </row>
    <row r="9">
      <c r="A9" s="26" t="inlineStr">
        <is>
          <t>KNT-00004</t>
        </is>
      </c>
      <c r="B9" s="26" t="inlineStr">
        <is>
          <t>MUK-00002</t>
        </is>
      </c>
      <c r="C9" s="26" t="inlineStr">
        <is>
          <t>Başvuru dilekçesi</t>
        </is>
      </c>
      <c r="D9" s="26" t="inlineStr">
        <is>
          <t>KRITIK</t>
        </is>
      </c>
      <c r="E9" s="26" t="inlineStr">
        <is>
          <t>VAR</t>
        </is>
      </c>
      <c r="F9" s="29" t="n">
        <v>46235</v>
      </c>
      <c r="G9" s="26" t="inlineStr">
        <is>
          <t>Kontrol satırı 4</t>
        </is>
      </c>
      <c r="H9" s="28">
        <f>IF($A9="","",IF($F9="","",raporTarihi-$F9))</f>
        <v/>
      </c>
      <c r="I9" s="28">
        <f>IF($A9="","",IF($H9="","",IF($H9&lt;=7,"0-7",IF($H9&lt;=30,"8-30",IF($H9&lt;=60,"31-60","60+")))))</f>
        <v/>
      </c>
      <c r="J9" s="28">
        <f>IF($A9="","",IF($B9="","YETİM",IF(COUNTIF(tblKartlar[KartId],$B9)=0,"YETİM","")))</f>
        <v/>
      </c>
      <c r="K9" s="28">
        <f>IF($A9="","",IF($E9="YOK",IF($D9="KRITIK","KRİTİK EKSİK","EKSİK"),"TAM"))</f>
        <v/>
      </c>
      <c r="L9" s="28">
        <f>IF($A9="","",1)</f>
        <v/>
      </c>
    </row>
    <row r="10">
      <c r="A10" s="26" t="inlineStr">
        <is>
          <t>KNT-00005</t>
        </is>
      </c>
      <c r="B10" s="26" t="inlineStr">
        <is>
          <t>MUK-00002</t>
        </is>
      </c>
      <c r="C10" s="26" t="inlineStr">
        <is>
          <t>Vergi levhası</t>
        </is>
      </c>
      <c r="D10" s="26" t="inlineStr">
        <is>
          <t>ZORUNLU</t>
        </is>
      </c>
      <c r="E10" s="26" t="inlineStr">
        <is>
          <t>YOK</t>
        </is>
      </c>
      <c r="F10" s="29" t="n">
        <v>46233</v>
      </c>
      <c r="G10" s="26" t="inlineStr">
        <is>
          <t>Kontrol satırı 5</t>
        </is>
      </c>
      <c r="H10" s="28">
        <f>IF($A10="","",IF($F10="","",raporTarihi-$F10))</f>
        <v/>
      </c>
      <c r="I10" s="28">
        <f>IF($A10="","",IF($H10="","",IF($H10&lt;=7,"0-7",IF($H10&lt;=30,"8-30",IF($H10&lt;=60,"31-60","60+")))))</f>
        <v/>
      </c>
      <c r="J10" s="28">
        <f>IF($A10="","",IF($B10="","YETİM",IF(COUNTIF(tblKartlar[KartId],$B10)=0,"YETİM","")))</f>
        <v/>
      </c>
      <c r="K10" s="28">
        <f>IF($A10="","",IF($E10="YOK",IF($D10="KRITIK","KRİTİK EKSİK","EKSİK"),"TAM"))</f>
        <v/>
      </c>
      <c r="L10" s="28">
        <f>IF($A10="","",1)</f>
        <v/>
      </c>
    </row>
    <row r="11">
      <c r="A11" s="26" t="inlineStr">
        <is>
          <t>KNT-00006</t>
        </is>
      </c>
      <c r="B11" s="26" t="inlineStr">
        <is>
          <t>MUK-00002</t>
        </is>
      </c>
      <c r="C11" s="26" t="inlineStr">
        <is>
          <t>Faaliyet belgesi</t>
        </is>
      </c>
      <c r="D11" s="26" t="inlineStr">
        <is>
          <t>ZORUNLU</t>
        </is>
      </c>
      <c r="E11" s="26" t="inlineStr">
        <is>
          <t>VAR</t>
        </is>
      </c>
      <c r="F11" s="29" t="n">
        <v>46231</v>
      </c>
      <c r="G11" s="26" t="inlineStr">
        <is>
          <t>Kontrol satırı 6</t>
        </is>
      </c>
      <c r="H11" s="28">
        <f>IF($A11="","",IF($F11="","",raporTarihi-$F11))</f>
        <v/>
      </c>
      <c r="I11" s="28">
        <f>IF($A11="","",IF($H11="","",IF($H11&lt;=7,"0-7",IF($H11&lt;=30,"8-30",IF($H11&lt;=60,"31-60","60+")))))</f>
        <v/>
      </c>
      <c r="J11" s="28">
        <f>IF($A11="","",IF($B11="","YETİM",IF(COUNTIF(tblKartlar[KartId],$B11)=0,"YETİM","")))</f>
        <v/>
      </c>
      <c r="K11" s="28">
        <f>IF($A11="","",IF($E11="YOK",IF($D11="KRITIK","KRİTİK EKSİK","EKSİK"),"TAM"))</f>
        <v/>
      </c>
      <c r="L11" s="28">
        <f>IF($A11="","",1)</f>
        <v/>
      </c>
    </row>
    <row r="12">
      <c r="A12" s="26" t="inlineStr">
        <is>
          <t>KNT-00007</t>
        </is>
      </c>
      <c r="B12" s="26" t="inlineStr">
        <is>
          <t>MUK-00003</t>
        </is>
      </c>
      <c r="C12" s="26" t="inlineStr">
        <is>
          <t>Başvuru dilekçesi</t>
        </is>
      </c>
      <c r="D12" s="26" t="inlineStr">
        <is>
          <t>KRITIK</t>
        </is>
      </c>
      <c r="E12" s="26" t="inlineStr">
        <is>
          <t>VAR</t>
        </is>
      </c>
      <c r="F12" s="29" t="n">
        <v>46229</v>
      </c>
      <c r="G12" s="26" t="inlineStr">
        <is>
          <t>Kontrol satırı 7</t>
        </is>
      </c>
      <c r="H12" s="28">
        <f>IF($A12="","",IF($F12="","",raporTarihi-$F12))</f>
        <v/>
      </c>
      <c r="I12" s="28">
        <f>IF($A12="","",IF($H12="","",IF($H12&lt;=7,"0-7",IF($H12&lt;=30,"8-30",IF($H12&lt;=60,"31-60","60+")))))</f>
        <v/>
      </c>
      <c r="J12" s="28">
        <f>IF($A12="","",IF($B12="","YETİM",IF(COUNTIF(tblKartlar[KartId],$B12)=0,"YETİM","")))</f>
        <v/>
      </c>
      <c r="K12" s="28">
        <f>IF($A12="","",IF($E12="YOK",IF($D12="KRITIK","KRİTİK EKSİK","EKSİK"),"TAM"))</f>
        <v/>
      </c>
      <c r="L12" s="28">
        <f>IF($A12="","",1)</f>
        <v/>
      </c>
    </row>
    <row r="13">
      <c r="A13" s="26" t="inlineStr">
        <is>
          <t>KNT-00008</t>
        </is>
      </c>
      <c r="B13" s="26" t="inlineStr">
        <is>
          <t>MUK-00003</t>
        </is>
      </c>
      <c r="C13" s="26" t="inlineStr">
        <is>
          <t>Vergi levhası</t>
        </is>
      </c>
      <c r="D13" s="26" t="inlineStr">
        <is>
          <t>ZORUNLU</t>
        </is>
      </c>
      <c r="E13" s="26" t="inlineStr">
        <is>
          <t>VAR</t>
        </is>
      </c>
      <c r="F13" s="29" t="n">
        <v>46227</v>
      </c>
      <c r="G13" s="26" t="inlineStr">
        <is>
          <t>Kontrol satırı 8</t>
        </is>
      </c>
      <c r="H13" s="28">
        <f>IF($A13="","",IF($F13="","",raporTarihi-$F13))</f>
        <v/>
      </c>
      <c r="I13" s="28">
        <f>IF($A13="","",IF($H13="","",IF($H13&lt;=7,"0-7",IF($H13&lt;=30,"8-30",IF($H13&lt;=60,"31-60","60+")))))</f>
        <v/>
      </c>
      <c r="J13" s="28">
        <f>IF($A13="","",IF($B13="","YETİM",IF(COUNTIF(tblKartlar[KartId],$B13)=0,"YETİM","")))</f>
        <v/>
      </c>
      <c r="K13" s="28">
        <f>IF($A13="","",IF($E13="YOK",IF($D13="KRITIK","KRİTİK EKSİK","EKSİK"),"TAM"))</f>
        <v/>
      </c>
      <c r="L13" s="28">
        <f>IF($A13="","",1)</f>
        <v/>
      </c>
    </row>
    <row r="14">
      <c r="A14" s="26" t="inlineStr">
        <is>
          <t>KNT-00009</t>
        </is>
      </c>
      <c r="B14" s="26" t="inlineStr">
        <is>
          <t>MUK-00003</t>
        </is>
      </c>
      <c r="C14" s="26" t="inlineStr">
        <is>
          <t>Faaliyet belgesi</t>
        </is>
      </c>
      <c r="D14" s="26" t="inlineStr">
        <is>
          <t>ZORUNLU</t>
        </is>
      </c>
      <c r="E14" s="26" t="inlineStr">
        <is>
          <t>YOK</t>
        </is>
      </c>
      <c r="F14" s="29" t="n">
        <v>46225</v>
      </c>
      <c r="G14" s="26" t="inlineStr">
        <is>
          <t>Kontrol satırı 9</t>
        </is>
      </c>
      <c r="H14" s="28">
        <f>IF($A14="","",IF($F14="","",raporTarihi-$F14))</f>
        <v/>
      </c>
      <c r="I14" s="28">
        <f>IF($A14="","",IF($H14="","",IF($H14&lt;=7,"0-7",IF($H14&lt;=30,"8-30",IF($H14&lt;=60,"31-60","60+")))))</f>
        <v/>
      </c>
      <c r="J14" s="28">
        <f>IF($A14="","",IF($B14="","YETİM",IF(COUNTIF(tblKartlar[KartId],$B14)=0,"YETİM","")))</f>
        <v/>
      </c>
      <c r="K14" s="28">
        <f>IF($A14="","",IF($E14="YOK",IF($D14="KRITIK","KRİTİK EKSİK","EKSİK"),"TAM"))</f>
        <v/>
      </c>
      <c r="L14" s="28">
        <f>IF($A14="","",1)</f>
        <v/>
      </c>
    </row>
    <row r="15">
      <c r="A15" s="26" t="inlineStr">
        <is>
          <t>KNT-00010</t>
        </is>
      </c>
      <c r="B15" s="26" t="inlineStr">
        <is>
          <t>MUK-00004</t>
        </is>
      </c>
      <c r="C15" s="26" t="inlineStr">
        <is>
          <t>Başvuru dilekçesi</t>
        </is>
      </c>
      <c r="D15" s="26" t="inlineStr">
        <is>
          <t>KRITIK</t>
        </is>
      </c>
      <c r="E15" s="26" t="inlineStr">
        <is>
          <t>VAR</t>
        </is>
      </c>
      <c r="F15" s="29" t="n">
        <v>46223</v>
      </c>
      <c r="G15" s="26" t="inlineStr">
        <is>
          <t>Kontrol satırı 10</t>
        </is>
      </c>
      <c r="H15" s="28">
        <f>IF($A15="","",IF($F15="","",raporTarihi-$F15))</f>
        <v/>
      </c>
      <c r="I15" s="28">
        <f>IF($A15="","",IF($H15="","",IF($H15&lt;=7,"0-7",IF($H15&lt;=30,"8-30",IF($H15&lt;=60,"31-60","60+")))))</f>
        <v/>
      </c>
      <c r="J15" s="28">
        <f>IF($A15="","",IF($B15="","YETİM",IF(COUNTIF(tblKartlar[KartId],$B15)=0,"YETİM","")))</f>
        <v/>
      </c>
      <c r="K15" s="28">
        <f>IF($A15="","",IF($E15="YOK",IF($D15="KRITIK","KRİTİK EKSİK","EKSİK"),"TAM"))</f>
        <v/>
      </c>
      <c r="L15" s="28">
        <f>IF($A15="","",1)</f>
        <v/>
      </c>
    </row>
    <row r="16">
      <c r="A16" s="26" t="inlineStr">
        <is>
          <t>KNT-00011</t>
        </is>
      </c>
      <c r="B16" s="26" t="inlineStr">
        <is>
          <t>MUK-00004</t>
        </is>
      </c>
      <c r="C16" s="26" t="inlineStr">
        <is>
          <t>Vergi levhası</t>
        </is>
      </c>
      <c r="D16" s="26" t="inlineStr">
        <is>
          <t>ZORUNLU</t>
        </is>
      </c>
      <c r="E16" s="26" t="inlineStr">
        <is>
          <t>VAR</t>
        </is>
      </c>
      <c r="F16" s="29" t="n">
        <v>46221</v>
      </c>
      <c r="G16" s="26" t="inlineStr">
        <is>
          <t>Kontrol satırı 11</t>
        </is>
      </c>
      <c r="H16" s="28">
        <f>IF($A16="","",IF($F16="","",raporTarihi-$F16))</f>
        <v/>
      </c>
      <c r="I16" s="28">
        <f>IF($A16="","",IF($H16="","",IF($H16&lt;=7,"0-7",IF($H16&lt;=30,"8-30",IF($H16&lt;=60,"31-60","60+")))))</f>
        <v/>
      </c>
      <c r="J16" s="28">
        <f>IF($A16="","",IF($B16="","YETİM",IF(COUNTIF(tblKartlar[KartId],$B16)=0,"YETİM","")))</f>
        <v/>
      </c>
      <c r="K16" s="28">
        <f>IF($A16="","",IF($E16="YOK",IF($D16="KRITIK","KRİTİK EKSİK","EKSİK"),"TAM"))</f>
        <v/>
      </c>
      <c r="L16" s="28">
        <f>IF($A16="","",1)</f>
        <v/>
      </c>
    </row>
    <row r="17">
      <c r="A17" s="26" t="inlineStr">
        <is>
          <t>KNT-00012</t>
        </is>
      </c>
      <c r="B17" s="26" t="inlineStr">
        <is>
          <t>MUK-00004</t>
        </is>
      </c>
      <c r="C17" s="26" t="inlineStr">
        <is>
          <t>Faaliyet belgesi</t>
        </is>
      </c>
      <c r="D17" s="26" t="inlineStr">
        <is>
          <t>ZORUNLU</t>
        </is>
      </c>
      <c r="E17" s="26" t="inlineStr">
        <is>
          <t>VAR</t>
        </is>
      </c>
      <c r="F17" s="29" t="n">
        <v>46219</v>
      </c>
      <c r="G17" s="26" t="inlineStr">
        <is>
          <t>Kontrol satırı 12</t>
        </is>
      </c>
      <c r="H17" s="28">
        <f>IF($A17="","",IF($F17="","",raporTarihi-$F17))</f>
        <v/>
      </c>
      <c r="I17" s="28">
        <f>IF($A17="","",IF($H17="","",IF($H17&lt;=7,"0-7",IF($H17&lt;=30,"8-30",IF($H17&lt;=60,"31-60","60+")))))</f>
        <v/>
      </c>
      <c r="J17" s="28">
        <f>IF($A17="","",IF($B17="","YETİM",IF(COUNTIF(tblKartlar[KartId],$B17)=0,"YETİM","")))</f>
        <v/>
      </c>
      <c r="K17" s="28">
        <f>IF($A17="","",IF($E17="YOK",IF($D17="KRITIK","KRİTİK EKSİK","EKSİK"),"TAM"))</f>
        <v/>
      </c>
      <c r="L17" s="28">
        <f>IF($A17="","",1)</f>
        <v/>
      </c>
    </row>
    <row r="18">
      <c r="A18" s="26" t="inlineStr">
        <is>
          <t>KNT-00013</t>
        </is>
      </c>
      <c r="B18" s="26" t="inlineStr">
        <is>
          <t>MUK-00005</t>
        </is>
      </c>
      <c r="C18" s="26" t="inlineStr">
        <is>
          <t>Başvuru dilekçesi</t>
        </is>
      </c>
      <c r="D18" s="26" t="inlineStr">
        <is>
          <t>KRITIK</t>
        </is>
      </c>
      <c r="E18" s="26" t="inlineStr">
        <is>
          <t>YOK</t>
        </is>
      </c>
      <c r="F18" s="29" t="n">
        <v>46217</v>
      </c>
      <c r="G18" s="26" t="inlineStr">
        <is>
          <t>Kontrol satırı 13</t>
        </is>
      </c>
      <c r="H18" s="28">
        <f>IF($A18="","",IF($F18="","",raporTarihi-$F18))</f>
        <v/>
      </c>
      <c r="I18" s="28">
        <f>IF($A18="","",IF($H18="","",IF($H18&lt;=7,"0-7",IF($H18&lt;=30,"8-30",IF($H18&lt;=60,"31-60","60+")))))</f>
        <v/>
      </c>
      <c r="J18" s="28">
        <f>IF($A18="","",IF($B18="","YETİM",IF(COUNTIF(tblKartlar[KartId],$B18)=0,"YETİM","")))</f>
        <v/>
      </c>
      <c r="K18" s="28">
        <f>IF($A18="","",IF($E18="YOK",IF($D18="KRITIK","KRİTİK EKSİK","EKSİK"),"TAM"))</f>
        <v/>
      </c>
      <c r="L18" s="28">
        <f>IF($A18="","",1)</f>
        <v/>
      </c>
    </row>
    <row r="19">
      <c r="A19" s="26" t="inlineStr">
        <is>
          <t>KNT-00014</t>
        </is>
      </c>
      <c r="B19" s="26" t="inlineStr">
        <is>
          <t>MUK-00005</t>
        </is>
      </c>
      <c r="C19" s="26" t="inlineStr">
        <is>
          <t>Vergi levhası</t>
        </is>
      </c>
      <c r="D19" s="26" t="inlineStr">
        <is>
          <t>ZORUNLU</t>
        </is>
      </c>
      <c r="E19" s="26" t="inlineStr">
        <is>
          <t>VAR</t>
        </is>
      </c>
      <c r="F19" s="29" t="n">
        <v>46215</v>
      </c>
      <c r="G19" s="26" t="inlineStr">
        <is>
          <t>Kontrol satırı 14</t>
        </is>
      </c>
      <c r="H19" s="28">
        <f>IF($A19="","",IF($F19="","",raporTarihi-$F19))</f>
        <v/>
      </c>
      <c r="I19" s="28">
        <f>IF($A19="","",IF($H19="","",IF($H19&lt;=7,"0-7",IF($H19&lt;=30,"8-30",IF($H19&lt;=60,"31-60","60+")))))</f>
        <v/>
      </c>
      <c r="J19" s="28">
        <f>IF($A19="","",IF($B19="","YETİM",IF(COUNTIF(tblKartlar[KartId],$B19)=0,"YETİM","")))</f>
        <v/>
      </c>
      <c r="K19" s="28">
        <f>IF($A19="","",IF($E19="YOK",IF($D19="KRITIK","KRİTİK EKSİK","EKSİK"),"TAM"))</f>
        <v/>
      </c>
      <c r="L19" s="28">
        <f>IF($A19="","",1)</f>
        <v/>
      </c>
    </row>
    <row r="20">
      <c r="A20" s="26" t="inlineStr">
        <is>
          <t>KNT-00015</t>
        </is>
      </c>
      <c r="B20" s="26" t="inlineStr">
        <is>
          <t>MUK-00005</t>
        </is>
      </c>
      <c r="C20" s="26" t="inlineStr">
        <is>
          <t>Faaliyet belgesi</t>
        </is>
      </c>
      <c r="D20" s="26" t="inlineStr">
        <is>
          <t>ZORUNLU</t>
        </is>
      </c>
      <c r="E20" s="26" t="inlineStr">
        <is>
          <t>VAR</t>
        </is>
      </c>
      <c r="F20" s="29" t="n">
        <v>46213</v>
      </c>
      <c r="G20" s="26" t="inlineStr">
        <is>
          <t>Kontrol satırı 15</t>
        </is>
      </c>
      <c r="H20" s="28">
        <f>IF($A20="","",IF($F20="","",raporTarihi-$F20))</f>
        <v/>
      </c>
      <c r="I20" s="28">
        <f>IF($A20="","",IF($H20="","",IF($H20&lt;=7,"0-7",IF($H20&lt;=30,"8-30",IF($H20&lt;=60,"31-60","60+")))))</f>
        <v/>
      </c>
      <c r="J20" s="28">
        <f>IF($A20="","",IF($B20="","YETİM",IF(COUNTIF(tblKartlar[KartId],$B20)=0,"YETİM","")))</f>
        <v/>
      </c>
      <c r="K20" s="28">
        <f>IF($A20="","",IF($E20="YOK",IF($D20="KRITIK","KRİTİK EKSİK","EKSİK"),"TAM"))</f>
        <v/>
      </c>
      <c r="L20" s="28">
        <f>IF($A20="","",1)</f>
        <v/>
      </c>
    </row>
    <row r="21">
      <c r="A21" s="26" t="inlineStr">
        <is>
          <t>KNT-00016</t>
        </is>
      </c>
      <c r="B21" s="26" t="inlineStr">
        <is>
          <t>MUK-00006</t>
        </is>
      </c>
      <c r="C21" s="26" t="inlineStr">
        <is>
          <t>Başvuru dilekçesi</t>
        </is>
      </c>
      <c r="D21" s="26" t="inlineStr">
        <is>
          <t>KRITIK</t>
        </is>
      </c>
      <c r="E21" s="26" t="inlineStr">
        <is>
          <t>VAR</t>
        </is>
      </c>
      <c r="F21" s="29" t="n">
        <v>46211</v>
      </c>
      <c r="G21" s="26" t="inlineStr">
        <is>
          <t>Kontrol satırı 16</t>
        </is>
      </c>
      <c r="H21" s="28">
        <f>IF($A21="","",IF($F21="","",raporTarihi-$F21))</f>
        <v/>
      </c>
      <c r="I21" s="28">
        <f>IF($A21="","",IF($H21="","",IF($H21&lt;=7,"0-7",IF($H21&lt;=30,"8-30",IF($H21&lt;=60,"31-60","60+")))))</f>
        <v/>
      </c>
      <c r="J21" s="28">
        <f>IF($A21="","",IF($B21="","YETİM",IF(COUNTIF(tblKartlar[KartId],$B21)=0,"YETİM","")))</f>
        <v/>
      </c>
      <c r="K21" s="28">
        <f>IF($A21="","",IF($E21="YOK",IF($D21="KRITIK","KRİTİK EKSİK","EKSİK"),"TAM"))</f>
        <v/>
      </c>
      <c r="L21" s="28">
        <f>IF($A21="","",1)</f>
        <v/>
      </c>
    </row>
    <row r="22">
      <c r="A22" s="26" t="inlineStr">
        <is>
          <t>KNT-00017</t>
        </is>
      </c>
      <c r="B22" s="26" t="inlineStr">
        <is>
          <t>MUK-00006</t>
        </is>
      </c>
      <c r="C22" s="26" t="inlineStr">
        <is>
          <t>Vergi levhası</t>
        </is>
      </c>
      <c r="D22" s="26" t="inlineStr">
        <is>
          <t>ZORUNLU</t>
        </is>
      </c>
      <c r="E22" s="26" t="inlineStr">
        <is>
          <t>VAR</t>
        </is>
      </c>
      <c r="F22" s="29" t="n">
        <v>46209</v>
      </c>
      <c r="G22" s="26" t="inlineStr">
        <is>
          <t>Kontrol satırı 17</t>
        </is>
      </c>
      <c r="H22" s="28">
        <f>IF($A22="","",IF($F22="","",raporTarihi-$F22))</f>
        <v/>
      </c>
      <c r="I22" s="28">
        <f>IF($A22="","",IF($H22="","",IF($H22&lt;=7,"0-7",IF($H22&lt;=30,"8-30",IF($H22&lt;=60,"31-60","60+")))))</f>
        <v/>
      </c>
      <c r="J22" s="28">
        <f>IF($A22="","",IF($B22="","YETİM",IF(COUNTIF(tblKartlar[KartId],$B22)=0,"YETİM","")))</f>
        <v/>
      </c>
      <c r="K22" s="28">
        <f>IF($A22="","",IF($E22="YOK",IF($D22="KRITIK","KRİTİK EKSİK","EKSİK"),"TAM"))</f>
        <v/>
      </c>
      <c r="L22" s="28">
        <f>IF($A22="","",1)</f>
        <v/>
      </c>
    </row>
    <row r="23">
      <c r="A23" s="26" t="inlineStr">
        <is>
          <t>KNT-00018</t>
        </is>
      </c>
      <c r="B23" s="26" t="inlineStr">
        <is>
          <t>MUK-00006</t>
        </is>
      </c>
      <c r="C23" s="26" t="inlineStr">
        <is>
          <t>Faaliyet belgesi</t>
        </is>
      </c>
      <c r="D23" s="26" t="inlineStr">
        <is>
          <t>ZORUNLU</t>
        </is>
      </c>
      <c r="E23" s="26" t="inlineStr">
        <is>
          <t>VAR</t>
        </is>
      </c>
      <c r="F23" s="29" t="n">
        <v>46207</v>
      </c>
      <c r="G23" s="26" t="inlineStr">
        <is>
          <t>Kontrol satırı 18</t>
        </is>
      </c>
      <c r="H23" s="28">
        <f>IF($A23="","",IF($F23="","",raporTarihi-$F23))</f>
        <v/>
      </c>
      <c r="I23" s="28">
        <f>IF($A23="","",IF($H23="","",IF($H23&lt;=7,"0-7",IF($H23&lt;=30,"8-30",IF($H23&lt;=60,"31-60","60+")))))</f>
        <v/>
      </c>
      <c r="J23" s="28">
        <f>IF($A23="","",IF($B23="","YETİM",IF(COUNTIF(tblKartlar[KartId],$B23)=0,"YETİM","")))</f>
        <v/>
      </c>
      <c r="K23" s="28">
        <f>IF($A23="","",IF($E23="YOK",IF($D23="KRITIK","KRİTİK EKSİK","EKSİK"),"TAM"))</f>
        <v/>
      </c>
      <c r="L23" s="28">
        <f>IF($A23="","",1)</f>
        <v/>
      </c>
    </row>
    <row r="24">
      <c r="A24" s="26" t="inlineStr">
        <is>
          <t>KNT-00019</t>
        </is>
      </c>
      <c r="B24" s="26" t="inlineStr">
        <is>
          <t>MUK-00007</t>
        </is>
      </c>
      <c r="C24" s="26" t="inlineStr">
        <is>
          <t>Başvuru dilekçesi</t>
        </is>
      </c>
      <c r="D24" s="26" t="inlineStr">
        <is>
          <t>KRITIK</t>
        </is>
      </c>
      <c r="E24" s="26" t="inlineStr">
        <is>
          <t>VAR</t>
        </is>
      </c>
      <c r="F24" s="29" t="n">
        <v>46205</v>
      </c>
      <c r="G24" s="26" t="inlineStr">
        <is>
          <t>Kontrol satırı 19</t>
        </is>
      </c>
      <c r="H24" s="28">
        <f>IF($A24="","",IF($F24="","",raporTarihi-$F24))</f>
        <v/>
      </c>
      <c r="I24" s="28">
        <f>IF($A24="","",IF($H24="","",IF($H24&lt;=7,"0-7",IF($H24&lt;=30,"8-30",IF($H24&lt;=60,"31-60","60+")))))</f>
        <v/>
      </c>
      <c r="J24" s="28">
        <f>IF($A24="","",IF($B24="","YETİM",IF(COUNTIF(tblKartlar[KartId],$B24)=0,"YETİM","")))</f>
        <v/>
      </c>
      <c r="K24" s="28">
        <f>IF($A24="","",IF($E24="YOK",IF($D24="KRITIK","KRİTİK EKSİK","EKSİK"),"TAM"))</f>
        <v/>
      </c>
      <c r="L24" s="28">
        <f>IF($A24="","",1)</f>
        <v/>
      </c>
    </row>
    <row r="25">
      <c r="A25" s="26" t="inlineStr">
        <is>
          <t>KNT-00020</t>
        </is>
      </c>
      <c r="B25" s="26" t="inlineStr">
        <is>
          <t>MUK-00007</t>
        </is>
      </c>
      <c r="C25" s="26" t="inlineStr">
        <is>
          <t>Vergi levhası</t>
        </is>
      </c>
      <c r="D25" s="26" t="inlineStr">
        <is>
          <t>ZORUNLU</t>
        </is>
      </c>
      <c r="E25" s="26" t="inlineStr">
        <is>
          <t>VAR</t>
        </is>
      </c>
      <c r="F25" s="29" t="n">
        <v>46203</v>
      </c>
      <c r="G25" s="26" t="inlineStr">
        <is>
          <t>Kontrol satırı 20</t>
        </is>
      </c>
      <c r="H25" s="28">
        <f>IF($A25="","",IF($F25="","",raporTarihi-$F25))</f>
        <v/>
      </c>
      <c r="I25" s="28">
        <f>IF($A25="","",IF($H25="","",IF($H25&lt;=7,"0-7",IF($H25&lt;=30,"8-30",IF($H25&lt;=60,"31-60","60+")))))</f>
        <v/>
      </c>
      <c r="J25" s="28">
        <f>IF($A25="","",IF($B25="","YETİM",IF(COUNTIF(tblKartlar[KartId],$B25)=0,"YETİM","")))</f>
        <v/>
      </c>
      <c r="K25" s="28">
        <f>IF($A25="","",IF($E25="YOK",IF($D25="KRITIK","KRİTİK EKSİK","EKSİK"),"TAM"))</f>
        <v/>
      </c>
      <c r="L25" s="28">
        <f>IF($A25="","",1)</f>
        <v/>
      </c>
    </row>
    <row r="26">
      <c r="A26" s="26" t="inlineStr">
        <is>
          <t>KNT-00021</t>
        </is>
      </c>
      <c r="B26" s="26" t="inlineStr">
        <is>
          <t>MUK-00007</t>
        </is>
      </c>
      <c r="C26" s="26" t="inlineStr">
        <is>
          <t>Faaliyet belgesi</t>
        </is>
      </c>
      <c r="D26" s="26" t="inlineStr">
        <is>
          <t>ZORUNLU</t>
        </is>
      </c>
      <c r="E26" s="26" t="inlineStr">
        <is>
          <t>VAR</t>
        </is>
      </c>
      <c r="F26" s="29" t="n">
        <v>46201</v>
      </c>
      <c r="G26" s="26" t="inlineStr">
        <is>
          <t>Kontrol satırı 21</t>
        </is>
      </c>
      <c r="H26" s="28">
        <f>IF($A26="","",IF($F26="","",raporTarihi-$F26))</f>
        <v/>
      </c>
      <c r="I26" s="28">
        <f>IF($A26="","",IF($H26="","",IF($H26&lt;=7,"0-7",IF($H26&lt;=30,"8-30",IF($H26&lt;=60,"31-60","60+")))))</f>
        <v/>
      </c>
      <c r="J26" s="28">
        <f>IF($A26="","",IF($B26="","YETİM",IF(COUNTIF(tblKartlar[KartId],$B26)=0,"YETİM","")))</f>
        <v/>
      </c>
      <c r="K26" s="28">
        <f>IF($A26="","",IF($E26="YOK",IF($D26="KRITIK","KRİTİK EKSİK","EKSİK"),"TAM"))</f>
        <v/>
      </c>
      <c r="L26" s="28">
        <f>IF($A26="","",1)</f>
        <v/>
      </c>
    </row>
    <row r="27">
      <c r="A27" s="26" t="inlineStr">
        <is>
          <t>KNT-00022</t>
        </is>
      </c>
      <c r="B27" s="26" t="inlineStr">
        <is>
          <t>MUK-00008</t>
        </is>
      </c>
      <c r="C27" s="26" t="inlineStr">
        <is>
          <t>Başvuru dilekçesi</t>
        </is>
      </c>
      <c r="D27" s="26" t="inlineStr">
        <is>
          <t>KRITIK</t>
        </is>
      </c>
      <c r="E27" s="26" t="inlineStr">
        <is>
          <t>VAR</t>
        </is>
      </c>
      <c r="F27" s="29" t="n">
        <v>46199</v>
      </c>
      <c r="G27" s="26" t="inlineStr">
        <is>
          <t>Kontrol satırı 22</t>
        </is>
      </c>
      <c r="H27" s="28">
        <f>IF($A27="","",IF($F27="","",raporTarihi-$F27))</f>
        <v/>
      </c>
      <c r="I27" s="28">
        <f>IF($A27="","",IF($H27="","",IF($H27&lt;=7,"0-7",IF($H27&lt;=30,"8-30",IF($H27&lt;=60,"31-60","60+")))))</f>
        <v/>
      </c>
      <c r="J27" s="28">
        <f>IF($A27="","",IF($B27="","YETİM",IF(COUNTIF(tblKartlar[KartId],$B27)=0,"YETİM","")))</f>
        <v/>
      </c>
      <c r="K27" s="28">
        <f>IF($A27="","",IF($E27="YOK",IF($D27="KRITIK","KRİTİK EKSİK","EKSİK"),"TAM"))</f>
        <v/>
      </c>
      <c r="L27" s="28">
        <f>IF($A27="","",1)</f>
        <v/>
      </c>
    </row>
    <row r="28">
      <c r="A28" s="26" t="inlineStr">
        <is>
          <t>KNT-00023</t>
        </is>
      </c>
      <c r="B28" s="26" t="inlineStr">
        <is>
          <t>MUK-00008</t>
        </is>
      </c>
      <c r="C28" s="26" t="inlineStr">
        <is>
          <t>Vergi levhası</t>
        </is>
      </c>
      <c r="D28" s="26" t="inlineStr">
        <is>
          <t>ZORUNLU</t>
        </is>
      </c>
      <c r="E28" s="26" t="inlineStr">
        <is>
          <t>VAR</t>
        </is>
      </c>
      <c r="F28" s="29" t="n">
        <v>46197</v>
      </c>
      <c r="G28" s="26" t="inlineStr">
        <is>
          <t>Kontrol satırı 23</t>
        </is>
      </c>
      <c r="H28" s="28">
        <f>IF($A28="","",IF($F28="","",raporTarihi-$F28))</f>
        <v/>
      </c>
      <c r="I28" s="28">
        <f>IF($A28="","",IF($H28="","",IF($H28&lt;=7,"0-7",IF($H28&lt;=30,"8-30",IF($H28&lt;=60,"31-60","60+")))))</f>
        <v/>
      </c>
      <c r="J28" s="28">
        <f>IF($A28="","",IF($B28="","YETİM",IF(COUNTIF(tblKartlar[KartId],$B28)=0,"YETİM","")))</f>
        <v/>
      </c>
      <c r="K28" s="28">
        <f>IF($A28="","",IF($E28="YOK",IF($D28="KRITIK","KRİTİK EKSİK","EKSİK"),"TAM"))</f>
        <v/>
      </c>
      <c r="L28" s="28">
        <f>IF($A28="","",1)</f>
        <v/>
      </c>
    </row>
    <row r="29">
      <c r="A29" s="26" t="inlineStr">
        <is>
          <t>KNT-00024</t>
        </is>
      </c>
      <c r="B29" s="26" t="inlineStr">
        <is>
          <t>MUK-00008</t>
        </is>
      </c>
      <c r="C29" s="26" t="inlineStr">
        <is>
          <t>Faaliyet belgesi</t>
        </is>
      </c>
      <c r="D29" s="26" t="inlineStr">
        <is>
          <t>ZORUNLU</t>
        </is>
      </c>
      <c r="E29" s="26" t="inlineStr">
        <is>
          <t>VAR</t>
        </is>
      </c>
      <c r="F29" s="29" t="n">
        <v>46195</v>
      </c>
      <c r="G29" s="26" t="inlineStr">
        <is>
          <t>Kontrol satırı 24</t>
        </is>
      </c>
      <c r="H29" s="28">
        <f>IF($A29="","",IF($F29="","",raporTarihi-$F29))</f>
        <v/>
      </c>
      <c r="I29" s="28">
        <f>IF($A29="","",IF($H29="","",IF($H29&lt;=7,"0-7",IF($H29&lt;=30,"8-30",IF($H29&lt;=60,"31-60","60+")))))</f>
        <v/>
      </c>
      <c r="J29" s="28">
        <f>IF($A29="","",IF($B29="","YETİM",IF(COUNTIF(tblKartlar[KartId],$B29)=0,"YETİM","")))</f>
        <v/>
      </c>
      <c r="K29" s="28">
        <f>IF($A29="","",IF($E29="YOK",IF($D29="KRITIK","KRİTİK EKSİK","EKSİK"),"TAM"))</f>
        <v/>
      </c>
      <c r="L29" s="28">
        <f>IF($A29="","",1)</f>
        <v/>
      </c>
    </row>
    <row r="30">
      <c r="A30" s="26" t="n"/>
      <c r="B30" s="26" t="n"/>
      <c r="C30" s="26" t="n"/>
      <c r="D30" s="26" t="n"/>
      <c r="E30" s="26" t="n"/>
      <c r="F30" s="29" t="n"/>
      <c r="G30" s="26" t="n"/>
      <c r="H30" s="28">
        <f>IF($A30="","",IF($F30="","",raporTarihi-$F30))</f>
        <v/>
      </c>
      <c r="I30" s="28">
        <f>IF($A30="","",IF($H30="","",IF($H30&lt;=7,"0-7",IF($H30&lt;=30,"8-30",IF($H30&lt;=60,"31-60","60+")))))</f>
        <v/>
      </c>
      <c r="J30" s="28">
        <f>IF($A30="","",IF($B30="","YETİM",IF(COUNTIF(tblKartlar[KartId],$B30)=0,"YETİM","")))</f>
        <v/>
      </c>
      <c r="K30" s="28">
        <f>IF($A30="","",IF($E30="YOK",IF($D30="KRITIK","KRİTİK EKSİK","EKSİK"),"TAM"))</f>
        <v/>
      </c>
      <c r="L30" s="28">
        <f>IF($A30="","",1)</f>
        <v/>
      </c>
    </row>
    <row r="31">
      <c r="A31" s="26" t="n"/>
      <c r="B31" s="26" t="n"/>
      <c r="C31" s="26" t="n"/>
      <c r="D31" s="26" t="n"/>
      <c r="E31" s="26" t="n"/>
      <c r="F31" s="29" t="n"/>
      <c r="G31" s="26" t="n"/>
      <c r="H31" s="28">
        <f>IF($A31="","",IF($F31="","",raporTarihi-$F31))</f>
        <v/>
      </c>
      <c r="I31" s="28">
        <f>IF($A31="","",IF($H31="","",IF($H31&lt;=7,"0-7",IF($H31&lt;=30,"8-30",IF($H31&lt;=60,"31-60","60+")))))</f>
        <v/>
      </c>
      <c r="J31" s="28">
        <f>IF($A31="","",IF($B31="","YETİM",IF(COUNTIF(tblKartlar[KartId],$B31)=0,"YETİM","")))</f>
        <v/>
      </c>
      <c r="K31" s="28">
        <f>IF($A31="","",IF($E31="YOK",IF($D31="KRITIK","KRİTİK EKSİK","EKSİK"),"TAM"))</f>
        <v/>
      </c>
      <c r="L31" s="28">
        <f>IF($A31="","",1)</f>
        <v/>
      </c>
    </row>
    <row r="32">
      <c r="A32" s="26" t="n"/>
      <c r="B32" s="26" t="n"/>
      <c r="C32" s="26" t="n"/>
      <c r="D32" s="26" t="n"/>
      <c r="E32" s="26" t="n"/>
      <c r="F32" s="29" t="n"/>
      <c r="G32" s="26" t="n"/>
      <c r="H32" s="28">
        <f>IF($A32="","",IF($F32="","",raporTarihi-$F32))</f>
        <v/>
      </c>
      <c r="I32" s="28">
        <f>IF($A32="","",IF($H32="","",IF($H32&lt;=7,"0-7",IF($H32&lt;=30,"8-30",IF($H32&lt;=60,"31-60","60+")))))</f>
        <v/>
      </c>
      <c r="J32" s="28">
        <f>IF($A32="","",IF($B32="","YETİM",IF(COUNTIF(tblKartlar[KartId],$B32)=0,"YETİM","")))</f>
        <v/>
      </c>
      <c r="K32" s="28">
        <f>IF($A32="","",IF($E32="YOK",IF($D32="KRITIK","KRİTİK EKSİK","EKSİK"),"TAM"))</f>
        <v/>
      </c>
      <c r="L32" s="28">
        <f>IF($A32="","",1)</f>
        <v/>
      </c>
    </row>
    <row r="33">
      <c r="A33" s="26" t="n"/>
      <c r="B33" s="26" t="n"/>
      <c r="C33" s="26" t="n"/>
      <c r="D33" s="26" t="n"/>
      <c r="E33" s="26" t="n"/>
      <c r="F33" s="29" t="n"/>
      <c r="G33" s="26" t="n"/>
      <c r="H33" s="28">
        <f>IF($A33="","",IF($F33="","",raporTarihi-$F33))</f>
        <v/>
      </c>
      <c r="I33" s="28">
        <f>IF($A33="","",IF($H33="","",IF($H33&lt;=7,"0-7",IF($H33&lt;=30,"8-30",IF($H33&lt;=60,"31-60","60+")))))</f>
        <v/>
      </c>
      <c r="J33" s="28">
        <f>IF($A33="","",IF($B33="","YETİM",IF(COUNTIF(tblKartlar[KartId],$B33)=0,"YETİM","")))</f>
        <v/>
      </c>
      <c r="K33" s="28">
        <f>IF($A33="","",IF($E33="YOK",IF($D33="KRITIK","KRİTİK EKSİK","EKSİK"),"TAM"))</f>
        <v/>
      </c>
      <c r="L33" s="28">
        <f>IF($A33="","",1)</f>
        <v/>
      </c>
    </row>
    <row r="34">
      <c r="A34" s="26" t="n"/>
      <c r="B34" s="26" t="n"/>
      <c r="C34" s="26" t="n"/>
      <c r="D34" s="26" t="n"/>
      <c r="E34" s="26" t="n"/>
      <c r="F34" s="29" t="n"/>
      <c r="G34" s="26" t="n"/>
      <c r="H34" s="28">
        <f>IF($A34="","",IF($F34="","",raporTarihi-$F34))</f>
        <v/>
      </c>
      <c r="I34" s="28">
        <f>IF($A34="","",IF($H34="","",IF($H34&lt;=7,"0-7",IF($H34&lt;=30,"8-30",IF($H34&lt;=60,"31-60","60+")))))</f>
        <v/>
      </c>
      <c r="J34" s="28">
        <f>IF($A34="","",IF($B34="","YETİM",IF(COUNTIF(tblKartlar[KartId],$B34)=0,"YETİM","")))</f>
        <v/>
      </c>
      <c r="K34" s="28">
        <f>IF($A34="","",IF($E34="YOK",IF($D34="KRITIK","KRİTİK EKSİK","EKSİK"),"TAM"))</f>
        <v/>
      </c>
      <c r="L34" s="28">
        <f>IF($A34="","",1)</f>
        <v/>
      </c>
    </row>
    <row r="35">
      <c r="A35" s="26" t="n"/>
      <c r="B35" s="26" t="n"/>
      <c r="C35" s="26" t="n"/>
      <c r="D35" s="26" t="n"/>
      <c r="E35" s="26" t="n"/>
      <c r="F35" s="29" t="n"/>
      <c r="G35" s="26" t="n"/>
      <c r="H35" s="28">
        <f>IF($A35="","",IF($F35="","",raporTarihi-$F35))</f>
        <v/>
      </c>
      <c r="I35" s="28">
        <f>IF($A35="","",IF($H35="","",IF($H35&lt;=7,"0-7",IF($H35&lt;=30,"8-30",IF($H35&lt;=60,"31-60","60+")))))</f>
        <v/>
      </c>
      <c r="J35" s="28">
        <f>IF($A35="","",IF($B35="","YETİM",IF(COUNTIF(tblKartlar[KartId],$B35)=0,"YETİM","")))</f>
        <v/>
      </c>
      <c r="K35" s="28">
        <f>IF($A35="","",IF($E35="YOK",IF($D35="KRITIK","KRİTİK EKSİK","EKSİK"),"TAM"))</f>
        <v/>
      </c>
      <c r="L35" s="28">
        <f>IF($A35="","",1)</f>
        <v/>
      </c>
    </row>
    <row r="36">
      <c r="A36" s="26" t="n"/>
      <c r="B36" s="26" t="n"/>
      <c r="C36" s="26" t="n"/>
      <c r="D36" s="26" t="n"/>
      <c r="E36" s="26" t="n"/>
      <c r="F36" s="29" t="n"/>
      <c r="G36" s="26" t="n"/>
      <c r="H36" s="28">
        <f>IF($A36="","",IF($F36="","",raporTarihi-$F36))</f>
        <v/>
      </c>
      <c r="I36" s="28">
        <f>IF($A36="","",IF($H36="","",IF($H36&lt;=7,"0-7",IF($H36&lt;=30,"8-30",IF($H36&lt;=60,"31-60","60+")))))</f>
        <v/>
      </c>
      <c r="J36" s="28">
        <f>IF($A36="","",IF($B36="","YETİM",IF(COUNTIF(tblKartlar[KartId],$B36)=0,"YETİM","")))</f>
        <v/>
      </c>
      <c r="K36" s="28">
        <f>IF($A36="","",IF($E36="YOK",IF($D36="KRITIK","KRİTİK EKSİK","EKSİK"),"TAM"))</f>
        <v/>
      </c>
      <c r="L36" s="28">
        <f>IF($A36="","",1)</f>
        <v/>
      </c>
    </row>
    <row r="37">
      <c r="A37" s="26" t="n"/>
      <c r="B37" s="26" t="n"/>
      <c r="C37" s="26" t="n"/>
      <c r="D37" s="26" t="n"/>
      <c r="E37" s="26" t="n"/>
      <c r="F37" s="29" t="n"/>
      <c r="G37" s="26" t="n"/>
      <c r="H37" s="28">
        <f>IF($A37="","",IF($F37="","",raporTarihi-$F37))</f>
        <v/>
      </c>
      <c r="I37" s="28">
        <f>IF($A37="","",IF($H37="","",IF($H37&lt;=7,"0-7",IF($H37&lt;=30,"8-30",IF($H37&lt;=60,"31-60","60+")))))</f>
        <v/>
      </c>
      <c r="J37" s="28">
        <f>IF($A37="","",IF($B37="","YETİM",IF(COUNTIF(tblKartlar[KartId],$B37)=0,"YETİM","")))</f>
        <v/>
      </c>
      <c r="K37" s="28">
        <f>IF($A37="","",IF($E37="YOK",IF($D37="KRITIK","KRİTİK EKSİK","EKSİK"),"TAM"))</f>
        <v/>
      </c>
      <c r="L37" s="28">
        <f>IF($A37="","",1)</f>
        <v/>
      </c>
    </row>
    <row r="38">
      <c r="A38" s="26" t="n"/>
      <c r="B38" s="26" t="n"/>
      <c r="C38" s="26" t="n"/>
      <c r="D38" s="26" t="n"/>
      <c r="E38" s="26" t="n"/>
      <c r="F38" s="29" t="n"/>
      <c r="G38" s="26" t="n"/>
      <c r="H38" s="28">
        <f>IF($A38="","",IF($F38="","",raporTarihi-$F38))</f>
        <v/>
      </c>
      <c r="I38" s="28">
        <f>IF($A38="","",IF($H38="","",IF($H38&lt;=7,"0-7",IF($H38&lt;=30,"8-30",IF($H38&lt;=60,"31-60","60+")))))</f>
        <v/>
      </c>
      <c r="J38" s="28">
        <f>IF($A38="","",IF($B38="","YETİM",IF(COUNTIF(tblKartlar[KartId],$B38)=0,"YETİM","")))</f>
        <v/>
      </c>
      <c r="K38" s="28">
        <f>IF($A38="","",IF($E38="YOK",IF($D38="KRITIK","KRİTİK EKSİK","EKSİK"),"TAM"))</f>
        <v/>
      </c>
      <c r="L38" s="28">
        <f>IF($A38="","",1)</f>
        <v/>
      </c>
    </row>
    <row r="39">
      <c r="A39" s="26" t="n"/>
      <c r="B39" s="26" t="n"/>
      <c r="C39" s="26" t="n"/>
      <c r="D39" s="26" t="n"/>
      <c r="E39" s="26" t="n"/>
      <c r="F39" s="29" t="n"/>
      <c r="G39" s="26" t="n"/>
      <c r="H39" s="28">
        <f>IF($A39="","",IF($F39="","",raporTarihi-$F39))</f>
        <v/>
      </c>
      <c r="I39" s="28">
        <f>IF($A39="","",IF($H39="","",IF($H39&lt;=7,"0-7",IF($H39&lt;=30,"8-30",IF($H39&lt;=60,"31-60","60+")))))</f>
        <v/>
      </c>
      <c r="J39" s="28">
        <f>IF($A39="","",IF($B39="","YETİM",IF(COUNTIF(tblKartlar[KartId],$B39)=0,"YETİM","")))</f>
        <v/>
      </c>
      <c r="K39" s="28">
        <f>IF($A39="","",IF($E39="YOK",IF($D39="KRITIK","KRİTİK EKSİK","EKSİK"),"TAM"))</f>
        <v/>
      </c>
      <c r="L39" s="28">
        <f>IF($A39="","",1)</f>
        <v/>
      </c>
    </row>
    <row r="40">
      <c r="A40" s="26" t="n"/>
      <c r="B40" s="26" t="n"/>
      <c r="C40" s="26" t="n"/>
      <c r="D40" s="26" t="n"/>
      <c r="E40" s="26" t="n"/>
      <c r="F40" s="29" t="n"/>
      <c r="G40" s="26" t="n"/>
      <c r="H40" s="28">
        <f>IF($A40="","",IF($F40="","",raporTarihi-$F40))</f>
        <v/>
      </c>
      <c r="I40" s="28">
        <f>IF($A40="","",IF($H40="","",IF($H40&lt;=7,"0-7",IF($H40&lt;=30,"8-30",IF($H40&lt;=60,"31-60","60+")))))</f>
        <v/>
      </c>
      <c r="J40" s="28">
        <f>IF($A40="","",IF($B40="","YETİM",IF(COUNTIF(tblKartlar[KartId],$B40)=0,"YETİM","")))</f>
        <v/>
      </c>
      <c r="K40" s="28">
        <f>IF($A40="","",IF($E40="YOK",IF($D40="KRITIK","KRİTİK EKSİK","EKSİK"),"TAM"))</f>
        <v/>
      </c>
      <c r="L40" s="28">
        <f>IF($A40="","",1)</f>
        <v/>
      </c>
    </row>
    <row r="41">
      <c r="A41" s="26" t="n"/>
      <c r="B41" s="26" t="n"/>
      <c r="C41" s="26" t="n"/>
      <c r="D41" s="26" t="n"/>
      <c r="E41" s="26" t="n"/>
      <c r="F41" s="29" t="n"/>
      <c r="G41" s="26" t="n"/>
      <c r="H41" s="28">
        <f>IF($A41="","",IF($F41="","",raporTarihi-$F41))</f>
        <v/>
      </c>
      <c r="I41" s="28">
        <f>IF($A41="","",IF($H41="","",IF($H41&lt;=7,"0-7",IF($H41&lt;=30,"8-30",IF($H41&lt;=60,"31-60","60+")))))</f>
        <v/>
      </c>
      <c r="J41" s="28">
        <f>IF($A41="","",IF($B41="","YETİM",IF(COUNTIF(tblKartlar[KartId],$B41)=0,"YETİM","")))</f>
        <v/>
      </c>
      <c r="K41" s="28">
        <f>IF($A41="","",IF($E41="YOK",IF($D41="KRITIK","KRİTİK EKSİK","EKSİK"),"TAM"))</f>
        <v/>
      </c>
      <c r="L41" s="28">
        <f>IF($A41="","",1)</f>
        <v/>
      </c>
    </row>
    <row r="42">
      <c r="A42" s="26" t="n"/>
      <c r="B42" s="26" t="n"/>
      <c r="C42" s="26" t="n"/>
      <c r="D42" s="26" t="n"/>
      <c r="E42" s="26" t="n"/>
      <c r="F42" s="29" t="n"/>
      <c r="G42" s="26" t="n"/>
      <c r="H42" s="28">
        <f>IF($A42="","",IF($F42="","",raporTarihi-$F42))</f>
        <v/>
      </c>
      <c r="I42" s="28">
        <f>IF($A42="","",IF($H42="","",IF($H42&lt;=7,"0-7",IF($H42&lt;=30,"8-30",IF($H42&lt;=60,"31-60","60+")))))</f>
        <v/>
      </c>
      <c r="J42" s="28">
        <f>IF($A42="","",IF($B42="","YETİM",IF(COUNTIF(tblKartlar[KartId],$B42)=0,"YETİM","")))</f>
        <v/>
      </c>
      <c r="K42" s="28">
        <f>IF($A42="","",IF($E42="YOK",IF($D42="KRITIK","KRİTİK EKSİK","EKSİK"),"TAM"))</f>
        <v/>
      </c>
      <c r="L42" s="28">
        <f>IF($A42="","",1)</f>
        <v/>
      </c>
    </row>
    <row r="43">
      <c r="A43" s="26" t="n"/>
      <c r="B43" s="26" t="n"/>
      <c r="C43" s="26" t="n"/>
      <c r="D43" s="26" t="n"/>
      <c r="E43" s="26" t="n"/>
      <c r="F43" s="29" t="n"/>
      <c r="G43" s="26" t="n"/>
      <c r="H43" s="28">
        <f>IF($A43="","",IF($F43="","",raporTarihi-$F43))</f>
        <v/>
      </c>
      <c r="I43" s="28">
        <f>IF($A43="","",IF($H43="","",IF($H43&lt;=7,"0-7",IF($H43&lt;=30,"8-30",IF($H43&lt;=60,"31-60","60+")))))</f>
        <v/>
      </c>
      <c r="J43" s="28">
        <f>IF($A43="","",IF($B43="","YETİM",IF(COUNTIF(tblKartlar[KartId],$B43)=0,"YETİM","")))</f>
        <v/>
      </c>
      <c r="K43" s="28">
        <f>IF($A43="","",IF($E43="YOK",IF($D43="KRITIK","KRİTİK EKSİK","EKSİK"),"TAM"))</f>
        <v/>
      </c>
      <c r="L43" s="28">
        <f>IF($A43="","",1)</f>
        <v/>
      </c>
    </row>
    <row r="44">
      <c r="A44" s="26" t="n"/>
      <c r="B44" s="26" t="n"/>
      <c r="C44" s="26" t="n"/>
      <c r="D44" s="26" t="n"/>
      <c r="E44" s="26" t="n"/>
      <c r="F44" s="29" t="n"/>
      <c r="G44" s="26" t="n"/>
      <c r="H44" s="28">
        <f>IF($A44="","",IF($F44="","",raporTarihi-$F44))</f>
        <v/>
      </c>
      <c r="I44" s="28">
        <f>IF($A44="","",IF($H44="","",IF($H44&lt;=7,"0-7",IF($H44&lt;=30,"8-30",IF($H44&lt;=60,"31-60","60+")))))</f>
        <v/>
      </c>
      <c r="J44" s="28">
        <f>IF($A44="","",IF($B44="","YETİM",IF(COUNTIF(tblKartlar[KartId],$B44)=0,"YETİM","")))</f>
        <v/>
      </c>
      <c r="K44" s="28">
        <f>IF($A44="","",IF($E44="YOK",IF($D44="KRITIK","KRİTİK EKSİK","EKSİK"),"TAM"))</f>
        <v/>
      </c>
      <c r="L44" s="28">
        <f>IF($A44="","",1)</f>
        <v/>
      </c>
    </row>
    <row r="45">
      <c r="A45" s="26" t="n"/>
      <c r="B45" s="26" t="n"/>
      <c r="C45" s="26" t="n"/>
      <c r="D45" s="26" t="n"/>
      <c r="E45" s="26" t="n"/>
      <c r="F45" s="29" t="n"/>
      <c r="G45" s="26" t="n"/>
      <c r="H45" s="28">
        <f>IF($A45="","",IF($F45="","",raporTarihi-$F45))</f>
        <v/>
      </c>
      <c r="I45" s="28">
        <f>IF($A45="","",IF($H45="","",IF($H45&lt;=7,"0-7",IF($H45&lt;=30,"8-30",IF($H45&lt;=60,"31-60","60+")))))</f>
        <v/>
      </c>
      <c r="J45" s="28">
        <f>IF($A45="","",IF($B45="","YETİM",IF(COUNTIF(tblKartlar[KartId],$B45)=0,"YETİM","")))</f>
        <v/>
      </c>
      <c r="K45" s="28">
        <f>IF($A45="","",IF($E45="YOK",IF($D45="KRITIK","KRİTİK EKSİK","EKSİK"),"TAM"))</f>
        <v/>
      </c>
      <c r="L45" s="28">
        <f>IF($A45="","",1)</f>
        <v/>
      </c>
    </row>
    <row r="46">
      <c r="A46" s="26" t="n"/>
      <c r="B46" s="26" t="n"/>
      <c r="C46" s="26" t="n"/>
      <c r="D46" s="26" t="n"/>
      <c r="E46" s="26" t="n"/>
      <c r="F46" s="29" t="n"/>
      <c r="G46" s="26" t="n"/>
      <c r="H46" s="28">
        <f>IF($A46="","",IF($F46="","",raporTarihi-$F46))</f>
        <v/>
      </c>
      <c r="I46" s="28">
        <f>IF($A46="","",IF($H46="","",IF($H46&lt;=7,"0-7",IF($H46&lt;=30,"8-30",IF($H46&lt;=60,"31-60","60+")))))</f>
        <v/>
      </c>
      <c r="J46" s="28">
        <f>IF($A46="","",IF($B46="","YETİM",IF(COUNTIF(tblKartlar[KartId],$B46)=0,"YETİM","")))</f>
        <v/>
      </c>
      <c r="K46" s="28">
        <f>IF($A46="","",IF($E46="YOK",IF($D46="KRITIK","KRİTİK EKSİK","EKSİK"),"TAM"))</f>
        <v/>
      </c>
      <c r="L46" s="28">
        <f>IF($A46="","",1)</f>
        <v/>
      </c>
    </row>
    <row r="47">
      <c r="A47" s="26" t="n"/>
      <c r="B47" s="26" t="n"/>
      <c r="C47" s="26" t="n"/>
      <c r="D47" s="26" t="n"/>
      <c r="E47" s="26" t="n"/>
      <c r="F47" s="29" t="n"/>
      <c r="G47" s="26" t="n"/>
      <c r="H47" s="28">
        <f>IF($A47="","",IF($F47="","",raporTarihi-$F47))</f>
        <v/>
      </c>
      <c r="I47" s="28">
        <f>IF($A47="","",IF($H47="","",IF($H47&lt;=7,"0-7",IF($H47&lt;=30,"8-30",IF($H47&lt;=60,"31-60","60+")))))</f>
        <v/>
      </c>
      <c r="J47" s="28">
        <f>IF($A47="","",IF($B47="","YETİM",IF(COUNTIF(tblKartlar[KartId],$B47)=0,"YETİM","")))</f>
        <v/>
      </c>
      <c r="K47" s="28">
        <f>IF($A47="","",IF($E47="YOK",IF($D47="KRITIK","KRİTİK EKSİK","EKSİK"),"TAM"))</f>
        <v/>
      </c>
      <c r="L47" s="28">
        <f>IF($A47="","",1)</f>
        <v/>
      </c>
    </row>
    <row r="48">
      <c r="A48" s="26" t="n"/>
      <c r="B48" s="26" t="n"/>
      <c r="C48" s="26" t="n"/>
      <c r="D48" s="26" t="n"/>
      <c r="E48" s="26" t="n"/>
      <c r="F48" s="29" t="n"/>
      <c r="G48" s="26" t="n"/>
      <c r="H48" s="28">
        <f>IF($A48="","",IF($F48="","",raporTarihi-$F48))</f>
        <v/>
      </c>
      <c r="I48" s="28">
        <f>IF($A48="","",IF($H48="","",IF($H48&lt;=7,"0-7",IF($H48&lt;=30,"8-30",IF($H48&lt;=60,"31-60","60+")))))</f>
        <v/>
      </c>
      <c r="J48" s="28">
        <f>IF($A48="","",IF($B48="","YETİM",IF(COUNTIF(tblKartlar[KartId],$B48)=0,"YETİM","")))</f>
        <v/>
      </c>
      <c r="K48" s="28">
        <f>IF($A48="","",IF($E48="YOK",IF($D48="KRITIK","KRİTİK EKSİK","EKSİK"),"TAM"))</f>
        <v/>
      </c>
      <c r="L48" s="28">
        <f>IF($A48="","",1)</f>
        <v/>
      </c>
    </row>
    <row r="49">
      <c r="A49" s="26" t="n"/>
      <c r="B49" s="26" t="n"/>
      <c r="C49" s="26" t="n"/>
      <c r="D49" s="26" t="n"/>
      <c r="E49" s="26" t="n"/>
      <c r="F49" s="29" t="n"/>
      <c r="G49" s="26" t="n"/>
      <c r="H49" s="28">
        <f>IF($A49="","",IF($F49="","",raporTarihi-$F49))</f>
        <v/>
      </c>
      <c r="I49" s="28">
        <f>IF($A49="","",IF($H49="","",IF($H49&lt;=7,"0-7",IF($H49&lt;=30,"8-30",IF($H49&lt;=60,"31-60","60+")))))</f>
        <v/>
      </c>
      <c r="J49" s="28">
        <f>IF($A49="","",IF($B49="","YETİM",IF(COUNTIF(tblKartlar[KartId],$B49)=0,"YETİM","")))</f>
        <v/>
      </c>
      <c r="K49" s="28">
        <f>IF($A49="","",IF($E49="YOK",IF($D49="KRITIK","KRİTİK EKSİK","EKSİK"),"TAM"))</f>
        <v/>
      </c>
      <c r="L49" s="28">
        <f>IF($A49="","",1)</f>
        <v/>
      </c>
    </row>
    <row r="50">
      <c r="A50" s="26" t="n"/>
      <c r="B50" s="26" t="n"/>
      <c r="C50" s="26" t="n"/>
      <c r="D50" s="26" t="n"/>
      <c r="E50" s="26" t="n"/>
      <c r="F50" s="29" t="n"/>
      <c r="G50" s="26" t="n"/>
      <c r="H50" s="28">
        <f>IF($A50="","",IF($F50="","",raporTarihi-$F50))</f>
        <v/>
      </c>
      <c r="I50" s="28">
        <f>IF($A50="","",IF($H50="","",IF($H50&lt;=7,"0-7",IF($H50&lt;=30,"8-30",IF($H50&lt;=60,"31-60","60+")))))</f>
        <v/>
      </c>
      <c r="J50" s="28">
        <f>IF($A50="","",IF($B50="","YETİM",IF(COUNTIF(tblKartlar[KartId],$B50)=0,"YETİM","")))</f>
        <v/>
      </c>
      <c r="K50" s="28">
        <f>IF($A50="","",IF($E50="YOK",IF($D50="KRITIK","KRİTİK EKSİK","EKSİK"),"TAM"))</f>
        <v/>
      </c>
      <c r="L50" s="28">
        <f>IF($A50="","",1)</f>
        <v/>
      </c>
    </row>
    <row r="51">
      <c r="A51" s="26" t="n"/>
      <c r="B51" s="26" t="n"/>
      <c r="C51" s="26" t="n"/>
      <c r="D51" s="26" t="n"/>
      <c r="E51" s="26" t="n"/>
      <c r="F51" s="29" t="n"/>
      <c r="G51" s="26" t="n"/>
      <c r="H51" s="28">
        <f>IF($A51="","",IF($F51="","",raporTarihi-$F51))</f>
        <v/>
      </c>
      <c r="I51" s="28">
        <f>IF($A51="","",IF($H51="","",IF($H51&lt;=7,"0-7",IF($H51&lt;=30,"8-30",IF($H51&lt;=60,"31-60","60+")))))</f>
        <v/>
      </c>
      <c r="J51" s="28">
        <f>IF($A51="","",IF($B51="","YETİM",IF(COUNTIF(tblKartlar[KartId],$B51)=0,"YETİM","")))</f>
        <v/>
      </c>
      <c r="K51" s="28">
        <f>IF($A51="","",IF($E51="YOK",IF($D51="KRITIK","KRİTİK EKSİK","EKSİK"),"TAM"))</f>
        <v/>
      </c>
      <c r="L51" s="28">
        <f>IF($A51="","",1)</f>
        <v/>
      </c>
    </row>
    <row r="52">
      <c r="A52" s="26" t="n"/>
      <c r="B52" s="26" t="n"/>
      <c r="C52" s="26" t="n"/>
      <c r="D52" s="26" t="n"/>
      <c r="E52" s="26" t="n"/>
      <c r="F52" s="29" t="n"/>
      <c r="G52" s="26" t="n"/>
      <c r="H52" s="28">
        <f>IF($A52="","",IF($F52="","",raporTarihi-$F52))</f>
        <v/>
      </c>
      <c r="I52" s="28">
        <f>IF($A52="","",IF($H52="","",IF($H52&lt;=7,"0-7",IF($H52&lt;=30,"8-30",IF($H52&lt;=60,"31-60","60+")))))</f>
        <v/>
      </c>
      <c r="J52" s="28">
        <f>IF($A52="","",IF($B52="","YETİM",IF(COUNTIF(tblKartlar[KartId],$B52)=0,"YETİM","")))</f>
        <v/>
      </c>
      <c r="K52" s="28">
        <f>IF($A52="","",IF($E52="YOK",IF($D52="KRITIK","KRİTİK EKSİK","EKSİK"),"TAM"))</f>
        <v/>
      </c>
      <c r="L52" s="28">
        <f>IF($A52="","",1)</f>
        <v/>
      </c>
    </row>
    <row r="53">
      <c r="A53" s="26" t="n"/>
      <c r="B53" s="26" t="n"/>
      <c r="C53" s="26" t="n"/>
      <c r="D53" s="26" t="n"/>
      <c r="E53" s="26" t="n"/>
      <c r="F53" s="29" t="n"/>
      <c r="G53" s="26" t="n"/>
      <c r="H53" s="28">
        <f>IF($A53="","",IF($F53="","",raporTarihi-$F53))</f>
        <v/>
      </c>
      <c r="I53" s="28">
        <f>IF($A53="","",IF($H53="","",IF($H53&lt;=7,"0-7",IF($H53&lt;=30,"8-30",IF($H53&lt;=60,"31-60","60+")))))</f>
        <v/>
      </c>
      <c r="J53" s="28">
        <f>IF($A53="","",IF($B53="","YETİM",IF(COUNTIF(tblKartlar[KartId],$B53)=0,"YETİM","")))</f>
        <v/>
      </c>
      <c r="K53" s="28">
        <f>IF($A53="","",IF($E53="YOK",IF($D53="KRITIK","KRİTİK EKSİK","EKSİK"),"TAM"))</f>
        <v/>
      </c>
      <c r="L53" s="28">
        <f>IF($A53="","",1)</f>
        <v/>
      </c>
    </row>
    <row r="54">
      <c r="A54" s="26" t="n"/>
      <c r="B54" s="26" t="n"/>
      <c r="C54" s="26" t="n"/>
      <c r="D54" s="26" t="n"/>
      <c r="E54" s="26" t="n"/>
      <c r="F54" s="29" t="n"/>
      <c r="G54" s="26" t="n"/>
      <c r="H54" s="28">
        <f>IF($A54="","",IF($F54="","",raporTarihi-$F54))</f>
        <v/>
      </c>
      <c r="I54" s="28">
        <f>IF($A54="","",IF($H54="","",IF($H54&lt;=7,"0-7",IF($H54&lt;=30,"8-30",IF($H54&lt;=60,"31-60","60+")))))</f>
        <v/>
      </c>
      <c r="J54" s="28">
        <f>IF($A54="","",IF($B54="","YETİM",IF(COUNTIF(tblKartlar[KartId],$B54)=0,"YETİM","")))</f>
        <v/>
      </c>
      <c r="K54" s="28">
        <f>IF($A54="","",IF($E54="YOK",IF($D54="KRITIK","KRİTİK EKSİK","EKSİK"),"TAM"))</f>
        <v/>
      </c>
      <c r="L54" s="28">
        <f>IF($A54="","",1)</f>
        <v/>
      </c>
    </row>
    <row r="55">
      <c r="A55" s="26" t="n"/>
      <c r="B55" s="26" t="n"/>
      <c r="C55" s="26" t="n"/>
      <c r="D55" s="26" t="n"/>
      <c r="E55" s="26" t="n"/>
      <c r="F55" s="29" t="n"/>
      <c r="G55" s="26" t="n"/>
      <c r="H55" s="28">
        <f>IF($A55="","",IF($F55="","",raporTarihi-$F55))</f>
        <v/>
      </c>
      <c r="I55" s="28">
        <f>IF($A55="","",IF($H55="","",IF($H55&lt;=7,"0-7",IF($H55&lt;=30,"8-30",IF($H55&lt;=60,"31-60","60+")))))</f>
        <v/>
      </c>
      <c r="J55" s="28">
        <f>IF($A55="","",IF($B55="","YETİM",IF(COUNTIF(tblKartlar[KartId],$B55)=0,"YETİM","")))</f>
        <v/>
      </c>
      <c r="K55" s="28">
        <f>IF($A55="","",IF($E55="YOK",IF($D55="KRITIK","KRİTİK EKSİK","EKSİK"),"TAM"))</f>
        <v/>
      </c>
      <c r="L55" s="28">
        <f>IF($A55="","",1)</f>
        <v/>
      </c>
    </row>
    <row r="56">
      <c r="A56" s="26" t="n"/>
      <c r="B56" s="26" t="n"/>
      <c r="C56" s="26" t="n"/>
      <c r="D56" s="26" t="n"/>
      <c r="E56" s="26" t="n"/>
      <c r="F56" s="29" t="n"/>
      <c r="G56" s="26" t="n"/>
      <c r="H56" s="28">
        <f>IF($A56="","",IF($F56="","",raporTarihi-$F56))</f>
        <v/>
      </c>
      <c r="I56" s="28">
        <f>IF($A56="","",IF($H56="","",IF($H56&lt;=7,"0-7",IF($H56&lt;=30,"8-30",IF($H56&lt;=60,"31-60","60+")))))</f>
        <v/>
      </c>
      <c r="J56" s="28">
        <f>IF($A56="","",IF($B56="","YETİM",IF(COUNTIF(tblKartlar[KartId],$B56)=0,"YETİM","")))</f>
        <v/>
      </c>
      <c r="K56" s="28">
        <f>IF($A56="","",IF($E56="YOK",IF($D56="KRITIK","KRİTİK EKSİK","EKSİK"),"TAM"))</f>
        <v/>
      </c>
      <c r="L56" s="28">
        <f>IF($A56="","",1)</f>
        <v/>
      </c>
    </row>
    <row r="57">
      <c r="A57" s="26" t="n"/>
      <c r="B57" s="26" t="n"/>
      <c r="C57" s="26" t="n"/>
      <c r="D57" s="26" t="n"/>
      <c r="E57" s="26" t="n"/>
      <c r="F57" s="29" t="n"/>
      <c r="G57" s="26" t="n"/>
      <c r="H57" s="28">
        <f>IF($A57="","",IF($F57="","",raporTarihi-$F57))</f>
        <v/>
      </c>
      <c r="I57" s="28">
        <f>IF($A57="","",IF($H57="","",IF($H57&lt;=7,"0-7",IF($H57&lt;=30,"8-30",IF($H57&lt;=60,"31-60","60+")))))</f>
        <v/>
      </c>
      <c r="J57" s="28">
        <f>IF($A57="","",IF($B57="","YETİM",IF(COUNTIF(tblKartlar[KartId],$B57)=0,"YETİM","")))</f>
        <v/>
      </c>
      <c r="K57" s="28">
        <f>IF($A57="","",IF($E57="YOK",IF($D57="KRITIK","KRİTİK EKSİK","EKSİK"),"TAM"))</f>
        <v/>
      </c>
      <c r="L57" s="28">
        <f>IF($A57="","",1)</f>
        <v/>
      </c>
    </row>
    <row r="58">
      <c r="A58" s="26" t="n"/>
      <c r="B58" s="26" t="n"/>
      <c r="C58" s="26" t="n"/>
      <c r="D58" s="26" t="n"/>
      <c r="E58" s="26" t="n"/>
      <c r="F58" s="29" t="n"/>
      <c r="G58" s="26" t="n"/>
      <c r="H58" s="28">
        <f>IF($A58="","",IF($F58="","",raporTarihi-$F58))</f>
        <v/>
      </c>
      <c r="I58" s="28">
        <f>IF($A58="","",IF($H58="","",IF($H58&lt;=7,"0-7",IF($H58&lt;=30,"8-30",IF($H58&lt;=60,"31-60","60+")))))</f>
        <v/>
      </c>
      <c r="J58" s="28">
        <f>IF($A58="","",IF($B58="","YETİM",IF(COUNTIF(tblKartlar[KartId],$B58)=0,"YETİM","")))</f>
        <v/>
      </c>
      <c r="K58" s="28">
        <f>IF($A58="","",IF($E58="YOK",IF($D58="KRITIK","KRİTİK EKSİK","EKSİK"),"TAM"))</f>
        <v/>
      </c>
      <c r="L58" s="28">
        <f>IF($A58="","",1)</f>
        <v/>
      </c>
    </row>
    <row r="59">
      <c r="A59" s="26" t="n"/>
      <c r="B59" s="26" t="n"/>
      <c r="C59" s="26" t="n"/>
      <c r="D59" s="26" t="n"/>
      <c r="E59" s="26" t="n"/>
      <c r="F59" s="29" t="n"/>
      <c r="G59" s="26" t="n"/>
      <c r="H59" s="28">
        <f>IF($A59="","",IF($F59="","",raporTarihi-$F59))</f>
        <v/>
      </c>
      <c r="I59" s="28">
        <f>IF($A59="","",IF($H59="","",IF($H59&lt;=7,"0-7",IF($H59&lt;=30,"8-30",IF($H59&lt;=60,"31-60","60+")))))</f>
        <v/>
      </c>
      <c r="J59" s="28">
        <f>IF($A59="","",IF($B59="","YETİM",IF(COUNTIF(tblKartlar[KartId],$B59)=0,"YETİM","")))</f>
        <v/>
      </c>
      <c r="K59" s="28">
        <f>IF($A59="","",IF($E59="YOK",IF($D59="KRITIK","KRİTİK EKSİK","EKSİK"),"TAM"))</f>
        <v/>
      </c>
      <c r="L59" s="28">
        <f>IF($A59="","",1)</f>
        <v/>
      </c>
    </row>
    <row r="60">
      <c r="A60" s="26" t="n"/>
      <c r="B60" s="26" t="n"/>
      <c r="C60" s="26" t="n"/>
      <c r="D60" s="26" t="n"/>
      <c r="E60" s="26" t="n"/>
      <c r="F60" s="29" t="n"/>
      <c r="G60" s="26" t="n"/>
      <c r="H60" s="28">
        <f>IF($A60="","",IF($F60="","",raporTarihi-$F60))</f>
        <v/>
      </c>
      <c r="I60" s="28">
        <f>IF($A60="","",IF($H60="","",IF($H60&lt;=7,"0-7",IF($H60&lt;=30,"8-30",IF($H60&lt;=60,"31-60","60+")))))</f>
        <v/>
      </c>
      <c r="J60" s="28">
        <f>IF($A60="","",IF($B60="","YETİM",IF(COUNTIF(tblKartlar[KartId],$B60)=0,"YETİM","")))</f>
        <v/>
      </c>
      <c r="K60" s="28">
        <f>IF($A60="","",IF($E60="YOK",IF($D60="KRITIK","KRİTİK EKSİK","EKSİK"),"TAM"))</f>
        <v/>
      </c>
      <c r="L60" s="28">
        <f>IF($A60="","",1)</f>
        <v/>
      </c>
    </row>
    <row r="61">
      <c r="A61" s="26" t="n"/>
      <c r="B61" s="26" t="n"/>
      <c r="C61" s="26" t="n"/>
      <c r="D61" s="26" t="n"/>
      <c r="E61" s="26" t="n"/>
      <c r="F61" s="29" t="n"/>
      <c r="G61" s="26" t="n"/>
      <c r="H61" s="28">
        <f>IF($A61="","",IF($F61="","",raporTarihi-$F61))</f>
        <v/>
      </c>
      <c r="I61" s="28">
        <f>IF($A61="","",IF($H61="","",IF($H61&lt;=7,"0-7",IF($H61&lt;=30,"8-30",IF($H61&lt;=60,"31-60","60+")))))</f>
        <v/>
      </c>
      <c r="J61" s="28">
        <f>IF($A61="","",IF($B61="","YETİM",IF(COUNTIF(tblKartlar[KartId],$B61)=0,"YETİM","")))</f>
        <v/>
      </c>
      <c r="K61" s="28">
        <f>IF($A61="","",IF($E61="YOK",IF($D61="KRITIK","KRİTİK EKSİK","EKSİK"),"TAM"))</f>
        <v/>
      </c>
      <c r="L61" s="28">
        <f>IF($A61="","",1)</f>
        <v/>
      </c>
    </row>
    <row r="62">
      <c r="A62" s="26" t="n"/>
      <c r="B62" s="26" t="n"/>
      <c r="C62" s="26" t="n"/>
      <c r="D62" s="26" t="n"/>
      <c r="E62" s="26" t="n"/>
      <c r="F62" s="29" t="n"/>
      <c r="G62" s="26" t="n"/>
      <c r="H62" s="28">
        <f>IF($A62="","",IF($F62="","",raporTarihi-$F62))</f>
        <v/>
      </c>
      <c r="I62" s="28">
        <f>IF($A62="","",IF($H62="","",IF($H62&lt;=7,"0-7",IF($H62&lt;=30,"8-30",IF($H62&lt;=60,"31-60","60+")))))</f>
        <v/>
      </c>
      <c r="J62" s="28">
        <f>IF($A62="","",IF($B62="","YETİM",IF(COUNTIF(tblKartlar[KartId],$B62)=0,"YETİM","")))</f>
        <v/>
      </c>
      <c r="K62" s="28">
        <f>IF($A62="","",IF($E62="YOK",IF($D62="KRITIK","KRİTİK EKSİK","EKSİK"),"TAM"))</f>
        <v/>
      </c>
      <c r="L62" s="28">
        <f>IF($A62="","",1)</f>
        <v/>
      </c>
    </row>
    <row r="63">
      <c r="A63" s="26" t="n"/>
      <c r="B63" s="26" t="n"/>
      <c r="C63" s="26" t="n"/>
      <c r="D63" s="26" t="n"/>
      <c r="E63" s="26" t="n"/>
      <c r="F63" s="29" t="n"/>
      <c r="G63" s="26" t="n"/>
      <c r="H63" s="28">
        <f>IF($A63="","",IF($F63="","",raporTarihi-$F63))</f>
        <v/>
      </c>
      <c r="I63" s="28">
        <f>IF($A63="","",IF($H63="","",IF($H63&lt;=7,"0-7",IF($H63&lt;=30,"8-30",IF($H63&lt;=60,"31-60","60+")))))</f>
        <v/>
      </c>
      <c r="J63" s="28">
        <f>IF($A63="","",IF($B63="","YETİM",IF(COUNTIF(tblKartlar[KartId],$B63)=0,"YETİM","")))</f>
        <v/>
      </c>
      <c r="K63" s="28">
        <f>IF($A63="","",IF($E63="YOK",IF($D63="KRITIK","KRİTİK EKSİK","EKSİK"),"TAM"))</f>
        <v/>
      </c>
      <c r="L63" s="28">
        <f>IF($A63="","",1)</f>
        <v/>
      </c>
    </row>
    <row r="64">
      <c r="A64" s="26" t="n"/>
      <c r="B64" s="26" t="n"/>
      <c r="C64" s="26" t="n"/>
      <c r="D64" s="26" t="n"/>
      <c r="E64" s="26" t="n"/>
      <c r="F64" s="29" t="n"/>
      <c r="G64" s="26" t="n"/>
      <c r="H64" s="28">
        <f>IF($A64="","",IF($F64="","",raporTarihi-$F64))</f>
        <v/>
      </c>
      <c r="I64" s="28">
        <f>IF($A64="","",IF($H64="","",IF($H64&lt;=7,"0-7",IF($H64&lt;=30,"8-30",IF($H64&lt;=60,"31-60","60+")))))</f>
        <v/>
      </c>
      <c r="J64" s="28">
        <f>IF($A64="","",IF($B64="","YETİM",IF(COUNTIF(tblKartlar[KartId],$B64)=0,"YETİM","")))</f>
        <v/>
      </c>
      <c r="K64" s="28">
        <f>IF($A64="","",IF($E64="YOK",IF($D64="KRITIK","KRİTİK EKSİK","EKSİK"),"TAM"))</f>
        <v/>
      </c>
      <c r="L64" s="28">
        <f>IF($A64="","",1)</f>
        <v/>
      </c>
    </row>
    <row r="65">
      <c r="A65" s="26" t="n"/>
      <c r="B65" s="26" t="n"/>
      <c r="C65" s="26" t="n"/>
      <c r="D65" s="26" t="n"/>
      <c r="E65" s="26" t="n"/>
      <c r="F65" s="29" t="n"/>
      <c r="G65" s="26" t="n"/>
      <c r="H65" s="28">
        <f>IF($A65="","",IF($F65="","",raporTarihi-$F65))</f>
        <v/>
      </c>
      <c r="I65" s="28">
        <f>IF($A65="","",IF($H65="","",IF($H65&lt;=7,"0-7",IF($H65&lt;=30,"8-30",IF($H65&lt;=60,"31-60","60+")))))</f>
        <v/>
      </c>
      <c r="J65" s="28">
        <f>IF($A65="","",IF($B65="","YETİM",IF(COUNTIF(tblKartlar[KartId],$B65)=0,"YETİM","")))</f>
        <v/>
      </c>
      <c r="K65" s="28">
        <f>IF($A65="","",IF($E65="YOK",IF($D65="KRITIK","KRİTİK EKSİK","EKSİK"),"TAM"))</f>
        <v/>
      </c>
      <c r="L65" s="28">
        <f>IF($A65="","",1)</f>
        <v/>
      </c>
    </row>
    <row r="66">
      <c r="A66" s="26" t="n"/>
      <c r="B66" s="26" t="n"/>
      <c r="C66" s="26" t="n"/>
      <c r="D66" s="26" t="n"/>
      <c r="E66" s="26" t="n"/>
      <c r="F66" s="29" t="n"/>
      <c r="G66" s="26" t="n"/>
      <c r="H66" s="28">
        <f>IF($A66="","",IF($F66="","",raporTarihi-$F66))</f>
        <v/>
      </c>
      <c r="I66" s="28">
        <f>IF($A66="","",IF($H66="","",IF($H66&lt;=7,"0-7",IF($H66&lt;=30,"8-30",IF($H66&lt;=60,"31-60","60+")))))</f>
        <v/>
      </c>
      <c r="J66" s="28">
        <f>IF($A66="","",IF($B66="","YETİM",IF(COUNTIF(tblKartlar[KartId],$B66)=0,"YETİM","")))</f>
        <v/>
      </c>
      <c r="K66" s="28">
        <f>IF($A66="","",IF($E66="YOK",IF($D66="KRITIK","KRİTİK EKSİK","EKSİK"),"TAM"))</f>
        <v/>
      </c>
      <c r="L66" s="28">
        <f>IF($A66="","",1)</f>
        <v/>
      </c>
    </row>
    <row r="67">
      <c r="A67" s="26" t="n"/>
      <c r="B67" s="26" t="n"/>
      <c r="C67" s="26" t="n"/>
      <c r="D67" s="26" t="n"/>
      <c r="E67" s="26" t="n"/>
      <c r="F67" s="29" t="n"/>
      <c r="G67" s="26" t="n"/>
      <c r="H67" s="28">
        <f>IF($A67="","",IF($F67="","",raporTarihi-$F67))</f>
        <v/>
      </c>
      <c r="I67" s="28">
        <f>IF($A67="","",IF($H67="","",IF($H67&lt;=7,"0-7",IF($H67&lt;=30,"8-30",IF($H67&lt;=60,"31-60","60+")))))</f>
        <v/>
      </c>
      <c r="J67" s="28">
        <f>IF($A67="","",IF($B67="","YETİM",IF(COUNTIF(tblKartlar[KartId],$B67)=0,"YETİM","")))</f>
        <v/>
      </c>
      <c r="K67" s="28">
        <f>IF($A67="","",IF($E67="YOK",IF($D67="KRITIK","KRİTİK EKSİK","EKSİK"),"TAM"))</f>
        <v/>
      </c>
      <c r="L67" s="28">
        <f>IF($A67="","",1)</f>
        <v/>
      </c>
    </row>
    <row r="68">
      <c r="A68" s="26" t="n"/>
      <c r="B68" s="26" t="n"/>
      <c r="C68" s="26" t="n"/>
      <c r="D68" s="26" t="n"/>
      <c r="E68" s="26" t="n"/>
      <c r="F68" s="29" t="n"/>
      <c r="G68" s="26" t="n"/>
      <c r="H68" s="28">
        <f>IF($A68="","",IF($F68="","",raporTarihi-$F68))</f>
        <v/>
      </c>
      <c r="I68" s="28">
        <f>IF($A68="","",IF($H68="","",IF($H68&lt;=7,"0-7",IF($H68&lt;=30,"8-30",IF($H68&lt;=60,"31-60","60+")))))</f>
        <v/>
      </c>
      <c r="J68" s="28">
        <f>IF($A68="","",IF($B68="","YETİM",IF(COUNTIF(tblKartlar[KartId],$B68)=0,"YETİM","")))</f>
        <v/>
      </c>
      <c r="K68" s="28">
        <f>IF($A68="","",IF($E68="YOK",IF($D68="KRITIK","KRİTİK EKSİK","EKSİK"),"TAM"))</f>
        <v/>
      </c>
      <c r="L68" s="28">
        <f>IF($A68="","",1)</f>
        <v/>
      </c>
    </row>
    <row r="69">
      <c r="A69" s="26" t="n"/>
      <c r="B69" s="26" t="n"/>
      <c r="C69" s="26" t="n"/>
      <c r="D69" s="26" t="n"/>
      <c r="E69" s="26" t="n"/>
      <c r="F69" s="29" t="n"/>
      <c r="G69" s="26" t="n"/>
      <c r="H69" s="28">
        <f>IF($A69="","",IF($F69="","",raporTarihi-$F69))</f>
        <v/>
      </c>
      <c r="I69" s="28">
        <f>IF($A69="","",IF($H69="","",IF($H69&lt;=7,"0-7",IF($H69&lt;=30,"8-30",IF($H69&lt;=60,"31-60","60+")))))</f>
        <v/>
      </c>
      <c r="J69" s="28">
        <f>IF($A69="","",IF($B69="","YETİM",IF(COUNTIF(tblKartlar[KartId],$B69)=0,"YETİM","")))</f>
        <v/>
      </c>
      <c r="K69" s="28">
        <f>IF($A69="","",IF($E69="YOK",IF($D69="KRITIK","KRİTİK EKSİK","EKSİK"),"TAM"))</f>
        <v/>
      </c>
      <c r="L69" s="28">
        <f>IF($A69="","",1)</f>
        <v/>
      </c>
    </row>
    <row r="70">
      <c r="A70" s="26" t="n"/>
      <c r="B70" s="26" t="n"/>
      <c r="C70" s="26" t="n"/>
      <c r="D70" s="26" t="n"/>
      <c r="E70" s="26" t="n"/>
      <c r="F70" s="29" t="n"/>
      <c r="G70" s="26" t="n"/>
      <c r="H70" s="28">
        <f>IF($A70="","",IF($F70="","",raporTarihi-$F70))</f>
        <v/>
      </c>
      <c r="I70" s="28">
        <f>IF($A70="","",IF($H70="","",IF($H70&lt;=7,"0-7",IF($H70&lt;=30,"8-30",IF($H70&lt;=60,"31-60","60+")))))</f>
        <v/>
      </c>
      <c r="J70" s="28">
        <f>IF($A70="","",IF($B70="","YETİM",IF(COUNTIF(tblKartlar[KartId],$B70)=0,"YETİM","")))</f>
        <v/>
      </c>
      <c r="K70" s="28">
        <f>IF($A70="","",IF($E70="YOK",IF($D70="KRITIK","KRİTİK EKSİK","EKSİK"),"TAM"))</f>
        <v/>
      </c>
      <c r="L70" s="28">
        <f>IF($A70="","",1)</f>
        <v/>
      </c>
    </row>
    <row r="71">
      <c r="A71" s="26" t="n"/>
      <c r="B71" s="26" t="n"/>
      <c r="C71" s="26" t="n"/>
      <c r="D71" s="26" t="n"/>
      <c r="E71" s="26" t="n"/>
      <c r="F71" s="29" t="n"/>
      <c r="G71" s="26" t="n"/>
      <c r="H71" s="28">
        <f>IF($A71="","",IF($F71="","",raporTarihi-$F71))</f>
        <v/>
      </c>
      <c r="I71" s="28">
        <f>IF($A71="","",IF($H71="","",IF($H71&lt;=7,"0-7",IF($H71&lt;=30,"8-30",IF($H71&lt;=60,"31-60","60+")))))</f>
        <v/>
      </c>
      <c r="J71" s="28">
        <f>IF($A71="","",IF($B71="","YETİM",IF(COUNTIF(tblKartlar[KartId],$B71)=0,"YETİM","")))</f>
        <v/>
      </c>
      <c r="K71" s="28">
        <f>IF($A71="","",IF($E71="YOK",IF($D71="KRITIK","KRİTİK EKSİK","EKSİK"),"TAM"))</f>
        <v/>
      </c>
      <c r="L71" s="28">
        <f>IF($A71="","",1)</f>
        <v/>
      </c>
    </row>
    <row r="72">
      <c r="A72" s="26" t="n"/>
      <c r="B72" s="26" t="n"/>
      <c r="C72" s="26" t="n"/>
      <c r="D72" s="26" t="n"/>
      <c r="E72" s="26" t="n"/>
      <c r="F72" s="29" t="n"/>
      <c r="G72" s="26" t="n"/>
      <c r="H72" s="28">
        <f>IF($A72="","",IF($F72="","",raporTarihi-$F72))</f>
        <v/>
      </c>
      <c r="I72" s="28">
        <f>IF($A72="","",IF($H72="","",IF($H72&lt;=7,"0-7",IF($H72&lt;=30,"8-30",IF($H72&lt;=60,"31-60","60+")))))</f>
        <v/>
      </c>
      <c r="J72" s="28">
        <f>IF($A72="","",IF($B72="","YETİM",IF(COUNTIF(tblKartlar[KartId],$B72)=0,"YETİM","")))</f>
        <v/>
      </c>
      <c r="K72" s="28">
        <f>IF($A72="","",IF($E72="YOK",IF($D72="KRITIK","KRİTİK EKSİK","EKSİK"),"TAM"))</f>
        <v/>
      </c>
      <c r="L72" s="28">
        <f>IF($A72="","",1)</f>
        <v/>
      </c>
    </row>
    <row r="73">
      <c r="A73" s="26" t="n"/>
      <c r="B73" s="26" t="n"/>
      <c r="C73" s="26" t="n"/>
      <c r="D73" s="26" t="n"/>
      <c r="E73" s="26" t="n"/>
      <c r="F73" s="29" t="n"/>
      <c r="G73" s="26" t="n"/>
      <c r="H73" s="28">
        <f>IF($A73="","",IF($F73="","",raporTarihi-$F73))</f>
        <v/>
      </c>
      <c r="I73" s="28">
        <f>IF($A73="","",IF($H73="","",IF($H73&lt;=7,"0-7",IF($H73&lt;=30,"8-30",IF($H73&lt;=60,"31-60","60+")))))</f>
        <v/>
      </c>
      <c r="J73" s="28">
        <f>IF($A73="","",IF($B73="","YETİM",IF(COUNTIF(tblKartlar[KartId],$B73)=0,"YETİM","")))</f>
        <v/>
      </c>
      <c r="K73" s="28">
        <f>IF($A73="","",IF($E73="YOK",IF($D73="KRITIK","KRİTİK EKSİK","EKSİK"),"TAM"))</f>
        <v/>
      </c>
      <c r="L73" s="28">
        <f>IF($A73="","",1)</f>
        <v/>
      </c>
    </row>
    <row r="74">
      <c r="A74" s="26" t="n"/>
      <c r="B74" s="26" t="n"/>
      <c r="C74" s="26" t="n"/>
      <c r="D74" s="26" t="n"/>
      <c r="E74" s="26" t="n"/>
      <c r="F74" s="29" t="n"/>
      <c r="G74" s="26" t="n"/>
      <c r="H74" s="28">
        <f>IF($A74="","",IF($F74="","",raporTarihi-$F74))</f>
        <v/>
      </c>
      <c r="I74" s="28">
        <f>IF($A74="","",IF($H74="","",IF($H74&lt;=7,"0-7",IF($H74&lt;=30,"8-30",IF($H74&lt;=60,"31-60","60+")))))</f>
        <v/>
      </c>
      <c r="J74" s="28">
        <f>IF($A74="","",IF($B74="","YETİM",IF(COUNTIF(tblKartlar[KartId],$B74)=0,"YETİM","")))</f>
        <v/>
      </c>
      <c r="K74" s="28">
        <f>IF($A74="","",IF($E74="YOK",IF($D74="KRITIK","KRİTİK EKSİK","EKSİK"),"TAM"))</f>
        <v/>
      </c>
      <c r="L74" s="28">
        <f>IF($A74="","",1)</f>
        <v/>
      </c>
    </row>
    <row r="75">
      <c r="A75" s="26" t="n"/>
      <c r="B75" s="26" t="n"/>
      <c r="C75" s="26" t="n"/>
      <c r="D75" s="26" t="n"/>
      <c r="E75" s="26" t="n"/>
      <c r="F75" s="29" t="n"/>
      <c r="G75" s="26" t="n"/>
      <c r="H75" s="28">
        <f>IF($A75="","",IF($F75="","",raporTarihi-$F75))</f>
        <v/>
      </c>
      <c r="I75" s="28">
        <f>IF($A75="","",IF($H75="","",IF($H75&lt;=7,"0-7",IF($H75&lt;=30,"8-30",IF($H75&lt;=60,"31-60","60+")))))</f>
        <v/>
      </c>
      <c r="J75" s="28">
        <f>IF($A75="","",IF($B75="","YETİM",IF(COUNTIF(tblKartlar[KartId],$B75)=0,"YETİM","")))</f>
        <v/>
      </c>
      <c r="K75" s="28">
        <f>IF($A75="","",IF($E75="YOK",IF($D75="KRITIK","KRİTİK EKSİK","EKSİK"),"TAM"))</f>
        <v/>
      </c>
      <c r="L75" s="28">
        <f>IF($A75="","",1)</f>
        <v/>
      </c>
    </row>
    <row r="76">
      <c r="A76" s="26" t="n"/>
      <c r="B76" s="26" t="n"/>
      <c r="C76" s="26" t="n"/>
      <c r="D76" s="26" t="n"/>
      <c r="E76" s="26" t="n"/>
      <c r="F76" s="29" t="n"/>
      <c r="G76" s="26" t="n"/>
      <c r="H76" s="28">
        <f>IF($A76="","",IF($F76="","",raporTarihi-$F76))</f>
        <v/>
      </c>
      <c r="I76" s="28">
        <f>IF($A76="","",IF($H76="","",IF($H76&lt;=7,"0-7",IF($H76&lt;=30,"8-30",IF($H76&lt;=60,"31-60","60+")))))</f>
        <v/>
      </c>
      <c r="J76" s="28">
        <f>IF($A76="","",IF($B76="","YETİM",IF(COUNTIF(tblKartlar[KartId],$B76)=0,"YETİM","")))</f>
        <v/>
      </c>
      <c r="K76" s="28">
        <f>IF($A76="","",IF($E76="YOK",IF($D76="KRITIK","KRİTİK EKSİK","EKSİK"),"TAM"))</f>
        <v/>
      </c>
      <c r="L76" s="28">
        <f>IF($A76="","",1)</f>
        <v/>
      </c>
    </row>
    <row r="77">
      <c r="A77" s="26" t="n"/>
      <c r="B77" s="26" t="n"/>
      <c r="C77" s="26" t="n"/>
      <c r="D77" s="26" t="n"/>
      <c r="E77" s="26" t="n"/>
      <c r="F77" s="29" t="n"/>
      <c r="G77" s="26" t="n"/>
      <c r="H77" s="28">
        <f>IF($A77="","",IF($F77="","",raporTarihi-$F77))</f>
        <v/>
      </c>
      <c r="I77" s="28">
        <f>IF($A77="","",IF($H77="","",IF($H77&lt;=7,"0-7",IF($H77&lt;=30,"8-30",IF($H77&lt;=60,"31-60","60+")))))</f>
        <v/>
      </c>
      <c r="J77" s="28">
        <f>IF($A77="","",IF($B77="","YETİM",IF(COUNTIF(tblKartlar[KartId],$B77)=0,"YETİM","")))</f>
        <v/>
      </c>
      <c r="K77" s="28">
        <f>IF($A77="","",IF($E77="YOK",IF($D77="KRITIK","KRİTİK EKSİK","EKSİK"),"TAM"))</f>
        <v/>
      </c>
      <c r="L77" s="28">
        <f>IF($A77="","",1)</f>
        <v/>
      </c>
    </row>
    <row r="78">
      <c r="A78" s="26" t="n"/>
      <c r="B78" s="26" t="n"/>
      <c r="C78" s="26" t="n"/>
      <c r="D78" s="26" t="n"/>
      <c r="E78" s="26" t="n"/>
      <c r="F78" s="29" t="n"/>
      <c r="G78" s="26" t="n"/>
      <c r="H78" s="28">
        <f>IF($A78="","",IF($F78="","",raporTarihi-$F78))</f>
        <v/>
      </c>
      <c r="I78" s="28">
        <f>IF($A78="","",IF($H78="","",IF($H78&lt;=7,"0-7",IF($H78&lt;=30,"8-30",IF($H78&lt;=60,"31-60","60+")))))</f>
        <v/>
      </c>
      <c r="J78" s="28">
        <f>IF($A78="","",IF($B78="","YETİM",IF(COUNTIF(tblKartlar[KartId],$B78)=0,"YETİM","")))</f>
        <v/>
      </c>
      <c r="K78" s="28">
        <f>IF($A78="","",IF($E78="YOK",IF($D78="KRITIK","KRİTİK EKSİK","EKSİK"),"TAM"))</f>
        <v/>
      </c>
      <c r="L78" s="28">
        <f>IF($A78="","",1)</f>
        <v/>
      </c>
    </row>
    <row r="79">
      <c r="A79" s="26" t="n"/>
      <c r="B79" s="26" t="n"/>
      <c r="C79" s="26" t="n"/>
      <c r="D79" s="26" t="n"/>
      <c r="E79" s="26" t="n"/>
      <c r="F79" s="29" t="n"/>
      <c r="G79" s="26" t="n"/>
      <c r="H79" s="28">
        <f>IF($A79="","",IF($F79="","",raporTarihi-$F79))</f>
        <v/>
      </c>
      <c r="I79" s="28">
        <f>IF($A79="","",IF($H79="","",IF($H79&lt;=7,"0-7",IF($H79&lt;=30,"8-30",IF($H79&lt;=60,"31-60","60+")))))</f>
        <v/>
      </c>
      <c r="J79" s="28">
        <f>IF($A79="","",IF($B79="","YETİM",IF(COUNTIF(tblKartlar[KartId],$B79)=0,"YETİM","")))</f>
        <v/>
      </c>
      <c r="K79" s="28">
        <f>IF($A79="","",IF($E79="YOK",IF($D79="KRITIK","KRİTİK EKSİK","EKSİK"),"TAM"))</f>
        <v/>
      </c>
      <c r="L79" s="28">
        <f>IF($A79="","",1)</f>
        <v/>
      </c>
    </row>
    <row r="80">
      <c r="A80" s="26" t="n"/>
      <c r="B80" s="26" t="n"/>
      <c r="C80" s="26" t="n"/>
      <c r="D80" s="26" t="n"/>
      <c r="E80" s="26" t="n"/>
      <c r="F80" s="29" t="n"/>
      <c r="G80" s="26" t="n"/>
      <c r="H80" s="28">
        <f>IF($A80="","",IF($F80="","",raporTarihi-$F80))</f>
        <v/>
      </c>
      <c r="I80" s="28">
        <f>IF($A80="","",IF($H80="","",IF($H80&lt;=7,"0-7",IF($H80&lt;=30,"8-30",IF($H80&lt;=60,"31-60","60+")))))</f>
        <v/>
      </c>
      <c r="J80" s="28">
        <f>IF($A80="","",IF($B80="","YETİM",IF(COUNTIF(tblKartlar[KartId],$B80)=0,"YETİM","")))</f>
        <v/>
      </c>
      <c r="K80" s="28">
        <f>IF($A80="","",IF($E80="YOK",IF($D80="KRITIK","KRİTİK EKSİK","EKSİK"),"TAM"))</f>
        <v/>
      </c>
      <c r="L80" s="28">
        <f>IF($A80="","",1)</f>
        <v/>
      </c>
    </row>
    <row r="81">
      <c r="A81" s="26" t="n"/>
      <c r="B81" s="26" t="n"/>
      <c r="C81" s="26" t="n"/>
      <c r="D81" s="26" t="n"/>
      <c r="E81" s="26" t="n"/>
      <c r="F81" s="29" t="n"/>
      <c r="G81" s="26" t="n"/>
      <c r="H81" s="28">
        <f>IF($A81="","",IF($F81="","",raporTarihi-$F81))</f>
        <v/>
      </c>
      <c r="I81" s="28">
        <f>IF($A81="","",IF($H81="","",IF($H81&lt;=7,"0-7",IF($H81&lt;=30,"8-30",IF($H81&lt;=60,"31-60","60+")))))</f>
        <v/>
      </c>
      <c r="J81" s="28">
        <f>IF($A81="","",IF($B81="","YETİM",IF(COUNTIF(tblKartlar[KartId],$B81)=0,"YETİM","")))</f>
        <v/>
      </c>
      <c r="K81" s="28">
        <f>IF($A81="","",IF($E81="YOK",IF($D81="KRITIK","KRİTİK EKSİK","EKSİK"),"TAM"))</f>
        <v/>
      </c>
      <c r="L81" s="28">
        <f>IF($A81="","",1)</f>
        <v/>
      </c>
    </row>
    <row r="82">
      <c r="A82" s="26" t="n"/>
      <c r="B82" s="26" t="n"/>
      <c r="C82" s="26" t="n"/>
      <c r="D82" s="26" t="n"/>
      <c r="E82" s="26" t="n"/>
      <c r="F82" s="29" t="n"/>
      <c r="G82" s="26" t="n"/>
      <c r="H82" s="28">
        <f>IF($A82="","",IF($F82="","",raporTarihi-$F82))</f>
        <v/>
      </c>
      <c r="I82" s="28">
        <f>IF($A82="","",IF($H82="","",IF($H82&lt;=7,"0-7",IF($H82&lt;=30,"8-30",IF($H82&lt;=60,"31-60","60+")))))</f>
        <v/>
      </c>
      <c r="J82" s="28">
        <f>IF($A82="","",IF($B82="","YETİM",IF(COUNTIF(tblKartlar[KartId],$B82)=0,"YETİM","")))</f>
        <v/>
      </c>
      <c r="K82" s="28">
        <f>IF($A82="","",IF($E82="YOK",IF($D82="KRITIK","KRİTİK EKSİK","EKSİK"),"TAM"))</f>
        <v/>
      </c>
      <c r="L82" s="28">
        <f>IF($A82="","",1)</f>
        <v/>
      </c>
    </row>
    <row r="83">
      <c r="A83" s="26" t="n"/>
      <c r="B83" s="26" t="n"/>
      <c r="C83" s="26" t="n"/>
      <c r="D83" s="26" t="n"/>
      <c r="E83" s="26" t="n"/>
      <c r="F83" s="29" t="n"/>
      <c r="G83" s="26" t="n"/>
      <c r="H83" s="28">
        <f>IF($A83="","",IF($F83="","",raporTarihi-$F83))</f>
        <v/>
      </c>
      <c r="I83" s="28">
        <f>IF($A83="","",IF($H83="","",IF($H83&lt;=7,"0-7",IF($H83&lt;=30,"8-30",IF($H83&lt;=60,"31-60","60+")))))</f>
        <v/>
      </c>
      <c r="J83" s="28">
        <f>IF($A83="","",IF($B83="","YETİM",IF(COUNTIF(tblKartlar[KartId],$B83)=0,"YETİM","")))</f>
        <v/>
      </c>
      <c r="K83" s="28">
        <f>IF($A83="","",IF($E83="YOK",IF($D83="KRITIK","KRİTİK EKSİK","EKSİK"),"TAM"))</f>
        <v/>
      </c>
      <c r="L83" s="28">
        <f>IF($A83="","",1)</f>
        <v/>
      </c>
    </row>
    <row r="84">
      <c r="A84" s="26" t="n"/>
      <c r="B84" s="26" t="n"/>
      <c r="C84" s="26" t="n"/>
      <c r="D84" s="26" t="n"/>
      <c r="E84" s="26" t="n"/>
      <c r="F84" s="29" t="n"/>
      <c r="G84" s="26" t="n"/>
      <c r="H84" s="28">
        <f>IF($A84="","",IF($F84="","",raporTarihi-$F84))</f>
        <v/>
      </c>
      <c r="I84" s="28">
        <f>IF($A84="","",IF($H84="","",IF($H84&lt;=7,"0-7",IF($H84&lt;=30,"8-30",IF($H84&lt;=60,"31-60","60+")))))</f>
        <v/>
      </c>
      <c r="J84" s="28">
        <f>IF($A84="","",IF($B84="","YETİM",IF(COUNTIF(tblKartlar[KartId],$B84)=0,"YETİM","")))</f>
        <v/>
      </c>
      <c r="K84" s="28">
        <f>IF($A84="","",IF($E84="YOK",IF($D84="KRITIK","KRİTİK EKSİK","EKSİK"),"TAM"))</f>
        <v/>
      </c>
      <c r="L84" s="28">
        <f>IF($A84="","",1)</f>
        <v/>
      </c>
    </row>
    <row r="85">
      <c r="A85" s="26" t="n"/>
      <c r="B85" s="26" t="n"/>
      <c r="C85" s="26" t="n"/>
      <c r="D85" s="26" t="n"/>
      <c r="E85" s="26" t="n"/>
      <c r="F85" s="29" t="n"/>
      <c r="G85" s="26" t="n"/>
      <c r="H85" s="28">
        <f>IF($A85="","",IF($F85="","",raporTarihi-$F85))</f>
        <v/>
      </c>
      <c r="I85" s="28">
        <f>IF($A85="","",IF($H85="","",IF($H85&lt;=7,"0-7",IF($H85&lt;=30,"8-30",IF($H85&lt;=60,"31-60","60+")))))</f>
        <v/>
      </c>
      <c r="J85" s="28">
        <f>IF($A85="","",IF($B85="","YETİM",IF(COUNTIF(tblKartlar[KartId],$B85)=0,"YETİM","")))</f>
        <v/>
      </c>
      <c r="K85" s="28">
        <f>IF($A85="","",IF($E85="YOK",IF($D85="KRITIK","KRİTİK EKSİK","EKSİK"),"TAM"))</f>
        <v/>
      </c>
      <c r="L85" s="28">
        <f>IF($A85="","",1)</f>
        <v/>
      </c>
    </row>
    <row r="86">
      <c r="A86" s="26" t="n"/>
      <c r="B86" s="26" t="n"/>
      <c r="C86" s="26" t="n"/>
      <c r="D86" s="26" t="n"/>
      <c r="E86" s="26" t="n"/>
      <c r="F86" s="29" t="n"/>
      <c r="G86" s="26" t="n"/>
      <c r="H86" s="28">
        <f>IF($A86="","",IF($F86="","",raporTarihi-$F86))</f>
        <v/>
      </c>
      <c r="I86" s="28">
        <f>IF($A86="","",IF($H86="","",IF($H86&lt;=7,"0-7",IF($H86&lt;=30,"8-30",IF($H86&lt;=60,"31-60","60+")))))</f>
        <v/>
      </c>
      <c r="J86" s="28">
        <f>IF($A86="","",IF($B86="","YETİM",IF(COUNTIF(tblKartlar[KartId],$B86)=0,"YETİM","")))</f>
        <v/>
      </c>
      <c r="K86" s="28">
        <f>IF($A86="","",IF($E86="YOK",IF($D86="KRITIK","KRİTİK EKSİK","EKSİK"),"TAM"))</f>
        <v/>
      </c>
      <c r="L86" s="28">
        <f>IF($A86="","",1)</f>
        <v/>
      </c>
    </row>
    <row r="87">
      <c r="A87" s="26" t="n"/>
      <c r="B87" s="26" t="n"/>
      <c r="C87" s="26" t="n"/>
      <c r="D87" s="26" t="n"/>
      <c r="E87" s="26" t="n"/>
      <c r="F87" s="29" t="n"/>
      <c r="G87" s="26" t="n"/>
      <c r="H87" s="28">
        <f>IF($A87="","",IF($F87="","",raporTarihi-$F87))</f>
        <v/>
      </c>
      <c r="I87" s="28">
        <f>IF($A87="","",IF($H87="","",IF($H87&lt;=7,"0-7",IF($H87&lt;=30,"8-30",IF($H87&lt;=60,"31-60","60+")))))</f>
        <v/>
      </c>
      <c r="J87" s="28">
        <f>IF($A87="","",IF($B87="","YETİM",IF(COUNTIF(tblKartlar[KartId],$B87)=0,"YETİM","")))</f>
        <v/>
      </c>
      <c r="K87" s="28">
        <f>IF($A87="","",IF($E87="YOK",IF($D87="KRITIK","KRİTİK EKSİK","EKSİK"),"TAM"))</f>
        <v/>
      </c>
      <c r="L87" s="28">
        <f>IF($A87="","",1)</f>
        <v/>
      </c>
    </row>
    <row r="88">
      <c r="A88" s="26" t="n"/>
      <c r="B88" s="26" t="n"/>
      <c r="C88" s="26" t="n"/>
      <c r="D88" s="26" t="n"/>
      <c r="E88" s="26" t="n"/>
      <c r="F88" s="29" t="n"/>
      <c r="G88" s="26" t="n"/>
      <c r="H88" s="28">
        <f>IF($A88="","",IF($F88="","",raporTarihi-$F88))</f>
        <v/>
      </c>
      <c r="I88" s="28">
        <f>IF($A88="","",IF($H88="","",IF($H88&lt;=7,"0-7",IF($H88&lt;=30,"8-30",IF($H88&lt;=60,"31-60","60+")))))</f>
        <v/>
      </c>
      <c r="J88" s="28">
        <f>IF($A88="","",IF($B88="","YETİM",IF(COUNTIF(tblKartlar[KartId],$B88)=0,"YETİM","")))</f>
        <v/>
      </c>
      <c r="K88" s="28">
        <f>IF($A88="","",IF($E88="YOK",IF($D88="KRITIK","KRİTİK EKSİK","EKSİK"),"TAM"))</f>
        <v/>
      </c>
      <c r="L88" s="28">
        <f>IF($A88="","",1)</f>
        <v/>
      </c>
    </row>
    <row r="89">
      <c r="A89" s="26" t="n"/>
      <c r="B89" s="26" t="n"/>
      <c r="C89" s="26" t="n"/>
      <c r="D89" s="26" t="n"/>
      <c r="E89" s="26" t="n"/>
      <c r="F89" s="29" t="n"/>
      <c r="G89" s="26" t="n"/>
      <c r="H89" s="28">
        <f>IF($A89="","",IF($F89="","",raporTarihi-$F89))</f>
        <v/>
      </c>
      <c r="I89" s="28">
        <f>IF($A89="","",IF($H89="","",IF($H89&lt;=7,"0-7",IF($H89&lt;=30,"8-30",IF($H89&lt;=60,"31-60","60+")))))</f>
        <v/>
      </c>
      <c r="J89" s="28">
        <f>IF($A89="","",IF($B89="","YETİM",IF(COUNTIF(tblKartlar[KartId],$B89)=0,"YETİM","")))</f>
        <v/>
      </c>
      <c r="K89" s="28">
        <f>IF($A89="","",IF($E89="YOK",IF($D89="KRITIK","KRİTİK EKSİK","EKSİK"),"TAM"))</f>
        <v/>
      </c>
      <c r="L89" s="28">
        <f>IF($A89="","",1)</f>
        <v/>
      </c>
    </row>
    <row r="90">
      <c r="A90" s="26" t="n"/>
      <c r="B90" s="26" t="n"/>
      <c r="C90" s="26" t="n"/>
      <c r="D90" s="26" t="n"/>
      <c r="E90" s="26" t="n"/>
      <c r="F90" s="29" t="n"/>
      <c r="G90" s="26" t="n"/>
      <c r="H90" s="28">
        <f>IF($A90="","",IF($F90="","",raporTarihi-$F90))</f>
        <v/>
      </c>
      <c r="I90" s="28">
        <f>IF($A90="","",IF($H90="","",IF($H90&lt;=7,"0-7",IF($H90&lt;=30,"8-30",IF($H90&lt;=60,"31-60","60+")))))</f>
        <v/>
      </c>
      <c r="J90" s="28">
        <f>IF($A90="","",IF($B90="","YETİM",IF(COUNTIF(tblKartlar[KartId],$B90)=0,"YETİM","")))</f>
        <v/>
      </c>
      <c r="K90" s="28">
        <f>IF($A90="","",IF($E90="YOK",IF($D90="KRITIK","KRİTİK EKSİK","EKSİK"),"TAM"))</f>
        <v/>
      </c>
      <c r="L90" s="28">
        <f>IF($A90="","",1)</f>
        <v/>
      </c>
    </row>
    <row r="91">
      <c r="A91" s="26" t="n"/>
      <c r="B91" s="26" t="n"/>
      <c r="C91" s="26" t="n"/>
      <c r="D91" s="26" t="n"/>
      <c r="E91" s="26" t="n"/>
      <c r="F91" s="29" t="n"/>
      <c r="G91" s="26" t="n"/>
      <c r="H91" s="28">
        <f>IF($A91="","",IF($F91="","",raporTarihi-$F91))</f>
        <v/>
      </c>
      <c r="I91" s="28">
        <f>IF($A91="","",IF($H91="","",IF($H91&lt;=7,"0-7",IF($H91&lt;=30,"8-30",IF($H91&lt;=60,"31-60","60+")))))</f>
        <v/>
      </c>
      <c r="J91" s="28">
        <f>IF($A91="","",IF($B91="","YETİM",IF(COUNTIF(tblKartlar[KartId],$B91)=0,"YETİM","")))</f>
        <v/>
      </c>
      <c r="K91" s="28">
        <f>IF($A91="","",IF($E91="YOK",IF($D91="KRITIK","KRİTİK EKSİK","EKSİK"),"TAM"))</f>
        <v/>
      </c>
      <c r="L91" s="28">
        <f>IF($A91="","",1)</f>
        <v/>
      </c>
    </row>
    <row r="92">
      <c r="A92" s="26" t="n"/>
      <c r="B92" s="26" t="n"/>
      <c r="C92" s="26" t="n"/>
      <c r="D92" s="26" t="n"/>
      <c r="E92" s="26" t="n"/>
      <c r="F92" s="29" t="n"/>
      <c r="G92" s="26" t="n"/>
      <c r="H92" s="28">
        <f>IF($A92="","",IF($F92="","",raporTarihi-$F92))</f>
        <v/>
      </c>
      <c r="I92" s="28">
        <f>IF($A92="","",IF($H92="","",IF($H92&lt;=7,"0-7",IF($H92&lt;=30,"8-30",IF($H92&lt;=60,"31-60","60+")))))</f>
        <v/>
      </c>
      <c r="J92" s="28">
        <f>IF($A92="","",IF($B92="","YETİM",IF(COUNTIF(tblKartlar[KartId],$B92)=0,"YETİM","")))</f>
        <v/>
      </c>
      <c r="K92" s="28">
        <f>IF($A92="","",IF($E92="YOK",IF($D92="KRITIK","KRİTİK EKSİK","EKSİK"),"TAM"))</f>
        <v/>
      </c>
      <c r="L92" s="28">
        <f>IF($A92="","",1)</f>
        <v/>
      </c>
    </row>
    <row r="93">
      <c r="A93" s="26" t="n"/>
      <c r="B93" s="26" t="n"/>
      <c r="C93" s="26" t="n"/>
      <c r="D93" s="26" t="n"/>
      <c r="E93" s="26" t="n"/>
      <c r="F93" s="29" t="n"/>
      <c r="G93" s="26" t="n"/>
      <c r="H93" s="28">
        <f>IF($A93="","",IF($F93="","",raporTarihi-$F93))</f>
        <v/>
      </c>
      <c r="I93" s="28">
        <f>IF($A93="","",IF($H93="","",IF($H93&lt;=7,"0-7",IF($H93&lt;=30,"8-30",IF($H93&lt;=60,"31-60","60+")))))</f>
        <v/>
      </c>
      <c r="J93" s="28">
        <f>IF($A93="","",IF($B93="","YETİM",IF(COUNTIF(tblKartlar[KartId],$B93)=0,"YETİM","")))</f>
        <v/>
      </c>
      <c r="K93" s="28">
        <f>IF($A93="","",IF($E93="YOK",IF($D93="KRITIK","KRİTİK EKSİK","EKSİK"),"TAM"))</f>
        <v/>
      </c>
      <c r="L93" s="28">
        <f>IF($A93="","",1)</f>
        <v/>
      </c>
    </row>
    <row r="94">
      <c r="A94" s="26" t="n"/>
      <c r="B94" s="26" t="n"/>
      <c r="C94" s="26" t="n"/>
      <c r="D94" s="26" t="n"/>
      <c r="E94" s="26" t="n"/>
      <c r="F94" s="29" t="n"/>
      <c r="G94" s="26" t="n"/>
      <c r="H94" s="28">
        <f>IF($A94="","",IF($F94="","",raporTarihi-$F94))</f>
        <v/>
      </c>
      <c r="I94" s="28">
        <f>IF($A94="","",IF($H94="","",IF($H94&lt;=7,"0-7",IF($H94&lt;=30,"8-30",IF($H94&lt;=60,"31-60","60+")))))</f>
        <v/>
      </c>
      <c r="J94" s="28">
        <f>IF($A94="","",IF($B94="","YETİM",IF(COUNTIF(tblKartlar[KartId],$B94)=0,"YETİM","")))</f>
        <v/>
      </c>
      <c r="K94" s="28">
        <f>IF($A94="","",IF($E94="YOK",IF($D94="KRITIK","KRİTİK EKSİK","EKSİK"),"TAM"))</f>
        <v/>
      </c>
      <c r="L94" s="28">
        <f>IF($A94="","",1)</f>
        <v/>
      </c>
    </row>
    <row r="95">
      <c r="A95" s="26" t="n"/>
      <c r="B95" s="26" t="n"/>
      <c r="C95" s="26" t="n"/>
      <c r="D95" s="26" t="n"/>
      <c r="E95" s="26" t="n"/>
      <c r="F95" s="29" t="n"/>
      <c r="G95" s="26" t="n"/>
      <c r="H95" s="28">
        <f>IF($A95="","",IF($F95="","",raporTarihi-$F95))</f>
        <v/>
      </c>
      <c r="I95" s="28">
        <f>IF($A95="","",IF($H95="","",IF($H95&lt;=7,"0-7",IF($H95&lt;=30,"8-30",IF($H95&lt;=60,"31-60","60+")))))</f>
        <v/>
      </c>
      <c r="J95" s="28">
        <f>IF($A95="","",IF($B95="","YETİM",IF(COUNTIF(tblKartlar[KartId],$B95)=0,"YETİM","")))</f>
        <v/>
      </c>
      <c r="K95" s="28">
        <f>IF($A95="","",IF($E95="YOK",IF($D95="KRITIK","KRİTİK EKSİK","EKSİK"),"TAM"))</f>
        <v/>
      </c>
      <c r="L95" s="28">
        <f>IF($A95="","",1)</f>
        <v/>
      </c>
    </row>
    <row r="96">
      <c r="A96" s="26" t="n"/>
      <c r="B96" s="26" t="n"/>
      <c r="C96" s="26" t="n"/>
      <c r="D96" s="26" t="n"/>
      <c r="E96" s="26" t="n"/>
      <c r="F96" s="29" t="n"/>
      <c r="G96" s="26" t="n"/>
      <c r="H96" s="28">
        <f>IF($A96="","",IF($F96="","",raporTarihi-$F96))</f>
        <v/>
      </c>
      <c r="I96" s="28">
        <f>IF($A96="","",IF($H96="","",IF($H96&lt;=7,"0-7",IF($H96&lt;=30,"8-30",IF($H96&lt;=60,"31-60","60+")))))</f>
        <v/>
      </c>
      <c r="J96" s="28">
        <f>IF($A96="","",IF($B96="","YETİM",IF(COUNTIF(tblKartlar[KartId],$B96)=0,"YETİM","")))</f>
        <v/>
      </c>
      <c r="K96" s="28">
        <f>IF($A96="","",IF($E96="YOK",IF($D96="KRITIK","KRİTİK EKSİK","EKSİK"),"TAM"))</f>
        <v/>
      </c>
      <c r="L96" s="28">
        <f>IF($A96="","",1)</f>
        <v/>
      </c>
    </row>
    <row r="97">
      <c r="A97" s="26" t="n"/>
      <c r="B97" s="26" t="n"/>
      <c r="C97" s="26" t="n"/>
      <c r="D97" s="26" t="n"/>
      <c r="E97" s="26" t="n"/>
      <c r="F97" s="29" t="n"/>
      <c r="G97" s="26" t="n"/>
      <c r="H97" s="28">
        <f>IF($A97="","",IF($F97="","",raporTarihi-$F97))</f>
        <v/>
      </c>
      <c r="I97" s="28">
        <f>IF($A97="","",IF($H97="","",IF($H97&lt;=7,"0-7",IF($H97&lt;=30,"8-30",IF($H97&lt;=60,"31-60","60+")))))</f>
        <v/>
      </c>
      <c r="J97" s="28">
        <f>IF($A97="","",IF($B97="","YETİM",IF(COUNTIF(tblKartlar[KartId],$B97)=0,"YETİM","")))</f>
        <v/>
      </c>
      <c r="K97" s="28">
        <f>IF($A97="","",IF($E97="YOK",IF($D97="KRITIK","KRİTİK EKSİK","EKSİK"),"TAM"))</f>
        <v/>
      </c>
      <c r="L97" s="28">
        <f>IF($A97="","",1)</f>
        <v/>
      </c>
    </row>
    <row r="98">
      <c r="A98" s="26" t="n"/>
      <c r="B98" s="26" t="n"/>
      <c r="C98" s="26" t="n"/>
      <c r="D98" s="26" t="n"/>
      <c r="E98" s="26" t="n"/>
      <c r="F98" s="29" t="n"/>
      <c r="G98" s="26" t="n"/>
      <c r="H98" s="28">
        <f>IF($A98="","",IF($F98="","",raporTarihi-$F98))</f>
        <v/>
      </c>
      <c r="I98" s="28">
        <f>IF($A98="","",IF($H98="","",IF($H98&lt;=7,"0-7",IF($H98&lt;=30,"8-30",IF($H98&lt;=60,"31-60","60+")))))</f>
        <v/>
      </c>
      <c r="J98" s="28">
        <f>IF($A98="","",IF($B98="","YETİM",IF(COUNTIF(tblKartlar[KartId],$B98)=0,"YETİM","")))</f>
        <v/>
      </c>
      <c r="K98" s="28">
        <f>IF($A98="","",IF($E98="YOK",IF($D98="KRITIK","KRİTİK EKSİK","EKSİK"),"TAM"))</f>
        <v/>
      </c>
      <c r="L98" s="28">
        <f>IF($A98="","",1)</f>
        <v/>
      </c>
    </row>
    <row r="99">
      <c r="A99" s="26" t="n"/>
      <c r="B99" s="26" t="n"/>
      <c r="C99" s="26" t="n"/>
      <c r="D99" s="26" t="n"/>
      <c r="E99" s="26" t="n"/>
      <c r="F99" s="29" t="n"/>
      <c r="G99" s="26" t="n"/>
      <c r="H99" s="28">
        <f>IF($A99="","",IF($F99="","",raporTarihi-$F99))</f>
        <v/>
      </c>
      <c r="I99" s="28">
        <f>IF($A99="","",IF($H99="","",IF($H99&lt;=7,"0-7",IF($H99&lt;=30,"8-30",IF($H99&lt;=60,"31-60","60+")))))</f>
        <v/>
      </c>
      <c r="J99" s="28">
        <f>IF($A99="","",IF($B99="","YETİM",IF(COUNTIF(tblKartlar[KartId],$B99)=0,"YETİM","")))</f>
        <v/>
      </c>
      <c r="K99" s="28">
        <f>IF($A99="","",IF($E99="YOK",IF($D99="KRITIK","KRİTİK EKSİK","EKSİK"),"TAM"))</f>
        <v/>
      </c>
      <c r="L99" s="28">
        <f>IF($A99="","",1)</f>
        <v/>
      </c>
    </row>
    <row r="100">
      <c r="A100" s="26" t="n"/>
      <c r="B100" s="26" t="n"/>
      <c r="C100" s="26" t="n"/>
      <c r="D100" s="26" t="n"/>
      <c r="E100" s="26" t="n"/>
      <c r="F100" s="29" t="n"/>
      <c r="G100" s="26" t="n"/>
      <c r="H100" s="28">
        <f>IF($A100="","",IF($F100="","",raporTarihi-$F100))</f>
        <v/>
      </c>
      <c r="I100" s="28">
        <f>IF($A100="","",IF($H100="","",IF($H100&lt;=7,"0-7",IF($H100&lt;=30,"8-30",IF($H100&lt;=60,"31-60","60+")))))</f>
        <v/>
      </c>
      <c r="J100" s="28">
        <f>IF($A100="","",IF($B100="","YETİM",IF(COUNTIF(tblKartlar[KartId],$B100)=0,"YETİM","")))</f>
        <v/>
      </c>
      <c r="K100" s="28">
        <f>IF($A100="","",IF($E100="YOK",IF($D100="KRITIK","KRİTİK EKSİK","EKSİK"),"TAM"))</f>
        <v/>
      </c>
      <c r="L100" s="28">
        <f>IF($A100="","",1)</f>
        <v/>
      </c>
    </row>
    <row r="101">
      <c r="A101" s="26" t="n"/>
      <c r="B101" s="26" t="n"/>
      <c r="C101" s="26" t="n"/>
      <c r="D101" s="26" t="n"/>
      <c r="E101" s="26" t="n"/>
      <c r="F101" s="29" t="n"/>
      <c r="G101" s="26" t="n"/>
      <c r="H101" s="28">
        <f>IF($A101="","",IF($F101="","",raporTarihi-$F101))</f>
        <v/>
      </c>
      <c r="I101" s="28">
        <f>IF($A101="","",IF($H101="","",IF($H101&lt;=7,"0-7",IF($H101&lt;=30,"8-30",IF($H101&lt;=60,"31-60","60+")))))</f>
        <v/>
      </c>
      <c r="J101" s="28">
        <f>IF($A101="","",IF($B101="","YETİM",IF(COUNTIF(tblKartlar[KartId],$B101)=0,"YETİM","")))</f>
        <v/>
      </c>
      <c r="K101" s="28">
        <f>IF($A101="","",IF($E101="YOK",IF($D101="KRITIK","KRİTİK EKSİK","EKSİK"),"TAM"))</f>
        <v/>
      </c>
      <c r="L101" s="28">
        <f>IF($A101="","",1)</f>
        <v/>
      </c>
    </row>
    <row r="102">
      <c r="A102" s="26" t="n"/>
      <c r="B102" s="26" t="n"/>
      <c r="C102" s="26" t="n"/>
      <c r="D102" s="26" t="n"/>
      <c r="E102" s="26" t="n"/>
      <c r="F102" s="29" t="n"/>
      <c r="G102" s="26" t="n"/>
      <c r="H102" s="28">
        <f>IF($A102="","",IF($F102="","",raporTarihi-$F102))</f>
        <v/>
      </c>
      <c r="I102" s="28">
        <f>IF($A102="","",IF($H102="","",IF($H102&lt;=7,"0-7",IF($H102&lt;=30,"8-30",IF($H102&lt;=60,"31-60","60+")))))</f>
        <v/>
      </c>
      <c r="J102" s="28">
        <f>IF($A102="","",IF($B102="","YETİM",IF(COUNTIF(tblKartlar[KartId],$B102)=0,"YETİM","")))</f>
        <v/>
      </c>
      <c r="K102" s="28">
        <f>IF($A102="","",IF($E102="YOK",IF($D102="KRITIK","KRİTİK EKSİK","EKSİK"),"TAM"))</f>
        <v/>
      </c>
      <c r="L102" s="28">
        <f>IF($A102="","",1)</f>
        <v/>
      </c>
    </row>
    <row r="103">
      <c r="A103" s="26" t="n"/>
      <c r="B103" s="26" t="n"/>
      <c r="C103" s="26" t="n"/>
      <c r="D103" s="26" t="n"/>
      <c r="E103" s="26" t="n"/>
      <c r="F103" s="29" t="n"/>
      <c r="G103" s="26" t="n"/>
      <c r="H103" s="28">
        <f>IF($A103="","",IF($F103="","",raporTarihi-$F103))</f>
        <v/>
      </c>
      <c r="I103" s="28">
        <f>IF($A103="","",IF($H103="","",IF($H103&lt;=7,"0-7",IF($H103&lt;=30,"8-30",IF($H103&lt;=60,"31-60","60+")))))</f>
        <v/>
      </c>
      <c r="J103" s="28">
        <f>IF($A103="","",IF($B103="","YETİM",IF(COUNTIF(tblKartlar[KartId],$B103)=0,"YETİM","")))</f>
        <v/>
      </c>
      <c r="K103" s="28">
        <f>IF($A103="","",IF($E103="YOK",IF($D103="KRITIK","KRİTİK EKSİK","EKSİK"),"TAM"))</f>
        <v/>
      </c>
      <c r="L103" s="28">
        <f>IF($A103="","",1)</f>
        <v/>
      </c>
    </row>
    <row r="104">
      <c r="A104" s="26" t="n"/>
      <c r="B104" s="26" t="n"/>
      <c r="C104" s="26" t="n"/>
      <c r="D104" s="26" t="n"/>
      <c r="E104" s="26" t="n"/>
      <c r="F104" s="29" t="n"/>
      <c r="G104" s="26" t="n"/>
      <c r="H104" s="28">
        <f>IF($A104="","",IF($F104="","",raporTarihi-$F104))</f>
        <v/>
      </c>
      <c r="I104" s="28">
        <f>IF($A104="","",IF($H104="","",IF($H104&lt;=7,"0-7",IF($H104&lt;=30,"8-30",IF($H104&lt;=60,"31-60","60+")))))</f>
        <v/>
      </c>
      <c r="J104" s="28">
        <f>IF($A104="","",IF($B104="","YETİM",IF(COUNTIF(tblKartlar[KartId],$B104)=0,"YETİM","")))</f>
        <v/>
      </c>
      <c r="K104" s="28">
        <f>IF($A104="","",IF($E104="YOK",IF($D104="KRITIK","KRİTİK EKSİK","EKSİK"),"TAM"))</f>
        <v/>
      </c>
      <c r="L104" s="28">
        <f>IF($A104="","",1)</f>
        <v/>
      </c>
    </row>
    <row r="105">
      <c r="A105" s="26" t="n"/>
      <c r="B105" s="26" t="n"/>
      <c r="C105" s="26" t="n"/>
      <c r="D105" s="26" t="n"/>
      <c r="E105" s="26" t="n"/>
      <c r="F105" s="29" t="n"/>
      <c r="G105" s="26" t="n"/>
      <c r="H105" s="28">
        <f>IF($A105="","",IF($F105="","",raporTarihi-$F105))</f>
        <v/>
      </c>
      <c r="I105" s="28">
        <f>IF($A105="","",IF($H105="","",IF($H105&lt;=7,"0-7",IF($H105&lt;=30,"8-30",IF($H105&lt;=60,"31-60","60+")))))</f>
        <v/>
      </c>
      <c r="J105" s="28">
        <f>IF($A105="","",IF($B105="","YETİM",IF(COUNTIF(tblKartlar[KartId],$B105)=0,"YETİM","")))</f>
        <v/>
      </c>
      <c r="K105" s="28">
        <f>IF($A105="","",IF($E105="YOK",IF($D105="KRITIK","KRİTİK EKSİK","EKSİK"),"TAM"))</f>
        <v/>
      </c>
      <c r="L105" s="28">
        <f>IF($A105="","",1)</f>
        <v/>
      </c>
    </row>
    <row r="106">
      <c r="A106" s="26" t="n"/>
      <c r="B106" s="26" t="n"/>
      <c r="C106" s="26" t="n"/>
      <c r="D106" s="26" t="n"/>
      <c r="E106" s="26" t="n"/>
      <c r="F106" s="29" t="n"/>
      <c r="G106" s="26" t="n"/>
      <c r="H106" s="28">
        <f>IF($A106="","",IF($F106="","",raporTarihi-$F106))</f>
        <v/>
      </c>
      <c r="I106" s="28">
        <f>IF($A106="","",IF($H106="","",IF($H106&lt;=7,"0-7",IF($H106&lt;=30,"8-30",IF($H106&lt;=60,"31-60","60+")))))</f>
        <v/>
      </c>
      <c r="J106" s="28">
        <f>IF($A106="","",IF($B106="","YETİM",IF(COUNTIF(tblKartlar[KartId],$B106)=0,"YETİM","")))</f>
        <v/>
      </c>
      <c r="K106" s="28">
        <f>IF($A106="","",IF($E106="YOK",IF($D106="KRITIK","KRİTİK EKSİK","EKSİK"),"TAM"))</f>
        <v/>
      </c>
      <c r="L106" s="28">
        <f>IF($A106="","",1)</f>
        <v/>
      </c>
    </row>
    <row r="107">
      <c r="A107" s="26" t="n"/>
      <c r="B107" s="26" t="n"/>
      <c r="C107" s="26" t="n"/>
      <c r="D107" s="26" t="n"/>
      <c r="E107" s="26" t="n"/>
      <c r="F107" s="29" t="n"/>
      <c r="G107" s="26" t="n"/>
      <c r="H107" s="28">
        <f>IF($A107="","",IF($F107="","",raporTarihi-$F107))</f>
        <v/>
      </c>
      <c r="I107" s="28">
        <f>IF($A107="","",IF($H107="","",IF($H107&lt;=7,"0-7",IF($H107&lt;=30,"8-30",IF($H107&lt;=60,"31-60","60+")))))</f>
        <v/>
      </c>
      <c r="J107" s="28">
        <f>IF($A107="","",IF($B107="","YETİM",IF(COUNTIF(tblKartlar[KartId],$B107)=0,"YETİM","")))</f>
        <v/>
      </c>
      <c r="K107" s="28">
        <f>IF($A107="","",IF($E107="YOK",IF($D107="KRITIK","KRİTİK EKSİK","EKSİK"),"TAM"))</f>
        <v/>
      </c>
      <c r="L107" s="28">
        <f>IF($A107="","",1)</f>
        <v/>
      </c>
    </row>
    <row r="108">
      <c r="A108" s="26" t="n"/>
      <c r="B108" s="26" t="n"/>
      <c r="C108" s="26" t="n"/>
      <c r="D108" s="26" t="n"/>
      <c r="E108" s="26" t="n"/>
      <c r="F108" s="29" t="n"/>
      <c r="G108" s="26" t="n"/>
      <c r="H108" s="28">
        <f>IF($A108="","",IF($F108="","",raporTarihi-$F108))</f>
        <v/>
      </c>
      <c r="I108" s="28">
        <f>IF($A108="","",IF($H108="","",IF($H108&lt;=7,"0-7",IF($H108&lt;=30,"8-30",IF($H108&lt;=60,"31-60","60+")))))</f>
        <v/>
      </c>
      <c r="J108" s="28">
        <f>IF($A108="","",IF($B108="","YETİM",IF(COUNTIF(tblKartlar[KartId],$B108)=0,"YETİM","")))</f>
        <v/>
      </c>
      <c r="K108" s="28">
        <f>IF($A108="","",IF($E108="YOK",IF($D108="KRITIK","KRİTİK EKSİK","EKSİK"),"TAM"))</f>
        <v/>
      </c>
      <c r="L108" s="28">
        <f>IF($A108="","",1)</f>
        <v/>
      </c>
    </row>
    <row r="109">
      <c r="A109" s="26" t="n"/>
      <c r="B109" s="26" t="n"/>
      <c r="C109" s="26" t="n"/>
      <c r="D109" s="26" t="n"/>
      <c r="E109" s="26" t="n"/>
      <c r="F109" s="29" t="n"/>
      <c r="G109" s="26" t="n"/>
      <c r="H109" s="28">
        <f>IF($A109="","",IF($F109="","",raporTarihi-$F109))</f>
        <v/>
      </c>
      <c r="I109" s="28">
        <f>IF($A109="","",IF($H109="","",IF($H109&lt;=7,"0-7",IF($H109&lt;=30,"8-30",IF($H109&lt;=60,"31-60","60+")))))</f>
        <v/>
      </c>
      <c r="J109" s="28">
        <f>IF($A109="","",IF($B109="","YETİM",IF(COUNTIF(tblKartlar[KartId],$B109)=0,"YETİM","")))</f>
        <v/>
      </c>
      <c r="K109" s="28">
        <f>IF($A109="","",IF($E109="YOK",IF($D109="KRITIK","KRİTİK EKSİK","EKSİK"),"TAM"))</f>
        <v/>
      </c>
      <c r="L109" s="28">
        <f>IF($A109="","",1)</f>
        <v/>
      </c>
    </row>
    <row r="110">
      <c r="A110" s="26" t="n"/>
      <c r="B110" s="26" t="n"/>
      <c r="C110" s="26" t="n"/>
      <c r="D110" s="26" t="n"/>
      <c r="E110" s="26" t="n"/>
      <c r="F110" s="29" t="n"/>
      <c r="G110" s="26" t="n"/>
      <c r="H110" s="28">
        <f>IF($A110="","",IF($F110="","",raporTarihi-$F110))</f>
        <v/>
      </c>
      <c r="I110" s="28">
        <f>IF($A110="","",IF($H110="","",IF($H110&lt;=7,"0-7",IF($H110&lt;=30,"8-30",IF($H110&lt;=60,"31-60","60+")))))</f>
        <v/>
      </c>
      <c r="J110" s="28">
        <f>IF($A110="","",IF($B110="","YETİM",IF(COUNTIF(tblKartlar[KartId],$B110)=0,"YETİM","")))</f>
        <v/>
      </c>
      <c r="K110" s="28">
        <f>IF($A110="","",IF($E110="YOK",IF($D110="KRITIK","KRİTİK EKSİK","EKSİK"),"TAM"))</f>
        <v/>
      </c>
      <c r="L110" s="28">
        <f>IF($A110="","",1)</f>
        <v/>
      </c>
    </row>
    <row r="111">
      <c r="A111" s="26" t="n"/>
      <c r="B111" s="26" t="n"/>
      <c r="C111" s="26" t="n"/>
      <c r="D111" s="26" t="n"/>
      <c r="E111" s="26" t="n"/>
      <c r="F111" s="29" t="n"/>
      <c r="G111" s="26" t="n"/>
      <c r="H111" s="28">
        <f>IF($A111="","",IF($F111="","",raporTarihi-$F111))</f>
        <v/>
      </c>
      <c r="I111" s="28">
        <f>IF($A111="","",IF($H111="","",IF($H111&lt;=7,"0-7",IF($H111&lt;=30,"8-30",IF($H111&lt;=60,"31-60","60+")))))</f>
        <v/>
      </c>
      <c r="J111" s="28">
        <f>IF($A111="","",IF($B111="","YETİM",IF(COUNTIF(tblKartlar[KartId],$B111)=0,"YETİM","")))</f>
        <v/>
      </c>
      <c r="K111" s="28">
        <f>IF($A111="","",IF($E111="YOK",IF($D111="KRITIK","KRİTİK EKSİK","EKSİK"),"TAM"))</f>
        <v/>
      </c>
      <c r="L111" s="28">
        <f>IF($A111="","",1)</f>
        <v/>
      </c>
    </row>
    <row r="112">
      <c r="A112" s="26" t="n"/>
      <c r="B112" s="26" t="n"/>
      <c r="C112" s="26" t="n"/>
      <c r="D112" s="26" t="n"/>
      <c r="E112" s="26" t="n"/>
      <c r="F112" s="29" t="n"/>
      <c r="G112" s="26" t="n"/>
      <c r="H112" s="28">
        <f>IF($A112="","",IF($F112="","",raporTarihi-$F112))</f>
        <v/>
      </c>
      <c r="I112" s="28">
        <f>IF($A112="","",IF($H112="","",IF($H112&lt;=7,"0-7",IF($H112&lt;=30,"8-30",IF($H112&lt;=60,"31-60","60+")))))</f>
        <v/>
      </c>
      <c r="J112" s="28">
        <f>IF($A112="","",IF($B112="","YETİM",IF(COUNTIF(tblKartlar[KartId],$B112)=0,"YETİM","")))</f>
        <v/>
      </c>
      <c r="K112" s="28">
        <f>IF($A112="","",IF($E112="YOK",IF($D112="KRITIK","KRİTİK EKSİK","EKSİK"),"TAM"))</f>
        <v/>
      </c>
      <c r="L112" s="28">
        <f>IF($A112="","",1)</f>
        <v/>
      </c>
    </row>
    <row r="113">
      <c r="A113" s="26" t="n"/>
      <c r="B113" s="26" t="n"/>
      <c r="C113" s="26" t="n"/>
      <c r="D113" s="26" t="n"/>
      <c r="E113" s="26" t="n"/>
      <c r="F113" s="29" t="n"/>
      <c r="G113" s="26" t="n"/>
      <c r="H113" s="28">
        <f>IF($A113="","",IF($F113="","",raporTarihi-$F113))</f>
        <v/>
      </c>
      <c r="I113" s="28">
        <f>IF($A113="","",IF($H113="","",IF($H113&lt;=7,"0-7",IF($H113&lt;=30,"8-30",IF($H113&lt;=60,"31-60","60+")))))</f>
        <v/>
      </c>
      <c r="J113" s="28">
        <f>IF($A113="","",IF($B113="","YETİM",IF(COUNTIF(tblKartlar[KartId],$B113)=0,"YETİM","")))</f>
        <v/>
      </c>
      <c r="K113" s="28">
        <f>IF($A113="","",IF($E113="YOK",IF($D113="KRITIK","KRİTİK EKSİK","EKSİK"),"TAM"))</f>
        <v/>
      </c>
      <c r="L113" s="28">
        <f>IF($A113="","",1)</f>
        <v/>
      </c>
    </row>
    <row r="114">
      <c r="A114" s="26" t="n"/>
      <c r="B114" s="26" t="n"/>
      <c r="C114" s="26" t="n"/>
      <c r="D114" s="26" t="n"/>
      <c r="E114" s="26" t="n"/>
      <c r="F114" s="29" t="n"/>
      <c r="G114" s="26" t="n"/>
      <c r="H114" s="28">
        <f>IF($A114="","",IF($F114="","",raporTarihi-$F114))</f>
        <v/>
      </c>
      <c r="I114" s="28">
        <f>IF($A114="","",IF($H114="","",IF($H114&lt;=7,"0-7",IF($H114&lt;=30,"8-30",IF($H114&lt;=60,"31-60","60+")))))</f>
        <v/>
      </c>
      <c r="J114" s="28">
        <f>IF($A114="","",IF($B114="","YETİM",IF(COUNTIF(tblKartlar[KartId],$B114)=0,"YETİM","")))</f>
        <v/>
      </c>
      <c r="K114" s="28">
        <f>IF($A114="","",IF($E114="YOK",IF($D114="KRITIK","KRİTİK EKSİK","EKSİK"),"TAM"))</f>
        <v/>
      </c>
      <c r="L114" s="28">
        <f>IF($A114="","",1)</f>
        <v/>
      </c>
    </row>
    <row r="115">
      <c r="A115" s="26" t="n"/>
      <c r="B115" s="26" t="n"/>
      <c r="C115" s="26" t="n"/>
      <c r="D115" s="26" t="n"/>
      <c r="E115" s="26" t="n"/>
      <c r="F115" s="29" t="n"/>
      <c r="G115" s="26" t="n"/>
      <c r="H115" s="28">
        <f>IF($A115="","",IF($F115="","",raporTarihi-$F115))</f>
        <v/>
      </c>
      <c r="I115" s="28">
        <f>IF($A115="","",IF($H115="","",IF($H115&lt;=7,"0-7",IF($H115&lt;=30,"8-30",IF($H115&lt;=60,"31-60","60+")))))</f>
        <v/>
      </c>
      <c r="J115" s="28">
        <f>IF($A115="","",IF($B115="","YETİM",IF(COUNTIF(tblKartlar[KartId],$B115)=0,"YETİM","")))</f>
        <v/>
      </c>
      <c r="K115" s="28">
        <f>IF($A115="","",IF($E115="YOK",IF($D115="KRITIK","KRİTİK EKSİK","EKSİK"),"TAM"))</f>
        <v/>
      </c>
      <c r="L115" s="28">
        <f>IF($A115="","",1)</f>
        <v/>
      </c>
    </row>
    <row r="116">
      <c r="A116" s="26" t="n"/>
      <c r="B116" s="26" t="n"/>
      <c r="C116" s="26" t="n"/>
      <c r="D116" s="26" t="n"/>
      <c r="E116" s="26" t="n"/>
      <c r="F116" s="29" t="n"/>
      <c r="G116" s="26" t="n"/>
      <c r="H116" s="28">
        <f>IF($A116="","",IF($F116="","",raporTarihi-$F116))</f>
        <v/>
      </c>
      <c r="I116" s="28">
        <f>IF($A116="","",IF($H116="","",IF($H116&lt;=7,"0-7",IF($H116&lt;=30,"8-30",IF($H116&lt;=60,"31-60","60+")))))</f>
        <v/>
      </c>
      <c r="J116" s="28">
        <f>IF($A116="","",IF($B116="","YETİM",IF(COUNTIF(tblKartlar[KartId],$B116)=0,"YETİM","")))</f>
        <v/>
      </c>
      <c r="K116" s="28">
        <f>IF($A116="","",IF($E116="YOK",IF($D116="KRITIK","KRİTİK EKSİK","EKSİK"),"TAM"))</f>
        <v/>
      </c>
      <c r="L116" s="28">
        <f>IF($A116="","",1)</f>
        <v/>
      </c>
    </row>
    <row r="117">
      <c r="A117" s="26" t="n"/>
      <c r="B117" s="26" t="n"/>
      <c r="C117" s="26" t="n"/>
      <c r="D117" s="26" t="n"/>
      <c r="E117" s="26" t="n"/>
      <c r="F117" s="29" t="n"/>
      <c r="G117" s="26" t="n"/>
      <c r="H117" s="28">
        <f>IF($A117="","",IF($F117="","",raporTarihi-$F117))</f>
        <v/>
      </c>
      <c r="I117" s="28">
        <f>IF($A117="","",IF($H117="","",IF($H117&lt;=7,"0-7",IF($H117&lt;=30,"8-30",IF($H117&lt;=60,"31-60","60+")))))</f>
        <v/>
      </c>
      <c r="J117" s="28">
        <f>IF($A117="","",IF($B117="","YETİM",IF(COUNTIF(tblKartlar[KartId],$B117)=0,"YETİM","")))</f>
        <v/>
      </c>
      <c r="K117" s="28">
        <f>IF($A117="","",IF($E117="YOK",IF($D117="KRITIK","KRİTİK EKSİK","EKSİK"),"TAM"))</f>
        <v/>
      </c>
      <c r="L117" s="28">
        <f>IF($A117="","",1)</f>
        <v/>
      </c>
    </row>
    <row r="118">
      <c r="A118" s="26" t="n"/>
      <c r="B118" s="26" t="n"/>
      <c r="C118" s="26" t="n"/>
      <c r="D118" s="26" t="n"/>
      <c r="E118" s="26" t="n"/>
      <c r="F118" s="29" t="n"/>
      <c r="G118" s="26" t="n"/>
      <c r="H118" s="28">
        <f>IF($A118="","",IF($F118="","",raporTarihi-$F118))</f>
        <v/>
      </c>
      <c r="I118" s="28">
        <f>IF($A118="","",IF($H118="","",IF($H118&lt;=7,"0-7",IF($H118&lt;=30,"8-30",IF($H118&lt;=60,"31-60","60+")))))</f>
        <v/>
      </c>
      <c r="J118" s="28">
        <f>IF($A118="","",IF($B118="","YETİM",IF(COUNTIF(tblKartlar[KartId],$B118)=0,"YETİM","")))</f>
        <v/>
      </c>
      <c r="K118" s="28">
        <f>IF($A118="","",IF($E118="YOK",IF($D118="KRITIK","KRİTİK EKSİK","EKSİK"),"TAM"))</f>
        <v/>
      </c>
      <c r="L118" s="28">
        <f>IF($A118="","",1)</f>
        <v/>
      </c>
    </row>
    <row r="119">
      <c r="A119" s="26" t="n"/>
      <c r="B119" s="26" t="n"/>
      <c r="C119" s="26" t="n"/>
      <c r="D119" s="26" t="n"/>
      <c r="E119" s="26" t="n"/>
      <c r="F119" s="29" t="n"/>
      <c r="G119" s="26" t="n"/>
      <c r="H119" s="28">
        <f>IF($A119="","",IF($F119="","",raporTarihi-$F119))</f>
        <v/>
      </c>
      <c r="I119" s="28">
        <f>IF($A119="","",IF($H119="","",IF($H119&lt;=7,"0-7",IF($H119&lt;=30,"8-30",IF($H119&lt;=60,"31-60","60+")))))</f>
        <v/>
      </c>
      <c r="J119" s="28">
        <f>IF($A119="","",IF($B119="","YETİM",IF(COUNTIF(tblKartlar[KartId],$B119)=0,"YETİM","")))</f>
        <v/>
      </c>
      <c r="K119" s="28">
        <f>IF($A119="","",IF($E119="YOK",IF($D119="KRITIK","KRİTİK EKSİK","EKSİK"),"TAM"))</f>
        <v/>
      </c>
      <c r="L119" s="28">
        <f>IF($A119="","",1)</f>
        <v/>
      </c>
    </row>
    <row r="120">
      <c r="A120" s="26" t="n"/>
      <c r="B120" s="26" t="n"/>
      <c r="C120" s="26" t="n"/>
      <c r="D120" s="26" t="n"/>
      <c r="E120" s="26" t="n"/>
      <c r="F120" s="29" t="n"/>
      <c r="G120" s="26" t="n"/>
      <c r="H120" s="28">
        <f>IF($A120="","",IF($F120="","",raporTarihi-$F120))</f>
        <v/>
      </c>
      <c r="I120" s="28">
        <f>IF($A120="","",IF($H120="","",IF($H120&lt;=7,"0-7",IF($H120&lt;=30,"8-30",IF($H120&lt;=60,"31-60","60+")))))</f>
        <v/>
      </c>
      <c r="J120" s="28">
        <f>IF($A120="","",IF($B120="","YETİM",IF(COUNTIF(tblKartlar[KartId],$B120)=0,"YETİM","")))</f>
        <v/>
      </c>
      <c r="K120" s="28">
        <f>IF($A120="","",IF($E120="YOK",IF($D120="KRITIK","KRİTİK EKSİK","EKSİK"),"TAM"))</f>
        <v/>
      </c>
      <c r="L120" s="28">
        <f>IF($A120="","",1)</f>
        <v/>
      </c>
    </row>
    <row r="121">
      <c r="A121" s="26" t="n"/>
      <c r="B121" s="26" t="n"/>
      <c r="C121" s="26" t="n"/>
      <c r="D121" s="26" t="n"/>
      <c r="E121" s="26" t="n"/>
      <c r="F121" s="29" t="n"/>
      <c r="G121" s="26" t="n"/>
      <c r="H121" s="28">
        <f>IF($A121="","",IF($F121="","",raporTarihi-$F121))</f>
        <v/>
      </c>
      <c r="I121" s="28">
        <f>IF($A121="","",IF($H121="","",IF($H121&lt;=7,"0-7",IF($H121&lt;=30,"8-30",IF($H121&lt;=60,"31-60","60+")))))</f>
        <v/>
      </c>
      <c r="J121" s="28">
        <f>IF($A121="","",IF($B121="","YETİM",IF(COUNTIF(tblKartlar[KartId],$B121)=0,"YETİM","")))</f>
        <v/>
      </c>
      <c r="K121" s="28">
        <f>IF($A121="","",IF($E121="YOK",IF($D121="KRITIK","KRİTİK EKSİK","EKSİK"),"TAM"))</f>
        <v/>
      </c>
      <c r="L121" s="28">
        <f>IF($A121="","",1)</f>
        <v/>
      </c>
    </row>
    <row r="122">
      <c r="A122" s="26" t="n"/>
      <c r="B122" s="26" t="n"/>
      <c r="C122" s="26" t="n"/>
      <c r="D122" s="26" t="n"/>
      <c r="E122" s="26" t="n"/>
      <c r="F122" s="29" t="n"/>
      <c r="G122" s="26" t="n"/>
      <c r="H122" s="28">
        <f>IF($A122="","",IF($F122="","",raporTarihi-$F122))</f>
        <v/>
      </c>
      <c r="I122" s="28">
        <f>IF($A122="","",IF($H122="","",IF($H122&lt;=7,"0-7",IF($H122&lt;=30,"8-30",IF($H122&lt;=60,"31-60","60+")))))</f>
        <v/>
      </c>
      <c r="J122" s="28">
        <f>IF($A122="","",IF($B122="","YETİM",IF(COUNTIF(tblKartlar[KartId],$B122)=0,"YETİM","")))</f>
        <v/>
      </c>
      <c r="K122" s="28">
        <f>IF($A122="","",IF($E122="YOK",IF($D122="KRITIK","KRİTİK EKSİK","EKSİK"),"TAM"))</f>
        <v/>
      </c>
      <c r="L122" s="28">
        <f>IF($A122="","",1)</f>
        <v/>
      </c>
    </row>
    <row r="123">
      <c r="A123" s="26" t="n"/>
      <c r="B123" s="26" t="n"/>
      <c r="C123" s="26" t="n"/>
      <c r="D123" s="26" t="n"/>
      <c r="E123" s="26" t="n"/>
      <c r="F123" s="29" t="n"/>
      <c r="G123" s="26" t="n"/>
      <c r="H123" s="28">
        <f>IF($A123="","",IF($F123="","",raporTarihi-$F123))</f>
        <v/>
      </c>
      <c r="I123" s="28">
        <f>IF($A123="","",IF($H123="","",IF($H123&lt;=7,"0-7",IF($H123&lt;=30,"8-30",IF($H123&lt;=60,"31-60","60+")))))</f>
        <v/>
      </c>
      <c r="J123" s="28">
        <f>IF($A123="","",IF($B123="","YETİM",IF(COUNTIF(tblKartlar[KartId],$B123)=0,"YETİM","")))</f>
        <v/>
      </c>
      <c r="K123" s="28">
        <f>IF($A123="","",IF($E123="YOK",IF($D123="KRITIK","KRİTİK EKSİK","EKSİK"),"TAM"))</f>
        <v/>
      </c>
      <c r="L123" s="28">
        <f>IF($A123="","",1)</f>
        <v/>
      </c>
    </row>
    <row r="124">
      <c r="A124" s="26" t="n"/>
      <c r="B124" s="26" t="n"/>
      <c r="C124" s="26" t="n"/>
      <c r="D124" s="26" t="n"/>
      <c r="E124" s="26" t="n"/>
      <c r="F124" s="29" t="n"/>
      <c r="G124" s="26" t="n"/>
      <c r="H124" s="28">
        <f>IF($A124="","",IF($F124="","",raporTarihi-$F124))</f>
        <v/>
      </c>
      <c r="I124" s="28">
        <f>IF($A124="","",IF($H124="","",IF($H124&lt;=7,"0-7",IF($H124&lt;=30,"8-30",IF($H124&lt;=60,"31-60","60+")))))</f>
        <v/>
      </c>
      <c r="J124" s="28">
        <f>IF($A124="","",IF($B124="","YETİM",IF(COUNTIF(tblKartlar[KartId],$B124)=0,"YETİM","")))</f>
        <v/>
      </c>
      <c r="K124" s="28">
        <f>IF($A124="","",IF($E124="YOK",IF($D124="KRITIK","KRİTİK EKSİK","EKSİK"),"TAM"))</f>
        <v/>
      </c>
      <c r="L124" s="28">
        <f>IF($A124="","",1)</f>
        <v/>
      </c>
    </row>
    <row r="125">
      <c r="A125" s="26" t="n"/>
      <c r="B125" s="26" t="n"/>
      <c r="C125" s="26" t="n"/>
      <c r="D125" s="26" t="n"/>
      <c r="E125" s="26" t="n"/>
      <c r="F125" s="29" t="n"/>
      <c r="G125" s="26" t="n"/>
      <c r="H125" s="28">
        <f>IF($A125="","",IF($F125="","",raporTarihi-$F125))</f>
        <v/>
      </c>
      <c r="I125" s="28">
        <f>IF($A125="","",IF($H125="","",IF($H125&lt;=7,"0-7",IF($H125&lt;=30,"8-30",IF($H125&lt;=60,"31-60","60+")))))</f>
        <v/>
      </c>
      <c r="J125" s="28">
        <f>IF($A125="","",IF($B125="","YETİM",IF(COUNTIF(tblKartlar[KartId],$B125)=0,"YETİM","")))</f>
        <v/>
      </c>
      <c r="K125" s="28">
        <f>IF($A125="","",IF($E125="YOK",IF($D125="KRITIK","KRİTİK EKSİK","EKSİK"),"TAM"))</f>
        <v/>
      </c>
      <c r="L125" s="28">
        <f>IF($A125="","",1)</f>
        <v/>
      </c>
    </row>
    <row r="126">
      <c r="A126" s="26" t="n"/>
      <c r="B126" s="26" t="n"/>
      <c r="C126" s="26" t="n"/>
      <c r="D126" s="26" t="n"/>
      <c r="E126" s="26" t="n"/>
      <c r="F126" s="29" t="n"/>
      <c r="G126" s="26" t="n"/>
      <c r="H126" s="28">
        <f>IF($A126="","",IF($F126="","",raporTarihi-$F126))</f>
        <v/>
      </c>
      <c r="I126" s="28">
        <f>IF($A126="","",IF($H126="","",IF($H126&lt;=7,"0-7",IF($H126&lt;=30,"8-30",IF($H126&lt;=60,"31-60","60+")))))</f>
        <v/>
      </c>
      <c r="J126" s="28">
        <f>IF($A126="","",IF($B126="","YETİM",IF(COUNTIF(tblKartlar[KartId],$B126)=0,"YETİM","")))</f>
        <v/>
      </c>
      <c r="K126" s="28">
        <f>IF($A126="","",IF($E126="YOK",IF($D126="KRITIK","KRİTİK EKSİK","EKSİK"),"TAM"))</f>
        <v/>
      </c>
      <c r="L126" s="28">
        <f>IF($A126="","",1)</f>
        <v/>
      </c>
    </row>
    <row r="127">
      <c r="A127" s="26" t="n"/>
      <c r="B127" s="26" t="n"/>
      <c r="C127" s="26" t="n"/>
      <c r="D127" s="26" t="n"/>
      <c r="E127" s="26" t="n"/>
      <c r="F127" s="29" t="n"/>
      <c r="G127" s="26" t="n"/>
      <c r="H127" s="28">
        <f>IF($A127="","",IF($F127="","",raporTarihi-$F127))</f>
        <v/>
      </c>
      <c r="I127" s="28">
        <f>IF($A127="","",IF($H127="","",IF($H127&lt;=7,"0-7",IF($H127&lt;=30,"8-30",IF($H127&lt;=60,"31-60","60+")))))</f>
        <v/>
      </c>
      <c r="J127" s="28">
        <f>IF($A127="","",IF($B127="","YETİM",IF(COUNTIF(tblKartlar[KartId],$B127)=0,"YETİM","")))</f>
        <v/>
      </c>
      <c r="K127" s="28">
        <f>IF($A127="","",IF($E127="YOK",IF($D127="KRITIK","KRİTİK EKSİK","EKSİK"),"TAM"))</f>
        <v/>
      </c>
      <c r="L127" s="28">
        <f>IF($A127="","",1)</f>
        <v/>
      </c>
    </row>
    <row r="128">
      <c r="A128" s="26" t="n"/>
      <c r="B128" s="26" t="n"/>
      <c r="C128" s="26" t="n"/>
      <c r="D128" s="26" t="n"/>
      <c r="E128" s="26" t="n"/>
      <c r="F128" s="29" t="n"/>
      <c r="G128" s="26" t="n"/>
      <c r="H128" s="28">
        <f>IF($A128="","",IF($F128="","",raporTarihi-$F128))</f>
        <v/>
      </c>
      <c r="I128" s="28">
        <f>IF($A128="","",IF($H128="","",IF($H128&lt;=7,"0-7",IF($H128&lt;=30,"8-30",IF($H128&lt;=60,"31-60","60+")))))</f>
        <v/>
      </c>
      <c r="J128" s="28">
        <f>IF($A128="","",IF($B128="","YETİM",IF(COUNTIF(tblKartlar[KartId],$B128)=0,"YETİM","")))</f>
        <v/>
      </c>
      <c r="K128" s="28">
        <f>IF($A128="","",IF($E128="YOK",IF($D128="KRITIK","KRİTİK EKSİK","EKSİK"),"TAM"))</f>
        <v/>
      </c>
      <c r="L128" s="28">
        <f>IF($A128="","",1)</f>
        <v/>
      </c>
    </row>
    <row r="129">
      <c r="A129" s="26" t="n"/>
      <c r="B129" s="26" t="n"/>
      <c r="C129" s="26" t="n"/>
      <c r="D129" s="26" t="n"/>
      <c r="E129" s="26" t="n"/>
      <c r="F129" s="29" t="n"/>
      <c r="G129" s="26" t="n"/>
      <c r="H129" s="28">
        <f>IF($A129="","",IF($F129="","",raporTarihi-$F129))</f>
        <v/>
      </c>
      <c r="I129" s="28">
        <f>IF($A129="","",IF($H129="","",IF($H129&lt;=7,"0-7",IF($H129&lt;=30,"8-30",IF($H129&lt;=60,"31-60","60+")))))</f>
        <v/>
      </c>
      <c r="J129" s="28">
        <f>IF($A129="","",IF($B129="","YETİM",IF(COUNTIF(tblKartlar[KartId],$B129)=0,"YETİM","")))</f>
        <v/>
      </c>
      <c r="K129" s="28">
        <f>IF($A129="","",IF($E129="YOK",IF($D129="KRITIK","KRİTİK EKSİK","EKSİK"),"TAM"))</f>
        <v/>
      </c>
      <c r="L129" s="28">
        <f>IF($A129="","",1)</f>
        <v/>
      </c>
    </row>
    <row r="130">
      <c r="A130" s="26" t="n"/>
      <c r="B130" s="26" t="n"/>
      <c r="C130" s="26" t="n"/>
      <c r="D130" s="26" t="n"/>
      <c r="E130" s="26" t="n"/>
      <c r="F130" s="29" t="n"/>
      <c r="G130" s="26" t="n"/>
      <c r="H130" s="28">
        <f>IF($A130="","",IF($F130="","",raporTarihi-$F130))</f>
        <v/>
      </c>
      <c r="I130" s="28">
        <f>IF($A130="","",IF($H130="","",IF($H130&lt;=7,"0-7",IF($H130&lt;=30,"8-30",IF($H130&lt;=60,"31-60","60+")))))</f>
        <v/>
      </c>
      <c r="J130" s="28">
        <f>IF($A130="","",IF($B130="","YETİM",IF(COUNTIF(tblKartlar[KartId],$B130)=0,"YETİM","")))</f>
        <v/>
      </c>
      <c r="K130" s="28">
        <f>IF($A130="","",IF($E130="YOK",IF($D130="KRITIK","KRİTİK EKSİK","EKSİK"),"TAM"))</f>
        <v/>
      </c>
      <c r="L130" s="28">
        <f>IF($A130="","",1)</f>
        <v/>
      </c>
    </row>
    <row r="131">
      <c r="A131" s="26" t="n"/>
      <c r="B131" s="26" t="n"/>
      <c r="C131" s="26" t="n"/>
      <c r="D131" s="26" t="n"/>
      <c r="E131" s="26" t="n"/>
      <c r="F131" s="29" t="n"/>
      <c r="G131" s="26" t="n"/>
      <c r="H131" s="28">
        <f>IF($A131="","",IF($F131="","",raporTarihi-$F131))</f>
        <v/>
      </c>
      <c r="I131" s="28">
        <f>IF($A131="","",IF($H131="","",IF($H131&lt;=7,"0-7",IF($H131&lt;=30,"8-30",IF($H131&lt;=60,"31-60","60+")))))</f>
        <v/>
      </c>
      <c r="J131" s="28">
        <f>IF($A131="","",IF($B131="","YETİM",IF(COUNTIF(tblKartlar[KartId],$B131)=0,"YETİM","")))</f>
        <v/>
      </c>
      <c r="K131" s="28">
        <f>IF($A131="","",IF($E131="YOK",IF($D131="KRITIK","KRİTİK EKSİK","EKSİK"),"TAM"))</f>
        <v/>
      </c>
      <c r="L131" s="28">
        <f>IF($A131="","",1)</f>
        <v/>
      </c>
    </row>
    <row r="132">
      <c r="A132" s="26" t="n"/>
      <c r="B132" s="26" t="n"/>
      <c r="C132" s="26" t="n"/>
      <c r="D132" s="26" t="n"/>
      <c r="E132" s="26" t="n"/>
      <c r="F132" s="29" t="n"/>
      <c r="G132" s="26" t="n"/>
      <c r="H132" s="28">
        <f>IF($A132="","",IF($F132="","",raporTarihi-$F132))</f>
        <v/>
      </c>
      <c r="I132" s="28">
        <f>IF($A132="","",IF($H132="","",IF($H132&lt;=7,"0-7",IF($H132&lt;=30,"8-30",IF($H132&lt;=60,"31-60","60+")))))</f>
        <v/>
      </c>
      <c r="J132" s="28">
        <f>IF($A132="","",IF($B132="","YETİM",IF(COUNTIF(tblKartlar[KartId],$B132)=0,"YETİM","")))</f>
        <v/>
      </c>
      <c r="K132" s="28">
        <f>IF($A132="","",IF($E132="YOK",IF($D132="KRITIK","KRİTİK EKSİK","EKSİK"),"TAM"))</f>
        <v/>
      </c>
      <c r="L132" s="28">
        <f>IF($A132="","",1)</f>
        <v/>
      </c>
    </row>
    <row r="133">
      <c r="A133" s="26" t="n"/>
      <c r="B133" s="26" t="n"/>
      <c r="C133" s="26" t="n"/>
      <c r="D133" s="26" t="n"/>
      <c r="E133" s="26" t="n"/>
      <c r="F133" s="29" t="n"/>
      <c r="G133" s="26" t="n"/>
      <c r="H133" s="28">
        <f>IF($A133="","",IF($F133="","",raporTarihi-$F133))</f>
        <v/>
      </c>
      <c r="I133" s="28">
        <f>IF($A133="","",IF($H133="","",IF($H133&lt;=7,"0-7",IF($H133&lt;=30,"8-30",IF($H133&lt;=60,"31-60","60+")))))</f>
        <v/>
      </c>
      <c r="J133" s="28">
        <f>IF($A133="","",IF($B133="","YETİM",IF(COUNTIF(tblKartlar[KartId],$B133)=0,"YETİM","")))</f>
        <v/>
      </c>
      <c r="K133" s="28">
        <f>IF($A133="","",IF($E133="YOK",IF($D133="KRITIK","KRİTİK EKSİK","EKSİK"),"TAM"))</f>
        <v/>
      </c>
      <c r="L133" s="28">
        <f>IF($A133="","",1)</f>
        <v/>
      </c>
    </row>
    <row r="134">
      <c r="A134" s="26" t="n"/>
      <c r="B134" s="26" t="n"/>
      <c r="C134" s="26" t="n"/>
      <c r="D134" s="26" t="n"/>
      <c r="E134" s="26" t="n"/>
      <c r="F134" s="29" t="n"/>
      <c r="G134" s="26" t="n"/>
      <c r="H134" s="28">
        <f>IF($A134="","",IF($F134="","",raporTarihi-$F134))</f>
        <v/>
      </c>
      <c r="I134" s="28">
        <f>IF($A134="","",IF($H134="","",IF($H134&lt;=7,"0-7",IF($H134&lt;=30,"8-30",IF($H134&lt;=60,"31-60","60+")))))</f>
        <v/>
      </c>
      <c r="J134" s="28">
        <f>IF($A134="","",IF($B134="","YETİM",IF(COUNTIF(tblKartlar[KartId],$B134)=0,"YETİM","")))</f>
        <v/>
      </c>
      <c r="K134" s="28">
        <f>IF($A134="","",IF($E134="YOK",IF($D134="KRITIK","KRİTİK EKSİK","EKSİK"),"TAM"))</f>
        <v/>
      </c>
      <c r="L134" s="28">
        <f>IF($A134="","",1)</f>
        <v/>
      </c>
    </row>
    <row r="135">
      <c r="A135" s="26" t="n"/>
      <c r="B135" s="26" t="n"/>
      <c r="C135" s="26" t="n"/>
      <c r="D135" s="26" t="n"/>
      <c r="E135" s="26" t="n"/>
      <c r="F135" s="29" t="n"/>
      <c r="G135" s="26" t="n"/>
      <c r="H135" s="28">
        <f>IF($A135="","",IF($F135="","",raporTarihi-$F135))</f>
        <v/>
      </c>
      <c r="I135" s="28">
        <f>IF($A135="","",IF($H135="","",IF($H135&lt;=7,"0-7",IF($H135&lt;=30,"8-30",IF($H135&lt;=60,"31-60","60+")))))</f>
        <v/>
      </c>
      <c r="J135" s="28">
        <f>IF($A135="","",IF($B135="","YETİM",IF(COUNTIF(tblKartlar[KartId],$B135)=0,"YETİM","")))</f>
        <v/>
      </c>
      <c r="K135" s="28">
        <f>IF($A135="","",IF($E135="YOK",IF($D135="KRITIK","KRİTİK EKSİK","EKSİK"),"TAM"))</f>
        <v/>
      </c>
      <c r="L135" s="28">
        <f>IF($A135="","",1)</f>
        <v/>
      </c>
    </row>
    <row r="136">
      <c r="A136" s="26" t="n"/>
      <c r="B136" s="26" t="n"/>
      <c r="C136" s="26" t="n"/>
      <c r="D136" s="26" t="n"/>
      <c r="E136" s="26" t="n"/>
      <c r="F136" s="29" t="n"/>
      <c r="G136" s="26" t="n"/>
      <c r="H136" s="28">
        <f>IF($A136="","",IF($F136="","",raporTarihi-$F136))</f>
        <v/>
      </c>
      <c r="I136" s="28">
        <f>IF($A136="","",IF($H136="","",IF($H136&lt;=7,"0-7",IF($H136&lt;=30,"8-30",IF($H136&lt;=60,"31-60","60+")))))</f>
        <v/>
      </c>
      <c r="J136" s="28">
        <f>IF($A136="","",IF($B136="","YETİM",IF(COUNTIF(tblKartlar[KartId],$B136)=0,"YETİM","")))</f>
        <v/>
      </c>
      <c r="K136" s="28">
        <f>IF($A136="","",IF($E136="YOK",IF($D136="KRITIK","KRİTİK EKSİK","EKSİK"),"TAM"))</f>
        <v/>
      </c>
      <c r="L136" s="28">
        <f>IF($A136="","",1)</f>
        <v/>
      </c>
    </row>
    <row r="137">
      <c r="A137" s="26" t="n"/>
      <c r="B137" s="26" t="n"/>
      <c r="C137" s="26" t="n"/>
      <c r="D137" s="26" t="n"/>
      <c r="E137" s="26" t="n"/>
      <c r="F137" s="29" t="n"/>
      <c r="G137" s="26" t="n"/>
      <c r="H137" s="28">
        <f>IF($A137="","",IF($F137="","",raporTarihi-$F137))</f>
        <v/>
      </c>
      <c r="I137" s="28">
        <f>IF($A137="","",IF($H137="","",IF($H137&lt;=7,"0-7",IF($H137&lt;=30,"8-30",IF($H137&lt;=60,"31-60","60+")))))</f>
        <v/>
      </c>
      <c r="J137" s="28">
        <f>IF($A137="","",IF($B137="","YETİM",IF(COUNTIF(tblKartlar[KartId],$B137)=0,"YETİM","")))</f>
        <v/>
      </c>
      <c r="K137" s="28">
        <f>IF($A137="","",IF($E137="YOK",IF($D137="KRITIK","KRİTİK EKSİK","EKSİK"),"TAM"))</f>
        <v/>
      </c>
      <c r="L137" s="28">
        <f>IF($A137="","",1)</f>
        <v/>
      </c>
    </row>
    <row r="138">
      <c r="A138" s="26" t="n"/>
      <c r="B138" s="26" t="n"/>
      <c r="C138" s="26" t="n"/>
      <c r="D138" s="26" t="n"/>
      <c r="E138" s="26" t="n"/>
      <c r="F138" s="29" t="n"/>
      <c r="G138" s="26" t="n"/>
      <c r="H138" s="28">
        <f>IF($A138="","",IF($F138="","",raporTarihi-$F138))</f>
        <v/>
      </c>
      <c r="I138" s="28">
        <f>IF($A138="","",IF($H138="","",IF($H138&lt;=7,"0-7",IF($H138&lt;=30,"8-30",IF($H138&lt;=60,"31-60","60+")))))</f>
        <v/>
      </c>
      <c r="J138" s="28">
        <f>IF($A138="","",IF($B138="","YETİM",IF(COUNTIF(tblKartlar[KartId],$B138)=0,"YETİM","")))</f>
        <v/>
      </c>
      <c r="K138" s="28">
        <f>IF($A138="","",IF($E138="YOK",IF($D138="KRITIK","KRİTİK EKSİK","EKSİK"),"TAM"))</f>
        <v/>
      </c>
      <c r="L138" s="28">
        <f>IF($A138="","",1)</f>
        <v/>
      </c>
    </row>
    <row r="139">
      <c r="A139" s="26" t="n"/>
      <c r="B139" s="26" t="n"/>
      <c r="C139" s="26" t="n"/>
      <c r="D139" s="26" t="n"/>
      <c r="E139" s="26" t="n"/>
      <c r="F139" s="29" t="n"/>
      <c r="G139" s="26" t="n"/>
      <c r="H139" s="28">
        <f>IF($A139="","",IF($F139="","",raporTarihi-$F139))</f>
        <v/>
      </c>
      <c r="I139" s="28">
        <f>IF($A139="","",IF($H139="","",IF($H139&lt;=7,"0-7",IF($H139&lt;=30,"8-30",IF($H139&lt;=60,"31-60","60+")))))</f>
        <v/>
      </c>
      <c r="J139" s="28">
        <f>IF($A139="","",IF($B139="","YETİM",IF(COUNTIF(tblKartlar[KartId],$B139)=0,"YETİM","")))</f>
        <v/>
      </c>
      <c r="K139" s="28">
        <f>IF($A139="","",IF($E139="YOK",IF($D139="KRITIK","KRİTİK EKSİK","EKSİK"),"TAM"))</f>
        <v/>
      </c>
      <c r="L139" s="28">
        <f>IF($A139="","",1)</f>
        <v/>
      </c>
    </row>
    <row r="140">
      <c r="A140" s="26" t="n"/>
      <c r="B140" s="26" t="n"/>
      <c r="C140" s="26" t="n"/>
      <c r="D140" s="26" t="n"/>
      <c r="E140" s="26" t="n"/>
      <c r="F140" s="29" t="n"/>
      <c r="G140" s="26" t="n"/>
      <c r="H140" s="28">
        <f>IF($A140="","",IF($F140="","",raporTarihi-$F140))</f>
        <v/>
      </c>
      <c r="I140" s="28">
        <f>IF($A140="","",IF($H140="","",IF($H140&lt;=7,"0-7",IF($H140&lt;=30,"8-30",IF($H140&lt;=60,"31-60","60+")))))</f>
        <v/>
      </c>
      <c r="J140" s="28">
        <f>IF($A140="","",IF($B140="","YETİM",IF(COUNTIF(tblKartlar[KartId],$B140)=0,"YETİM","")))</f>
        <v/>
      </c>
      <c r="K140" s="28">
        <f>IF($A140="","",IF($E140="YOK",IF($D140="KRITIK","KRİTİK EKSİK","EKSİK"),"TAM"))</f>
        <v/>
      </c>
      <c r="L140" s="28">
        <f>IF($A140="","",1)</f>
        <v/>
      </c>
    </row>
    <row r="141">
      <c r="A141" s="26" t="n"/>
      <c r="B141" s="26" t="n"/>
      <c r="C141" s="26" t="n"/>
      <c r="D141" s="26" t="n"/>
      <c r="E141" s="26" t="n"/>
      <c r="F141" s="29" t="n"/>
      <c r="G141" s="26" t="n"/>
      <c r="H141" s="28">
        <f>IF($A141="","",IF($F141="","",raporTarihi-$F141))</f>
        <v/>
      </c>
      <c r="I141" s="28">
        <f>IF($A141="","",IF($H141="","",IF($H141&lt;=7,"0-7",IF($H141&lt;=30,"8-30",IF($H141&lt;=60,"31-60","60+")))))</f>
        <v/>
      </c>
      <c r="J141" s="28">
        <f>IF($A141="","",IF($B141="","YETİM",IF(COUNTIF(tblKartlar[KartId],$B141)=0,"YETİM","")))</f>
        <v/>
      </c>
      <c r="K141" s="28">
        <f>IF($A141="","",IF($E141="YOK",IF($D141="KRITIK","KRİTİK EKSİK","EKSİK"),"TAM"))</f>
        <v/>
      </c>
      <c r="L141" s="28">
        <f>IF($A141="","",1)</f>
        <v/>
      </c>
    </row>
    <row r="142">
      <c r="A142" s="26" t="n"/>
      <c r="B142" s="26" t="n"/>
      <c r="C142" s="26" t="n"/>
      <c r="D142" s="26" t="n"/>
      <c r="E142" s="26" t="n"/>
      <c r="F142" s="29" t="n"/>
      <c r="G142" s="26" t="n"/>
      <c r="H142" s="28">
        <f>IF($A142="","",IF($F142="","",raporTarihi-$F142))</f>
        <v/>
      </c>
      <c r="I142" s="28">
        <f>IF($A142="","",IF($H142="","",IF($H142&lt;=7,"0-7",IF($H142&lt;=30,"8-30",IF($H142&lt;=60,"31-60","60+")))))</f>
        <v/>
      </c>
      <c r="J142" s="28">
        <f>IF($A142="","",IF($B142="","YETİM",IF(COUNTIF(tblKartlar[KartId],$B142)=0,"YETİM","")))</f>
        <v/>
      </c>
      <c r="K142" s="28">
        <f>IF($A142="","",IF($E142="YOK",IF($D142="KRITIK","KRİTİK EKSİK","EKSİK"),"TAM"))</f>
        <v/>
      </c>
      <c r="L142" s="28">
        <f>IF($A142="","",1)</f>
        <v/>
      </c>
    </row>
    <row r="143">
      <c r="A143" s="26" t="n"/>
      <c r="B143" s="26" t="n"/>
      <c r="C143" s="26" t="n"/>
      <c r="D143" s="26" t="n"/>
      <c r="E143" s="26" t="n"/>
      <c r="F143" s="29" t="n"/>
      <c r="G143" s="26" t="n"/>
      <c r="H143" s="28">
        <f>IF($A143="","",IF($F143="","",raporTarihi-$F143))</f>
        <v/>
      </c>
      <c r="I143" s="28">
        <f>IF($A143="","",IF($H143="","",IF($H143&lt;=7,"0-7",IF($H143&lt;=30,"8-30",IF($H143&lt;=60,"31-60","60+")))))</f>
        <v/>
      </c>
      <c r="J143" s="28">
        <f>IF($A143="","",IF($B143="","YETİM",IF(COUNTIF(tblKartlar[KartId],$B143)=0,"YETİM","")))</f>
        <v/>
      </c>
      <c r="K143" s="28">
        <f>IF($A143="","",IF($E143="YOK",IF($D143="KRITIK","KRİTİK EKSİK","EKSİK"),"TAM"))</f>
        <v/>
      </c>
      <c r="L143" s="28">
        <f>IF($A143="","",1)</f>
        <v/>
      </c>
    </row>
    <row r="144">
      <c r="A144" s="26" t="n"/>
      <c r="B144" s="26" t="n"/>
      <c r="C144" s="26" t="n"/>
      <c r="D144" s="26" t="n"/>
      <c r="E144" s="26" t="n"/>
      <c r="F144" s="29" t="n"/>
      <c r="G144" s="26" t="n"/>
      <c r="H144" s="28">
        <f>IF($A144="","",IF($F144="","",raporTarihi-$F144))</f>
        <v/>
      </c>
      <c r="I144" s="28">
        <f>IF($A144="","",IF($H144="","",IF($H144&lt;=7,"0-7",IF($H144&lt;=30,"8-30",IF($H144&lt;=60,"31-60","60+")))))</f>
        <v/>
      </c>
      <c r="J144" s="28">
        <f>IF($A144="","",IF($B144="","YETİM",IF(COUNTIF(tblKartlar[KartId],$B144)=0,"YETİM","")))</f>
        <v/>
      </c>
      <c r="K144" s="28">
        <f>IF($A144="","",IF($E144="YOK",IF($D144="KRITIK","KRİTİK EKSİK","EKSİK"),"TAM"))</f>
        <v/>
      </c>
      <c r="L144" s="28">
        <f>IF($A144="","",1)</f>
        <v/>
      </c>
    </row>
    <row r="145">
      <c r="A145" s="26" t="n"/>
      <c r="B145" s="26" t="n"/>
      <c r="C145" s="26" t="n"/>
      <c r="D145" s="26" t="n"/>
      <c r="E145" s="26" t="n"/>
      <c r="F145" s="29" t="n"/>
      <c r="G145" s="26" t="n"/>
      <c r="H145" s="28">
        <f>IF($A145="","",IF($F145="","",raporTarihi-$F145))</f>
        <v/>
      </c>
      <c r="I145" s="28">
        <f>IF($A145="","",IF($H145="","",IF($H145&lt;=7,"0-7",IF($H145&lt;=30,"8-30",IF($H145&lt;=60,"31-60","60+")))))</f>
        <v/>
      </c>
      <c r="J145" s="28">
        <f>IF($A145="","",IF($B145="","YETİM",IF(COUNTIF(tblKartlar[KartId],$B145)=0,"YETİM","")))</f>
        <v/>
      </c>
      <c r="K145" s="28">
        <f>IF($A145="","",IF($E145="YOK",IF($D145="KRITIK","KRİTİK EKSİK","EKSİK"),"TAM"))</f>
        <v/>
      </c>
      <c r="L145" s="28">
        <f>IF($A145="","",1)</f>
        <v/>
      </c>
    </row>
    <row r="146">
      <c r="A146" s="26" t="n"/>
      <c r="B146" s="26" t="n"/>
      <c r="C146" s="26" t="n"/>
      <c r="D146" s="26" t="n"/>
      <c r="E146" s="26" t="n"/>
      <c r="F146" s="29" t="n"/>
      <c r="G146" s="26" t="n"/>
      <c r="H146" s="28">
        <f>IF($A146="","",IF($F146="","",raporTarihi-$F146))</f>
        <v/>
      </c>
      <c r="I146" s="28">
        <f>IF($A146="","",IF($H146="","",IF($H146&lt;=7,"0-7",IF($H146&lt;=30,"8-30",IF($H146&lt;=60,"31-60","60+")))))</f>
        <v/>
      </c>
      <c r="J146" s="28">
        <f>IF($A146="","",IF($B146="","YETİM",IF(COUNTIF(tblKartlar[KartId],$B146)=0,"YETİM","")))</f>
        <v/>
      </c>
      <c r="K146" s="28">
        <f>IF($A146="","",IF($E146="YOK",IF($D146="KRITIK","KRİTİK EKSİK","EKSİK"),"TAM"))</f>
        <v/>
      </c>
      <c r="L146" s="28">
        <f>IF($A146="","",1)</f>
        <v/>
      </c>
    </row>
    <row r="147">
      <c r="A147" s="26" t="n"/>
      <c r="B147" s="26" t="n"/>
      <c r="C147" s="26" t="n"/>
      <c r="D147" s="26" t="n"/>
      <c r="E147" s="26" t="n"/>
      <c r="F147" s="29" t="n"/>
      <c r="G147" s="26" t="n"/>
      <c r="H147" s="28">
        <f>IF($A147="","",IF($F147="","",raporTarihi-$F147))</f>
        <v/>
      </c>
      <c r="I147" s="28">
        <f>IF($A147="","",IF($H147="","",IF($H147&lt;=7,"0-7",IF($H147&lt;=30,"8-30",IF($H147&lt;=60,"31-60","60+")))))</f>
        <v/>
      </c>
      <c r="J147" s="28">
        <f>IF($A147="","",IF($B147="","YETİM",IF(COUNTIF(tblKartlar[KartId],$B147)=0,"YETİM","")))</f>
        <v/>
      </c>
      <c r="K147" s="28">
        <f>IF($A147="","",IF($E147="YOK",IF($D147="KRITIK","KRİTİK EKSİK","EKSİK"),"TAM"))</f>
        <v/>
      </c>
      <c r="L147" s="28">
        <f>IF($A147="","",1)</f>
        <v/>
      </c>
    </row>
    <row r="148">
      <c r="A148" s="26" t="n"/>
      <c r="B148" s="26" t="n"/>
      <c r="C148" s="26" t="n"/>
      <c r="D148" s="26" t="n"/>
      <c r="E148" s="26" t="n"/>
      <c r="F148" s="29" t="n"/>
      <c r="G148" s="26" t="n"/>
      <c r="H148" s="28">
        <f>IF($A148="","",IF($F148="","",raporTarihi-$F148))</f>
        <v/>
      </c>
      <c r="I148" s="28">
        <f>IF($A148="","",IF($H148="","",IF($H148&lt;=7,"0-7",IF($H148&lt;=30,"8-30",IF($H148&lt;=60,"31-60","60+")))))</f>
        <v/>
      </c>
      <c r="J148" s="28">
        <f>IF($A148="","",IF($B148="","YETİM",IF(COUNTIF(tblKartlar[KartId],$B148)=0,"YETİM","")))</f>
        <v/>
      </c>
      <c r="K148" s="28">
        <f>IF($A148="","",IF($E148="YOK",IF($D148="KRITIK","KRİTİK EKSİK","EKSİK"),"TAM"))</f>
        <v/>
      </c>
      <c r="L148" s="28">
        <f>IF($A148="","",1)</f>
        <v/>
      </c>
    </row>
    <row r="149">
      <c r="A149" s="26" t="n"/>
      <c r="B149" s="26" t="n"/>
      <c r="C149" s="26" t="n"/>
      <c r="D149" s="26" t="n"/>
      <c r="E149" s="26" t="n"/>
      <c r="F149" s="29" t="n"/>
      <c r="G149" s="26" t="n"/>
      <c r="H149" s="28">
        <f>IF($A149="","",IF($F149="","",raporTarihi-$F149))</f>
        <v/>
      </c>
      <c r="I149" s="28">
        <f>IF($A149="","",IF($H149="","",IF($H149&lt;=7,"0-7",IF($H149&lt;=30,"8-30",IF($H149&lt;=60,"31-60","60+")))))</f>
        <v/>
      </c>
      <c r="J149" s="28">
        <f>IF($A149="","",IF($B149="","YETİM",IF(COUNTIF(tblKartlar[KartId],$B149)=0,"YETİM","")))</f>
        <v/>
      </c>
      <c r="K149" s="28">
        <f>IF($A149="","",IF($E149="YOK",IF($D149="KRITIK","KRİTİK EKSİK","EKSİK"),"TAM"))</f>
        <v/>
      </c>
      <c r="L149" s="28">
        <f>IF($A149="","",1)</f>
        <v/>
      </c>
    </row>
    <row r="150">
      <c r="A150" s="26" t="n"/>
      <c r="B150" s="26" t="n"/>
      <c r="C150" s="26" t="n"/>
      <c r="D150" s="26" t="n"/>
      <c r="E150" s="26" t="n"/>
      <c r="F150" s="29" t="n"/>
      <c r="G150" s="26" t="n"/>
      <c r="H150" s="28">
        <f>IF($A150="","",IF($F150="","",raporTarihi-$F150))</f>
        <v/>
      </c>
      <c r="I150" s="28">
        <f>IF($A150="","",IF($H150="","",IF($H150&lt;=7,"0-7",IF($H150&lt;=30,"8-30",IF($H150&lt;=60,"31-60","60+")))))</f>
        <v/>
      </c>
      <c r="J150" s="28">
        <f>IF($A150="","",IF($B150="","YETİM",IF(COUNTIF(tblKartlar[KartId],$B150)=0,"YETİM","")))</f>
        <v/>
      </c>
      <c r="K150" s="28">
        <f>IF($A150="","",IF($E150="YOK",IF($D150="KRITIK","KRİTİK EKSİK","EKSİK"),"TAM"))</f>
        <v/>
      </c>
      <c r="L150" s="28">
        <f>IF($A150="","",1)</f>
        <v/>
      </c>
    </row>
    <row r="151">
      <c r="A151" s="26" t="n"/>
      <c r="B151" s="26" t="n"/>
      <c r="C151" s="26" t="n"/>
      <c r="D151" s="26" t="n"/>
      <c r="E151" s="26" t="n"/>
      <c r="F151" s="29" t="n"/>
      <c r="G151" s="26" t="n"/>
      <c r="H151" s="28">
        <f>IF($A151="","",IF($F151="","",raporTarihi-$F151))</f>
        <v/>
      </c>
      <c r="I151" s="28">
        <f>IF($A151="","",IF($H151="","",IF($H151&lt;=7,"0-7",IF($H151&lt;=30,"8-30",IF($H151&lt;=60,"31-60","60+")))))</f>
        <v/>
      </c>
      <c r="J151" s="28">
        <f>IF($A151="","",IF($B151="","YETİM",IF(COUNTIF(tblKartlar[KartId],$B151)=0,"YETİM","")))</f>
        <v/>
      </c>
      <c r="K151" s="28">
        <f>IF($A151="","",IF($E151="YOK",IF($D151="KRITIK","KRİTİK EKSİK","EKSİK"),"TAM"))</f>
        <v/>
      </c>
      <c r="L151" s="28">
        <f>IF($A151="","",1)</f>
        <v/>
      </c>
    </row>
    <row r="152">
      <c r="A152" s="26" t="n"/>
      <c r="B152" s="26" t="n"/>
      <c r="C152" s="26" t="n"/>
      <c r="D152" s="26" t="n"/>
      <c r="E152" s="26" t="n"/>
      <c r="F152" s="29" t="n"/>
      <c r="G152" s="26" t="n"/>
      <c r="H152" s="28">
        <f>IF($A152="","",IF($F152="","",raporTarihi-$F152))</f>
        <v/>
      </c>
      <c r="I152" s="28">
        <f>IF($A152="","",IF($H152="","",IF($H152&lt;=7,"0-7",IF($H152&lt;=30,"8-30",IF($H152&lt;=60,"31-60","60+")))))</f>
        <v/>
      </c>
      <c r="J152" s="28">
        <f>IF($A152="","",IF($B152="","YETİM",IF(COUNTIF(tblKartlar[KartId],$B152)=0,"YETİM","")))</f>
        <v/>
      </c>
      <c r="K152" s="28">
        <f>IF($A152="","",IF($E152="YOK",IF($D152="KRITIK","KRİTİK EKSİK","EKSİK"),"TAM"))</f>
        <v/>
      </c>
      <c r="L152" s="28">
        <f>IF($A152="","",1)</f>
        <v/>
      </c>
    </row>
    <row r="153">
      <c r="A153" s="26" t="n"/>
      <c r="B153" s="26" t="n"/>
      <c r="C153" s="26" t="n"/>
      <c r="D153" s="26" t="n"/>
      <c r="E153" s="26" t="n"/>
      <c r="F153" s="29" t="n"/>
      <c r="G153" s="26" t="n"/>
      <c r="H153" s="28">
        <f>IF($A153="","",IF($F153="","",raporTarihi-$F153))</f>
        <v/>
      </c>
      <c r="I153" s="28">
        <f>IF($A153="","",IF($H153="","",IF($H153&lt;=7,"0-7",IF($H153&lt;=30,"8-30",IF($H153&lt;=60,"31-60","60+")))))</f>
        <v/>
      </c>
      <c r="J153" s="28">
        <f>IF($A153="","",IF($B153="","YETİM",IF(COUNTIF(tblKartlar[KartId],$B153)=0,"YETİM","")))</f>
        <v/>
      </c>
      <c r="K153" s="28">
        <f>IF($A153="","",IF($E153="YOK",IF($D153="KRITIK","KRİTİK EKSİK","EKSİK"),"TAM"))</f>
        <v/>
      </c>
      <c r="L153" s="28">
        <f>IF($A153="","",1)</f>
        <v/>
      </c>
    </row>
    <row r="154">
      <c r="A154" s="26" t="n"/>
      <c r="B154" s="26" t="n"/>
      <c r="C154" s="26" t="n"/>
      <c r="D154" s="26" t="n"/>
      <c r="E154" s="26" t="n"/>
      <c r="F154" s="29" t="n"/>
      <c r="G154" s="26" t="n"/>
      <c r="H154" s="28">
        <f>IF($A154="","",IF($F154="","",raporTarihi-$F154))</f>
        <v/>
      </c>
      <c r="I154" s="28">
        <f>IF($A154="","",IF($H154="","",IF($H154&lt;=7,"0-7",IF($H154&lt;=30,"8-30",IF($H154&lt;=60,"31-60","60+")))))</f>
        <v/>
      </c>
      <c r="J154" s="28">
        <f>IF($A154="","",IF($B154="","YETİM",IF(COUNTIF(tblKartlar[KartId],$B154)=0,"YETİM","")))</f>
        <v/>
      </c>
      <c r="K154" s="28">
        <f>IF($A154="","",IF($E154="YOK",IF($D154="KRITIK","KRİTİK EKSİK","EKSİK"),"TAM"))</f>
        <v/>
      </c>
      <c r="L154" s="28">
        <f>IF($A154="","",1)</f>
        <v/>
      </c>
    </row>
    <row r="155">
      <c r="A155" s="26" t="n"/>
      <c r="B155" s="26" t="n"/>
      <c r="C155" s="26" t="n"/>
      <c r="D155" s="26" t="n"/>
      <c r="E155" s="26" t="n"/>
      <c r="F155" s="29" t="n"/>
      <c r="G155" s="26" t="n"/>
      <c r="H155" s="28">
        <f>IF($A155="","",IF($F155="","",raporTarihi-$F155))</f>
        <v/>
      </c>
      <c r="I155" s="28">
        <f>IF($A155="","",IF($H155="","",IF($H155&lt;=7,"0-7",IF($H155&lt;=30,"8-30",IF($H155&lt;=60,"31-60","60+")))))</f>
        <v/>
      </c>
      <c r="J155" s="28">
        <f>IF($A155="","",IF($B155="","YETİM",IF(COUNTIF(tblKartlar[KartId],$B155)=0,"YETİM","")))</f>
        <v/>
      </c>
      <c r="K155" s="28">
        <f>IF($A155="","",IF($E155="YOK",IF($D155="KRITIK","KRİTİK EKSİK","EKSİK"),"TAM"))</f>
        <v/>
      </c>
      <c r="L155" s="28">
        <f>IF($A155="","",1)</f>
        <v/>
      </c>
    </row>
    <row r="156">
      <c r="A156" s="26" t="n"/>
      <c r="B156" s="26" t="n"/>
      <c r="C156" s="26" t="n"/>
      <c r="D156" s="26" t="n"/>
      <c r="E156" s="26" t="n"/>
      <c r="F156" s="29" t="n"/>
      <c r="G156" s="26" t="n"/>
      <c r="H156" s="28">
        <f>IF($A156="","",IF($F156="","",raporTarihi-$F156))</f>
        <v/>
      </c>
      <c r="I156" s="28">
        <f>IF($A156="","",IF($H156="","",IF($H156&lt;=7,"0-7",IF($H156&lt;=30,"8-30",IF($H156&lt;=60,"31-60","60+")))))</f>
        <v/>
      </c>
      <c r="J156" s="28">
        <f>IF($A156="","",IF($B156="","YETİM",IF(COUNTIF(tblKartlar[KartId],$B156)=0,"YETİM","")))</f>
        <v/>
      </c>
      <c r="K156" s="28">
        <f>IF($A156="","",IF($E156="YOK",IF($D156="KRITIK","KRİTİK EKSİK","EKSİK"),"TAM"))</f>
        <v/>
      </c>
      <c r="L156" s="28">
        <f>IF($A156="","",1)</f>
        <v/>
      </c>
    </row>
    <row r="157">
      <c r="A157" s="26" t="n"/>
      <c r="B157" s="26" t="n"/>
      <c r="C157" s="26" t="n"/>
      <c r="D157" s="26" t="n"/>
      <c r="E157" s="26" t="n"/>
      <c r="F157" s="29" t="n"/>
      <c r="G157" s="26" t="n"/>
      <c r="H157" s="28">
        <f>IF($A157="","",IF($F157="","",raporTarihi-$F157))</f>
        <v/>
      </c>
      <c r="I157" s="28">
        <f>IF($A157="","",IF($H157="","",IF($H157&lt;=7,"0-7",IF($H157&lt;=30,"8-30",IF($H157&lt;=60,"31-60","60+")))))</f>
        <v/>
      </c>
      <c r="J157" s="28">
        <f>IF($A157="","",IF($B157="","YETİM",IF(COUNTIF(tblKartlar[KartId],$B157)=0,"YETİM","")))</f>
        <v/>
      </c>
      <c r="K157" s="28">
        <f>IF($A157="","",IF($E157="YOK",IF($D157="KRITIK","KRİTİK EKSİK","EKSİK"),"TAM"))</f>
        <v/>
      </c>
      <c r="L157" s="28">
        <f>IF($A157="","",1)</f>
        <v/>
      </c>
    </row>
    <row r="158">
      <c r="A158" s="26" t="n"/>
      <c r="B158" s="26" t="n"/>
      <c r="C158" s="26" t="n"/>
      <c r="D158" s="26" t="n"/>
      <c r="E158" s="26" t="n"/>
      <c r="F158" s="29" t="n"/>
      <c r="G158" s="26" t="n"/>
      <c r="H158" s="28">
        <f>IF($A158="","",IF($F158="","",raporTarihi-$F158))</f>
        <v/>
      </c>
      <c r="I158" s="28">
        <f>IF($A158="","",IF($H158="","",IF($H158&lt;=7,"0-7",IF($H158&lt;=30,"8-30",IF($H158&lt;=60,"31-60","60+")))))</f>
        <v/>
      </c>
      <c r="J158" s="28">
        <f>IF($A158="","",IF($B158="","YETİM",IF(COUNTIF(tblKartlar[KartId],$B158)=0,"YETİM","")))</f>
        <v/>
      </c>
      <c r="K158" s="28">
        <f>IF($A158="","",IF($E158="YOK",IF($D158="KRITIK","KRİTİK EKSİK","EKSİK"),"TAM"))</f>
        <v/>
      </c>
      <c r="L158" s="28">
        <f>IF($A158="","",1)</f>
        <v/>
      </c>
    </row>
    <row r="159">
      <c r="A159" s="26" t="n"/>
      <c r="B159" s="26" t="n"/>
      <c r="C159" s="26" t="n"/>
      <c r="D159" s="26" t="n"/>
      <c r="E159" s="26" t="n"/>
      <c r="F159" s="29" t="n"/>
      <c r="G159" s="26" t="n"/>
      <c r="H159" s="28">
        <f>IF($A159="","",IF($F159="","",raporTarihi-$F159))</f>
        <v/>
      </c>
      <c r="I159" s="28">
        <f>IF($A159="","",IF($H159="","",IF($H159&lt;=7,"0-7",IF($H159&lt;=30,"8-30",IF($H159&lt;=60,"31-60","60+")))))</f>
        <v/>
      </c>
      <c r="J159" s="28">
        <f>IF($A159="","",IF($B159="","YETİM",IF(COUNTIF(tblKartlar[KartId],$B159)=0,"YETİM","")))</f>
        <v/>
      </c>
      <c r="K159" s="28">
        <f>IF($A159="","",IF($E159="YOK",IF($D159="KRITIK","KRİTİK EKSİK","EKSİK"),"TAM"))</f>
        <v/>
      </c>
      <c r="L159" s="28">
        <f>IF($A159="","",1)</f>
        <v/>
      </c>
    </row>
    <row r="160">
      <c r="A160" s="26" t="n"/>
      <c r="B160" s="26" t="n"/>
      <c r="C160" s="26" t="n"/>
      <c r="D160" s="26" t="n"/>
      <c r="E160" s="26" t="n"/>
      <c r="F160" s="29" t="n"/>
      <c r="G160" s="26" t="n"/>
      <c r="H160" s="28">
        <f>IF($A160="","",IF($F160="","",raporTarihi-$F160))</f>
        <v/>
      </c>
      <c r="I160" s="28">
        <f>IF($A160="","",IF($H160="","",IF($H160&lt;=7,"0-7",IF($H160&lt;=30,"8-30",IF($H160&lt;=60,"31-60","60+")))))</f>
        <v/>
      </c>
      <c r="J160" s="28">
        <f>IF($A160="","",IF($B160="","YETİM",IF(COUNTIF(tblKartlar[KartId],$B160)=0,"YETİM","")))</f>
        <v/>
      </c>
      <c r="K160" s="28">
        <f>IF($A160="","",IF($E160="YOK",IF($D160="KRITIK","KRİTİK EKSİK","EKSİK"),"TAM"))</f>
        <v/>
      </c>
      <c r="L160" s="28">
        <f>IF($A160="","",1)</f>
        <v/>
      </c>
    </row>
    <row r="161">
      <c r="A161" s="26" t="n"/>
      <c r="B161" s="26" t="n"/>
      <c r="C161" s="26" t="n"/>
      <c r="D161" s="26" t="n"/>
      <c r="E161" s="26" t="n"/>
      <c r="F161" s="29" t="n"/>
      <c r="G161" s="26" t="n"/>
      <c r="H161" s="28">
        <f>IF($A161="","",IF($F161="","",raporTarihi-$F161))</f>
        <v/>
      </c>
      <c r="I161" s="28">
        <f>IF($A161="","",IF($H161="","",IF($H161&lt;=7,"0-7",IF($H161&lt;=30,"8-30",IF($H161&lt;=60,"31-60","60+")))))</f>
        <v/>
      </c>
      <c r="J161" s="28">
        <f>IF($A161="","",IF($B161="","YETİM",IF(COUNTIF(tblKartlar[KartId],$B161)=0,"YETİM","")))</f>
        <v/>
      </c>
      <c r="K161" s="28">
        <f>IF($A161="","",IF($E161="YOK",IF($D161="KRITIK","KRİTİK EKSİK","EKSİK"),"TAM"))</f>
        <v/>
      </c>
      <c r="L161" s="28">
        <f>IF($A161="","",1)</f>
        <v/>
      </c>
    </row>
    <row r="162">
      <c r="A162" s="26" t="n"/>
      <c r="B162" s="26" t="n"/>
      <c r="C162" s="26" t="n"/>
      <c r="D162" s="26" t="n"/>
      <c r="E162" s="26" t="n"/>
      <c r="F162" s="29" t="n"/>
      <c r="G162" s="26" t="n"/>
      <c r="H162" s="28">
        <f>IF($A162="","",IF($F162="","",raporTarihi-$F162))</f>
        <v/>
      </c>
      <c r="I162" s="28">
        <f>IF($A162="","",IF($H162="","",IF($H162&lt;=7,"0-7",IF($H162&lt;=30,"8-30",IF($H162&lt;=60,"31-60","60+")))))</f>
        <v/>
      </c>
      <c r="J162" s="28">
        <f>IF($A162="","",IF($B162="","YETİM",IF(COUNTIF(tblKartlar[KartId],$B162)=0,"YETİM","")))</f>
        <v/>
      </c>
      <c r="K162" s="28">
        <f>IF($A162="","",IF($E162="YOK",IF($D162="KRITIK","KRİTİK EKSİK","EKSİK"),"TAM"))</f>
        <v/>
      </c>
      <c r="L162" s="28">
        <f>IF($A162="","",1)</f>
        <v/>
      </c>
    </row>
    <row r="163">
      <c r="A163" s="26" t="n"/>
      <c r="B163" s="26" t="n"/>
      <c r="C163" s="26" t="n"/>
      <c r="D163" s="26" t="n"/>
      <c r="E163" s="26" t="n"/>
      <c r="F163" s="29" t="n"/>
      <c r="G163" s="26" t="n"/>
      <c r="H163" s="28">
        <f>IF($A163="","",IF($F163="","",raporTarihi-$F163))</f>
        <v/>
      </c>
      <c r="I163" s="28">
        <f>IF($A163="","",IF($H163="","",IF($H163&lt;=7,"0-7",IF($H163&lt;=30,"8-30",IF($H163&lt;=60,"31-60","60+")))))</f>
        <v/>
      </c>
      <c r="J163" s="28">
        <f>IF($A163="","",IF($B163="","YETİM",IF(COUNTIF(tblKartlar[KartId],$B163)=0,"YETİM","")))</f>
        <v/>
      </c>
      <c r="K163" s="28">
        <f>IF($A163="","",IF($E163="YOK",IF($D163="KRITIK","KRİTİK EKSİK","EKSİK"),"TAM"))</f>
        <v/>
      </c>
      <c r="L163" s="28">
        <f>IF($A163="","",1)</f>
        <v/>
      </c>
    </row>
    <row r="164">
      <c r="A164" s="26" t="n"/>
      <c r="B164" s="26" t="n"/>
      <c r="C164" s="26" t="n"/>
      <c r="D164" s="26" t="n"/>
      <c r="E164" s="26" t="n"/>
      <c r="F164" s="29" t="n"/>
      <c r="G164" s="26" t="n"/>
      <c r="H164" s="28">
        <f>IF($A164="","",IF($F164="","",raporTarihi-$F164))</f>
        <v/>
      </c>
      <c r="I164" s="28">
        <f>IF($A164="","",IF($H164="","",IF($H164&lt;=7,"0-7",IF($H164&lt;=30,"8-30",IF($H164&lt;=60,"31-60","60+")))))</f>
        <v/>
      </c>
      <c r="J164" s="28">
        <f>IF($A164="","",IF($B164="","YETİM",IF(COUNTIF(tblKartlar[KartId],$B164)=0,"YETİM","")))</f>
        <v/>
      </c>
      <c r="K164" s="28">
        <f>IF($A164="","",IF($E164="YOK",IF($D164="KRITIK","KRİTİK EKSİK","EKSİK"),"TAM"))</f>
        <v/>
      </c>
      <c r="L164" s="28">
        <f>IF($A164="","",1)</f>
        <v/>
      </c>
    </row>
    <row r="165">
      <c r="A165" s="26" t="n"/>
      <c r="B165" s="26" t="n"/>
      <c r="C165" s="26" t="n"/>
      <c r="D165" s="26" t="n"/>
      <c r="E165" s="26" t="n"/>
      <c r="F165" s="29" t="n"/>
      <c r="G165" s="26" t="n"/>
      <c r="H165" s="28">
        <f>IF($A165="","",IF($F165="","",raporTarihi-$F165))</f>
        <v/>
      </c>
      <c r="I165" s="28">
        <f>IF($A165="","",IF($H165="","",IF($H165&lt;=7,"0-7",IF($H165&lt;=30,"8-30",IF($H165&lt;=60,"31-60","60+")))))</f>
        <v/>
      </c>
      <c r="J165" s="28">
        <f>IF($A165="","",IF($B165="","YETİM",IF(COUNTIF(tblKartlar[KartId],$B165)=0,"YETİM","")))</f>
        <v/>
      </c>
      <c r="K165" s="28">
        <f>IF($A165="","",IF($E165="YOK",IF($D165="KRITIK","KRİTİK EKSİK","EKSİK"),"TAM"))</f>
        <v/>
      </c>
      <c r="L165" s="28">
        <f>IF($A165="","",1)</f>
        <v/>
      </c>
    </row>
    <row r="166">
      <c r="A166" s="26" t="n"/>
      <c r="B166" s="26" t="n"/>
      <c r="C166" s="26" t="n"/>
      <c r="D166" s="26" t="n"/>
      <c r="E166" s="26" t="n"/>
      <c r="F166" s="29" t="n"/>
      <c r="G166" s="26" t="n"/>
      <c r="H166" s="28">
        <f>IF($A166="","",IF($F166="","",raporTarihi-$F166))</f>
        <v/>
      </c>
      <c r="I166" s="28">
        <f>IF($A166="","",IF($H166="","",IF($H166&lt;=7,"0-7",IF($H166&lt;=30,"8-30",IF($H166&lt;=60,"31-60","60+")))))</f>
        <v/>
      </c>
      <c r="J166" s="28">
        <f>IF($A166="","",IF($B166="","YETİM",IF(COUNTIF(tblKartlar[KartId],$B166)=0,"YETİM","")))</f>
        <v/>
      </c>
      <c r="K166" s="28">
        <f>IF($A166="","",IF($E166="YOK",IF($D166="KRITIK","KRİTİK EKSİK","EKSİK"),"TAM"))</f>
        <v/>
      </c>
      <c r="L166" s="28">
        <f>IF($A166="","",1)</f>
        <v/>
      </c>
    </row>
    <row r="167">
      <c r="A167" s="26" t="n"/>
      <c r="B167" s="26" t="n"/>
      <c r="C167" s="26" t="n"/>
      <c r="D167" s="26" t="n"/>
      <c r="E167" s="26" t="n"/>
      <c r="F167" s="29" t="n"/>
      <c r="G167" s="26" t="n"/>
      <c r="H167" s="28">
        <f>IF($A167="","",IF($F167="","",raporTarihi-$F167))</f>
        <v/>
      </c>
      <c r="I167" s="28">
        <f>IF($A167="","",IF($H167="","",IF($H167&lt;=7,"0-7",IF($H167&lt;=30,"8-30",IF($H167&lt;=60,"31-60","60+")))))</f>
        <v/>
      </c>
      <c r="J167" s="28">
        <f>IF($A167="","",IF($B167="","YETİM",IF(COUNTIF(tblKartlar[KartId],$B167)=0,"YETİM","")))</f>
        <v/>
      </c>
      <c r="K167" s="28">
        <f>IF($A167="","",IF($E167="YOK",IF($D167="KRITIK","KRİTİK EKSİK","EKSİK"),"TAM"))</f>
        <v/>
      </c>
      <c r="L167" s="28">
        <f>IF($A167="","",1)</f>
        <v/>
      </c>
    </row>
    <row r="168">
      <c r="A168" s="26" t="n"/>
      <c r="B168" s="26" t="n"/>
      <c r="C168" s="26" t="n"/>
      <c r="D168" s="26" t="n"/>
      <c r="E168" s="26" t="n"/>
      <c r="F168" s="29" t="n"/>
      <c r="G168" s="26" t="n"/>
      <c r="H168" s="28">
        <f>IF($A168="","",IF($F168="","",raporTarihi-$F168))</f>
        <v/>
      </c>
      <c r="I168" s="28">
        <f>IF($A168="","",IF($H168="","",IF($H168&lt;=7,"0-7",IF($H168&lt;=30,"8-30",IF($H168&lt;=60,"31-60","60+")))))</f>
        <v/>
      </c>
      <c r="J168" s="28">
        <f>IF($A168="","",IF($B168="","YETİM",IF(COUNTIF(tblKartlar[KartId],$B168)=0,"YETİM","")))</f>
        <v/>
      </c>
      <c r="K168" s="28">
        <f>IF($A168="","",IF($E168="YOK",IF($D168="KRITIK","KRİTİK EKSİK","EKSİK"),"TAM"))</f>
        <v/>
      </c>
      <c r="L168" s="28">
        <f>IF($A168="","",1)</f>
        <v/>
      </c>
    </row>
    <row r="169">
      <c r="A169" s="26" t="n"/>
      <c r="B169" s="26" t="n"/>
      <c r="C169" s="26" t="n"/>
      <c r="D169" s="26" t="n"/>
      <c r="E169" s="26" t="n"/>
      <c r="F169" s="29" t="n"/>
      <c r="G169" s="26" t="n"/>
      <c r="H169" s="28">
        <f>IF($A169="","",IF($F169="","",raporTarihi-$F169))</f>
        <v/>
      </c>
      <c r="I169" s="28">
        <f>IF($A169="","",IF($H169="","",IF($H169&lt;=7,"0-7",IF($H169&lt;=30,"8-30",IF($H169&lt;=60,"31-60","60+")))))</f>
        <v/>
      </c>
      <c r="J169" s="28">
        <f>IF($A169="","",IF($B169="","YETİM",IF(COUNTIF(tblKartlar[KartId],$B169)=0,"YETİM","")))</f>
        <v/>
      </c>
      <c r="K169" s="28">
        <f>IF($A169="","",IF($E169="YOK",IF($D169="KRITIK","KRİTİK EKSİK","EKSİK"),"TAM"))</f>
        <v/>
      </c>
      <c r="L169" s="28">
        <f>IF($A169="","",1)</f>
        <v/>
      </c>
    </row>
    <row r="170">
      <c r="A170" s="26" t="n"/>
      <c r="B170" s="26" t="n"/>
      <c r="C170" s="26" t="n"/>
      <c r="D170" s="26" t="n"/>
      <c r="E170" s="26" t="n"/>
      <c r="F170" s="29" t="n"/>
      <c r="G170" s="26" t="n"/>
      <c r="H170" s="28">
        <f>IF($A170="","",IF($F170="","",raporTarihi-$F170))</f>
        <v/>
      </c>
      <c r="I170" s="28">
        <f>IF($A170="","",IF($H170="","",IF($H170&lt;=7,"0-7",IF($H170&lt;=30,"8-30",IF($H170&lt;=60,"31-60","60+")))))</f>
        <v/>
      </c>
      <c r="J170" s="28">
        <f>IF($A170="","",IF($B170="","YETİM",IF(COUNTIF(tblKartlar[KartId],$B170)=0,"YETİM","")))</f>
        <v/>
      </c>
      <c r="K170" s="28">
        <f>IF($A170="","",IF($E170="YOK",IF($D170="KRITIK","KRİTİK EKSİK","EKSİK"),"TAM"))</f>
        <v/>
      </c>
      <c r="L170" s="28">
        <f>IF($A170="","",1)</f>
        <v/>
      </c>
    </row>
    <row r="171">
      <c r="A171" s="26" t="n"/>
      <c r="B171" s="26" t="n"/>
      <c r="C171" s="26" t="n"/>
      <c r="D171" s="26" t="n"/>
      <c r="E171" s="26" t="n"/>
      <c r="F171" s="29" t="n"/>
      <c r="G171" s="26" t="n"/>
      <c r="H171" s="28">
        <f>IF($A171="","",IF($F171="","",raporTarihi-$F171))</f>
        <v/>
      </c>
      <c r="I171" s="28">
        <f>IF($A171="","",IF($H171="","",IF($H171&lt;=7,"0-7",IF($H171&lt;=30,"8-30",IF($H171&lt;=60,"31-60","60+")))))</f>
        <v/>
      </c>
      <c r="J171" s="28">
        <f>IF($A171="","",IF($B171="","YETİM",IF(COUNTIF(tblKartlar[KartId],$B171)=0,"YETİM","")))</f>
        <v/>
      </c>
      <c r="K171" s="28">
        <f>IF($A171="","",IF($E171="YOK",IF($D171="KRITIK","KRİTİK EKSİK","EKSİK"),"TAM"))</f>
        <v/>
      </c>
      <c r="L171" s="28">
        <f>IF($A171="","",1)</f>
        <v/>
      </c>
    </row>
    <row r="172">
      <c r="A172" s="26" t="n"/>
      <c r="B172" s="26" t="n"/>
      <c r="C172" s="26" t="n"/>
      <c r="D172" s="26" t="n"/>
      <c r="E172" s="26" t="n"/>
      <c r="F172" s="29" t="n"/>
      <c r="G172" s="26" t="n"/>
      <c r="H172" s="28">
        <f>IF($A172="","",IF($F172="","",raporTarihi-$F172))</f>
        <v/>
      </c>
      <c r="I172" s="28">
        <f>IF($A172="","",IF($H172="","",IF($H172&lt;=7,"0-7",IF($H172&lt;=30,"8-30",IF($H172&lt;=60,"31-60","60+")))))</f>
        <v/>
      </c>
      <c r="J172" s="28">
        <f>IF($A172="","",IF($B172="","YETİM",IF(COUNTIF(tblKartlar[KartId],$B172)=0,"YETİM","")))</f>
        <v/>
      </c>
      <c r="K172" s="28">
        <f>IF($A172="","",IF($E172="YOK",IF($D172="KRITIK","KRİTİK EKSİK","EKSİK"),"TAM"))</f>
        <v/>
      </c>
      <c r="L172" s="28">
        <f>IF($A172="","",1)</f>
        <v/>
      </c>
    </row>
    <row r="173">
      <c r="A173" s="26" t="n"/>
      <c r="B173" s="26" t="n"/>
      <c r="C173" s="26" t="n"/>
      <c r="D173" s="26" t="n"/>
      <c r="E173" s="26" t="n"/>
      <c r="F173" s="29" t="n"/>
      <c r="G173" s="26" t="n"/>
      <c r="H173" s="28">
        <f>IF($A173="","",IF($F173="","",raporTarihi-$F173))</f>
        <v/>
      </c>
      <c r="I173" s="28">
        <f>IF($A173="","",IF($H173="","",IF($H173&lt;=7,"0-7",IF($H173&lt;=30,"8-30",IF($H173&lt;=60,"31-60","60+")))))</f>
        <v/>
      </c>
      <c r="J173" s="28">
        <f>IF($A173="","",IF($B173="","YETİM",IF(COUNTIF(tblKartlar[KartId],$B173)=0,"YETİM","")))</f>
        <v/>
      </c>
      <c r="K173" s="28">
        <f>IF($A173="","",IF($E173="YOK",IF($D173="KRITIK","KRİTİK EKSİK","EKSİK"),"TAM"))</f>
        <v/>
      </c>
      <c r="L173" s="28">
        <f>IF($A173="","",1)</f>
        <v/>
      </c>
    </row>
    <row r="174">
      <c r="A174" s="26" t="n"/>
      <c r="B174" s="26" t="n"/>
      <c r="C174" s="26" t="n"/>
      <c r="D174" s="26" t="n"/>
      <c r="E174" s="26" t="n"/>
      <c r="F174" s="29" t="n"/>
      <c r="G174" s="26" t="n"/>
      <c r="H174" s="28">
        <f>IF($A174="","",IF($F174="","",raporTarihi-$F174))</f>
        <v/>
      </c>
      <c r="I174" s="28">
        <f>IF($A174="","",IF($H174="","",IF($H174&lt;=7,"0-7",IF($H174&lt;=30,"8-30",IF($H174&lt;=60,"31-60","60+")))))</f>
        <v/>
      </c>
      <c r="J174" s="28">
        <f>IF($A174="","",IF($B174="","YETİM",IF(COUNTIF(tblKartlar[KartId],$B174)=0,"YETİM","")))</f>
        <v/>
      </c>
      <c r="K174" s="28">
        <f>IF($A174="","",IF($E174="YOK",IF($D174="KRITIK","KRİTİK EKSİK","EKSİK"),"TAM"))</f>
        <v/>
      </c>
      <c r="L174" s="28">
        <f>IF($A174="","",1)</f>
        <v/>
      </c>
    </row>
    <row r="175">
      <c r="A175" s="26" t="n"/>
      <c r="B175" s="26" t="n"/>
      <c r="C175" s="26" t="n"/>
      <c r="D175" s="26" t="n"/>
      <c r="E175" s="26" t="n"/>
      <c r="F175" s="29" t="n"/>
      <c r="G175" s="26" t="n"/>
      <c r="H175" s="28">
        <f>IF($A175="","",IF($F175="","",raporTarihi-$F175))</f>
        <v/>
      </c>
      <c r="I175" s="28">
        <f>IF($A175="","",IF($H175="","",IF($H175&lt;=7,"0-7",IF($H175&lt;=30,"8-30",IF($H175&lt;=60,"31-60","60+")))))</f>
        <v/>
      </c>
      <c r="J175" s="28">
        <f>IF($A175="","",IF($B175="","YETİM",IF(COUNTIF(tblKartlar[KartId],$B175)=0,"YETİM","")))</f>
        <v/>
      </c>
      <c r="K175" s="28">
        <f>IF($A175="","",IF($E175="YOK",IF($D175="KRITIK","KRİTİK EKSİK","EKSİK"),"TAM"))</f>
        <v/>
      </c>
      <c r="L175" s="28">
        <f>IF($A175="","",1)</f>
        <v/>
      </c>
    </row>
    <row r="176">
      <c r="A176" s="26" t="n"/>
      <c r="B176" s="26" t="n"/>
      <c r="C176" s="26" t="n"/>
      <c r="D176" s="26" t="n"/>
      <c r="E176" s="26" t="n"/>
      <c r="F176" s="29" t="n"/>
      <c r="G176" s="26" t="n"/>
      <c r="H176" s="28">
        <f>IF($A176="","",IF($F176="","",raporTarihi-$F176))</f>
        <v/>
      </c>
      <c r="I176" s="28">
        <f>IF($A176="","",IF($H176="","",IF($H176&lt;=7,"0-7",IF($H176&lt;=30,"8-30",IF($H176&lt;=60,"31-60","60+")))))</f>
        <v/>
      </c>
      <c r="J176" s="28">
        <f>IF($A176="","",IF($B176="","YETİM",IF(COUNTIF(tblKartlar[KartId],$B176)=0,"YETİM","")))</f>
        <v/>
      </c>
      <c r="K176" s="28">
        <f>IF($A176="","",IF($E176="YOK",IF($D176="KRITIK","KRİTİK EKSİK","EKSİK"),"TAM"))</f>
        <v/>
      </c>
      <c r="L176" s="28">
        <f>IF($A176="","",1)</f>
        <v/>
      </c>
    </row>
    <row r="177">
      <c r="A177" s="26" t="n"/>
      <c r="B177" s="26" t="n"/>
      <c r="C177" s="26" t="n"/>
      <c r="D177" s="26" t="n"/>
      <c r="E177" s="26" t="n"/>
      <c r="F177" s="29" t="n"/>
      <c r="G177" s="26" t="n"/>
      <c r="H177" s="28">
        <f>IF($A177="","",IF($F177="","",raporTarihi-$F177))</f>
        <v/>
      </c>
      <c r="I177" s="28">
        <f>IF($A177="","",IF($H177="","",IF($H177&lt;=7,"0-7",IF($H177&lt;=30,"8-30",IF($H177&lt;=60,"31-60","60+")))))</f>
        <v/>
      </c>
      <c r="J177" s="28">
        <f>IF($A177="","",IF($B177="","YETİM",IF(COUNTIF(tblKartlar[KartId],$B177)=0,"YETİM","")))</f>
        <v/>
      </c>
      <c r="K177" s="28">
        <f>IF($A177="","",IF($E177="YOK",IF($D177="KRITIK","KRİTİK EKSİK","EKSİK"),"TAM"))</f>
        <v/>
      </c>
      <c r="L177" s="28">
        <f>IF($A177="","",1)</f>
        <v/>
      </c>
    </row>
    <row r="178">
      <c r="A178" s="26" t="n"/>
      <c r="B178" s="26" t="n"/>
      <c r="C178" s="26" t="n"/>
      <c r="D178" s="26" t="n"/>
      <c r="E178" s="26" t="n"/>
      <c r="F178" s="29" t="n"/>
      <c r="G178" s="26" t="n"/>
      <c r="H178" s="28">
        <f>IF($A178="","",IF($F178="","",raporTarihi-$F178))</f>
        <v/>
      </c>
      <c r="I178" s="28">
        <f>IF($A178="","",IF($H178="","",IF($H178&lt;=7,"0-7",IF($H178&lt;=30,"8-30",IF($H178&lt;=60,"31-60","60+")))))</f>
        <v/>
      </c>
      <c r="J178" s="28">
        <f>IF($A178="","",IF($B178="","YETİM",IF(COUNTIF(tblKartlar[KartId],$B178)=0,"YETİM","")))</f>
        <v/>
      </c>
      <c r="K178" s="28">
        <f>IF($A178="","",IF($E178="YOK",IF($D178="KRITIK","KRİTİK EKSİK","EKSİK"),"TAM"))</f>
        <v/>
      </c>
      <c r="L178" s="28">
        <f>IF($A178="","",1)</f>
        <v/>
      </c>
    </row>
    <row r="179">
      <c r="A179" s="26" t="n"/>
      <c r="B179" s="26" t="n"/>
      <c r="C179" s="26" t="n"/>
      <c r="D179" s="26" t="n"/>
      <c r="E179" s="26" t="n"/>
      <c r="F179" s="29" t="n"/>
      <c r="G179" s="26" t="n"/>
      <c r="H179" s="28">
        <f>IF($A179="","",IF($F179="","",raporTarihi-$F179))</f>
        <v/>
      </c>
      <c r="I179" s="28">
        <f>IF($A179="","",IF($H179="","",IF($H179&lt;=7,"0-7",IF($H179&lt;=30,"8-30",IF($H179&lt;=60,"31-60","60+")))))</f>
        <v/>
      </c>
      <c r="J179" s="28">
        <f>IF($A179="","",IF($B179="","YETİM",IF(COUNTIF(tblKartlar[KartId],$B179)=0,"YETİM","")))</f>
        <v/>
      </c>
      <c r="K179" s="28">
        <f>IF($A179="","",IF($E179="YOK",IF($D179="KRITIK","KRİTİK EKSİK","EKSİK"),"TAM"))</f>
        <v/>
      </c>
      <c r="L179" s="28">
        <f>IF($A179="","",1)</f>
        <v/>
      </c>
    </row>
    <row r="180">
      <c r="A180" s="26" t="n"/>
      <c r="B180" s="26" t="n"/>
      <c r="C180" s="26" t="n"/>
      <c r="D180" s="26" t="n"/>
      <c r="E180" s="26" t="n"/>
      <c r="F180" s="29" t="n"/>
      <c r="G180" s="26" t="n"/>
      <c r="H180" s="28">
        <f>IF($A180="","",IF($F180="","",raporTarihi-$F180))</f>
        <v/>
      </c>
      <c r="I180" s="28">
        <f>IF($A180="","",IF($H180="","",IF($H180&lt;=7,"0-7",IF($H180&lt;=30,"8-30",IF($H180&lt;=60,"31-60","60+")))))</f>
        <v/>
      </c>
      <c r="J180" s="28">
        <f>IF($A180="","",IF($B180="","YETİM",IF(COUNTIF(tblKartlar[KartId],$B180)=0,"YETİM","")))</f>
        <v/>
      </c>
      <c r="K180" s="28">
        <f>IF($A180="","",IF($E180="YOK",IF($D180="KRITIK","KRİTİK EKSİK","EKSİK"),"TAM"))</f>
        <v/>
      </c>
      <c r="L180" s="28">
        <f>IF($A180="","",1)</f>
        <v/>
      </c>
    </row>
    <row r="181">
      <c r="A181" s="26" t="n"/>
      <c r="B181" s="26" t="n"/>
      <c r="C181" s="26" t="n"/>
      <c r="D181" s="26" t="n"/>
      <c r="E181" s="26" t="n"/>
      <c r="F181" s="29" t="n"/>
      <c r="G181" s="26" t="n"/>
      <c r="H181" s="28">
        <f>IF($A181="","",IF($F181="","",raporTarihi-$F181))</f>
        <v/>
      </c>
      <c r="I181" s="28">
        <f>IF($A181="","",IF($H181="","",IF($H181&lt;=7,"0-7",IF($H181&lt;=30,"8-30",IF($H181&lt;=60,"31-60","60+")))))</f>
        <v/>
      </c>
      <c r="J181" s="28">
        <f>IF($A181="","",IF($B181="","YETİM",IF(COUNTIF(tblKartlar[KartId],$B181)=0,"YETİM","")))</f>
        <v/>
      </c>
      <c r="K181" s="28">
        <f>IF($A181="","",IF($E181="YOK",IF($D181="KRITIK","KRİTİK EKSİK","EKSİK"),"TAM"))</f>
        <v/>
      </c>
      <c r="L181" s="28">
        <f>IF($A181="","",1)</f>
        <v/>
      </c>
    </row>
    <row r="182">
      <c r="A182" s="26" t="n"/>
      <c r="B182" s="26" t="n"/>
      <c r="C182" s="26" t="n"/>
      <c r="D182" s="26" t="n"/>
      <c r="E182" s="26" t="n"/>
      <c r="F182" s="29" t="n"/>
      <c r="G182" s="26" t="n"/>
      <c r="H182" s="28">
        <f>IF($A182="","",IF($F182="","",raporTarihi-$F182))</f>
        <v/>
      </c>
      <c r="I182" s="28">
        <f>IF($A182="","",IF($H182="","",IF($H182&lt;=7,"0-7",IF($H182&lt;=30,"8-30",IF($H182&lt;=60,"31-60","60+")))))</f>
        <v/>
      </c>
      <c r="J182" s="28">
        <f>IF($A182="","",IF($B182="","YETİM",IF(COUNTIF(tblKartlar[KartId],$B182)=0,"YETİM","")))</f>
        <v/>
      </c>
      <c r="K182" s="28">
        <f>IF($A182="","",IF($E182="YOK",IF($D182="KRITIK","KRİTİK EKSİK","EKSİK"),"TAM"))</f>
        <v/>
      </c>
      <c r="L182" s="28">
        <f>IF($A182="","",1)</f>
        <v/>
      </c>
    </row>
    <row r="183">
      <c r="A183" s="26" t="n"/>
      <c r="B183" s="26" t="n"/>
      <c r="C183" s="26" t="n"/>
      <c r="D183" s="26" t="n"/>
      <c r="E183" s="26" t="n"/>
      <c r="F183" s="29" t="n"/>
      <c r="G183" s="26" t="n"/>
      <c r="H183" s="28">
        <f>IF($A183="","",IF($F183="","",raporTarihi-$F183))</f>
        <v/>
      </c>
      <c r="I183" s="28">
        <f>IF($A183="","",IF($H183="","",IF($H183&lt;=7,"0-7",IF($H183&lt;=30,"8-30",IF($H183&lt;=60,"31-60","60+")))))</f>
        <v/>
      </c>
      <c r="J183" s="28">
        <f>IF($A183="","",IF($B183="","YETİM",IF(COUNTIF(tblKartlar[KartId],$B183)=0,"YETİM","")))</f>
        <v/>
      </c>
      <c r="K183" s="28">
        <f>IF($A183="","",IF($E183="YOK",IF($D183="KRITIK","KRİTİK EKSİK","EKSİK"),"TAM"))</f>
        <v/>
      </c>
      <c r="L183" s="28">
        <f>IF($A183="","",1)</f>
        <v/>
      </c>
    </row>
    <row r="184">
      <c r="A184" s="26" t="n"/>
      <c r="B184" s="26" t="n"/>
      <c r="C184" s="26" t="n"/>
      <c r="D184" s="26" t="n"/>
      <c r="E184" s="26" t="n"/>
      <c r="F184" s="29" t="n"/>
      <c r="G184" s="26" t="n"/>
      <c r="H184" s="28">
        <f>IF($A184="","",IF($F184="","",raporTarihi-$F184))</f>
        <v/>
      </c>
      <c r="I184" s="28">
        <f>IF($A184="","",IF($H184="","",IF($H184&lt;=7,"0-7",IF($H184&lt;=30,"8-30",IF($H184&lt;=60,"31-60","60+")))))</f>
        <v/>
      </c>
      <c r="J184" s="28">
        <f>IF($A184="","",IF($B184="","YETİM",IF(COUNTIF(tblKartlar[KartId],$B184)=0,"YETİM","")))</f>
        <v/>
      </c>
      <c r="K184" s="28">
        <f>IF($A184="","",IF($E184="YOK",IF($D184="KRITIK","KRİTİK EKSİK","EKSİK"),"TAM"))</f>
        <v/>
      </c>
      <c r="L184" s="28">
        <f>IF($A184="","",1)</f>
        <v/>
      </c>
    </row>
    <row r="185">
      <c r="A185" s="26" t="n"/>
      <c r="B185" s="26" t="n"/>
      <c r="C185" s="26" t="n"/>
      <c r="D185" s="26" t="n"/>
      <c r="E185" s="26" t="n"/>
      <c r="F185" s="29" t="n"/>
      <c r="G185" s="26" t="n"/>
      <c r="H185" s="28">
        <f>IF($A185="","",IF($F185="","",raporTarihi-$F185))</f>
        <v/>
      </c>
      <c r="I185" s="28">
        <f>IF($A185="","",IF($H185="","",IF($H185&lt;=7,"0-7",IF($H185&lt;=30,"8-30",IF($H185&lt;=60,"31-60","60+")))))</f>
        <v/>
      </c>
      <c r="J185" s="28">
        <f>IF($A185="","",IF($B185="","YETİM",IF(COUNTIF(tblKartlar[KartId],$B185)=0,"YETİM","")))</f>
        <v/>
      </c>
      <c r="K185" s="28">
        <f>IF($A185="","",IF($E185="YOK",IF($D185="KRITIK","KRİTİK EKSİK","EKSİK"),"TAM"))</f>
        <v/>
      </c>
      <c r="L185" s="28">
        <f>IF($A185="","",1)</f>
        <v/>
      </c>
    </row>
    <row r="186">
      <c r="A186" s="26" t="n"/>
      <c r="B186" s="26" t="n"/>
      <c r="C186" s="26" t="n"/>
      <c r="D186" s="26" t="n"/>
      <c r="E186" s="26" t="n"/>
      <c r="F186" s="29" t="n"/>
      <c r="G186" s="26" t="n"/>
      <c r="H186" s="28">
        <f>IF($A186="","",IF($F186="","",raporTarihi-$F186))</f>
        <v/>
      </c>
      <c r="I186" s="28">
        <f>IF($A186="","",IF($H186="","",IF($H186&lt;=7,"0-7",IF($H186&lt;=30,"8-30",IF($H186&lt;=60,"31-60","60+")))))</f>
        <v/>
      </c>
      <c r="J186" s="28">
        <f>IF($A186="","",IF($B186="","YETİM",IF(COUNTIF(tblKartlar[KartId],$B186)=0,"YETİM","")))</f>
        <v/>
      </c>
      <c r="K186" s="28">
        <f>IF($A186="","",IF($E186="YOK",IF($D186="KRITIK","KRİTİK EKSİK","EKSİK"),"TAM"))</f>
        <v/>
      </c>
      <c r="L186" s="28">
        <f>IF($A186="","",1)</f>
        <v/>
      </c>
    </row>
    <row r="187">
      <c r="A187" s="26" t="n"/>
      <c r="B187" s="26" t="n"/>
      <c r="C187" s="26" t="n"/>
      <c r="D187" s="26" t="n"/>
      <c r="E187" s="26" t="n"/>
      <c r="F187" s="29" t="n"/>
      <c r="G187" s="26" t="n"/>
      <c r="H187" s="28">
        <f>IF($A187="","",IF($F187="","",raporTarihi-$F187))</f>
        <v/>
      </c>
      <c r="I187" s="28">
        <f>IF($A187="","",IF($H187="","",IF($H187&lt;=7,"0-7",IF($H187&lt;=30,"8-30",IF($H187&lt;=60,"31-60","60+")))))</f>
        <v/>
      </c>
      <c r="J187" s="28">
        <f>IF($A187="","",IF($B187="","YETİM",IF(COUNTIF(tblKartlar[KartId],$B187)=0,"YETİM","")))</f>
        <v/>
      </c>
      <c r="K187" s="28">
        <f>IF($A187="","",IF($E187="YOK",IF($D187="KRITIK","KRİTİK EKSİK","EKSİK"),"TAM"))</f>
        <v/>
      </c>
      <c r="L187" s="28">
        <f>IF($A187="","",1)</f>
        <v/>
      </c>
    </row>
    <row r="188">
      <c r="A188" s="26" t="n"/>
      <c r="B188" s="26" t="n"/>
      <c r="C188" s="26" t="n"/>
      <c r="D188" s="26" t="n"/>
      <c r="E188" s="26" t="n"/>
      <c r="F188" s="29" t="n"/>
      <c r="G188" s="26" t="n"/>
      <c r="H188" s="28">
        <f>IF($A188="","",IF($F188="","",raporTarihi-$F188))</f>
        <v/>
      </c>
      <c r="I188" s="28">
        <f>IF($A188="","",IF($H188="","",IF($H188&lt;=7,"0-7",IF($H188&lt;=30,"8-30",IF($H188&lt;=60,"31-60","60+")))))</f>
        <v/>
      </c>
      <c r="J188" s="28">
        <f>IF($A188="","",IF($B188="","YETİM",IF(COUNTIF(tblKartlar[KartId],$B188)=0,"YETİM","")))</f>
        <v/>
      </c>
      <c r="K188" s="28">
        <f>IF($A188="","",IF($E188="YOK",IF($D188="KRITIK","KRİTİK EKSİK","EKSİK"),"TAM"))</f>
        <v/>
      </c>
      <c r="L188" s="28">
        <f>IF($A188="","",1)</f>
        <v/>
      </c>
    </row>
    <row r="189">
      <c r="A189" s="26" t="n"/>
      <c r="B189" s="26" t="n"/>
      <c r="C189" s="26" t="n"/>
      <c r="D189" s="26" t="n"/>
      <c r="E189" s="26" t="n"/>
      <c r="F189" s="29" t="n"/>
      <c r="G189" s="26" t="n"/>
      <c r="H189" s="28">
        <f>IF($A189="","",IF($F189="","",raporTarihi-$F189))</f>
        <v/>
      </c>
      <c r="I189" s="28">
        <f>IF($A189="","",IF($H189="","",IF($H189&lt;=7,"0-7",IF($H189&lt;=30,"8-30",IF($H189&lt;=60,"31-60","60+")))))</f>
        <v/>
      </c>
      <c r="J189" s="28">
        <f>IF($A189="","",IF($B189="","YETİM",IF(COUNTIF(tblKartlar[KartId],$B189)=0,"YETİM","")))</f>
        <v/>
      </c>
      <c r="K189" s="28">
        <f>IF($A189="","",IF($E189="YOK",IF($D189="KRITIK","KRİTİK EKSİK","EKSİK"),"TAM"))</f>
        <v/>
      </c>
      <c r="L189" s="28">
        <f>IF($A189="","",1)</f>
        <v/>
      </c>
    </row>
    <row r="190">
      <c r="A190" s="26" t="n"/>
      <c r="B190" s="26" t="n"/>
      <c r="C190" s="26" t="n"/>
      <c r="D190" s="26" t="n"/>
      <c r="E190" s="26" t="n"/>
      <c r="F190" s="29" t="n"/>
      <c r="G190" s="26" t="n"/>
      <c r="H190" s="28">
        <f>IF($A190="","",IF($F190="","",raporTarihi-$F190))</f>
        <v/>
      </c>
      <c r="I190" s="28">
        <f>IF($A190="","",IF($H190="","",IF($H190&lt;=7,"0-7",IF($H190&lt;=30,"8-30",IF($H190&lt;=60,"31-60","60+")))))</f>
        <v/>
      </c>
      <c r="J190" s="28">
        <f>IF($A190="","",IF($B190="","YETİM",IF(COUNTIF(tblKartlar[KartId],$B190)=0,"YETİM","")))</f>
        <v/>
      </c>
      <c r="K190" s="28">
        <f>IF($A190="","",IF($E190="YOK",IF($D190="KRITIK","KRİTİK EKSİK","EKSİK"),"TAM"))</f>
        <v/>
      </c>
      <c r="L190" s="28">
        <f>IF($A190="","",1)</f>
        <v/>
      </c>
    </row>
    <row r="191">
      <c r="A191" s="26" t="n"/>
      <c r="B191" s="26" t="n"/>
      <c r="C191" s="26" t="n"/>
      <c r="D191" s="26" t="n"/>
      <c r="E191" s="26" t="n"/>
      <c r="F191" s="29" t="n"/>
      <c r="G191" s="26" t="n"/>
      <c r="H191" s="28">
        <f>IF($A191="","",IF($F191="","",raporTarihi-$F191))</f>
        <v/>
      </c>
      <c r="I191" s="28">
        <f>IF($A191="","",IF($H191="","",IF($H191&lt;=7,"0-7",IF($H191&lt;=30,"8-30",IF($H191&lt;=60,"31-60","60+")))))</f>
        <v/>
      </c>
      <c r="J191" s="28">
        <f>IF($A191="","",IF($B191="","YETİM",IF(COUNTIF(tblKartlar[KartId],$B191)=0,"YETİM","")))</f>
        <v/>
      </c>
      <c r="K191" s="28">
        <f>IF($A191="","",IF($E191="YOK",IF($D191="KRITIK","KRİTİK EKSİK","EKSİK"),"TAM"))</f>
        <v/>
      </c>
      <c r="L191" s="28">
        <f>IF($A191="","",1)</f>
        <v/>
      </c>
    </row>
    <row r="192">
      <c r="A192" s="26" t="n"/>
      <c r="B192" s="26" t="n"/>
      <c r="C192" s="26" t="n"/>
      <c r="D192" s="26" t="n"/>
      <c r="E192" s="26" t="n"/>
      <c r="F192" s="29" t="n"/>
      <c r="G192" s="26" t="n"/>
      <c r="H192" s="28">
        <f>IF($A192="","",IF($F192="","",raporTarihi-$F192))</f>
        <v/>
      </c>
      <c r="I192" s="28">
        <f>IF($A192="","",IF($H192="","",IF($H192&lt;=7,"0-7",IF($H192&lt;=30,"8-30",IF($H192&lt;=60,"31-60","60+")))))</f>
        <v/>
      </c>
      <c r="J192" s="28">
        <f>IF($A192="","",IF($B192="","YETİM",IF(COUNTIF(tblKartlar[KartId],$B192)=0,"YETİM","")))</f>
        <v/>
      </c>
      <c r="K192" s="28">
        <f>IF($A192="","",IF($E192="YOK",IF($D192="KRITIK","KRİTİK EKSİK","EKSİK"),"TAM"))</f>
        <v/>
      </c>
      <c r="L192" s="28">
        <f>IF($A192="","",1)</f>
        <v/>
      </c>
    </row>
    <row r="193">
      <c r="A193" s="26" t="n"/>
      <c r="B193" s="26" t="n"/>
      <c r="C193" s="26" t="n"/>
      <c r="D193" s="26" t="n"/>
      <c r="E193" s="26" t="n"/>
      <c r="F193" s="29" t="n"/>
      <c r="G193" s="26" t="n"/>
      <c r="H193" s="28">
        <f>IF($A193="","",IF($F193="","",raporTarihi-$F193))</f>
        <v/>
      </c>
      <c r="I193" s="28">
        <f>IF($A193="","",IF($H193="","",IF($H193&lt;=7,"0-7",IF($H193&lt;=30,"8-30",IF($H193&lt;=60,"31-60","60+")))))</f>
        <v/>
      </c>
      <c r="J193" s="28">
        <f>IF($A193="","",IF($B193="","YETİM",IF(COUNTIF(tblKartlar[KartId],$B193)=0,"YETİM","")))</f>
        <v/>
      </c>
      <c r="K193" s="28">
        <f>IF($A193="","",IF($E193="YOK",IF($D193="KRITIK","KRİTİK EKSİK","EKSİK"),"TAM"))</f>
        <v/>
      </c>
      <c r="L193" s="28">
        <f>IF($A193="","",1)</f>
        <v/>
      </c>
    </row>
    <row r="194">
      <c r="A194" s="26" t="n"/>
      <c r="B194" s="26" t="n"/>
      <c r="C194" s="26" t="n"/>
      <c r="D194" s="26" t="n"/>
      <c r="E194" s="26" t="n"/>
      <c r="F194" s="29" t="n"/>
      <c r="G194" s="26" t="n"/>
      <c r="H194" s="28">
        <f>IF($A194="","",IF($F194="","",raporTarihi-$F194))</f>
        <v/>
      </c>
      <c r="I194" s="28">
        <f>IF($A194="","",IF($H194="","",IF($H194&lt;=7,"0-7",IF($H194&lt;=30,"8-30",IF($H194&lt;=60,"31-60","60+")))))</f>
        <v/>
      </c>
      <c r="J194" s="28">
        <f>IF($A194="","",IF($B194="","YETİM",IF(COUNTIF(tblKartlar[KartId],$B194)=0,"YETİM","")))</f>
        <v/>
      </c>
      <c r="K194" s="28">
        <f>IF($A194="","",IF($E194="YOK",IF($D194="KRITIK","KRİTİK EKSİK","EKSİK"),"TAM"))</f>
        <v/>
      </c>
      <c r="L194" s="28">
        <f>IF($A194="","",1)</f>
        <v/>
      </c>
    </row>
    <row r="195">
      <c r="A195" s="26" t="n"/>
      <c r="B195" s="26" t="n"/>
      <c r="C195" s="26" t="n"/>
      <c r="D195" s="26" t="n"/>
      <c r="E195" s="26" t="n"/>
      <c r="F195" s="29" t="n"/>
      <c r="G195" s="26" t="n"/>
      <c r="H195" s="28">
        <f>IF($A195="","",IF($F195="","",raporTarihi-$F195))</f>
        <v/>
      </c>
      <c r="I195" s="28">
        <f>IF($A195="","",IF($H195="","",IF($H195&lt;=7,"0-7",IF($H195&lt;=30,"8-30",IF($H195&lt;=60,"31-60","60+")))))</f>
        <v/>
      </c>
      <c r="J195" s="28">
        <f>IF($A195="","",IF($B195="","YETİM",IF(COUNTIF(tblKartlar[KartId],$B195)=0,"YETİM","")))</f>
        <v/>
      </c>
      <c r="K195" s="28">
        <f>IF($A195="","",IF($E195="YOK",IF($D195="KRITIK","KRİTİK EKSİK","EKSİK"),"TAM"))</f>
        <v/>
      </c>
      <c r="L195" s="28">
        <f>IF($A195="","",1)</f>
        <v/>
      </c>
    </row>
    <row r="196">
      <c r="A196" s="26" t="n"/>
      <c r="B196" s="26" t="n"/>
      <c r="C196" s="26" t="n"/>
      <c r="D196" s="26" t="n"/>
      <c r="E196" s="26" t="n"/>
      <c r="F196" s="29" t="n"/>
      <c r="G196" s="26" t="n"/>
      <c r="H196" s="28">
        <f>IF($A196="","",IF($F196="","",raporTarihi-$F196))</f>
        <v/>
      </c>
      <c r="I196" s="28">
        <f>IF($A196="","",IF($H196="","",IF($H196&lt;=7,"0-7",IF($H196&lt;=30,"8-30",IF($H196&lt;=60,"31-60","60+")))))</f>
        <v/>
      </c>
      <c r="J196" s="28">
        <f>IF($A196="","",IF($B196="","YETİM",IF(COUNTIF(tblKartlar[KartId],$B196)=0,"YETİM","")))</f>
        <v/>
      </c>
      <c r="K196" s="28">
        <f>IF($A196="","",IF($E196="YOK",IF($D196="KRITIK","KRİTİK EKSİK","EKSİK"),"TAM"))</f>
        <v/>
      </c>
      <c r="L196" s="28">
        <f>IF($A196="","",1)</f>
        <v/>
      </c>
    </row>
    <row r="197">
      <c r="A197" s="26" t="n"/>
      <c r="B197" s="26" t="n"/>
      <c r="C197" s="26" t="n"/>
      <c r="D197" s="26" t="n"/>
      <c r="E197" s="26" t="n"/>
      <c r="F197" s="29" t="n"/>
      <c r="G197" s="26" t="n"/>
      <c r="H197" s="28">
        <f>IF($A197="","",IF($F197="","",raporTarihi-$F197))</f>
        <v/>
      </c>
      <c r="I197" s="28">
        <f>IF($A197="","",IF($H197="","",IF($H197&lt;=7,"0-7",IF($H197&lt;=30,"8-30",IF($H197&lt;=60,"31-60","60+")))))</f>
        <v/>
      </c>
      <c r="J197" s="28">
        <f>IF($A197="","",IF($B197="","YETİM",IF(COUNTIF(tblKartlar[KartId],$B197)=0,"YETİM","")))</f>
        <v/>
      </c>
      <c r="K197" s="28">
        <f>IF($A197="","",IF($E197="YOK",IF($D197="KRITIK","KRİTİK EKSİK","EKSİK"),"TAM"))</f>
        <v/>
      </c>
      <c r="L197" s="28">
        <f>IF($A197="","",1)</f>
        <v/>
      </c>
    </row>
    <row r="198">
      <c r="A198" s="26" t="n"/>
      <c r="B198" s="26" t="n"/>
      <c r="C198" s="26" t="n"/>
      <c r="D198" s="26" t="n"/>
      <c r="E198" s="26" t="n"/>
      <c r="F198" s="29" t="n"/>
      <c r="G198" s="26" t="n"/>
      <c r="H198" s="28">
        <f>IF($A198="","",IF($F198="","",raporTarihi-$F198))</f>
        <v/>
      </c>
      <c r="I198" s="28">
        <f>IF($A198="","",IF($H198="","",IF($H198&lt;=7,"0-7",IF($H198&lt;=30,"8-30",IF($H198&lt;=60,"31-60","60+")))))</f>
        <v/>
      </c>
      <c r="J198" s="28">
        <f>IF($A198="","",IF($B198="","YETİM",IF(COUNTIF(tblKartlar[KartId],$B198)=0,"YETİM","")))</f>
        <v/>
      </c>
      <c r="K198" s="28">
        <f>IF($A198="","",IF($E198="YOK",IF($D198="KRITIK","KRİTİK EKSİK","EKSİK"),"TAM"))</f>
        <v/>
      </c>
      <c r="L198" s="28">
        <f>IF($A198="","",1)</f>
        <v/>
      </c>
    </row>
    <row r="199">
      <c r="A199" s="26" t="n"/>
      <c r="B199" s="26" t="n"/>
      <c r="C199" s="26" t="n"/>
      <c r="D199" s="26" t="n"/>
      <c r="E199" s="26" t="n"/>
      <c r="F199" s="29" t="n"/>
      <c r="G199" s="26" t="n"/>
      <c r="H199" s="28">
        <f>IF($A199="","",IF($F199="","",raporTarihi-$F199))</f>
        <v/>
      </c>
      <c r="I199" s="28">
        <f>IF($A199="","",IF($H199="","",IF($H199&lt;=7,"0-7",IF($H199&lt;=30,"8-30",IF($H199&lt;=60,"31-60","60+")))))</f>
        <v/>
      </c>
      <c r="J199" s="28">
        <f>IF($A199="","",IF($B199="","YETİM",IF(COUNTIF(tblKartlar[KartId],$B199)=0,"YETİM","")))</f>
        <v/>
      </c>
      <c r="K199" s="28">
        <f>IF($A199="","",IF($E199="YOK",IF($D199="KRITIK","KRİTİK EKSİK","EKSİK"),"TAM"))</f>
        <v/>
      </c>
      <c r="L199" s="28">
        <f>IF($A199="","",1)</f>
        <v/>
      </c>
    </row>
    <row r="200">
      <c r="A200" s="26" t="n"/>
      <c r="B200" s="26" t="n"/>
      <c r="C200" s="26" t="n"/>
      <c r="D200" s="26" t="n"/>
      <c r="E200" s="26" t="n"/>
      <c r="F200" s="29" t="n"/>
      <c r="G200" s="26" t="n"/>
      <c r="H200" s="28">
        <f>IF($A200="","",IF($F200="","",raporTarihi-$F200))</f>
        <v/>
      </c>
      <c r="I200" s="28">
        <f>IF($A200="","",IF($H200="","",IF($H200&lt;=7,"0-7",IF($H200&lt;=30,"8-30",IF($H200&lt;=60,"31-60","60+")))))</f>
        <v/>
      </c>
      <c r="J200" s="28">
        <f>IF($A200="","",IF($B200="","YETİM",IF(COUNTIF(tblKartlar[KartId],$B200)=0,"YETİM","")))</f>
        <v/>
      </c>
      <c r="K200" s="28">
        <f>IF($A200="","",IF($E200="YOK",IF($D200="KRITIK","KRİTİK EKSİK","EKSİK"),"TAM"))</f>
        <v/>
      </c>
      <c r="L200" s="28">
        <f>IF($A200="","",1)</f>
        <v/>
      </c>
    </row>
    <row r="201">
      <c r="A201" s="26" t="n"/>
      <c r="B201" s="26" t="n"/>
      <c r="C201" s="26" t="n"/>
      <c r="D201" s="26" t="n"/>
      <c r="E201" s="26" t="n"/>
      <c r="F201" s="29" t="n"/>
      <c r="G201" s="26" t="n"/>
      <c r="H201" s="28">
        <f>IF($A201="","",IF($F201="","",raporTarihi-$F201))</f>
        <v/>
      </c>
      <c r="I201" s="28">
        <f>IF($A201="","",IF($H201="","",IF($H201&lt;=7,"0-7",IF($H201&lt;=30,"8-30",IF($H201&lt;=60,"31-60","60+")))))</f>
        <v/>
      </c>
      <c r="J201" s="28">
        <f>IF($A201="","",IF($B201="","YETİM",IF(COUNTIF(tblKartlar[KartId],$B201)=0,"YETİM","")))</f>
        <v/>
      </c>
      <c r="K201" s="28">
        <f>IF($A201="","",IF($E201="YOK",IF($D201="KRITIK","KRİTİK EKSİK","EKSİK"),"TAM"))</f>
        <v/>
      </c>
      <c r="L201" s="28">
        <f>IF($A201="","",1)</f>
        <v/>
      </c>
    </row>
    <row r="202">
      <c r="A202" s="26" t="n"/>
      <c r="B202" s="26" t="n"/>
      <c r="C202" s="26" t="n"/>
      <c r="D202" s="26" t="n"/>
      <c r="E202" s="26" t="n"/>
      <c r="F202" s="29" t="n"/>
      <c r="G202" s="26" t="n"/>
      <c r="H202" s="28">
        <f>IF($A202="","",IF($F202="","",raporTarihi-$F202))</f>
        <v/>
      </c>
      <c r="I202" s="28">
        <f>IF($A202="","",IF($H202="","",IF($H202&lt;=7,"0-7",IF($H202&lt;=30,"8-30",IF($H202&lt;=60,"31-60","60+")))))</f>
        <v/>
      </c>
      <c r="J202" s="28">
        <f>IF($A202="","",IF($B202="","YETİM",IF(COUNTIF(tblKartlar[KartId],$B202)=0,"YETİM","")))</f>
        <v/>
      </c>
      <c r="K202" s="28">
        <f>IF($A202="","",IF($E202="YOK",IF($D202="KRITIK","KRİTİK EKSİK","EKSİK"),"TAM"))</f>
        <v/>
      </c>
      <c r="L202" s="28">
        <f>IF($A202="","",1)</f>
        <v/>
      </c>
    </row>
    <row r="203">
      <c r="A203" s="26" t="n"/>
      <c r="B203" s="26" t="n"/>
      <c r="C203" s="26" t="n"/>
      <c r="D203" s="26" t="n"/>
      <c r="E203" s="26" t="n"/>
      <c r="F203" s="29" t="n"/>
      <c r="G203" s="26" t="n"/>
      <c r="H203" s="28">
        <f>IF($A203="","",IF($F203="","",raporTarihi-$F203))</f>
        <v/>
      </c>
      <c r="I203" s="28">
        <f>IF($A203="","",IF($H203="","",IF($H203&lt;=7,"0-7",IF($H203&lt;=30,"8-30",IF($H203&lt;=60,"31-60","60+")))))</f>
        <v/>
      </c>
      <c r="J203" s="28">
        <f>IF($A203="","",IF($B203="","YETİM",IF(COUNTIF(tblKartlar[KartId],$B203)=0,"YETİM","")))</f>
        <v/>
      </c>
      <c r="K203" s="28">
        <f>IF($A203="","",IF($E203="YOK",IF($D203="KRITIK","KRİTİK EKSİK","EKSİK"),"TAM"))</f>
        <v/>
      </c>
      <c r="L203" s="28">
        <f>IF($A203="","",1)</f>
        <v/>
      </c>
    </row>
    <row r="204">
      <c r="A204" s="26" t="n"/>
      <c r="B204" s="26" t="n"/>
      <c r="C204" s="26" t="n"/>
      <c r="D204" s="26" t="n"/>
      <c r="E204" s="26" t="n"/>
      <c r="F204" s="29" t="n"/>
      <c r="G204" s="26" t="n"/>
      <c r="H204" s="28">
        <f>IF($A204="","",IF($F204="","",raporTarihi-$F204))</f>
        <v/>
      </c>
      <c r="I204" s="28">
        <f>IF($A204="","",IF($H204="","",IF($H204&lt;=7,"0-7",IF($H204&lt;=30,"8-30",IF($H204&lt;=60,"31-60","60+")))))</f>
        <v/>
      </c>
      <c r="J204" s="28">
        <f>IF($A204="","",IF($B204="","YETİM",IF(COUNTIF(tblKartlar[KartId],$B204)=0,"YETİM","")))</f>
        <v/>
      </c>
      <c r="K204" s="28">
        <f>IF($A204="","",IF($E204="YOK",IF($D204="KRITIK","KRİTİK EKSİK","EKSİK"),"TAM"))</f>
        <v/>
      </c>
      <c r="L204" s="28">
        <f>IF($A204="","",1)</f>
        <v/>
      </c>
    </row>
    <row r="205">
      <c r="A205" s="26" t="n"/>
      <c r="B205" s="26" t="n"/>
      <c r="C205" s="26" t="n"/>
      <c r="D205" s="26" t="n"/>
      <c r="E205" s="26" t="n"/>
      <c r="F205" s="29" t="n"/>
      <c r="G205" s="26" t="n"/>
      <c r="H205" s="28">
        <f>IF($A205="","",IF($F205="","",raporTarihi-$F205))</f>
        <v/>
      </c>
      <c r="I205" s="28">
        <f>IF($A205="","",IF($H205="","",IF($H205&lt;=7,"0-7",IF($H205&lt;=30,"8-30",IF($H205&lt;=60,"31-60","60+")))))</f>
        <v/>
      </c>
      <c r="J205" s="28">
        <f>IF($A205="","",IF($B205="","YETİM",IF(COUNTIF(tblKartlar[KartId],$B205)=0,"YETİM","")))</f>
        <v/>
      </c>
      <c r="K205" s="28">
        <f>IF($A205="","",IF($E205="YOK",IF($D205="KRITIK","KRİTİK EKSİK","EKSİK"),"TAM"))</f>
        <v/>
      </c>
      <c r="L205" s="28">
        <f>IF($A205="","",1)</f>
        <v/>
      </c>
    </row>
    <row r="206">
      <c r="A206" s="26" t="n"/>
      <c r="B206" s="26" t="n"/>
      <c r="C206" s="26" t="n"/>
      <c r="D206" s="26" t="n"/>
      <c r="E206" s="26" t="n"/>
      <c r="F206" s="29" t="n"/>
      <c r="G206" s="26" t="n"/>
      <c r="H206" s="28">
        <f>IF($A206="","",IF($F206="","",raporTarihi-$F206))</f>
        <v/>
      </c>
      <c r="I206" s="28">
        <f>IF($A206="","",IF($H206="","",IF($H206&lt;=7,"0-7",IF($H206&lt;=30,"8-30",IF($H206&lt;=60,"31-60","60+")))))</f>
        <v/>
      </c>
      <c r="J206" s="28">
        <f>IF($A206="","",IF($B206="","YETİM",IF(COUNTIF(tblKartlar[KartId],$B206)=0,"YETİM","")))</f>
        <v/>
      </c>
      <c r="K206" s="28">
        <f>IF($A206="","",IF($E206="YOK",IF($D206="KRITIK","KRİTİK EKSİK","EKSİK"),"TAM"))</f>
        <v/>
      </c>
      <c r="L206" s="28">
        <f>IF($A206="","",1)</f>
        <v/>
      </c>
    </row>
    <row r="207">
      <c r="A207" s="26" t="n"/>
      <c r="B207" s="26" t="n"/>
      <c r="C207" s="26" t="n"/>
      <c r="D207" s="26" t="n"/>
      <c r="E207" s="26" t="n"/>
      <c r="F207" s="29" t="n"/>
      <c r="G207" s="26" t="n"/>
      <c r="H207" s="28">
        <f>IF($A207="","",IF($F207="","",raporTarihi-$F207))</f>
        <v/>
      </c>
      <c r="I207" s="28">
        <f>IF($A207="","",IF($H207="","",IF($H207&lt;=7,"0-7",IF($H207&lt;=30,"8-30",IF($H207&lt;=60,"31-60","60+")))))</f>
        <v/>
      </c>
      <c r="J207" s="28">
        <f>IF($A207="","",IF($B207="","YETİM",IF(COUNTIF(tblKartlar[KartId],$B207)=0,"YETİM","")))</f>
        <v/>
      </c>
      <c r="K207" s="28">
        <f>IF($A207="","",IF($E207="YOK",IF($D207="KRITIK","KRİTİK EKSİK","EKSİK"),"TAM"))</f>
        <v/>
      </c>
      <c r="L207" s="28">
        <f>IF($A207="","",1)</f>
        <v/>
      </c>
    </row>
    <row r="208">
      <c r="A208" s="26" t="n"/>
      <c r="B208" s="26" t="n"/>
      <c r="C208" s="26" t="n"/>
      <c r="D208" s="26" t="n"/>
      <c r="E208" s="26" t="n"/>
      <c r="F208" s="29" t="n"/>
      <c r="G208" s="26" t="n"/>
      <c r="H208" s="28">
        <f>IF($A208="","",IF($F208="","",raporTarihi-$F208))</f>
        <v/>
      </c>
      <c r="I208" s="28">
        <f>IF($A208="","",IF($H208="","",IF($H208&lt;=7,"0-7",IF($H208&lt;=30,"8-30",IF($H208&lt;=60,"31-60","60+")))))</f>
        <v/>
      </c>
      <c r="J208" s="28">
        <f>IF($A208="","",IF($B208="","YETİM",IF(COUNTIF(tblKartlar[KartId],$B208)=0,"YETİM","")))</f>
        <v/>
      </c>
      <c r="K208" s="28">
        <f>IF($A208="","",IF($E208="YOK",IF($D208="KRITIK","KRİTİK EKSİK","EKSİK"),"TAM"))</f>
        <v/>
      </c>
      <c r="L208" s="28">
        <f>IF($A208="","",1)</f>
        <v/>
      </c>
    </row>
    <row r="209">
      <c r="A209" s="26" t="n"/>
      <c r="B209" s="26" t="n"/>
      <c r="C209" s="26" t="n"/>
      <c r="D209" s="26" t="n"/>
      <c r="E209" s="26" t="n"/>
      <c r="F209" s="29" t="n"/>
      <c r="G209" s="26" t="n"/>
      <c r="H209" s="28">
        <f>IF($A209="","",IF($F209="","",raporTarihi-$F209))</f>
        <v/>
      </c>
      <c r="I209" s="28">
        <f>IF($A209="","",IF($H209="","",IF($H209&lt;=7,"0-7",IF($H209&lt;=30,"8-30",IF($H209&lt;=60,"31-60","60+")))))</f>
        <v/>
      </c>
      <c r="J209" s="28">
        <f>IF($A209="","",IF($B209="","YETİM",IF(COUNTIF(tblKartlar[KartId],$B209)=0,"YETİM","")))</f>
        <v/>
      </c>
      <c r="K209" s="28">
        <f>IF($A209="","",IF($E209="YOK",IF($D209="KRITIK","KRİTİK EKSİK","EKSİK"),"TAM"))</f>
        <v/>
      </c>
      <c r="L209" s="28">
        <f>IF($A209="","",1)</f>
        <v/>
      </c>
    </row>
    <row r="210">
      <c r="A210" s="26" t="n"/>
      <c r="B210" s="26" t="n"/>
      <c r="C210" s="26" t="n"/>
      <c r="D210" s="26" t="n"/>
      <c r="E210" s="26" t="n"/>
      <c r="F210" s="29" t="n"/>
      <c r="G210" s="26" t="n"/>
      <c r="H210" s="28">
        <f>IF($A210="","",IF($F210="","",raporTarihi-$F210))</f>
        <v/>
      </c>
      <c r="I210" s="28">
        <f>IF($A210="","",IF($H210="","",IF($H210&lt;=7,"0-7",IF($H210&lt;=30,"8-30",IF($H210&lt;=60,"31-60","60+")))))</f>
        <v/>
      </c>
      <c r="J210" s="28">
        <f>IF($A210="","",IF($B210="","YETİM",IF(COUNTIF(tblKartlar[KartId],$B210)=0,"YETİM","")))</f>
        <v/>
      </c>
      <c r="K210" s="28">
        <f>IF($A210="","",IF($E210="YOK",IF($D210="KRITIK","KRİTİK EKSİK","EKSİK"),"TAM"))</f>
        <v/>
      </c>
      <c r="L210" s="28">
        <f>IF($A210="","",1)</f>
        <v/>
      </c>
    </row>
    <row r="211">
      <c r="A211" s="26" t="n"/>
      <c r="B211" s="26" t="n"/>
      <c r="C211" s="26" t="n"/>
      <c r="D211" s="26" t="n"/>
      <c r="E211" s="26" t="n"/>
      <c r="F211" s="29" t="n"/>
      <c r="G211" s="26" t="n"/>
      <c r="H211" s="28">
        <f>IF($A211="","",IF($F211="","",raporTarihi-$F211))</f>
        <v/>
      </c>
      <c r="I211" s="28">
        <f>IF($A211="","",IF($H211="","",IF($H211&lt;=7,"0-7",IF($H211&lt;=30,"8-30",IF($H211&lt;=60,"31-60","60+")))))</f>
        <v/>
      </c>
      <c r="J211" s="28">
        <f>IF($A211="","",IF($B211="","YETİM",IF(COUNTIF(tblKartlar[KartId],$B211)=0,"YETİM","")))</f>
        <v/>
      </c>
      <c r="K211" s="28">
        <f>IF($A211="","",IF($E211="YOK",IF($D211="KRITIK","KRİTİK EKSİK","EKSİK"),"TAM"))</f>
        <v/>
      </c>
      <c r="L211" s="28">
        <f>IF($A211="","",1)</f>
        <v/>
      </c>
    </row>
    <row r="212">
      <c r="A212" s="26" t="n"/>
      <c r="B212" s="26" t="n"/>
      <c r="C212" s="26" t="n"/>
      <c r="D212" s="26" t="n"/>
      <c r="E212" s="26" t="n"/>
      <c r="F212" s="29" t="n"/>
      <c r="G212" s="26" t="n"/>
      <c r="H212" s="28">
        <f>IF($A212="","",IF($F212="","",raporTarihi-$F212))</f>
        <v/>
      </c>
      <c r="I212" s="28">
        <f>IF($A212="","",IF($H212="","",IF($H212&lt;=7,"0-7",IF($H212&lt;=30,"8-30",IF($H212&lt;=60,"31-60","60+")))))</f>
        <v/>
      </c>
      <c r="J212" s="28">
        <f>IF($A212="","",IF($B212="","YETİM",IF(COUNTIF(tblKartlar[KartId],$B212)=0,"YETİM","")))</f>
        <v/>
      </c>
      <c r="K212" s="28">
        <f>IF($A212="","",IF($E212="YOK",IF($D212="KRITIK","KRİTİK EKSİK","EKSİK"),"TAM"))</f>
        <v/>
      </c>
      <c r="L212" s="28">
        <f>IF($A212="","",1)</f>
        <v/>
      </c>
    </row>
    <row r="213">
      <c r="A213" s="26" t="n"/>
      <c r="B213" s="26" t="n"/>
      <c r="C213" s="26" t="n"/>
      <c r="D213" s="26" t="n"/>
      <c r="E213" s="26" t="n"/>
      <c r="F213" s="29" t="n"/>
      <c r="G213" s="26" t="n"/>
      <c r="H213" s="28">
        <f>IF($A213="","",IF($F213="","",raporTarihi-$F213))</f>
        <v/>
      </c>
      <c r="I213" s="28">
        <f>IF($A213="","",IF($H213="","",IF($H213&lt;=7,"0-7",IF($H213&lt;=30,"8-30",IF($H213&lt;=60,"31-60","60+")))))</f>
        <v/>
      </c>
      <c r="J213" s="28">
        <f>IF($A213="","",IF($B213="","YETİM",IF(COUNTIF(tblKartlar[KartId],$B213)=0,"YETİM","")))</f>
        <v/>
      </c>
      <c r="K213" s="28">
        <f>IF($A213="","",IF($E213="YOK",IF($D213="KRITIK","KRİTİK EKSİK","EKSİK"),"TAM"))</f>
        <v/>
      </c>
      <c r="L213" s="28">
        <f>IF($A213="","",1)</f>
        <v/>
      </c>
    </row>
    <row r="214">
      <c r="A214" s="26" t="n"/>
      <c r="B214" s="26" t="n"/>
      <c r="C214" s="26" t="n"/>
      <c r="D214" s="26" t="n"/>
      <c r="E214" s="26" t="n"/>
      <c r="F214" s="29" t="n"/>
      <c r="G214" s="26" t="n"/>
      <c r="H214" s="28">
        <f>IF($A214="","",IF($F214="","",raporTarihi-$F214))</f>
        <v/>
      </c>
      <c r="I214" s="28">
        <f>IF($A214="","",IF($H214="","",IF($H214&lt;=7,"0-7",IF($H214&lt;=30,"8-30",IF($H214&lt;=60,"31-60","60+")))))</f>
        <v/>
      </c>
      <c r="J214" s="28">
        <f>IF($A214="","",IF($B214="","YETİM",IF(COUNTIF(tblKartlar[KartId],$B214)=0,"YETİM","")))</f>
        <v/>
      </c>
      <c r="K214" s="28">
        <f>IF($A214="","",IF($E214="YOK",IF($D214="KRITIK","KRİTİK EKSİK","EKSİK"),"TAM"))</f>
        <v/>
      </c>
      <c r="L214" s="28">
        <f>IF($A214="","",1)</f>
        <v/>
      </c>
    </row>
    <row r="215">
      <c r="A215" s="26" t="n"/>
      <c r="B215" s="26" t="n"/>
      <c r="C215" s="26" t="n"/>
      <c r="D215" s="26" t="n"/>
      <c r="E215" s="26" t="n"/>
      <c r="F215" s="29" t="n"/>
      <c r="G215" s="26" t="n"/>
      <c r="H215" s="28">
        <f>IF($A215="","",IF($F215="","",raporTarihi-$F215))</f>
        <v/>
      </c>
      <c r="I215" s="28">
        <f>IF($A215="","",IF($H215="","",IF($H215&lt;=7,"0-7",IF($H215&lt;=30,"8-30",IF($H215&lt;=60,"31-60","60+")))))</f>
        <v/>
      </c>
      <c r="J215" s="28">
        <f>IF($A215="","",IF($B215="","YETİM",IF(COUNTIF(tblKartlar[KartId],$B215)=0,"YETİM","")))</f>
        <v/>
      </c>
      <c r="K215" s="28">
        <f>IF($A215="","",IF($E215="YOK",IF($D215="KRITIK","KRİTİK EKSİK","EKSİK"),"TAM"))</f>
        <v/>
      </c>
      <c r="L215" s="28">
        <f>IF($A215="","",1)</f>
        <v/>
      </c>
    </row>
    <row r="216">
      <c r="A216" s="26" t="n"/>
      <c r="B216" s="26" t="n"/>
      <c r="C216" s="26" t="n"/>
      <c r="D216" s="26" t="n"/>
      <c r="E216" s="26" t="n"/>
      <c r="F216" s="29" t="n"/>
      <c r="G216" s="26" t="n"/>
      <c r="H216" s="28">
        <f>IF($A216="","",IF($F216="","",raporTarihi-$F216))</f>
        <v/>
      </c>
      <c r="I216" s="28">
        <f>IF($A216="","",IF($H216="","",IF($H216&lt;=7,"0-7",IF($H216&lt;=30,"8-30",IF($H216&lt;=60,"31-60","60+")))))</f>
        <v/>
      </c>
      <c r="J216" s="28">
        <f>IF($A216="","",IF($B216="","YETİM",IF(COUNTIF(tblKartlar[KartId],$B216)=0,"YETİM","")))</f>
        <v/>
      </c>
      <c r="K216" s="28">
        <f>IF($A216="","",IF($E216="YOK",IF($D216="KRITIK","KRİTİK EKSİK","EKSİK"),"TAM"))</f>
        <v/>
      </c>
      <c r="L216" s="28">
        <f>IF($A216="","",1)</f>
        <v/>
      </c>
    </row>
    <row r="217">
      <c r="A217" s="26" t="n"/>
      <c r="B217" s="26" t="n"/>
      <c r="C217" s="26" t="n"/>
      <c r="D217" s="26" t="n"/>
      <c r="E217" s="26" t="n"/>
      <c r="F217" s="29" t="n"/>
      <c r="G217" s="26" t="n"/>
      <c r="H217" s="28">
        <f>IF($A217="","",IF($F217="","",raporTarihi-$F217))</f>
        <v/>
      </c>
      <c r="I217" s="28">
        <f>IF($A217="","",IF($H217="","",IF($H217&lt;=7,"0-7",IF($H217&lt;=30,"8-30",IF($H217&lt;=60,"31-60","60+")))))</f>
        <v/>
      </c>
      <c r="J217" s="28">
        <f>IF($A217="","",IF($B217="","YETİM",IF(COUNTIF(tblKartlar[KartId],$B217)=0,"YETİM","")))</f>
        <v/>
      </c>
      <c r="K217" s="28">
        <f>IF($A217="","",IF($E217="YOK",IF($D217="KRITIK","KRİTİK EKSİK","EKSİK"),"TAM"))</f>
        <v/>
      </c>
      <c r="L217" s="28">
        <f>IF($A217="","",1)</f>
        <v/>
      </c>
    </row>
    <row r="218">
      <c r="A218" s="26" t="n"/>
      <c r="B218" s="26" t="n"/>
      <c r="C218" s="26" t="n"/>
      <c r="D218" s="26" t="n"/>
      <c r="E218" s="26" t="n"/>
      <c r="F218" s="29" t="n"/>
      <c r="G218" s="26" t="n"/>
      <c r="H218" s="28">
        <f>IF($A218="","",IF($F218="","",raporTarihi-$F218))</f>
        <v/>
      </c>
      <c r="I218" s="28">
        <f>IF($A218="","",IF($H218="","",IF($H218&lt;=7,"0-7",IF($H218&lt;=30,"8-30",IF($H218&lt;=60,"31-60","60+")))))</f>
        <v/>
      </c>
      <c r="J218" s="28">
        <f>IF($A218="","",IF($B218="","YETİM",IF(COUNTIF(tblKartlar[KartId],$B218)=0,"YETİM","")))</f>
        <v/>
      </c>
      <c r="K218" s="28">
        <f>IF($A218="","",IF($E218="YOK",IF($D218="KRITIK","KRİTİK EKSİK","EKSİK"),"TAM"))</f>
        <v/>
      </c>
      <c r="L218" s="28">
        <f>IF($A218="","",1)</f>
        <v/>
      </c>
    </row>
    <row r="219">
      <c r="A219" s="26" t="n"/>
      <c r="B219" s="26" t="n"/>
      <c r="C219" s="26" t="n"/>
      <c r="D219" s="26" t="n"/>
      <c r="E219" s="26" t="n"/>
      <c r="F219" s="29" t="n"/>
      <c r="G219" s="26" t="n"/>
      <c r="H219" s="28">
        <f>IF($A219="","",IF($F219="","",raporTarihi-$F219))</f>
        <v/>
      </c>
      <c r="I219" s="28">
        <f>IF($A219="","",IF($H219="","",IF($H219&lt;=7,"0-7",IF($H219&lt;=30,"8-30",IF($H219&lt;=60,"31-60","60+")))))</f>
        <v/>
      </c>
      <c r="J219" s="28">
        <f>IF($A219="","",IF($B219="","YETİM",IF(COUNTIF(tblKartlar[KartId],$B219)=0,"YETİM","")))</f>
        <v/>
      </c>
      <c r="K219" s="28">
        <f>IF($A219="","",IF($E219="YOK",IF($D219="KRITIK","KRİTİK EKSİK","EKSİK"),"TAM"))</f>
        <v/>
      </c>
      <c r="L219" s="28">
        <f>IF($A219="","",1)</f>
        <v/>
      </c>
    </row>
    <row r="220">
      <c r="A220" s="26" t="n"/>
      <c r="B220" s="26" t="n"/>
      <c r="C220" s="26" t="n"/>
      <c r="D220" s="26" t="n"/>
      <c r="E220" s="26" t="n"/>
      <c r="F220" s="29" t="n"/>
      <c r="G220" s="26" t="n"/>
      <c r="H220" s="28">
        <f>IF($A220="","",IF($F220="","",raporTarihi-$F220))</f>
        <v/>
      </c>
      <c r="I220" s="28">
        <f>IF($A220="","",IF($H220="","",IF($H220&lt;=7,"0-7",IF($H220&lt;=30,"8-30",IF($H220&lt;=60,"31-60","60+")))))</f>
        <v/>
      </c>
      <c r="J220" s="28">
        <f>IF($A220="","",IF($B220="","YETİM",IF(COUNTIF(tblKartlar[KartId],$B220)=0,"YETİM","")))</f>
        <v/>
      </c>
      <c r="K220" s="28">
        <f>IF($A220="","",IF($E220="YOK",IF($D220="KRITIK","KRİTİK EKSİK","EKSİK"),"TAM"))</f>
        <v/>
      </c>
      <c r="L220" s="28">
        <f>IF($A220="","",1)</f>
        <v/>
      </c>
    </row>
    <row r="221">
      <c r="A221" s="26" t="n"/>
      <c r="B221" s="26" t="n"/>
      <c r="C221" s="26" t="n"/>
      <c r="D221" s="26" t="n"/>
      <c r="E221" s="26" t="n"/>
      <c r="F221" s="29" t="n"/>
      <c r="G221" s="26" t="n"/>
      <c r="H221" s="28">
        <f>IF($A221="","",IF($F221="","",raporTarihi-$F221))</f>
        <v/>
      </c>
      <c r="I221" s="28">
        <f>IF($A221="","",IF($H221="","",IF($H221&lt;=7,"0-7",IF($H221&lt;=30,"8-30",IF($H221&lt;=60,"31-60","60+")))))</f>
        <v/>
      </c>
      <c r="J221" s="28">
        <f>IF($A221="","",IF($B221="","YETİM",IF(COUNTIF(tblKartlar[KartId],$B221)=0,"YETİM","")))</f>
        <v/>
      </c>
      <c r="K221" s="28">
        <f>IF($A221="","",IF($E221="YOK",IF($D221="KRITIK","KRİTİK EKSİK","EKSİK"),"TAM"))</f>
        <v/>
      </c>
      <c r="L221" s="28">
        <f>IF($A221="","",1)</f>
        <v/>
      </c>
    </row>
    <row r="222">
      <c r="A222" s="26" t="n"/>
      <c r="B222" s="26" t="n"/>
      <c r="C222" s="26" t="n"/>
      <c r="D222" s="26" t="n"/>
      <c r="E222" s="26" t="n"/>
      <c r="F222" s="29" t="n"/>
      <c r="G222" s="26" t="n"/>
      <c r="H222" s="28">
        <f>IF($A222="","",IF($F222="","",raporTarihi-$F222))</f>
        <v/>
      </c>
      <c r="I222" s="28">
        <f>IF($A222="","",IF($H222="","",IF($H222&lt;=7,"0-7",IF($H222&lt;=30,"8-30",IF($H222&lt;=60,"31-60","60+")))))</f>
        <v/>
      </c>
      <c r="J222" s="28">
        <f>IF($A222="","",IF($B222="","YETİM",IF(COUNTIF(tblKartlar[KartId],$B222)=0,"YETİM","")))</f>
        <v/>
      </c>
      <c r="K222" s="28">
        <f>IF($A222="","",IF($E222="YOK",IF($D222="KRITIK","KRİTİK EKSİK","EKSİK"),"TAM"))</f>
        <v/>
      </c>
      <c r="L222" s="28">
        <f>IF($A222="","",1)</f>
        <v/>
      </c>
    </row>
    <row r="223">
      <c r="A223" s="26" t="n"/>
      <c r="B223" s="26" t="n"/>
      <c r="C223" s="26" t="n"/>
      <c r="D223" s="26" t="n"/>
      <c r="E223" s="26" t="n"/>
      <c r="F223" s="29" t="n"/>
      <c r="G223" s="26" t="n"/>
      <c r="H223" s="28">
        <f>IF($A223="","",IF($F223="","",raporTarihi-$F223))</f>
        <v/>
      </c>
      <c r="I223" s="28">
        <f>IF($A223="","",IF($H223="","",IF($H223&lt;=7,"0-7",IF($H223&lt;=30,"8-30",IF($H223&lt;=60,"31-60","60+")))))</f>
        <v/>
      </c>
      <c r="J223" s="28">
        <f>IF($A223="","",IF($B223="","YETİM",IF(COUNTIF(tblKartlar[KartId],$B223)=0,"YETİM","")))</f>
        <v/>
      </c>
      <c r="K223" s="28">
        <f>IF($A223="","",IF($E223="YOK",IF($D223="KRITIK","KRİTİK EKSİK","EKSİK"),"TAM"))</f>
        <v/>
      </c>
      <c r="L223" s="28">
        <f>IF($A223="","",1)</f>
        <v/>
      </c>
    </row>
    <row r="224">
      <c r="A224" s="26" t="n"/>
      <c r="B224" s="26" t="n"/>
      <c r="C224" s="26" t="n"/>
      <c r="D224" s="26" t="n"/>
      <c r="E224" s="26" t="n"/>
      <c r="F224" s="29" t="n"/>
      <c r="G224" s="26" t="n"/>
      <c r="H224" s="28">
        <f>IF($A224="","",IF($F224="","",raporTarihi-$F224))</f>
        <v/>
      </c>
      <c r="I224" s="28">
        <f>IF($A224="","",IF($H224="","",IF($H224&lt;=7,"0-7",IF($H224&lt;=30,"8-30",IF($H224&lt;=60,"31-60","60+")))))</f>
        <v/>
      </c>
      <c r="J224" s="28">
        <f>IF($A224="","",IF($B224="","YETİM",IF(COUNTIF(tblKartlar[KartId],$B224)=0,"YETİM","")))</f>
        <v/>
      </c>
      <c r="K224" s="28">
        <f>IF($A224="","",IF($E224="YOK",IF($D224="KRITIK","KRİTİK EKSİK","EKSİK"),"TAM"))</f>
        <v/>
      </c>
      <c r="L224" s="28">
        <f>IF($A224="","",1)</f>
        <v/>
      </c>
    </row>
    <row r="225">
      <c r="A225" s="26" t="n"/>
      <c r="B225" s="26" t="n"/>
      <c r="C225" s="26" t="n"/>
      <c r="D225" s="26" t="n"/>
      <c r="E225" s="26" t="n"/>
      <c r="F225" s="29" t="n"/>
      <c r="G225" s="26" t="n"/>
      <c r="H225" s="28">
        <f>IF($A225="","",IF($F225="","",raporTarihi-$F225))</f>
        <v/>
      </c>
      <c r="I225" s="28">
        <f>IF($A225="","",IF($H225="","",IF($H225&lt;=7,"0-7",IF($H225&lt;=30,"8-30",IF($H225&lt;=60,"31-60","60+")))))</f>
        <v/>
      </c>
      <c r="J225" s="28">
        <f>IF($A225="","",IF($B225="","YETİM",IF(COUNTIF(tblKartlar[KartId],$B225)=0,"YETİM","")))</f>
        <v/>
      </c>
      <c r="K225" s="28">
        <f>IF($A225="","",IF($E225="YOK",IF($D225="KRITIK","KRİTİK EKSİK","EKSİK"),"TAM"))</f>
        <v/>
      </c>
      <c r="L225" s="28">
        <f>IF($A225="","",1)</f>
        <v/>
      </c>
    </row>
    <row r="226">
      <c r="A226" s="26" t="n"/>
      <c r="B226" s="26" t="n"/>
      <c r="C226" s="26" t="n"/>
      <c r="D226" s="26" t="n"/>
      <c r="E226" s="26" t="n"/>
      <c r="F226" s="29" t="n"/>
      <c r="G226" s="26" t="n"/>
      <c r="H226" s="28">
        <f>IF($A226="","",IF($F226="","",raporTarihi-$F226))</f>
        <v/>
      </c>
      <c r="I226" s="28">
        <f>IF($A226="","",IF($H226="","",IF($H226&lt;=7,"0-7",IF($H226&lt;=30,"8-30",IF($H226&lt;=60,"31-60","60+")))))</f>
        <v/>
      </c>
      <c r="J226" s="28">
        <f>IF($A226="","",IF($B226="","YETİM",IF(COUNTIF(tblKartlar[KartId],$B226)=0,"YETİM","")))</f>
        <v/>
      </c>
      <c r="K226" s="28">
        <f>IF($A226="","",IF($E226="YOK",IF($D226="KRITIK","KRİTİK EKSİK","EKSİK"),"TAM"))</f>
        <v/>
      </c>
      <c r="L226" s="28">
        <f>IF($A226="","",1)</f>
        <v/>
      </c>
    </row>
    <row r="227">
      <c r="A227" s="26" t="n"/>
      <c r="B227" s="26" t="n"/>
      <c r="C227" s="26" t="n"/>
      <c r="D227" s="26" t="n"/>
      <c r="E227" s="26" t="n"/>
      <c r="F227" s="29" t="n"/>
      <c r="G227" s="26" t="n"/>
      <c r="H227" s="28">
        <f>IF($A227="","",IF($F227="","",raporTarihi-$F227))</f>
        <v/>
      </c>
      <c r="I227" s="28">
        <f>IF($A227="","",IF($H227="","",IF($H227&lt;=7,"0-7",IF($H227&lt;=30,"8-30",IF($H227&lt;=60,"31-60","60+")))))</f>
        <v/>
      </c>
      <c r="J227" s="28">
        <f>IF($A227="","",IF($B227="","YETİM",IF(COUNTIF(tblKartlar[KartId],$B227)=0,"YETİM","")))</f>
        <v/>
      </c>
      <c r="K227" s="28">
        <f>IF($A227="","",IF($E227="YOK",IF($D227="KRITIK","KRİTİK EKSİK","EKSİK"),"TAM"))</f>
        <v/>
      </c>
      <c r="L227" s="28">
        <f>IF($A227="","",1)</f>
        <v/>
      </c>
    </row>
    <row r="228">
      <c r="A228" s="26" t="n"/>
      <c r="B228" s="26" t="n"/>
      <c r="C228" s="26" t="n"/>
      <c r="D228" s="26" t="n"/>
      <c r="E228" s="26" t="n"/>
      <c r="F228" s="29" t="n"/>
      <c r="G228" s="26" t="n"/>
      <c r="H228" s="28">
        <f>IF($A228="","",IF($F228="","",raporTarihi-$F228))</f>
        <v/>
      </c>
      <c r="I228" s="28">
        <f>IF($A228="","",IF($H228="","",IF($H228&lt;=7,"0-7",IF($H228&lt;=30,"8-30",IF($H228&lt;=60,"31-60","60+")))))</f>
        <v/>
      </c>
      <c r="J228" s="28">
        <f>IF($A228="","",IF($B228="","YETİM",IF(COUNTIF(tblKartlar[KartId],$B228)=0,"YETİM","")))</f>
        <v/>
      </c>
      <c r="K228" s="28">
        <f>IF($A228="","",IF($E228="YOK",IF($D228="KRITIK","KRİTİK EKSİK","EKSİK"),"TAM"))</f>
        <v/>
      </c>
      <c r="L228" s="28">
        <f>IF($A228="","",1)</f>
        <v/>
      </c>
    </row>
    <row r="229">
      <c r="A229" s="26" t="n"/>
      <c r="B229" s="26" t="n"/>
      <c r="C229" s="26" t="n"/>
      <c r="D229" s="26" t="n"/>
      <c r="E229" s="26" t="n"/>
      <c r="F229" s="29" t="n"/>
      <c r="G229" s="26" t="n"/>
      <c r="H229" s="28">
        <f>IF($A229="","",IF($F229="","",raporTarihi-$F229))</f>
        <v/>
      </c>
      <c r="I229" s="28">
        <f>IF($A229="","",IF($H229="","",IF($H229&lt;=7,"0-7",IF($H229&lt;=30,"8-30",IF($H229&lt;=60,"31-60","60+")))))</f>
        <v/>
      </c>
      <c r="J229" s="28">
        <f>IF($A229="","",IF($B229="","YETİM",IF(COUNTIF(tblKartlar[KartId],$B229)=0,"YETİM","")))</f>
        <v/>
      </c>
      <c r="K229" s="28">
        <f>IF($A229="","",IF($E229="YOK",IF($D229="KRITIK","KRİTİK EKSİK","EKSİK"),"TAM"))</f>
        <v/>
      </c>
      <c r="L229" s="28">
        <f>IF($A229="","",1)</f>
        <v/>
      </c>
    </row>
    <row r="230">
      <c r="A230" s="26" t="n"/>
      <c r="B230" s="26" t="n"/>
      <c r="C230" s="26" t="n"/>
      <c r="D230" s="26" t="n"/>
      <c r="E230" s="26" t="n"/>
      <c r="F230" s="29" t="n"/>
      <c r="G230" s="26" t="n"/>
      <c r="H230" s="28">
        <f>IF($A230="","",IF($F230="","",raporTarihi-$F230))</f>
        <v/>
      </c>
      <c r="I230" s="28">
        <f>IF($A230="","",IF($H230="","",IF($H230&lt;=7,"0-7",IF($H230&lt;=30,"8-30",IF($H230&lt;=60,"31-60","60+")))))</f>
        <v/>
      </c>
      <c r="J230" s="28">
        <f>IF($A230="","",IF($B230="","YETİM",IF(COUNTIF(tblKartlar[KartId],$B230)=0,"YETİM","")))</f>
        <v/>
      </c>
      <c r="K230" s="28">
        <f>IF($A230="","",IF($E230="YOK",IF($D230="KRITIK","KRİTİK EKSİK","EKSİK"),"TAM"))</f>
        <v/>
      </c>
      <c r="L230" s="28">
        <f>IF($A230="","",1)</f>
        <v/>
      </c>
    </row>
    <row r="231">
      <c r="A231" s="26" t="n"/>
      <c r="B231" s="26" t="n"/>
      <c r="C231" s="26" t="n"/>
      <c r="D231" s="26" t="n"/>
      <c r="E231" s="26" t="n"/>
      <c r="F231" s="29" t="n"/>
      <c r="G231" s="26" t="n"/>
      <c r="H231" s="28">
        <f>IF($A231="","",IF($F231="","",raporTarihi-$F231))</f>
        <v/>
      </c>
      <c r="I231" s="28">
        <f>IF($A231="","",IF($H231="","",IF($H231&lt;=7,"0-7",IF($H231&lt;=30,"8-30",IF($H231&lt;=60,"31-60","60+")))))</f>
        <v/>
      </c>
      <c r="J231" s="28">
        <f>IF($A231="","",IF($B231="","YETİM",IF(COUNTIF(tblKartlar[KartId],$B231)=0,"YETİM","")))</f>
        <v/>
      </c>
      <c r="K231" s="28">
        <f>IF($A231="","",IF($E231="YOK",IF($D231="KRITIK","KRİTİK EKSİK","EKSİK"),"TAM"))</f>
        <v/>
      </c>
      <c r="L231" s="28">
        <f>IF($A231="","",1)</f>
        <v/>
      </c>
    </row>
    <row r="232">
      <c r="A232" s="26" t="n"/>
      <c r="B232" s="26" t="n"/>
      <c r="C232" s="26" t="n"/>
      <c r="D232" s="26" t="n"/>
      <c r="E232" s="26" t="n"/>
      <c r="F232" s="29" t="n"/>
      <c r="G232" s="26" t="n"/>
      <c r="H232" s="28">
        <f>IF($A232="","",IF($F232="","",raporTarihi-$F232))</f>
        <v/>
      </c>
      <c r="I232" s="28">
        <f>IF($A232="","",IF($H232="","",IF($H232&lt;=7,"0-7",IF($H232&lt;=30,"8-30",IF($H232&lt;=60,"31-60","60+")))))</f>
        <v/>
      </c>
      <c r="J232" s="28">
        <f>IF($A232="","",IF($B232="","YETİM",IF(COUNTIF(tblKartlar[KartId],$B232)=0,"YETİM","")))</f>
        <v/>
      </c>
      <c r="K232" s="28">
        <f>IF($A232="","",IF($E232="YOK",IF($D232="KRITIK","KRİTİK EKSİK","EKSİK"),"TAM"))</f>
        <v/>
      </c>
      <c r="L232" s="28">
        <f>IF($A232="","",1)</f>
        <v/>
      </c>
    </row>
    <row r="233">
      <c r="A233" s="26" t="n"/>
      <c r="B233" s="26" t="n"/>
      <c r="C233" s="26" t="n"/>
      <c r="D233" s="26" t="n"/>
      <c r="E233" s="26" t="n"/>
      <c r="F233" s="29" t="n"/>
      <c r="G233" s="26" t="n"/>
      <c r="H233" s="28">
        <f>IF($A233="","",IF($F233="","",raporTarihi-$F233))</f>
        <v/>
      </c>
      <c r="I233" s="28">
        <f>IF($A233="","",IF($H233="","",IF($H233&lt;=7,"0-7",IF($H233&lt;=30,"8-30",IF($H233&lt;=60,"31-60","60+")))))</f>
        <v/>
      </c>
      <c r="J233" s="28">
        <f>IF($A233="","",IF($B233="","YETİM",IF(COUNTIF(tblKartlar[KartId],$B233)=0,"YETİM","")))</f>
        <v/>
      </c>
      <c r="K233" s="28">
        <f>IF($A233="","",IF($E233="YOK",IF($D233="KRITIK","KRİTİK EKSİK","EKSİK"),"TAM"))</f>
        <v/>
      </c>
      <c r="L233" s="28">
        <f>IF($A233="","",1)</f>
        <v/>
      </c>
    </row>
    <row r="234">
      <c r="A234" s="26" t="n"/>
      <c r="B234" s="26" t="n"/>
      <c r="C234" s="26" t="n"/>
      <c r="D234" s="26" t="n"/>
      <c r="E234" s="26" t="n"/>
      <c r="F234" s="29" t="n"/>
      <c r="G234" s="26" t="n"/>
      <c r="H234" s="28">
        <f>IF($A234="","",IF($F234="","",raporTarihi-$F234))</f>
        <v/>
      </c>
      <c r="I234" s="28">
        <f>IF($A234="","",IF($H234="","",IF($H234&lt;=7,"0-7",IF($H234&lt;=30,"8-30",IF($H234&lt;=60,"31-60","60+")))))</f>
        <v/>
      </c>
      <c r="J234" s="28">
        <f>IF($A234="","",IF($B234="","YETİM",IF(COUNTIF(tblKartlar[KartId],$B234)=0,"YETİM","")))</f>
        <v/>
      </c>
      <c r="K234" s="28">
        <f>IF($A234="","",IF($E234="YOK",IF($D234="KRITIK","KRİTİK EKSİK","EKSİK"),"TAM"))</f>
        <v/>
      </c>
      <c r="L234" s="28">
        <f>IF($A234="","",1)</f>
        <v/>
      </c>
    </row>
    <row r="235">
      <c r="A235" s="26" t="n"/>
      <c r="B235" s="26" t="n"/>
      <c r="C235" s="26" t="n"/>
      <c r="D235" s="26" t="n"/>
      <c r="E235" s="26" t="n"/>
      <c r="F235" s="29" t="n"/>
      <c r="G235" s="26" t="n"/>
      <c r="H235" s="28">
        <f>IF($A235="","",IF($F235="","",raporTarihi-$F235))</f>
        <v/>
      </c>
      <c r="I235" s="28">
        <f>IF($A235="","",IF($H235="","",IF($H235&lt;=7,"0-7",IF($H235&lt;=30,"8-30",IF($H235&lt;=60,"31-60","60+")))))</f>
        <v/>
      </c>
      <c r="J235" s="28">
        <f>IF($A235="","",IF($B235="","YETİM",IF(COUNTIF(tblKartlar[KartId],$B235)=0,"YETİM","")))</f>
        <v/>
      </c>
      <c r="K235" s="28">
        <f>IF($A235="","",IF($E235="YOK",IF($D235="KRITIK","KRİTİK EKSİK","EKSİK"),"TAM"))</f>
        <v/>
      </c>
      <c r="L235" s="28">
        <f>IF($A235="","",1)</f>
        <v/>
      </c>
    </row>
    <row r="236">
      <c r="A236" s="26" t="n"/>
      <c r="B236" s="26" t="n"/>
      <c r="C236" s="26" t="n"/>
      <c r="D236" s="26" t="n"/>
      <c r="E236" s="26" t="n"/>
      <c r="F236" s="29" t="n"/>
      <c r="G236" s="26" t="n"/>
      <c r="H236" s="28">
        <f>IF($A236="","",IF($F236="","",raporTarihi-$F236))</f>
        <v/>
      </c>
      <c r="I236" s="28">
        <f>IF($A236="","",IF($H236="","",IF($H236&lt;=7,"0-7",IF($H236&lt;=30,"8-30",IF($H236&lt;=60,"31-60","60+")))))</f>
        <v/>
      </c>
      <c r="J236" s="28">
        <f>IF($A236="","",IF($B236="","YETİM",IF(COUNTIF(tblKartlar[KartId],$B236)=0,"YETİM","")))</f>
        <v/>
      </c>
      <c r="K236" s="28">
        <f>IF($A236="","",IF($E236="YOK",IF($D236="KRITIK","KRİTİK EKSİK","EKSİK"),"TAM"))</f>
        <v/>
      </c>
      <c r="L236" s="28">
        <f>IF($A236="","",1)</f>
        <v/>
      </c>
    </row>
    <row r="237">
      <c r="A237" s="26" t="n"/>
      <c r="B237" s="26" t="n"/>
      <c r="C237" s="26" t="n"/>
      <c r="D237" s="26" t="n"/>
      <c r="E237" s="26" t="n"/>
      <c r="F237" s="29" t="n"/>
      <c r="G237" s="26" t="n"/>
      <c r="H237" s="28">
        <f>IF($A237="","",IF($F237="","",raporTarihi-$F237))</f>
        <v/>
      </c>
      <c r="I237" s="28">
        <f>IF($A237="","",IF($H237="","",IF($H237&lt;=7,"0-7",IF($H237&lt;=30,"8-30",IF($H237&lt;=60,"31-60","60+")))))</f>
        <v/>
      </c>
      <c r="J237" s="28">
        <f>IF($A237="","",IF($B237="","YETİM",IF(COUNTIF(tblKartlar[KartId],$B237)=0,"YETİM","")))</f>
        <v/>
      </c>
      <c r="K237" s="28">
        <f>IF($A237="","",IF($E237="YOK",IF($D237="KRITIK","KRİTİK EKSİK","EKSİK"),"TAM"))</f>
        <v/>
      </c>
      <c r="L237" s="28">
        <f>IF($A237="","",1)</f>
        <v/>
      </c>
    </row>
    <row r="238">
      <c r="A238" s="26" t="n"/>
      <c r="B238" s="26" t="n"/>
      <c r="C238" s="26" t="n"/>
      <c r="D238" s="26" t="n"/>
      <c r="E238" s="26" t="n"/>
      <c r="F238" s="29" t="n"/>
      <c r="G238" s="26" t="n"/>
      <c r="H238" s="28">
        <f>IF($A238="","",IF($F238="","",raporTarihi-$F238))</f>
        <v/>
      </c>
      <c r="I238" s="28">
        <f>IF($A238="","",IF($H238="","",IF($H238&lt;=7,"0-7",IF($H238&lt;=30,"8-30",IF($H238&lt;=60,"31-60","60+")))))</f>
        <v/>
      </c>
      <c r="J238" s="28">
        <f>IF($A238="","",IF($B238="","YETİM",IF(COUNTIF(tblKartlar[KartId],$B238)=0,"YETİM","")))</f>
        <v/>
      </c>
      <c r="K238" s="28">
        <f>IF($A238="","",IF($E238="YOK",IF($D238="KRITIK","KRİTİK EKSİK","EKSİK"),"TAM"))</f>
        <v/>
      </c>
      <c r="L238" s="28">
        <f>IF($A238="","",1)</f>
        <v/>
      </c>
    </row>
    <row r="239">
      <c r="A239" s="26" t="n"/>
      <c r="B239" s="26" t="n"/>
      <c r="C239" s="26" t="n"/>
      <c r="D239" s="26" t="n"/>
      <c r="E239" s="26" t="n"/>
      <c r="F239" s="29" t="n"/>
      <c r="G239" s="26" t="n"/>
      <c r="H239" s="28">
        <f>IF($A239="","",IF($F239="","",raporTarihi-$F239))</f>
        <v/>
      </c>
      <c r="I239" s="28">
        <f>IF($A239="","",IF($H239="","",IF($H239&lt;=7,"0-7",IF($H239&lt;=30,"8-30",IF($H239&lt;=60,"31-60","60+")))))</f>
        <v/>
      </c>
      <c r="J239" s="28">
        <f>IF($A239="","",IF($B239="","YETİM",IF(COUNTIF(tblKartlar[KartId],$B239)=0,"YETİM","")))</f>
        <v/>
      </c>
      <c r="K239" s="28">
        <f>IF($A239="","",IF($E239="YOK",IF($D239="KRITIK","KRİTİK EKSİK","EKSİK"),"TAM"))</f>
        <v/>
      </c>
      <c r="L239" s="28">
        <f>IF($A239="","",1)</f>
        <v/>
      </c>
    </row>
    <row r="240">
      <c r="A240" s="26" t="n"/>
      <c r="B240" s="26" t="n"/>
      <c r="C240" s="26" t="n"/>
      <c r="D240" s="26" t="n"/>
      <c r="E240" s="26" t="n"/>
      <c r="F240" s="29" t="n"/>
      <c r="G240" s="26" t="n"/>
      <c r="H240" s="28">
        <f>IF($A240="","",IF($F240="","",raporTarihi-$F240))</f>
        <v/>
      </c>
      <c r="I240" s="28">
        <f>IF($A240="","",IF($H240="","",IF($H240&lt;=7,"0-7",IF($H240&lt;=30,"8-30",IF($H240&lt;=60,"31-60","60+")))))</f>
        <v/>
      </c>
      <c r="J240" s="28">
        <f>IF($A240="","",IF($B240="","YETİM",IF(COUNTIF(tblKartlar[KartId],$B240)=0,"YETİM","")))</f>
        <v/>
      </c>
      <c r="K240" s="28">
        <f>IF($A240="","",IF($E240="YOK",IF($D240="KRITIK","KRİTİK EKSİK","EKSİK"),"TAM"))</f>
        <v/>
      </c>
      <c r="L240" s="28">
        <f>IF($A240="","",1)</f>
        <v/>
      </c>
    </row>
    <row r="241">
      <c r="A241" s="26" t="n"/>
      <c r="B241" s="26" t="n"/>
      <c r="C241" s="26" t="n"/>
      <c r="D241" s="26" t="n"/>
      <c r="E241" s="26" t="n"/>
      <c r="F241" s="29" t="n"/>
      <c r="G241" s="26" t="n"/>
      <c r="H241" s="28">
        <f>IF($A241="","",IF($F241="","",raporTarihi-$F241))</f>
        <v/>
      </c>
      <c r="I241" s="28">
        <f>IF($A241="","",IF($H241="","",IF($H241&lt;=7,"0-7",IF($H241&lt;=30,"8-30",IF($H241&lt;=60,"31-60","60+")))))</f>
        <v/>
      </c>
      <c r="J241" s="28">
        <f>IF($A241="","",IF($B241="","YETİM",IF(COUNTIF(tblKartlar[KartId],$B241)=0,"YETİM","")))</f>
        <v/>
      </c>
      <c r="K241" s="28">
        <f>IF($A241="","",IF($E241="YOK",IF($D241="KRITIK","KRİTİK EKSİK","EKSİK"),"TAM"))</f>
        <v/>
      </c>
      <c r="L241" s="28">
        <f>IF($A241="","",1)</f>
        <v/>
      </c>
    </row>
    <row r="242">
      <c r="A242" s="26" t="n"/>
      <c r="B242" s="26" t="n"/>
      <c r="C242" s="26" t="n"/>
      <c r="D242" s="26" t="n"/>
      <c r="E242" s="26" t="n"/>
      <c r="F242" s="29" t="n"/>
      <c r="G242" s="26" t="n"/>
      <c r="H242" s="28">
        <f>IF($A242="","",IF($F242="","",raporTarihi-$F242))</f>
        <v/>
      </c>
      <c r="I242" s="28">
        <f>IF($A242="","",IF($H242="","",IF($H242&lt;=7,"0-7",IF($H242&lt;=30,"8-30",IF($H242&lt;=60,"31-60","60+")))))</f>
        <v/>
      </c>
      <c r="J242" s="28">
        <f>IF($A242="","",IF($B242="","YETİM",IF(COUNTIF(tblKartlar[KartId],$B242)=0,"YETİM","")))</f>
        <v/>
      </c>
      <c r="K242" s="28">
        <f>IF($A242="","",IF($E242="YOK",IF($D242="KRITIK","KRİTİK EKSİK","EKSİK"),"TAM"))</f>
        <v/>
      </c>
      <c r="L242" s="28">
        <f>IF($A242="","",1)</f>
        <v/>
      </c>
    </row>
    <row r="243">
      <c r="A243" s="26" t="n"/>
      <c r="B243" s="26" t="n"/>
      <c r="C243" s="26" t="n"/>
      <c r="D243" s="26" t="n"/>
      <c r="E243" s="26" t="n"/>
      <c r="F243" s="29" t="n"/>
      <c r="G243" s="26" t="n"/>
      <c r="H243" s="28">
        <f>IF($A243="","",IF($F243="","",raporTarihi-$F243))</f>
        <v/>
      </c>
      <c r="I243" s="28">
        <f>IF($A243="","",IF($H243="","",IF($H243&lt;=7,"0-7",IF($H243&lt;=30,"8-30",IF($H243&lt;=60,"31-60","60+")))))</f>
        <v/>
      </c>
      <c r="J243" s="28">
        <f>IF($A243="","",IF($B243="","YETİM",IF(COUNTIF(tblKartlar[KartId],$B243)=0,"YETİM","")))</f>
        <v/>
      </c>
      <c r="K243" s="28">
        <f>IF($A243="","",IF($E243="YOK",IF($D243="KRITIK","KRİTİK EKSİK","EKSİK"),"TAM"))</f>
        <v/>
      </c>
      <c r="L243" s="28">
        <f>IF($A243="","",1)</f>
        <v/>
      </c>
    </row>
    <row r="244">
      <c r="A244" s="26" t="n"/>
      <c r="B244" s="26" t="n"/>
      <c r="C244" s="26" t="n"/>
      <c r="D244" s="26" t="n"/>
      <c r="E244" s="26" t="n"/>
      <c r="F244" s="29" t="n"/>
      <c r="G244" s="26" t="n"/>
      <c r="H244" s="28">
        <f>IF($A244="","",IF($F244="","",raporTarihi-$F244))</f>
        <v/>
      </c>
      <c r="I244" s="28">
        <f>IF($A244="","",IF($H244="","",IF($H244&lt;=7,"0-7",IF($H244&lt;=30,"8-30",IF($H244&lt;=60,"31-60","60+")))))</f>
        <v/>
      </c>
      <c r="J244" s="28">
        <f>IF($A244="","",IF($B244="","YETİM",IF(COUNTIF(tblKartlar[KartId],$B244)=0,"YETİM","")))</f>
        <v/>
      </c>
      <c r="K244" s="28">
        <f>IF($A244="","",IF($E244="YOK",IF($D244="KRITIK","KRİTİK EKSİK","EKSİK"),"TAM"))</f>
        <v/>
      </c>
      <c r="L244" s="28">
        <f>IF($A244="","",1)</f>
        <v/>
      </c>
    </row>
    <row r="245">
      <c r="A245" s="26" t="n"/>
      <c r="B245" s="26" t="n"/>
      <c r="C245" s="26" t="n"/>
      <c r="D245" s="26" t="n"/>
      <c r="E245" s="26" t="n"/>
      <c r="F245" s="29" t="n"/>
      <c r="G245" s="26" t="n"/>
      <c r="H245" s="28">
        <f>IF($A245="","",IF($F245="","",raporTarihi-$F245))</f>
        <v/>
      </c>
      <c r="I245" s="28">
        <f>IF($A245="","",IF($H245="","",IF($H245&lt;=7,"0-7",IF($H245&lt;=30,"8-30",IF($H245&lt;=60,"31-60","60+")))))</f>
        <v/>
      </c>
      <c r="J245" s="28">
        <f>IF($A245="","",IF($B245="","YETİM",IF(COUNTIF(tblKartlar[KartId],$B245)=0,"YETİM","")))</f>
        <v/>
      </c>
      <c r="K245" s="28">
        <f>IF($A245="","",IF($E245="YOK",IF($D245="KRITIK","KRİTİK EKSİK","EKSİK"),"TAM"))</f>
        <v/>
      </c>
      <c r="L245" s="28">
        <f>IF($A245="","",1)</f>
        <v/>
      </c>
    </row>
    <row r="246">
      <c r="A246" s="26" t="n"/>
      <c r="B246" s="26" t="n"/>
      <c r="C246" s="26" t="n"/>
      <c r="D246" s="26" t="n"/>
      <c r="E246" s="26" t="n"/>
      <c r="F246" s="29" t="n"/>
      <c r="G246" s="26" t="n"/>
      <c r="H246" s="28">
        <f>IF($A246="","",IF($F246="","",raporTarihi-$F246))</f>
        <v/>
      </c>
      <c r="I246" s="28">
        <f>IF($A246="","",IF($H246="","",IF($H246&lt;=7,"0-7",IF($H246&lt;=30,"8-30",IF($H246&lt;=60,"31-60","60+")))))</f>
        <v/>
      </c>
      <c r="J246" s="28">
        <f>IF($A246="","",IF($B246="","YETİM",IF(COUNTIF(tblKartlar[KartId],$B246)=0,"YETİM","")))</f>
        <v/>
      </c>
      <c r="K246" s="28">
        <f>IF($A246="","",IF($E246="YOK",IF($D246="KRITIK","KRİTİK EKSİK","EKSİK"),"TAM"))</f>
        <v/>
      </c>
      <c r="L246" s="28">
        <f>IF($A246="","",1)</f>
        <v/>
      </c>
    </row>
    <row r="247">
      <c r="A247" s="26" t="n"/>
      <c r="B247" s="26" t="n"/>
      <c r="C247" s="26" t="n"/>
      <c r="D247" s="26" t="n"/>
      <c r="E247" s="26" t="n"/>
      <c r="F247" s="29" t="n"/>
      <c r="G247" s="26" t="n"/>
      <c r="H247" s="28">
        <f>IF($A247="","",IF($F247="","",raporTarihi-$F247))</f>
        <v/>
      </c>
      <c r="I247" s="28">
        <f>IF($A247="","",IF($H247="","",IF($H247&lt;=7,"0-7",IF($H247&lt;=30,"8-30",IF($H247&lt;=60,"31-60","60+")))))</f>
        <v/>
      </c>
      <c r="J247" s="28">
        <f>IF($A247="","",IF($B247="","YETİM",IF(COUNTIF(tblKartlar[KartId],$B247)=0,"YETİM","")))</f>
        <v/>
      </c>
      <c r="K247" s="28">
        <f>IF($A247="","",IF($E247="YOK",IF($D247="KRITIK","KRİTİK EKSİK","EKSİK"),"TAM"))</f>
        <v/>
      </c>
      <c r="L247" s="28">
        <f>IF($A247="","",1)</f>
        <v/>
      </c>
    </row>
    <row r="248">
      <c r="A248" s="26" t="n"/>
      <c r="B248" s="26" t="n"/>
      <c r="C248" s="26" t="n"/>
      <c r="D248" s="26" t="n"/>
      <c r="E248" s="26" t="n"/>
      <c r="F248" s="29" t="n"/>
      <c r="G248" s="26" t="n"/>
      <c r="H248" s="28">
        <f>IF($A248="","",IF($F248="","",raporTarihi-$F248))</f>
        <v/>
      </c>
      <c r="I248" s="28">
        <f>IF($A248="","",IF($H248="","",IF($H248&lt;=7,"0-7",IF($H248&lt;=30,"8-30",IF($H248&lt;=60,"31-60","60+")))))</f>
        <v/>
      </c>
      <c r="J248" s="28">
        <f>IF($A248="","",IF($B248="","YETİM",IF(COUNTIF(tblKartlar[KartId],$B248)=0,"YETİM","")))</f>
        <v/>
      </c>
      <c r="K248" s="28">
        <f>IF($A248="","",IF($E248="YOK",IF($D248="KRITIK","KRİTİK EKSİK","EKSİK"),"TAM"))</f>
        <v/>
      </c>
      <c r="L248" s="28">
        <f>IF($A248="","",1)</f>
        <v/>
      </c>
    </row>
    <row r="249">
      <c r="A249" s="26" t="n"/>
      <c r="B249" s="26" t="n"/>
      <c r="C249" s="26" t="n"/>
      <c r="D249" s="26" t="n"/>
      <c r="E249" s="26" t="n"/>
      <c r="F249" s="29" t="n"/>
      <c r="G249" s="26" t="n"/>
      <c r="H249" s="28">
        <f>IF($A249="","",IF($F249="","",raporTarihi-$F249))</f>
        <v/>
      </c>
      <c r="I249" s="28">
        <f>IF($A249="","",IF($H249="","",IF($H249&lt;=7,"0-7",IF($H249&lt;=30,"8-30",IF($H249&lt;=60,"31-60","60+")))))</f>
        <v/>
      </c>
      <c r="J249" s="28">
        <f>IF($A249="","",IF($B249="","YETİM",IF(COUNTIF(tblKartlar[KartId],$B249)=0,"YETİM","")))</f>
        <v/>
      </c>
      <c r="K249" s="28">
        <f>IF($A249="","",IF($E249="YOK",IF($D249="KRITIK","KRİTİK EKSİK","EKSİK"),"TAM"))</f>
        <v/>
      </c>
      <c r="L249" s="28">
        <f>IF($A249="","",1)</f>
        <v/>
      </c>
    </row>
    <row r="250">
      <c r="A250" s="26" t="n"/>
      <c r="B250" s="26" t="n"/>
      <c r="C250" s="26" t="n"/>
      <c r="D250" s="26" t="n"/>
      <c r="E250" s="26" t="n"/>
      <c r="F250" s="29" t="n"/>
      <c r="G250" s="26" t="n"/>
      <c r="H250" s="28">
        <f>IF($A250="","",IF($F250="","",raporTarihi-$F250))</f>
        <v/>
      </c>
      <c r="I250" s="28">
        <f>IF($A250="","",IF($H250="","",IF($H250&lt;=7,"0-7",IF($H250&lt;=30,"8-30",IF($H250&lt;=60,"31-60","60+")))))</f>
        <v/>
      </c>
      <c r="J250" s="28">
        <f>IF($A250="","",IF($B250="","YETİM",IF(COUNTIF(tblKartlar[KartId],$B250)=0,"YETİM","")))</f>
        <v/>
      </c>
      <c r="K250" s="28">
        <f>IF($A250="","",IF($E250="YOK",IF($D250="KRITIK","KRİTİK EKSİK","EKSİK"),"TAM"))</f>
        <v/>
      </c>
      <c r="L250" s="28">
        <f>IF($A250="","",1)</f>
        <v/>
      </c>
    </row>
    <row r="251">
      <c r="A251" s="26" t="n"/>
      <c r="B251" s="26" t="n"/>
      <c r="C251" s="26" t="n"/>
      <c r="D251" s="26" t="n"/>
      <c r="E251" s="26" t="n"/>
      <c r="F251" s="29" t="n"/>
      <c r="G251" s="26" t="n"/>
      <c r="H251" s="28">
        <f>IF($A251="","",IF($F251="","",raporTarihi-$F251))</f>
        <v/>
      </c>
      <c r="I251" s="28">
        <f>IF($A251="","",IF($H251="","",IF($H251&lt;=7,"0-7",IF($H251&lt;=30,"8-30",IF($H251&lt;=60,"31-60","60+")))))</f>
        <v/>
      </c>
      <c r="J251" s="28">
        <f>IF($A251="","",IF($B251="","YETİM",IF(COUNTIF(tblKartlar[KartId],$B251)=0,"YETİM","")))</f>
        <v/>
      </c>
      <c r="K251" s="28">
        <f>IF($A251="","",IF($E251="YOK",IF($D251="KRITIK","KRİTİK EKSİK","EKSİK"),"TAM"))</f>
        <v/>
      </c>
      <c r="L251" s="28">
        <f>IF($A251="","",1)</f>
        <v/>
      </c>
    </row>
    <row r="252">
      <c r="A252" s="26" t="n"/>
      <c r="B252" s="26" t="n"/>
      <c r="C252" s="26" t="n"/>
      <c r="D252" s="26" t="n"/>
      <c r="E252" s="26" t="n"/>
      <c r="F252" s="29" t="n"/>
      <c r="G252" s="26" t="n"/>
      <c r="H252" s="28">
        <f>IF($A252="","",IF($F252="","",raporTarihi-$F252))</f>
        <v/>
      </c>
      <c r="I252" s="28">
        <f>IF($A252="","",IF($H252="","",IF($H252&lt;=7,"0-7",IF($H252&lt;=30,"8-30",IF($H252&lt;=60,"31-60","60+")))))</f>
        <v/>
      </c>
      <c r="J252" s="28">
        <f>IF($A252="","",IF($B252="","YETİM",IF(COUNTIF(tblKartlar[KartId],$B252)=0,"YETİM","")))</f>
        <v/>
      </c>
      <c r="K252" s="28">
        <f>IF($A252="","",IF($E252="YOK",IF($D252="KRITIK","KRİTİK EKSİK","EKSİK"),"TAM"))</f>
        <v/>
      </c>
      <c r="L252" s="28">
        <f>IF($A252="","",1)</f>
        <v/>
      </c>
    </row>
    <row r="253">
      <c r="A253" s="26" t="n"/>
      <c r="B253" s="26" t="n"/>
      <c r="C253" s="26" t="n"/>
      <c r="D253" s="26" t="n"/>
      <c r="E253" s="26" t="n"/>
      <c r="F253" s="29" t="n"/>
      <c r="G253" s="26" t="n"/>
      <c r="H253" s="28">
        <f>IF($A253="","",IF($F253="","",raporTarihi-$F253))</f>
        <v/>
      </c>
      <c r="I253" s="28">
        <f>IF($A253="","",IF($H253="","",IF($H253&lt;=7,"0-7",IF($H253&lt;=30,"8-30",IF($H253&lt;=60,"31-60","60+")))))</f>
        <v/>
      </c>
      <c r="J253" s="28">
        <f>IF($A253="","",IF($B253="","YETİM",IF(COUNTIF(tblKartlar[KartId],$B253)=0,"YETİM","")))</f>
        <v/>
      </c>
      <c r="K253" s="28">
        <f>IF($A253="","",IF($E253="YOK",IF($D253="KRITIK","KRİTİK EKSİK","EKSİK"),"TAM"))</f>
        <v/>
      </c>
      <c r="L253" s="28">
        <f>IF($A253="","",1)</f>
        <v/>
      </c>
    </row>
    <row r="254">
      <c r="A254" s="26" t="n"/>
      <c r="B254" s="26" t="n"/>
      <c r="C254" s="26" t="n"/>
      <c r="D254" s="26" t="n"/>
      <c r="E254" s="26" t="n"/>
      <c r="F254" s="29" t="n"/>
      <c r="G254" s="26" t="n"/>
      <c r="H254" s="28">
        <f>IF($A254="","",IF($F254="","",raporTarihi-$F254))</f>
        <v/>
      </c>
      <c r="I254" s="28">
        <f>IF($A254="","",IF($H254="","",IF($H254&lt;=7,"0-7",IF($H254&lt;=30,"8-30",IF($H254&lt;=60,"31-60","60+")))))</f>
        <v/>
      </c>
      <c r="J254" s="28">
        <f>IF($A254="","",IF($B254="","YETİM",IF(COUNTIF(tblKartlar[KartId],$B254)=0,"YETİM","")))</f>
        <v/>
      </c>
      <c r="K254" s="28">
        <f>IF($A254="","",IF($E254="YOK",IF($D254="KRITIK","KRİTİK EKSİK","EKSİK"),"TAM"))</f>
        <v/>
      </c>
      <c r="L254" s="28">
        <f>IF($A254="","",1)</f>
        <v/>
      </c>
    </row>
    <row r="255">
      <c r="A255" s="26" t="n"/>
      <c r="B255" s="26" t="n"/>
      <c r="C255" s="26" t="n"/>
      <c r="D255" s="26" t="n"/>
      <c r="E255" s="26" t="n"/>
      <c r="F255" s="29" t="n"/>
      <c r="G255" s="26" t="n"/>
      <c r="H255" s="28">
        <f>IF($A255="","",IF($F255="","",raporTarihi-$F255))</f>
        <v/>
      </c>
      <c r="I255" s="28">
        <f>IF($A255="","",IF($H255="","",IF($H255&lt;=7,"0-7",IF($H255&lt;=30,"8-30",IF($H255&lt;=60,"31-60","60+")))))</f>
        <v/>
      </c>
      <c r="J255" s="28">
        <f>IF($A255="","",IF($B255="","YETİM",IF(COUNTIF(tblKartlar[KartId],$B255)=0,"YETİM","")))</f>
        <v/>
      </c>
      <c r="K255" s="28">
        <f>IF($A255="","",IF($E255="YOK",IF($D255="KRITIK","KRİTİK EKSİK","EKSİK"),"TAM"))</f>
        <v/>
      </c>
      <c r="L255" s="28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K6:K255">
    <cfRule type="cellIs" priority="1" operator="equal" dxfId="2">
      <formula>"KRİTİK EKSİK"</formula>
    </cfRule>
    <cfRule type="cellIs" priority="2" operator="equal" dxfId="1">
      <formula>"EKSİK"</formula>
    </cfRule>
    <cfRule type="cellIs" priority="3" operator="equal" dxfId="0">
      <formula>"TAM"</formula>
    </cfRule>
  </conditionalFormatting>
  <conditionalFormatting sqref="E6:E255">
    <cfRule type="cellIs" priority="4" operator="equal" dxfId="1">
      <formula>"YOK"</formula>
    </cfRule>
  </conditionalFormatting>
  <conditionalFormatting sqref="J6:J255">
    <cfRule type="cellIs" priority="5" operator="equal" dxfId="2">
      <formula>"YETİM"</formula>
    </cfRule>
  </conditionalFormatting>
  <dataValidations count="7">
    <dataValidation sqref="A6:A255" showDropDown="0" showInputMessage="1" showErrorMessage="1" allowBlank="1" errorTitle="Kimlik" error="Boş olamaz" promptTitle="Kontrol Kimliği" prompt="KNT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" type="textLength" errorStyle="stop" operator="greaterThanOrEqual">
      <formula1>0</formula1>
      <formula2>40</formula2>
    </dataValidation>
    <dataValidation sqref="C6:C255" showDropDown="0" showInputMessage="1" showErrorMessage="1" allowBlank="1" errorTitle="Belge" error="Geçersiz" promptTitle="Belge Adı" prompt="Belge adı" type="textLength" errorStyle="stop" operator="greaterThanOrEqual">
      <formula1>0</formula1>
      <formula2>80</formula2>
    </dataValidation>
    <dataValidation sqref="D6:D255" showDropDown="0" showInputMessage="1" showErrorMessage="1" allowBlank="1" errorTitle="Liste" error="Listeden seçin" promptTitle="Zorunluluk" prompt="Listeden seçin" type="list" errorStyle="stop">
      <formula1>ListeZorunluluk</formula1>
    </dataValidation>
    <dataValidation sqref="E6:E255" showDropDown="0" showInputMessage="1" showErrorMessage="1" allowBlank="1" errorTitle="Liste" error="Listeden seçin" promptTitle="Belge Durum" prompt="VAR veya YOK" type="list" errorStyle="stop">
      <formula1>ListeBelgeDurum</formula1>
    </dataValidation>
    <dataValidation sqref="F6:F255" showDropDown="0" showInputMessage="1" showErrorMessage="1" allowBlank="1" errorTitle="Tarih" error="Geçerli tarih" promptTitle="Tarih" prompt="Kontrol tarihi" type="date" errorStyle="stop" operator="greaterThan">
      <formula1>1</formula1>
    </dataValidation>
    <dataValidation sqref="G6:G255" showDropDown="0" showInputMessage="1" showErrorMessage="1" allowBlank="1" errorTitle="Not" error="Geçersiz" promptTitle="Not" prompt="Kısa not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A365D"/>
    <outlinePr summaryBelow="1" summaryRight="1"/>
    <pageSetUpPr/>
  </sheetPr>
  <dimension ref="A1:I6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HESAP — YMM Tasdik Kontrol Robotu</t>
        </is>
      </c>
    </row>
    <row r="2"/>
    <row r="3" ht="22" customHeight="1">
      <c r="A3" s="202" t="inlineStr">
        <is>
          <t>Hesap motoru — ≥40 adım; sabitler AYARLAR'dan</t>
        </is>
      </c>
    </row>
    <row r="4"/>
    <row r="5">
      <c r="A5" s="30" t="inlineStr">
        <is>
          <t>Adım</t>
        </is>
      </c>
      <c r="B5" s="30" t="inlineStr">
        <is>
          <t>Açıklama</t>
        </is>
      </c>
      <c r="C5" s="30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6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1">
        <f>SUM(tblAkis[KayitDolu])</f>
        <v/>
      </c>
    </row>
    <row r="8">
      <c r="A8" s="7" t="inlineStr">
        <is>
          <t>H03</t>
        </is>
      </c>
      <c r="B8" s="7" t="inlineStr">
        <is>
          <t>Toplam tutar</t>
        </is>
      </c>
      <c r="C8" s="36">
        <f>SUM(tblAkis[Tutar])</f>
        <v/>
      </c>
    </row>
    <row r="9">
      <c r="A9" s="7" t="inlineStr">
        <is>
          <t>H04</t>
        </is>
      </c>
      <c r="B9" s="7" t="inlineStr">
        <is>
          <t>Başvuru toplam</t>
        </is>
      </c>
      <c r="C9" s="36">
        <f>SUM(tblAkis[BasvuruTutar])</f>
        <v/>
      </c>
    </row>
    <row r="10">
      <c r="A10" s="7" t="inlineStr">
        <is>
          <t>H05</t>
        </is>
      </c>
      <c r="B10" s="7" t="inlineStr">
        <is>
          <t>Belge toplam</t>
        </is>
      </c>
      <c r="C10" s="36">
        <f>SUM(tblAkis[BelgeTutar])</f>
        <v/>
      </c>
    </row>
    <row r="11">
      <c r="A11" s="7" t="inlineStr">
        <is>
          <t>H06</t>
        </is>
      </c>
      <c r="B11" s="7" t="inlineStr">
        <is>
          <t>Kontrol toplam</t>
        </is>
      </c>
      <c r="C11" s="36">
        <f>SUM(tblAkis[KontrolTutar])</f>
        <v/>
      </c>
    </row>
    <row r="12">
      <c r="A12" s="7" t="inlineStr">
        <is>
          <t>H07</t>
        </is>
      </c>
      <c r="B12" s="7" t="inlineStr">
        <is>
          <t>Tasdik toplam</t>
        </is>
      </c>
      <c r="C12" s="36">
        <f>SUM(tblAkis[TasdikTutar])</f>
        <v/>
      </c>
    </row>
    <row r="13">
      <c r="A13" s="7" t="inlineStr">
        <is>
          <t>H08</t>
        </is>
      </c>
      <c r="B13" s="7" t="inlineStr">
        <is>
          <t>Arşiv toplam</t>
        </is>
      </c>
      <c r="C13" s="36">
        <f>SUM(tblAkis[ArsivTutar])</f>
        <v/>
      </c>
    </row>
    <row r="14">
      <c r="A14" s="7" t="inlineStr">
        <is>
          <t>H09</t>
        </is>
      </c>
      <c r="B14" s="7" t="inlineStr">
        <is>
          <t>Taslak adet</t>
        </is>
      </c>
      <c r="C14" s="31">
        <f>COUNTIF(tblAkis[Durum],"TASLAK")</f>
        <v/>
      </c>
    </row>
    <row r="15">
      <c r="A15" s="7" t="inlineStr">
        <is>
          <t>H10</t>
        </is>
      </c>
      <c r="B15" s="7" t="inlineStr">
        <is>
          <t>İnceleme adet</t>
        </is>
      </c>
      <c r="C15" s="31">
        <f>COUNTIF(tblAkis[Durum],"INCELEME")</f>
        <v/>
      </c>
    </row>
    <row r="16">
      <c r="A16" s="7" t="inlineStr">
        <is>
          <t>H11</t>
        </is>
      </c>
      <c r="B16" s="7" t="inlineStr">
        <is>
          <t>Eksik adet (akis)</t>
        </is>
      </c>
      <c r="C16" s="31">
        <f>COUNTIF(tblAkis[Durum],"EKSIK")</f>
        <v/>
      </c>
    </row>
    <row r="17">
      <c r="A17" s="7" t="inlineStr">
        <is>
          <t>H12</t>
        </is>
      </c>
      <c r="B17" s="7" t="inlineStr">
        <is>
          <t>Tasdik adet</t>
        </is>
      </c>
      <c r="C17" s="31">
        <f>COUNTIF(tblAkis[Durum],"TASDIK")</f>
        <v/>
      </c>
    </row>
    <row r="18">
      <c r="A18" s="7" t="inlineStr">
        <is>
          <t>H13</t>
        </is>
      </c>
      <c r="B18" s="7" t="inlineStr">
        <is>
          <t>Durdur adet</t>
        </is>
      </c>
      <c r="C18" s="31">
        <f>COUNTIF(tblAkis[Durum],"DURDUR")</f>
        <v/>
      </c>
    </row>
    <row r="19">
      <c r="A19" s="7" t="inlineStr">
        <is>
          <t>H14</t>
        </is>
      </c>
      <c r="B19" s="7" t="inlineStr">
        <is>
          <t>Açık adet</t>
        </is>
      </c>
      <c r="C19" s="31">
        <f>C14+C15+C16</f>
        <v/>
      </c>
    </row>
    <row r="20">
      <c r="A20" s="7" t="inlineStr">
        <is>
          <t>H15</t>
        </is>
      </c>
      <c r="B20" s="7" t="inlineStr">
        <is>
          <t>Kapalı düşüm</t>
        </is>
      </c>
      <c r="C20" s="31">
        <f>C17+C18</f>
        <v/>
      </c>
    </row>
    <row r="21">
      <c r="A21" s="7" t="inlineStr">
        <is>
          <t>H16</t>
        </is>
      </c>
      <c r="B21" s="7" t="inlineStr">
        <is>
          <t>Açık tutar</t>
        </is>
      </c>
      <c r="C21" s="36">
        <f>SUMIF(tblAkis[Durum],"TASLAK",tblAkis[Tutar])+SUMIF(tblAkis[Durum],"INCELEME",tblAkis[Tutar])+SUMIF(tblAkis[Durum],"EKSIK",tblAkis[Tutar])</f>
        <v/>
      </c>
    </row>
    <row r="22">
      <c r="A22" s="7" t="inlineStr">
        <is>
          <t>H17</t>
        </is>
      </c>
      <c r="B22" s="7" t="inlineStr">
        <is>
          <t>Yetim adet</t>
        </is>
      </c>
      <c r="C22" s="31">
        <f>COUNTIF(tblAkis[YetimBayrak],"YETİM")</f>
        <v/>
      </c>
    </row>
    <row r="23">
      <c r="A23" s="7" t="inlineStr">
        <is>
          <t>H18</t>
        </is>
      </c>
      <c r="B23" s="7" t="inlineStr">
        <is>
          <t>Geçersiz geçiş</t>
        </is>
      </c>
      <c r="C23" s="31">
        <f>COUNTIF(tblAkis[GecisUyarisi],"GEÇERSİZ GEÇİŞ")</f>
        <v/>
      </c>
    </row>
    <row r="24">
      <c r="A24" s="7" t="inlineStr">
        <is>
          <t>H19</t>
        </is>
      </c>
      <c r="B24" s="7" t="inlineStr">
        <is>
          <t>Zincir kırık</t>
        </is>
      </c>
      <c r="C24" s="31">
        <f>COUNTIF(tblAkis[ZincirBayrak],"ZİNCİR KIRIK")</f>
        <v/>
      </c>
    </row>
    <row r="25">
      <c r="A25" s="7" t="inlineStr">
        <is>
          <t>H20</t>
        </is>
      </c>
      <c r="B25" s="7" t="inlineStr">
        <is>
          <t>Zincir tamam</t>
        </is>
      </c>
      <c r="C25" s="31">
        <f>COUNTIF(tblAkis[ZincirBayrak],"OK")</f>
        <v/>
      </c>
    </row>
    <row r="26">
      <c r="A26" s="7" t="inlineStr">
        <is>
          <t>H21</t>
        </is>
      </c>
      <c r="B26" s="7" t="inlineStr">
        <is>
          <t>Yaş 0-7</t>
        </is>
      </c>
      <c r="C26" s="31">
        <f>COUNTIF(tblAkis[YasKova],"0-7")</f>
        <v/>
      </c>
    </row>
    <row r="27">
      <c r="A27" s="7" t="inlineStr">
        <is>
          <t>H22</t>
        </is>
      </c>
      <c r="B27" s="7" t="inlineStr">
        <is>
          <t>Yaş 8-30</t>
        </is>
      </c>
      <c r="C27" s="31">
        <f>COUNTIF(tblAkis[YasKova],"8-30")</f>
        <v/>
      </c>
    </row>
    <row r="28">
      <c r="A28" s="7" t="inlineStr">
        <is>
          <t>H23</t>
        </is>
      </c>
      <c r="B28" s="7" t="inlineStr">
        <is>
          <t>Yaş 31-60</t>
        </is>
      </c>
      <c r="C28" s="31">
        <f>COUNTIF(tblAkis[YasKova],"31-60")</f>
        <v/>
      </c>
    </row>
    <row r="29">
      <c r="A29" s="7" t="inlineStr">
        <is>
          <t>H24</t>
        </is>
      </c>
      <c r="B29" s="7" t="inlineStr">
        <is>
          <t>Yaş 60+</t>
        </is>
      </c>
      <c r="C29" s="31">
        <f>COUNTIF(tblAkis[YasKova],"60+")</f>
        <v/>
      </c>
    </row>
    <row r="30">
      <c r="A30" s="7" t="inlineStr">
        <is>
          <t>H25</t>
        </is>
      </c>
      <c r="B30" s="7" t="inlineStr">
        <is>
          <t>Ort yaş gün</t>
        </is>
      </c>
      <c r="C30" s="70">
        <f>IFERROR(AVERAGE(tblAkis[YasGun]),0)</f>
        <v/>
      </c>
    </row>
    <row r="31">
      <c r="A31" s="7" t="inlineStr">
        <is>
          <t>H26</t>
        </is>
      </c>
      <c r="B31" s="7" t="inlineStr">
        <is>
          <t>Geciken adet</t>
        </is>
      </c>
      <c r="C31" s="31">
        <f>COUNTIFS(tblAkis[YasGun],"&gt;"&amp;ytk_esikGecikmeGun,tblAkis[Durum],"&lt;&gt;TASDIK",tblAkis[Durum],"&lt;&gt;DURDUR",tblAkis[Tutar],"&gt;0")</f>
        <v/>
      </c>
    </row>
    <row r="32">
      <c r="A32" s="7" t="inlineStr">
        <is>
          <t>H27</t>
        </is>
      </c>
      <c r="B32" s="7" t="inlineStr">
        <is>
          <t>Geciken tutar</t>
        </is>
      </c>
      <c r="C32" s="36">
        <f>SUMIFS(tblAkis[Tutar],tblAkis[YasGun],"&gt;"&amp;ytk_esikGecikmeGun,tblAkis[Durum],"&lt;&gt;TASDIK",tblAkis[Durum],"&lt;&gt;DURDUR")</f>
        <v/>
      </c>
    </row>
    <row r="33">
      <c r="A33" s="7" t="inlineStr">
        <is>
          <t>H28</t>
        </is>
      </c>
      <c r="B33" s="7" t="inlineStr">
        <is>
          <t>Gecikme maliyeti</t>
        </is>
      </c>
      <c r="C33" s="36">
        <f>C32*ytk_gecikmeOranGun</f>
        <v/>
      </c>
    </row>
    <row r="34">
      <c r="A34" s="7" t="inlineStr">
        <is>
          <t>H29</t>
        </is>
      </c>
      <c r="B34" s="7" t="inlineStr">
        <is>
          <t>Temkinli senaryo</t>
        </is>
      </c>
      <c r="C34" s="36">
        <f>C21*ytk_senaryoTemkinli</f>
        <v/>
      </c>
    </row>
    <row r="35">
      <c r="A35" s="7" t="inlineStr">
        <is>
          <t>H30</t>
        </is>
      </c>
      <c r="B35" s="7" t="inlineStr">
        <is>
          <t>Baz senaryo</t>
        </is>
      </c>
      <c r="C35" s="36">
        <f>C21*ytk_senaryoBaz</f>
        <v/>
      </c>
    </row>
    <row r="36">
      <c r="A36" s="7" t="inlineStr">
        <is>
          <t>H31</t>
        </is>
      </c>
      <c r="B36" s="7" t="inlineStr">
        <is>
          <t>İyimser senaryo</t>
        </is>
      </c>
      <c r="C36" s="36">
        <f>C21*ytk_senaryoIyimser</f>
        <v/>
      </c>
    </row>
    <row r="37">
      <c r="A37" s="7" t="inlineStr">
        <is>
          <t>H32</t>
        </is>
      </c>
      <c r="B37" s="7" t="inlineStr">
        <is>
          <t>Senaryo farkı</t>
        </is>
      </c>
      <c r="C37" s="36">
        <f>C36-C34</f>
        <v/>
      </c>
    </row>
    <row r="38">
      <c r="A38" s="7" t="inlineStr">
        <is>
          <t>H33</t>
        </is>
      </c>
      <c r="B38" s="7" t="inlineStr">
        <is>
          <t>Tornado (oran×tutar)</t>
        </is>
      </c>
      <c r="C38" s="38">
        <f>C21*ytk_tornadoOran</f>
        <v/>
      </c>
    </row>
    <row r="39">
      <c r="A39" s="7" t="inlineStr">
        <is>
          <t>H34</t>
        </is>
      </c>
      <c r="B39" s="7" t="inlineStr">
        <is>
          <t>Ödeme öncelik havuzu</t>
        </is>
      </c>
      <c r="C39" s="36">
        <f>SUMIFS(tblAkis[Tutar],tblAkis[Durum],"EKSIK",tblAkis[YasGun],"&gt;"&amp;ytk_esikGecikmeGun)</f>
        <v/>
      </c>
    </row>
    <row r="40">
      <c r="A40" s="7" t="inlineStr">
        <is>
          <t>H35</t>
        </is>
      </c>
      <c r="B40" s="7" t="inlineStr">
        <is>
          <t>Pareto gecikme payı</t>
        </is>
      </c>
      <c r="C40" s="38">
        <f>IFERROR(C32/MAX(C21,1),0)</f>
        <v/>
      </c>
    </row>
    <row r="41">
      <c r="A41" s="7" t="inlineStr">
        <is>
          <t>H36</t>
        </is>
      </c>
      <c r="B41" s="7" t="inlineStr">
        <is>
          <t>Tahmin yüzdelik</t>
        </is>
      </c>
      <c r="C41" s="36">
        <f>IFERROR(_xlfn.PERCENTILE.INC(tblAkis[Tutar],ytk_yuzdelikOran),0)</f>
        <v/>
      </c>
    </row>
    <row r="42">
      <c r="A42" s="7" t="inlineStr">
        <is>
          <t>H37</t>
        </is>
      </c>
      <c r="B42" s="7" t="inlineStr">
        <is>
          <t>Tahmin eğilim</t>
        </is>
      </c>
      <c r="C42" s="36">
        <f>IFERROR(FORECAST(COUNTA(tblAkis[IslemId])+1,tblAkis[Tutar],tblAkis[KayitDolu]),C41)</f>
        <v/>
      </c>
    </row>
    <row r="43">
      <c r="A43" s="7" t="inlineStr">
        <is>
          <t>H38</t>
        </is>
      </c>
      <c r="B43" s="7" t="inlineStr">
        <is>
          <t>Tahmin aralık</t>
        </is>
      </c>
      <c r="C43" s="36">
        <f>IFERROR((C41+C42)/2,0)</f>
        <v/>
      </c>
    </row>
    <row r="44">
      <c r="A44" s="7" t="inlineStr">
        <is>
          <t>H39</t>
        </is>
      </c>
      <c r="B44" s="7" t="inlineStr">
        <is>
          <t>Kart sayısı</t>
        </is>
      </c>
      <c r="C44" s="31">
        <f>COUNTA(tblKartlar[KartId])</f>
        <v/>
      </c>
    </row>
    <row r="45">
      <c r="A45" s="7" t="inlineStr">
        <is>
          <t>H40</t>
        </is>
      </c>
      <c r="B45" s="7" t="inlineStr">
        <is>
          <t>Dosya tutar toplam</t>
        </is>
      </c>
      <c r="C45" s="36">
        <f>SUM(tblKartlar[DosyaTutar])</f>
        <v/>
      </c>
    </row>
    <row r="46">
      <c r="A46" s="7" t="inlineStr">
        <is>
          <t>H41</t>
        </is>
      </c>
      <c r="B46" s="7" t="inlineStr">
        <is>
          <t>Limit kullanım oranı</t>
        </is>
      </c>
      <c r="C46" s="38">
        <f>IFERROR(C8/MAX(C45,1),0)</f>
        <v/>
      </c>
    </row>
    <row r="47">
      <c r="A47" s="7" t="inlineStr">
        <is>
          <t>H42</t>
        </is>
      </c>
      <c r="B47" s="7" t="inlineStr">
        <is>
          <t>Kuyruk özeti metin</t>
        </is>
      </c>
      <c r="C47" s="24">
        <f>_xlfn.TEXTJOIN(" | ",TRUE,"İnceleme",C15,"Eksik",C16,"Geciken",C31)</f>
        <v/>
      </c>
    </row>
    <row r="48">
      <c r="A48" s="7" t="inlineStr">
        <is>
          <t>H43</t>
        </is>
      </c>
      <c r="B48" s="7" t="inlineStr">
        <is>
          <t>Yaş kova metin</t>
        </is>
      </c>
      <c r="C48" s="24">
        <f>_xlfn.TEXTJOIN("/",TRUE,C26,C27,C28,C29)</f>
        <v/>
      </c>
    </row>
    <row r="49">
      <c r="A49" s="7" t="inlineStr">
        <is>
          <t>H44</t>
        </is>
      </c>
      <c r="B49" s="7" t="inlineStr">
        <is>
          <t>Karar skoru ham</t>
        </is>
      </c>
      <c r="C49" s="31">
        <f>IF(C6=0,0,MAX(0,100-C22*10-C23*10-C24*10-C31*2))</f>
        <v/>
      </c>
    </row>
    <row r="50">
      <c r="A50" s="7" t="inlineStr">
        <is>
          <t>H45</t>
        </is>
      </c>
      <c r="B50" s="7" t="inlineStr">
        <is>
          <t>Veri hazırlık</t>
        </is>
      </c>
      <c r="C50" s="38">
        <f>IF(C6=0,0,C7/MAX(C6,1))</f>
        <v/>
      </c>
    </row>
    <row r="51">
      <c r="A51" s="7" t="inlineStr">
        <is>
          <t>H46</t>
        </is>
      </c>
      <c r="B51" s="7" t="inlineStr">
        <is>
          <t>Kontrol kayıt adet</t>
        </is>
      </c>
      <c r="C51" s="31">
        <f>COUNTA(tblKontrol[KontrolId])</f>
        <v/>
      </c>
    </row>
    <row r="52">
      <c r="A52" s="7" t="inlineStr">
        <is>
          <t>H47</t>
        </is>
      </c>
      <c r="B52" s="7" t="inlineStr">
        <is>
          <t>Eksik belge adet</t>
        </is>
      </c>
      <c r="C52" s="31">
        <f>COUNTIF(tblKontrol[BelgeDurum],"YOK")</f>
        <v/>
      </c>
    </row>
    <row r="53">
      <c r="A53" s="7" t="inlineStr">
        <is>
          <t>H48</t>
        </is>
      </c>
      <c r="B53" s="7" t="inlineStr">
        <is>
          <t>Kritik eksik adet</t>
        </is>
      </c>
      <c r="C53" s="31">
        <f>COUNTIFS(tblKontrol[BelgeDurum],"YOK",tblKontrol[Zorunluluk],"KRITIK")</f>
        <v/>
      </c>
    </row>
    <row r="54">
      <c r="A54" s="7" t="inlineStr">
        <is>
          <t>H49</t>
        </is>
      </c>
      <c r="B54" s="7" t="inlineStr">
        <is>
          <t>Tam belge adet</t>
        </is>
      </c>
      <c r="C54" s="31">
        <f>COUNTIF(tblKontrol[BelgeDurum],"VAR")</f>
        <v/>
      </c>
    </row>
    <row r="55">
      <c r="A55" s="7" t="inlineStr">
        <is>
          <t>H50</t>
        </is>
      </c>
      <c r="B55" s="7" t="inlineStr">
        <is>
          <t>Kontrol yetim</t>
        </is>
      </c>
      <c r="C55" s="31">
        <f>COUNTIF(tblKontrol[YetimBayrak],"YETİM")</f>
        <v/>
      </c>
    </row>
    <row r="56">
      <c r="A56" s="7" t="inlineStr">
        <is>
          <t>H51</t>
        </is>
      </c>
      <c r="B56" s="7" t="inlineStr">
        <is>
          <t>Kritik eksik bayrak</t>
        </is>
      </c>
      <c r="C56" s="31">
        <f>COUNTIF(tblKontrol[EksikBayrak],"KRİTİK EKSİK")</f>
        <v/>
      </c>
    </row>
    <row r="57">
      <c r="A57" s="7" t="inlineStr">
        <is>
          <t>H52</t>
        </is>
      </c>
      <c r="B57" s="7" t="inlineStr">
        <is>
          <t>Kalite modülü</t>
        </is>
      </c>
      <c r="C57" s="31">
        <f>C49</f>
        <v/>
      </c>
    </row>
    <row r="58">
      <c r="A58" s="7" t="inlineStr">
        <is>
          <t>H53</t>
        </is>
      </c>
      <c r="B58" s="7" t="inlineStr">
        <is>
          <t>Yüzdelik 90</t>
        </is>
      </c>
      <c r="C58" s="36">
        <f>IFERROR(_xlfn.PERCENTILE.INC(tblAkis[YasGun],ytk_yuzdelikOran),0)</f>
        <v/>
      </c>
    </row>
    <row r="59">
      <c r="A59" s="7" t="inlineStr">
        <is>
          <t>H54</t>
        </is>
      </c>
      <c r="B59" s="7" t="inlineStr">
        <is>
          <t>Eksik kuyruk özet</t>
        </is>
      </c>
      <c r="C59" s="24">
        <f>_xlfn.TEXTJOIN(" | ",TRUE,"Eksik",C52,"Kritik",C53,"Tam",C54,"Yetim",C55)</f>
        <v/>
      </c>
    </row>
    <row r="60">
      <c r="A60" s="7" t="inlineStr">
        <is>
          <t>H55</t>
        </is>
      </c>
      <c r="B60" s="7" t="inlineStr">
        <is>
          <t>Kanıt özeti</t>
        </is>
      </c>
      <c r="C60" s="24">
        <f>_xlfn.TEXTJOIN(" | ",TRUE,"Açık",C19,"Yetim",C22,"Zincir",C24,"Geciken",C31,"Eksik",C52,"Kritik",C53)</f>
        <v/>
      </c>
    </row>
    <row r="61"/>
    <row r="62"/>
    <row r="63"/>
    <row r="64">
      <c r="A64" s="30" t="inlineStr">
        <is>
          <t>Senaryo</t>
        </is>
      </c>
      <c r="B64" s="30" t="inlineStr">
        <is>
          <t>Çarpan</t>
        </is>
      </c>
      <c r="C64" s="30" t="inlineStr">
        <is>
          <t>Sonuç</t>
        </is>
      </c>
    </row>
    <row r="65">
      <c r="A65" s="7" t="inlineStr">
        <is>
          <t>Temkinli</t>
        </is>
      </c>
      <c r="B65" s="39">
        <f>ytk_senaryoTemkinli*IF(COUNTA(tblAkis[IslemId])&gt;=0,1,1)</f>
        <v/>
      </c>
      <c r="C65" s="21">
        <f>C34</f>
        <v/>
      </c>
    </row>
    <row r="66">
      <c r="A66" s="7" t="inlineStr">
        <is>
          <t>Baz</t>
        </is>
      </c>
      <c r="B66" s="39">
        <f>ytk_senaryoBaz*IF(COUNTA(tblAkis[IslemId])&gt;=0,1,1)</f>
        <v/>
      </c>
      <c r="C66" s="21">
        <f>C35</f>
        <v/>
      </c>
    </row>
    <row r="67">
      <c r="A67" s="7" t="inlineStr">
        <is>
          <t>İyimser</t>
        </is>
      </c>
      <c r="B67" s="39">
        <f>ytk_senaryoIyimser*IF(COUNTA(tblAkis[IslemId])&gt;=0,1,1)</f>
        <v/>
      </c>
      <c r="C67" s="21">
        <f>C36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3">
      <formula>0</formula>
    </cfRule>
    <cfRule type="cellIs" priority="96" operator="lessThan" dxfId="2">
      <formula>0</formula>
    </cfRule>
  </conditionalFormatting>
  <conditionalFormatting sqref="C54">
    <cfRule type="cellIs" priority="97" operator="greaterThan" dxfId="3">
      <formula>0</formula>
    </cfRule>
    <cfRule type="cellIs" priority="98" operator="lessThan" dxfId="2">
      <formula>0</formula>
    </cfRule>
  </conditionalFormatting>
  <conditionalFormatting sqref="C55">
    <cfRule type="cellIs" priority="99" operator="greaterThan" dxfId="3">
      <formula>0</formula>
    </cfRule>
    <cfRule type="cellIs" priority="100" operator="lessThan" dxfId="2">
      <formula>0</formula>
    </cfRule>
  </conditionalFormatting>
  <conditionalFormatting sqref="C56">
    <cfRule type="cellIs" priority="101" operator="greaterThan" dxfId="3">
      <formula>0</formula>
    </cfRule>
    <cfRule type="cellIs" priority="102" operator="lessThan" dxfId="2">
      <formula>0</formula>
    </cfRule>
  </conditionalFormatting>
  <conditionalFormatting sqref="C57">
    <cfRule type="cellIs" priority="103" operator="greaterThan" dxfId="3">
      <formula>0</formula>
    </cfRule>
    <cfRule type="cellIs" priority="104" operator="lessThan" dxfId="2">
      <formula>0</formula>
    </cfRule>
  </conditionalFormatting>
  <conditionalFormatting sqref="C58">
    <cfRule type="cellIs" priority="105" operator="greaterThan" dxfId="3">
      <formula>0</formula>
    </cfRule>
    <cfRule type="cellIs" priority="106" operator="lessThan" dxfId="2">
      <formula>0</formula>
    </cfRule>
  </conditionalFormatting>
  <conditionalFormatting sqref="C59">
    <cfRule type="cellIs" priority="107" operator="greaterThan" dxfId="3">
      <formula>0</formula>
    </cfRule>
    <cfRule type="cellIs" priority="108" operator="lessThan" dxfId="2">
      <formula>0</formula>
    </cfRule>
  </conditionalFormatting>
  <conditionalFormatting sqref="C60">
    <cfRule type="cellIs" priority="109" operator="greaterThan" dxfId="3">
      <formula>0</formula>
    </cfRule>
    <cfRule type="cellIs" priority="110" operator="lessThan" dxfId="2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A365D"/>
    <outlinePr summaryBelow="1" summaryRight="1"/>
    <pageSetUpPr fitToPage="1"/>
  </sheetPr>
  <dimension ref="A1:I28"/>
  <sheetViews>
    <sheetView showGridLines="0" workbookViewId="0">
      <selection activeCell="A1" sqref="A1"/>
    </sheetView>
  </sheetViews>
  <sheetFormatPr baseColWidth="8" defaultRowHeight="15"/>
  <cols>
    <col width="192.5" customWidth="1" min="1" max="1"/>
    <col width="40" customWidth="1" min="2" max="2"/>
    <col width="14" customWidth="1" min="3" max="3"/>
    <col width="12" customWidth="1" min="4" max="4"/>
    <col width="17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RAPOR — YMM Tasdik Kontrol Robotu</t>
        </is>
      </c>
    </row>
    <row r="2"/>
    <row r="3" ht="22" customHeight="1">
      <c r="A3" s="201" t="inlineStr">
        <is>
          <t>YMM Tasdik Kontrol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6"/>
    <row r="7">
      <c r="A7" s="24" t="inlineStr">
        <is>
          <t>KARAR</t>
        </is>
      </c>
      <c r="B7" s="41">
        <f>PANO!B4</f>
        <v/>
      </c>
    </row>
    <row r="8"/>
    <row r="9">
      <c r="A9" s="7" t="inlineStr">
        <is>
          <t>Açık Kuyruk</t>
        </is>
      </c>
      <c r="B9" s="31">
        <f>ytk_acikAdet</f>
        <v/>
      </c>
    </row>
    <row r="10">
      <c r="A10" s="7" t="inlineStr">
        <is>
          <t>Açık Tutar</t>
        </is>
      </c>
      <c r="B10" s="36">
        <f>ytk_acikTutar</f>
        <v/>
      </c>
    </row>
    <row r="11">
      <c r="A11" s="7" t="inlineStr">
        <is>
          <t>Gecikme Maliyeti</t>
        </is>
      </c>
      <c r="B11" s="36">
        <f>ytk_gecikmeMaliyeti</f>
        <v/>
      </c>
    </row>
    <row r="12">
      <c r="A12" s="7" t="inlineStr">
        <is>
          <t>Yetim</t>
        </is>
      </c>
      <c r="B12" s="31">
        <f>ytk_yetimKayit</f>
        <v/>
      </c>
    </row>
    <row r="13">
      <c r="A13" s="7" t="inlineStr">
        <is>
          <t>Geçersiz Geçiş</t>
        </is>
      </c>
      <c r="B13" s="31">
        <f>ytk_gecersizGecis</f>
        <v/>
      </c>
    </row>
    <row r="14">
      <c r="A14" s="7" t="inlineStr">
        <is>
          <t>Zincir Kırık</t>
        </is>
      </c>
      <c r="B14" s="31">
        <f>ytk_zincirKirik</f>
        <v/>
      </c>
    </row>
    <row r="15">
      <c r="A15" s="7" t="inlineStr">
        <is>
          <t>Tahmin Aralık</t>
        </is>
      </c>
      <c r="B15" s="36">
        <f>ytk_tahminAralik</f>
        <v/>
      </c>
    </row>
    <row r="16">
      <c r="A16" s="7" t="inlineStr">
        <is>
          <t>Eksik Kuyruk</t>
        </is>
      </c>
      <c r="B16" s="24">
        <f>ytk_eksikKuyruk</f>
        <v/>
      </c>
    </row>
    <row r="17">
      <c r="A17" s="7" t="inlineStr">
        <is>
          <t>Kritik Eksik</t>
        </is>
      </c>
      <c r="B17" s="31">
        <f>ytk_kritikEksik</f>
        <v/>
      </c>
    </row>
    <row r="18">
      <c r="A18" s="7" t="inlineStr">
        <is>
          <t>Kanıt Özeti</t>
        </is>
      </c>
      <c r="B18" s="24">
        <f>ytk_kanitRaporu</f>
        <v/>
      </c>
    </row>
    <row r="19"/>
    <row r="20">
      <c r="A20" s="16" t="inlineStr">
        <is>
          <t>Varsayımlar</t>
        </is>
      </c>
    </row>
    <row r="21">
      <c r="A21" s="8" t="inlineStr">
        <is>
          <t>Durum haritası AYARLAR'dadır. Geçersiz geçiş engellenmez, görünür kılınır. Eksik belge kuyruğu KONTROL_LISTE'den türetilir. Bu çıktı karar destektir; kesin mali/hukuki görüş yerine geçmez.</t>
        </is>
      </c>
    </row>
    <row r="22"/>
    <row r="23">
      <c r="A23" s="16" t="inlineStr">
        <is>
          <t>Önerilen Aksiyonlar</t>
        </is>
      </c>
    </row>
    <row r="24">
      <c r="A24" s="7" t="inlineStr">
        <is>
          <t>1. Yetim kayıtları KARTLAR'a bağlayın veya satırı düzeltin.</t>
        </is>
      </c>
    </row>
    <row r="25">
      <c r="A25" s="7" t="inlineStr">
        <is>
          <t>2. Geçersiz geçişleri durum haritasına uygun ilerletin.</t>
        </is>
      </c>
    </row>
    <row r="26">
      <c r="A26" s="7" t="inlineStr">
        <is>
          <t>3. Kritik eksik belgeleri kapatın; eksik kuyruğu yaş kovalarına göre önceliklendirin.</t>
        </is>
      </c>
    </row>
    <row r="27"/>
    <row r="28">
      <c r="A28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1:H21"/>
    <mergeCell ref="A3:I3"/>
  </mergeCells>
  <conditionalFormatting sqref="B7">
    <cfRule type="cellIs" priority="1" operator="equal" dxfId="0">
      <formula>"TASDIK"</formula>
    </cfRule>
    <cfRule type="cellIs" priority="2" operator="equal" dxfId="1">
      <formula>"EKSİK"</formula>
    </cfRule>
    <cfRule type="cellIs" priority="3" operator="equal" dxfId="2">
      <formula>"DURDUR"</formula>
    </cfRule>
    <cfRule type="cellIs" priority="4" operator="equal" dxfId="2">
      <formula>"VERİ YOK"</formula>
    </cfRule>
  </conditionalFormatting>
  <conditionalFormatting sqref="B9">
    <cfRule type="cellIs" priority="5" operator="greaterThan" dxfId="3">
      <formula>0</formula>
    </cfRule>
  </conditionalFormatting>
  <conditionalFormatting sqref="B10">
    <cfRule type="cellIs" priority="6" operator="greaterThan" dxfId="3">
      <formula>0</formula>
    </cfRule>
  </conditionalFormatting>
  <conditionalFormatting sqref="B11">
    <cfRule type="cellIs" priority="7" operator="greaterThan" dxfId="3">
      <formula>0</formula>
    </cfRule>
  </conditionalFormatting>
  <conditionalFormatting sqref="B12">
    <cfRule type="cellIs" priority="8" operator="greaterThan" dxfId="3">
      <formula>0</formula>
    </cfRule>
  </conditionalFormatting>
  <conditionalFormatting sqref="B13">
    <cfRule type="cellIs" priority="9" operator="greaterThan" dxfId="3">
      <formula>0</formula>
    </cfRule>
  </conditionalFormatting>
  <conditionalFormatting sqref="B14">
    <cfRule type="cellIs" priority="10" operator="greaterThan" dxfId="3">
      <formula>0</formula>
    </cfRule>
  </conditionalFormatting>
  <conditionalFormatting sqref="B15">
    <cfRule type="cellIs" priority="11" operator="greaterThan" dxfId="3">
      <formula>0</formula>
    </cfRule>
  </conditionalFormatting>
  <conditionalFormatting sqref="B16">
    <cfRule type="cellIs" priority="12" operator="greaterThan" dxfId="3">
      <formula>0</formula>
    </cfRule>
  </conditionalFormatting>
  <conditionalFormatting sqref="B17">
    <cfRule type="cellIs" priority="13" operator="greaterThan" dxfId="3">
      <formula>0</formula>
    </cfRule>
  </conditionalFormatting>
  <conditionalFormatting sqref="B18">
    <cfRule type="cellIs" priority="14" operator="greaterThan" dxfId="3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5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6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&amp;LYMM Tasdik Kontrol Robotu | Kanıt&amp;CExcelArşiv&amp;RSayfa &amp;P / &amp;N</oddFooter>
    <evenHeader/>
    <evenFooter>&amp;LYMM Tasdik Kontrol Robotu | Kanıt&amp;CExcelArşiv&amp;RSayfa &amp;P / &amp;N</evenFooter>
    <firstHeader/>
    <firstFooter/>
  </headerFooter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KONTROLLER — YMM Tasdik Kontrol Robotu</t>
        </is>
      </c>
    </row>
    <row r="2"/>
    <row r="3" ht="22" customHeight="1">
      <c r="A3" s="203" t="inlineStr">
        <is>
          <t>Canlı Kontrol Paneli</t>
        </is>
      </c>
    </row>
    <row r="4"/>
    <row r="5">
      <c r="A5" s="7" t="inlineStr">
        <is>
          <t>İşlem sayısı</t>
        </is>
      </c>
      <c r="B5" s="31">
        <f>COUNTA(tblAkis[IslemId])</f>
        <v/>
      </c>
    </row>
    <row r="6">
      <c r="A6" s="7" t="inlineStr">
        <is>
          <t>Kart sayısı</t>
        </is>
      </c>
      <c r="B6" s="31">
        <f>COUNTA(tblKartlar[KartId])</f>
        <v/>
      </c>
    </row>
    <row r="7">
      <c r="A7" s="7" t="inlineStr">
        <is>
          <t>Taslak</t>
        </is>
      </c>
      <c r="B7" s="31">
        <f>COUNTIF(tblAkis[Durum],"TASLAK")</f>
        <v/>
      </c>
    </row>
    <row r="8">
      <c r="A8" s="7" t="inlineStr">
        <is>
          <t>İnceleme</t>
        </is>
      </c>
      <c r="B8" s="31">
        <f>COUNTIF(tblAkis[Durum],"INCELEME")</f>
        <v/>
      </c>
    </row>
    <row r="9">
      <c r="A9" s="7" t="inlineStr">
        <is>
          <t>Eksik</t>
        </is>
      </c>
      <c r="B9" s="31">
        <f>COUNTIF(tblAkis[Durum],"EKSIK")</f>
        <v/>
      </c>
    </row>
    <row r="10">
      <c r="A10" s="7" t="inlineStr">
        <is>
          <t>Tasdik</t>
        </is>
      </c>
      <c r="B10" s="31">
        <f>COUNTIF(tblAkis[Durum],"TASDIK")</f>
        <v/>
      </c>
    </row>
    <row r="11">
      <c r="A11" s="7" t="inlineStr">
        <is>
          <t>Durdur</t>
        </is>
      </c>
      <c r="B11" s="31">
        <f>COUNTIF(tblAkis[Durum],"DURDUR")</f>
        <v/>
      </c>
    </row>
    <row r="12">
      <c r="A12" s="7" t="inlineStr">
        <is>
          <t>Yetim</t>
        </is>
      </c>
      <c r="B12" s="31">
        <f>ytk_yetimKayit</f>
        <v/>
      </c>
    </row>
    <row r="13">
      <c r="A13" s="7" t="inlineStr">
        <is>
          <t>Geçersiz</t>
        </is>
      </c>
      <c r="B13" s="31">
        <f>ytk_gecersizGecis</f>
        <v/>
      </c>
    </row>
    <row r="14">
      <c r="A14" s="7" t="inlineStr">
        <is>
          <t>Zincir kırık</t>
        </is>
      </c>
      <c r="B14" s="31">
        <f>ytk_zincirKirik</f>
        <v/>
      </c>
    </row>
    <row r="15">
      <c r="A15" s="7" t="inlineStr">
        <is>
          <t>Boş karar yolu</t>
        </is>
      </c>
      <c r="B15" s="24">
        <f>IF(B5=0,"VERİ YOK","VERİ VAR")</f>
        <v/>
      </c>
    </row>
    <row r="16">
      <c r="A16" s="7" t="inlineStr">
        <is>
          <t>Kalite skoru</t>
        </is>
      </c>
      <c r="B16" s="31">
        <f>HESAP!C49</f>
        <v/>
      </c>
    </row>
    <row r="17">
      <c r="A17" s="7" t="inlineStr">
        <is>
          <t>Açık tutar</t>
        </is>
      </c>
      <c r="B17" s="36">
        <f>ytk_acikTutar</f>
        <v/>
      </c>
    </row>
    <row r="18">
      <c r="A18" s="7" t="inlineStr">
        <is>
          <t>Gecikme maliyeti</t>
        </is>
      </c>
      <c r="B18" s="36">
        <f>ytk_gecikmeMaliyeti</f>
        <v/>
      </c>
    </row>
    <row r="19">
      <c r="A19" s="7" t="inlineStr">
        <is>
          <t>Kapalı düşüm</t>
        </is>
      </c>
      <c r="B19" s="31">
        <f>ytk_kapaliDusum</f>
        <v/>
      </c>
    </row>
    <row r="20">
      <c r="A20" s="7" t="inlineStr">
        <is>
          <t>Eksik belge</t>
        </is>
      </c>
      <c r="B20" s="31">
        <f>ytk_eksikAdet</f>
        <v/>
      </c>
    </row>
    <row r="21">
      <c r="A21" s="7" t="inlineStr">
        <is>
          <t>Kritik eksik</t>
        </is>
      </c>
      <c r="B21" s="31">
        <f>ytk_kritikEksik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5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6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0AD47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ORNEK VERI — YMM Tasdik Kontrol Robotu</t>
        </is>
      </c>
    </row>
    <row r="2"/>
    <row r="3" ht="22" customHeight="1">
      <c r="A3" s="203" t="inlineStr">
        <is>
          <t>Örnek Senaryo Açıklaması</t>
        </is>
      </c>
    </row>
    <row r="4">
      <c r="A4" s="8" t="inlineStr">
        <is>
          <t>Dosyada 8 kart, 24 kontrol ve 28 akış satırı vardır. Yetim (22, 25), geçersiz geçiş (18, 20) ve zincir kırık (12, 19) kasıtlıdır. Eksik belge kuyruğu KONTROL_LISTE'den türetilir. KARTLAR, AKIS ve KONTROL_LISTE'yi temizleyip kendi verinizi girebilirsiniz.</t>
        </is>
      </c>
    </row>
    <row r="5"/>
    <row r="6">
      <c r="A6" s="7" t="inlineStr">
        <is>
          <t>Örnek özet (bilgi)</t>
        </is>
      </c>
    </row>
    <row r="7">
      <c r="A7" s="7" t="inlineStr">
        <is>
          <t>Durumlar: Taslak/İnceleme/Eksik/Tasdik/Durdur — kapalılar kuyruktan düşer</t>
        </is>
      </c>
    </row>
    <row r="8"/>
    <row r="9">
      <c r="A9" s="7" t="inlineStr">
        <is>
          <t>Ölçek sözleşmesi</t>
        </is>
      </c>
      <c r="B9" s="20" t="n">
        <v>5000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4:H4"/>
    <mergeCell ref="A3:I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A365D"/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3" customWidth="1" min="4" max="4"/>
    <col width="12" customWidth="1" min="5" max="5"/>
    <col width="13" customWidth="1" min="6" max="6"/>
    <col width="14" customWidth="1" min="7" max="7"/>
    <col width="13" customWidth="1" min="8" max="8"/>
    <col width="12" customWidth="1" min="9" max="9"/>
    <col width="13" customWidth="1" min="10" max="10"/>
    <col width="14" customWidth="1" min="11" max="11"/>
  </cols>
  <sheetData>
    <row r="1" ht="32" customHeight="1">
      <c r="A1" s="182" t="inlineStr">
        <is>
          <t>LISTELER — YMM Tasdik Kontrol Robotu</t>
        </is>
      </c>
    </row>
    <row r="2"/>
    <row r="3">
      <c r="A3" s="16" t="inlineStr">
        <is>
          <t>Durum Listesi</t>
        </is>
      </c>
      <c r="C3" s="16" t="inlineStr">
        <is>
          <t>İzinli Geçişler</t>
        </is>
      </c>
      <c r="E3" s="24" t="inlineStr">
        <is>
          <t>Evet / Hayır</t>
        </is>
      </c>
      <c r="G3" s="24" t="inlineStr">
        <is>
          <t>Zorunluluk</t>
        </is>
      </c>
      <c r="I3" s="24" t="inlineStr">
        <is>
          <t>Belge Durum</t>
        </is>
      </c>
      <c r="K3" s="24" t="inlineStr">
        <is>
          <t>Kart Kimlik</t>
        </is>
      </c>
    </row>
    <row r="4"/>
    <row r="5"/>
    <row r="6">
      <c r="A6" s="30" t="inlineStr">
        <is>
          <t>DurumId</t>
        </is>
      </c>
      <c r="C6" s="30" t="inlineStr">
        <is>
          <t>Gecis</t>
        </is>
      </c>
      <c r="E6" s="30" t="inlineStr">
        <is>
          <t>Secim</t>
        </is>
      </c>
      <c r="G6" s="30" t="inlineStr">
        <is>
          <t>Tip</t>
        </is>
      </c>
      <c r="I6" s="30" t="inlineStr">
        <is>
          <t>Durum</t>
        </is>
      </c>
      <c r="K6" s="30" t="inlineStr">
        <is>
          <t>KartId</t>
        </is>
      </c>
    </row>
    <row r="7">
      <c r="A7" s="26" t="inlineStr">
        <is>
          <t>TASLAK</t>
        </is>
      </c>
      <c r="C7" s="26" t="inlineStr">
        <is>
          <t>TASLAK|INCELEME</t>
        </is>
      </c>
      <c r="E7" s="26" t="inlineStr">
        <is>
          <t>EVET</t>
        </is>
      </c>
      <c r="G7" s="26" t="inlineStr">
        <is>
          <t>KRITIK</t>
        </is>
      </c>
      <c r="I7" s="26" t="inlineStr">
        <is>
          <t>VAR</t>
        </is>
      </c>
      <c r="K7" s="26" t="inlineStr">
        <is>
          <t>MUK-00001</t>
        </is>
      </c>
    </row>
    <row r="8">
      <c r="A8" s="26" t="inlineStr">
        <is>
          <t>INCELEME</t>
        </is>
      </c>
      <c r="C8" s="26" t="inlineStr">
        <is>
          <t>INCELEME|EKSIK</t>
        </is>
      </c>
      <c r="E8" s="26" t="inlineStr">
        <is>
          <t>HAYIR</t>
        </is>
      </c>
      <c r="G8" s="26" t="inlineStr">
        <is>
          <t>ZORUNLU</t>
        </is>
      </c>
      <c r="I8" s="26" t="inlineStr">
        <is>
          <t>YOK</t>
        </is>
      </c>
      <c r="K8" s="26" t="inlineStr">
        <is>
          <t>MUK-00002</t>
        </is>
      </c>
    </row>
    <row r="9">
      <c r="A9" s="26" t="inlineStr">
        <is>
          <t>EKSIK</t>
        </is>
      </c>
      <c r="C9" s="26" t="inlineStr">
        <is>
          <t>INCELEME|TASDIK</t>
        </is>
      </c>
      <c r="G9" s="26" t="inlineStr">
        <is>
          <t>OPSIYONEL</t>
        </is>
      </c>
      <c r="K9" s="26" t="inlineStr">
        <is>
          <t>MUK-00003</t>
        </is>
      </c>
    </row>
    <row r="10">
      <c r="A10" s="26" t="inlineStr">
        <is>
          <t>TASDIK</t>
        </is>
      </c>
      <c r="C10" s="26" t="inlineStr">
        <is>
          <t>INCELEME|DURDUR</t>
        </is>
      </c>
      <c r="K10" s="26" t="inlineStr">
        <is>
          <t>MUK-00004</t>
        </is>
      </c>
    </row>
    <row r="11">
      <c r="A11" s="26" t="inlineStr">
        <is>
          <t>DURDUR</t>
        </is>
      </c>
      <c r="C11" s="26" t="inlineStr">
        <is>
          <t>EKSIK|INCELEME</t>
        </is>
      </c>
      <c r="K11" s="26" t="inlineStr">
        <is>
          <t>MUK-00005</t>
        </is>
      </c>
    </row>
    <row r="12">
      <c r="C12" s="26" t="inlineStr">
        <is>
          <t>EKSIK|DURDUR</t>
        </is>
      </c>
      <c r="K12" s="26" t="inlineStr">
        <is>
          <t>MUK-00006</t>
        </is>
      </c>
    </row>
    <row r="13">
      <c r="K13" s="26" t="inlineStr">
        <is>
          <t>MUK-00007</t>
        </is>
      </c>
    </row>
    <row r="14">
      <c r="K14" s="26" t="inlineStr">
        <is>
          <t>MUK-00008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11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2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1A365D"/>
    <outlinePr summaryBelow="1" summaryRight="1"/>
    <pageSetUpPr/>
  </sheetPr>
  <dimension ref="A1:L72"/>
  <sheetViews>
    <sheetView showGridLines="0" workbookViewId="0">
      <selection activeCell="A1" sqref="A1"/>
    </sheetView>
  </sheetViews>
  <sheetFormatPr baseColWidth="8" defaultRowHeight="15"/>
  <cols>
    <col width="25.5" customWidth="1" min="1" max="1"/>
    <col width="35.5" customWidth="1" min="2" max="2"/>
    <col width="10" customWidth="1" min="3" max="3"/>
    <col width="30.5" customWidth="1" min="4" max="4"/>
    <col width="19.5" customWidth="1" min="5" max="5"/>
    <col width="33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182" t="inlineStr">
        <is>
          <t>AYARLAR — YMM Tasdik Kontrol Robotu</t>
        </is>
      </c>
    </row>
    <row r="2"/>
    <row r="3" ht="22" customHeight="1">
      <c r="A3" s="202" t="inlineStr">
        <is>
          <t>Tek kaynak parametreler + durum haritası (A01/A06)</t>
        </is>
      </c>
    </row>
    <row r="4"/>
    <row r="5" ht="30" customHeight="1">
      <c r="A5" s="25" t="inlineStr">
        <is>
          <t>anahtar</t>
        </is>
      </c>
      <c r="B5" s="25" t="inlineStr">
        <is>
          <t>deger</t>
        </is>
      </c>
      <c r="C5" s="25" t="inlineStr">
        <is>
          <t>birim</t>
        </is>
      </c>
      <c r="D5" s="25" t="inlineStr">
        <is>
          <t>kaynak</t>
        </is>
      </c>
      <c r="E5" s="25" t="inlineStr">
        <is>
          <t>yururluk_tarihi</t>
        </is>
      </c>
      <c r="F5" s="25" t="inlineStr">
        <is>
          <t>aciklama</t>
        </is>
      </c>
    </row>
    <row r="6">
      <c r="A6" s="7" t="inlineStr">
        <is>
          <t>raporTarihi</t>
        </is>
      </c>
      <c r="B6" s="29" t="n">
        <v>46248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27" t="n">
        <v>1000</v>
      </c>
      <c r="C7" s="7" t="inlineStr">
        <is>
          <t>TL</t>
        </is>
      </c>
      <c r="D7" s="7" t="inlineStr">
        <is>
          <t>İş kuralı — zincir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ytk_esikGecikmeGun</t>
        </is>
      </c>
      <c r="B8" s="43" t="n">
        <v>30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ytk_esikGeciken</t>
        </is>
      </c>
      <c r="B9" s="43" t="n">
        <v>5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geciken</t>
        </is>
      </c>
    </row>
    <row r="10">
      <c r="A10" s="7" t="inlineStr">
        <is>
          <t>ytk_gecikmeOranGun</t>
        </is>
      </c>
      <c r="B10" s="44" t="n">
        <v>0.0005</v>
      </c>
      <c r="C10" s="7" t="inlineStr">
        <is>
          <t>oran</t>
        </is>
      </c>
      <c r="D10" s="7" t="inlineStr">
        <is>
          <t>Finans varsayımı</t>
        </is>
      </c>
      <c r="E10" s="7" t="inlineStr">
        <is>
          <t>01.01.2026</t>
        </is>
      </c>
      <c r="F10" s="8" t="inlineStr">
        <is>
          <t>Günlük gecikme maliyeti oranı</t>
        </is>
      </c>
    </row>
    <row r="11">
      <c r="A11" s="7" t="inlineStr">
        <is>
          <t>ytk_senaryoTemkinli</t>
        </is>
      </c>
      <c r="B11" s="44" t="n">
        <v>0.85</v>
      </c>
      <c r="C11" s="7" t="inlineStr">
        <is>
          <t>oran</t>
        </is>
      </c>
      <c r="D11" s="7" t="inlineStr">
        <is>
          <t>Senaryo motoru</t>
        </is>
      </c>
      <c r="E11" s="7" t="inlineStr">
        <is>
          <t>01.01.2026</t>
        </is>
      </c>
      <c r="F11" s="8" t="inlineStr">
        <is>
          <t>Temkinli çarpan</t>
        </is>
      </c>
    </row>
    <row r="12">
      <c r="A12" s="7" t="inlineStr">
        <is>
          <t>ytk_senaryoBaz</t>
        </is>
      </c>
      <c r="B12" s="44" t="n">
        <v>1</v>
      </c>
      <c r="C12" s="7" t="inlineStr">
        <is>
          <t>oran</t>
        </is>
      </c>
      <c r="D12" s="7" t="inlineStr">
        <is>
          <t>Senaryo motoru</t>
        </is>
      </c>
      <c r="E12" s="7" t="inlineStr">
        <is>
          <t>01.01.2026</t>
        </is>
      </c>
      <c r="F12" s="8" t="inlineStr">
        <is>
          <t>Baz çarpan</t>
        </is>
      </c>
    </row>
    <row r="13">
      <c r="A13" s="7" t="inlineStr">
        <is>
          <t>ytk_senaryoIyimser</t>
        </is>
      </c>
      <c r="B13" s="43" t="n">
        <v>1.15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İyimser çarpan</t>
        </is>
      </c>
    </row>
    <row r="14">
      <c r="A14" s="7" t="inlineStr">
        <is>
          <t>ytk_tornadoOran</t>
        </is>
      </c>
      <c r="B14" s="44" t="n">
        <v>0.08</v>
      </c>
      <c r="C14" s="7" t="inlineStr">
        <is>
          <t>oran</t>
        </is>
      </c>
      <c r="D14" s="7" t="inlineStr">
        <is>
          <t>Duyarlılık</t>
        </is>
      </c>
      <c r="E14" s="7" t="inlineStr">
        <is>
          <t>01.01.2026</t>
        </is>
      </c>
      <c r="F14" s="8" t="inlineStr">
        <is>
          <t>Tornado etki oranı</t>
        </is>
      </c>
    </row>
    <row r="15">
      <c r="A15" s="7" t="inlineStr">
        <is>
          <t>ytk_yuzdelikOran</t>
        </is>
      </c>
      <c r="B15" s="44" t="n">
        <v>0.9</v>
      </c>
      <c r="C15" s="7" t="inlineStr">
        <is>
          <t>oran</t>
        </is>
      </c>
      <c r="D15" s="7" t="inlineStr">
        <is>
          <t>İstatistik kuralı</t>
        </is>
      </c>
      <c r="E15" s="7" t="inlineStr">
        <is>
          <t>01.01.2026</t>
        </is>
      </c>
      <c r="F15" s="8" t="inlineStr">
        <is>
          <t>PERCENTILE oranı</t>
        </is>
      </c>
    </row>
    <row r="16">
      <c r="A16" s="7" t="inlineStr">
        <is>
          <t>ytk_olcekHedef</t>
        </is>
      </c>
      <c r="B16" s="43" t="n">
        <v>5000</v>
      </c>
      <c r="C16" s="7" t="inlineStr">
        <is>
          <t>satir</t>
        </is>
      </c>
      <c r="D16" s="7" t="inlineStr">
        <is>
          <t>Manda A4 Ö1</t>
        </is>
      </c>
      <c r="E16" s="7" t="inlineStr">
        <is>
          <t>01.01.2026</t>
        </is>
      </c>
      <c r="F16" s="8" t="inlineStr">
        <is>
          <t>Ölçek sözleşmesi</t>
        </is>
      </c>
    </row>
    <row r="17">
      <c r="A17" s="7" t="inlineStr">
        <is>
          <t>ytk_azamiTutar</t>
        </is>
      </c>
      <c r="B17" s="27" t="n">
        <v>50000000</v>
      </c>
      <c r="C17" s="7" t="inlineStr">
        <is>
          <t>TL</t>
        </is>
      </c>
      <c r="D17" s="7" t="inlineStr">
        <is>
          <t>İç politika — uç değer</t>
        </is>
      </c>
      <c r="E17" s="7" t="inlineStr">
        <is>
          <t>01.01.2026</t>
        </is>
      </c>
      <c r="F17" s="8" t="inlineStr">
        <is>
          <t>Azami makul</t>
        </is>
      </c>
    </row>
    <row r="18">
      <c r="A18" s="7" t="inlineStr">
        <is>
          <t>ytk_eksikEsik</t>
        </is>
      </c>
      <c r="B18" s="43" t="n">
        <v>1</v>
      </c>
      <c r="C18" s="7" t="inlineStr">
        <is>
          <t>adet</t>
        </is>
      </c>
      <c r="D18" s="7" t="inlineStr">
        <is>
          <t>Eksik belge eşiği</t>
        </is>
      </c>
      <c r="E18" s="7" t="inlineStr">
        <is>
          <t>01.01.2026</t>
        </is>
      </c>
      <c r="F18" s="8" t="inlineStr">
        <is>
          <t>EKSİK karar eşiği</t>
        </is>
      </c>
    </row>
    <row r="19">
      <c r="A19" s="7" t="inlineStr">
        <is>
          <t>ytk_durumHaritasi</t>
        </is>
      </c>
      <c r="B19" s="26" t="inlineStr">
        <is>
          <t>AYARLAR durum tablosu</t>
        </is>
      </c>
      <c r="C19" s="7" t="inlineStr">
        <is>
          <t>metin</t>
        </is>
      </c>
      <c r="D19" s="7" t="inlineStr">
        <is>
          <t>SPEC akis.durum_haritasi</t>
        </is>
      </c>
      <c r="E19" s="7" t="inlineStr">
        <is>
          <t>01.01.2026</t>
        </is>
      </c>
      <c r="F19" s="8" t="inlineStr">
        <is>
          <t>Durum makinesi kaynağı</t>
        </is>
      </c>
    </row>
    <row r="20">
      <c r="A20" s="7" t="inlineStr">
        <is>
          <t>ytk_kuyrukOzeti_metin</t>
        </is>
      </c>
      <c r="B20" s="26" t="inlineStr">
        <is>
          <t>KUYRUKLAR canlı özet</t>
        </is>
      </c>
      <c r="C20" s="7" t="inlineStr">
        <is>
          <t>metin</t>
        </is>
      </c>
      <c r="D20" s="7" t="inlineStr">
        <is>
          <t>A05 kuyruk</t>
        </is>
      </c>
      <c r="E20" s="7" t="inlineStr">
        <is>
          <t>01.01.2026</t>
        </is>
      </c>
      <c r="F20" s="8" t="inlineStr">
        <is>
          <t>Kuyruk görünümü</t>
        </is>
      </c>
    </row>
    <row r="21">
      <c r="A21" s="7" t="inlineStr">
        <is>
          <t>ytk_kapaliDusum_metin</t>
        </is>
      </c>
      <c r="B21" s="26" t="inlineStr">
        <is>
          <t>kapali kategori kuyruktan düşer</t>
        </is>
      </c>
      <c r="C21" s="7" t="inlineStr">
        <is>
          <t>metin</t>
        </is>
      </c>
      <c r="D21" s="7" t="inlineStr">
        <is>
          <t>A06</t>
        </is>
      </c>
      <c r="E21" s="7" t="inlineStr">
        <is>
          <t>01.01.2026</t>
        </is>
      </c>
      <c r="F21" s="8" t="inlineStr">
        <is>
          <t>Kapalı düşüm kuralı</t>
        </is>
      </c>
    </row>
    <row r="22">
      <c r="A22" s="7" t="inlineStr">
        <is>
          <t>ytk_kanitRaporu_metin</t>
        </is>
      </c>
      <c r="B22" s="26" t="inlineStr">
        <is>
          <t>RAPOR kanıt çıktısı</t>
        </is>
      </c>
      <c r="C22" s="7" t="inlineStr">
        <is>
          <t>metin</t>
        </is>
      </c>
      <c r="D22" s="7" t="inlineStr">
        <is>
          <t>Dönemsel rapor</t>
        </is>
      </c>
      <c r="E22" s="7" t="inlineStr">
        <is>
          <t>01.01.2026</t>
        </is>
      </c>
      <c r="F22" s="8" t="inlineStr">
        <is>
          <t>Kanıt raporu</t>
        </is>
      </c>
    </row>
    <row r="23">
      <c r="A23" s="7" t="inlineStr">
        <is>
          <t>ytk_dosyaSurumu</t>
        </is>
      </c>
      <c r="B23" s="26" t="inlineStr">
        <is>
          <t>1.0.0</t>
        </is>
      </c>
      <c r="C23" s="7" t="inlineStr">
        <is>
          <t>metin</t>
        </is>
      </c>
      <c r="D23" s="7" t="inlineStr">
        <is>
          <t>Sürüm yönetimi</t>
        </is>
      </c>
      <c r="E23" s="7" t="inlineStr">
        <is>
          <t>01.01.2026</t>
        </is>
      </c>
      <c r="F23" s="8" t="inlineStr">
        <is>
          <t>Ürün sürümü</t>
        </is>
      </c>
    </row>
    <row r="24">
      <c r="A24" s="7" t="inlineStr">
        <is>
          <t>ytk_ymmUnvan</t>
        </is>
      </c>
      <c r="B24" s="26" t="inlineStr">
        <is>
          <t>Örnek YMM</t>
        </is>
      </c>
      <c r="C24" s="7" t="inlineStr">
        <is>
          <t>metin</t>
        </is>
      </c>
      <c r="D24" s="7" t="inlineStr">
        <is>
          <t>Kullanıcı girişi</t>
        </is>
      </c>
      <c r="E24" s="7" t="inlineStr">
        <is>
          <t>01.01.2026</t>
        </is>
      </c>
      <c r="F24" s="8" t="inlineStr">
        <is>
          <t>YMM unvanı</t>
        </is>
      </c>
    </row>
    <row r="25"/>
    <row r="26"/>
    <row r="27"/>
    <row r="28">
      <c r="H28" s="5" t="inlineStr">
        <is>
          <t>Durum Haritası</t>
        </is>
      </c>
    </row>
    <row r="29" ht="30" customHeight="1">
      <c r="H29" s="25" t="inlineStr">
        <is>
          <t>durum_id</t>
        </is>
      </c>
      <c r="I29" s="25" t="inlineStr">
        <is>
          <t>durum_adi</t>
        </is>
      </c>
      <c r="J29" s="25" t="inlineStr">
        <is>
          <t>sira</t>
        </is>
      </c>
      <c r="K29" s="25" t="inlineStr">
        <is>
          <t>izinli_sonraki_durumlar</t>
        </is>
      </c>
      <c r="L29" s="25" t="inlineStr">
        <is>
          <t>kategori</t>
        </is>
      </c>
    </row>
    <row r="30">
      <c r="H30" s="7" t="inlineStr">
        <is>
          <t>TASLAK</t>
        </is>
      </c>
      <c r="I30" s="7" t="inlineStr">
        <is>
          <t>Taslak</t>
        </is>
      </c>
      <c r="J30" s="20" t="n">
        <v>1</v>
      </c>
      <c r="K30" s="7" t="inlineStr">
        <is>
          <t>INCELEME</t>
        </is>
      </c>
      <c r="L30" s="7" t="inlineStr">
        <is>
          <t>acik</t>
        </is>
      </c>
    </row>
    <row r="31">
      <c r="H31" s="7" t="inlineStr">
        <is>
          <t>INCELEME</t>
        </is>
      </c>
      <c r="I31" s="7" t="inlineStr">
        <is>
          <t>İnceleme</t>
        </is>
      </c>
      <c r="J31" s="20" t="n">
        <v>2</v>
      </c>
      <c r="K31" s="7" t="inlineStr">
        <is>
          <t>EKSIK|TASDIK|DURDUR</t>
        </is>
      </c>
      <c r="L31" s="7" t="inlineStr">
        <is>
          <t>acik</t>
        </is>
      </c>
    </row>
    <row r="32">
      <c r="H32" s="7" t="inlineStr">
        <is>
          <t>EKSIK</t>
        </is>
      </c>
      <c r="I32" s="7" t="inlineStr">
        <is>
          <t>Eksik belge</t>
        </is>
      </c>
      <c r="J32" s="20" t="n">
        <v>3</v>
      </c>
      <c r="K32" s="7" t="inlineStr">
        <is>
          <t>INCELEME|DURDUR</t>
        </is>
      </c>
      <c r="L32" s="7" t="inlineStr">
        <is>
          <t>acik</t>
        </is>
      </c>
    </row>
    <row r="33">
      <c r="H33" s="7" t="inlineStr">
        <is>
          <t>TASDIK</t>
        </is>
      </c>
      <c r="I33" s="7" t="inlineStr">
        <is>
          <t>Tasdik</t>
        </is>
      </c>
      <c r="J33" s="20" t="n">
        <v>4</v>
      </c>
      <c r="K33" s="7" t="inlineStr"/>
      <c r="L33" s="7" t="inlineStr">
        <is>
          <t>kapali</t>
        </is>
      </c>
    </row>
    <row r="34">
      <c r="H34" s="7" t="inlineStr">
        <is>
          <t>DURDUR</t>
        </is>
      </c>
      <c r="I34" s="7" t="inlineStr">
        <is>
          <t>Durdur</t>
        </is>
      </c>
      <c r="J34" s="20" t="n">
        <v>5</v>
      </c>
      <c r="K34" s="7" t="inlineStr"/>
      <c r="L34" s="7" t="inlineStr">
        <is>
          <t>kapali</t>
        </is>
      </c>
    </row>
    <row r="35"/>
    <row r="36"/>
    <row r="37"/>
    <row r="38">
      <c r="H38" s="16" t="inlineStr">
        <is>
          <t>Motor Çıktıları</t>
        </is>
      </c>
    </row>
    <row r="39">
      <c r="H39" s="30" t="inlineStr">
        <is>
          <t>anahtar</t>
        </is>
      </c>
      <c r="I39" s="30" t="inlineStr">
        <is>
          <t>deger</t>
        </is>
      </c>
    </row>
    <row r="40">
      <c r="H40" s="7" t="inlineStr">
        <is>
          <t>ytk_acikAdet</t>
        </is>
      </c>
      <c r="I40" s="8">
        <f>HESAP!C19</f>
        <v/>
      </c>
    </row>
    <row r="41">
      <c r="H41" s="7" t="inlineStr">
        <is>
          <t>ytk_acikTutar</t>
        </is>
      </c>
      <c r="I41" s="8">
        <f>HESAP!C21</f>
        <v/>
      </c>
    </row>
    <row r="42">
      <c r="H42" s="7" t="inlineStr">
        <is>
          <t>ytk_gecikenAdet</t>
        </is>
      </c>
      <c r="I42" s="8">
        <f>HESAP!C31</f>
        <v/>
      </c>
    </row>
    <row r="43">
      <c r="H43" s="7" t="inlineStr">
        <is>
          <t>ytk_gecikmeMaliyeti</t>
        </is>
      </c>
      <c r="I43" s="8">
        <f>HESAP!C33</f>
        <v/>
      </c>
    </row>
    <row r="44">
      <c r="H44" s="7" t="inlineStr">
        <is>
          <t>ytk_yetimKayit</t>
        </is>
      </c>
      <c r="I44" s="8">
        <f>HESAP!C22</f>
        <v/>
      </c>
    </row>
    <row r="45">
      <c r="H45" s="7" t="inlineStr">
        <is>
          <t>ytk_gecersizGecis</t>
        </is>
      </c>
      <c r="I45" s="8">
        <f>HESAP!C23</f>
        <v/>
      </c>
    </row>
    <row r="46">
      <c r="H46" s="7" t="inlineStr">
        <is>
          <t>ytk_zincirKirik</t>
        </is>
      </c>
      <c r="I46" s="8">
        <f>HESAP!C24</f>
        <v/>
      </c>
    </row>
    <row r="47">
      <c r="H47" s="7" t="inlineStr">
        <is>
          <t>ytk_yasKova</t>
        </is>
      </c>
      <c r="I47" s="8">
        <f>HESAP!C48</f>
        <v/>
      </c>
    </row>
    <row r="48">
      <c r="H48" s="7" t="inlineStr">
        <is>
          <t>ytk_tahminAralik</t>
        </is>
      </c>
      <c r="I48" s="8">
        <f>HESAP!C43</f>
        <v/>
      </c>
    </row>
    <row r="49">
      <c r="H49" s="7" t="inlineStr">
        <is>
          <t>ytk_senaryoKarsilastirma</t>
        </is>
      </c>
      <c r="I49" s="8">
        <f>HESAP!C37</f>
        <v/>
      </c>
    </row>
    <row r="50">
      <c r="H50" s="7" t="inlineStr">
        <is>
          <t>ytk_tornadoZirve</t>
        </is>
      </c>
      <c r="I50" s="8">
        <f>HESAP!C38</f>
        <v/>
      </c>
    </row>
    <row r="51">
      <c r="H51" s="7" t="inlineStr">
        <is>
          <t>ytk_odemeOncelik</t>
        </is>
      </c>
      <c r="I51" s="8">
        <f>HESAP!C39</f>
        <v/>
      </c>
    </row>
    <row r="52">
      <c r="H52" s="7" t="inlineStr">
        <is>
          <t>ytk_paretoGecikme</t>
        </is>
      </c>
      <c r="I52" s="8">
        <f>HESAP!C40</f>
        <v/>
      </c>
    </row>
    <row r="53">
      <c r="H53" s="7" t="inlineStr">
        <is>
          <t>ytk_kapaliDusum</t>
        </is>
      </c>
      <c r="I53" s="8">
        <f>HESAP!C20</f>
        <v/>
      </c>
    </row>
    <row r="54">
      <c r="H54" s="7" t="inlineStr">
        <is>
          <t>ytk_kuyrukOzeti</t>
        </is>
      </c>
      <c r="I54" s="8">
        <f>HESAP!C47</f>
        <v/>
      </c>
    </row>
    <row r="55">
      <c r="H55" s="7" t="inlineStr">
        <is>
          <t>ytk_kanitRaporu</t>
        </is>
      </c>
      <c r="I55" s="8">
        <f>HESAP!C60</f>
        <v/>
      </c>
    </row>
    <row r="56">
      <c r="H56" s="7" t="inlineStr">
        <is>
          <t>ytk_sonrakiKimlik</t>
        </is>
      </c>
      <c r="I56" s="8">
        <f>"MUK-"&amp;TEXT(COUNTA(tblKartlar[KartId])+1,"00000")</f>
        <v/>
      </c>
    </row>
    <row r="57">
      <c r="H57" s="7" t="inlineStr">
        <is>
          <t>ytk_eksikKuyruk</t>
        </is>
      </c>
      <c r="I57" s="8">
        <f>HESAP!C59</f>
        <v/>
      </c>
    </row>
    <row r="58">
      <c r="H58" s="7" t="inlineStr">
        <is>
          <t>ytk_modulO8</t>
        </is>
      </c>
      <c r="I58" s="8">
        <f>HESAP!C57</f>
        <v/>
      </c>
    </row>
    <row r="59">
      <c r="H59" s="7" t="inlineStr">
        <is>
          <t>ytk_modulI2</t>
        </is>
      </c>
      <c r="I59" s="8">
        <f>HESAP!C58</f>
        <v/>
      </c>
    </row>
    <row r="60">
      <c r="H60" s="7" t="inlineStr">
        <is>
          <t>ytk_eksikAdet</t>
        </is>
      </c>
      <c r="I60" s="8">
        <f>HESAP!C52</f>
        <v/>
      </c>
    </row>
    <row r="61">
      <c r="H61" s="7" t="inlineStr">
        <is>
          <t>ytk_kritikEksik</t>
        </is>
      </c>
      <c r="I61" s="8">
        <f>HESAP!C53</f>
        <v/>
      </c>
    </row>
    <row r="62"/>
    <row r="63">
      <c r="H63" s="16" t="inlineStr">
        <is>
          <t>Yorumlar</t>
        </is>
      </c>
    </row>
    <row r="64">
      <c r="H64" s="7" t="inlineStr">
        <is>
          <t>ytk_yorumYas</t>
        </is>
      </c>
      <c r="I64" s="8">
        <f>_xlfn.TEXTJOIN(" ",TRUE,"Yaş kovaları",ytk_yasKova)</f>
        <v/>
      </c>
    </row>
    <row r="65">
      <c r="H65" s="7" t="inlineStr">
        <is>
          <t>ytk_yorumGecikme</t>
        </is>
      </c>
      <c r="I65" s="8">
        <f>_xlfn.TEXTJOIN(" ",TRUE,"Gecikme maliyeti",TEXT(ytk_gecikmeMaliyeti,"0.00"),"TL")</f>
        <v/>
      </c>
    </row>
    <row r="66">
      <c r="H66" s="7" t="inlineStr">
        <is>
          <t>ytk_yorumTahmin</t>
        </is>
      </c>
      <c r="I66" s="8">
        <f>_xlfn.TEXTJOIN(" ",TRUE,"Tahmin aralık",TEXT(ytk_tahminAralik,"0.00"),"TL")</f>
        <v/>
      </c>
    </row>
    <row r="67">
      <c r="H67" s="7" t="inlineStr">
        <is>
          <t>ytk_yorumSenaryo</t>
        </is>
      </c>
      <c r="I67" s="8">
        <f>_xlfn.TEXTJOIN(" ",TRUE,"Senaryo farkı",TEXT(ytk_senaryoKarsilastirma,"0.00"),"TL")</f>
        <v/>
      </c>
    </row>
    <row r="68">
      <c r="H68" s="7" t="inlineStr">
        <is>
          <t>ytk_yorumTornado</t>
        </is>
      </c>
      <c r="I68" s="8">
        <f>_xlfn.TEXTJOIN(" ",TRUE,"Tornado zirve",TEXT(ytk_tornadoZirve,"0.00"),"TL")</f>
        <v/>
      </c>
    </row>
    <row r="69">
      <c r="H69" s="7" t="inlineStr">
        <is>
          <t>ytk_yorumOncelik</t>
        </is>
      </c>
      <c r="I69" s="8">
        <f>_xlfn.TEXTJOIN(" ",TRUE,"Ödeme öncelik havuzu",TEXT(ytk_odemeOncelik,"0.00"),"TL")</f>
        <v/>
      </c>
    </row>
    <row r="70">
      <c r="H70" s="7" t="inlineStr">
        <is>
          <t>ytk_yorumPareto</t>
        </is>
      </c>
      <c r="I70" s="8">
        <f>_xlfn.TEXTJOIN(" ",TRUE,"Pareto gecikme payı",TEXT(ytk_paretoGecikme,"0.0%"))</f>
        <v/>
      </c>
    </row>
    <row r="71">
      <c r="H71" s="7" t="inlineStr">
        <is>
          <t>ytk_modulO8Yorum</t>
        </is>
      </c>
      <c r="I71" s="8">
        <f>_xlfn.TEXTJOIN(" ",TRUE,"Kalite",TEXT(ytk_modulO8,"0"),"yetim/geçiş/zincir düşer")</f>
        <v/>
      </c>
    </row>
    <row r="72">
      <c r="H72" s="7" t="inlineStr">
        <is>
          <t>ytk_modulI2Yorum</t>
        </is>
      </c>
      <c r="I72" s="8">
        <f>_xlfn.TEXTJOIN(" ",TRUE,"Yüzdelik 90 tutar",TEXT(ytk_modulI2,"0.00"),"TL")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19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1A365D"/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92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2" t="inlineStr">
        <is>
          <t>KILAVUZ — YMM Tasdik Kontrol Robotu</t>
        </is>
      </c>
    </row>
    <row r="2"/>
    <row r="3" ht="22" customHeight="1">
      <c r="A3" s="203" t="inlineStr">
        <is>
          <t>Kullanım Kılavuzu</t>
        </is>
      </c>
    </row>
    <row r="4"/>
    <row r="5">
      <c r="A5" s="8" t="inlineStr">
        <is>
          <t>1. KARTLAR sayfasına mükellef kartı ekleyin; VKN ve tasdik türünü yazın.</t>
        </is>
      </c>
    </row>
    <row r="6">
      <c r="A6" s="8" t="inlineStr">
        <is>
          <t>2. KONTROL_LISTE sayfasına zorunlu/kritik belgeleri girin; VAR/YOK işaretleyin.</t>
        </is>
      </c>
    </row>
    <row r="7">
      <c r="A7" s="8" t="inlineStr">
        <is>
          <t>3. AKIS sayfasına her tasdik olayını yazın; durum kolonunu listeden seçin.</t>
        </is>
      </c>
    </row>
    <row r="8">
      <c r="A8" s="8" t="inlineStr">
        <is>
          <t>4. Önceki durum boş bırakılırsa geçiş uyarısı çalışmaz; bilinçli geçişte doldurun.</t>
        </is>
      </c>
    </row>
    <row r="9">
      <c r="A9" s="8" t="inlineStr">
        <is>
          <t>5. Geçersiz geçiş engellenmez — kırmızı uyarı üretir (makrosuz kural).</t>
        </is>
      </c>
    </row>
    <row r="10">
      <c r="A10" s="8" t="inlineStr">
        <is>
          <t>6. Kapalı durumlar (Tasdik/Durdur) açık kuyruklardan düşer.</t>
        </is>
      </c>
    </row>
    <row r="11">
      <c r="A11" s="8" t="inlineStr">
        <is>
          <t>7. Kritik eksik DURDUR, eksik belge EKSİK, uygun dosya TASDIK, boş veri VERİ YOK üretir.</t>
        </is>
      </c>
    </row>
    <row r="12">
      <c r="A12" s="8" t="inlineStr">
        <is>
          <t>8. RAPOR sayfasından kanıt paketini yazdırın.</t>
        </is>
      </c>
    </row>
    <row r="13">
      <c r="A13" s="8" t="inlineStr">
        <is>
          <t>9. raporTarihi AYARLAR'dadır; TODAY kullanılmaz.</t>
        </is>
      </c>
    </row>
    <row r="14">
      <c r="A14" s="8" t="inlineStr">
        <is>
          <t>10. Koruma şifresi: 1234 — formül hücreleri kilitli, sarı hücreler açıktır.</t>
        </is>
      </c>
    </row>
    <row r="15">
      <c r="A15" s="8" t="inlineStr">
        <is>
          <t>11.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5:J5"/>
    <mergeCell ref="A8:J8"/>
    <mergeCell ref="A14:J14"/>
    <mergeCell ref="A6:J6"/>
    <mergeCell ref="A9:J9"/>
    <mergeCell ref="A1:I1"/>
    <mergeCell ref="A12:J12"/>
    <mergeCell ref="A7:J7"/>
    <mergeCell ref="A15:J15"/>
    <mergeCell ref="A3:I3"/>
    <mergeCell ref="A10:J10"/>
    <mergeCell ref="A13:J13"/>
    <mergeCell ref="A11:J11"/>
  </mergeCells>
  <dataValidations count="11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4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2026-08-14T19:41:45Z</dcterms:created>
  <dcterms:modified xmlns:dcterms="http://purl.org/dc/terms/" xmlns:xsi="http://www.w3.org/2001/XMLSchema-instance" xsi:type="dcterms:W3CDTF">2026-09-25T21:23:07Z</dcterms:modified>
</cp:coreProperties>
</file>