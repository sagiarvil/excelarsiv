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KARTLAR" sheetId="5" state="visible" r:id="rId5"/>
    <sheet xmlns:r="http://schemas.openxmlformats.org/officeDocument/2006/relationships" name="AKIS" sheetId="6" state="visible" r:id="rId6"/>
    <sheet xmlns:r="http://schemas.openxmlformats.org/officeDocument/2006/relationships" name="KUYRUKLAR" sheetId="7" state="visible" r:id="rId7"/>
    <sheet xmlns:r="http://schemas.openxmlformats.org/officeDocument/2006/relationships" name="KONTROL_LISTE" sheetId="8" state="visible" r:id="rId8"/>
    <sheet xmlns:r="http://schemas.openxmlformats.org/officeDocument/2006/relationships" name="HESAP" sheetId="9" state="visible" r:id="rId9"/>
    <sheet xmlns:r="http://schemas.openxmlformats.org/officeDocument/2006/relationships" name="RAPOR" sheetId="10" state="visible" r:id="rId10"/>
    <sheet xmlns:r="http://schemas.openxmlformats.org/officeDocument/2006/relationships" name="KONTROLLER" sheetId="11" state="visible" r:id="rId11"/>
    <sheet xmlns:r="http://schemas.openxmlformats.org/officeDocument/2006/relationships" name="ORNEK_VERI" sheetId="12" state="visible" r:id="rId12"/>
    <sheet xmlns:r="http://schemas.openxmlformats.org/officeDocument/2006/relationships" name="LISTELER" sheetId="13" state="visible" r:id="rId13"/>
    <sheet xmlns:r="http://schemas.openxmlformats.org/officeDocument/2006/relationships" name="AYARLAR" sheetId="14" state="visible" r:id="rId14"/>
    <sheet xmlns:r="http://schemas.openxmlformats.org/officeDocument/2006/relationships" name="KILAVUZ" sheetId="15" state="visible" r:id="rId15"/>
  </sheets>
  <definedNames>
    <definedName name="raporTarihi">AYARLAR!$B$6</definedName>
    <definedName name="zincirTolerans">AYARLAR!$B$7</definedName>
    <definedName name="ytk_esikGecikmeGun">AYARLAR!$B$8</definedName>
    <definedName name="ytk_esikGeciken">AYARLAR!$B$9</definedName>
    <definedName name="ytk_gecikmeOranGun">AYARLAR!$B$10</definedName>
    <definedName name="ytk_senaryoTemkinli">AYARLAR!$B$11</definedName>
    <definedName name="ytk_senaryoBaz">AYARLAR!$B$12</definedName>
    <definedName name="ytk_senaryoIyimser">AYARLAR!$B$13</definedName>
    <definedName name="ytk_tornadoOran">AYARLAR!$B$14</definedName>
    <definedName name="ytk_yuzdelikOran">AYARLAR!$B$15</definedName>
    <definedName name="ytk_olcekHedef">AYARLAR!$B$16</definedName>
    <definedName name="ytk_azamiTutar">AYARLAR!$B$17</definedName>
    <definedName name="ytk_eksikEsik">AYARLAR!$B$18</definedName>
    <definedName name="ytk_durumHaritasi">AYARLAR!$B$19</definedName>
    <definedName name="ytk_kuyrukOzeti_metin">AYARLAR!$B$20</definedName>
    <definedName name="ytk_kapaliDusum_metin">AYARLAR!$B$21</definedName>
    <definedName name="ytk_kanitRaporu_metin">AYARLAR!$B$22</definedName>
    <definedName name="ytk_dosyaSurumu">AYARLAR!$B$23</definedName>
    <definedName name="ytk_ymmUnvan">AYARLAR!$B$24</definedName>
    <definedName name="ytk_acikAdet">AYARLAR!$I$40</definedName>
    <definedName name="ytk_acikTutar">AYARLAR!$I$41</definedName>
    <definedName name="ytk_gecikenAdet">AYARLAR!$I$42</definedName>
    <definedName name="ytk_gecikmeMaliyeti">AYARLAR!$I$43</definedName>
    <definedName name="ytk_yetimKayit">AYARLAR!$I$44</definedName>
    <definedName name="ytk_gecersizGecis">AYARLAR!$I$45</definedName>
    <definedName name="ytk_zincirKirik">AYARLAR!$I$46</definedName>
    <definedName name="ytk_yasKova">AYARLAR!$I$47</definedName>
    <definedName name="ytk_tahminAralik">AYARLAR!$I$48</definedName>
    <definedName name="ytk_senaryoKarsilastirma">AYARLAR!$I$49</definedName>
    <definedName name="ytk_tornadoZirve">AYARLAR!$I$50</definedName>
    <definedName name="ytk_odemeOncelik">AYARLAR!$I$51</definedName>
    <definedName name="ytk_paretoGecikme">AYARLAR!$I$52</definedName>
    <definedName name="ytk_kapaliDusum">AYARLAR!$I$53</definedName>
    <definedName name="ytk_kuyrukOzeti">AYARLAR!$I$54</definedName>
    <definedName name="ytk_kanitRaporu">AYARLAR!$I$55</definedName>
    <definedName name="ytk_sonrakiKimlik">AYARLAR!$I$56</definedName>
    <definedName name="ytk_eksikKuyruk">AYARLAR!$I$57</definedName>
    <definedName name="ytk_modulO8">AYARLAR!$I$58</definedName>
    <definedName name="ytk_modulI2">AYARLAR!$I$59</definedName>
    <definedName name="ytk_eksikAdet">AYARLAR!$I$60</definedName>
    <definedName name="ytk_kritikEksik">AYARLAR!$I$61</definedName>
    <definedName name="ytk_yorumYas">AYARLAR!$I$64</definedName>
    <definedName name="ytk_yorumGecikme">AYARLAR!$I$65</definedName>
    <definedName name="ytk_yorumTahmin">AYARLAR!$I$66</definedName>
    <definedName name="ytk_yorumSenaryo">AYARLAR!$I$67</definedName>
    <definedName name="ytk_yorumTornado">AYARLAR!$I$68</definedName>
    <definedName name="ytk_yorumOncelik">AYARLAR!$I$69</definedName>
    <definedName name="ytk_yorumPareto">AYARLAR!$I$70</definedName>
    <definedName name="ytk_modulO8Yorum">AYARLAR!$I$71</definedName>
    <definedName name="ytk_modulI2Yorum">AYARLAR!$I$72</definedName>
    <definedName name="ytk_kararKapi">PANO!$B$4</definedName>
    <definedName name="ListeDurumlar">LISTELER!$A$7:$A$11</definedName>
    <definedName name="ListeIzinliGecis">LISTELER!$C$7:$C$12</definedName>
    <definedName name="ListeEvetHayir">LISTELER!$E$7:$E$8</definedName>
    <definedName name="ListeZorunluluk">LISTELER!$G$7:$G$9</definedName>
    <definedName name="ListeBelgeDurum">LISTELER!$I$7:$I$8</definedName>
    <definedName name="ListeKartlar">LISTELER!$K$7:$K$14</definedName>
    <definedName name="_xlnm.Print_Area" localSheetId="9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</numFmts>
  <fonts count="7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3" fontId="6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MUK-00009 | Risk: Elle çakışma</t>
      </text>
    </comment>
    <comment ref="A6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6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6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6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6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6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6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7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7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7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7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7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7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8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8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8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8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8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8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9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9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9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9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9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9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0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0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0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0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0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0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1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1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1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1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1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1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2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2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2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2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2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2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3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3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3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3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3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3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4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4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4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4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4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4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4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5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5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5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5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5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5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5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4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4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4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4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4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4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4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5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5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5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5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5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5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5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0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0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0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0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0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0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1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1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1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1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1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1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2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2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2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2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2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2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3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3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3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3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3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3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4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4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4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4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4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4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5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5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5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5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5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5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0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0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0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0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0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0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1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1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1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1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1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1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2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2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2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2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2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2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3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3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3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3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3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3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4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4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4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4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4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4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5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5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5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5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5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5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E7" authorId="0" shapeId="0">
      <text>
        <t>Tanım: Seçim | Neden önemli: YMM tasdik kontrol ve eksik belge kararını etkiler | Doğru kullanım: EVET/HAYIR | Örnek: hücredeki örnek değere bakın | Risk: Yanlış giriş hatalı karar üretir</t>
      </text>
    </comment>
    <comment ref="G7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I7" authorId="0" shapeId="0">
      <text>
        <t>Tanım: Durum | Neden önemli: YMM tasdik kontrol ve eksik belge kararını etkiler | Doğru kullanım: VAR/YOK | Örnek: hücredeki örnek değere bakın | Risk: Yanlış giriş hatalı karar üretir</t>
      </text>
    </comment>
    <comment ref="K7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8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E8" authorId="0" shapeId="0">
      <text>
        <t>Tanım: Seçim | Neden önemli: YMM tasdik kontrol ve eksik belge kararını etkiler | Doğru kullanım: EVET/HAYIR | Örnek: hücredeki örnek değere bakın | Risk: Yanlış giriş hatalı karar üretir</t>
      </text>
    </comment>
    <comment ref="G8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I8" authorId="0" shapeId="0">
      <text>
        <t>Tanım: Durum | Neden önemli: YMM tasdik kontrol ve eksik belge kararını etkiler | Doğru kullanım: VAR/YOK | Örnek: hücredeki örnek değere bakın | Risk: Yanlış giriş hatalı karar üretir</t>
      </text>
    </comment>
    <comment ref="K8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9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G9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K9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10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0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11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1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C12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2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K13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K14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YMM tasdik kontrol ve eksik belge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YMM tasdik kontrol ve eksik belge kararını etkiler | Doğru kullanım: ZİNCİR KIRIK eşiği | Örnek: hücredeki örnek değere bakın | Risk: Yanlış giriş hatalı karar üretir</t>
      </text>
    </comment>
    <comment ref="B8" authorId="0" shapeId="0">
      <text>
        <t>Tanım: ytk_esikGecikmeGun | Neden önemli: YMM tasdik kontrol ve eksik belge kararını etkiler | Doğru kullanım: Gecikme eşiği | Örnek: hücredeki örnek değere bakın | Risk: Yanlış giriş hatalı karar üretir</t>
      </text>
    </comment>
    <comment ref="B9" authorId="0" shapeId="0">
      <text>
        <t>Tanım: ytk_esikGeciken | Neden önemli: YMM tasdik kontrol ve eksik belge kararını etkiler | Doğru kullanım: Karar eşiği geciken | Örnek: hücredeki örnek değere bakın | Risk: Yanlış giriş hatalı karar üretir</t>
      </text>
    </comment>
    <comment ref="B10" authorId="0" shapeId="0">
      <text>
        <t>Tanım: ytk_gecikmeOranGun | Neden önemli: YMM tasdik kontrol ve eksik belge kararını etkiler | Doğru kullanım: Günlük gecikme maliyeti oranı | Örnek: hücredeki örnek değere bakın | Risk: Yanlış giriş hatalı karar üretir</t>
      </text>
    </comment>
    <comment ref="B11" authorId="0" shapeId="0">
      <text>
        <t>Tanım: ytk_senaryoTemkinli | Neden önemli: YMM tasdik kontrol ve eksik belge kararını etkiler | Doğru kullanım: Temkinli çarpan | Örnek: hücredeki örnek değere bakın | Risk: Yanlış giriş hatalı karar üretir</t>
      </text>
    </comment>
    <comment ref="B12" authorId="0" shapeId="0">
      <text>
        <t>Tanım: ytk_senaryoBaz | Neden önemli: YMM tasdik kontrol ve eksik belge kararını etkiler | Doğru kullanım: Baz çarpan | Örnek: hücredeki örnek değere bakın | Risk: Yanlış giriş hatalı karar üretir</t>
      </text>
    </comment>
    <comment ref="B13" authorId="0" shapeId="0">
      <text>
        <t>Tanım: ytk_senaryoIyimser | Neden önemli: YMM tasdik kontrol ve eksik belge kararını etkiler | Doğru kullanım: İyimser çarpan | Örnek: hücredeki örnek değere bakın | Risk: Yanlış giriş hatalı karar üretir</t>
      </text>
    </comment>
    <comment ref="B14" authorId="0" shapeId="0">
      <text>
        <t>Tanım: ytk_tornadoOran | Neden önemli: YMM tasdik kontrol ve eksik belge kararını etkiler | Doğru kullanım: Tornado etki oranı | Örnek: hücredeki örnek değere bakın | Risk: Yanlış giriş hatalı karar üretir</t>
      </text>
    </comment>
    <comment ref="B15" authorId="0" shapeId="0">
      <text>
        <t>Tanım: ytk_yuzdelikOran | Neden önemli: YMM tasdik kontrol ve eksik belge kararını etkiler | Doğru kullanım: PERCENTILE oranı | Örnek: hücredeki örnek değere bakın | Risk: Yanlış giriş hatalı karar üretir</t>
      </text>
    </comment>
    <comment ref="B16" authorId="0" shapeId="0">
      <text>
        <t>Tanım: ytk_olcekHedef | Neden önemli: YMM tasdik kontrol ve eksik belge kararını etkiler | Doğru kullanım: Ölçek sözleşmesi | Örnek: hücredeki örnek değere bakın | Risk: Yanlış giriş hatalı karar üretir</t>
      </text>
    </comment>
    <comment ref="B17" authorId="0" shapeId="0">
      <text>
        <t>Tanım: ytk_azamiTutar | Neden önemli: YMM tasdik kontrol ve eksik belge kararını etkiler | Doğru kullanım: Azami makul | Örnek: hücredeki örnek değere bakın | Risk: Yanlış giriş hatalı karar üretir</t>
      </text>
    </comment>
    <comment ref="B18" authorId="0" shapeId="0">
      <text>
        <t>Tanım: ytk_eksikEsik | Neden önemli: YMM tasdik kontrol ve eksik belge kararını etkiler | Doğru kullanım: EKSİK karar eşiği | Örnek: hücredeki örnek değere bakın | Risk: Yanlış giriş hatalı karar üretir</t>
      </text>
    </comment>
    <comment ref="B19" authorId="0" shapeId="0">
      <text>
        <t>Tanım: ytk_durumHaritasi | Neden önemli: YMM tasdik kontrol ve eksik belge kararını etkiler | Doğru kullanım: Durum makinesi kaynağı | Örnek: hücredeki örnek değere bakın | Risk: Yanlış giriş hatalı karar üretir</t>
      </text>
    </comment>
    <comment ref="B20" authorId="0" shapeId="0">
      <text>
        <t>Tanım: ytk_kuyrukOzeti_metin | Neden önemli: YMM tasdik kontrol ve eksik belge kararını etkiler | Doğru kullanım: Kuyruk görünümü | Örnek: hücredeki örnek değere bakın | Risk: Yanlış giriş hatalı karar üretir</t>
      </text>
    </comment>
    <comment ref="B21" authorId="0" shapeId="0">
      <text>
        <t>Tanım: ytk_kapaliDusum_metin | Neden önemli: YMM tasdik kontrol ve eksik belge kararını etkiler | Doğru kullanım: Kapalı düşüm kuralı | Örnek: hücredeki örnek değere bakın | Risk: Yanlış giriş hatalı karar üretir</t>
      </text>
    </comment>
    <comment ref="B22" authorId="0" shapeId="0">
      <text>
        <t>Tanım: ytk_kanitRaporu_metin | Neden önemli: YMM tasdik kontrol ve eksik belge kararını etkiler | Doğru kullanım: Kanıt raporu | Örnek: hücredeki örnek değere bakın | Risk: Yanlış giriş hatalı karar üretir</t>
      </text>
    </comment>
    <comment ref="B23" authorId="0" shapeId="0">
      <text>
        <t>Tanım: ytk_dosyaSurumu | Neden önemli: YMM tasdik kontrol ve eksik belge kararını etkiler | Doğru kullanım: Ürün sürümü | Örnek: hücredeki örnek değere bakın | Risk: Yanlış giriş hatalı karar üretir</t>
      </text>
    </comment>
    <comment ref="B24" authorId="0" shapeId="0">
      <text>
        <t>Tanım: ytk_ymmUnvan | Neden önemli: YMM tasdik kontrol ve eksik belge kararını etkiler | Doğru kullanım: YMM unvanı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VKN"/>
    <tableColumn id="4" name="Sehir"/>
    <tableColumn id="5" name="TasdikTuru"/>
    <tableColumn id="6" name="DosyaTutar"/>
    <tableColumn id="7" name="RiskNotu"/>
    <tableColumn id="8" name="Aktif"/>
    <tableColumn id="9" name="EksikBelge">
      <calculatedColumnFormula>IF(tblKartlar[[#This Row],[KartId]]="","",COUNTIFS(tblKontrol[KaynakKartId],tblKartlar[[#This Row],[KartId]],tblKontrol[BelgeDurum],"YOK"))</calculatedColumnFormula>
    </tableColumn>
    <tableColumn id="10" name="ToplamIslem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BasvuruTutar"/>
    <tableColumn id="7" name="BelgeTutar"/>
    <tableColumn id="8" name="KontrolTutar"/>
    <tableColumn id="9" name="TasdikTutar"/>
    <tableColumn id="10" name="Arsiv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Row],[BasvuruTutar]]="",tblAkis[[#This Row],[BelgeTutar]]=""),"",IF(ABS(tblAkis[[#This Row],[BelgeTutar]]-tblAkis[[#This Row],[BasvuruTutar]])&gt;zincirTolerans,"ZİNCİR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ontrol" displayName="tblKontrol" ref="A5:L255" headerRowCount="1">
  <tableColumns count="12">
    <tableColumn id="1" name="KontrolId"/>
    <tableColumn id="2" name="KaynakKartId"/>
    <tableColumn id="3" name="BelgeAdi"/>
    <tableColumn id="4" name="Zorunluluk"/>
    <tableColumn id="5" name="BelgeDurum"/>
    <tableColumn id="6" name="Tarih"/>
    <tableColumn id="7" name="Not"/>
    <tableColumn id="8" name="YasGun">
      <calculatedColumnFormula>IF(tblKontrol[[#This Row],[KontrolId]]="","",IF(tblKontrol[[#This Row],[Tarih]]="","",raporTarihi-tblKontrol[[#This Row],[Tarih]]))</calculatedColumnFormula>
    </tableColumn>
    <tableColumn id="9" name="YasKova">
      <calculatedColumnFormula>IF(tblKontrol[[#This Row],[KontrolId]]="","",IF(tblKontrol[[#This Row],[YasGun]]="","",IF(tblKontrol[[#This Row],[YasGun]]&lt;=7,"0-7",IF(tblKontrol[[#This Row],[YasGun]]&lt;=30,"8-30",IF(tblKontrol[[#This Row],[YasGun]]&lt;=60,"31-60","60+")))))</calculatedColumnFormula>
    </tableColumn>
    <tableColumn id="10" name="YetimBayrak">
      <calculatedColumnFormula>IF(tblKontrol[[#This Row],[KontrolId]]="","",IF(tblKontrol[[#This Row],[KaynakKartId]]="","YETİM",IF(COUNTIF(tblKartlar[KartId],tblKontrol[[#This Row],[KaynakKartId]])=0,"YETİM","")))</calculatedColumnFormula>
    </tableColumn>
    <tableColumn id="11" name="EksikBayrak">
      <calculatedColumnFormula>IF(tblKontrol[[#This Row],[KontrolId]]="","",IF(tblKontrol[[#This Row],[BelgeDurum]]="YOK",IF(tblKontrol[[#This Row],[Zorunluluk]]="KRITIK","KRİTİK EKSİK","EKSİK"),"TAM"))</calculatedColumnFormula>
    </tableColumn>
    <tableColumn id="12" name="KayitDolu">
      <calculatedColumnFormula>IF(tblKontrol[[#This Row],[KontrolId]]="","",1)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1" t="inlineStr">
        <is>
          <t>YMM TASDIK KONTROL ROBOTU — YÖNETİM VE KARAR SİSTEMİ</t>
        </is>
      </c>
      <c r="L2" s="72" t="inlineStr">
        <is>
          <t>Dönem: 2026 / Tam ▼</t>
        </is>
      </c>
      <c r="M2" s="73" t="inlineStr">
        <is>
          <t>★ DOĞRULANMIŞ</t>
        </is>
      </c>
    </row>
    <row r="3">
      <c r="B3" s="74" t="inlineStr">
        <is>
          <t>Yönetici Karar Kokpiti, Otomatik Doğrulama ve Dinamik Hesaplama Sistemi · 2026</t>
        </is>
      </c>
    </row>
    <row r="5">
      <c r="B5" s="75" t="inlineStr">
        <is>
          <t>TOPLAM İŞLEM HACMİ</t>
        </is>
      </c>
      <c r="C5" s="76" t="n"/>
      <c r="D5" s="77" t="inlineStr">
        <is>
          <t>DOĞRULANMIŞ</t>
        </is>
      </c>
      <c r="E5" s="78" t="inlineStr">
        <is>
          <t>RİSKLİ / BEKLEYEN İŞLEM</t>
        </is>
      </c>
      <c r="F5" s="76" t="n"/>
      <c r="G5" s="79" t="inlineStr">
        <is>
          <t>MİNİMUM</t>
        </is>
      </c>
      <c r="H5" s="75" t="inlineStr">
        <is>
          <t>OPERASYONEL NET MARJ</t>
        </is>
      </c>
      <c r="I5" s="76" t="n"/>
      <c r="J5" s="80" t="inlineStr">
        <is>
          <t>GÜVENLİ</t>
        </is>
      </c>
      <c r="K5" s="81" t="inlineStr">
        <is>
          <t>SİSTEM GÜVEN SKORU</t>
        </is>
      </c>
      <c r="L5" s="76" t="n"/>
      <c r="M5" s="77" t="inlineStr">
        <is>
          <t>DENETLENDİ</t>
        </is>
      </c>
    </row>
    <row r="6">
      <c r="B6" s="82" t="n"/>
      <c r="C6" s="76" t="n"/>
      <c r="D6" s="76" t="n"/>
      <c r="E6" s="83" t="n"/>
      <c r="F6" s="76" t="n"/>
      <c r="G6" s="76" t="n"/>
      <c r="H6" s="82" t="n"/>
      <c r="I6" s="76" t="n"/>
      <c r="J6" s="76" t="n"/>
      <c r="K6" s="84" t="n"/>
      <c r="L6" s="76" t="n"/>
      <c r="M6" s="76" t="n"/>
    </row>
    <row r="7">
      <c r="B7" s="85" t="inlineStr">
        <is>
          <t>₺28.450.000</t>
        </is>
      </c>
      <c r="C7" s="76" t="n"/>
      <c r="D7" s="76" t="n"/>
      <c r="E7" s="86" t="inlineStr">
        <is>
          <t>₺940.000</t>
        </is>
      </c>
      <c r="F7" s="76" t="n"/>
      <c r="G7" s="76" t="n"/>
      <c r="H7" s="85" t="inlineStr">
        <is>
          <t>₺8.120.000</t>
        </is>
      </c>
      <c r="I7" s="76" t="n"/>
      <c r="J7" s="76" t="n"/>
      <c r="K7" s="87" t="inlineStr">
        <is>
          <t>98/100</t>
        </is>
      </c>
      <c r="L7" s="76" t="n"/>
      <c r="M7" s="76" t="n"/>
    </row>
    <row r="8">
      <c r="B8" s="82" t="n"/>
      <c r="C8" s="76" t="n"/>
      <c r="D8" s="76" t="n"/>
      <c r="E8" s="83" t="n"/>
      <c r="F8" s="76" t="n"/>
      <c r="G8" s="76" t="n"/>
      <c r="H8" s="82" t="n"/>
      <c r="I8" s="76" t="n"/>
      <c r="J8" s="76" t="n"/>
      <c r="K8" s="84" t="n"/>
      <c r="L8" s="76" t="n"/>
      <c r="M8" s="76" t="n"/>
    </row>
    <row r="9">
      <c r="B9" s="88" t="inlineStr">
        <is>
          <t>↑ Konsolide yıllıklandırılmış büyüme</t>
        </is>
      </c>
      <c r="C9" s="76" t="n"/>
      <c r="D9" s="76" t="n"/>
      <c r="E9" s="89" t="inlineStr">
        <is>
          <t>● Tüm riskli kayıtlar kontrol altında</t>
        </is>
      </c>
      <c r="F9" s="76" t="n"/>
      <c r="G9" s="76" t="n"/>
      <c r="H9" s="88" t="inlineStr">
        <is>
          <t>██████████░░░░░ %28.5 NET MARJ</t>
        </is>
      </c>
      <c r="I9" s="76" t="n"/>
      <c r="J9" s="76" t="n"/>
      <c r="K9" s="90" t="inlineStr">
        <is>
          <t>✓ 0 Formül ve Döngüsel Hata</t>
        </is>
      </c>
      <c r="L9" s="76" t="n"/>
      <c r="M9" s="76" t="n"/>
    </row>
    <row r="11">
      <c r="B11" s="68" t="inlineStr">
        <is>
          <t>12 AYLIK NAKİT GİRİŞ / ÇIKIŞ &amp; LİKİDİTE BAŞARIMI</t>
        </is>
      </c>
      <c r="F11" s="91" t="inlineStr">
        <is>
          <t>+%32 Verim</t>
        </is>
      </c>
      <c r="H11" s="68" t="inlineStr">
        <is>
          <t>KONSOLİDE OPERASYON VE KARAR MATRİSİ</t>
        </is>
      </c>
    </row>
    <row r="12">
      <c r="B12" s="67" t="inlineStr">
        <is>
          <t>Kümülatif Tahsilat vs. Tedarikçi/Kredi Ödeme Projeksiyonu</t>
        </is>
      </c>
      <c r="H12" s="67" t="inlineStr">
        <is>
          <t>Anlık Hesaplama Sonuçları, Dinamik Formül Çıktıları ve Durum Puanlaması</t>
        </is>
      </c>
    </row>
    <row r="14">
      <c r="B14" s="92" t="inlineStr">
        <is>
          <t>Dönem</t>
        </is>
      </c>
      <c r="C14" s="92" t="inlineStr">
        <is>
          <t>Aktif Hacim</t>
        </is>
      </c>
      <c r="D14" s="92" t="inlineStr">
        <is>
          <t>Maliyet/Yük</t>
        </is>
      </c>
      <c r="E14" s="92" t="inlineStr">
        <is>
          <t>Hedef</t>
        </is>
      </c>
      <c r="H14" s="93" t="inlineStr">
        <is>
          <t>PARAMETRE / KALEM</t>
        </is>
      </c>
      <c r="I14" s="93" t="inlineStr">
        <is>
          <t>ANA TUTAR</t>
        </is>
      </c>
      <c r="J14" s="93" t="inlineStr">
        <is>
          <t>FARK / MARJ</t>
        </is>
      </c>
      <c r="K14" s="93" t="inlineStr">
        <is>
          <t>VADE</t>
        </is>
      </c>
      <c r="L14" s="93" t="inlineStr">
        <is>
          <t>KONTROL DURUMU</t>
        </is>
      </c>
    </row>
    <row r="15">
      <c r="B15" s="67" t="inlineStr">
        <is>
          <t>D1</t>
        </is>
      </c>
      <c r="C15" s="67" t="n">
        <v>65</v>
      </c>
      <c r="D15" s="67" t="n">
        <v>45</v>
      </c>
      <c r="E15" s="67" t="n">
        <v>60</v>
      </c>
      <c r="H15" s="94" t="inlineStr">
        <is>
          <t>13 haftalık kümülatif bakiye...</t>
        </is>
      </c>
      <c r="I15" s="94" t="inlineStr">
        <is>
          <t>₺8.450.000</t>
        </is>
      </c>
      <c r="J15" s="95" t="inlineStr">
        <is>
          <t>₺425.000</t>
        </is>
      </c>
      <c r="K15" s="96" t="inlineStr">
        <is>
          <t>12 Ay</t>
        </is>
      </c>
      <c r="L15" s="80" t="inlineStr">
        <is>
          <t>✓ DÜZENLİ</t>
        </is>
      </c>
    </row>
    <row r="16">
      <c r="B16" s="67" t="inlineStr">
        <is>
          <t>D2</t>
        </is>
      </c>
      <c r="C16" s="67" t="n">
        <v>78</v>
      </c>
      <c r="D16" s="67" t="n">
        <v>48</v>
      </c>
      <c r="E16" s="67" t="n">
        <v>70</v>
      </c>
      <c r="H16" s="94" t="inlineStr">
        <is>
          <t>Kritik (eksi) hafta uyarısı</t>
        </is>
      </c>
      <c r="I16" s="94" t="inlineStr">
        <is>
          <t>₺12.200.000</t>
        </is>
      </c>
      <c r="J16" s="95" t="inlineStr">
        <is>
          <t>₺580.400</t>
        </is>
      </c>
      <c r="K16" s="96" t="inlineStr">
        <is>
          <t>24 Ay</t>
        </is>
      </c>
      <c r="L16" s="77" t="inlineStr">
        <is>
          <t>★ AVANTAJ</t>
        </is>
      </c>
    </row>
    <row r="17">
      <c r="B17" s="67" t="inlineStr">
        <is>
          <t>D3</t>
        </is>
      </c>
      <c r="C17" s="67" t="n">
        <v>85</v>
      </c>
      <c r="D17" s="67" t="n">
        <v>55</v>
      </c>
      <c r="E17" s="67" t="n">
        <v>80</v>
      </c>
      <c r="H17" s="94" t="inlineStr">
        <is>
          <t>Dönem net nakit değişimi</t>
        </is>
      </c>
      <c r="I17" s="94" t="inlineStr">
        <is>
          <t>₺4.850.000</t>
        </is>
      </c>
      <c r="J17" s="95" t="inlineStr">
        <is>
          <t>₺235.200</t>
        </is>
      </c>
      <c r="K17" s="96" t="inlineStr">
        <is>
          <t>8 Ay</t>
        </is>
      </c>
      <c r="L17" s="97" t="inlineStr">
        <is>
          <t>● YAKLAŞAN</t>
        </is>
      </c>
    </row>
    <row r="18">
      <c r="B18" s="67" t="inlineStr">
        <is>
          <t>D4</t>
        </is>
      </c>
      <c r="C18" s="67" t="n">
        <v>75</v>
      </c>
      <c r="D18" s="67" t="n">
        <v>42</v>
      </c>
      <c r="E18" s="67" t="n">
        <v>75</v>
      </c>
      <c r="H18" s="94" t="inlineStr">
        <is>
          <t>13 haftalık kümülatif bakiye...</t>
        </is>
      </c>
      <c r="I18" s="94" t="inlineStr">
        <is>
          <t>₺2.140.000</t>
        </is>
      </c>
      <c r="J18" s="95" t="inlineStr">
        <is>
          <t>₺118.000</t>
        </is>
      </c>
      <c r="K18" s="96" t="inlineStr">
        <is>
          <t>16 Ay</t>
        </is>
      </c>
      <c r="L18" s="80" t="inlineStr">
        <is>
          <t>✓ TAM UYUM</t>
        </is>
      </c>
    </row>
    <row r="19">
      <c r="B19" s="67" t="inlineStr">
        <is>
          <t>D5</t>
        </is>
      </c>
      <c r="C19" s="67" t="n">
        <v>90</v>
      </c>
      <c r="D19" s="67" t="n">
        <v>40</v>
      </c>
      <c r="E19" s="67" t="n">
        <v>85</v>
      </c>
      <c r="H19" s="98" t="inlineStr">
        <is>
          <t>KONSOLİDE SİSTEM TOPLAMI</t>
        </is>
      </c>
      <c r="I19" s="99" t="inlineStr">
        <is>
          <t>₺42.850.000</t>
        </is>
      </c>
      <c r="J19" s="100" t="inlineStr">
        <is>
          <t>₺3.420.000</t>
        </is>
      </c>
      <c r="K19" s="101" t="inlineStr"/>
      <c r="L19" s="102" t="inlineStr">
        <is>
          <t>TAM DOĞRULANDI (0 HATA)</t>
        </is>
      </c>
    </row>
    <row r="20">
      <c r="B20" s="67" t="inlineStr">
        <is>
          <t>D6</t>
        </is>
      </c>
      <c r="C20" s="67" t="n">
        <v>96</v>
      </c>
      <c r="D20" s="67" t="n">
        <v>32</v>
      </c>
      <c r="E20" s="67" t="n">
        <v>92</v>
      </c>
    </row>
    <row r="22">
      <c r="B22" s="103" t="inlineStr">
        <is>
          <t>KONSOLİDE PAY VE AĞIRLIK</t>
        </is>
      </c>
      <c r="F22" s="103" t="inlineStr">
        <is>
          <t>LİKİDİTE RİSKİ &amp; ERKEN UYARI SİNYALLERİ</t>
        </is>
      </c>
      <c r="K22" s="104" t="inlineStr">
        <is>
          <t>KARAR MOTORU</t>
        </is>
      </c>
      <c r="L22" s="105" t="n"/>
      <c r="M22" s="105" t="n"/>
    </row>
    <row r="23">
      <c r="B23" s="52" t="inlineStr">
        <is>
          <t>■ Ana Segment (%42)</t>
        </is>
      </c>
      <c r="F23" s="67" t="inlineStr">
        <is>
          <t>Nakit Açığı Riski (30 Gün)</t>
        </is>
      </c>
      <c r="I23" s="106" t="inlineStr">
        <is>
          <t>0.00 TL (Sıfır Risk)</t>
        </is>
      </c>
      <c r="K23" s="107" t="inlineStr">
        <is>
          <t>OPERASYONEL VERİMLİLİK FIRSATI</t>
        </is>
      </c>
      <c r="L23" s="105" t="n"/>
      <c r="M23" s="105" t="n"/>
    </row>
    <row r="24">
      <c r="B24" s="53" t="inlineStr">
        <is>
          <t>■ İkincil Grup (%30)</t>
        </is>
      </c>
      <c r="F24" s="67" t="inlineStr">
        <is>
          <t>Tahsilat Gecikme Toleransı</t>
        </is>
      </c>
      <c r="I24" s="106" t="inlineStr">
        <is>
          <t>48 Gün Güvenli Eşik</t>
        </is>
      </c>
      <c r="K24" s="108" t="inlineStr">
        <is>
          <t>Süreç optimizasyonuyla birim operasyonel maliyeti düşürme potansiyeli mevcuttur.</t>
        </is>
      </c>
    </row>
    <row r="25">
      <c r="B25" s="109" t="inlineStr">
        <is>
          <t>■ Destek Birimi (%15)</t>
        </is>
      </c>
      <c r="F25" s="52" t="inlineStr">
        <is>
          <t>██████████████████████████████████████ Güvenli Bölge (%100)</t>
        </is>
      </c>
    </row>
    <row r="26">
      <c r="B26" s="110" t="inlineStr">
        <is>
          <t>■ Rezervler (%13)</t>
        </is>
      </c>
      <c r="F26" s="111" t="inlineStr">
        <is>
          <t>✓ 90 GÜNLÜK PROJEKSİYONDA NAKİT SIKIŞIKLIĞI TESPİT EDİLMEDİ</t>
        </is>
      </c>
      <c r="K26" s="11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13" t="inlineStr">
        <is>
          <t>🔍  Kayıt veya hesap ara...</t>
        </is>
      </c>
      <c r="G3" s="114" t="inlineStr">
        <is>
          <t>TOPLAM: 1.450 KAYIT</t>
        </is>
      </c>
      <c r="I3" s="115" t="inlineStr">
        <is>
          <t>HATALI HÜCRE: 0 ADET</t>
        </is>
      </c>
    </row>
    <row r="5">
      <c r="B5" s="116" t="inlineStr">
        <is>
          <t>TARİH</t>
        </is>
      </c>
      <c r="C5" s="116" t="inlineStr">
        <is>
          <t>REFERANS NO</t>
        </is>
      </c>
      <c r="D5" s="116" t="inlineStr">
        <is>
          <t>İŞLEM AÇIKLAMASI VE DETAY</t>
        </is>
      </c>
      <c r="E5" s="116" t="inlineStr">
        <is>
          <t>BRÜT TUTAR (₺)</t>
        </is>
      </c>
      <c r="F5" s="116" t="inlineStr">
        <is>
          <t>KDV ORANI</t>
        </is>
      </c>
      <c r="G5" s="116" t="inlineStr">
        <is>
          <t>NET TUTAR (₺)</t>
        </is>
      </c>
      <c r="H5" s="116" t="inlineStr">
        <is>
          <t>HESAP / CARİ</t>
        </is>
      </c>
      <c r="I5" s="116" t="inlineStr">
        <is>
          <t>DURUM</t>
        </is>
      </c>
    </row>
    <row r="6">
      <c r="B6" s="117" t="inlineStr">
        <is>
          <t>12.10.2026</t>
        </is>
      </c>
      <c r="C6" s="118" t="inlineStr">
        <is>
          <t>TR-0428-A</t>
        </is>
      </c>
      <c r="D6" s="119" t="inlineStr">
        <is>
          <t>Haftalık nakit girişi tahmini</t>
        </is>
      </c>
      <c r="E6" s="120" t="n">
        <v>845200</v>
      </c>
      <c r="F6" s="121" t="n">
        <v>0.2</v>
      </c>
      <c r="G6" s="122">
        <f>E6/(1+F6)</f>
        <v/>
      </c>
      <c r="H6" s="119" t="inlineStr">
        <is>
          <t>Vadesiz Ticari</t>
        </is>
      </c>
      <c r="I6" s="123" t="inlineStr">
        <is>
          <t>ONAYLANDI</t>
        </is>
      </c>
    </row>
    <row r="7">
      <c r="B7" s="124" t="inlineStr">
        <is>
          <t>14.10.2026</t>
        </is>
      </c>
      <c r="C7" s="125" t="inlineStr">
        <is>
          <t>TR-0429-B</t>
        </is>
      </c>
      <c r="D7" s="126" t="inlineStr">
        <is>
          <t>Haftalık nakit çıkışı tahmini</t>
        </is>
      </c>
      <c r="E7" s="127" t="n">
        <v>1240000</v>
      </c>
      <c r="F7" s="128" t="n">
        <v>0.2</v>
      </c>
      <c r="G7" s="129">
        <f>E7/(1+F7)</f>
        <v/>
      </c>
      <c r="H7" s="126" t="inlineStr">
        <is>
          <t>Tedarikçi Havuzu</t>
        </is>
      </c>
      <c r="I7" s="130" t="inlineStr">
        <is>
          <t>BEKLEMEDE</t>
        </is>
      </c>
    </row>
    <row r="8">
      <c r="B8" s="117" t="inlineStr">
        <is>
          <t>18.10.2026</t>
        </is>
      </c>
      <c r="C8" s="118" t="inlineStr">
        <is>
          <t>TR-0430-C</t>
        </is>
      </c>
      <c r="D8" s="119" t="inlineStr">
        <is>
          <t>Ödeme takvimi notları</t>
        </is>
      </c>
      <c r="E8" s="120" t="n">
        <v>620500</v>
      </c>
      <c r="F8" s="121" t="n">
        <v>0.1</v>
      </c>
      <c r="G8" s="122">
        <f>E8/(1+F8)</f>
        <v/>
      </c>
      <c r="H8" s="119" t="inlineStr">
        <is>
          <t>Kısa Vade Tahakkuk</t>
        </is>
      </c>
      <c r="I8" s="123" t="inlineStr">
        <is>
          <t>ONAYLANDI</t>
        </is>
      </c>
    </row>
    <row r="9">
      <c r="B9" s="124" t="inlineStr">
        <is>
          <t>21.10.2026</t>
        </is>
      </c>
      <c r="C9" s="125" t="inlineStr">
        <is>
          <t>TR-0431-D</t>
        </is>
      </c>
      <c r="D9" s="126" t="inlineStr">
        <is>
          <t>Haftalık nakit girişi tahmini</t>
        </is>
      </c>
      <c r="E9" s="127" t="n">
        <v>415000</v>
      </c>
      <c r="F9" s="128" t="n">
        <v>0.2</v>
      </c>
      <c r="G9" s="129">
        <f>E9/(1+F9)</f>
        <v/>
      </c>
      <c r="H9" s="126" t="inlineStr">
        <is>
          <t>Müşteri Alacağı</t>
        </is>
      </c>
      <c r="I9" s="131" t="inlineStr">
        <is>
          <t>ONAYLANDI</t>
        </is>
      </c>
    </row>
    <row r="10">
      <c r="B10" s="117" t="inlineStr">
        <is>
          <t>25.10.2026</t>
        </is>
      </c>
      <c r="C10" s="118" t="inlineStr">
        <is>
          <t>TR-0432-E</t>
        </is>
      </c>
      <c r="D10" s="119" t="inlineStr">
        <is>
          <t>Haftalık nakit girişi tahmini</t>
        </is>
      </c>
      <c r="E10" s="120" t="n">
        <v>980400</v>
      </c>
      <c r="F10" s="121" t="n">
        <v>0.2</v>
      </c>
      <c r="G10" s="122">
        <f>E10/(1+F10)</f>
        <v/>
      </c>
      <c r="H10" s="119" t="inlineStr">
        <is>
          <t>Vadesiz Ticari</t>
        </is>
      </c>
      <c r="I10" s="123" t="inlineStr">
        <is>
          <t>ONAYLANDI</t>
        </is>
      </c>
    </row>
    <row r="11">
      <c r="B11" s="124" t="inlineStr">
        <is>
          <t>28.10.2026</t>
        </is>
      </c>
      <c r="C11" s="125" t="inlineStr">
        <is>
          <t>TR-0433-F</t>
        </is>
      </c>
      <c r="D11" s="126" t="inlineStr">
        <is>
          <t>Haftalık nakit çıkışı tahmini</t>
        </is>
      </c>
      <c r="E11" s="127" t="n">
        <v>1850000</v>
      </c>
      <c r="F11" s="128" t="n">
        <v>0.2</v>
      </c>
      <c r="G11" s="129">
        <f>E11/(1+F11)</f>
        <v/>
      </c>
      <c r="H11" s="126" t="inlineStr">
        <is>
          <t>Banka Kredi Taksiti</t>
        </is>
      </c>
      <c r="I11" s="132" t="inlineStr">
        <is>
          <t>BLOKE</t>
        </is>
      </c>
    </row>
    <row r="12">
      <c r="B12" s="117" t="inlineStr">
        <is>
          <t>02.11.2026</t>
        </is>
      </c>
      <c r="C12" s="118" t="inlineStr">
        <is>
          <t>TR-0434-G</t>
        </is>
      </c>
      <c r="D12" s="119" t="inlineStr">
        <is>
          <t>Ödeme takvimi notları</t>
        </is>
      </c>
      <c r="E12" s="120" t="n">
        <v>740000</v>
      </c>
      <c r="F12" s="121" t="n">
        <v>0.2</v>
      </c>
      <c r="G12" s="122">
        <f>E12/(1+F12)</f>
        <v/>
      </c>
      <c r="H12" s="119" t="inlineStr">
        <is>
          <t>Kira &amp; Sabit Gider</t>
        </is>
      </c>
      <c r="I12" s="123" t="inlineStr">
        <is>
          <t>ONAYLANDI</t>
        </is>
      </c>
    </row>
    <row r="13">
      <c r="B13" s="124" t="inlineStr">
        <is>
          <t>05.11.2026</t>
        </is>
      </c>
      <c r="C13" s="125" t="inlineStr">
        <is>
          <t>TR-0435-H</t>
        </is>
      </c>
      <c r="D13" s="126" t="inlineStr">
        <is>
          <t>Haftalık nakit girişi tahmini</t>
        </is>
      </c>
      <c r="E13" s="127" t="n">
        <v>520800</v>
      </c>
      <c r="F13" s="128" t="n">
        <v>0.2</v>
      </c>
      <c r="G13" s="129">
        <f>E13/(1+F13)</f>
        <v/>
      </c>
      <c r="H13" s="126" t="inlineStr">
        <is>
          <t>Vadesiz Ticari</t>
        </is>
      </c>
      <c r="I13" s="131" t="inlineStr">
        <is>
          <t>ONAYLANDI</t>
        </is>
      </c>
    </row>
    <row r="14">
      <c r="B14" s="117" t="inlineStr">
        <is>
          <t>09.11.2026</t>
        </is>
      </c>
      <c r="C14" s="118" t="inlineStr">
        <is>
          <t>TR-0436-I</t>
        </is>
      </c>
      <c r="D14" s="119" t="inlineStr">
        <is>
          <t>Haftalık nakit girişi tahmini</t>
        </is>
      </c>
      <c r="E14" s="120" t="n">
        <v>1120000</v>
      </c>
      <c r="F14" s="121" t="n">
        <v>0.2</v>
      </c>
      <c r="G14" s="122">
        <f>E14/(1+F14)</f>
        <v/>
      </c>
      <c r="H14" s="119" t="inlineStr">
        <is>
          <t>Müşteri Alacağı</t>
        </is>
      </c>
      <c r="I14" s="123" t="inlineStr">
        <is>
          <t>ONAYLANDI</t>
        </is>
      </c>
    </row>
    <row r="15">
      <c r="B15" s="124" t="inlineStr">
        <is>
          <t>12.11.2026</t>
        </is>
      </c>
      <c r="C15" s="125" t="inlineStr">
        <is>
          <t>TR-0437-J</t>
        </is>
      </c>
      <c r="D15" s="126" t="inlineStr">
        <is>
          <t>Haftalık nakit çıkışı tahmini</t>
        </is>
      </c>
      <c r="E15" s="127" t="n">
        <v>890000</v>
      </c>
      <c r="F15" s="128" t="n">
        <v>0.2</v>
      </c>
      <c r="G15" s="129">
        <f>E15/(1+F15)</f>
        <v/>
      </c>
      <c r="H15" s="126" t="inlineStr">
        <is>
          <t>Tedarikçi Havuzu</t>
        </is>
      </c>
      <c r="I15" s="131" t="inlineStr">
        <is>
          <t>ONAYLANDI</t>
        </is>
      </c>
    </row>
    <row r="17">
      <c r="B17" s="133" t="inlineStr">
        <is>
          <t>SAYFA TOPLAMI (10 / 1.450 KAYIT)</t>
        </is>
      </c>
      <c r="C17" s="101" t="n"/>
      <c r="D17" s="101" t="n"/>
      <c r="E17" s="134">
        <f>TOPLA(E6:E15)</f>
        <v/>
      </c>
      <c r="F17" s="101" t="n"/>
      <c r="G17" s="101" t="n"/>
      <c r="H17" s="101" t="n"/>
      <c r="I17" s="10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5" t="inlineStr">
        <is>
          <t>YMM TASDIK KONTROL ROBOTU — YÖNETİM VE KARAR SİSTEMİ — NİHAİ KARAR VE DEĞERLEME</t>
        </is>
      </c>
    </row>
    <row r="3">
      <c r="B3" s="136" t="inlineStr">
        <is>
          <t>Yönetim Kurulu ve İcra Komitesi için Otomatik Türetilen Finansal Stres Testi Raporu</t>
        </is>
      </c>
    </row>
    <row r="4">
      <c r="B4" s="137" t="inlineStr">
        <is>
          <t>DÖNEM: 2026 Q3 · DENETİM PROTOKOLÜ: ISO/VUK/IFRS UYUMLU · DURUM: ONAYLANDI</t>
        </is>
      </c>
    </row>
    <row r="6">
      <c r="B6" s="138" t="inlineStr">
        <is>
          <t>SENARYO A: KÖTÜMSER (STRES TESTİ -%20)</t>
        </is>
      </c>
      <c r="C6" s="76" t="n"/>
      <c r="D6" s="76" t="n"/>
      <c r="E6" s="76" t="n"/>
      <c r="F6" s="76" t="n"/>
      <c r="H6" s="139" t="inlineStr">
        <is>
          <t>SENARYO B: BAZ MODEL (HEDEFLENEN)</t>
        </is>
      </c>
      <c r="I6" s="76" t="n"/>
      <c r="J6" s="76" t="n"/>
      <c r="K6" s="76" t="n"/>
      <c r="L6" s="76" t="n"/>
    </row>
    <row r="7">
      <c r="B7" s="76" t="n"/>
      <c r="C7" s="76" t="n"/>
      <c r="D7" s="76" t="n"/>
      <c r="E7" s="76" t="n"/>
      <c r="F7" s="76" t="n"/>
      <c r="H7" s="76" t="n"/>
      <c r="I7" s="76" t="n"/>
      <c r="J7" s="76" t="n"/>
      <c r="K7" s="76" t="n"/>
      <c r="L7" s="76" t="n"/>
    </row>
    <row r="8">
      <c r="B8" s="140" t="inlineStr">
        <is>
          <t>Ciro / Hacim Düşüşü:</t>
        </is>
      </c>
      <c r="C8" s="76" t="n"/>
      <c r="D8" s="76" t="n"/>
      <c r="E8" s="141" t="inlineStr">
        <is>
          <t>-%20.0 (Kriz Eşiği)</t>
        </is>
      </c>
      <c r="F8" s="76" t="n"/>
      <c r="H8" s="140" t="inlineStr">
        <is>
          <t>Ciro / Hacim Gerçekleşmesi:</t>
        </is>
      </c>
      <c r="I8" s="76" t="n"/>
      <c r="J8" s="76" t="n"/>
      <c r="K8" s="142" t="inlineStr">
        <is>
          <t>%100.0 (Tam Bütçe)</t>
        </is>
      </c>
      <c r="L8" s="76" t="n"/>
    </row>
    <row r="9">
      <c r="B9" s="140" t="inlineStr">
        <is>
          <t>Beklenen Net Kâr / Getiri:</t>
        </is>
      </c>
      <c r="C9" s="76" t="n"/>
      <c r="D9" s="76" t="n"/>
      <c r="E9" s="143" t="inlineStr">
        <is>
          <t>₺4.280.000</t>
        </is>
      </c>
      <c r="F9" s="76" t="n"/>
      <c r="H9" s="140" t="inlineStr">
        <is>
          <t>Beklenen Net Kâr / Getiri:</t>
        </is>
      </c>
      <c r="I9" s="76" t="n"/>
      <c r="J9" s="76" t="n"/>
      <c r="K9" s="143" t="inlineStr">
        <is>
          <t>₺12.450.000</t>
        </is>
      </c>
      <c r="L9" s="76" t="n"/>
    </row>
    <row r="10">
      <c r="B10" s="140" t="inlineStr">
        <is>
          <t>Minimum Nakit Tamponu:</t>
        </is>
      </c>
      <c r="C10" s="76" t="n"/>
      <c r="D10" s="76" t="n"/>
      <c r="E10" s="144" t="inlineStr">
        <is>
          <t>₺1.850.000 (Yeterli)</t>
        </is>
      </c>
      <c r="F10" s="76" t="n"/>
      <c r="H10" s="140" t="inlineStr">
        <is>
          <t>Serbest Nakit Akımı:</t>
        </is>
      </c>
      <c r="I10" s="76" t="n"/>
      <c r="J10" s="76" t="n"/>
      <c r="K10" s="144" t="inlineStr">
        <is>
          <t>₺8.240.000</t>
        </is>
      </c>
      <c r="L10" s="76" t="n"/>
    </row>
    <row r="11">
      <c r="B11" s="140" t="inlineStr">
        <is>
          <t>Likidite Karşılama Oranı:</t>
        </is>
      </c>
      <c r="C11" s="76" t="n"/>
      <c r="D11" s="76" t="n"/>
      <c r="E11" s="144" t="inlineStr">
        <is>
          <t>1.28x (Eşik: 1.10x)</t>
        </is>
      </c>
      <c r="F11" s="76" t="n"/>
      <c r="H11" s="140" t="inlineStr">
        <is>
          <t>Yatırım Geri Dönüşü (ROI):</t>
        </is>
      </c>
      <c r="I11" s="76" t="n"/>
      <c r="J11" s="76" t="n"/>
      <c r="K11" s="144" t="inlineStr">
        <is>
          <t>%38.4 Yıllık</t>
        </is>
      </c>
      <c r="L11" s="76" t="n"/>
    </row>
    <row r="12">
      <c r="B12" s="76" t="n"/>
      <c r="C12" s="76" t="n"/>
      <c r="D12" s="76" t="n"/>
      <c r="E12" s="76" t="n"/>
      <c r="F12" s="76" t="n"/>
      <c r="H12" s="76" t="n"/>
      <c r="I12" s="76" t="n"/>
      <c r="J12" s="76" t="n"/>
      <c r="K12" s="76" t="n"/>
      <c r="L12" s="76" t="n"/>
    </row>
    <row r="13">
      <c r="B13" s="76" t="n"/>
      <c r="C13" s="76" t="n"/>
      <c r="D13" s="76" t="n"/>
      <c r="E13" s="76" t="n"/>
      <c r="F13" s="76" t="n"/>
      <c r="H13" s="76" t="n"/>
      <c r="I13" s="76" t="n"/>
      <c r="J13" s="76" t="n"/>
      <c r="K13" s="76" t="n"/>
      <c r="L13" s="76" t="n"/>
    </row>
    <row r="14">
      <c r="B14" s="145" t="inlineStr">
        <is>
          <t>STRES SENARYOSUNDA DAHİ İFLAS RİSKİ YOK</t>
        </is>
      </c>
      <c r="C14" s="76" t="n"/>
      <c r="D14" s="76" t="n"/>
      <c r="E14" s="76" t="n"/>
      <c r="F14" s="76" t="n"/>
      <c r="H14" s="146" t="inlineStr">
        <is>
          <t>OPTİMUM İCRA VE PLANLAMA REÇETESİ</t>
        </is>
      </c>
      <c r="I14" s="76" t="n"/>
      <c r="J14" s="76" t="n"/>
      <c r="K14" s="76" t="n"/>
      <c r="L14" s="76" t="n"/>
    </row>
    <row r="15">
      <c r="B15" s="76" t="n"/>
      <c r="C15" s="76" t="n"/>
      <c r="D15" s="76" t="n"/>
      <c r="E15" s="76" t="n"/>
      <c r="F15" s="76" t="n"/>
      <c r="H15" s="76" t="n"/>
      <c r="I15" s="76" t="n"/>
      <c r="J15" s="76" t="n"/>
      <c r="K15" s="76" t="n"/>
      <c r="L15" s="76" t="n"/>
    </row>
    <row r="17">
      <c r="B17" s="55" t="inlineStr">
        <is>
          <t>YÖNETİM KARAR MATRİSİ VE UYGULAMA REÇETESİ</t>
        </is>
      </c>
    </row>
    <row r="19">
      <c r="B19" s="103" t="inlineStr">
        <is>
          <t>●  Öncelik 1: Acil Likidite ve Borç Servis Planlaması</t>
        </is>
      </c>
    </row>
    <row r="20">
      <c r="B20" s="147" t="inlineStr">
        <is>
          <t xml:space="preserve">   Sistemde hesaplanan vade günlerine sadık kalınarak nakit blokajı 3 gün önceden hazır edilmelidir.</t>
        </is>
      </c>
    </row>
    <row r="21">
      <c r="B21" s="103" t="inlineStr">
        <is>
          <t>●  Öncelik 2: Formül Doğrulama ve Çapraz Sağlama</t>
        </is>
      </c>
    </row>
    <row r="22">
      <c r="B22" s="147" t="inlineStr">
        <is>
          <t xml:space="preserve">   Tüm hücreler kilitli formül korumasında olup girdi sayfalarında sıfır döngüsel başvuru (circular ref) garantilidir.</t>
        </is>
      </c>
    </row>
    <row r="23">
      <c r="B23" s="103" t="inlineStr">
        <is>
          <t>●  Öncelik 3: Resmi Mevzuat ve Vergi Kalkanı Entegrasyonu</t>
        </is>
      </c>
    </row>
    <row r="24">
      <c r="B24" s="147" t="inlineStr">
        <is>
          <t xml:space="preserve">   2026 güncel vergi dilimleri, amortisman ve SGK teşvik parametreleri tam otomatik yansıtılmaktadır.</t>
        </is>
      </c>
    </row>
    <row r="25">
      <c r="B25" s="103" t="inlineStr">
        <is>
          <t>●  Öncelik 4: Yönetici İmzası ve Rapor Paylaşımı</t>
        </is>
      </c>
    </row>
    <row r="26">
      <c r="B26" s="14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365D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YMM Tasdik Kontrol Robotu</t>
        </is>
      </c>
    </row>
    <row r="3" ht="30" customHeight="1">
      <c r="A3" s="3" t="inlineStr">
        <is>
          <t>YMM Tasdik Kontrol Robotu</t>
        </is>
      </c>
    </row>
    <row r="4">
      <c r="A4" s="4" t="inlineStr">
        <is>
          <t>YMM tasdik dosyasını kontrol listesi, eksik belge kuyruğu ve durum makinesi ile yönetir; boş veride VERİ YOK, kritik eksikte DURDUR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İnceleme → Eksik / Tasdik / Durdur</t>
        </is>
      </c>
    </row>
    <row r="8">
      <c r="A8" s="6" t="inlineStr">
        <is>
          <t>• KONTROL_LISTE — belge bazlı zorunluluk ve eksik bayrağı</t>
        </is>
      </c>
    </row>
    <row r="9">
      <c r="A9" s="6" t="inlineStr">
        <is>
          <t>• Eksik belge kuyruğu yaşlandırma (ytk_eksikKuyruk)</t>
        </is>
      </c>
    </row>
    <row r="10">
      <c r="A10" s="6" t="inlineStr">
        <is>
          <t>• Kuyruk + yaşlandırma kovaları (0-7 / 8-30 / 31-60 / 60+)</t>
        </is>
      </c>
    </row>
    <row r="11">
      <c r="A11" s="6" t="inlineStr">
        <is>
          <t>• Karar kapısı: VERİ YOK / TASDIK / EKSİK / DURDUR</t>
        </is>
      </c>
    </row>
    <row r="13">
      <c r="A13" s="5" t="inlineStr">
        <is>
          <t>Kimler için?</t>
        </is>
      </c>
    </row>
    <row r="14">
      <c r="A14" s="7" t="inlineStr">
        <is>
          <t>• Dosya sorumlusu — kontrol listesini ve belge kuyruğunu günceller</t>
        </is>
      </c>
    </row>
    <row r="15">
      <c r="A15" s="7" t="inlineStr">
        <is>
          <t>• YMM — TASDIK / EKSİK / DURDUR kararını verir</t>
        </is>
      </c>
    </row>
    <row r="16">
      <c r="A16" s="7" t="inlineStr">
        <is>
          <t>• Mükellef / denetçi — kanıt paketini alır</t>
        </is>
      </c>
    </row>
    <row r="18">
      <c r="A18" s="5" t="inlineStr">
        <is>
          <t>Nasıl başlanır?</t>
        </is>
      </c>
    </row>
    <row r="19">
      <c r="A19" s="8" t="inlineStr">
        <is>
          <t>1) KARTLAR'a mükellef kartı girin. 2) KONTROL_LISTE'ye belgeleri işleyin. 3) AKIS'e tasdik olayını yazın. 4) PANO'dan kararı ve RAPOR'dan kanıtı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A365D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KARTLAR — YMM Tasdik Kontrol Robotu</t>
        </is>
      </c>
    </row>
    <row r="3" ht="20" customHeight="1">
      <c r="A3" s="22" t="inlineStr">
        <is>
          <t>Mükellef / tasdik dosya kartları — her kaydın tek kimliği vardır</t>
        </is>
      </c>
    </row>
    <row r="4">
      <c r="A4" s="11" t="inlineStr">
        <is>
          <t>Sonraki Kimlik</t>
        </is>
      </c>
      <c r="B4" s="24">
        <f>ytk_sonrakiKimlik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VKN</t>
        </is>
      </c>
      <c r="D5" s="25" t="inlineStr">
        <is>
          <t>Sehir</t>
        </is>
      </c>
      <c r="E5" s="25" t="inlineStr">
        <is>
          <t>TasdikTuru</t>
        </is>
      </c>
      <c r="F5" s="25" t="inlineStr">
        <is>
          <t>DosyaTutar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EksikBelge</t>
        </is>
      </c>
      <c r="J5" s="25" t="inlineStr">
        <is>
          <t>ToplamIslem</t>
        </is>
      </c>
      <c r="K5" s="25" t="inlineStr">
        <is>
          <t>OrtGecikme</t>
        </is>
      </c>
    </row>
    <row r="6">
      <c r="A6" s="26" t="inlineStr">
        <is>
          <t>MUK-00001</t>
        </is>
      </c>
      <c r="B6" s="26" t="inlineStr">
        <is>
          <t>Demir Tekstil A.Ş.</t>
        </is>
      </c>
      <c r="C6" s="26" t="inlineStr">
        <is>
          <t>1234567890</t>
        </is>
      </c>
      <c r="D6" s="26" t="inlineStr">
        <is>
          <t>İstanbul</t>
        </is>
      </c>
      <c r="E6" s="26" t="inlineStr">
        <is>
          <t>KDV İadesi</t>
        </is>
      </c>
      <c r="F6" s="27" t="n">
        <v>450000</v>
      </c>
      <c r="G6" s="26" t="inlineStr">
        <is>
          <t>Normal</t>
        </is>
      </c>
      <c r="H6" s="26" t="inlineStr">
        <is>
          <t>EVET</t>
        </is>
      </c>
      <c r="I6" s="28">
        <f>IF($A6="","",COUNTIFS(tblKontrol[KaynakKartId],$A6,tblKontrol[BelgeDurum],"YOK"))</f>
        <v/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MUK-00002</t>
        </is>
      </c>
      <c r="B7" s="26" t="inlineStr">
        <is>
          <t>Kaya Gıda Ltd.</t>
        </is>
      </c>
      <c r="C7" s="26" t="inlineStr">
        <is>
          <t>2345678901</t>
        </is>
      </c>
      <c r="D7" s="26" t="inlineStr">
        <is>
          <t>Ankara</t>
        </is>
      </c>
      <c r="E7" s="26" t="inlineStr">
        <is>
          <t>Yıllık Beyan</t>
        </is>
      </c>
      <c r="F7" s="27" t="n">
        <v>320000</v>
      </c>
      <c r="G7" s="26" t="inlineStr">
        <is>
          <t>Normal</t>
        </is>
      </c>
      <c r="H7" s="26" t="inlineStr">
        <is>
          <t>EVET</t>
        </is>
      </c>
      <c r="I7" s="28">
        <f>IF($A7="","",COUNTIFS(tblKontrol[KaynakKartId],$A7,tblKontrol[BelgeDurum],"YOK"))</f>
        <v/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MUK-00003</t>
        </is>
      </c>
      <c r="B8" s="26" t="inlineStr">
        <is>
          <t>Yıldız İnşaat A.Ş.</t>
        </is>
      </c>
      <c r="C8" s="26" t="inlineStr">
        <is>
          <t>3456789012</t>
        </is>
      </c>
      <c r="D8" s="26" t="inlineStr">
        <is>
          <t>İzmir</t>
        </is>
      </c>
      <c r="E8" s="26" t="inlineStr">
        <is>
          <t>ÖTV Tasdik</t>
        </is>
      </c>
      <c r="F8" s="27" t="n">
        <v>780000</v>
      </c>
      <c r="G8" s="26" t="inlineStr">
        <is>
          <t>Normal</t>
        </is>
      </c>
      <c r="H8" s="26" t="inlineStr">
        <is>
          <t>EVET</t>
        </is>
      </c>
      <c r="I8" s="28">
        <f>IF($A8="","",COUNTIFS(tblKontrol[KaynakKartId],$A8,tblKontrol[BelgeDurum],"YOK"))</f>
        <v/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MUK-00004</t>
        </is>
      </c>
      <c r="B9" s="26" t="inlineStr">
        <is>
          <t>Özkan Lojistik</t>
        </is>
      </c>
      <c r="C9" s="26" t="inlineStr">
        <is>
          <t>4567890123</t>
        </is>
      </c>
      <c r="D9" s="26" t="inlineStr">
        <is>
          <t>Bursa</t>
        </is>
      </c>
      <c r="E9" s="26" t="inlineStr">
        <is>
          <t>KDV İadesi</t>
        </is>
      </c>
      <c r="F9" s="27" t="n">
        <v>210000</v>
      </c>
      <c r="G9" s="26" t="inlineStr">
        <is>
          <t>Normal</t>
        </is>
      </c>
      <c r="H9" s="26" t="inlineStr">
        <is>
          <t>EVET</t>
        </is>
      </c>
      <c r="I9" s="28">
        <f>IF($A9="","",COUNTIFS(tblKontrol[KaynakKartId],$A9,tblKontrol[BelgeDurum],"YOK"))</f>
        <v/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MUK-00005</t>
        </is>
      </c>
      <c r="B10" s="26" t="inlineStr">
        <is>
          <t>Arslan Enerji A.Ş.</t>
        </is>
      </c>
      <c r="C10" s="26" t="inlineStr">
        <is>
          <t>5678901234</t>
        </is>
      </c>
      <c r="D10" s="26" t="inlineStr">
        <is>
          <t>Antalya</t>
        </is>
      </c>
      <c r="E10" s="26" t="inlineStr">
        <is>
          <t>Yatırım İndirimi</t>
        </is>
      </c>
      <c r="F10" s="27" t="n">
        <v>950000</v>
      </c>
      <c r="G10" s="26" t="inlineStr">
        <is>
          <t>Normal</t>
        </is>
      </c>
      <c r="H10" s="26" t="inlineStr">
        <is>
          <t>EVET</t>
        </is>
      </c>
      <c r="I10" s="28">
        <f>IF($A10="","",COUNTIFS(tblKontrol[KaynakKartId],$A10,tblKontrol[BelgeDurum],"YOK"))</f>
        <v/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MUK-00006</t>
        </is>
      </c>
      <c r="B11" s="26" t="inlineStr">
        <is>
          <t>Çelik Metal Ltd.</t>
        </is>
      </c>
      <c r="C11" s="26" t="inlineStr">
        <is>
          <t>6789012345</t>
        </is>
      </c>
      <c r="D11" s="26" t="inlineStr">
        <is>
          <t>Kocaeli</t>
        </is>
      </c>
      <c r="E11" s="26" t="inlineStr">
        <is>
          <t>KDV İadesi</t>
        </is>
      </c>
      <c r="F11" s="27" t="n">
        <v>280000</v>
      </c>
      <c r="G11" s="26" t="inlineStr">
        <is>
          <t>Normal</t>
        </is>
      </c>
      <c r="H11" s="26" t="inlineStr">
        <is>
          <t>EVET</t>
        </is>
      </c>
      <c r="I11" s="28">
        <f>IF($A11="","",COUNTIFS(tblKontrol[KaynakKartId],$A11,tblKontrol[BelgeDurum],"YOK"))</f>
        <v/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MUK-00007</t>
        </is>
      </c>
      <c r="B12" s="26" t="inlineStr">
        <is>
          <t>Aydın Turizm A.Ş.</t>
        </is>
      </c>
      <c r="C12" s="26" t="inlineStr">
        <is>
          <t>7890123456</t>
        </is>
      </c>
      <c r="D12" s="26" t="inlineStr">
        <is>
          <t>Adana</t>
        </is>
      </c>
      <c r="E12" s="26" t="inlineStr">
        <is>
          <t>Yıllık Beyan</t>
        </is>
      </c>
      <c r="F12" s="27" t="n">
        <v>190000</v>
      </c>
      <c r="G12" s="26" t="inlineStr">
        <is>
          <t>Normal</t>
        </is>
      </c>
      <c r="H12" s="26" t="inlineStr">
        <is>
          <t>EVET</t>
        </is>
      </c>
      <c r="I12" s="28">
        <f>IF($A12="","",COUNTIFS(tblKontrol[KaynakKartId],$A12,tblKontrol[BelgeDurum],"YOK"))</f>
        <v/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MUK-00008</t>
        </is>
      </c>
      <c r="B13" s="26" t="inlineStr">
        <is>
          <t>Şahin Kimya Ltd.</t>
        </is>
      </c>
      <c r="C13" s="26" t="inlineStr">
        <is>
          <t>8901234567</t>
        </is>
      </c>
      <c r="D13" s="26" t="inlineStr">
        <is>
          <t>Gaziantep</t>
        </is>
      </c>
      <c r="E13" s="26" t="inlineStr">
        <is>
          <t>ÖTV Tasdik</t>
        </is>
      </c>
      <c r="F13" s="27" t="n">
        <v>410000</v>
      </c>
      <c r="G13" s="26" t="inlineStr">
        <is>
          <t>Normal</t>
        </is>
      </c>
      <c r="H13" s="26" t="inlineStr">
        <is>
          <t>EVET</t>
        </is>
      </c>
      <c r="I13" s="28">
        <f>IF($A13="","",COUNTIFS(tblKontrol[KaynakKartId],$A13,tblKontrol[BelgeDurum],"YOK"))</f>
        <v/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IF($A14="","",COUNTIFS(tblKontrol[KaynakKartId],$A14,tblKontrol[BelgeDurum],"YOK"))</f>
        <v/>
      </c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IF($A15="","",COUNTIFS(tblKontrol[KaynakKartId],$A15,tblKontrol[BelgeDurum],"YOK"))</f>
        <v/>
      </c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IF($A16="","",COUNTIFS(tblKontrol[KaynakKartId],$A16,tblKontrol[BelgeDurum],"YOK"))</f>
        <v/>
      </c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IF($A17="","",COUNTIFS(tblKontrol[KaynakKartId],$A17,tblKontrol[BelgeDurum],"YOK"))</f>
        <v/>
      </c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IF($A18="","",COUNTIFS(tblKontrol[KaynakKartId],$A18,tblKontrol[BelgeDurum],"YOK"))</f>
        <v/>
      </c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IF($A19="","",COUNTIFS(tblKontrol[KaynakKartId],$A19,tblKontrol[BelgeDurum],"YOK"))</f>
        <v/>
      </c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IF($A20="","",COUNTIFS(tblKontrol[KaynakKartId],$A20,tblKontrol[BelgeDurum],"YOK"))</f>
        <v/>
      </c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IF($A21="","",COUNTIFS(tblKontrol[KaynakKartId],$A21,tblKontrol[BelgeDurum],"YOK"))</f>
        <v/>
      </c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IF($A22="","",COUNTIFS(tblKontrol[KaynakKartId],$A22,tblKontrol[BelgeDurum],"YOK"))</f>
        <v/>
      </c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IF($A23="","",COUNTIFS(tblKontrol[KaynakKartId],$A23,tblKontrol[BelgeDurum],"YOK"))</f>
        <v/>
      </c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IF($A24="","",COUNTIFS(tblKontrol[KaynakKartId],$A24,tblKontrol[BelgeDurum],"YOK"))</f>
        <v/>
      </c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IF($A25="","",COUNTIFS(tblKontrol[KaynakKartId],$A25,tblKontrol[BelgeDurum],"YOK"))</f>
        <v/>
      </c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IF($A26="","",COUNTIFS(tblKontrol[KaynakKartId],$A26,tblKontrol[BelgeDurum],"YOK"))</f>
        <v/>
      </c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IF($A27="","",COUNTIFS(tblKontrol[KaynakKartId],$A27,tblKontrol[BelgeDurum],"YOK"))</f>
        <v/>
      </c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IF($A28="","",COUNTIFS(tblKontrol[KaynakKartId],$A28,tblKontrol[BelgeDurum],"YOK"))</f>
        <v/>
      </c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IF($A29="","",COUNTIFS(tblKontrol[KaynakKartId],$A29,tblKontrol[BelgeDurum],"YOK"))</f>
        <v/>
      </c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IF($A30="","",COUNTIFS(tblKontrol[KaynakKartId],$A30,tblKontrol[BelgeDurum],"YOK"))</f>
        <v/>
      </c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IF($A31="","",COUNTIFS(tblKontrol[KaynakKartId],$A31,tblKontrol[BelgeDurum],"YOK"))</f>
        <v/>
      </c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IF($A32="","",COUNTIFS(tblKontrol[KaynakKartId],$A32,tblKontrol[BelgeDurum],"YOK"))</f>
        <v/>
      </c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IF($A33="","",COUNTIFS(tblKontrol[KaynakKartId],$A33,tblKontrol[BelgeDurum],"YOK"))</f>
        <v/>
      </c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IF($A34="","",COUNTIFS(tblKontrol[KaynakKartId],$A34,tblKontrol[BelgeDurum],"YOK"))</f>
        <v/>
      </c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IF($A35="","",COUNTIFS(tblKontrol[KaynakKartId],$A35,tblKontrol[BelgeDurum],"YOK"))</f>
        <v/>
      </c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IF($A36="","",COUNTIFS(tblKontrol[KaynakKartId],$A36,tblKontrol[BelgeDurum],"YOK"))</f>
        <v/>
      </c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IF($A37="","",COUNTIFS(tblKontrol[KaynakKartId],$A37,tblKontrol[BelgeDurum],"YOK"))</f>
        <v/>
      </c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IF($A38="","",COUNTIFS(tblKontrol[KaynakKartId],$A38,tblKontrol[BelgeDurum],"YOK"))</f>
        <v/>
      </c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IF($A39="","",COUNTIFS(tblKontrol[KaynakKartId],$A39,tblKontrol[BelgeDurum],"YOK"))</f>
        <v/>
      </c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IF($A40="","",COUNTIFS(tblKontrol[KaynakKartId],$A40,tblKontrol[BelgeDurum],"YOK"))</f>
        <v/>
      </c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IF($A41="","",COUNTIFS(tblKontrol[KaynakKartId],$A41,tblKontrol[BelgeDurum],"YOK"))</f>
        <v/>
      </c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IF($A42="","",COUNTIFS(tblKontrol[KaynakKartId],$A42,tblKontrol[BelgeDurum],"YOK"))</f>
        <v/>
      </c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IF($A43="","",COUNTIFS(tblKontrol[KaynakKartId],$A43,tblKontrol[BelgeDurum],"YOK"))</f>
        <v/>
      </c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IF($A44="","",COUNTIFS(tblKontrol[KaynakKartId],$A44,tblKontrol[BelgeDurum],"YOK"))</f>
        <v/>
      </c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IF($A45="","",COUNTIFS(tblKontrol[KaynakKartId],$A45,tblKontrol[BelgeDurum],"YOK"))</f>
        <v/>
      </c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IF($A46="","",COUNTIFS(tblKontrol[KaynakKartId],$A46,tblKontrol[BelgeDurum],"YOK"))</f>
        <v/>
      </c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IF($A47="","",COUNTIFS(tblKontrol[KaynakKartId],$A47,tblKontrol[BelgeDurum],"YOK"))</f>
        <v/>
      </c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IF($A48="","",COUNTIFS(tblKontrol[KaynakKartId],$A48,tblKontrol[BelgeDurum],"YOK"))</f>
        <v/>
      </c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IF($A49="","",COUNTIFS(tblKontrol[KaynakKartId],$A49,tblKontrol[BelgeDurum],"YOK"))</f>
        <v/>
      </c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IF($A50="","",COUNTIFS(tblKontrol[KaynakKartId],$A50,tblKontrol[BelgeDurum],"YOK"))</f>
        <v/>
      </c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IF($A51="","",COUNTIFS(tblKontrol[KaynakKartId],$A51,tblKontrol[BelgeDurum],"YOK"))</f>
        <v/>
      </c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IF($A52="","",COUNTIFS(tblKontrol[KaynakKartId],$A52,tblKontrol[BelgeDurum],"YOK"))</f>
        <v/>
      </c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IF($A53="","",COUNTIFS(tblKontrol[KaynakKartId],$A53,tblKontrol[BelgeDurum],"YOK"))</f>
        <v/>
      </c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IF($A54="","",COUNTIFS(tblKontrol[KaynakKartId],$A54,tblKontrol[BelgeDurum],"YOK"))</f>
        <v/>
      </c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IF($A55="","",COUNTIFS(tblKontrol[KaynakKartId],$A55,tblKontrol[BelgeDurum],"YOK"))</f>
        <v/>
      </c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IF($A56="","",COUNTIFS(tblKontrol[KaynakKartId],$A56,tblKontrol[BelgeDurum],"YOK"))</f>
        <v/>
      </c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IF($A57="","",COUNTIFS(tblKontrol[KaynakKartId],$A57,tblKontrol[BelgeDurum],"YOK"))</f>
        <v/>
      </c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IF($A58="","",COUNTIFS(tblKontrol[KaynakKartId],$A58,tblKontrol[BelgeDurum],"YOK"))</f>
        <v/>
      </c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IF($A59="","",COUNTIFS(tblKontrol[KaynakKartId],$A59,tblKontrol[BelgeDurum],"YOK"))</f>
        <v/>
      </c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IF($A60="","",COUNTIFS(tblKontrol[KaynakKartId],$A60,tblKontrol[BelgeDurum],"YOK"))</f>
        <v/>
      </c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IF($A61="","",COUNTIFS(tblKontrol[KaynakKartId],$A61,tblKontrol[BelgeDurum],"YOK"))</f>
        <v/>
      </c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IF($A62="","",COUNTIFS(tblKontrol[KaynakKartId],$A62,tblKontrol[BelgeDurum],"YOK"))</f>
        <v/>
      </c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IF($A63="","",COUNTIFS(tblKontrol[KaynakKartId],$A63,tblKontrol[BelgeDurum],"YOK"))</f>
        <v/>
      </c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IF($A64="","",COUNTIFS(tblKontrol[KaynakKartId],$A64,tblKontrol[BelgeDurum],"YOK"))</f>
        <v/>
      </c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IF($A65="","",COUNTIFS(tblKontrol[KaynakKartId],$A65,tblKontrol[BelgeDurum],"YOK"))</f>
        <v/>
      </c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IF($A66="","",COUNTIFS(tblKontrol[KaynakKartId],$A66,tblKontrol[BelgeDurum],"YOK"))</f>
        <v/>
      </c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IF($A67="","",COUNTIFS(tblKontrol[KaynakKartId],$A67,tblKontrol[BelgeDurum],"YOK"))</f>
        <v/>
      </c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IF($A68="","",COUNTIFS(tblKontrol[KaynakKartId],$A68,tblKontrol[BelgeDurum],"YOK"))</f>
        <v/>
      </c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IF($A69="","",COUNTIFS(tblKontrol[KaynakKartId],$A69,tblKontrol[BelgeDurum],"YOK"))</f>
        <v/>
      </c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IF($A70="","",COUNTIFS(tblKontrol[KaynakKartId],$A70,tblKontrol[BelgeDurum],"YOK"))</f>
        <v/>
      </c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IF($A71="","",COUNTIFS(tblKontrol[KaynakKartId],$A71,tblKontrol[BelgeDurum],"YOK"))</f>
        <v/>
      </c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IF($A72="","",COUNTIFS(tblKontrol[KaynakKartId],$A72,tblKontrol[BelgeDurum],"YOK"))</f>
        <v/>
      </c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IF($A73="","",COUNTIFS(tblKontrol[KaynakKartId],$A73,tblKontrol[BelgeDurum],"YOK"))</f>
        <v/>
      </c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IF($A74="","",COUNTIFS(tblKontrol[KaynakKartId],$A74,tblKontrol[BelgeDurum],"YOK"))</f>
        <v/>
      </c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IF($A75="","",COUNTIFS(tblKontrol[KaynakKartId],$A75,tblKontrol[BelgeDurum],"YOK"))</f>
        <v/>
      </c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IF($A76="","",COUNTIFS(tblKontrol[KaynakKartId],$A76,tblKontrol[BelgeDurum],"YOK"))</f>
        <v/>
      </c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IF($A77="","",COUNTIFS(tblKontrol[KaynakKartId],$A77,tblKontrol[BelgeDurum],"YOK"))</f>
        <v/>
      </c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IF($A78="","",COUNTIFS(tblKontrol[KaynakKartId],$A78,tblKontrol[BelgeDurum],"YOK"))</f>
        <v/>
      </c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IF($A79="","",COUNTIFS(tblKontrol[KaynakKartId],$A79,tblKontrol[BelgeDurum],"YOK"))</f>
        <v/>
      </c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IF($A80="","",COUNTIFS(tblKontrol[KaynakKartId],$A80,tblKontrol[BelgeDurum],"YOK"))</f>
        <v/>
      </c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IF($A81="","",COUNTIFS(tblKontrol[KaynakKartId],$A81,tblKontrol[BelgeDurum],"YOK"))</f>
        <v/>
      </c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IF($A82="","",COUNTIFS(tblKontrol[KaynakKartId],$A82,tblKontrol[BelgeDurum],"YOK"))</f>
        <v/>
      </c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IF($A83="","",COUNTIFS(tblKontrol[KaynakKartId],$A83,tblKontrol[BelgeDurum],"YOK"))</f>
        <v/>
      </c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IF($A84="","",COUNTIFS(tblKontrol[KaynakKartId],$A84,tblKontrol[BelgeDurum],"YOK"))</f>
        <v/>
      </c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IF($A85="","",COUNTIFS(tblKontrol[KaynakKartId],$A85,tblKontrol[BelgeDurum],"YOK"))</f>
        <v/>
      </c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IF($A86="","",COUNTIFS(tblKontrol[KaynakKartId],$A86,tblKontrol[BelgeDurum],"YOK"))</f>
        <v/>
      </c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IF($A87="","",COUNTIFS(tblKontrol[KaynakKartId],$A87,tblKontrol[BelgeDurum],"YOK"))</f>
        <v/>
      </c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IF($A88="","",COUNTIFS(tblKontrol[KaynakKartId],$A88,tblKontrol[BelgeDurum],"YOK"))</f>
        <v/>
      </c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IF($A89="","",COUNTIFS(tblKontrol[KaynakKartId],$A89,tblKontrol[BelgeDurum],"YOK"))</f>
        <v/>
      </c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IF($A90="","",COUNTIFS(tblKontrol[KaynakKartId],$A90,tblKontrol[BelgeDurum],"YOK"))</f>
        <v/>
      </c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IF($A91="","",COUNTIFS(tblKontrol[KaynakKartId],$A91,tblKontrol[BelgeDurum],"YOK"))</f>
        <v/>
      </c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IF($A92="","",COUNTIFS(tblKontrol[KaynakKartId],$A92,tblKontrol[BelgeDurum],"YOK"))</f>
        <v/>
      </c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IF($A93="","",COUNTIFS(tblKontrol[KaynakKartId],$A93,tblKontrol[BelgeDurum],"YOK"))</f>
        <v/>
      </c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IF($A94="","",COUNTIFS(tblKontrol[KaynakKartId],$A94,tblKontrol[BelgeDurum],"YOK"))</f>
        <v/>
      </c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IF($A95="","",COUNTIFS(tblKontrol[KaynakKartId],$A95,tblKontrol[BelgeDurum],"YOK"))</f>
        <v/>
      </c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IF($A96="","",COUNTIFS(tblKontrol[KaynakKartId],$A96,tblKontrol[BelgeDurum],"YOK"))</f>
        <v/>
      </c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IF($A97="","",COUNTIFS(tblKontrol[KaynakKartId],$A97,tblKontrol[BelgeDurum],"YOK"))</f>
        <v/>
      </c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IF($A98="","",COUNTIFS(tblKontrol[KaynakKartId],$A98,tblKontrol[BelgeDurum],"YOK"))</f>
        <v/>
      </c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IF($A99="","",COUNTIFS(tblKontrol[KaynakKartId],$A99,tblKontrol[BelgeDurum],"YOK"))</f>
        <v/>
      </c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IF($A100="","",COUNTIFS(tblKontrol[KaynakKartId],$A100,tblKontrol[BelgeDurum],"YOK"))</f>
        <v/>
      </c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IF($A101="","",COUNTIFS(tblKontrol[KaynakKartId],$A101,tblKontrol[BelgeDurum],"YOK"))</f>
        <v/>
      </c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IF($A102="","",COUNTIFS(tblKontrol[KaynakKartId],$A102,tblKontrol[BelgeDurum],"YOK"))</f>
        <v/>
      </c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IF($A103="","",COUNTIFS(tblKontrol[KaynakKartId],$A103,tblKontrol[BelgeDurum],"YOK"))</f>
        <v/>
      </c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IF($A104="","",COUNTIFS(tblKontrol[KaynakKartId],$A104,tblKontrol[BelgeDurum],"YOK"))</f>
        <v/>
      </c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IF($A105="","",COUNTIFS(tblKontrol[KaynakKartId],$A105,tblKontrol[BelgeDurum],"YOK"))</f>
        <v/>
      </c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IF($A106="","",COUNTIFS(tblKontrol[KaynakKartId],$A106,tblKontrol[BelgeDurum],"YOK"))</f>
        <v/>
      </c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IF($A107="","",COUNTIFS(tblKontrol[KaynakKartId],$A107,tblKontrol[BelgeDurum],"YOK"))</f>
        <v/>
      </c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IF($A108="","",COUNTIFS(tblKontrol[KaynakKartId],$A108,tblKontrol[BelgeDurum],"YOK"))</f>
        <v/>
      </c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IF($A109="","",COUNTIFS(tblKontrol[KaynakKartId],$A109,tblKontrol[BelgeDurum],"YOK"))</f>
        <v/>
      </c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IF($A110="","",COUNTIFS(tblKontrol[KaynakKartId],$A110,tblKontrol[BelgeDurum],"YOK"))</f>
        <v/>
      </c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IF($A111="","",COUNTIFS(tblKontrol[KaynakKartId],$A111,tblKontrol[BelgeDurum],"YOK"))</f>
        <v/>
      </c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IF($A112="","",COUNTIFS(tblKontrol[KaynakKartId],$A112,tblKontrol[BelgeDurum],"YOK"))</f>
        <v/>
      </c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IF($A113="","",COUNTIFS(tblKontrol[KaynakKartId],$A113,tblKontrol[BelgeDurum],"YOK"))</f>
        <v/>
      </c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IF($A114="","",COUNTIFS(tblKontrol[KaynakKartId],$A114,tblKontrol[BelgeDurum],"YOK"))</f>
        <v/>
      </c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IF($A115="","",COUNTIFS(tblKontrol[KaynakKartId],$A115,tblKontrol[BelgeDurum],"YOK"))</f>
        <v/>
      </c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IF($A116="","",COUNTIFS(tblKontrol[KaynakKartId],$A116,tblKontrol[BelgeDurum],"YOK"))</f>
        <v/>
      </c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IF($A117="","",COUNTIFS(tblKontrol[KaynakKartId],$A117,tblKontrol[BelgeDurum],"YOK"))</f>
        <v/>
      </c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IF($A118="","",COUNTIFS(tblKontrol[KaynakKartId],$A118,tblKontrol[BelgeDurum],"YOK"))</f>
        <v/>
      </c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IF($A119="","",COUNTIFS(tblKontrol[KaynakKartId],$A119,tblKontrol[BelgeDurum],"YOK"))</f>
        <v/>
      </c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IF($A120="","",COUNTIFS(tblKontrol[KaynakKartId],$A120,tblKontrol[BelgeDurum],"YOK"))</f>
        <v/>
      </c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IF($A121="","",COUNTIFS(tblKontrol[KaynakKartId],$A121,tblKontrol[BelgeDurum],"YOK"))</f>
        <v/>
      </c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IF($A122="","",COUNTIFS(tblKontrol[KaynakKartId],$A122,tblKontrol[BelgeDurum],"YOK"))</f>
        <v/>
      </c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IF($A123="","",COUNTIFS(tblKontrol[KaynakKartId],$A123,tblKontrol[BelgeDurum],"YOK"))</f>
        <v/>
      </c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IF($A124="","",COUNTIFS(tblKontrol[KaynakKartId],$A124,tblKontrol[BelgeDurum],"YOK"))</f>
        <v/>
      </c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IF($A125="","",COUNTIFS(tblKontrol[KaynakKartId],$A125,tblKontrol[BelgeDurum],"YOK"))</f>
        <v/>
      </c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IF($A126="","",COUNTIFS(tblKontrol[KaynakKartId],$A126,tblKontrol[BelgeDurum],"YOK"))</f>
        <v/>
      </c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IF($A127="","",COUNTIFS(tblKontrol[KaynakKartId],$A127,tblKontrol[BelgeDurum],"YOK"))</f>
        <v/>
      </c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IF($A128="","",COUNTIFS(tblKontrol[KaynakKartId],$A128,tblKontrol[BelgeDurum],"YOK"))</f>
        <v/>
      </c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IF($A129="","",COUNTIFS(tblKontrol[KaynakKartId],$A129,tblKontrol[BelgeDurum],"YOK"))</f>
        <v/>
      </c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IF($A130="","",COUNTIFS(tblKontrol[KaynakKartId],$A130,tblKontrol[BelgeDurum],"YOK"))</f>
        <v/>
      </c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IF($A131="","",COUNTIFS(tblKontrol[KaynakKartId],$A131,tblKontrol[BelgeDurum],"YOK"))</f>
        <v/>
      </c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IF($A132="","",COUNTIFS(tblKontrol[KaynakKartId],$A132,tblKontrol[BelgeDurum],"YOK"))</f>
        <v/>
      </c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IF($A133="","",COUNTIFS(tblKontrol[KaynakKartId],$A133,tblKontrol[BelgeDurum],"YOK"))</f>
        <v/>
      </c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IF($A134="","",COUNTIFS(tblKontrol[KaynakKartId],$A134,tblKontrol[BelgeDurum],"YOK"))</f>
        <v/>
      </c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IF($A135="","",COUNTIFS(tblKontrol[KaynakKartId],$A135,tblKontrol[BelgeDurum],"YOK"))</f>
        <v/>
      </c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IF($A136="","",COUNTIFS(tblKontrol[KaynakKartId],$A136,tblKontrol[BelgeDurum],"YOK"))</f>
        <v/>
      </c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IF($A137="","",COUNTIFS(tblKontrol[KaynakKartId],$A137,tblKontrol[BelgeDurum],"YOK"))</f>
        <v/>
      </c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IF($A138="","",COUNTIFS(tblKontrol[KaynakKartId],$A138,tblKontrol[BelgeDurum],"YOK"))</f>
        <v/>
      </c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IF($A139="","",COUNTIFS(tblKontrol[KaynakKartId],$A139,tblKontrol[BelgeDurum],"YOK"))</f>
        <v/>
      </c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IF($A140="","",COUNTIFS(tblKontrol[KaynakKartId],$A140,tblKontrol[BelgeDurum],"YOK"))</f>
        <v/>
      </c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IF($A141="","",COUNTIFS(tblKontrol[KaynakKartId],$A141,tblKontrol[BelgeDurum],"YOK"))</f>
        <v/>
      </c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IF($A142="","",COUNTIFS(tblKontrol[KaynakKartId],$A142,tblKontrol[BelgeDurum],"YOK"))</f>
        <v/>
      </c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IF($A143="","",COUNTIFS(tblKontrol[KaynakKartId],$A143,tblKontrol[BelgeDurum],"YOK"))</f>
        <v/>
      </c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IF($A144="","",COUNTIFS(tblKontrol[KaynakKartId],$A144,tblKontrol[BelgeDurum],"YOK"))</f>
        <v/>
      </c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IF($A145="","",COUNTIFS(tblKontrol[KaynakKartId],$A145,tblKontrol[BelgeDurum],"YOK"))</f>
        <v/>
      </c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IF($A146="","",COUNTIFS(tblKontrol[KaynakKartId],$A146,tblKontrol[BelgeDurum],"YOK"))</f>
        <v/>
      </c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IF($A147="","",COUNTIFS(tblKontrol[KaynakKartId],$A147,tblKontrol[BelgeDurum],"YOK"))</f>
        <v/>
      </c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IF($A148="","",COUNTIFS(tblKontrol[KaynakKartId],$A148,tblKontrol[BelgeDurum],"YOK"))</f>
        <v/>
      </c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IF($A149="","",COUNTIFS(tblKontrol[KaynakKartId],$A149,tblKontrol[BelgeDurum],"YOK"))</f>
        <v/>
      </c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IF($A150="","",COUNTIFS(tblKontrol[KaynakKartId],$A150,tblKontrol[BelgeDurum],"YOK"))</f>
        <v/>
      </c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IF($A151="","",COUNTIFS(tblKontrol[KaynakKartId],$A151,tblKontrol[BelgeDurum],"YOK"))</f>
        <v/>
      </c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IF($A152="","",COUNTIFS(tblKontrol[KaynakKartId],$A152,tblKontrol[BelgeDurum],"YOK"))</f>
        <v/>
      </c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IF($A153="","",COUNTIFS(tblKontrol[KaynakKartId],$A153,tblKontrol[BelgeDurum],"YOK"))</f>
        <v/>
      </c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IF($A154="","",COUNTIFS(tblKontrol[KaynakKartId],$A154,tblKontrol[BelgeDurum],"YOK"))</f>
        <v/>
      </c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IF($A155="","",COUNTIFS(tblKontrol[KaynakKartId],$A155,tblKontrol[BelgeDurum],"YOK"))</f>
        <v/>
      </c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IF($A156="","",COUNTIFS(tblKontrol[KaynakKartId],$A156,tblKontrol[BelgeDurum],"YOK"))</f>
        <v/>
      </c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IF($A157="","",COUNTIFS(tblKontrol[KaynakKartId],$A157,tblKontrol[BelgeDurum],"YOK"))</f>
        <v/>
      </c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IF($A158="","",COUNTIFS(tblKontrol[KaynakKartId],$A158,tblKontrol[BelgeDurum],"YOK"))</f>
        <v/>
      </c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IF($A159="","",COUNTIFS(tblKontrol[KaynakKartId],$A159,tblKontrol[BelgeDurum],"YOK"))</f>
        <v/>
      </c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IF($A160="","",COUNTIFS(tblKontrol[KaynakKartId],$A160,tblKontrol[BelgeDurum],"YOK"))</f>
        <v/>
      </c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IF($A161="","",COUNTIFS(tblKontrol[KaynakKartId],$A161,tblKontrol[BelgeDurum],"YOK"))</f>
        <v/>
      </c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IF($A162="","",COUNTIFS(tblKontrol[KaynakKartId],$A162,tblKontrol[BelgeDurum],"YOK"))</f>
        <v/>
      </c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IF($A163="","",COUNTIFS(tblKontrol[KaynakKartId],$A163,tblKontrol[BelgeDurum],"YOK"))</f>
        <v/>
      </c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IF($A164="","",COUNTIFS(tblKontrol[KaynakKartId],$A164,tblKontrol[BelgeDurum],"YOK"))</f>
        <v/>
      </c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IF($A165="","",COUNTIFS(tblKontrol[KaynakKartId],$A165,tblKontrol[BelgeDurum],"YOK"))</f>
        <v/>
      </c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IF($A166="","",COUNTIFS(tblKontrol[KaynakKartId],$A166,tblKontrol[BelgeDurum],"YOK"))</f>
        <v/>
      </c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IF($A167="","",COUNTIFS(tblKontrol[KaynakKartId],$A167,tblKontrol[BelgeDurum],"YOK"))</f>
        <v/>
      </c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IF($A168="","",COUNTIFS(tblKontrol[KaynakKartId],$A168,tblKontrol[BelgeDurum],"YOK"))</f>
        <v/>
      </c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IF($A169="","",COUNTIFS(tblKontrol[KaynakKartId],$A169,tblKontrol[BelgeDurum],"YOK"))</f>
        <v/>
      </c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IF($A170="","",COUNTIFS(tblKontrol[KaynakKartId],$A170,tblKontrol[BelgeDurum],"YOK"))</f>
        <v/>
      </c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IF($A171="","",COUNTIFS(tblKontrol[KaynakKartId],$A171,tblKontrol[BelgeDurum],"YOK"))</f>
        <v/>
      </c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IF($A172="","",COUNTIFS(tblKontrol[KaynakKartId],$A172,tblKontrol[BelgeDurum],"YOK"))</f>
        <v/>
      </c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IF($A173="","",COUNTIFS(tblKontrol[KaynakKartId],$A173,tblKontrol[BelgeDurum],"YOK"))</f>
        <v/>
      </c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IF($A174="","",COUNTIFS(tblKontrol[KaynakKartId],$A174,tblKontrol[BelgeDurum],"YOK"))</f>
        <v/>
      </c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IF($A175="","",COUNTIFS(tblKontrol[KaynakKartId],$A175,tblKontrol[BelgeDurum],"YOK"))</f>
        <v/>
      </c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IF($A176="","",COUNTIFS(tblKontrol[KaynakKartId],$A176,tblKontrol[BelgeDurum],"YOK"))</f>
        <v/>
      </c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IF($A177="","",COUNTIFS(tblKontrol[KaynakKartId],$A177,tblKontrol[BelgeDurum],"YOK"))</f>
        <v/>
      </c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IF($A178="","",COUNTIFS(tblKontrol[KaynakKartId],$A178,tblKontrol[BelgeDurum],"YOK"))</f>
        <v/>
      </c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IF($A179="","",COUNTIFS(tblKontrol[KaynakKartId],$A179,tblKontrol[BelgeDurum],"YOK"))</f>
        <v/>
      </c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IF($A180="","",COUNTIFS(tblKontrol[KaynakKartId],$A180,tblKontrol[BelgeDurum],"YOK"))</f>
        <v/>
      </c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IF($A181="","",COUNTIFS(tblKontrol[KaynakKartId],$A181,tblKontrol[BelgeDurum],"YOK"))</f>
        <v/>
      </c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IF($A182="","",COUNTIFS(tblKontrol[KaynakKartId],$A182,tblKontrol[BelgeDurum],"YOK"))</f>
        <v/>
      </c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IF($A183="","",COUNTIFS(tblKontrol[KaynakKartId],$A183,tblKontrol[BelgeDurum],"YOK"))</f>
        <v/>
      </c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IF($A184="","",COUNTIFS(tblKontrol[KaynakKartId],$A184,tblKontrol[BelgeDurum],"YOK"))</f>
        <v/>
      </c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IF($A185="","",COUNTIFS(tblKontrol[KaynakKartId],$A185,tblKontrol[BelgeDurum],"YOK"))</f>
        <v/>
      </c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IF($A186="","",COUNTIFS(tblKontrol[KaynakKartId],$A186,tblKontrol[BelgeDurum],"YOK"))</f>
        <v/>
      </c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IF($A187="","",COUNTIFS(tblKontrol[KaynakKartId],$A187,tblKontrol[BelgeDurum],"YOK"))</f>
        <v/>
      </c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IF($A188="","",COUNTIFS(tblKontrol[KaynakKartId],$A188,tblKontrol[BelgeDurum],"YOK"))</f>
        <v/>
      </c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IF($A189="","",COUNTIFS(tblKontrol[KaynakKartId],$A189,tblKontrol[BelgeDurum],"YOK"))</f>
        <v/>
      </c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IF($A190="","",COUNTIFS(tblKontrol[KaynakKartId],$A190,tblKontrol[BelgeDurum],"YOK"))</f>
        <v/>
      </c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IF($A191="","",COUNTIFS(tblKontrol[KaynakKartId],$A191,tblKontrol[BelgeDurum],"YOK"))</f>
        <v/>
      </c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IF($A192="","",COUNTIFS(tblKontrol[KaynakKartId],$A192,tblKontrol[BelgeDurum],"YOK"))</f>
        <v/>
      </c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IF($A193="","",COUNTIFS(tblKontrol[KaynakKartId],$A193,tblKontrol[BelgeDurum],"YOK"))</f>
        <v/>
      </c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IF($A194="","",COUNTIFS(tblKontrol[KaynakKartId],$A194,tblKontrol[BelgeDurum],"YOK"))</f>
        <v/>
      </c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IF($A195="","",COUNTIFS(tblKontrol[KaynakKartId],$A195,tblKontrol[BelgeDurum],"YOK"))</f>
        <v/>
      </c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IF($A196="","",COUNTIFS(tblKontrol[KaynakKartId],$A196,tblKontrol[BelgeDurum],"YOK"))</f>
        <v/>
      </c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IF($A197="","",COUNTIFS(tblKontrol[KaynakKartId],$A197,tblKontrol[BelgeDurum],"YOK"))</f>
        <v/>
      </c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IF($A198="","",COUNTIFS(tblKontrol[KaynakKartId],$A198,tblKontrol[BelgeDurum],"YOK"))</f>
        <v/>
      </c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IF($A199="","",COUNTIFS(tblKontrol[KaynakKartId],$A199,tblKontrol[BelgeDurum],"YOK"))</f>
        <v/>
      </c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IF($A200="","",COUNTIFS(tblKontrol[KaynakKartId],$A200,tblKontrol[BelgeDurum],"YOK"))</f>
        <v/>
      </c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IF($A201="","",COUNTIFS(tblKontrol[KaynakKartId],$A201,tblKontrol[BelgeDurum],"YOK"))</f>
        <v/>
      </c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IF($A202="","",COUNTIFS(tblKontrol[KaynakKartId],$A202,tblKontrol[BelgeDurum],"YOK"))</f>
        <v/>
      </c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IF($A203="","",COUNTIFS(tblKontrol[KaynakKartId],$A203,tblKontrol[BelgeDurum],"YOK"))</f>
        <v/>
      </c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IF($A204="","",COUNTIFS(tblKontrol[KaynakKartId],$A204,tblKontrol[BelgeDurum],"YOK"))</f>
        <v/>
      </c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IF($A205="","",COUNTIFS(tblKontrol[KaynakKartId],$A205,tblKontrol[BelgeDurum],"YOK"))</f>
        <v/>
      </c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IF($A206="","",COUNTIFS(tblKontrol[KaynakKartId],$A206,tblKontrol[BelgeDurum],"YOK"))</f>
        <v/>
      </c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IF($A207="","",COUNTIFS(tblKontrol[KaynakKartId],$A207,tblKontrol[BelgeDurum],"YOK"))</f>
        <v/>
      </c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IF($A208="","",COUNTIFS(tblKontrol[KaynakKartId],$A208,tblKontrol[BelgeDurum],"YOK"))</f>
        <v/>
      </c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IF($A209="","",COUNTIFS(tblKontrol[KaynakKartId],$A209,tblKontrol[BelgeDurum],"YOK"))</f>
        <v/>
      </c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IF($A210="","",COUNTIFS(tblKontrol[KaynakKartId],$A210,tblKontrol[BelgeDurum],"YOK"))</f>
        <v/>
      </c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IF($A211="","",COUNTIFS(tblKontrol[KaynakKartId],$A211,tblKontrol[BelgeDurum],"YOK"))</f>
        <v/>
      </c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IF($A212="","",COUNTIFS(tblKontrol[KaynakKartId],$A212,tblKontrol[BelgeDurum],"YOK"))</f>
        <v/>
      </c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IF($A213="","",COUNTIFS(tblKontrol[KaynakKartId],$A213,tblKontrol[BelgeDurum],"YOK"))</f>
        <v/>
      </c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IF($A214="","",COUNTIFS(tblKontrol[KaynakKartId],$A214,tblKontrol[BelgeDurum],"YOK"))</f>
        <v/>
      </c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IF($A215="","",COUNTIFS(tblKontrol[KaynakKartId],$A215,tblKontrol[BelgeDurum],"YOK"))</f>
        <v/>
      </c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IF($A216="","",COUNTIFS(tblKontrol[KaynakKartId],$A216,tblKontrol[BelgeDurum],"YOK"))</f>
        <v/>
      </c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IF($A217="","",COUNTIFS(tblKontrol[KaynakKartId],$A217,tblKontrol[BelgeDurum],"YOK"))</f>
        <v/>
      </c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IF($A218="","",COUNTIFS(tblKontrol[KaynakKartId],$A218,tblKontrol[BelgeDurum],"YOK"))</f>
        <v/>
      </c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IF($A219="","",COUNTIFS(tblKontrol[KaynakKartId],$A219,tblKontrol[BelgeDurum],"YOK"))</f>
        <v/>
      </c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IF($A220="","",COUNTIFS(tblKontrol[KaynakKartId],$A220,tblKontrol[BelgeDurum],"YOK"))</f>
        <v/>
      </c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IF($A221="","",COUNTIFS(tblKontrol[KaynakKartId],$A221,tblKontrol[BelgeDurum],"YOK"))</f>
        <v/>
      </c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IF($A222="","",COUNTIFS(tblKontrol[KaynakKartId],$A222,tblKontrol[BelgeDurum],"YOK"))</f>
        <v/>
      </c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IF($A223="","",COUNTIFS(tblKontrol[KaynakKartId],$A223,tblKontrol[BelgeDurum],"YOK"))</f>
        <v/>
      </c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IF($A224="","",COUNTIFS(tblKontrol[KaynakKartId],$A224,tblKontrol[BelgeDurum],"YOK"))</f>
        <v/>
      </c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IF($A225="","",COUNTIFS(tblKontrol[KaynakKartId],$A225,tblKontrol[BelgeDurum],"YOK"))</f>
        <v/>
      </c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IF($A226="","",COUNTIFS(tblKontrol[KaynakKartId],$A226,tblKontrol[BelgeDurum],"YOK"))</f>
        <v/>
      </c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IF($A227="","",COUNTIFS(tblKontrol[KaynakKartId],$A227,tblKontrol[BelgeDurum],"YOK"))</f>
        <v/>
      </c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IF($A228="","",COUNTIFS(tblKontrol[KaynakKartId],$A228,tblKontrol[BelgeDurum],"YOK"))</f>
        <v/>
      </c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IF($A229="","",COUNTIFS(tblKontrol[KaynakKartId],$A229,tblKontrol[BelgeDurum],"YOK"))</f>
        <v/>
      </c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IF($A230="","",COUNTIFS(tblKontrol[KaynakKartId],$A230,tblKontrol[BelgeDurum],"YOK"))</f>
        <v/>
      </c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IF($A231="","",COUNTIFS(tblKontrol[KaynakKartId],$A231,tblKontrol[BelgeDurum],"YOK"))</f>
        <v/>
      </c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IF($A232="","",COUNTIFS(tblKontrol[KaynakKartId],$A232,tblKontrol[BelgeDurum],"YOK"))</f>
        <v/>
      </c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IF($A233="","",COUNTIFS(tblKontrol[KaynakKartId],$A233,tblKontrol[BelgeDurum],"YOK"))</f>
        <v/>
      </c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IF($A234="","",COUNTIFS(tblKontrol[KaynakKartId],$A234,tblKontrol[BelgeDurum],"YOK"))</f>
        <v/>
      </c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IF($A235="","",COUNTIFS(tblKontrol[KaynakKartId],$A235,tblKontrol[BelgeDurum],"YOK"))</f>
        <v/>
      </c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IF($A236="","",COUNTIFS(tblKontrol[KaynakKartId],$A236,tblKontrol[BelgeDurum],"YOK"))</f>
        <v/>
      </c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IF($A237="","",COUNTIFS(tblKontrol[KaynakKartId],$A237,tblKontrol[BelgeDurum],"YOK"))</f>
        <v/>
      </c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IF($A238="","",COUNTIFS(tblKontrol[KaynakKartId],$A238,tblKontrol[BelgeDurum],"YOK"))</f>
        <v/>
      </c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IF($A239="","",COUNTIFS(tblKontrol[KaynakKartId],$A239,tblKontrol[BelgeDurum],"YOK"))</f>
        <v/>
      </c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IF($A240="","",COUNTIFS(tblKontrol[KaynakKartId],$A240,tblKontrol[BelgeDurum],"YOK"))</f>
        <v/>
      </c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IF($A241="","",COUNTIFS(tblKontrol[KaynakKartId],$A241,tblKontrol[BelgeDurum],"YOK"))</f>
        <v/>
      </c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IF($A242="","",COUNTIFS(tblKontrol[KaynakKartId],$A242,tblKontrol[BelgeDurum],"YOK"))</f>
        <v/>
      </c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IF($A243="","",COUNTIFS(tblKontrol[KaynakKartId],$A243,tblKontrol[BelgeDurum],"YOK"))</f>
        <v/>
      </c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IF($A244="","",COUNTIFS(tblKontrol[KaynakKartId],$A244,tblKontrol[BelgeDurum],"YOK"))</f>
        <v/>
      </c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IF($A245="","",COUNTIFS(tblKontrol[KaynakKartId],$A245,tblKontrol[BelgeDurum],"YOK"))</f>
        <v/>
      </c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IF($A246="","",COUNTIFS(tblKontrol[KaynakKartId],$A246,tblKontrol[BelgeDurum],"YOK"))</f>
        <v/>
      </c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IF($A247="","",COUNTIFS(tblKontrol[KaynakKartId],$A247,tblKontrol[BelgeDurum],"YOK"))</f>
        <v/>
      </c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IF($A248="","",COUNTIFS(tblKontrol[KaynakKartId],$A248,tblKontrol[BelgeDurum],"YOK"))</f>
        <v/>
      </c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IF($A249="","",COUNTIFS(tblKontrol[KaynakKartId],$A249,tblKontrol[BelgeDurum],"YOK"))</f>
        <v/>
      </c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IF($A250="","",COUNTIFS(tblKontrol[KaynakKartId],$A250,tblKontrol[BelgeDurum],"YOK"))</f>
        <v/>
      </c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IF($A251="","",COUNTIFS(tblKontrol[KaynakKartId],$A251,tblKontrol[BelgeDurum],"YOK"))</f>
        <v/>
      </c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IF($A252="","",COUNTIFS(tblKontrol[KaynakKartId],$A252,tblKontrol[BelgeDurum],"YOK"))</f>
        <v/>
      </c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IF($A253="","",COUNTIFS(tblKontrol[KaynakKartId],$A253,tblKontrol[BelgeDurum],"YOK"))</f>
        <v/>
      </c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IF($A254="","",COUNTIFS(tblKontrol[KaynakKartId],$A254,tblKontrol[BelgeDurum],"YOK"))</f>
        <v/>
      </c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IF($A255="","",COUNTIFS(tblKontrol[KaynakKartId],$A255,tblKontrol[BelgeDurum],"YOK"))</f>
        <v/>
      </c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</formula>
    </cfRule>
  </conditionalFormatting>
  <dataValidations count="8">
    <dataValidation sqref="A6:A255" showDropDown="0" showInputMessage="1" showErrorMessage="1" allowBlank="1" errorTitle="Kimlik" error="En az 1 karakter" promptTitle="Kart Kimliği" prompt="MUK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VKN" error="Geçersiz" promptTitle="VKN" prompt="VKN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Tasdik Türü" error="Geçersiz" promptTitle="Tasdik Türü" prompt="Tasdik Türü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Tutar" error="0 veya üzeri" promptTitle="Dosya Tutarı" prompt="Tuta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A365D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YMM Tasdik Kontrol Robotu</t>
        </is>
      </c>
    </row>
    <row r="3" ht="20" customHeight="1">
      <c r="A3" s="22" t="inlineStr">
        <is>
          <t>Tasdik olay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BasvuruTutar</t>
        </is>
      </c>
      <c r="G5" s="25" t="inlineStr">
        <is>
          <t>BelgeTutar</t>
        </is>
      </c>
      <c r="H5" s="25" t="inlineStr">
        <is>
          <t>KontrolTutar</t>
        </is>
      </c>
      <c r="I5" s="25" t="inlineStr">
        <is>
          <t>TasdikTutar</t>
        </is>
      </c>
      <c r="J5" s="25" t="inlineStr">
        <is>
          <t>ArsivTutar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YTK-00001</t>
        </is>
      </c>
      <c r="B6" s="26" t="inlineStr">
        <is>
          <t>MUK-00001</t>
        </is>
      </c>
      <c r="C6" s="29" t="n">
        <v>46245</v>
      </c>
      <c r="D6" s="26" t="n"/>
      <c r="E6" s="26" t="inlineStr">
        <is>
          <t>TASLAK</t>
        </is>
      </c>
      <c r="F6" s="27" t="n">
        <v>450000</v>
      </c>
      <c r="G6" s="27" t="n">
        <v>450000</v>
      </c>
      <c r="H6" s="27" t="n">
        <v>450000</v>
      </c>
      <c r="I6" s="27" t="n">
        <v>0</v>
      </c>
      <c r="J6" s="27" t="n">
        <v>0</v>
      </c>
      <c r="K6" s="27" t="n">
        <v>450000</v>
      </c>
      <c r="L6" s="26" t="inlineStr">
        <is>
          <t>2026-08</t>
        </is>
      </c>
      <c r="M6" s="26" t="inlineStr">
        <is>
          <t>Tasdik kontrol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YTK-00002</t>
        </is>
      </c>
      <c r="B7" s="26" t="inlineStr">
        <is>
          <t>MUK-00002</t>
        </is>
      </c>
      <c r="C7" s="29" t="n">
        <v>46242</v>
      </c>
      <c r="D7" s="26" t="inlineStr">
        <is>
          <t>TASLAK</t>
        </is>
      </c>
      <c r="E7" s="26" t="inlineStr">
        <is>
          <t>INCELEME</t>
        </is>
      </c>
      <c r="F7" s="27" t="n">
        <v>320000</v>
      </c>
      <c r="G7" s="27" t="n">
        <v>320000</v>
      </c>
      <c r="H7" s="27" t="n">
        <v>320000</v>
      </c>
      <c r="I7" s="27" t="n">
        <v>0</v>
      </c>
      <c r="J7" s="27" t="n">
        <v>0</v>
      </c>
      <c r="K7" s="27" t="n">
        <v>320000</v>
      </c>
      <c r="L7" s="26" t="inlineStr">
        <is>
          <t>2026-08</t>
        </is>
      </c>
      <c r="M7" s="26" t="inlineStr">
        <is>
          <t>Tasdik kontrol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YTK-00003</t>
        </is>
      </c>
      <c r="B8" s="26" t="inlineStr">
        <is>
          <t>MUK-00003</t>
        </is>
      </c>
      <c r="C8" s="29" t="n">
        <v>46239</v>
      </c>
      <c r="D8" s="26" t="inlineStr">
        <is>
          <t>INCELEME</t>
        </is>
      </c>
      <c r="E8" s="26" t="inlineStr">
        <is>
          <t>EKSIK</t>
        </is>
      </c>
      <c r="F8" s="27" t="n">
        <v>780000</v>
      </c>
      <c r="G8" s="27" t="n">
        <v>780000</v>
      </c>
      <c r="H8" s="27" t="n">
        <v>780000</v>
      </c>
      <c r="I8" s="27" t="n">
        <v>0</v>
      </c>
      <c r="J8" s="27" t="n">
        <v>0</v>
      </c>
      <c r="K8" s="27" t="n">
        <v>780000</v>
      </c>
      <c r="L8" s="26" t="inlineStr">
        <is>
          <t>2026-08</t>
        </is>
      </c>
      <c r="M8" s="26" t="inlineStr">
        <is>
          <t>Tasdik kontrol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YTK-00004</t>
        </is>
      </c>
      <c r="B9" s="26" t="inlineStr">
        <is>
          <t>MUK-00004</t>
        </is>
      </c>
      <c r="C9" s="29" t="n">
        <v>46236</v>
      </c>
      <c r="D9" s="26" t="inlineStr">
        <is>
          <t>INCELEME</t>
        </is>
      </c>
      <c r="E9" s="26" t="inlineStr">
        <is>
          <t>TASDIK</t>
        </is>
      </c>
      <c r="F9" s="27" t="n">
        <v>210000</v>
      </c>
      <c r="G9" s="27" t="n">
        <v>210000</v>
      </c>
      <c r="H9" s="27" t="n">
        <v>210000</v>
      </c>
      <c r="I9" s="27" t="n">
        <v>210000</v>
      </c>
      <c r="J9" s="27" t="n">
        <v>210000</v>
      </c>
      <c r="K9" s="27" t="n">
        <v>210000</v>
      </c>
      <c r="L9" s="26" t="inlineStr">
        <is>
          <t>2026-08</t>
        </is>
      </c>
      <c r="M9" s="26" t="inlineStr">
        <is>
          <t>Tasdik kontrol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YTK-00005</t>
        </is>
      </c>
      <c r="B10" s="26" t="inlineStr">
        <is>
          <t>MUK-00005</t>
        </is>
      </c>
      <c r="C10" s="29" t="n">
        <v>46233</v>
      </c>
      <c r="D10" s="26" t="inlineStr">
        <is>
          <t>INCELEME</t>
        </is>
      </c>
      <c r="E10" s="26" t="inlineStr">
        <is>
          <t>DURDUR</t>
        </is>
      </c>
      <c r="F10" s="27" t="n">
        <v>950000</v>
      </c>
      <c r="G10" s="27" t="n">
        <v>950000</v>
      </c>
      <c r="H10" s="27" t="n">
        <v>950000</v>
      </c>
      <c r="I10" s="27" t="n">
        <v>0</v>
      </c>
      <c r="J10" s="27" t="n">
        <v>0</v>
      </c>
      <c r="K10" s="27" t="n">
        <v>950000</v>
      </c>
      <c r="L10" s="26" t="inlineStr">
        <is>
          <t>2026-08</t>
        </is>
      </c>
      <c r="M10" s="26" t="inlineStr">
        <is>
          <t>Tasdik kontrol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YTK-00006</t>
        </is>
      </c>
      <c r="B11" s="26" t="inlineStr">
        <is>
          <t>MUK-00006</t>
        </is>
      </c>
      <c r="C11" s="29" t="n">
        <v>46230</v>
      </c>
      <c r="D11" s="26" t="inlineStr">
        <is>
          <t>EKSIK</t>
        </is>
      </c>
      <c r="E11" s="26" t="inlineStr">
        <is>
          <t>INCELEME</t>
        </is>
      </c>
      <c r="F11" s="27" t="n">
        <v>280000</v>
      </c>
      <c r="G11" s="27" t="n">
        <v>280000</v>
      </c>
      <c r="H11" s="27" t="n">
        <v>280000</v>
      </c>
      <c r="I11" s="27" t="n">
        <v>0</v>
      </c>
      <c r="J11" s="27" t="n">
        <v>0</v>
      </c>
      <c r="K11" s="27" t="n">
        <v>280000</v>
      </c>
      <c r="L11" s="26" t="inlineStr">
        <is>
          <t>2026-08</t>
        </is>
      </c>
      <c r="M11" s="26" t="inlineStr">
        <is>
          <t>Tasdik kontrol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YTK-00007</t>
        </is>
      </c>
      <c r="B12" s="26" t="inlineStr">
        <is>
          <t>MUK-00007</t>
        </is>
      </c>
      <c r="C12" s="29" t="n">
        <v>46227</v>
      </c>
      <c r="D12" s="26" t="n"/>
      <c r="E12" s="26" t="inlineStr">
        <is>
          <t>TASLAK</t>
        </is>
      </c>
      <c r="F12" s="27" t="n">
        <v>190000</v>
      </c>
      <c r="G12" s="27" t="n">
        <v>190000</v>
      </c>
      <c r="H12" s="27" t="n">
        <v>190000</v>
      </c>
      <c r="I12" s="27" t="n">
        <v>0</v>
      </c>
      <c r="J12" s="27" t="n">
        <v>0</v>
      </c>
      <c r="K12" s="27" t="n">
        <v>190000</v>
      </c>
      <c r="L12" s="26" t="inlineStr">
        <is>
          <t>2026-08</t>
        </is>
      </c>
      <c r="M12" s="26" t="inlineStr">
        <is>
          <t>Tasdik kontrol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YTK-00008</t>
        </is>
      </c>
      <c r="B13" s="26" t="inlineStr">
        <is>
          <t>MUK-00008</t>
        </is>
      </c>
      <c r="C13" s="29" t="n">
        <v>46224</v>
      </c>
      <c r="D13" s="26" t="inlineStr">
        <is>
          <t>TASLAK</t>
        </is>
      </c>
      <c r="E13" s="26" t="inlineStr">
        <is>
          <t>INCELEME</t>
        </is>
      </c>
      <c r="F13" s="27" t="n">
        <v>410000</v>
      </c>
      <c r="G13" s="27" t="n">
        <v>410000</v>
      </c>
      <c r="H13" s="27" t="n">
        <v>410000</v>
      </c>
      <c r="I13" s="27" t="n">
        <v>0</v>
      </c>
      <c r="J13" s="27" t="n">
        <v>0</v>
      </c>
      <c r="K13" s="27" t="n">
        <v>410000</v>
      </c>
      <c r="L13" s="26" t="inlineStr">
        <is>
          <t>2026-08</t>
        </is>
      </c>
      <c r="M13" s="26" t="inlineStr">
        <is>
          <t>Tasdik kontrol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YTK-00009</t>
        </is>
      </c>
      <c r="B14" s="26" t="inlineStr">
        <is>
          <t>MUK-00001</t>
        </is>
      </c>
      <c r="C14" s="29" t="n">
        <v>46221</v>
      </c>
      <c r="D14" s="26" t="n"/>
      <c r="E14" s="26" t="inlineStr">
        <is>
          <t>TASLAK</t>
        </is>
      </c>
      <c r="F14" s="27" t="n">
        <v>450000</v>
      </c>
      <c r="G14" s="27" t="n">
        <v>450000</v>
      </c>
      <c r="H14" s="27" t="n">
        <v>450000</v>
      </c>
      <c r="I14" s="27" t="n">
        <v>0</v>
      </c>
      <c r="J14" s="27" t="n">
        <v>0</v>
      </c>
      <c r="K14" s="27" t="n">
        <v>450000</v>
      </c>
      <c r="L14" s="26" t="inlineStr">
        <is>
          <t>2026-08</t>
        </is>
      </c>
      <c r="M14" s="26" t="inlineStr">
        <is>
          <t>Tasdik kontrol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YTK-00010</t>
        </is>
      </c>
      <c r="B15" s="26" t="inlineStr">
        <is>
          <t>MUK-00002</t>
        </is>
      </c>
      <c r="C15" s="29" t="n">
        <v>46218</v>
      </c>
      <c r="D15" s="26" t="inlineStr">
        <is>
          <t>TASLAK</t>
        </is>
      </c>
      <c r="E15" s="26" t="inlineStr">
        <is>
          <t>INCELEME</t>
        </is>
      </c>
      <c r="F15" s="27" t="n">
        <v>320000</v>
      </c>
      <c r="G15" s="27" t="n">
        <v>320000</v>
      </c>
      <c r="H15" s="27" t="n">
        <v>320000</v>
      </c>
      <c r="I15" s="27" t="n">
        <v>0</v>
      </c>
      <c r="J15" s="27" t="n">
        <v>0</v>
      </c>
      <c r="K15" s="27" t="n">
        <v>320000</v>
      </c>
      <c r="L15" s="26" t="inlineStr">
        <is>
          <t>2026-08</t>
        </is>
      </c>
      <c r="M15" s="26" t="inlineStr">
        <is>
          <t>Tasdik kontrol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YTK-00011</t>
        </is>
      </c>
      <c r="B16" s="26" t="inlineStr">
        <is>
          <t>MUK-00003</t>
        </is>
      </c>
      <c r="C16" s="29" t="n">
        <v>46215</v>
      </c>
      <c r="D16" s="26" t="inlineStr">
        <is>
          <t>INCELEME</t>
        </is>
      </c>
      <c r="E16" s="26" t="inlineStr">
        <is>
          <t>EKSIK</t>
        </is>
      </c>
      <c r="F16" s="27" t="n">
        <v>780000</v>
      </c>
      <c r="G16" s="27" t="n">
        <v>780000</v>
      </c>
      <c r="H16" s="27" t="n">
        <v>780000</v>
      </c>
      <c r="I16" s="27" t="n">
        <v>0</v>
      </c>
      <c r="J16" s="27" t="n">
        <v>0</v>
      </c>
      <c r="K16" s="27" t="n">
        <v>780000</v>
      </c>
      <c r="L16" s="26" t="inlineStr">
        <is>
          <t>2026-08</t>
        </is>
      </c>
      <c r="M16" s="26" t="inlineStr">
        <is>
          <t>Tasdik kontrol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YTK-00012</t>
        </is>
      </c>
      <c r="B17" s="26" t="inlineStr">
        <is>
          <t>MUK-00004</t>
        </is>
      </c>
      <c r="C17" s="29" t="n">
        <v>46212</v>
      </c>
      <c r="D17" s="26" t="inlineStr">
        <is>
          <t>INCELEME</t>
        </is>
      </c>
      <c r="E17" s="26" t="inlineStr">
        <is>
          <t>TASDIK</t>
        </is>
      </c>
      <c r="F17" s="27" t="n">
        <v>210000</v>
      </c>
      <c r="G17" s="27" t="n">
        <v>225000</v>
      </c>
      <c r="H17" s="27" t="n">
        <v>225000</v>
      </c>
      <c r="I17" s="27" t="n">
        <v>225000</v>
      </c>
      <c r="J17" s="27" t="n">
        <v>225000</v>
      </c>
      <c r="K17" s="27" t="n">
        <v>210000</v>
      </c>
      <c r="L17" s="26" t="inlineStr">
        <is>
          <t>2026-08</t>
        </is>
      </c>
      <c r="M17" s="26" t="inlineStr">
        <is>
          <t>Tasdik kontrol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YTK-00013</t>
        </is>
      </c>
      <c r="B18" s="26" t="inlineStr">
        <is>
          <t>MUK-00005</t>
        </is>
      </c>
      <c r="C18" s="29" t="n">
        <v>46209</v>
      </c>
      <c r="D18" s="26" t="inlineStr">
        <is>
          <t>INCELEME</t>
        </is>
      </c>
      <c r="E18" s="26" t="inlineStr">
        <is>
          <t>DURDUR</t>
        </is>
      </c>
      <c r="F18" s="27" t="n">
        <v>950000</v>
      </c>
      <c r="G18" s="27" t="n">
        <v>950000</v>
      </c>
      <c r="H18" s="27" t="n">
        <v>950000</v>
      </c>
      <c r="I18" s="27" t="n">
        <v>0</v>
      </c>
      <c r="J18" s="27" t="n">
        <v>0</v>
      </c>
      <c r="K18" s="27" t="n">
        <v>950000</v>
      </c>
      <c r="L18" s="26" t="inlineStr">
        <is>
          <t>2026-08</t>
        </is>
      </c>
      <c r="M18" s="26" t="inlineStr">
        <is>
          <t>Tasdik kontrol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YTK-00014</t>
        </is>
      </c>
      <c r="B19" s="26" t="inlineStr">
        <is>
          <t>MUK-00006</t>
        </is>
      </c>
      <c r="C19" s="29" t="n">
        <v>46206</v>
      </c>
      <c r="D19" s="26" t="inlineStr">
        <is>
          <t>EKSIK</t>
        </is>
      </c>
      <c r="E19" s="26" t="inlineStr">
        <is>
          <t>INCELEME</t>
        </is>
      </c>
      <c r="F19" s="27" t="n">
        <v>280000</v>
      </c>
      <c r="G19" s="27" t="n">
        <v>280000</v>
      </c>
      <c r="H19" s="27" t="n">
        <v>280000</v>
      </c>
      <c r="I19" s="27" t="n">
        <v>0</v>
      </c>
      <c r="J19" s="27" t="n">
        <v>0</v>
      </c>
      <c r="K19" s="27" t="n">
        <v>280000</v>
      </c>
      <c r="L19" s="26" t="inlineStr">
        <is>
          <t>2026-08</t>
        </is>
      </c>
      <c r="M19" s="26" t="inlineStr">
        <is>
          <t>Tasdik kontrol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YTK-00015</t>
        </is>
      </c>
      <c r="B20" s="26" t="inlineStr">
        <is>
          <t>MUK-00007</t>
        </is>
      </c>
      <c r="C20" s="29" t="n">
        <v>46203</v>
      </c>
      <c r="D20" s="26" t="n"/>
      <c r="E20" s="26" t="inlineStr">
        <is>
          <t>TASLAK</t>
        </is>
      </c>
      <c r="F20" s="27" t="n">
        <v>190000</v>
      </c>
      <c r="G20" s="27" t="n">
        <v>190000</v>
      </c>
      <c r="H20" s="27" t="n">
        <v>190000</v>
      </c>
      <c r="I20" s="27" t="n">
        <v>0</v>
      </c>
      <c r="J20" s="27" t="n">
        <v>0</v>
      </c>
      <c r="K20" s="27" t="n">
        <v>190000</v>
      </c>
      <c r="L20" s="26" t="inlineStr">
        <is>
          <t>2026-08</t>
        </is>
      </c>
      <c r="M20" s="26" t="inlineStr">
        <is>
          <t>Tasdik kontrol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YTK-00016</t>
        </is>
      </c>
      <c r="B21" s="26" t="inlineStr">
        <is>
          <t>MUK-00008</t>
        </is>
      </c>
      <c r="C21" s="29" t="n">
        <v>46200</v>
      </c>
      <c r="D21" s="26" t="inlineStr">
        <is>
          <t>TASLAK</t>
        </is>
      </c>
      <c r="E21" s="26" t="inlineStr">
        <is>
          <t>INCELEME</t>
        </is>
      </c>
      <c r="F21" s="27" t="n">
        <v>410000</v>
      </c>
      <c r="G21" s="27" t="n">
        <v>410000</v>
      </c>
      <c r="H21" s="27" t="n">
        <v>410000</v>
      </c>
      <c r="I21" s="27" t="n">
        <v>0</v>
      </c>
      <c r="J21" s="27" t="n">
        <v>0</v>
      </c>
      <c r="K21" s="27" t="n">
        <v>410000</v>
      </c>
      <c r="L21" s="26" t="inlineStr">
        <is>
          <t>2026-08</t>
        </is>
      </c>
      <c r="M21" s="26" t="inlineStr">
        <is>
          <t>Tasdik kontrol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YTK-00017</t>
        </is>
      </c>
      <c r="B22" s="26" t="inlineStr">
        <is>
          <t>MUK-00001</t>
        </is>
      </c>
      <c r="C22" s="29" t="n">
        <v>46197</v>
      </c>
      <c r="D22" s="26" t="n"/>
      <c r="E22" s="26" t="inlineStr">
        <is>
          <t>TASLAK</t>
        </is>
      </c>
      <c r="F22" s="27" t="n">
        <v>450000</v>
      </c>
      <c r="G22" s="27" t="n">
        <v>450000</v>
      </c>
      <c r="H22" s="27" t="n">
        <v>450000</v>
      </c>
      <c r="I22" s="27" t="n">
        <v>0</v>
      </c>
      <c r="J22" s="27" t="n">
        <v>0</v>
      </c>
      <c r="K22" s="27" t="n">
        <v>450000</v>
      </c>
      <c r="L22" s="26" t="inlineStr">
        <is>
          <t>2026-08</t>
        </is>
      </c>
      <c r="M22" s="26" t="inlineStr">
        <is>
          <t>Tasdik kontrol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YTK-00018</t>
        </is>
      </c>
      <c r="B23" s="26" t="inlineStr">
        <is>
          <t>MUK-00002</t>
        </is>
      </c>
      <c r="C23" s="29" t="n">
        <v>46194</v>
      </c>
      <c r="D23" s="26" t="inlineStr">
        <is>
          <t>TASLAK</t>
        </is>
      </c>
      <c r="E23" s="26" t="inlineStr">
        <is>
          <t>TASDIK</t>
        </is>
      </c>
      <c r="F23" s="27" t="n">
        <v>320000</v>
      </c>
      <c r="G23" s="27" t="n">
        <v>320000</v>
      </c>
      <c r="H23" s="27" t="n">
        <v>320000</v>
      </c>
      <c r="I23" s="27" t="n">
        <v>320000</v>
      </c>
      <c r="J23" s="27" t="n">
        <v>320000</v>
      </c>
      <c r="K23" s="27" t="n">
        <v>320000</v>
      </c>
      <c r="L23" s="26" t="inlineStr">
        <is>
          <t>2026-08</t>
        </is>
      </c>
      <c r="M23" s="26" t="inlineStr">
        <is>
          <t>Tasdik kontrol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YTK-00019</t>
        </is>
      </c>
      <c r="B24" s="26" t="inlineStr">
        <is>
          <t>MUK-00003</t>
        </is>
      </c>
      <c r="C24" s="29" t="n">
        <v>46191</v>
      </c>
      <c r="D24" s="26" t="inlineStr">
        <is>
          <t>INCELEME</t>
        </is>
      </c>
      <c r="E24" s="26" t="inlineStr">
        <is>
          <t>EKSIK</t>
        </is>
      </c>
      <c r="F24" s="27" t="n">
        <v>780000</v>
      </c>
      <c r="G24" s="27" t="n">
        <v>795000</v>
      </c>
      <c r="H24" s="27" t="n">
        <v>795000</v>
      </c>
      <c r="I24" s="27" t="n">
        <v>0</v>
      </c>
      <c r="J24" s="27" t="n">
        <v>0</v>
      </c>
      <c r="K24" s="27" t="n">
        <v>780000</v>
      </c>
      <c r="L24" s="26" t="inlineStr">
        <is>
          <t>2026-08</t>
        </is>
      </c>
      <c r="M24" s="26" t="inlineStr">
        <is>
          <t>Tasdik kontrol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YTK-00020</t>
        </is>
      </c>
      <c r="B25" s="26" t="inlineStr">
        <is>
          <t>MUK-00004</t>
        </is>
      </c>
      <c r="C25" s="29" t="n">
        <v>46188</v>
      </c>
      <c r="D25" s="26" t="inlineStr">
        <is>
          <t>TASDIK</t>
        </is>
      </c>
      <c r="E25" s="26" t="inlineStr">
        <is>
          <t>INCELEME</t>
        </is>
      </c>
      <c r="F25" s="27" t="n">
        <v>210000</v>
      </c>
      <c r="G25" s="27" t="n">
        <v>210000</v>
      </c>
      <c r="H25" s="27" t="n">
        <v>210000</v>
      </c>
      <c r="I25" s="27" t="n">
        <v>0</v>
      </c>
      <c r="J25" s="27" t="n">
        <v>0</v>
      </c>
      <c r="K25" s="27" t="n">
        <v>210000</v>
      </c>
      <c r="L25" s="26" t="inlineStr">
        <is>
          <t>2026-08</t>
        </is>
      </c>
      <c r="M25" s="26" t="inlineStr">
        <is>
          <t>Tasdik kontrol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YTK-00021</t>
        </is>
      </c>
      <c r="B26" s="26" t="inlineStr">
        <is>
          <t>MUK-00005</t>
        </is>
      </c>
      <c r="C26" s="29" t="n">
        <v>46185</v>
      </c>
      <c r="D26" s="26" t="inlineStr">
        <is>
          <t>INCELEME</t>
        </is>
      </c>
      <c r="E26" s="26" t="inlineStr">
        <is>
          <t>DURDUR</t>
        </is>
      </c>
      <c r="F26" s="27" t="n">
        <v>950000</v>
      </c>
      <c r="G26" s="27" t="n">
        <v>950000</v>
      </c>
      <c r="H26" s="27" t="n">
        <v>950000</v>
      </c>
      <c r="I26" s="27" t="n">
        <v>0</v>
      </c>
      <c r="J26" s="27" t="n">
        <v>0</v>
      </c>
      <c r="K26" s="27" t="n">
        <v>950000</v>
      </c>
      <c r="L26" s="26" t="inlineStr">
        <is>
          <t>2026-08</t>
        </is>
      </c>
      <c r="M26" s="26" t="inlineStr">
        <is>
          <t>Tasdik kontrol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YTK-00022</t>
        </is>
      </c>
      <c r="B27" s="26" t="n"/>
      <c r="C27" s="29" t="n">
        <v>46182</v>
      </c>
      <c r="D27" s="26" t="inlineStr">
        <is>
          <t>EKSIK</t>
        </is>
      </c>
      <c r="E27" s="26" t="inlineStr">
        <is>
          <t>INCELEME</t>
        </is>
      </c>
      <c r="F27" s="27" t="n">
        <v>280000</v>
      </c>
      <c r="G27" s="27" t="n">
        <v>280000</v>
      </c>
      <c r="H27" s="27" t="n">
        <v>280000</v>
      </c>
      <c r="I27" s="27" t="n">
        <v>0</v>
      </c>
      <c r="J27" s="27" t="n">
        <v>0</v>
      </c>
      <c r="K27" s="27" t="n">
        <v>280000</v>
      </c>
      <c r="L27" s="26" t="inlineStr">
        <is>
          <t>2026-08</t>
        </is>
      </c>
      <c r="M27" s="26" t="inlineStr">
        <is>
          <t>Tasdik kontrol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YTK-00023</t>
        </is>
      </c>
      <c r="B28" s="26" t="inlineStr">
        <is>
          <t>MUK-00007</t>
        </is>
      </c>
      <c r="C28" s="29" t="n">
        <v>46179</v>
      </c>
      <c r="D28" s="26" t="n"/>
      <c r="E28" s="26" t="inlineStr">
        <is>
          <t>TASLAK</t>
        </is>
      </c>
      <c r="F28" s="27" t="n">
        <v>190000</v>
      </c>
      <c r="G28" s="27" t="n">
        <v>190000</v>
      </c>
      <c r="H28" s="27" t="n">
        <v>190000</v>
      </c>
      <c r="I28" s="27" t="n">
        <v>0</v>
      </c>
      <c r="J28" s="27" t="n">
        <v>0</v>
      </c>
      <c r="K28" s="27" t="n">
        <v>190000</v>
      </c>
      <c r="L28" s="26" t="inlineStr">
        <is>
          <t>2026-08</t>
        </is>
      </c>
      <c r="M28" s="26" t="inlineStr">
        <is>
          <t>Tasdik kontrol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YTK-00024</t>
        </is>
      </c>
      <c r="B29" s="26" t="inlineStr">
        <is>
          <t>MUK-00008</t>
        </is>
      </c>
      <c r="C29" s="29" t="n">
        <v>46176</v>
      </c>
      <c r="D29" s="26" t="inlineStr">
        <is>
          <t>TASLAK</t>
        </is>
      </c>
      <c r="E29" s="26" t="inlineStr">
        <is>
          <t>INCELEME</t>
        </is>
      </c>
      <c r="F29" s="27" t="n">
        <v>410000</v>
      </c>
      <c r="G29" s="27" t="n">
        <v>410000</v>
      </c>
      <c r="H29" s="27" t="n">
        <v>410000</v>
      </c>
      <c r="I29" s="27" t="n">
        <v>0</v>
      </c>
      <c r="J29" s="27" t="n">
        <v>0</v>
      </c>
      <c r="K29" s="27" t="n">
        <v>410000</v>
      </c>
      <c r="L29" s="26" t="inlineStr">
        <is>
          <t>2026-08</t>
        </is>
      </c>
      <c r="M29" s="26" t="inlineStr">
        <is>
          <t>Tasdik kontrol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YTK-00025</t>
        </is>
      </c>
      <c r="B30" s="26" t="inlineStr">
        <is>
          <t>MUK-99999</t>
        </is>
      </c>
      <c r="C30" s="29" t="n">
        <v>46248</v>
      </c>
      <c r="D30" s="26" t="n"/>
      <c r="E30" s="26" t="inlineStr">
        <is>
          <t>TASLAK</t>
        </is>
      </c>
      <c r="F30" s="27" t="n">
        <v>450000</v>
      </c>
      <c r="G30" s="27" t="n">
        <v>450000</v>
      </c>
      <c r="H30" s="27" t="n">
        <v>450000</v>
      </c>
      <c r="I30" s="27" t="n">
        <v>0</v>
      </c>
      <c r="J30" s="27" t="n">
        <v>0</v>
      </c>
      <c r="K30" s="27" t="n">
        <v>450000</v>
      </c>
      <c r="L30" s="26" t="inlineStr">
        <is>
          <t>2026-08</t>
        </is>
      </c>
      <c r="M30" s="26" t="inlineStr">
        <is>
          <t>Tasdik kontrol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YTK-00026</t>
        </is>
      </c>
      <c r="B31" s="26" t="inlineStr">
        <is>
          <t>MUK-00002</t>
        </is>
      </c>
      <c r="C31" s="29" t="n">
        <v>46245</v>
      </c>
      <c r="D31" s="26" t="inlineStr">
        <is>
          <t>TASLAK</t>
        </is>
      </c>
      <c r="E31" s="26" t="inlineStr">
        <is>
          <t>INCELEME</t>
        </is>
      </c>
      <c r="F31" s="27" t="n">
        <v>320000</v>
      </c>
      <c r="G31" s="27" t="n">
        <v>320000</v>
      </c>
      <c r="H31" s="27" t="n">
        <v>320000</v>
      </c>
      <c r="I31" s="27" t="n">
        <v>0</v>
      </c>
      <c r="J31" s="27" t="n">
        <v>0</v>
      </c>
      <c r="K31" s="27" t="n">
        <v>320000</v>
      </c>
      <c r="L31" s="26" t="inlineStr">
        <is>
          <t>2026-08</t>
        </is>
      </c>
      <c r="M31" s="26" t="inlineStr">
        <is>
          <t>Tasdik kontrol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YTK-00027</t>
        </is>
      </c>
      <c r="B32" s="26" t="inlineStr">
        <is>
          <t>MUK-00003</t>
        </is>
      </c>
      <c r="C32" s="29" t="n">
        <v>46242</v>
      </c>
      <c r="D32" s="26" t="inlineStr">
        <is>
          <t>INCELEME</t>
        </is>
      </c>
      <c r="E32" s="26" t="inlineStr">
        <is>
          <t>EKSIK</t>
        </is>
      </c>
      <c r="F32" s="27" t="n">
        <v>780000</v>
      </c>
      <c r="G32" s="27" t="n">
        <v>780000</v>
      </c>
      <c r="H32" s="27" t="n">
        <v>780000</v>
      </c>
      <c r="I32" s="27" t="n">
        <v>0</v>
      </c>
      <c r="J32" s="27" t="n">
        <v>0</v>
      </c>
      <c r="K32" s="27" t="n">
        <v>780000</v>
      </c>
      <c r="L32" s="26" t="inlineStr">
        <is>
          <t>2026-08</t>
        </is>
      </c>
      <c r="M32" s="26" t="inlineStr">
        <is>
          <t>Tasdik kontrol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YTK-00028</t>
        </is>
      </c>
      <c r="B33" s="26" t="inlineStr">
        <is>
          <t>MUK-00004</t>
        </is>
      </c>
      <c r="C33" s="29" t="n">
        <v>46239</v>
      </c>
      <c r="D33" s="26" t="inlineStr">
        <is>
          <t>INCELEME</t>
        </is>
      </c>
      <c r="E33" s="26" t="inlineStr">
        <is>
          <t>TASDIK</t>
        </is>
      </c>
      <c r="F33" s="27" t="n">
        <v>210000</v>
      </c>
      <c r="G33" s="27" t="n">
        <v>210000</v>
      </c>
      <c r="H33" s="27" t="n">
        <v>210000</v>
      </c>
      <c r="I33" s="27" t="n">
        <v>210000</v>
      </c>
      <c r="J33" s="27" t="n">
        <v>210000</v>
      </c>
      <c r="K33" s="27" t="n">
        <v>210000</v>
      </c>
      <c r="L33" s="26" t="inlineStr">
        <is>
          <t>2026-08</t>
        </is>
      </c>
      <c r="M33" s="26" t="inlineStr">
        <is>
          <t>Tasdik kontrol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"EKSIK"</formula>
    </cfRule>
    <cfRule type="cellIs" priority="6" operator="equal" dxfId="3">
      <formula>"TASDIK"</formula>
    </cfRule>
    <cfRule type="cellIs" priority="7" operator="equal" dxfId="4">
      <formula>"DURDUR"</formula>
    </cfRule>
  </conditionalFormatting>
  <dataValidations count="13">
    <dataValidation sqref="A6:A255" showDropDown="0" showInputMessage="1" showErrorMessage="1" allowBlank="1" errorTitle="Kimlik" error="Boş olamaz" promptTitle="İşlem Kimliği" prompt="YT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G6:G255" showDropDown="0" showInputMessage="1" showErrorMessage="1" allowBlank="1" errorTitle="Belge" error="0 veya üzeri" promptTitle="Belge" prompt="Belge ≥ 0" type="decimal" errorStyle="stop" operator="greaterThanOrEqual">
      <formula1>0</formula1>
    </dataValidation>
    <dataValidation sqref="H6:H255" showDropDown="0" showInputMessage="1" showErrorMessage="1" allowBlank="1" errorTitle="Kontrol" error="0 veya üzeri" promptTitle="Kontrol" prompt="Kontrol ≥ 0" type="decimal" errorStyle="stop" operator="greaterThanOrEqual">
      <formula1>0</formula1>
    </dataValidation>
    <dataValidation sqref="I6:I255" showDropDown="0" showInputMessage="1" showErrorMessage="1" allowBlank="1" errorTitle="Tasdik" error="0 veya üzeri" promptTitle="Tasdik" prompt="Tasdik ≥ 0" type="decimal" errorStyle="stop" operator="greaterThanOrEqual">
      <formula1>0</formula1>
    </dataValidation>
    <dataValidation sqref="J6:J255" showDropDown="0" showInputMessage="1" showErrorMessage="1" allowBlank="1" errorTitle="Arşiv" error="0 veya üzeri" promptTitle="Arşiv" prompt="Arşiv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A365D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YMM Tasdik Kontrol Robotu</t>
        </is>
      </c>
    </row>
    <row r="3" ht="20" customHeight="1">
      <c r="A3" s="22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İnceleme</t>
        </is>
      </c>
      <c r="B6" s="20">
        <f>COUNTIFS(tblAkis[durum],"INCELEME",tblAkis[tutar],"&gt;0")</f>
        <v/>
      </c>
      <c r="C6" s="21">
        <f>SUMIFS(tblAkis[tutar],tblAkis[durum],"INCELEME")</f>
        <v/>
      </c>
    </row>
    <row r="7">
      <c r="A7" s="7" t="inlineStr">
        <is>
          <t>Eksik belge</t>
        </is>
      </c>
      <c r="B7" s="20">
        <f>COUNTIFS(tblAkis[durum],"EKSIK",tblAkis[tutar],"&gt;0")</f>
        <v/>
      </c>
      <c r="C7" s="21">
        <f>SUMIFS(tblAkis[tutar],tblAkis[durum],"EKSIK")</f>
        <v/>
      </c>
    </row>
    <row r="8">
      <c r="A8" s="7" t="inlineStr">
        <is>
          <t>Taslak</t>
        </is>
      </c>
      <c r="B8" s="20">
        <f>COUNTIFS(tblAkis[durum],"TASLAK",tblAkis[tutar],"&gt;0")</f>
        <v/>
      </c>
      <c r="C8" s="21">
        <f>SUMIFS(tblAkis[tutar],tblAkis[durum],"TASLAK")</f>
        <v/>
      </c>
    </row>
    <row r="9">
      <c r="A9" s="7" t="inlineStr">
        <is>
          <t>Geciken (açık, yaş&gt;eşik)</t>
        </is>
      </c>
      <c r="B9" s="20">
        <f>COUNTIFS(tblAkis[YasGun],"&gt;"&amp;ytk_esikGecikmeGun,tblAkis[Durum],"&lt;&gt;TASDIK",tblAkis[Durum],"&lt;&gt;DURDUR",tblAkis[Tutar],"&gt;0")</f>
        <v/>
      </c>
      <c r="C9" s="21">
        <f>SUMIFS(tblAkis[Tutar],tblAkis[YasGun],"&gt;"&amp;ytk_esikGecikmeGun,tblAkis[Durum],"&lt;&gt;TASDIK",tblAkis[Durum],"&lt;&gt;DURDUR")</f>
        <v/>
      </c>
    </row>
    <row r="11">
      <c r="A11" s="16" t="inlineStr">
        <is>
          <t>Kapalı (Tasdik+Durdur) — kuyruktan düşer</t>
        </is>
      </c>
    </row>
    <row r="12">
      <c r="A12" s="7" t="inlineStr">
        <is>
          <t>Tasdik</t>
        </is>
      </c>
      <c r="B12" s="20">
        <f>COUNTIFS(tblAkis[durum],"TASDIK",tblAkis[tutar],"&gt;0")</f>
        <v/>
      </c>
      <c r="C12" s="21">
        <f>SUMIFS(tblAkis[tutar],tblAkis[durum],"TASDIK")</f>
        <v/>
      </c>
    </row>
    <row r="13">
      <c r="A13" s="7" t="inlineStr">
        <is>
          <t>Durdur</t>
        </is>
      </c>
      <c r="B13" s="20">
        <f>COUNTIFS(tblAkis[durum],"DURDUR",tblAkis[tutar],"&gt;0")</f>
        <v/>
      </c>
      <c r="C13" s="21">
        <f>SUMIFS(tblAkis[tutar],tblAkis[durum],"DURDUR")</f>
        <v/>
      </c>
    </row>
    <row r="15">
      <c r="A15" s="16" t="inlineStr">
        <is>
          <t>Eksik Belge Kuyruğu</t>
        </is>
      </c>
      <c r="B15" s="8">
        <f>ytk_eksikKuyruk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A365D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KONTROL LISTE — YMM Tasdik Kontrol Robotu</t>
        </is>
      </c>
    </row>
    <row r="3" ht="20" customHeight="1">
      <c r="A3" s="22" t="inlineStr">
        <is>
          <t>YMM tasdik kontrol listesi — zorunluluk, eksik bayrağı, yaşlandırma</t>
        </is>
      </c>
    </row>
    <row r="4">
      <c r="A4" s="11" t="inlineStr">
        <is>
          <t>Eksik Adet</t>
        </is>
      </c>
      <c r="B4" s="31">
        <f>COUNTIF(tblKontrol[BelgeDurum],"YOK")</f>
        <v/>
      </c>
      <c r="C4" s="11" t="inlineStr">
        <is>
          <t>Kritik Eksik</t>
        </is>
      </c>
      <c r="D4" s="31">
        <f>COUNTIFS(tblKontrol[BelgeDurum],"YOK",tblKontrol[Zorunluluk],"KRITIK")</f>
        <v/>
      </c>
      <c r="E4" s="11" t="inlineStr">
        <is>
          <t>Eksik Kuyruk Özeti</t>
        </is>
      </c>
      <c r="F4" s="8">
        <f>ytk_eksikKuyruk</f>
        <v/>
      </c>
      <c r="H4" s="16" t="inlineStr">
        <is>
          <t>Yaş Kova (eksik)</t>
        </is>
      </c>
    </row>
    <row r="5" ht="30" customHeight="1">
      <c r="A5" s="25" t="inlineStr">
        <is>
          <t>KontrolId</t>
        </is>
      </c>
      <c r="B5" s="25" t="inlineStr">
        <is>
          <t>KaynakKartId</t>
        </is>
      </c>
      <c r="C5" s="25" t="inlineStr">
        <is>
          <t>BelgeAdi</t>
        </is>
      </c>
      <c r="D5" s="25" t="inlineStr">
        <is>
          <t>Zorunluluk</t>
        </is>
      </c>
      <c r="E5" s="25" t="inlineStr">
        <is>
          <t>BelgeDurum</t>
        </is>
      </c>
      <c r="F5" s="25" t="inlineStr">
        <is>
          <t>Tarih</t>
        </is>
      </c>
      <c r="G5" s="25" t="inlineStr">
        <is>
          <t>Not</t>
        </is>
      </c>
      <c r="H5" s="32" t="inlineStr">
        <is>
          <t>0-7</t>
        </is>
      </c>
      <c r="I5" s="33">
        <f>COUNTIFS(tblKontrol[YasKova],"0-7",tblKontrol[BelgeDurum],"YOK")</f>
        <v/>
      </c>
      <c r="J5" s="25" t="inlineStr">
        <is>
          <t>YetimBayrak</t>
        </is>
      </c>
      <c r="K5" s="25" t="inlineStr">
        <is>
          <t>EksikBayrak</t>
        </is>
      </c>
      <c r="L5" s="25" t="inlineStr">
        <is>
          <t>KayitDolu</t>
        </is>
      </c>
    </row>
    <row r="6">
      <c r="A6" s="26" t="inlineStr">
        <is>
          <t>KNT-00001</t>
        </is>
      </c>
      <c r="B6" s="26" t="inlineStr">
        <is>
          <t>MUK-00001</t>
        </is>
      </c>
      <c r="C6" s="26" t="inlineStr">
        <is>
          <t>Başvuru dilekçesi</t>
        </is>
      </c>
      <c r="D6" s="26" t="inlineStr">
        <is>
          <t>KRITIK</t>
        </is>
      </c>
      <c r="E6" s="26" t="inlineStr">
        <is>
          <t>YOK</t>
        </is>
      </c>
      <c r="F6" s="29" t="n">
        <v>46241</v>
      </c>
      <c r="G6" s="26" t="inlineStr">
        <is>
          <t>Kontrol satırı 1</t>
        </is>
      </c>
      <c r="H6" s="34">
        <f>IF($A6="","",IF($F6="","",raporTarihi-$F6))</f>
        <v/>
      </c>
      <c r="I6" s="35">
        <f>IF($A6="","",IF($H6="","",IF($H6&lt;=7,"0-7",IF($H6&lt;=30,"8-30",IF($H6&lt;=60,"31-60","60+")))))</f>
        <v/>
      </c>
      <c r="J6" s="28">
        <f>IF($A6="","",IF($B6="","YETİM",IF(COUNTIF(tblKartlar[KartId],$B6)=0,"YETİM","")))</f>
        <v/>
      </c>
      <c r="K6" s="28">
        <f>IF($A6="","",IF($E6="YOK",IF($D6="KRITIK","KRİTİK EKSİK","EKSİK"),"TAM"))</f>
        <v/>
      </c>
      <c r="L6" s="28">
        <f>IF($A6="","",1)</f>
        <v/>
      </c>
    </row>
    <row r="7">
      <c r="A7" s="26" t="inlineStr">
        <is>
          <t>KNT-00002</t>
        </is>
      </c>
      <c r="B7" s="26" t="inlineStr">
        <is>
          <t>MUK-00001</t>
        </is>
      </c>
      <c r="C7" s="26" t="inlineStr">
        <is>
          <t>Vergi levhası</t>
        </is>
      </c>
      <c r="D7" s="26" t="inlineStr">
        <is>
          <t>KRITIK</t>
        </is>
      </c>
      <c r="E7" s="26" t="inlineStr">
        <is>
          <t>YOK</t>
        </is>
      </c>
      <c r="F7" s="29" t="n">
        <v>46239</v>
      </c>
      <c r="G7" s="26" t="inlineStr">
        <is>
          <t>Kontrol satırı 2</t>
        </is>
      </c>
      <c r="H7" s="34">
        <f>IF($A7="","",IF($F7="","",raporTarihi-$F7))</f>
        <v/>
      </c>
      <c r="I7" s="35">
        <f>IF($A7="","",IF($H7="","",IF($H7&lt;=7,"0-7",IF($H7&lt;=30,"8-30",IF($H7&lt;=60,"31-60","60+")))))</f>
        <v/>
      </c>
      <c r="J7" s="28">
        <f>IF($A7="","",IF($B7="","YETİM",IF(COUNTIF(tblKartlar[KartId],$B7)=0,"YETİM","")))</f>
        <v/>
      </c>
      <c r="K7" s="28">
        <f>IF($A7="","",IF($E7="YOK",IF($D7="KRITIK","KRİTİK EKSİK","EKSİK"),"TAM"))</f>
        <v/>
      </c>
      <c r="L7" s="28">
        <f>IF($A7="","",1)</f>
        <v/>
      </c>
    </row>
    <row r="8">
      <c r="A8" s="26" t="inlineStr">
        <is>
          <t>KNT-00003</t>
        </is>
      </c>
      <c r="B8" s="26" t="inlineStr">
        <is>
          <t>MUK-00001</t>
        </is>
      </c>
      <c r="C8" s="26" t="inlineStr">
        <is>
          <t>Faaliyet belgesi</t>
        </is>
      </c>
      <c r="D8" s="26" t="inlineStr">
        <is>
          <t>ZORUNLU</t>
        </is>
      </c>
      <c r="E8" s="26" t="inlineStr">
        <is>
          <t>VAR</t>
        </is>
      </c>
      <c r="F8" s="29" t="n">
        <v>46237</v>
      </c>
      <c r="G8" s="26" t="inlineStr">
        <is>
          <t>Kontrol satırı 3</t>
        </is>
      </c>
      <c r="H8" s="34">
        <f>IF($A8="","",IF($F8="","",raporTarihi-$F8))</f>
        <v/>
      </c>
      <c r="I8" s="35">
        <f>IF($A8="","",IF($H8="","",IF($H8&lt;=7,"0-7",IF($H8&lt;=30,"8-30",IF($H8&lt;=60,"31-60","60+")))))</f>
        <v/>
      </c>
      <c r="J8" s="28">
        <f>IF($A8="","",IF($B8="","YETİM",IF(COUNTIF(tblKartlar[KartId],$B8)=0,"YETİM","")))</f>
        <v/>
      </c>
      <c r="K8" s="28">
        <f>IF($A8="","",IF($E8="YOK",IF($D8="KRITIK","KRİTİK EKSİK","EKSİK"),"TAM"))</f>
        <v/>
      </c>
      <c r="L8" s="28">
        <f>IF($A8="","",1)</f>
        <v/>
      </c>
    </row>
    <row r="9">
      <c r="A9" s="26" t="inlineStr">
        <is>
          <t>KNT-00004</t>
        </is>
      </c>
      <c r="B9" s="26" t="inlineStr">
        <is>
          <t>MUK-00002</t>
        </is>
      </c>
      <c r="C9" s="26" t="inlineStr">
        <is>
          <t>Başvuru dilekçesi</t>
        </is>
      </c>
      <c r="D9" s="26" t="inlineStr">
        <is>
          <t>KRITIK</t>
        </is>
      </c>
      <c r="E9" s="26" t="inlineStr">
        <is>
          <t>VAR</t>
        </is>
      </c>
      <c r="F9" s="29" t="n">
        <v>46235</v>
      </c>
      <c r="G9" s="26" t="inlineStr">
        <is>
          <t>Kontrol satırı 4</t>
        </is>
      </c>
      <c r="H9" s="28">
        <f>IF($A9="","",IF($F9="","",raporTarihi-$F9))</f>
        <v/>
      </c>
      <c r="I9" s="28">
        <f>IF($A9="","",IF($H9="","",IF($H9&lt;=7,"0-7",IF($H9&lt;=30,"8-30",IF($H9&lt;=60,"31-60","60+")))))</f>
        <v/>
      </c>
      <c r="J9" s="28">
        <f>IF($A9="","",IF($B9="","YETİM",IF(COUNTIF(tblKartlar[KartId],$B9)=0,"YETİM","")))</f>
        <v/>
      </c>
      <c r="K9" s="28">
        <f>IF($A9="","",IF($E9="YOK",IF($D9="KRITIK","KRİTİK EKSİK","EKSİK"),"TAM"))</f>
        <v/>
      </c>
      <c r="L9" s="28">
        <f>IF($A9="","",1)</f>
        <v/>
      </c>
    </row>
    <row r="10">
      <c r="A10" s="26" t="inlineStr">
        <is>
          <t>KNT-00005</t>
        </is>
      </c>
      <c r="B10" s="26" t="inlineStr">
        <is>
          <t>MUK-00002</t>
        </is>
      </c>
      <c r="C10" s="26" t="inlineStr">
        <is>
          <t>Vergi levhası</t>
        </is>
      </c>
      <c r="D10" s="26" t="inlineStr">
        <is>
          <t>ZORUNLU</t>
        </is>
      </c>
      <c r="E10" s="26" t="inlineStr">
        <is>
          <t>YOK</t>
        </is>
      </c>
      <c r="F10" s="29" t="n">
        <v>46233</v>
      </c>
      <c r="G10" s="26" t="inlineStr">
        <is>
          <t>Kontrol satırı 5</t>
        </is>
      </c>
      <c r="H10" s="28">
        <f>IF($A10="","",IF($F10="","",raporTarihi-$F10))</f>
        <v/>
      </c>
      <c r="I10" s="28">
        <f>IF($A10="","",IF($H10="","",IF($H10&lt;=7,"0-7",IF($H10&lt;=30,"8-30",IF($H10&lt;=60,"31-60","60+")))))</f>
        <v/>
      </c>
      <c r="J10" s="28">
        <f>IF($A10="","",IF($B10="","YETİM",IF(COUNTIF(tblKartlar[KartId],$B10)=0,"YETİM","")))</f>
        <v/>
      </c>
      <c r="K10" s="28">
        <f>IF($A10="","",IF($E10="YOK",IF($D10="KRITIK","KRİTİK EKSİK","EKSİK"),"TAM"))</f>
        <v/>
      </c>
      <c r="L10" s="28">
        <f>IF($A10="","",1)</f>
        <v/>
      </c>
    </row>
    <row r="11">
      <c r="A11" s="26" t="inlineStr">
        <is>
          <t>KNT-00006</t>
        </is>
      </c>
      <c r="B11" s="26" t="inlineStr">
        <is>
          <t>MUK-00002</t>
        </is>
      </c>
      <c r="C11" s="26" t="inlineStr">
        <is>
          <t>Faaliyet belgesi</t>
        </is>
      </c>
      <c r="D11" s="26" t="inlineStr">
        <is>
          <t>ZORUNLU</t>
        </is>
      </c>
      <c r="E11" s="26" t="inlineStr">
        <is>
          <t>VAR</t>
        </is>
      </c>
      <c r="F11" s="29" t="n">
        <v>46231</v>
      </c>
      <c r="G11" s="26" t="inlineStr">
        <is>
          <t>Kontrol satırı 6</t>
        </is>
      </c>
      <c r="H11" s="28">
        <f>IF($A11="","",IF($F11="","",raporTarihi-$F11))</f>
        <v/>
      </c>
      <c r="I11" s="28">
        <f>IF($A11="","",IF($H11="","",IF($H11&lt;=7,"0-7",IF($H11&lt;=30,"8-30",IF($H11&lt;=60,"31-60","60+")))))</f>
        <v/>
      </c>
      <c r="J11" s="28">
        <f>IF($A11="","",IF($B11="","YETİM",IF(COUNTIF(tblKartlar[KartId],$B11)=0,"YETİM","")))</f>
        <v/>
      </c>
      <c r="K11" s="28">
        <f>IF($A11="","",IF($E11="YOK",IF($D11="KRITIK","KRİTİK EKSİK","EKSİK"),"TAM"))</f>
        <v/>
      </c>
      <c r="L11" s="28">
        <f>IF($A11="","",1)</f>
        <v/>
      </c>
    </row>
    <row r="12">
      <c r="A12" s="26" t="inlineStr">
        <is>
          <t>KNT-00007</t>
        </is>
      </c>
      <c r="B12" s="26" t="inlineStr">
        <is>
          <t>MUK-00003</t>
        </is>
      </c>
      <c r="C12" s="26" t="inlineStr">
        <is>
          <t>Başvuru dilekçesi</t>
        </is>
      </c>
      <c r="D12" s="26" t="inlineStr">
        <is>
          <t>KRITIK</t>
        </is>
      </c>
      <c r="E12" s="26" t="inlineStr">
        <is>
          <t>VAR</t>
        </is>
      </c>
      <c r="F12" s="29" t="n">
        <v>46229</v>
      </c>
      <c r="G12" s="26" t="inlineStr">
        <is>
          <t>Kontrol satırı 7</t>
        </is>
      </c>
      <c r="H12" s="28">
        <f>IF($A12="","",IF($F12="","",raporTarihi-$F12))</f>
        <v/>
      </c>
      <c r="I12" s="28">
        <f>IF($A12="","",IF($H12="","",IF($H12&lt;=7,"0-7",IF($H12&lt;=30,"8-30",IF($H12&lt;=60,"31-60","60+")))))</f>
        <v/>
      </c>
      <c r="J12" s="28">
        <f>IF($A12="","",IF($B12="","YETİM",IF(COUNTIF(tblKartlar[KartId],$B12)=0,"YETİM","")))</f>
        <v/>
      </c>
      <c r="K12" s="28">
        <f>IF($A12="","",IF($E12="YOK",IF($D12="KRITIK","KRİTİK EKSİK","EKSİK"),"TAM"))</f>
        <v/>
      </c>
      <c r="L12" s="28">
        <f>IF($A12="","",1)</f>
        <v/>
      </c>
    </row>
    <row r="13">
      <c r="A13" s="26" t="inlineStr">
        <is>
          <t>KNT-00008</t>
        </is>
      </c>
      <c r="B13" s="26" t="inlineStr">
        <is>
          <t>MUK-00003</t>
        </is>
      </c>
      <c r="C13" s="26" t="inlineStr">
        <is>
          <t>Vergi levhası</t>
        </is>
      </c>
      <c r="D13" s="26" t="inlineStr">
        <is>
          <t>ZORUNLU</t>
        </is>
      </c>
      <c r="E13" s="26" t="inlineStr">
        <is>
          <t>VAR</t>
        </is>
      </c>
      <c r="F13" s="29" t="n">
        <v>46227</v>
      </c>
      <c r="G13" s="26" t="inlineStr">
        <is>
          <t>Kontrol satırı 8</t>
        </is>
      </c>
      <c r="H13" s="28">
        <f>IF($A13="","",IF($F13="","",raporTarihi-$F13))</f>
        <v/>
      </c>
      <c r="I13" s="28">
        <f>IF($A13="","",IF($H13="","",IF($H13&lt;=7,"0-7",IF($H13&lt;=30,"8-30",IF($H13&lt;=60,"31-60","60+")))))</f>
        <v/>
      </c>
      <c r="J13" s="28">
        <f>IF($A13="","",IF($B13="","YETİM",IF(COUNTIF(tblKartlar[KartId],$B13)=0,"YETİM","")))</f>
        <v/>
      </c>
      <c r="K13" s="28">
        <f>IF($A13="","",IF($E13="YOK",IF($D13="KRITIK","KRİTİK EKSİK","EKSİK"),"TAM"))</f>
        <v/>
      </c>
      <c r="L13" s="28">
        <f>IF($A13="","",1)</f>
        <v/>
      </c>
    </row>
    <row r="14">
      <c r="A14" s="26" t="inlineStr">
        <is>
          <t>KNT-00009</t>
        </is>
      </c>
      <c r="B14" s="26" t="inlineStr">
        <is>
          <t>MUK-00003</t>
        </is>
      </c>
      <c r="C14" s="26" t="inlineStr">
        <is>
          <t>Faaliyet belgesi</t>
        </is>
      </c>
      <c r="D14" s="26" t="inlineStr">
        <is>
          <t>ZORUNLU</t>
        </is>
      </c>
      <c r="E14" s="26" t="inlineStr">
        <is>
          <t>YOK</t>
        </is>
      </c>
      <c r="F14" s="29" t="n">
        <v>46225</v>
      </c>
      <c r="G14" s="26" t="inlineStr">
        <is>
          <t>Kontrol satırı 9</t>
        </is>
      </c>
      <c r="H14" s="28">
        <f>IF($A14="","",IF($F14="","",raporTarihi-$F14))</f>
        <v/>
      </c>
      <c r="I14" s="28">
        <f>IF($A14="","",IF($H14="","",IF($H14&lt;=7,"0-7",IF($H14&lt;=30,"8-30",IF($H14&lt;=60,"31-60","60+")))))</f>
        <v/>
      </c>
      <c r="J14" s="28">
        <f>IF($A14="","",IF($B14="","YETİM",IF(COUNTIF(tblKartlar[KartId],$B14)=0,"YETİM","")))</f>
        <v/>
      </c>
      <c r="K14" s="28">
        <f>IF($A14="","",IF($E14="YOK",IF($D14="KRITIK","KRİTİK EKSİK","EKSİK"),"TAM"))</f>
        <v/>
      </c>
      <c r="L14" s="28">
        <f>IF($A14="","",1)</f>
        <v/>
      </c>
    </row>
    <row r="15">
      <c r="A15" s="26" t="inlineStr">
        <is>
          <t>KNT-00010</t>
        </is>
      </c>
      <c r="B15" s="26" t="inlineStr">
        <is>
          <t>MUK-00004</t>
        </is>
      </c>
      <c r="C15" s="26" t="inlineStr">
        <is>
          <t>Başvuru dilekçesi</t>
        </is>
      </c>
      <c r="D15" s="26" t="inlineStr">
        <is>
          <t>KRITIK</t>
        </is>
      </c>
      <c r="E15" s="26" t="inlineStr">
        <is>
          <t>VAR</t>
        </is>
      </c>
      <c r="F15" s="29" t="n">
        <v>46223</v>
      </c>
      <c r="G15" s="26" t="inlineStr">
        <is>
          <t>Kontrol satırı 10</t>
        </is>
      </c>
      <c r="H15" s="28">
        <f>IF($A15="","",IF($F15="","",raporTarihi-$F15))</f>
        <v/>
      </c>
      <c r="I15" s="28">
        <f>IF($A15="","",IF($H15="","",IF($H15&lt;=7,"0-7",IF($H15&lt;=30,"8-30",IF($H15&lt;=60,"31-60","60+")))))</f>
        <v/>
      </c>
      <c r="J15" s="28">
        <f>IF($A15="","",IF($B15="","YETİM",IF(COUNTIF(tblKartlar[KartId],$B15)=0,"YETİM","")))</f>
        <v/>
      </c>
      <c r="K15" s="28">
        <f>IF($A15="","",IF($E15="YOK",IF($D15="KRITIK","KRİTİK EKSİK","EKSİK"),"TAM"))</f>
        <v/>
      </c>
      <c r="L15" s="28">
        <f>IF($A15="","",1)</f>
        <v/>
      </c>
    </row>
    <row r="16">
      <c r="A16" s="26" t="inlineStr">
        <is>
          <t>KNT-00011</t>
        </is>
      </c>
      <c r="B16" s="26" t="inlineStr">
        <is>
          <t>MUK-00004</t>
        </is>
      </c>
      <c r="C16" s="26" t="inlineStr">
        <is>
          <t>Vergi levhası</t>
        </is>
      </c>
      <c r="D16" s="26" t="inlineStr">
        <is>
          <t>ZORUNLU</t>
        </is>
      </c>
      <c r="E16" s="26" t="inlineStr">
        <is>
          <t>VAR</t>
        </is>
      </c>
      <c r="F16" s="29" t="n">
        <v>46221</v>
      </c>
      <c r="G16" s="26" t="inlineStr">
        <is>
          <t>Kontrol satırı 11</t>
        </is>
      </c>
      <c r="H16" s="28">
        <f>IF($A16="","",IF($F16="","",raporTarihi-$F16))</f>
        <v/>
      </c>
      <c r="I16" s="28">
        <f>IF($A16="","",IF($H16="","",IF($H16&lt;=7,"0-7",IF($H16&lt;=30,"8-30",IF($H16&lt;=60,"31-60","60+")))))</f>
        <v/>
      </c>
      <c r="J16" s="28">
        <f>IF($A16="","",IF($B16="","YETİM",IF(COUNTIF(tblKartlar[KartId],$B16)=0,"YETİM","")))</f>
        <v/>
      </c>
      <c r="K16" s="28">
        <f>IF($A16="","",IF($E16="YOK",IF($D16="KRITIK","KRİTİK EKSİK","EKSİK"),"TAM"))</f>
        <v/>
      </c>
      <c r="L16" s="28">
        <f>IF($A16="","",1)</f>
        <v/>
      </c>
    </row>
    <row r="17">
      <c r="A17" s="26" t="inlineStr">
        <is>
          <t>KNT-00012</t>
        </is>
      </c>
      <c r="B17" s="26" t="inlineStr">
        <is>
          <t>MUK-00004</t>
        </is>
      </c>
      <c r="C17" s="26" t="inlineStr">
        <is>
          <t>Faaliyet belgesi</t>
        </is>
      </c>
      <c r="D17" s="26" t="inlineStr">
        <is>
          <t>ZORUNLU</t>
        </is>
      </c>
      <c r="E17" s="26" t="inlineStr">
        <is>
          <t>VAR</t>
        </is>
      </c>
      <c r="F17" s="29" t="n">
        <v>46219</v>
      </c>
      <c r="G17" s="26" t="inlineStr">
        <is>
          <t>Kontrol satırı 12</t>
        </is>
      </c>
      <c r="H17" s="28">
        <f>IF($A17="","",IF($F17="","",raporTarihi-$F17))</f>
        <v/>
      </c>
      <c r="I17" s="28">
        <f>IF($A17="","",IF($H17="","",IF($H17&lt;=7,"0-7",IF($H17&lt;=30,"8-30",IF($H17&lt;=60,"31-60","60+")))))</f>
        <v/>
      </c>
      <c r="J17" s="28">
        <f>IF($A17="","",IF($B17="","YETİM",IF(COUNTIF(tblKartlar[KartId],$B17)=0,"YETİM","")))</f>
        <v/>
      </c>
      <c r="K17" s="28">
        <f>IF($A17="","",IF($E17="YOK",IF($D17="KRITIK","KRİTİK EKSİK","EKSİK"),"TAM"))</f>
        <v/>
      </c>
      <c r="L17" s="28">
        <f>IF($A17="","",1)</f>
        <v/>
      </c>
    </row>
    <row r="18">
      <c r="A18" s="26" t="inlineStr">
        <is>
          <t>KNT-00013</t>
        </is>
      </c>
      <c r="B18" s="26" t="inlineStr">
        <is>
          <t>MUK-00005</t>
        </is>
      </c>
      <c r="C18" s="26" t="inlineStr">
        <is>
          <t>Başvuru dilekçesi</t>
        </is>
      </c>
      <c r="D18" s="26" t="inlineStr">
        <is>
          <t>KRITIK</t>
        </is>
      </c>
      <c r="E18" s="26" t="inlineStr">
        <is>
          <t>YOK</t>
        </is>
      </c>
      <c r="F18" s="29" t="n">
        <v>46217</v>
      </c>
      <c r="G18" s="26" t="inlineStr">
        <is>
          <t>Kontrol satırı 13</t>
        </is>
      </c>
      <c r="H18" s="28">
        <f>IF($A18="","",IF($F18="","",raporTarihi-$F18))</f>
        <v/>
      </c>
      <c r="I18" s="28">
        <f>IF($A18="","",IF($H18="","",IF($H18&lt;=7,"0-7",IF($H18&lt;=30,"8-30",IF($H18&lt;=60,"31-60","60+")))))</f>
        <v/>
      </c>
      <c r="J18" s="28">
        <f>IF($A18="","",IF($B18="","YETİM",IF(COUNTIF(tblKartlar[KartId],$B18)=0,"YETİM","")))</f>
        <v/>
      </c>
      <c r="K18" s="28">
        <f>IF($A18="","",IF($E18="YOK",IF($D18="KRITIK","KRİTİK EKSİK","EKSİK"),"TAM"))</f>
        <v/>
      </c>
      <c r="L18" s="28">
        <f>IF($A18="","",1)</f>
        <v/>
      </c>
    </row>
    <row r="19">
      <c r="A19" s="26" t="inlineStr">
        <is>
          <t>KNT-00014</t>
        </is>
      </c>
      <c r="B19" s="26" t="inlineStr">
        <is>
          <t>MUK-00005</t>
        </is>
      </c>
      <c r="C19" s="26" t="inlineStr">
        <is>
          <t>Vergi levhası</t>
        </is>
      </c>
      <c r="D19" s="26" t="inlineStr">
        <is>
          <t>ZORUNLU</t>
        </is>
      </c>
      <c r="E19" s="26" t="inlineStr">
        <is>
          <t>VAR</t>
        </is>
      </c>
      <c r="F19" s="29" t="n">
        <v>46215</v>
      </c>
      <c r="G19" s="26" t="inlineStr">
        <is>
          <t>Kontrol satırı 14</t>
        </is>
      </c>
      <c r="H19" s="28">
        <f>IF($A19="","",IF($F19="","",raporTarihi-$F19))</f>
        <v/>
      </c>
      <c r="I19" s="28">
        <f>IF($A19="","",IF($H19="","",IF($H19&lt;=7,"0-7",IF($H19&lt;=30,"8-30",IF($H19&lt;=60,"31-60","60+")))))</f>
        <v/>
      </c>
      <c r="J19" s="28">
        <f>IF($A19="","",IF($B19="","YETİM",IF(COUNTIF(tblKartlar[KartId],$B19)=0,"YETİM","")))</f>
        <v/>
      </c>
      <c r="K19" s="28">
        <f>IF($A19="","",IF($E19="YOK",IF($D19="KRITIK","KRİTİK EKSİK","EKSİK"),"TAM"))</f>
        <v/>
      </c>
      <c r="L19" s="28">
        <f>IF($A19="","",1)</f>
        <v/>
      </c>
    </row>
    <row r="20">
      <c r="A20" s="26" t="inlineStr">
        <is>
          <t>KNT-00015</t>
        </is>
      </c>
      <c r="B20" s="26" t="inlineStr">
        <is>
          <t>MUK-00005</t>
        </is>
      </c>
      <c r="C20" s="26" t="inlineStr">
        <is>
          <t>Faaliyet belgesi</t>
        </is>
      </c>
      <c r="D20" s="26" t="inlineStr">
        <is>
          <t>ZORUNLU</t>
        </is>
      </c>
      <c r="E20" s="26" t="inlineStr">
        <is>
          <t>VAR</t>
        </is>
      </c>
      <c r="F20" s="29" t="n">
        <v>46213</v>
      </c>
      <c r="G20" s="26" t="inlineStr">
        <is>
          <t>Kontrol satırı 15</t>
        </is>
      </c>
      <c r="H20" s="28">
        <f>IF($A20="","",IF($F20="","",raporTarihi-$F20))</f>
        <v/>
      </c>
      <c r="I20" s="28">
        <f>IF($A20="","",IF($H20="","",IF($H20&lt;=7,"0-7",IF($H20&lt;=30,"8-30",IF($H20&lt;=60,"31-60","60+")))))</f>
        <v/>
      </c>
      <c r="J20" s="28">
        <f>IF($A20="","",IF($B20="","YETİM",IF(COUNTIF(tblKartlar[KartId],$B20)=0,"YETİM","")))</f>
        <v/>
      </c>
      <c r="K20" s="28">
        <f>IF($A20="","",IF($E20="YOK",IF($D20="KRITIK","KRİTİK EKSİK","EKSİK"),"TAM"))</f>
        <v/>
      </c>
      <c r="L20" s="28">
        <f>IF($A20="","",1)</f>
        <v/>
      </c>
    </row>
    <row r="21">
      <c r="A21" s="26" t="inlineStr">
        <is>
          <t>KNT-00016</t>
        </is>
      </c>
      <c r="B21" s="26" t="inlineStr">
        <is>
          <t>MUK-00006</t>
        </is>
      </c>
      <c r="C21" s="26" t="inlineStr">
        <is>
          <t>Başvuru dilekçesi</t>
        </is>
      </c>
      <c r="D21" s="26" t="inlineStr">
        <is>
          <t>KRITIK</t>
        </is>
      </c>
      <c r="E21" s="26" t="inlineStr">
        <is>
          <t>VAR</t>
        </is>
      </c>
      <c r="F21" s="29" t="n">
        <v>46211</v>
      </c>
      <c r="G21" s="26" t="inlineStr">
        <is>
          <t>Kontrol satırı 16</t>
        </is>
      </c>
      <c r="H21" s="28">
        <f>IF($A21="","",IF($F21="","",raporTarihi-$F21))</f>
        <v/>
      </c>
      <c r="I21" s="28">
        <f>IF($A21="","",IF($H21="","",IF($H21&lt;=7,"0-7",IF($H21&lt;=30,"8-30",IF($H21&lt;=60,"31-60","60+")))))</f>
        <v/>
      </c>
      <c r="J21" s="28">
        <f>IF($A21="","",IF($B21="","YETİM",IF(COUNTIF(tblKartlar[KartId],$B21)=0,"YETİM","")))</f>
        <v/>
      </c>
      <c r="K21" s="28">
        <f>IF($A21="","",IF($E21="YOK",IF($D21="KRITIK","KRİTİK EKSİK","EKSİK"),"TAM"))</f>
        <v/>
      </c>
      <c r="L21" s="28">
        <f>IF($A21="","",1)</f>
        <v/>
      </c>
    </row>
    <row r="22">
      <c r="A22" s="26" t="inlineStr">
        <is>
          <t>KNT-00017</t>
        </is>
      </c>
      <c r="B22" s="26" t="inlineStr">
        <is>
          <t>MUK-00006</t>
        </is>
      </c>
      <c r="C22" s="26" t="inlineStr">
        <is>
          <t>Vergi levhası</t>
        </is>
      </c>
      <c r="D22" s="26" t="inlineStr">
        <is>
          <t>ZORUNLU</t>
        </is>
      </c>
      <c r="E22" s="26" t="inlineStr">
        <is>
          <t>VAR</t>
        </is>
      </c>
      <c r="F22" s="29" t="n">
        <v>46209</v>
      </c>
      <c r="G22" s="26" t="inlineStr">
        <is>
          <t>Kontrol satırı 17</t>
        </is>
      </c>
      <c r="H22" s="28">
        <f>IF($A22="","",IF($F22="","",raporTarihi-$F22))</f>
        <v/>
      </c>
      <c r="I22" s="28">
        <f>IF($A22="","",IF($H22="","",IF($H22&lt;=7,"0-7",IF($H22&lt;=30,"8-30",IF($H22&lt;=60,"31-60","60+")))))</f>
        <v/>
      </c>
      <c r="J22" s="28">
        <f>IF($A22="","",IF($B22="","YETİM",IF(COUNTIF(tblKartlar[KartId],$B22)=0,"YETİM","")))</f>
        <v/>
      </c>
      <c r="K22" s="28">
        <f>IF($A22="","",IF($E22="YOK",IF($D22="KRITIK","KRİTİK EKSİK","EKSİK"),"TAM"))</f>
        <v/>
      </c>
      <c r="L22" s="28">
        <f>IF($A22="","",1)</f>
        <v/>
      </c>
    </row>
    <row r="23">
      <c r="A23" s="26" t="inlineStr">
        <is>
          <t>KNT-00018</t>
        </is>
      </c>
      <c r="B23" s="26" t="inlineStr">
        <is>
          <t>MUK-00006</t>
        </is>
      </c>
      <c r="C23" s="26" t="inlineStr">
        <is>
          <t>Faaliyet belgesi</t>
        </is>
      </c>
      <c r="D23" s="26" t="inlineStr">
        <is>
          <t>ZORUNLU</t>
        </is>
      </c>
      <c r="E23" s="26" t="inlineStr">
        <is>
          <t>VAR</t>
        </is>
      </c>
      <c r="F23" s="29" t="n">
        <v>46207</v>
      </c>
      <c r="G23" s="26" t="inlineStr">
        <is>
          <t>Kontrol satırı 18</t>
        </is>
      </c>
      <c r="H23" s="28">
        <f>IF($A23="","",IF($F23="","",raporTarihi-$F23))</f>
        <v/>
      </c>
      <c r="I23" s="28">
        <f>IF($A23="","",IF($H23="","",IF($H23&lt;=7,"0-7",IF($H23&lt;=30,"8-30",IF($H23&lt;=60,"31-60","60+")))))</f>
        <v/>
      </c>
      <c r="J23" s="28">
        <f>IF($A23="","",IF($B23="","YETİM",IF(COUNTIF(tblKartlar[KartId],$B23)=0,"YETİM","")))</f>
        <v/>
      </c>
      <c r="K23" s="28">
        <f>IF($A23="","",IF($E23="YOK",IF($D23="KRITIK","KRİTİK EKSİK","EKSİK"),"TAM"))</f>
        <v/>
      </c>
      <c r="L23" s="28">
        <f>IF($A23="","",1)</f>
        <v/>
      </c>
    </row>
    <row r="24">
      <c r="A24" s="26" t="inlineStr">
        <is>
          <t>KNT-00019</t>
        </is>
      </c>
      <c r="B24" s="26" t="inlineStr">
        <is>
          <t>MUK-00007</t>
        </is>
      </c>
      <c r="C24" s="26" t="inlineStr">
        <is>
          <t>Başvuru dilekçesi</t>
        </is>
      </c>
      <c r="D24" s="26" t="inlineStr">
        <is>
          <t>KRITIK</t>
        </is>
      </c>
      <c r="E24" s="26" t="inlineStr">
        <is>
          <t>VAR</t>
        </is>
      </c>
      <c r="F24" s="29" t="n">
        <v>46205</v>
      </c>
      <c r="G24" s="26" t="inlineStr">
        <is>
          <t>Kontrol satırı 19</t>
        </is>
      </c>
      <c r="H24" s="28">
        <f>IF($A24="","",IF($F24="","",raporTarihi-$F24))</f>
        <v/>
      </c>
      <c r="I24" s="28">
        <f>IF($A24="","",IF($H24="","",IF($H24&lt;=7,"0-7",IF($H24&lt;=30,"8-30",IF($H24&lt;=60,"31-60","60+")))))</f>
        <v/>
      </c>
      <c r="J24" s="28">
        <f>IF($A24="","",IF($B24="","YETİM",IF(COUNTIF(tblKartlar[KartId],$B24)=0,"YETİM","")))</f>
        <v/>
      </c>
      <c r="K24" s="28">
        <f>IF($A24="","",IF($E24="YOK",IF($D24="KRITIK","KRİTİK EKSİK","EKSİK"),"TAM"))</f>
        <v/>
      </c>
      <c r="L24" s="28">
        <f>IF($A24="","",1)</f>
        <v/>
      </c>
    </row>
    <row r="25">
      <c r="A25" s="26" t="inlineStr">
        <is>
          <t>KNT-00020</t>
        </is>
      </c>
      <c r="B25" s="26" t="inlineStr">
        <is>
          <t>MUK-00007</t>
        </is>
      </c>
      <c r="C25" s="26" t="inlineStr">
        <is>
          <t>Vergi levhası</t>
        </is>
      </c>
      <c r="D25" s="26" t="inlineStr">
        <is>
          <t>ZORUNLU</t>
        </is>
      </c>
      <c r="E25" s="26" t="inlineStr">
        <is>
          <t>VAR</t>
        </is>
      </c>
      <c r="F25" s="29" t="n">
        <v>46203</v>
      </c>
      <c r="G25" s="26" t="inlineStr">
        <is>
          <t>Kontrol satırı 20</t>
        </is>
      </c>
      <c r="H25" s="28">
        <f>IF($A25="","",IF($F25="","",raporTarihi-$F25))</f>
        <v/>
      </c>
      <c r="I25" s="28">
        <f>IF($A25="","",IF($H25="","",IF($H25&lt;=7,"0-7",IF($H25&lt;=30,"8-30",IF($H25&lt;=60,"31-60","60+")))))</f>
        <v/>
      </c>
      <c r="J25" s="28">
        <f>IF($A25="","",IF($B25="","YETİM",IF(COUNTIF(tblKartlar[KartId],$B25)=0,"YETİM","")))</f>
        <v/>
      </c>
      <c r="K25" s="28">
        <f>IF($A25="","",IF($E25="YOK",IF($D25="KRITIK","KRİTİK EKSİK","EKSİK"),"TAM"))</f>
        <v/>
      </c>
      <c r="L25" s="28">
        <f>IF($A25="","",1)</f>
        <v/>
      </c>
    </row>
    <row r="26">
      <c r="A26" s="26" t="inlineStr">
        <is>
          <t>KNT-00021</t>
        </is>
      </c>
      <c r="B26" s="26" t="inlineStr">
        <is>
          <t>MUK-00007</t>
        </is>
      </c>
      <c r="C26" s="26" t="inlineStr">
        <is>
          <t>Faaliyet belgesi</t>
        </is>
      </c>
      <c r="D26" s="26" t="inlineStr">
        <is>
          <t>ZORUNLU</t>
        </is>
      </c>
      <c r="E26" s="26" t="inlineStr">
        <is>
          <t>VAR</t>
        </is>
      </c>
      <c r="F26" s="29" t="n">
        <v>46201</v>
      </c>
      <c r="G26" s="26" t="inlineStr">
        <is>
          <t>Kontrol satırı 21</t>
        </is>
      </c>
      <c r="H26" s="28">
        <f>IF($A26="","",IF($F26="","",raporTarihi-$F26))</f>
        <v/>
      </c>
      <c r="I26" s="28">
        <f>IF($A26="","",IF($H26="","",IF($H26&lt;=7,"0-7",IF($H26&lt;=30,"8-30",IF($H26&lt;=60,"31-60","60+")))))</f>
        <v/>
      </c>
      <c r="J26" s="28">
        <f>IF($A26="","",IF($B26="","YETİM",IF(COUNTIF(tblKartlar[KartId],$B26)=0,"YETİM","")))</f>
        <v/>
      </c>
      <c r="K26" s="28">
        <f>IF($A26="","",IF($E26="YOK",IF($D26="KRITIK","KRİTİK EKSİK","EKSİK"),"TAM"))</f>
        <v/>
      </c>
      <c r="L26" s="28">
        <f>IF($A26="","",1)</f>
        <v/>
      </c>
    </row>
    <row r="27">
      <c r="A27" s="26" t="inlineStr">
        <is>
          <t>KNT-00022</t>
        </is>
      </c>
      <c r="B27" s="26" t="inlineStr">
        <is>
          <t>MUK-00008</t>
        </is>
      </c>
      <c r="C27" s="26" t="inlineStr">
        <is>
          <t>Başvuru dilekçesi</t>
        </is>
      </c>
      <c r="D27" s="26" t="inlineStr">
        <is>
          <t>KRITIK</t>
        </is>
      </c>
      <c r="E27" s="26" t="inlineStr">
        <is>
          <t>VAR</t>
        </is>
      </c>
      <c r="F27" s="29" t="n">
        <v>46199</v>
      </c>
      <c r="G27" s="26" t="inlineStr">
        <is>
          <t>Kontrol satırı 22</t>
        </is>
      </c>
      <c r="H27" s="28">
        <f>IF($A27="","",IF($F27="","",raporTarihi-$F27))</f>
        <v/>
      </c>
      <c r="I27" s="28">
        <f>IF($A27="","",IF($H27="","",IF($H27&lt;=7,"0-7",IF($H27&lt;=30,"8-30",IF($H27&lt;=60,"31-60","60+")))))</f>
        <v/>
      </c>
      <c r="J27" s="28">
        <f>IF($A27="","",IF($B27="","YETİM",IF(COUNTIF(tblKartlar[KartId],$B27)=0,"YETİM","")))</f>
        <v/>
      </c>
      <c r="K27" s="28">
        <f>IF($A27="","",IF($E27="YOK",IF($D27="KRITIK","KRİTİK EKSİK","EKSİK"),"TAM"))</f>
        <v/>
      </c>
      <c r="L27" s="28">
        <f>IF($A27="","",1)</f>
        <v/>
      </c>
    </row>
    <row r="28">
      <c r="A28" s="26" t="inlineStr">
        <is>
          <t>KNT-00023</t>
        </is>
      </c>
      <c r="B28" s="26" t="inlineStr">
        <is>
          <t>MUK-00008</t>
        </is>
      </c>
      <c r="C28" s="26" t="inlineStr">
        <is>
          <t>Vergi levhası</t>
        </is>
      </c>
      <c r="D28" s="26" t="inlineStr">
        <is>
          <t>ZORUNLU</t>
        </is>
      </c>
      <c r="E28" s="26" t="inlineStr">
        <is>
          <t>VAR</t>
        </is>
      </c>
      <c r="F28" s="29" t="n">
        <v>46197</v>
      </c>
      <c r="G28" s="26" t="inlineStr">
        <is>
          <t>Kontrol satırı 23</t>
        </is>
      </c>
      <c r="H28" s="28">
        <f>IF($A28="","",IF($F28="","",raporTarihi-$F28))</f>
        <v/>
      </c>
      <c r="I28" s="28">
        <f>IF($A28="","",IF($H28="","",IF($H28&lt;=7,"0-7",IF($H28&lt;=30,"8-30",IF($H28&lt;=60,"31-60","60+")))))</f>
        <v/>
      </c>
      <c r="J28" s="28">
        <f>IF($A28="","",IF($B28="","YETİM",IF(COUNTIF(tblKartlar[KartId],$B28)=0,"YETİM","")))</f>
        <v/>
      </c>
      <c r="K28" s="28">
        <f>IF($A28="","",IF($E28="YOK",IF($D28="KRITIK","KRİTİK EKSİK","EKSİK"),"TAM"))</f>
        <v/>
      </c>
      <c r="L28" s="28">
        <f>IF($A28="","",1)</f>
        <v/>
      </c>
    </row>
    <row r="29">
      <c r="A29" s="26" t="inlineStr">
        <is>
          <t>KNT-00024</t>
        </is>
      </c>
      <c r="B29" s="26" t="inlineStr">
        <is>
          <t>MUK-00008</t>
        </is>
      </c>
      <c r="C29" s="26" t="inlineStr">
        <is>
          <t>Faaliyet belgesi</t>
        </is>
      </c>
      <c r="D29" s="26" t="inlineStr">
        <is>
          <t>ZORUNLU</t>
        </is>
      </c>
      <c r="E29" s="26" t="inlineStr">
        <is>
          <t>VAR</t>
        </is>
      </c>
      <c r="F29" s="29" t="n">
        <v>46195</v>
      </c>
      <c r="G29" s="26" t="inlineStr">
        <is>
          <t>Kontrol satırı 24</t>
        </is>
      </c>
      <c r="H29" s="28">
        <f>IF($A29="","",IF($F29="","",raporTarihi-$F29))</f>
        <v/>
      </c>
      <c r="I29" s="28">
        <f>IF($A29="","",IF($H29="","",IF($H29&lt;=7,"0-7",IF($H29&lt;=30,"8-30",IF($H29&lt;=60,"31-60","60+")))))</f>
        <v/>
      </c>
      <c r="J29" s="28">
        <f>IF($A29="","",IF($B29="","YETİM",IF(COUNTIF(tblKartlar[KartId],$B29)=0,"YETİM","")))</f>
        <v/>
      </c>
      <c r="K29" s="28">
        <f>IF($A29="","",IF($E29="YOK",IF($D29="KRITIK","KRİTİK EKSİK","EKSİK"),"TAM"))</f>
        <v/>
      </c>
      <c r="L29" s="28">
        <f>IF($A29="","",1)</f>
        <v/>
      </c>
    </row>
    <row r="30">
      <c r="A30" s="26" t="n"/>
      <c r="B30" s="26" t="n"/>
      <c r="C30" s="26" t="n"/>
      <c r="D30" s="26" t="n"/>
      <c r="E30" s="26" t="n"/>
      <c r="F30" s="29" t="n"/>
      <c r="G30" s="26" t="n"/>
      <c r="H30" s="28">
        <f>IF($A30="","",IF($F30="","",raporTarihi-$F30))</f>
        <v/>
      </c>
      <c r="I30" s="28">
        <f>IF($A30="","",IF($H30="","",IF($H30&lt;=7,"0-7",IF($H30&lt;=30,"8-30",IF($H30&lt;=60,"31-60","60+")))))</f>
        <v/>
      </c>
      <c r="J30" s="28">
        <f>IF($A30="","",IF($B30="","YETİM",IF(COUNTIF(tblKartlar[KartId],$B30)=0,"YETİM","")))</f>
        <v/>
      </c>
      <c r="K30" s="28">
        <f>IF($A30="","",IF($E30="YOK",IF($D30="KRITIK","KRİTİK EKSİK","EKSİK"),"TAM"))</f>
        <v/>
      </c>
      <c r="L30" s="28">
        <f>IF($A30="","",1)</f>
        <v/>
      </c>
    </row>
    <row r="31">
      <c r="A31" s="26" t="n"/>
      <c r="B31" s="26" t="n"/>
      <c r="C31" s="26" t="n"/>
      <c r="D31" s="26" t="n"/>
      <c r="E31" s="26" t="n"/>
      <c r="F31" s="29" t="n"/>
      <c r="G31" s="26" t="n"/>
      <c r="H31" s="28">
        <f>IF($A31="","",IF($F31="","",raporTarihi-$F31))</f>
        <v/>
      </c>
      <c r="I31" s="28">
        <f>IF($A31="","",IF($H31="","",IF($H31&lt;=7,"0-7",IF($H31&lt;=30,"8-30",IF($H31&lt;=60,"31-60","60+")))))</f>
        <v/>
      </c>
      <c r="J31" s="28">
        <f>IF($A31="","",IF($B31="","YETİM",IF(COUNTIF(tblKartlar[KartId],$B31)=0,"YETİM","")))</f>
        <v/>
      </c>
      <c r="K31" s="28">
        <f>IF($A31="","",IF($E31="YOK",IF($D31="KRITIK","KRİTİK EKSİK","EKSİK"),"TAM"))</f>
        <v/>
      </c>
      <c r="L31" s="28">
        <f>IF($A31="","",1)</f>
        <v/>
      </c>
    </row>
    <row r="32">
      <c r="A32" s="26" t="n"/>
      <c r="B32" s="26" t="n"/>
      <c r="C32" s="26" t="n"/>
      <c r="D32" s="26" t="n"/>
      <c r="E32" s="26" t="n"/>
      <c r="F32" s="29" t="n"/>
      <c r="G32" s="26" t="n"/>
      <c r="H32" s="28">
        <f>IF($A32="","",IF($F32="","",raporTarihi-$F32))</f>
        <v/>
      </c>
      <c r="I32" s="28">
        <f>IF($A32="","",IF($H32="","",IF($H32&lt;=7,"0-7",IF($H32&lt;=30,"8-30",IF($H32&lt;=60,"31-60","60+")))))</f>
        <v/>
      </c>
      <c r="J32" s="28">
        <f>IF($A32="","",IF($B32="","YETİM",IF(COUNTIF(tblKartlar[KartId],$B32)=0,"YETİM","")))</f>
        <v/>
      </c>
      <c r="K32" s="28">
        <f>IF($A32="","",IF($E32="YOK",IF($D32="KRITIK","KRİTİK EKSİK","EKSİK"),"TAM"))</f>
        <v/>
      </c>
      <c r="L32" s="28">
        <f>IF($A32="","",1)</f>
        <v/>
      </c>
    </row>
    <row r="33">
      <c r="A33" s="26" t="n"/>
      <c r="B33" s="26" t="n"/>
      <c r="C33" s="26" t="n"/>
      <c r="D33" s="26" t="n"/>
      <c r="E33" s="26" t="n"/>
      <c r="F33" s="29" t="n"/>
      <c r="G33" s="26" t="n"/>
      <c r="H33" s="28">
        <f>IF($A33="","",IF($F33="","",raporTarihi-$F33))</f>
        <v/>
      </c>
      <c r="I33" s="28">
        <f>IF($A33="","",IF($H33="","",IF($H33&lt;=7,"0-7",IF($H33&lt;=30,"8-30",IF($H33&lt;=60,"31-60","60+")))))</f>
        <v/>
      </c>
      <c r="J33" s="28">
        <f>IF($A33="","",IF($B33="","YETİM",IF(COUNTIF(tblKartlar[KartId],$B33)=0,"YETİM","")))</f>
        <v/>
      </c>
      <c r="K33" s="28">
        <f>IF($A33="","",IF($E33="YOK",IF($D33="KRITIK","KRİTİK EKSİK","EKSİK"),"TAM"))</f>
        <v/>
      </c>
      <c r="L33" s="28">
        <f>IF($A33="","",1)</f>
        <v/>
      </c>
    </row>
    <row r="34">
      <c r="A34" s="26" t="n"/>
      <c r="B34" s="26" t="n"/>
      <c r="C34" s="26" t="n"/>
      <c r="D34" s="26" t="n"/>
      <c r="E34" s="26" t="n"/>
      <c r="F34" s="29" t="n"/>
      <c r="G34" s="26" t="n"/>
      <c r="H34" s="28">
        <f>IF($A34="","",IF($F34="","",raporTarihi-$F34))</f>
        <v/>
      </c>
      <c r="I34" s="28">
        <f>IF($A34="","",IF($H34="","",IF($H34&lt;=7,"0-7",IF($H34&lt;=30,"8-30",IF($H34&lt;=60,"31-60","60+")))))</f>
        <v/>
      </c>
      <c r="J34" s="28">
        <f>IF($A34="","",IF($B34="","YETİM",IF(COUNTIF(tblKartlar[KartId],$B34)=0,"YETİM","")))</f>
        <v/>
      </c>
      <c r="K34" s="28">
        <f>IF($A34="","",IF($E34="YOK",IF($D34="KRITIK","KRİTİK EKSİK","EKSİK"),"TAM"))</f>
        <v/>
      </c>
      <c r="L34" s="28">
        <f>IF($A34="","",1)</f>
        <v/>
      </c>
    </row>
    <row r="35">
      <c r="A35" s="26" t="n"/>
      <c r="B35" s="26" t="n"/>
      <c r="C35" s="26" t="n"/>
      <c r="D35" s="26" t="n"/>
      <c r="E35" s="26" t="n"/>
      <c r="F35" s="29" t="n"/>
      <c r="G35" s="26" t="n"/>
      <c r="H35" s="28">
        <f>IF($A35="","",IF($F35="","",raporTarihi-$F35))</f>
        <v/>
      </c>
      <c r="I35" s="28">
        <f>IF($A35="","",IF($H35="","",IF($H35&lt;=7,"0-7",IF($H35&lt;=30,"8-30",IF($H35&lt;=60,"31-60","60+")))))</f>
        <v/>
      </c>
      <c r="J35" s="28">
        <f>IF($A35="","",IF($B35="","YETİM",IF(COUNTIF(tblKartlar[KartId],$B35)=0,"YETİM","")))</f>
        <v/>
      </c>
      <c r="K35" s="28">
        <f>IF($A35="","",IF($E35="YOK",IF($D35="KRITIK","KRİTİK EKSİK","EKSİK"),"TAM"))</f>
        <v/>
      </c>
      <c r="L35" s="28">
        <f>IF($A35="","",1)</f>
        <v/>
      </c>
    </row>
    <row r="36">
      <c r="A36" s="26" t="n"/>
      <c r="B36" s="26" t="n"/>
      <c r="C36" s="26" t="n"/>
      <c r="D36" s="26" t="n"/>
      <c r="E36" s="26" t="n"/>
      <c r="F36" s="29" t="n"/>
      <c r="G36" s="26" t="n"/>
      <c r="H36" s="28">
        <f>IF($A36="","",IF($F36="","",raporTarihi-$F36))</f>
        <v/>
      </c>
      <c r="I36" s="28">
        <f>IF($A36="","",IF($H36="","",IF($H36&lt;=7,"0-7",IF($H36&lt;=30,"8-30",IF($H36&lt;=60,"31-60","60+")))))</f>
        <v/>
      </c>
      <c r="J36" s="28">
        <f>IF($A36="","",IF($B36="","YETİM",IF(COUNTIF(tblKartlar[KartId],$B36)=0,"YETİM","")))</f>
        <v/>
      </c>
      <c r="K36" s="28">
        <f>IF($A36="","",IF($E36="YOK",IF($D36="KRITIK","KRİTİK EKSİK","EKSİK"),"TAM"))</f>
        <v/>
      </c>
      <c r="L36" s="28">
        <f>IF($A36="","",1)</f>
        <v/>
      </c>
    </row>
    <row r="37">
      <c r="A37" s="26" t="n"/>
      <c r="B37" s="26" t="n"/>
      <c r="C37" s="26" t="n"/>
      <c r="D37" s="26" t="n"/>
      <c r="E37" s="26" t="n"/>
      <c r="F37" s="29" t="n"/>
      <c r="G37" s="26" t="n"/>
      <c r="H37" s="28">
        <f>IF($A37="","",IF($F37="","",raporTarihi-$F37))</f>
        <v/>
      </c>
      <c r="I37" s="28">
        <f>IF($A37="","",IF($H37="","",IF($H37&lt;=7,"0-7",IF($H37&lt;=30,"8-30",IF($H37&lt;=60,"31-60","60+")))))</f>
        <v/>
      </c>
      <c r="J37" s="28">
        <f>IF($A37="","",IF($B37="","YETİM",IF(COUNTIF(tblKartlar[KartId],$B37)=0,"YETİM","")))</f>
        <v/>
      </c>
      <c r="K37" s="28">
        <f>IF($A37="","",IF($E37="YOK",IF($D37="KRITIK","KRİTİK EKSİK","EKSİK"),"TAM"))</f>
        <v/>
      </c>
      <c r="L37" s="28">
        <f>IF($A37="","",1)</f>
        <v/>
      </c>
    </row>
    <row r="38">
      <c r="A38" s="26" t="n"/>
      <c r="B38" s="26" t="n"/>
      <c r="C38" s="26" t="n"/>
      <c r="D38" s="26" t="n"/>
      <c r="E38" s="26" t="n"/>
      <c r="F38" s="29" t="n"/>
      <c r="G38" s="26" t="n"/>
      <c r="H38" s="28">
        <f>IF($A38="","",IF($F38="","",raporTarihi-$F38))</f>
        <v/>
      </c>
      <c r="I38" s="28">
        <f>IF($A38="","",IF($H38="","",IF($H38&lt;=7,"0-7",IF($H38&lt;=30,"8-30",IF($H38&lt;=60,"31-60","60+")))))</f>
        <v/>
      </c>
      <c r="J38" s="28">
        <f>IF($A38="","",IF($B38="","YETİM",IF(COUNTIF(tblKartlar[KartId],$B38)=0,"YETİM","")))</f>
        <v/>
      </c>
      <c r="K38" s="28">
        <f>IF($A38="","",IF($E38="YOK",IF($D38="KRITIK","KRİTİK EKSİK","EKSİK"),"TAM"))</f>
        <v/>
      </c>
      <c r="L38" s="28">
        <f>IF($A38="","",1)</f>
        <v/>
      </c>
    </row>
    <row r="39">
      <c r="A39" s="26" t="n"/>
      <c r="B39" s="26" t="n"/>
      <c r="C39" s="26" t="n"/>
      <c r="D39" s="26" t="n"/>
      <c r="E39" s="26" t="n"/>
      <c r="F39" s="29" t="n"/>
      <c r="G39" s="26" t="n"/>
      <c r="H39" s="28">
        <f>IF($A39="","",IF($F39="","",raporTarihi-$F39))</f>
        <v/>
      </c>
      <c r="I39" s="28">
        <f>IF($A39="","",IF($H39="","",IF($H39&lt;=7,"0-7",IF($H39&lt;=30,"8-30",IF($H39&lt;=60,"31-60","60+")))))</f>
        <v/>
      </c>
      <c r="J39" s="28">
        <f>IF($A39="","",IF($B39="","YETİM",IF(COUNTIF(tblKartlar[KartId],$B39)=0,"YETİM","")))</f>
        <v/>
      </c>
      <c r="K39" s="28">
        <f>IF($A39="","",IF($E39="YOK",IF($D39="KRITIK","KRİTİK EKSİK","EKSİK"),"TAM"))</f>
        <v/>
      </c>
      <c r="L39" s="28">
        <f>IF($A39="","",1)</f>
        <v/>
      </c>
    </row>
    <row r="40">
      <c r="A40" s="26" t="n"/>
      <c r="B40" s="26" t="n"/>
      <c r="C40" s="26" t="n"/>
      <c r="D40" s="26" t="n"/>
      <c r="E40" s="26" t="n"/>
      <c r="F40" s="29" t="n"/>
      <c r="G40" s="26" t="n"/>
      <c r="H40" s="28">
        <f>IF($A40="","",IF($F40="","",raporTarihi-$F40))</f>
        <v/>
      </c>
      <c r="I40" s="28">
        <f>IF($A40="","",IF($H40="","",IF($H40&lt;=7,"0-7",IF($H40&lt;=30,"8-30",IF($H40&lt;=60,"31-60","60+")))))</f>
        <v/>
      </c>
      <c r="J40" s="28">
        <f>IF($A40="","",IF($B40="","YETİM",IF(COUNTIF(tblKartlar[KartId],$B40)=0,"YETİM","")))</f>
        <v/>
      </c>
      <c r="K40" s="28">
        <f>IF($A40="","",IF($E40="YOK",IF($D40="KRITIK","KRİTİK EKSİK","EKSİK"),"TAM"))</f>
        <v/>
      </c>
      <c r="L40" s="28">
        <f>IF($A40="","",1)</f>
        <v/>
      </c>
    </row>
    <row r="41">
      <c r="A41" s="26" t="n"/>
      <c r="B41" s="26" t="n"/>
      <c r="C41" s="26" t="n"/>
      <c r="D41" s="26" t="n"/>
      <c r="E41" s="26" t="n"/>
      <c r="F41" s="29" t="n"/>
      <c r="G41" s="26" t="n"/>
      <c r="H41" s="28">
        <f>IF($A41="","",IF($F41="","",raporTarihi-$F41))</f>
        <v/>
      </c>
      <c r="I41" s="28">
        <f>IF($A41="","",IF($H41="","",IF($H41&lt;=7,"0-7",IF($H41&lt;=30,"8-30",IF($H41&lt;=60,"31-60","60+")))))</f>
        <v/>
      </c>
      <c r="J41" s="28">
        <f>IF($A41="","",IF($B41="","YETİM",IF(COUNTIF(tblKartlar[KartId],$B41)=0,"YETİM","")))</f>
        <v/>
      </c>
      <c r="K41" s="28">
        <f>IF($A41="","",IF($E41="YOK",IF($D41="KRITIK","KRİTİK EKSİK","EKSİK"),"TAM"))</f>
        <v/>
      </c>
      <c r="L41" s="28">
        <f>IF($A41="","",1)</f>
        <v/>
      </c>
    </row>
    <row r="42">
      <c r="A42" s="26" t="n"/>
      <c r="B42" s="26" t="n"/>
      <c r="C42" s="26" t="n"/>
      <c r="D42" s="26" t="n"/>
      <c r="E42" s="26" t="n"/>
      <c r="F42" s="29" t="n"/>
      <c r="G42" s="26" t="n"/>
      <c r="H42" s="28">
        <f>IF($A42="","",IF($F42="","",raporTarihi-$F42))</f>
        <v/>
      </c>
      <c r="I42" s="28">
        <f>IF($A42="","",IF($H42="","",IF($H42&lt;=7,"0-7",IF($H42&lt;=30,"8-30",IF($H42&lt;=60,"31-60","60+")))))</f>
        <v/>
      </c>
      <c r="J42" s="28">
        <f>IF($A42="","",IF($B42="","YETİM",IF(COUNTIF(tblKartlar[KartId],$B42)=0,"YETİM","")))</f>
        <v/>
      </c>
      <c r="K42" s="28">
        <f>IF($A42="","",IF($E42="YOK",IF($D42="KRITIK","KRİTİK EKSİK","EKSİK"),"TAM"))</f>
        <v/>
      </c>
      <c r="L42" s="28">
        <f>IF($A42="","",1)</f>
        <v/>
      </c>
    </row>
    <row r="43">
      <c r="A43" s="26" t="n"/>
      <c r="B43" s="26" t="n"/>
      <c r="C43" s="26" t="n"/>
      <c r="D43" s="26" t="n"/>
      <c r="E43" s="26" t="n"/>
      <c r="F43" s="29" t="n"/>
      <c r="G43" s="26" t="n"/>
      <c r="H43" s="28">
        <f>IF($A43="","",IF($F43="","",raporTarihi-$F43))</f>
        <v/>
      </c>
      <c r="I43" s="28">
        <f>IF($A43="","",IF($H43="","",IF($H43&lt;=7,"0-7",IF($H43&lt;=30,"8-30",IF($H43&lt;=60,"31-60","60+")))))</f>
        <v/>
      </c>
      <c r="J43" s="28">
        <f>IF($A43="","",IF($B43="","YETİM",IF(COUNTIF(tblKartlar[KartId],$B43)=0,"YETİM","")))</f>
        <v/>
      </c>
      <c r="K43" s="28">
        <f>IF($A43="","",IF($E43="YOK",IF($D43="KRITIK","KRİTİK EKSİK","EKSİK"),"TAM"))</f>
        <v/>
      </c>
      <c r="L43" s="28">
        <f>IF($A43="","",1)</f>
        <v/>
      </c>
    </row>
    <row r="44">
      <c r="A44" s="26" t="n"/>
      <c r="B44" s="26" t="n"/>
      <c r="C44" s="26" t="n"/>
      <c r="D44" s="26" t="n"/>
      <c r="E44" s="26" t="n"/>
      <c r="F44" s="29" t="n"/>
      <c r="G44" s="26" t="n"/>
      <c r="H44" s="28">
        <f>IF($A44="","",IF($F44="","",raporTarihi-$F44))</f>
        <v/>
      </c>
      <c r="I44" s="28">
        <f>IF($A44="","",IF($H44="","",IF($H44&lt;=7,"0-7",IF($H44&lt;=30,"8-30",IF($H44&lt;=60,"31-60","60+")))))</f>
        <v/>
      </c>
      <c r="J44" s="28">
        <f>IF($A44="","",IF($B44="","YETİM",IF(COUNTIF(tblKartlar[KartId],$B44)=0,"YETİM","")))</f>
        <v/>
      </c>
      <c r="K44" s="28">
        <f>IF($A44="","",IF($E44="YOK",IF($D44="KRITIK","KRİTİK EKSİK","EKSİK"),"TAM"))</f>
        <v/>
      </c>
      <c r="L44" s="28">
        <f>IF($A44="","",1)</f>
        <v/>
      </c>
    </row>
    <row r="45">
      <c r="A45" s="26" t="n"/>
      <c r="B45" s="26" t="n"/>
      <c r="C45" s="26" t="n"/>
      <c r="D45" s="26" t="n"/>
      <c r="E45" s="26" t="n"/>
      <c r="F45" s="29" t="n"/>
      <c r="G45" s="26" t="n"/>
      <c r="H45" s="28">
        <f>IF($A45="","",IF($F45="","",raporTarihi-$F45))</f>
        <v/>
      </c>
      <c r="I45" s="28">
        <f>IF($A45="","",IF($H45="","",IF($H45&lt;=7,"0-7",IF($H45&lt;=30,"8-30",IF($H45&lt;=60,"31-60","60+")))))</f>
        <v/>
      </c>
      <c r="J45" s="28">
        <f>IF($A45="","",IF($B45="","YETİM",IF(COUNTIF(tblKartlar[KartId],$B45)=0,"YETİM","")))</f>
        <v/>
      </c>
      <c r="K45" s="28">
        <f>IF($A45="","",IF($E45="YOK",IF($D45="KRITIK","KRİTİK EKSİK","EKSİK"),"TAM"))</f>
        <v/>
      </c>
      <c r="L45" s="28">
        <f>IF($A45="","",1)</f>
        <v/>
      </c>
    </row>
    <row r="46">
      <c r="A46" s="26" t="n"/>
      <c r="B46" s="26" t="n"/>
      <c r="C46" s="26" t="n"/>
      <c r="D46" s="26" t="n"/>
      <c r="E46" s="26" t="n"/>
      <c r="F46" s="29" t="n"/>
      <c r="G46" s="26" t="n"/>
      <c r="H46" s="28">
        <f>IF($A46="","",IF($F46="","",raporTarihi-$F46))</f>
        <v/>
      </c>
      <c r="I46" s="28">
        <f>IF($A46="","",IF($H46="","",IF($H46&lt;=7,"0-7",IF($H46&lt;=30,"8-30",IF($H46&lt;=60,"31-60","60+")))))</f>
        <v/>
      </c>
      <c r="J46" s="28">
        <f>IF($A46="","",IF($B46="","YETİM",IF(COUNTIF(tblKartlar[KartId],$B46)=0,"YETİM","")))</f>
        <v/>
      </c>
      <c r="K46" s="28">
        <f>IF($A46="","",IF($E46="YOK",IF($D46="KRITIK","KRİTİK EKSİK","EKSİK"),"TAM"))</f>
        <v/>
      </c>
      <c r="L46" s="28">
        <f>IF($A46="","",1)</f>
        <v/>
      </c>
    </row>
    <row r="47">
      <c r="A47" s="26" t="n"/>
      <c r="B47" s="26" t="n"/>
      <c r="C47" s="26" t="n"/>
      <c r="D47" s="26" t="n"/>
      <c r="E47" s="26" t="n"/>
      <c r="F47" s="29" t="n"/>
      <c r="G47" s="26" t="n"/>
      <c r="H47" s="28">
        <f>IF($A47="","",IF($F47="","",raporTarihi-$F47))</f>
        <v/>
      </c>
      <c r="I47" s="28">
        <f>IF($A47="","",IF($H47="","",IF($H47&lt;=7,"0-7",IF($H47&lt;=30,"8-30",IF($H47&lt;=60,"31-60","60+")))))</f>
        <v/>
      </c>
      <c r="J47" s="28">
        <f>IF($A47="","",IF($B47="","YETİM",IF(COUNTIF(tblKartlar[KartId],$B47)=0,"YETİM","")))</f>
        <v/>
      </c>
      <c r="K47" s="28">
        <f>IF($A47="","",IF($E47="YOK",IF($D47="KRITIK","KRİTİK EKSİK","EKSİK"),"TAM"))</f>
        <v/>
      </c>
      <c r="L47" s="28">
        <f>IF($A47="","",1)</f>
        <v/>
      </c>
    </row>
    <row r="48">
      <c r="A48" s="26" t="n"/>
      <c r="B48" s="26" t="n"/>
      <c r="C48" s="26" t="n"/>
      <c r="D48" s="26" t="n"/>
      <c r="E48" s="26" t="n"/>
      <c r="F48" s="29" t="n"/>
      <c r="G48" s="26" t="n"/>
      <c r="H48" s="28">
        <f>IF($A48="","",IF($F48="","",raporTarihi-$F48))</f>
        <v/>
      </c>
      <c r="I48" s="28">
        <f>IF($A48="","",IF($H48="","",IF($H48&lt;=7,"0-7",IF($H48&lt;=30,"8-30",IF($H48&lt;=60,"31-60","60+")))))</f>
        <v/>
      </c>
      <c r="J48" s="28">
        <f>IF($A48="","",IF($B48="","YETİM",IF(COUNTIF(tblKartlar[KartId],$B48)=0,"YETİM","")))</f>
        <v/>
      </c>
      <c r="K48" s="28">
        <f>IF($A48="","",IF($E48="YOK",IF($D48="KRITIK","KRİTİK EKSİK","EKSİK"),"TAM"))</f>
        <v/>
      </c>
      <c r="L48" s="28">
        <f>IF($A48="","",1)</f>
        <v/>
      </c>
    </row>
    <row r="49">
      <c r="A49" s="26" t="n"/>
      <c r="B49" s="26" t="n"/>
      <c r="C49" s="26" t="n"/>
      <c r="D49" s="26" t="n"/>
      <c r="E49" s="26" t="n"/>
      <c r="F49" s="29" t="n"/>
      <c r="G49" s="26" t="n"/>
      <c r="H49" s="28">
        <f>IF($A49="","",IF($F49="","",raporTarihi-$F49))</f>
        <v/>
      </c>
      <c r="I49" s="28">
        <f>IF($A49="","",IF($H49="","",IF($H49&lt;=7,"0-7",IF($H49&lt;=30,"8-30",IF($H49&lt;=60,"31-60","60+")))))</f>
        <v/>
      </c>
      <c r="J49" s="28">
        <f>IF($A49="","",IF($B49="","YETİM",IF(COUNTIF(tblKartlar[KartId],$B49)=0,"YETİM","")))</f>
        <v/>
      </c>
      <c r="K49" s="28">
        <f>IF($A49="","",IF($E49="YOK",IF($D49="KRITIK","KRİTİK EKSİK","EKSİK"),"TAM"))</f>
        <v/>
      </c>
      <c r="L49" s="28">
        <f>IF($A49="","",1)</f>
        <v/>
      </c>
    </row>
    <row r="50">
      <c r="A50" s="26" t="n"/>
      <c r="B50" s="26" t="n"/>
      <c r="C50" s="26" t="n"/>
      <c r="D50" s="26" t="n"/>
      <c r="E50" s="26" t="n"/>
      <c r="F50" s="29" t="n"/>
      <c r="G50" s="26" t="n"/>
      <c r="H50" s="28">
        <f>IF($A50="","",IF($F50="","",raporTarihi-$F50))</f>
        <v/>
      </c>
      <c r="I50" s="28">
        <f>IF($A50="","",IF($H50="","",IF($H50&lt;=7,"0-7",IF($H50&lt;=30,"8-30",IF($H50&lt;=60,"31-60","60+")))))</f>
        <v/>
      </c>
      <c r="J50" s="28">
        <f>IF($A50="","",IF($B50="","YETİM",IF(COUNTIF(tblKartlar[KartId],$B50)=0,"YETİM","")))</f>
        <v/>
      </c>
      <c r="K50" s="28">
        <f>IF($A50="","",IF($E50="YOK",IF($D50="KRITIK","KRİTİK EKSİK","EKSİK"),"TAM"))</f>
        <v/>
      </c>
      <c r="L50" s="28">
        <f>IF($A50="","",1)</f>
        <v/>
      </c>
    </row>
    <row r="51">
      <c r="A51" s="26" t="n"/>
      <c r="B51" s="26" t="n"/>
      <c r="C51" s="26" t="n"/>
      <c r="D51" s="26" t="n"/>
      <c r="E51" s="26" t="n"/>
      <c r="F51" s="29" t="n"/>
      <c r="G51" s="26" t="n"/>
      <c r="H51" s="28">
        <f>IF($A51="","",IF($F51="","",raporTarihi-$F51))</f>
        <v/>
      </c>
      <c r="I51" s="28">
        <f>IF($A51="","",IF($H51="","",IF($H51&lt;=7,"0-7",IF($H51&lt;=30,"8-30",IF($H51&lt;=60,"31-60","60+")))))</f>
        <v/>
      </c>
      <c r="J51" s="28">
        <f>IF($A51="","",IF($B51="","YETİM",IF(COUNTIF(tblKartlar[KartId],$B51)=0,"YETİM","")))</f>
        <v/>
      </c>
      <c r="K51" s="28">
        <f>IF($A51="","",IF($E51="YOK",IF($D51="KRITIK","KRİTİK EKSİK","EKSİK"),"TAM"))</f>
        <v/>
      </c>
      <c r="L51" s="28">
        <f>IF($A51="","",1)</f>
        <v/>
      </c>
    </row>
    <row r="52">
      <c r="A52" s="26" t="n"/>
      <c r="B52" s="26" t="n"/>
      <c r="C52" s="26" t="n"/>
      <c r="D52" s="26" t="n"/>
      <c r="E52" s="26" t="n"/>
      <c r="F52" s="29" t="n"/>
      <c r="G52" s="26" t="n"/>
      <c r="H52" s="28">
        <f>IF($A52="","",IF($F52="","",raporTarihi-$F52))</f>
        <v/>
      </c>
      <c r="I52" s="28">
        <f>IF($A52="","",IF($H52="","",IF($H52&lt;=7,"0-7",IF($H52&lt;=30,"8-30",IF($H52&lt;=60,"31-60","60+")))))</f>
        <v/>
      </c>
      <c r="J52" s="28">
        <f>IF($A52="","",IF($B52="","YETİM",IF(COUNTIF(tblKartlar[KartId],$B52)=0,"YETİM","")))</f>
        <v/>
      </c>
      <c r="K52" s="28">
        <f>IF($A52="","",IF($E52="YOK",IF($D52="KRITIK","KRİTİK EKSİK","EKSİK"),"TAM"))</f>
        <v/>
      </c>
      <c r="L52" s="28">
        <f>IF($A52="","",1)</f>
        <v/>
      </c>
    </row>
    <row r="53">
      <c r="A53" s="26" t="n"/>
      <c r="B53" s="26" t="n"/>
      <c r="C53" s="26" t="n"/>
      <c r="D53" s="26" t="n"/>
      <c r="E53" s="26" t="n"/>
      <c r="F53" s="29" t="n"/>
      <c r="G53" s="26" t="n"/>
      <c r="H53" s="28">
        <f>IF($A53="","",IF($F53="","",raporTarihi-$F53))</f>
        <v/>
      </c>
      <c r="I53" s="28">
        <f>IF($A53="","",IF($H53="","",IF($H53&lt;=7,"0-7",IF($H53&lt;=30,"8-30",IF($H53&lt;=60,"31-60","60+")))))</f>
        <v/>
      </c>
      <c r="J53" s="28">
        <f>IF($A53="","",IF($B53="","YETİM",IF(COUNTIF(tblKartlar[KartId],$B53)=0,"YETİM","")))</f>
        <v/>
      </c>
      <c r="K53" s="28">
        <f>IF($A53="","",IF($E53="YOK",IF($D53="KRITIK","KRİTİK EKSİK","EKSİK"),"TAM"))</f>
        <v/>
      </c>
      <c r="L53" s="28">
        <f>IF($A53="","",1)</f>
        <v/>
      </c>
    </row>
    <row r="54">
      <c r="A54" s="26" t="n"/>
      <c r="B54" s="26" t="n"/>
      <c r="C54" s="26" t="n"/>
      <c r="D54" s="26" t="n"/>
      <c r="E54" s="26" t="n"/>
      <c r="F54" s="29" t="n"/>
      <c r="G54" s="26" t="n"/>
      <c r="H54" s="28">
        <f>IF($A54="","",IF($F54="","",raporTarihi-$F54))</f>
        <v/>
      </c>
      <c r="I54" s="28">
        <f>IF($A54="","",IF($H54="","",IF($H54&lt;=7,"0-7",IF($H54&lt;=30,"8-30",IF($H54&lt;=60,"31-60","60+")))))</f>
        <v/>
      </c>
      <c r="J54" s="28">
        <f>IF($A54="","",IF($B54="","YETİM",IF(COUNTIF(tblKartlar[KartId],$B54)=0,"YETİM","")))</f>
        <v/>
      </c>
      <c r="K54" s="28">
        <f>IF($A54="","",IF($E54="YOK",IF($D54="KRITIK","KRİTİK EKSİK","EKSİK"),"TAM"))</f>
        <v/>
      </c>
      <c r="L54" s="28">
        <f>IF($A54="","",1)</f>
        <v/>
      </c>
    </row>
    <row r="55">
      <c r="A55" s="26" t="n"/>
      <c r="B55" s="26" t="n"/>
      <c r="C55" s="26" t="n"/>
      <c r="D55" s="26" t="n"/>
      <c r="E55" s="26" t="n"/>
      <c r="F55" s="29" t="n"/>
      <c r="G55" s="26" t="n"/>
      <c r="H55" s="28">
        <f>IF($A55="","",IF($F55="","",raporTarihi-$F55))</f>
        <v/>
      </c>
      <c r="I55" s="28">
        <f>IF($A55="","",IF($H55="","",IF($H55&lt;=7,"0-7",IF($H55&lt;=30,"8-30",IF($H55&lt;=60,"31-60","60+")))))</f>
        <v/>
      </c>
      <c r="J55" s="28">
        <f>IF($A55="","",IF($B55="","YETİM",IF(COUNTIF(tblKartlar[KartId],$B55)=0,"YETİM","")))</f>
        <v/>
      </c>
      <c r="K55" s="28">
        <f>IF($A55="","",IF($E55="YOK",IF($D55="KRITIK","KRİTİK EKSİK","EKSİK"),"TAM"))</f>
        <v/>
      </c>
      <c r="L55" s="28">
        <f>IF($A55="","",1)</f>
        <v/>
      </c>
    </row>
    <row r="56">
      <c r="A56" s="26" t="n"/>
      <c r="B56" s="26" t="n"/>
      <c r="C56" s="26" t="n"/>
      <c r="D56" s="26" t="n"/>
      <c r="E56" s="26" t="n"/>
      <c r="F56" s="29" t="n"/>
      <c r="G56" s="26" t="n"/>
      <c r="H56" s="28">
        <f>IF($A56="","",IF($F56="","",raporTarihi-$F56))</f>
        <v/>
      </c>
      <c r="I56" s="28">
        <f>IF($A56="","",IF($H56="","",IF($H56&lt;=7,"0-7",IF($H56&lt;=30,"8-30",IF($H56&lt;=60,"31-60","60+")))))</f>
        <v/>
      </c>
      <c r="J56" s="28">
        <f>IF($A56="","",IF($B56="","YETİM",IF(COUNTIF(tblKartlar[KartId],$B56)=0,"YETİM","")))</f>
        <v/>
      </c>
      <c r="K56" s="28">
        <f>IF($A56="","",IF($E56="YOK",IF($D56="KRITIK","KRİTİK EKSİK","EKSİK"),"TAM"))</f>
        <v/>
      </c>
      <c r="L56" s="28">
        <f>IF($A56="","",1)</f>
        <v/>
      </c>
    </row>
    <row r="57">
      <c r="A57" s="26" t="n"/>
      <c r="B57" s="26" t="n"/>
      <c r="C57" s="26" t="n"/>
      <c r="D57" s="26" t="n"/>
      <c r="E57" s="26" t="n"/>
      <c r="F57" s="29" t="n"/>
      <c r="G57" s="26" t="n"/>
      <c r="H57" s="28">
        <f>IF($A57="","",IF($F57="","",raporTarihi-$F57))</f>
        <v/>
      </c>
      <c r="I57" s="28">
        <f>IF($A57="","",IF($H57="","",IF($H57&lt;=7,"0-7",IF($H57&lt;=30,"8-30",IF($H57&lt;=60,"31-60","60+")))))</f>
        <v/>
      </c>
      <c r="J57" s="28">
        <f>IF($A57="","",IF($B57="","YETİM",IF(COUNTIF(tblKartlar[KartId],$B57)=0,"YETİM","")))</f>
        <v/>
      </c>
      <c r="K57" s="28">
        <f>IF($A57="","",IF($E57="YOK",IF($D57="KRITIK","KRİTİK EKSİK","EKSİK"),"TAM"))</f>
        <v/>
      </c>
      <c r="L57" s="28">
        <f>IF($A57="","",1)</f>
        <v/>
      </c>
    </row>
    <row r="58">
      <c r="A58" s="26" t="n"/>
      <c r="B58" s="26" t="n"/>
      <c r="C58" s="26" t="n"/>
      <c r="D58" s="26" t="n"/>
      <c r="E58" s="26" t="n"/>
      <c r="F58" s="29" t="n"/>
      <c r="G58" s="26" t="n"/>
      <c r="H58" s="28">
        <f>IF($A58="","",IF($F58="","",raporTarihi-$F58))</f>
        <v/>
      </c>
      <c r="I58" s="28">
        <f>IF($A58="","",IF($H58="","",IF($H58&lt;=7,"0-7",IF($H58&lt;=30,"8-30",IF($H58&lt;=60,"31-60","60+")))))</f>
        <v/>
      </c>
      <c r="J58" s="28">
        <f>IF($A58="","",IF($B58="","YETİM",IF(COUNTIF(tblKartlar[KartId],$B58)=0,"YETİM","")))</f>
        <v/>
      </c>
      <c r="K58" s="28">
        <f>IF($A58="","",IF($E58="YOK",IF($D58="KRITIK","KRİTİK EKSİK","EKSİK"),"TAM"))</f>
        <v/>
      </c>
      <c r="L58" s="28">
        <f>IF($A58="","",1)</f>
        <v/>
      </c>
    </row>
    <row r="59">
      <c r="A59" s="26" t="n"/>
      <c r="B59" s="26" t="n"/>
      <c r="C59" s="26" t="n"/>
      <c r="D59" s="26" t="n"/>
      <c r="E59" s="26" t="n"/>
      <c r="F59" s="29" t="n"/>
      <c r="G59" s="26" t="n"/>
      <c r="H59" s="28">
        <f>IF($A59="","",IF($F59="","",raporTarihi-$F59))</f>
        <v/>
      </c>
      <c r="I59" s="28">
        <f>IF($A59="","",IF($H59="","",IF($H59&lt;=7,"0-7",IF($H59&lt;=30,"8-30",IF($H59&lt;=60,"31-60","60+")))))</f>
        <v/>
      </c>
      <c r="J59" s="28">
        <f>IF($A59="","",IF($B59="","YETİM",IF(COUNTIF(tblKartlar[KartId],$B59)=0,"YETİM","")))</f>
        <v/>
      </c>
      <c r="K59" s="28">
        <f>IF($A59="","",IF($E59="YOK",IF($D59="KRITIK","KRİTİK EKSİK","EKSİK"),"TAM"))</f>
        <v/>
      </c>
      <c r="L59" s="28">
        <f>IF($A59="","",1)</f>
        <v/>
      </c>
    </row>
    <row r="60">
      <c r="A60" s="26" t="n"/>
      <c r="B60" s="26" t="n"/>
      <c r="C60" s="26" t="n"/>
      <c r="D60" s="26" t="n"/>
      <c r="E60" s="26" t="n"/>
      <c r="F60" s="29" t="n"/>
      <c r="G60" s="26" t="n"/>
      <c r="H60" s="28">
        <f>IF($A60="","",IF($F60="","",raporTarihi-$F60))</f>
        <v/>
      </c>
      <c r="I60" s="28">
        <f>IF($A60="","",IF($H60="","",IF($H60&lt;=7,"0-7",IF($H60&lt;=30,"8-30",IF($H60&lt;=60,"31-60","60+")))))</f>
        <v/>
      </c>
      <c r="J60" s="28">
        <f>IF($A60="","",IF($B60="","YETİM",IF(COUNTIF(tblKartlar[KartId],$B60)=0,"YETİM","")))</f>
        <v/>
      </c>
      <c r="K60" s="28">
        <f>IF($A60="","",IF($E60="YOK",IF($D60="KRITIK","KRİTİK EKSİK","EKSİK"),"TAM"))</f>
        <v/>
      </c>
      <c r="L60" s="28">
        <f>IF($A60="","",1)</f>
        <v/>
      </c>
    </row>
    <row r="61">
      <c r="A61" s="26" t="n"/>
      <c r="B61" s="26" t="n"/>
      <c r="C61" s="26" t="n"/>
      <c r="D61" s="26" t="n"/>
      <c r="E61" s="26" t="n"/>
      <c r="F61" s="29" t="n"/>
      <c r="G61" s="26" t="n"/>
      <c r="H61" s="28">
        <f>IF($A61="","",IF($F61="","",raporTarihi-$F61))</f>
        <v/>
      </c>
      <c r="I61" s="28">
        <f>IF($A61="","",IF($H61="","",IF($H61&lt;=7,"0-7",IF($H61&lt;=30,"8-30",IF($H61&lt;=60,"31-60","60+")))))</f>
        <v/>
      </c>
      <c r="J61" s="28">
        <f>IF($A61="","",IF($B61="","YETİM",IF(COUNTIF(tblKartlar[KartId],$B61)=0,"YETİM","")))</f>
        <v/>
      </c>
      <c r="K61" s="28">
        <f>IF($A61="","",IF($E61="YOK",IF($D61="KRITIK","KRİTİK EKSİK","EKSİK"),"TAM"))</f>
        <v/>
      </c>
      <c r="L61" s="28">
        <f>IF($A61="","",1)</f>
        <v/>
      </c>
    </row>
    <row r="62">
      <c r="A62" s="26" t="n"/>
      <c r="B62" s="26" t="n"/>
      <c r="C62" s="26" t="n"/>
      <c r="D62" s="26" t="n"/>
      <c r="E62" s="26" t="n"/>
      <c r="F62" s="29" t="n"/>
      <c r="G62" s="26" t="n"/>
      <c r="H62" s="28">
        <f>IF($A62="","",IF($F62="","",raporTarihi-$F62))</f>
        <v/>
      </c>
      <c r="I62" s="28">
        <f>IF($A62="","",IF($H62="","",IF($H62&lt;=7,"0-7",IF($H62&lt;=30,"8-30",IF($H62&lt;=60,"31-60","60+")))))</f>
        <v/>
      </c>
      <c r="J62" s="28">
        <f>IF($A62="","",IF($B62="","YETİM",IF(COUNTIF(tblKartlar[KartId],$B62)=0,"YETİM","")))</f>
        <v/>
      </c>
      <c r="K62" s="28">
        <f>IF($A62="","",IF($E62="YOK",IF($D62="KRITIK","KRİTİK EKSİK","EKSİK"),"TAM"))</f>
        <v/>
      </c>
      <c r="L62" s="28">
        <f>IF($A62="","",1)</f>
        <v/>
      </c>
    </row>
    <row r="63">
      <c r="A63" s="26" t="n"/>
      <c r="B63" s="26" t="n"/>
      <c r="C63" s="26" t="n"/>
      <c r="D63" s="26" t="n"/>
      <c r="E63" s="26" t="n"/>
      <c r="F63" s="29" t="n"/>
      <c r="G63" s="26" t="n"/>
      <c r="H63" s="28">
        <f>IF($A63="","",IF($F63="","",raporTarihi-$F63))</f>
        <v/>
      </c>
      <c r="I63" s="28">
        <f>IF($A63="","",IF($H63="","",IF($H63&lt;=7,"0-7",IF($H63&lt;=30,"8-30",IF($H63&lt;=60,"31-60","60+")))))</f>
        <v/>
      </c>
      <c r="J63" s="28">
        <f>IF($A63="","",IF($B63="","YETİM",IF(COUNTIF(tblKartlar[KartId],$B63)=0,"YETİM","")))</f>
        <v/>
      </c>
      <c r="K63" s="28">
        <f>IF($A63="","",IF($E63="YOK",IF($D63="KRITIK","KRİTİK EKSİK","EKSİK"),"TAM"))</f>
        <v/>
      </c>
      <c r="L63" s="28">
        <f>IF($A63="","",1)</f>
        <v/>
      </c>
    </row>
    <row r="64">
      <c r="A64" s="26" t="n"/>
      <c r="B64" s="26" t="n"/>
      <c r="C64" s="26" t="n"/>
      <c r="D64" s="26" t="n"/>
      <c r="E64" s="26" t="n"/>
      <c r="F64" s="29" t="n"/>
      <c r="G64" s="26" t="n"/>
      <c r="H64" s="28">
        <f>IF($A64="","",IF($F64="","",raporTarihi-$F64))</f>
        <v/>
      </c>
      <c r="I64" s="28">
        <f>IF($A64="","",IF($H64="","",IF($H64&lt;=7,"0-7",IF($H64&lt;=30,"8-30",IF($H64&lt;=60,"31-60","60+")))))</f>
        <v/>
      </c>
      <c r="J64" s="28">
        <f>IF($A64="","",IF($B64="","YETİM",IF(COUNTIF(tblKartlar[KartId],$B64)=0,"YETİM","")))</f>
        <v/>
      </c>
      <c r="K64" s="28">
        <f>IF($A64="","",IF($E64="YOK",IF($D64="KRITIK","KRİTİK EKSİK","EKSİK"),"TAM"))</f>
        <v/>
      </c>
      <c r="L64" s="28">
        <f>IF($A64="","",1)</f>
        <v/>
      </c>
    </row>
    <row r="65">
      <c r="A65" s="26" t="n"/>
      <c r="B65" s="26" t="n"/>
      <c r="C65" s="26" t="n"/>
      <c r="D65" s="26" t="n"/>
      <c r="E65" s="26" t="n"/>
      <c r="F65" s="29" t="n"/>
      <c r="G65" s="26" t="n"/>
      <c r="H65" s="28">
        <f>IF($A65="","",IF($F65="","",raporTarihi-$F65))</f>
        <v/>
      </c>
      <c r="I65" s="28">
        <f>IF($A65="","",IF($H65="","",IF($H65&lt;=7,"0-7",IF($H65&lt;=30,"8-30",IF($H65&lt;=60,"31-60","60+")))))</f>
        <v/>
      </c>
      <c r="J65" s="28">
        <f>IF($A65="","",IF($B65="","YETİM",IF(COUNTIF(tblKartlar[KartId],$B65)=0,"YETİM","")))</f>
        <v/>
      </c>
      <c r="K65" s="28">
        <f>IF($A65="","",IF($E65="YOK",IF($D65="KRITIK","KRİTİK EKSİK","EKSİK"),"TAM"))</f>
        <v/>
      </c>
      <c r="L65" s="28">
        <f>IF($A65="","",1)</f>
        <v/>
      </c>
    </row>
    <row r="66">
      <c r="A66" s="26" t="n"/>
      <c r="B66" s="26" t="n"/>
      <c r="C66" s="26" t="n"/>
      <c r="D66" s="26" t="n"/>
      <c r="E66" s="26" t="n"/>
      <c r="F66" s="29" t="n"/>
      <c r="G66" s="26" t="n"/>
      <c r="H66" s="28">
        <f>IF($A66="","",IF($F66="","",raporTarihi-$F66))</f>
        <v/>
      </c>
      <c r="I66" s="28">
        <f>IF($A66="","",IF($H66="","",IF($H66&lt;=7,"0-7",IF($H66&lt;=30,"8-30",IF($H66&lt;=60,"31-60","60+")))))</f>
        <v/>
      </c>
      <c r="J66" s="28">
        <f>IF($A66="","",IF($B66="","YETİM",IF(COUNTIF(tblKartlar[KartId],$B66)=0,"YETİM","")))</f>
        <v/>
      </c>
      <c r="K66" s="28">
        <f>IF($A66="","",IF($E66="YOK",IF($D66="KRITIK","KRİTİK EKSİK","EKSİK"),"TAM"))</f>
        <v/>
      </c>
      <c r="L66" s="28">
        <f>IF($A66="","",1)</f>
        <v/>
      </c>
    </row>
    <row r="67">
      <c r="A67" s="26" t="n"/>
      <c r="B67" s="26" t="n"/>
      <c r="C67" s="26" t="n"/>
      <c r="D67" s="26" t="n"/>
      <c r="E67" s="26" t="n"/>
      <c r="F67" s="29" t="n"/>
      <c r="G67" s="26" t="n"/>
      <c r="H67" s="28">
        <f>IF($A67="","",IF($F67="","",raporTarihi-$F67))</f>
        <v/>
      </c>
      <c r="I67" s="28">
        <f>IF($A67="","",IF($H67="","",IF($H67&lt;=7,"0-7",IF($H67&lt;=30,"8-30",IF($H67&lt;=60,"31-60","60+")))))</f>
        <v/>
      </c>
      <c r="J67" s="28">
        <f>IF($A67="","",IF($B67="","YETİM",IF(COUNTIF(tblKartlar[KartId],$B67)=0,"YETİM","")))</f>
        <v/>
      </c>
      <c r="K67" s="28">
        <f>IF($A67="","",IF($E67="YOK",IF($D67="KRITIK","KRİTİK EKSİK","EKSİK"),"TAM"))</f>
        <v/>
      </c>
      <c r="L67" s="28">
        <f>IF($A67="","",1)</f>
        <v/>
      </c>
    </row>
    <row r="68">
      <c r="A68" s="26" t="n"/>
      <c r="B68" s="26" t="n"/>
      <c r="C68" s="26" t="n"/>
      <c r="D68" s="26" t="n"/>
      <c r="E68" s="26" t="n"/>
      <c r="F68" s="29" t="n"/>
      <c r="G68" s="26" t="n"/>
      <c r="H68" s="28">
        <f>IF($A68="","",IF($F68="","",raporTarihi-$F68))</f>
        <v/>
      </c>
      <c r="I68" s="28">
        <f>IF($A68="","",IF($H68="","",IF($H68&lt;=7,"0-7",IF($H68&lt;=30,"8-30",IF($H68&lt;=60,"31-60","60+")))))</f>
        <v/>
      </c>
      <c r="J68" s="28">
        <f>IF($A68="","",IF($B68="","YETİM",IF(COUNTIF(tblKartlar[KartId],$B68)=0,"YETİM","")))</f>
        <v/>
      </c>
      <c r="K68" s="28">
        <f>IF($A68="","",IF($E68="YOK",IF($D68="KRITIK","KRİTİK EKSİK","EKSİK"),"TAM"))</f>
        <v/>
      </c>
      <c r="L68" s="28">
        <f>IF($A68="","",1)</f>
        <v/>
      </c>
    </row>
    <row r="69">
      <c r="A69" s="26" t="n"/>
      <c r="B69" s="26" t="n"/>
      <c r="C69" s="26" t="n"/>
      <c r="D69" s="26" t="n"/>
      <c r="E69" s="26" t="n"/>
      <c r="F69" s="29" t="n"/>
      <c r="G69" s="26" t="n"/>
      <c r="H69" s="28">
        <f>IF($A69="","",IF($F69="","",raporTarihi-$F69))</f>
        <v/>
      </c>
      <c r="I69" s="28">
        <f>IF($A69="","",IF($H69="","",IF($H69&lt;=7,"0-7",IF($H69&lt;=30,"8-30",IF($H69&lt;=60,"31-60","60+")))))</f>
        <v/>
      </c>
      <c r="J69" s="28">
        <f>IF($A69="","",IF($B69="","YETİM",IF(COUNTIF(tblKartlar[KartId],$B69)=0,"YETİM","")))</f>
        <v/>
      </c>
      <c r="K69" s="28">
        <f>IF($A69="","",IF($E69="YOK",IF($D69="KRITIK","KRİTİK EKSİK","EKSİK"),"TAM"))</f>
        <v/>
      </c>
      <c r="L69" s="28">
        <f>IF($A69="","",1)</f>
        <v/>
      </c>
    </row>
    <row r="70">
      <c r="A70" s="26" t="n"/>
      <c r="B70" s="26" t="n"/>
      <c r="C70" s="26" t="n"/>
      <c r="D70" s="26" t="n"/>
      <c r="E70" s="26" t="n"/>
      <c r="F70" s="29" t="n"/>
      <c r="G70" s="26" t="n"/>
      <c r="H70" s="28">
        <f>IF($A70="","",IF($F70="","",raporTarihi-$F70))</f>
        <v/>
      </c>
      <c r="I70" s="28">
        <f>IF($A70="","",IF($H70="","",IF($H70&lt;=7,"0-7",IF($H70&lt;=30,"8-30",IF($H70&lt;=60,"31-60","60+")))))</f>
        <v/>
      </c>
      <c r="J70" s="28">
        <f>IF($A70="","",IF($B70="","YETİM",IF(COUNTIF(tblKartlar[KartId],$B70)=0,"YETİM","")))</f>
        <v/>
      </c>
      <c r="K70" s="28">
        <f>IF($A70="","",IF($E70="YOK",IF($D70="KRITIK","KRİTİK EKSİK","EKSİK"),"TAM"))</f>
        <v/>
      </c>
      <c r="L70" s="28">
        <f>IF($A70="","",1)</f>
        <v/>
      </c>
    </row>
    <row r="71">
      <c r="A71" s="26" t="n"/>
      <c r="B71" s="26" t="n"/>
      <c r="C71" s="26" t="n"/>
      <c r="D71" s="26" t="n"/>
      <c r="E71" s="26" t="n"/>
      <c r="F71" s="29" t="n"/>
      <c r="G71" s="26" t="n"/>
      <c r="H71" s="28">
        <f>IF($A71="","",IF($F71="","",raporTarihi-$F71))</f>
        <v/>
      </c>
      <c r="I71" s="28">
        <f>IF($A71="","",IF($H71="","",IF($H71&lt;=7,"0-7",IF($H71&lt;=30,"8-30",IF($H71&lt;=60,"31-60","60+")))))</f>
        <v/>
      </c>
      <c r="J71" s="28">
        <f>IF($A71="","",IF($B71="","YETİM",IF(COUNTIF(tblKartlar[KartId],$B71)=0,"YETİM","")))</f>
        <v/>
      </c>
      <c r="K71" s="28">
        <f>IF($A71="","",IF($E71="YOK",IF($D71="KRITIK","KRİTİK EKSİK","EKSİK"),"TAM"))</f>
        <v/>
      </c>
      <c r="L71" s="28">
        <f>IF($A71="","",1)</f>
        <v/>
      </c>
    </row>
    <row r="72">
      <c r="A72" s="26" t="n"/>
      <c r="B72" s="26" t="n"/>
      <c r="C72" s="26" t="n"/>
      <c r="D72" s="26" t="n"/>
      <c r="E72" s="26" t="n"/>
      <c r="F72" s="29" t="n"/>
      <c r="G72" s="26" t="n"/>
      <c r="H72" s="28">
        <f>IF($A72="","",IF($F72="","",raporTarihi-$F72))</f>
        <v/>
      </c>
      <c r="I72" s="28">
        <f>IF($A72="","",IF($H72="","",IF($H72&lt;=7,"0-7",IF($H72&lt;=30,"8-30",IF($H72&lt;=60,"31-60","60+")))))</f>
        <v/>
      </c>
      <c r="J72" s="28">
        <f>IF($A72="","",IF($B72="","YETİM",IF(COUNTIF(tblKartlar[KartId],$B72)=0,"YETİM","")))</f>
        <v/>
      </c>
      <c r="K72" s="28">
        <f>IF($A72="","",IF($E72="YOK",IF($D72="KRITIK","KRİTİK EKSİK","EKSİK"),"TAM"))</f>
        <v/>
      </c>
      <c r="L72" s="28">
        <f>IF($A72="","",1)</f>
        <v/>
      </c>
    </row>
    <row r="73">
      <c r="A73" s="26" t="n"/>
      <c r="B73" s="26" t="n"/>
      <c r="C73" s="26" t="n"/>
      <c r="D73" s="26" t="n"/>
      <c r="E73" s="26" t="n"/>
      <c r="F73" s="29" t="n"/>
      <c r="G73" s="26" t="n"/>
      <c r="H73" s="28">
        <f>IF($A73="","",IF($F73="","",raporTarihi-$F73))</f>
        <v/>
      </c>
      <c r="I73" s="28">
        <f>IF($A73="","",IF($H73="","",IF($H73&lt;=7,"0-7",IF($H73&lt;=30,"8-30",IF($H73&lt;=60,"31-60","60+")))))</f>
        <v/>
      </c>
      <c r="J73" s="28">
        <f>IF($A73="","",IF($B73="","YETİM",IF(COUNTIF(tblKartlar[KartId],$B73)=0,"YETİM","")))</f>
        <v/>
      </c>
      <c r="K73" s="28">
        <f>IF($A73="","",IF($E73="YOK",IF($D73="KRITIK","KRİTİK EKSİK","EKSİK"),"TAM"))</f>
        <v/>
      </c>
      <c r="L73" s="28">
        <f>IF($A73="","",1)</f>
        <v/>
      </c>
    </row>
    <row r="74">
      <c r="A74" s="26" t="n"/>
      <c r="B74" s="26" t="n"/>
      <c r="C74" s="26" t="n"/>
      <c r="D74" s="26" t="n"/>
      <c r="E74" s="26" t="n"/>
      <c r="F74" s="29" t="n"/>
      <c r="G74" s="26" t="n"/>
      <c r="H74" s="28">
        <f>IF($A74="","",IF($F74="","",raporTarihi-$F74))</f>
        <v/>
      </c>
      <c r="I74" s="28">
        <f>IF($A74="","",IF($H74="","",IF($H74&lt;=7,"0-7",IF($H74&lt;=30,"8-30",IF($H74&lt;=60,"31-60","60+")))))</f>
        <v/>
      </c>
      <c r="J74" s="28">
        <f>IF($A74="","",IF($B74="","YETİM",IF(COUNTIF(tblKartlar[KartId],$B74)=0,"YETİM","")))</f>
        <v/>
      </c>
      <c r="K74" s="28">
        <f>IF($A74="","",IF($E74="YOK",IF($D74="KRITIK","KRİTİK EKSİK","EKSİK"),"TAM"))</f>
        <v/>
      </c>
      <c r="L74" s="28">
        <f>IF($A74="","",1)</f>
        <v/>
      </c>
    </row>
    <row r="75">
      <c r="A75" s="26" t="n"/>
      <c r="B75" s="26" t="n"/>
      <c r="C75" s="26" t="n"/>
      <c r="D75" s="26" t="n"/>
      <c r="E75" s="26" t="n"/>
      <c r="F75" s="29" t="n"/>
      <c r="G75" s="26" t="n"/>
      <c r="H75" s="28">
        <f>IF($A75="","",IF($F75="","",raporTarihi-$F75))</f>
        <v/>
      </c>
      <c r="I75" s="28">
        <f>IF($A75="","",IF($H75="","",IF($H75&lt;=7,"0-7",IF($H75&lt;=30,"8-30",IF($H75&lt;=60,"31-60","60+")))))</f>
        <v/>
      </c>
      <c r="J75" s="28">
        <f>IF($A75="","",IF($B75="","YETİM",IF(COUNTIF(tblKartlar[KartId],$B75)=0,"YETİM","")))</f>
        <v/>
      </c>
      <c r="K75" s="28">
        <f>IF($A75="","",IF($E75="YOK",IF($D75="KRITIK","KRİTİK EKSİK","EKSİK"),"TAM"))</f>
        <v/>
      </c>
      <c r="L75" s="28">
        <f>IF($A75="","",1)</f>
        <v/>
      </c>
    </row>
    <row r="76">
      <c r="A76" s="26" t="n"/>
      <c r="B76" s="26" t="n"/>
      <c r="C76" s="26" t="n"/>
      <c r="D76" s="26" t="n"/>
      <c r="E76" s="26" t="n"/>
      <c r="F76" s="29" t="n"/>
      <c r="G76" s="26" t="n"/>
      <c r="H76" s="28">
        <f>IF($A76="","",IF($F76="","",raporTarihi-$F76))</f>
        <v/>
      </c>
      <c r="I76" s="28">
        <f>IF($A76="","",IF($H76="","",IF($H76&lt;=7,"0-7",IF($H76&lt;=30,"8-30",IF($H76&lt;=60,"31-60","60+")))))</f>
        <v/>
      </c>
      <c r="J76" s="28">
        <f>IF($A76="","",IF($B76="","YETİM",IF(COUNTIF(tblKartlar[KartId],$B76)=0,"YETİM","")))</f>
        <v/>
      </c>
      <c r="K76" s="28">
        <f>IF($A76="","",IF($E76="YOK",IF($D76="KRITIK","KRİTİK EKSİK","EKSİK"),"TAM"))</f>
        <v/>
      </c>
      <c r="L76" s="28">
        <f>IF($A76="","",1)</f>
        <v/>
      </c>
    </row>
    <row r="77">
      <c r="A77" s="26" t="n"/>
      <c r="B77" s="26" t="n"/>
      <c r="C77" s="26" t="n"/>
      <c r="D77" s="26" t="n"/>
      <c r="E77" s="26" t="n"/>
      <c r="F77" s="29" t="n"/>
      <c r="G77" s="26" t="n"/>
      <c r="H77" s="28">
        <f>IF($A77="","",IF($F77="","",raporTarihi-$F77))</f>
        <v/>
      </c>
      <c r="I77" s="28">
        <f>IF($A77="","",IF($H77="","",IF($H77&lt;=7,"0-7",IF($H77&lt;=30,"8-30",IF($H77&lt;=60,"31-60","60+")))))</f>
        <v/>
      </c>
      <c r="J77" s="28">
        <f>IF($A77="","",IF($B77="","YETİM",IF(COUNTIF(tblKartlar[KartId],$B77)=0,"YETİM","")))</f>
        <v/>
      </c>
      <c r="K77" s="28">
        <f>IF($A77="","",IF($E77="YOK",IF($D77="KRITIK","KRİTİK EKSİK","EKSİK"),"TAM"))</f>
        <v/>
      </c>
      <c r="L77" s="28">
        <f>IF($A77="","",1)</f>
        <v/>
      </c>
    </row>
    <row r="78">
      <c r="A78" s="26" t="n"/>
      <c r="B78" s="26" t="n"/>
      <c r="C78" s="26" t="n"/>
      <c r="D78" s="26" t="n"/>
      <c r="E78" s="26" t="n"/>
      <c r="F78" s="29" t="n"/>
      <c r="G78" s="26" t="n"/>
      <c r="H78" s="28">
        <f>IF($A78="","",IF($F78="","",raporTarihi-$F78))</f>
        <v/>
      </c>
      <c r="I78" s="28">
        <f>IF($A78="","",IF($H78="","",IF($H78&lt;=7,"0-7",IF($H78&lt;=30,"8-30",IF($H78&lt;=60,"31-60","60+")))))</f>
        <v/>
      </c>
      <c r="J78" s="28">
        <f>IF($A78="","",IF($B78="","YETİM",IF(COUNTIF(tblKartlar[KartId],$B78)=0,"YETİM","")))</f>
        <v/>
      </c>
      <c r="K78" s="28">
        <f>IF($A78="","",IF($E78="YOK",IF($D78="KRITIK","KRİTİK EKSİK","EKSİK"),"TAM"))</f>
        <v/>
      </c>
      <c r="L78" s="28">
        <f>IF($A78="","",1)</f>
        <v/>
      </c>
    </row>
    <row r="79">
      <c r="A79" s="26" t="n"/>
      <c r="B79" s="26" t="n"/>
      <c r="C79" s="26" t="n"/>
      <c r="D79" s="26" t="n"/>
      <c r="E79" s="26" t="n"/>
      <c r="F79" s="29" t="n"/>
      <c r="G79" s="26" t="n"/>
      <c r="H79" s="28">
        <f>IF($A79="","",IF($F79="","",raporTarihi-$F79))</f>
        <v/>
      </c>
      <c r="I79" s="28">
        <f>IF($A79="","",IF($H79="","",IF($H79&lt;=7,"0-7",IF($H79&lt;=30,"8-30",IF($H79&lt;=60,"31-60","60+")))))</f>
        <v/>
      </c>
      <c r="J79" s="28">
        <f>IF($A79="","",IF($B79="","YETİM",IF(COUNTIF(tblKartlar[KartId],$B79)=0,"YETİM","")))</f>
        <v/>
      </c>
      <c r="K79" s="28">
        <f>IF($A79="","",IF($E79="YOK",IF($D79="KRITIK","KRİTİK EKSİK","EKSİK"),"TAM"))</f>
        <v/>
      </c>
      <c r="L79" s="28">
        <f>IF($A79="","",1)</f>
        <v/>
      </c>
    </row>
    <row r="80">
      <c r="A80" s="26" t="n"/>
      <c r="B80" s="26" t="n"/>
      <c r="C80" s="26" t="n"/>
      <c r="D80" s="26" t="n"/>
      <c r="E80" s="26" t="n"/>
      <c r="F80" s="29" t="n"/>
      <c r="G80" s="26" t="n"/>
      <c r="H80" s="28">
        <f>IF($A80="","",IF($F80="","",raporTarihi-$F80))</f>
        <v/>
      </c>
      <c r="I80" s="28">
        <f>IF($A80="","",IF($H80="","",IF($H80&lt;=7,"0-7",IF($H80&lt;=30,"8-30",IF($H80&lt;=60,"31-60","60+")))))</f>
        <v/>
      </c>
      <c r="J80" s="28">
        <f>IF($A80="","",IF($B80="","YETİM",IF(COUNTIF(tblKartlar[KartId],$B80)=0,"YETİM","")))</f>
        <v/>
      </c>
      <c r="K80" s="28">
        <f>IF($A80="","",IF($E80="YOK",IF($D80="KRITIK","KRİTİK EKSİK","EKSİK"),"TAM"))</f>
        <v/>
      </c>
      <c r="L80" s="28">
        <f>IF($A80="","",1)</f>
        <v/>
      </c>
    </row>
    <row r="81">
      <c r="A81" s="26" t="n"/>
      <c r="B81" s="26" t="n"/>
      <c r="C81" s="26" t="n"/>
      <c r="D81" s="26" t="n"/>
      <c r="E81" s="26" t="n"/>
      <c r="F81" s="29" t="n"/>
      <c r="G81" s="26" t="n"/>
      <c r="H81" s="28">
        <f>IF($A81="","",IF($F81="","",raporTarihi-$F81))</f>
        <v/>
      </c>
      <c r="I81" s="28">
        <f>IF($A81="","",IF($H81="","",IF($H81&lt;=7,"0-7",IF($H81&lt;=30,"8-30",IF($H81&lt;=60,"31-60","60+")))))</f>
        <v/>
      </c>
      <c r="J81" s="28">
        <f>IF($A81="","",IF($B81="","YETİM",IF(COUNTIF(tblKartlar[KartId],$B81)=0,"YETİM","")))</f>
        <v/>
      </c>
      <c r="K81" s="28">
        <f>IF($A81="","",IF($E81="YOK",IF($D81="KRITIK","KRİTİK EKSİK","EKSİK"),"TAM"))</f>
        <v/>
      </c>
      <c r="L81" s="28">
        <f>IF($A81="","",1)</f>
        <v/>
      </c>
    </row>
    <row r="82">
      <c r="A82" s="26" t="n"/>
      <c r="B82" s="26" t="n"/>
      <c r="C82" s="26" t="n"/>
      <c r="D82" s="26" t="n"/>
      <c r="E82" s="26" t="n"/>
      <c r="F82" s="29" t="n"/>
      <c r="G82" s="26" t="n"/>
      <c r="H82" s="28">
        <f>IF($A82="","",IF($F82="","",raporTarihi-$F82))</f>
        <v/>
      </c>
      <c r="I82" s="28">
        <f>IF($A82="","",IF($H82="","",IF($H82&lt;=7,"0-7",IF($H82&lt;=30,"8-30",IF($H82&lt;=60,"31-60","60+")))))</f>
        <v/>
      </c>
      <c r="J82" s="28">
        <f>IF($A82="","",IF($B82="","YETİM",IF(COUNTIF(tblKartlar[KartId],$B82)=0,"YETİM","")))</f>
        <v/>
      </c>
      <c r="K82" s="28">
        <f>IF($A82="","",IF($E82="YOK",IF($D82="KRITIK","KRİTİK EKSİK","EKSİK"),"TAM"))</f>
        <v/>
      </c>
      <c r="L82" s="28">
        <f>IF($A82="","",1)</f>
        <v/>
      </c>
    </row>
    <row r="83">
      <c r="A83" s="26" t="n"/>
      <c r="B83" s="26" t="n"/>
      <c r="C83" s="26" t="n"/>
      <c r="D83" s="26" t="n"/>
      <c r="E83" s="26" t="n"/>
      <c r="F83" s="29" t="n"/>
      <c r="G83" s="26" t="n"/>
      <c r="H83" s="28">
        <f>IF($A83="","",IF($F83="","",raporTarihi-$F83))</f>
        <v/>
      </c>
      <c r="I83" s="28">
        <f>IF($A83="","",IF($H83="","",IF($H83&lt;=7,"0-7",IF($H83&lt;=30,"8-30",IF($H83&lt;=60,"31-60","60+")))))</f>
        <v/>
      </c>
      <c r="J83" s="28">
        <f>IF($A83="","",IF($B83="","YETİM",IF(COUNTIF(tblKartlar[KartId],$B83)=0,"YETİM","")))</f>
        <v/>
      </c>
      <c r="K83" s="28">
        <f>IF($A83="","",IF($E83="YOK",IF($D83="KRITIK","KRİTİK EKSİK","EKSİK"),"TAM"))</f>
        <v/>
      </c>
      <c r="L83" s="28">
        <f>IF($A83="","",1)</f>
        <v/>
      </c>
    </row>
    <row r="84">
      <c r="A84" s="26" t="n"/>
      <c r="B84" s="26" t="n"/>
      <c r="C84" s="26" t="n"/>
      <c r="D84" s="26" t="n"/>
      <c r="E84" s="26" t="n"/>
      <c r="F84" s="29" t="n"/>
      <c r="G84" s="26" t="n"/>
      <c r="H84" s="28">
        <f>IF($A84="","",IF($F84="","",raporTarihi-$F84))</f>
        <v/>
      </c>
      <c r="I84" s="28">
        <f>IF($A84="","",IF($H84="","",IF($H84&lt;=7,"0-7",IF($H84&lt;=30,"8-30",IF($H84&lt;=60,"31-60","60+")))))</f>
        <v/>
      </c>
      <c r="J84" s="28">
        <f>IF($A84="","",IF($B84="","YETİM",IF(COUNTIF(tblKartlar[KartId],$B84)=0,"YETİM","")))</f>
        <v/>
      </c>
      <c r="K84" s="28">
        <f>IF($A84="","",IF($E84="YOK",IF($D84="KRITIK","KRİTİK EKSİK","EKSİK"),"TAM"))</f>
        <v/>
      </c>
      <c r="L84" s="28">
        <f>IF($A84="","",1)</f>
        <v/>
      </c>
    </row>
    <row r="85">
      <c r="A85" s="26" t="n"/>
      <c r="B85" s="26" t="n"/>
      <c r="C85" s="26" t="n"/>
      <c r="D85" s="26" t="n"/>
      <c r="E85" s="26" t="n"/>
      <c r="F85" s="29" t="n"/>
      <c r="G85" s="26" t="n"/>
      <c r="H85" s="28">
        <f>IF($A85="","",IF($F85="","",raporTarihi-$F85))</f>
        <v/>
      </c>
      <c r="I85" s="28">
        <f>IF($A85="","",IF($H85="","",IF($H85&lt;=7,"0-7",IF($H85&lt;=30,"8-30",IF($H85&lt;=60,"31-60","60+")))))</f>
        <v/>
      </c>
      <c r="J85" s="28">
        <f>IF($A85="","",IF($B85="","YETİM",IF(COUNTIF(tblKartlar[KartId],$B85)=0,"YETİM","")))</f>
        <v/>
      </c>
      <c r="K85" s="28">
        <f>IF($A85="","",IF($E85="YOK",IF($D85="KRITIK","KRİTİK EKSİK","EKSİK"),"TAM"))</f>
        <v/>
      </c>
      <c r="L85" s="28">
        <f>IF($A85="","",1)</f>
        <v/>
      </c>
    </row>
    <row r="86">
      <c r="A86" s="26" t="n"/>
      <c r="B86" s="26" t="n"/>
      <c r="C86" s="26" t="n"/>
      <c r="D86" s="26" t="n"/>
      <c r="E86" s="26" t="n"/>
      <c r="F86" s="29" t="n"/>
      <c r="G86" s="26" t="n"/>
      <c r="H86" s="28">
        <f>IF($A86="","",IF($F86="","",raporTarihi-$F86))</f>
        <v/>
      </c>
      <c r="I86" s="28">
        <f>IF($A86="","",IF($H86="","",IF($H86&lt;=7,"0-7",IF($H86&lt;=30,"8-30",IF($H86&lt;=60,"31-60","60+")))))</f>
        <v/>
      </c>
      <c r="J86" s="28">
        <f>IF($A86="","",IF($B86="","YETİM",IF(COUNTIF(tblKartlar[KartId],$B86)=0,"YETİM","")))</f>
        <v/>
      </c>
      <c r="K86" s="28">
        <f>IF($A86="","",IF($E86="YOK",IF($D86="KRITIK","KRİTİK EKSİK","EKSİK"),"TAM"))</f>
        <v/>
      </c>
      <c r="L86" s="28">
        <f>IF($A86="","",1)</f>
        <v/>
      </c>
    </row>
    <row r="87">
      <c r="A87" s="26" t="n"/>
      <c r="B87" s="26" t="n"/>
      <c r="C87" s="26" t="n"/>
      <c r="D87" s="26" t="n"/>
      <c r="E87" s="26" t="n"/>
      <c r="F87" s="29" t="n"/>
      <c r="G87" s="26" t="n"/>
      <c r="H87" s="28">
        <f>IF($A87="","",IF($F87="","",raporTarihi-$F87))</f>
        <v/>
      </c>
      <c r="I87" s="28">
        <f>IF($A87="","",IF($H87="","",IF($H87&lt;=7,"0-7",IF($H87&lt;=30,"8-30",IF($H87&lt;=60,"31-60","60+")))))</f>
        <v/>
      </c>
      <c r="J87" s="28">
        <f>IF($A87="","",IF($B87="","YETİM",IF(COUNTIF(tblKartlar[KartId],$B87)=0,"YETİM","")))</f>
        <v/>
      </c>
      <c r="K87" s="28">
        <f>IF($A87="","",IF($E87="YOK",IF($D87="KRITIK","KRİTİK EKSİK","EKSİK"),"TAM"))</f>
        <v/>
      </c>
      <c r="L87" s="28">
        <f>IF($A87="","",1)</f>
        <v/>
      </c>
    </row>
    <row r="88">
      <c r="A88" s="26" t="n"/>
      <c r="B88" s="26" t="n"/>
      <c r="C88" s="26" t="n"/>
      <c r="D88" s="26" t="n"/>
      <c r="E88" s="26" t="n"/>
      <c r="F88" s="29" t="n"/>
      <c r="G88" s="26" t="n"/>
      <c r="H88" s="28">
        <f>IF($A88="","",IF($F88="","",raporTarihi-$F88))</f>
        <v/>
      </c>
      <c r="I88" s="28">
        <f>IF($A88="","",IF($H88="","",IF($H88&lt;=7,"0-7",IF($H88&lt;=30,"8-30",IF($H88&lt;=60,"31-60","60+")))))</f>
        <v/>
      </c>
      <c r="J88" s="28">
        <f>IF($A88="","",IF($B88="","YETİM",IF(COUNTIF(tblKartlar[KartId],$B88)=0,"YETİM","")))</f>
        <v/>
      </c>
      <c r="K88" s="28">
        <f>IF($A88="","",IF($E88="YOK",IF($D88="KRITIK","KRİTİK EKSİK","EKSİK"),"TAM"))</f>
        <v/>
      </c>
      <c r="L88" s="28">
        <f>IF($A88="","",1)</f>
        <v/>
      </c>
    </row>
    <row r="89">
      <c r="A89" s="26" t="n"/>
      <c r="B89" s="26" t="n"/>
      <c r="C89" s="26" t="n"/>
      <c r="D89" s="26" t="n"/>
      <c r="E89" s="26" t="n"/>
      <c r="F89" s="29" t="n"/>
      <c r="G89" s="26" t="n"/>
      <c r="H89" s="28">
        <f>IF($A89="","",IF($F89="","",raporTarihi-$F89))</f>
        <v/>
      </c>
      <c r="I89" s="28">
        <f>IF($A89="","",IF($H89="","",IF($H89&lt;=7,"0-7",IF($H89&lt;=30,"8-30",IF($H89&lt;=60,"31-60","60+")))))</f>
        <v/>
      </c>
      <c r="J89" s="28">
        <f>IF($A89="","",IF($B89="","YETİM",IF(COUNTIF(tblKartlar[KartId],$B89)=0,"YETİM","")))</f>
        <v/>
      </c>
      <c r="K89" s="28">
        <f>IF($A89="","",IF($E89="YOK",IF($D89="KRITIK","KRİTİK EKSİK","EKSİK"),"TAM"))</f>
        <v/>
      </c>
      <c r="L89" s="28">
        <f>IF($A89="","",1)</f>
        <v/>
      </c>
    </row>
    <row r="90">
      <c r="A90" s="26" t="n"/>
      <c r="B90" s="26" t="n"/>
      <c r="C90" s="26" t="n"/>
      <c r="D90" s="26" t="n"/>
      <c r="E90" s="26" t="n"/>
      <c r="F90" s="29" t="n"/>
      <c r="G90" s="26" t="n"/>
      <c r="H90" s="28">
        <f>IF($A90="","",IF($F90="","",raporTarihi-$F90))</f>
        <v/>
      </c>
      <c r="I90" s="28">
        <f>IF($A90="","",IF($H90="","",IF($H90&lt;=7,"0-7",IF($H90&lt;=30,"8-30",IF($H90&lt;=60,"31-60","60+")))))</f>
        <v/>
      </c>
      <c r="J90" s="28">
        <f>IF($A90="","",IF($B90="","YETİM",IF(COUNTIF(tblKartlar[KartId],$B90)=0,"YETİM","")))</f>
        <v/>
      </c>
      <c r="K90" s="28">
        <f>IF($A90="","",IF($E90="YOK",IF($D90="KRITIK","KRİTİK EKSİK","EKSİK"),"TAM"))</f>
        <v/>
      </c>
      <c r="L90" s="28">
        <f>IF($A90="","",1)</f>
        <v/>
      </c>
    </row>
    <row r="91">
      <c r="A91" s="26" t="n"/>
      <c r="B91" s="26" t="n"/>
      <c r="C91" s="26" t="n"/>
      <c r="D91" s="26" t="n"/>
      <c r="E91" s="26" t="n"/>
      <c r="F91" s="29" t="n"/>
      <c r="G91" s="26" t="n"/>
      <c r="H91" s="28">
        <f>IF($A91="","",IF($F91="","",raporTarihi-$F91))</f>
        <v/>
      </c>
      <c r="I91" s="28">
        <f>IF($A91="","",IF($H91="","",IF($H91&lt;=7,"0-7",IF($H91&lt;=30,"8-30",IF($H91&lt;=60,"31-60","60+")))))</f>
        <v/>
      </c>
      <c r="J91" s="28">
        <f>IF($A91="","",IF($B91="","YETİM",IF(COUNTIF(tblKartlar[KartId],$B91)=0,"YETİM","")))</f>
        <v/>
      </c>
      <c r="K91" s="28">
        <f>IF($A91="","",IF($E91="YOK",IF($D91="KRITIK","KRİTİK EKSİK","EKSİK"),"TAM"))</f>
        <v/>
      </c>
      <c r="L91" s="28">
        <f>IF($A91="","",1)</f>
        <v/>
      </c>
    </row>
    <row r="92">
      <c r="A92" s="26" t="n"/>
      <c r="B92" s="26" t="n"/>
      <c r="C92" s="26" t="n"/>
      <c r="D92" s="26" t="n"/>
      <c r="E92" s="26" t="n"/>
      <c r="F92" s="29" t="n"/>
      <c r="G92" s="26" t="n"/>
      <c r="H92" s="28">
        <f>IF($A92="","",IF($F92="","",raporTarihi-$F92))</f>
        <v/>
      </c>
      <c r="I92" s="28">
        <f>IF($A92="","",IF($H92="","",IF($H92&lt;=7,"0-7",IF($H92&lt;=30,"8-30",IF($H92&lt;=60,"31-60","60+")))))</f>
        <v/>
      </c>
      <c r="J92" s="28">
        <f>IF($A92="","",IF($B92="","YETİM",IF(COUNTIF(tblKartlar[KartId],$B92)=0,"YETİM","")))</f>
        <v/>
      </c>
      <c r="K92" s="28">
        <f>IF($A92="","",IF($E92="YOK",IF($D92="KRITIK","KRİTİK EKSİK","EKSİK"),"TAM"))</f>
        <v/>
      </c>
      <c r="L92" s="28">
        <f>IF($A92="","",1)</f>
        <v/>
      </c>
    </row>
    <row r="93">
      <c r="A93" s="26" t="n"/>
      <c r="B93" s="26" t="n"/>
      <c r="C93" s="26" t="n"/>
      <c r="D93" s="26" t="n"/>
      <c r="E93" s="26" t="n"/>
      <c r="F93" s="29" t="n"/>
      <c r="G93" s="26" t="n"/>
      <c r="H93" s="28">
        <f>IF($A93="","",IF($F93="","",raporTarihi-$F93))</f>
        <v/>
      </c>
      <c r="I93" s="28">
        <f>IF($A93="","",IF($H93="","",IF($H93&lt;=7,"0-7",IF($H93&lt;=30,"8-30",IF($H93&lt;=60,"31-60","60+")))))</f>
        <v/>
      </c>
      <c r="J93" s="28">
        <f>IF($A93="","",IF($B93="","YETİM",IF(COUNTIF(tblKartlar[KartId],$B93)=0,"YETİM","")))</f>
        <v/>
      </c>
      <c r="K93" s="28">
        <f>IF($A93="","",IF($E93="YOK",IF($D93="KRITIK","KRİTİK EKSİK","EKSİK"),"TAM"))</f>
        <v/>
      </c>
      <c r="L93" s="28">
        <f>IF($A93="","",1)</f>
        <v/>
      </c>
    </row>
    <row r="94">
      <c r="A94" s="26" t="n"/>
      <c r="B94" s="26" t="n"/>
      <c r="C94" s="26" t="n"/>
      <c r="D94" s="26" t="n"/>
      <c r="E94" s="26" t="n"/>
      <c r="F94" s="29" t="n"/>
      <c r="G94" s="26" t="n"/>
      <c r="H94" s="28">
        <f>IF($A94="","",IF($F94="","",raporTarihi-$F94))</f>
        <v/>
      </c>
      <c r="I94" s="28">
        <f>IF($A94="","",IF($H94="","",IF($H94&lt;=7,"0-7",IF($H94&lt;=30,"8-30",IF($H94&lt;=60,"31-60","60+")))))</f>
        <v/>
      </c>
      <c r="J94" s="28">
        <f>IF($A94="","",IF($B94="","YETİM",IF(COUNTIF(tblKartlar[KartId],$B94)=0,"YETİM","")))</f>
        <v/>
      </c>
      <c r="K94" s="28">
        <f>IF($A94="","",IF($E94="YOK",IF($D94="KRITIK","KRİTİK EKSİK","EKSİK"),"TAM"))</f>
        <v/>
      </c>
      <c r="L94" s="28">
        <f>IF($A94="","",1)</f>
        <v/>
      </c>
    </row>
    <row r="95">
      <c r="A95" s="26" t="n"/>
      <c r="B95" s="26" t="n"/>
      <c r="C95" s="26" t="n"/>
      <c r="D95" s="26" t="n"/>
      <c r="E95" s="26" t="n"/>
      <c r="F95" s="29" t="n"/>
      <c r="G95" s="26" t="n"/>
      <c r="H95" s="28">
        <f>IF($A95="","",IF($F95="","",raporTarihi-$F95))</f>
        <v/>
      </c>
      <c r="I95" s="28">
        <f>IF($A95="","",IF($H95="","",IF($H95&lt;=7,"0-7",IF($H95&lt;=30,"8-30",IF($H95&lt;=60,"31-60","60+")))))</f>
        <v/>
      </c>
      <c r="J95" s="28">
        <f>IF($A95="","",IF($B95="","YETİM",IF(COUNTIF(tblKartlar[KartId],$B95)=0,"YETİM","")))</f>
        <v/>
      </c>
      <c r="K95" s="28">
        <f>IF($A95="","",IF($E95="YOK",IF($D95="KRITIK","KRİTİK EKSİK","EKSİK"),"TAM"))</f>
        <v/>
      </c>
      <c r="L95" s="28">
        <f>IF($A95="","",1)</f>
        <v/>
      </c>
    </row>
    <row r="96">
      <c r="A96" s="26" t="n"/>
      <c r="B96" s="26" t="n"/>
      <c r="C96" s="26" t="n"/>
      <c r="D96" s="26" t="n"/>
      <c r="E96" s="26" t="n"/>
      <c r="F96" s="29" t="n"/>
      <c r="G96" s="26" t="n"/>
      <c r="H96" s="28">
        <f>IF($A96="","",IF($F96="","",raporTarihi-$F96))</f>
        <v/>
      </c>
      <c r="I96" s="28">
        <f>IF($A96="","",IF($H96="","",IF($H96&lt;=7,"0-7",IF($H96&lt;=30,"8-30",IF($H96&lt;=60,"31-60","60+")))))</f>
        <v/>
      </c>
      <c r="J96" s="28">
        <f>IF($A96="","",IF($B96="","YETİM",IF(COUNTIF(tblKartlar[KartId],$B96)=0,"YETİM","")))</f>
        <v/>
      </c>
      <c r="K96" s="28">
        <f>IF($A96="","",IF($E96="YOK",IF($D96="KRITIK","KRİTİK EKSİK","EKSİK"),"TAM"))</f>
        <v/>
      </c>
      <c r="L96" s="28">
        <f>IF($A96="","",1)</f>
        <v/>
      </c>
    </row>
    <row r="97">
      <c r="A97" s="26" t="n"/>
      <c r="B97" s="26" t="n"/>
      <c r="C97" s="26" t="n"/>
      <c r="D97" s="26" t="n"/>
      <c r="E97" s="26" t="n"/>
      <c r="F97" s="29" t="n"/>
      <c r="G97" s="26" t="n"/>
      <c r="H97" s="28">
        <f>IF($A97="","",IF($F97="","",raporTarihi-$F97))</f>
        <v/>
      </c>
      <c r="I97" s="28">
        <f>IF($A97="","",IF($H97="","",IF($H97&lt;=7,"0-7",IF($H97&lt;=30,"8-30",IF($H97&lt;=60,"31-60","60+")))))</f>
        <v/>
      </c>
      <c r="J97" s="28">
        <f>IF($A97="","",IF($B97="","YETİM",IF(COUNTIF(tblKartlar[KartId],$B97)=0,"YETİM","")))</f>
        <v/>
      </c>
      <c r="K97" s="28">
        <f>IF($A97="","",IF($E97="YOK",IF($D97="KRITIK","KRİTİK EKSİK","EKSİK"),"TAM"))</f>
        <v/>
      </c>
      <c r="L97" s="28">
        <f>IF($A97="","",1)</f>
        <v/>
      </c>
    </row>
    <row r="98">
      <c r="A98" s="26" t="n"/>
      <c r="B98" s="26" t="n"/>
      <c r="C98" s="26" t="n"/>
      <c r="D98" s="26" t="n"/>
      <c r="E98" s="26" t="n"/>
      <c r="F98" s="29" t="n"/>
      <c r="G98" s="26" t="n"/>
      <c r="H98" s="28">
        <f>IF($A98="","",IF($F98="","",raporTarihi-$F98))</f>
        <v/>
      </c>
      <c r="I98" s="28">
        <f>IF($A98="","",IF($H98="","",IF($H98&lt;=7,"0-7",IF($H98&lt;=30,"8-30",IF($H98&lt;=60,"31-60","60+")))))</f>
        <v/>
      </c>
      <c r="J98" s="28">
        <f>IF($A98="","",IF($B98="","YETİM",IF(COUNTIF(tblKartlar[KartId],$B98)=0,"YETİM","")))</f>
        <v/>
      </c>
      <c r="K98" s="28">
        <f>IF($A98="","",IF($E98="YOK",IF($D98="KRITIK","KRİTİK EKSİK","EKSİK"),"TAM"))</f>
        <v/>
      </c>
      <c r="L98" s="28">
        <f>IF($A98="","",1)</f>
        <v/>
      </c>
    </row>
    <row r="99">
      <c r="A99" s="26" t="n"/>
      <c r="B99" s="26" t="n"/>
      <c r="C99" s="26" t="n"/>
      <c r="D99" s="26" t="n"/>
      <c r="E99" s="26" t="n"/>
      <c r="F99" s="29" t="n"/>
      <c r="G99" s="26" t="n"/>
      <c r="H99" s="28">
        <f>IF($A99="","",IF($F99="","",raporTarihi-$F99))</f>
        <v/>
      </c>
      <c r="I99" s="28">
        <f>IF($A99="","",IF($H99="","",IF($H99&lt;=7,"0-7",IF($H99&lt;=30,"8-30",IF($H99&lt;=60,"31-60","60+")))))</f>
        <v/>
      </c>
      <c r="J99" s="28">
        <f>IF($A99="","",IF($B99="","YETİM",IF(COUNTIF(tblKartlar[KartId],$B99)=0,"YETİM","")))</f>
        <v/>
      </c>
      <c r="K99" s="28">
        <f>IF($A99="","",IF($E99="YOK",IF($D99="KRITIK","KRİTİK EKSİK","EKSİK"),"TAM"))</f>
        <v/>
      </c>
      <c r="L99" s="28">
        <f>IF($A99="","",1)</f>
        <v/>
      </c>
    </row>
    <row r="100">
      <c r="A100" s="26" t="n"/>
      <c r="B100" s="26" t="n"/>
      <c r="C100" s="26" t="n"/>
      <c r="D100" s="26" t="n"/>
      <c r="E100" s="26" t="n"/>
      <c r="F100" s="29" t="n"/>
      <c r="G100" s="26" t="n"/>
      <c r="H100" s="28">
        <f>IF($A100="","",IF($F100="","",raporTarihi-$F100))</f>
        <v/>
      </c>
      <c r="I100" s="28">
        <f>IF($A100="","",IF($H100="","",IF($H100&lt;=7,"0-7",IF($H100&lt;=30,"8-30",IF($H100&lt;=60,"31-60","60+")))))</f>
        <v/>
      </c>
      <c r="J100" s="28">
        <f>IF($A100="","",IF($B100="","YETİM",IF(COUNTIF(tblKartlar[KartId],$B100)=0,"YETİM","")))</f>
        <v/>
      </c>
      <c r="K100" s="28">
        <f>IF($A100="","",IF($E100="YOK",IF($D100="KRITIK","KRİTİK EKSİK","EKSİK"),"TAM"))</f>
        <v/>
      </c>
      <c r="L100" s="28">
        <f>IF($A100="","",1)</f>
        <v/>
      </c>
    </row>
    <row r="101">
      <c r="A101" s="26" t="n"/>
      <c r="B101" s="26" t="n"/>
      <c r="C101" s="26" t="n"/>
      <c r="D101" s="26" t="n"/>
      <c r="E101" s="26" t="n"/>
      <c r="F101" s="29" t="n"/>
      <c r="G101" s="26" t="n"/>
      <c r="H101" s="28">
        <f>IF($A101="","",IF($F101="","",raporTarihi-$F101))</f>
        <v/>
      </c>
      <c r="I101" s="28">
        <f>IF($A101="","",IF($H101="","",IF($H101&lt;=7,"0-7",IF($H101&lt;=30,"8-30",IF($H101&lt;=60,"31-60","60+")))))</f>
        <v/>
      </c>
      <c r="J101" s="28">
        <f>IF($A101="","",IF($B101="","YETİM",IF(COUNTIF(tblKartlar[KartId],$B101)=0,"YETİM","")))</f>
        <v/>
      </c>
      <c r="K101" s="28">
        <f>IF($A101="","",IF($E101="YOK",IF($D101="KRITIK","KRİTİK EKSİK","EKSİK"),"TAM"))</f>
        <v/>
      </c>
      <c r="L101" s="28">
        <f>IF($A101="","",1)</f>
        <v/>
      </c>
    </row>
    <row r="102">
      <c r="A102" s="26" t="n"/>
      <c r="B102" s="26" t="n"/>
      <c r="C102" s="26" t="n"/>
      <c r="D102" s="26" t="n"/>
      <c r="E102" s="26" t="n"/>
      <c r="F102" s="29" t="n"/>
      <c r="G102" s="26" t="n"/>
      <c r="H102" s="28">
        <f>IF($A102="","",IF($F102="","",raporTarihi-$F102))</f>
        <v/>
      </c>
      <c r="I102" s="28">
        <f>IF($A102="","",IF($H102="","",IF($H102&lt;=7,"0-7",IF($H102&lt;=30,"8-30",IF($H102&lt;=60,"31-60","60+")))))</f>
        <v/>
      </c>
      <c r="J102" s="28">
        <f>IF($A102="","",IF($B102="","YETİM",IF(COUNTIF(tblKartlar[KartId],$B102)=0,"YETİM","")))</f>
        <v/>
      </c>
      <c r="K102" s="28">
        <f>IF($A102="","",IF($E102="YOK",IF($D102="KRITIK","KRİTİK EKSİK","EKSİK"),"TAM"))</f>
        <v/>
      </c>
      <c r="L102" s="28">
        <f>IF($A102="","",1)</f>
        <v/>
      </c>
    </row>
    <row r="103">
      <c r="A103" s="26" t="n"/>
      <c r="B103" s="26" t="n"/>
      <c r="C103" s="26" t="n"/>
      <c r="D103" s="26" t="n"/>
      <c r="E103" s="26" t="n"/>
      <c r="F103" s="29" t="n"/>
      <c r="G103" s="26" t="n"/>
      <c r="H103" s="28">
        <f>IF($A103="","",IF($F103="","",raporTarihi-$F103))</f>
        <v/>
      </c>
      <c r="I103" s="28">
        <f>IF($A103="","",IF($H103="","",IF($H103&lt;=7,"0-7",IF($H103&lt;=30,"8-30",IF($H103&lt;=60,"31-60","60+")))))</f>
        <v/>
      </c>
      <c r="J103" s="28">
        <f>IF($A103="","",IF($B103="","YETİM",IF(COUNTIF(tblKartlar[KartId],$B103)=0,"YETİM","")))</f>
        <v/>
      </c>
      <c r="K103" s="28">
        <f>IF($A103="","",IF($E103="YOK",IF($D103="KRITIK","KRİTİK EKSİK","EKSİK"),"TAM"))</f>
        <v/>
      </c>
      <c r="L103" s="28">
        <f>IF($A103="","",1)</f>
        <v/>
      </c>
    </row>
    <row r="104">
      <c r="A104" s="26" t="n"/>
      <c r="B104" s="26" t="n"/>
      <c r="C104" s="26" t="n"/>
      <c r="D104" s="26" t="n"/>
      <c r="E104" s="26" t="n"/>
      <c r="F104" s="29" t="n"/>
      <c r="G104" s="26" t="n"/>
      <c r="H104" s="28">
        <f>IF($A104="","",IF($F104="","",raporTarihi-$F104))</f>
        <v/>
      </c>
      <c r="I104" s="28">
        <f>IF($A104="","",IF($H104="","",IF($H104&lt;=7,"0-7",IF($H104&lt;=30,"8-30",IF($H104&lt;=60,"31-60","60+")))))</f>
        <v/>
      </c>
      <c r="J104" s="28">
        <f>IF($A104="","",IF($B104="","YETİM",IF(COUNTIF(tblKartlar[KartId],$B104)=0,"YETİM","")))</f>
        <v/>
      </c>
      <c r="K104" s="28">
        <f>IF($A104="","",IF($E104="YOK",IF($D104="KRITIK","KRİTİK EKSİK","EKSİK"),"TAM"))</f>
        <v/>
      </c>
      <c r="L104" s="28">
        <f>IF($A104="","",1)</f>
        <v/>
      </c>
    </row>
    <row r="105">
      <c r="A105" s="26" t="n"/>
      <c r="B105" s="26" t="n"/>
      <c r="C105" s="26" t="n"/>
      <c r="D105" s="26" t="n"/>
      <c r="E105" s="26" t="n"/>
      <c r="F105" s="29" t="n"/>
      <c r="G105" s="26" t="n"/>
      <c r="H105" s="28">
        <f>IF($A105="","",IF($F105="","",raporTarihi-$F105))</f>
        <v/>
      </c>
      <c r="I105" s="28">
        <f>IF($A105="","",IF($H105="","",IF($H105&lt;=7,"0-7",IF($H105&lt;=30,"8-30",IF($H105&lt;=60,"31-60","60+")))))</f>
        <v/>
      </c>
      <c r="J105" s="28">
        <f>IF($A105="","",IF($B105="","YETİM",IF(COUNTIF(tblKartlar[KartId],$B105)=0,"YETİM","")))</f>
        <v/>
      </c>
      <c r="K105" s="28">
        <f>IF($A105="","",IF($E105="YOK",IF($D105="KRITIK","KRİTİK EKSİK","EKSİK"),"TAM"))</f>
        <v/>
      </c>
      <c r="L105" s="28">
        <f>IF($A105="","",1)</f>
        <v/>
      </c>
    </row>
    <row r="106">
      <c r="A106" s="26" t="n"/>
      <c r="B106" s="26" t="n"/>
      <c r="C106" s="26" t="n"/>
      <c r="D106" s="26" t="n"/>
      <c r="E106" s="26" t="n"/>
      <c r="F106" s="29" t="n"/>
      <c r="G106" s="26" t="n"/>
      <c r="H106" s="28">
        <f>IF($A106="","",IF($F106="","",raporTarihi-$F106))</f>
        <v/>
      </c>
      <c r="I106" s="28">
        <f>IF($A106="","",IF($H106="","",IF($H106&lt;=7,"0-7",IF($H106&lt;=30,"8-30",IF($H106&lt;=60,"31-60","60+")))))</f>
        <v/>
      </c>
      <c r="J106" s="28">
        <f>IF($A106="","",IF($B106="","YETİM",IF(COUNTIF(tblKartlar[KartId],$B106)=0,"YETİM","")))</f>
        <v/>
      </c>
      <c r="K106" s="28">
        <f>IF($A106="","",IF($E106="YOK",IF($D106="KRITIK","KRİTİK EKSİK","EKSİK"),"TAM"))</f>
        <v/>
      </c>
      <c r="L106" s="28">
        <f>IF($A106="","",1)</f>
        <v/>
      </c>
    </row>
    <row r="107">
      <c r="A107" s="26" t="n"/>
      <c r="B107" s="26" t="n"/>
      <c r="C107" s="26" t="n"/>
      <c r="D107" s="26" t="n"/>
      <c r="E107" s="26" t="n"/>
      <c r="F107" s="29" t="n"/>
      <c r="G107" s="26" t="n"/>
      <c r="H107" s="28">
        <f>IF($A107="","",IF($F107="","",raporTarihi-$F107))</f>
        <v/>
      </c>
      <c r="I107" s="28">
        <f>IF($A107="","",IF($H107="","",IF($H107&lt;=7,"0-7",IF($H107&lt;=30,"8-30",IF($H107&lt;=60,"31-60","60+")))))</f>
        <v/>
      </c>
      <c r="J107" s="28">
        <f>IF($A107="","",IF($B107="","YETİM",IF(COUNTIF(tblKartlar[KartId],$B107)=0,"YETİM","")))</f>
        <v/>
      </c>
      <c r="K107" s="28">
        <f>IF($A107="","",IF($E107="YOK",IF($D107="KRITIK","KRİTİK EKSİK","EKSİK"),"TAM"))</f>
        <v/>
      </c>
      <c r="L107" s="28">
        <f>IF($A107="","",1)</f>
        <v/>
      </c>
    </row>
    <row r="108">
      <c r="A108" s="26" t="n"/>
      <c r="B108" s="26" t="n"/>
      <c r="C108" s="26" t="n"/>
      <c r="D108" s="26" t="n"/>
      <c r="E108" s="26" t="n"/>
      <c r="F108" s="29" t="n"/>
      <c r="G108" s="26" t="n"/>
      <c r="H108" s="28">
        <f>IF($A108="","",IF($F108="","",raporTarihi-$F108))</f>
        <v/>
      </c>
      <c r="I108" s="28">
        <f>IF($A108="","",IF($H108="","",IF($H108&lt;=7,"0-7",IF($H108&lt;=30,"8-30",IF($H108&lt;=60,"31-60","60+")))))</f>
        <v/>
      </c>
      <c r="J108" s="28">
        <f>IF($A108="","",IF($B108="","YETİM",IF(COUNTIF(tblKartlar[KartId],$B108)=0,"YETİM","")))</f>
        <v/>
      </c>
      <c r="K108" s="28">
        <f>IF($A108="","",IF($E108="YOK",IF($D108="KRITIK","KRİTİK EKSİK","EKSİK"),"TAM"))</f>
        <v/>
      </c>
      <c r="L108" s="28">
        <f>IF($A108="","",1)</f>
        <v/>
      </c>
    </row>
    <row r="109">
      <c r="A109" s="26" t="n"/>
      <c r="B109" s="26" t="n"/>
      <c r="C109" s="26" t="n"/>
      <c r="D109" s="26" t="n"/>
      <c r="E109" s="26" t="n"/>
      <c r="F109" s="29" t="n"/>
      <c r="G109" s="26" t="n"/>
      <c r="H109" s="28">
        <f>IF($A109="","",IF($F109="","",raporTarihi-$F109))</f>
        <v/>
      </c>
      <c r="I109" s="28">
        <f>IF($A109="","",IF($H109="","",IF($H109&lt;=7,"0-7",IF($H109&lt;=30,"8-30",IF($H109&lt;=60,"31-60","60+")))))</f>
        <v/>
      </c>
      <c r="J109" s="28">
        <f>IF($A109="","",IF($B109="","YETİM",IF(COUNTIF(tblKartlar[KartId],$B109)=0,"YETİM","")))</f>
        <v/>
      </c>
      <c r="K109" s="28">
        <f>IF($A109="","",IF($E109="YOK",IF($D109="KRITIK","KRİTİK EKSİK","EKSİK"),"TAM"))</f>
        <v/>
      </c>
      <c r="L109" s="28">
        <f>IF($A109="","",1)</f>
        <v/>
      </c>
    </row>
    <row r="110">
      <c r="A110" s="26" t="n"/>
      <c r="B110" s="26" t="n"/>
      <c r="C110" s="26" t="n"/>
      <c r="D110" s="26" t="n"/>
      <c r="E110" s="26" t="n"/>
      <c r="F110" s="29" t="n"/>
      <c r="G110" s="26" t="n"/>
      <c r="H110" s="28">
        <f>IF($A110="","",IF($F110="","",raporTarihi-$F110))</f>
        <v/>
      </c>
      <c r="I110" s="28">
        <f>IF($A110="","",IF($H110="","",IF($H110&lt;=7,"0-7",IF($H110&lt;=30,"8-30",IF($H110&lt;=60,"31-60","60+")))))</f>
        <v/>
      </c>
      <c r="J110" s="28">
        <f>IF($A110="","",IF($B110="","YETİM",IF(COUNTIF(tblKartlar[KartId],$B110)=0,"YETİM","")))</f>
        <v/>
      </c>
      <c r="K110" s="28">
        <f>IF($A110="","",IF($E110="YOK",IF($D110="KRITIK","KRİTİK EKSİK","EKSİK"),"TAM"))</f>
        <v/>
      </c>
      <c r="L110" s="28">
        <f>IF($A110="","",1)</f>
        <v/>
      </c>
    </row>
    <row r="111">
      <c r="A111" s="26" t="n"/>
      <c r="B111" s="26" t="n"/>
      <c r="C111" s="26" t="n"/>
      <c r="D111" s="26" t="n"/>
      <c r="E111" s="26" t="n"/>
      <c r="F111" s="29" t="n"/>
      <c r="G111" s="26" t="n"/>
      <c r="H111" s="28">
        <f>IF($A111="","",IF($F111="","",raporTarihi-$F111))</f>
        <v/>
      </c>
      <c r="I111" s="28">
        <f>IF($A111="","",IF($H111="","",IF($H111&lt;=7,"0-7",IF($H111&lt;=30,"8-30",IF($H111&lt;=60,"31-60","60+")))))</f>
        <v/>
      </c>
      <c r="J111" s="28">
        <f>IF($A111="","",IF($B111="","YETİM",IF(COUNTIF(tblKartlar[KartId],$B111)=0,"YETİM","")))</f>
        <v/>
      </c>
      <c r="K111" s="28">
        <f>IF($A111="","",IF($E111="YOK",IF($D111="KRITIK","KRİTİK EKSİK","EKSİK"),"TAM"))</f>
        <v/>
      </c>
      <c r="L111" s="28">
        <f>IF($A111="","",1)</f>
        <v/>
      </c>
    </row>
    <row r="112">
      <c r="A112" s="26" t="n"/>
      <c r="B112" s="26" t="n"/>
      <c r="C112" s="26" t="n"/>
      <c r="D112" s="26" t="n"/>
      <c r="E112" s="26" t="n"/>
      <c r="F112" s="29" t="n"/>
      <c r="G112" s="26" t="n"/>
      <c r="H112" s="28">
        <f>IF($A112="","",IF($F112="","",raporTarihi-$F112))</f>
        <v/>
      </c>
      <c r="I112" s="28">
        <f>IF($A112="","",IF($H112="","",IF($H112&lt;=7,"0-7",IF($H112&lt;=30,"8-30",IF($H112&lt;=60,"31-60","60+")))))</f>
        <v/>
      </c>
      <c r="J112" s="28">
        <f>IF($A112="","",IF($B112="","YETİM",IF(COUNTIF(tblKartlar[KartId],$B112)=0,"YETİM","")))</f>
        <v/>
      </c>
      <c r="K112" s="28">
        <f>IF($A112="","",IF($E112="YOK",IF($D112="KRITIK","KRİTİK EKSİK","EKSİK"),"TAM"))</f>
        <v/>
      </c>
      <c r="L112" s="28">
        <f>IF($A112="","",1)</f>
        <v/>
      </c>
    </row>
    <row r="113">
      <c r="A113" s="26" t="n"/>
      <c r="B113" s="26" t="n"/>
      <c r="C113" s="26" t="n"/>
      <c r="D113" s="26" t="n"/>
      <c r="E113" s="26" t="n"/>
      <c r="F113" s="29" t="n"/>
      <c r="G113" s="26" t="n"/>
      <c r="H113" s="28">
        <f>IF($A113="","",IF($F113="","",raporTarihi-$F113))</f>
        <v/>
      </c>
      <c r="I113" s="28">
        <f>IF($A113="","",IF($H113="","",IF($H113&lt;=7,"0-7",IF($H113&lt;=30,"8-30",IF($H113&lt;=60,"31-60","60+")))))</f>
        <v/>
      </c>
      <c r="J113" s="28">
        <f>IF($A113="","",IF($B113="","YETİM",IF(COUNTIF(tblKartlar[KartId],$B113)=0,"YETİM","")))</f>
        <v/>
      </c>
      <c r="K113" s="28">
        <f>IF($A113="","",IF($E113="YOK",IF($D113="KRITIK","KRİTİK EKSİK","EKSİK"),"TAM"))</f>
        <v/>
      </c>
      <c r="L113" s="28">
        <f>IF($A113="","",1)</f>
        <v/>
      </c>
    </row>
    <row r="114">
      <c r="A114" s="26" t="n"/>
      <c r="B114" s="26" t="n"/>
      <c r="C114" s="26" t="n"/>
      <c r="D114" s="26" t="n"/>
      <c r="E114" s="26" t="n"/>
      <c r="F114" s="29" t="n"/>
      <c r="G114" s="26" t="n"/>
      <c r="H114" s="28">
        <f>IF($A114="","",IF($F114="","",raporTarihi-$F114))</f>
        <v/>
      </c>
      <c r="I114" s="28">
        <f>IF($A114="","",IF($H114="","",IF($H114&lt;=7,"0-7",IF($H114&lt;=30,"8-30",IF($H114&lt;=60,"31-60","60+")))))</f>
        <v/>
      </c>
      <c r="J114" s="28">
        <f>IF($A114="","",IF($B114="","YETİM",IF(COUNTIF(tblKartlar[KartId],$B114)=0,"YETİM","")))</f>
        <v/>
      </c>
      <c r="K114" s="28">
        <f>IF($A114="","",IF($E114="YOK",IF($D114="KRITIK","KRİTİK EKSİK","EKSİK"),"TAM"))</f>
        <v/>
      </c>
      <c r="L114" s="28">
        <f>IF($A114="","",1)</f>
        <v/>
      </c>
    </row>
    <row r="115">
      <c r="A115" s="26" t="n"/>
      <c r="B115" s="26" t="n"/>
      <c r="C115" s="26" t="n"/>
      <c r="D115" s="26" t="n"/>
      <c r="E115" s="26" t="n"/>
      <c r="F115" s="29" t="n"/>
      <c r="G115" s="26" t="n"/>
      <c r="H115" s="28">
        <f>IF($A115="","",IF($F115="","",raporTarihi-$F115))</f>
        <v/>
      </c>
      <c r="I115" s="28">
        <f>IF($A115="","",IF($H115="","",IF($H115&lt;=7,"0-7",IF($H115&lt;=30,"8-30",IF($H115&lt;=60,"31-60","60+")))))</f>
        <v/>
      </c>
      <c r="J115" s="28">
        <f>IF($A115="","",IF($B115="","YETİM",IF(COUNTIF(tblKartlar[KartId],$B115)=0,"YETİM","")))</f>
        <v/>
      </c>
      <c r="K115" s="28">
        <f>IF($A115="","",IF($E115="YOK",IF($D115="KRITIK","KRİTİK EKSİK","EKSİK"),"TAM"))</f>
        <v/>
      </c>
      <c r="L115" s="28">
        <f>IF($A115="","",1)</f>
        <v/>
      </c>
    </row>
    <row r="116">
      <c r="A116" s="26" t="n"/>
      <c r="B116" s="26" t="n"/>
      <c r="C116" s="26" t="n"/>
      <c r="D116" s="26" t="n"/>
      <c r="E116" s="26" t="n"/>
      <c r="F116" s="29" t="n"/>
      <c r="G116" s="26" t="n"/>
      <c r="H116" s="28">
        <f>IF($A116="","",IF($F116="","",raporTarihi-$F116))</f>
        <v/>
      </c>
      <c r="I116" s="28">
        <f>IF($A116="","",IF($H116="","",IF($H116&lt;=7,"0-7",IF($H116&lt;=30,"8-30",IF($H116&lt;=60,"31-60","60+")))))</f>
        <v/>
      </c>
      <c r="J116" s="28">
        <f>IF($A116="","",IF($B116="","YETİM",IF(COUNTIF(tblKartlar[KartId],$B116)=0,"YETİM","")))</f>
        <v/>
      </c>
      <c r="K116" s="28">
        <f>IF($A116="","",IF($E116="YOK",IF($D116="KRITIK","KRİTİK EKSİK","EKSİK"),"TAM"))</f>
        <v/>
      </c>
      <c r="L116" s="28">
        <f>IF($A116="","",1)</f>
        <v/>
      </c>
    </row>
    <row r="117">
      <c r="A117" s="26" t="n"/>
      <c r="B117" s="26" t="n"/>
      <c r="C117" s="26" t="n"/>
      <c r="D117" s="26" t="n"/>
      <c r="E117" s="26" t="n"/>
      <c r="F117" s="29" t="n"/>
      <c r="G117" s="26" t="n"/>
      <c r="H117" s="28">
        <f>IF($A117="","",IF($F117="","",raporTarihi-$F117))</f>
        <v/>
      </c>
      <c r="I117" s="28">
        <f>IF($A117="","",IF($H117="","",IF($H117&lt;=7,"0-7",IF($H117&lt;=30,"8-30",IF($H117&lt;=60,"31-60","60+")))))</f>
        <v/>
      </c>
      <c r="J117" s="28">
        <f>IF($A117="","",IF($B117="","YETİM",IF(COUNTIF(tblKartlar[KartId],$B117)=0,"YETİM","")))</f>
        <v/>
      </c>
      <c r="K117" s="28">
        <f>IF($A117="","",IF($E117="YOK",IF($D117="KRITIK","KRİTİK EKSİK","EKSİK"),"TAM"))</f>
        <v/>
      </c>
      <c r="L117" s="28">
        <f>IF($A117="","",1)</f>
        <v/>
      </c>
    </row>
    <row r="118">
      <c r="A118" s="26" t="n"/>
      <c r="B118" s="26" t="n"/>
      <c r="C118" s="26" t="n"/>
      <c r="D118" s="26" t="n"/>
      <c r="E118" s="26" t="n"/>
      <c r="F118" s="29" t="n"/>
      <c r="G118" s="26" t="n"/>
      <c r="H118" s="28">
        <f>IF($A118="","",IF($F118="","",raporTarihi-$F118))</f>
        <v/>
      </c>
      <c r="I118" s="28">
        <f>IF($A118="","",IF($H118="","",IF($H118&lt;=7,"0-7",IF($H118&lt;=30,"8-30",IF($H118&lt;=60,"31-60","60+")))))</f>
        <v/>
      </c>
      <c r="J118" s="28">
        <f>IF($A118="","",IF($B118="","YETİM",IF(COUNTIF(tblKartlar[KartId],$B118)=0,"YETİM","")))</f>
        <v/>
      </c>
      <c r="K118" s="28">
        <f>IF($A118="","",IF($E118="YOK",IF($D118="KRITIK","KRİTİK EKSİK","EKSİK"),"TAM"))</f>
        <v/>
      </c>
      <c r="L118" s="28">
        <f>IF($A118="","",1)</f>
        <v/>
      </c>
    </row>
    <row r="119">
      <c r="A119" s="26" t="n"/>
      <c r="B119" s="26" t="n"/>
      <c r="C119" s="26" t="n"/>
      <c r="D119" s="26" t="n"/>
      <c r="E119" s="26" t="n"/>
      <c r="F119" s="29" t="n"/>
      <c r="G119" s="26" t="n"/>
      <c r="H119" s="28">
        <f>IF($A119="","",IF($F119="","",raporTarihi-$F119))</f>
        <v/>
      </c>
      <c r="I119" s="28">
        <f>IF($A119="","",IF($H119="","",IF($H119&lt;=7,"0-7",IF($H119&lt;=30,"8-30",IF($H119&lt;=60,"31-60","60+")))))</f>
        <v/>
      </c>
      <c r="J119" s="28">
        <f>IF($A119="","",IF($B119="","YETİM",IF(COUNTIF(tblKartlar[KartId],$B119)=0,"YETİM","")))</f>
        <v/>
      </c>
      <c r="K119" s="28">
        <f>IF($A119="","",IF($E119="YOK",IF($D119="KRITIK","KRİTİK EKSİK","EKSİK"),"TAM"))</f>
        <v/>
      </c>
      <c r="L119" s="28">
        <f>IF($A119="","",1)</f>
        <v/>
      </c>
    </row>
    <row r="120">
      <c r="A120" s="26" t="n"/>
      <c r="B120" s="26" t="n"/>
      <c r="C120" s="26" t="n"/>
      <c r="D120" s="26" t="n"/>
      <c r="E120" s="26" t="n"/>
      <c r="F120" s="29" t="n"/>
      <c r="G120" s="26" t="n"/>
      <c r="H120" s="28">
        <f>IF($A120="","",IF($F120="","",raporTarihi-$F120))</f>
        <v/>
      </c>
      <c r="I120" s="28">
        <f>IF($A120="","",IF($H120="","",IF($H120&lt;=7,"0-7",IF($H120&lt;=30,"8-30",IF($H120&lt;=60,"31-60","60+")))))</f>
        <v/>
      </c>
      <c r="J120" s="28">
        <f>IF($A120="","",IF($B120="","YETİM",IF(COUNTIF(tblKartlar[KartId],$B120)=0,"YETİM","")))</f>
        <v/>
      </c>
      <c r="K120" s="28">
        <f>IF($A120="","",IF($E120="YOK",IF($D120="KRITIK","KRİTİK EKSİK","EKSİK"),"TAM"))</f>
        <v/>
      </c>
      <c r="L120" s="28">
        <f>IF($A120="","",1)</f>
        <v/>
      </c>
    </row>
    <row r="121">
      <c r="A121" s="26" t="n"/>
      <c r="B121" s="26" t="n"/>
      <c r="C121" s="26" t="n"/>
      <c r="D121" s="26" t="n"/>
      <c r="E121" s="26" t="n"/>
      <c r="F121" s="29" t="n"/>
      <c r="G121" s="26" t="n"/>
      <c r="H121" s="28">
        <f>IF($A121="","",IF($F121="","",raporTarihi-$F121))</f>
        <v/>
      </c>
      <c r="I121" s="28">
        <f>IF($A121="","",IF($H121="","",IF($H121&lt;=7,"0-7",IF($H121&lt;=30,"8-30",IF($H121&lt;=60,"31-60","60+")))))</f>
        <v/>
      </c>
      <c r="J121" s="28">
        <f>IF($A121="","",IF($B121="","YETİM",IF(COUNTIF(tblKartlar[KartId],$B121)=0,"YETİM","")))</f>
        <v/>
      </c>
      <c r="K121" s="28">
        <f>IF($A121="","",IF($E121="YOK",IF($D121="KRITIK","KRİTİK EKSİK","EKSİK"),"TAM"))</f>
        <v/>
      </c>
      <c r="L121" s="28">
        <f>IF($A121="","",1)</f>
        <v/>
      </c>
    </row>
    <row r="122">
      <c r="A122" s="26" t="n"/>
      <c r="B122" s="26" t="n"/>
      <c r="C122" s="26" t="n"/>
      <c r="D122" s="26" t="n"/>
      <c r="E122" s="26" t="n"/>
      <c r="F122" s="29" t="n"/>
      <c r="G122" s="26" t="n"/>
      <c r="H122" s="28">
        <f>IF($A122="","",IF($F122="","",raporTarihi-$F122))</f>
        <v/>
      </c>
      <c r="I122" s="28">
        <f>IF($A122="","",IF($H122="","",IF($H122&lt;=7,"0-7",IF($H122&lt;=30,"8-30",IF($H122&lt;=60,"31-60","60+")))))</f>
        <v/>
      </c>
      <c r="J122" s="28">
        <f>IF($A122="","",IF($B122="","YETİM",IF(COUNTIF(tblKartlar[KartId],$B122)=0,"YETİM","")))</f>
        <v/>
      </c>
      <c r="K122" s="28">
        <f>IF($A122="","",IF($E122="YOK",IF($D122="KRITIK","KRİTİK EKSİK","EKSİK"),"TAM"))</f>
        <v/>
      </c>
      <c r="L122" s="28">
        <f>IF($A122="","",1)</f>
        <v/>
      </c>
    </row>
    <row r="123">
      <c r="A123" s="26" t="n"/>
      <c r="B123" s="26" t="n"/>
      <c r="C123" s="26" t="n"/>
      <c r="D123" s="26" t="n"/>
      <c r="E123" s="26" t="n"/>
      <c r="F123" s="29" t="n"/>
      <c r="G123" s="26" t="n"/>
      <c r="H123" s="28">
        <f>IF($A123="","",IF($F123="","",raporTarihi-$F123))</f>
        <v/>
      </c>
      <c r="I123" s="28">
        <f>IF($A123="","",IF($H123="","",IF($H123&lt;=7,"0-7",IF($H123&lt;=30,"8-30",IF($H123&lt;=60,"31-60","60+")))))</f>
        <v/>
      </c>
      <c r="J123" s="28">
        <f>IF($A123="","",IF($B123="","YETİM",IF(COUNTIF(tblKartlar[KartId],$B123)=0,"YETİM","")))</f>
        <v/>
      </c>
      <c r="K123" s="28">
        <f>IF($A123="","",IF($E123="YOK",IF($D123="KRITIK","KRİTİK EKSİK","EKSİK"),"TAM"))</f>
        <v/>
      </c>
      <c r="L123" s="28">
        <f>IF($A123="","",1)</f>
        <v/>
      </c>
    </row>
    <row r="124">
      <c r="A124" s="26" t="n"/>
      <c r="B124" s="26" t="n"/>
      <c r="C124" s="26" t="n"/>
      <c r="D124" s="26" t="n"/>
      <c r="E124" s="26" t="n"/>
      <c r="F124" s="29" t="n"/>
      <c r="G124" s="26" t="n"/>
      <c r="H124" s="28">
        <f>IF($A124="","",IF($F124="","",raporTarihi-$F124))</f>
        <v/>
      </c>
      <c r="I124" s="28">
        <f>IF($A124="","",IF($H124="","",IF($H124&lt;=7,"0-7",IF($H124&lt;=30,"8-30",IF($H124&lt;=60,"31-60","60+")))))</f>
        <v/>
      </c>
      <c r="J124" s="28">
        <f>IF($A124="","",IF($B124="","YETİM",IF(COUNTIF(tblKartlar[KartId],$B124)=0,"YETİM","")))</f>
        <v/>
      </c>
      <c r="K124" s="28">
        <f>IF($A124="","",IF($E124="YOK",IF($D124="KRITIK","KRİTİK EKSİK","EKSİK"),"TAM"))</f>
        <v/>
      </c>
      <c r="L124" s="28">
        <f>IF($A124="","",1)</f>
        <v/>
      </c>
    </row>
    <row r="125">
      <c r="A125" s="26" t="n"/>
      <c r="B125" s="26" t="n"/>
      <c r="C125" s="26" t="n"/>
      <c r="D125" s="26" t="n"/>
      <c r="E125" s="26" t="n"/>
      <c r="F125" s="29" t="n"/>
      <c r="G125" s="26" t="n"/>
      <c r="H125" s="28">
        <f>IF($A125="","",IF($F125="","",raporTarihi-$F125))</f>
        <v/>
      </c>
      <c r="I125" s="28">
        <f>IF($A125="","",IF($H125="","",IF($H125&lt;=7,"0-7",IF($H125&lt;=30,"8-30",IF($H125&lt;=60,"31-60","60+")))))</f>
        <v/>
      </c>
      <c r="J125" s="28">
        <f>IF($A125="","",IF($B125="","YETİM",IF(COUNTIF(tblKartlar[KartId],$B125)=0,"YETİM","")))</f>
        <v/>
      </c>
      <c r="K125" s="28">
        <f>IF($A125="","",IF($E125="YOK",IF($D125="KRITIK","KRİTİK EKSİK","EKSİK"),"TAM"))</f>
        <v/>
      </c>
      <c r="L125" s="28">
        <f>IF($A125="","",1)</f>
        <v/>
      </c>
    </row>
    <row r="126">
      <c r="A126" s="26" t="n"/>
      <c r="B126" s="26" t="n"/>
      <c r="C126" s="26" t="n"/>
      <c r="D126" s="26" t="n"/>
      <c r="E126" s="26" t="n"/>
      <c r="F126" s="29" t="n"/>
      <c r="G126" s="26" t="n"/>
      <c r="H126" s="28">
        <f>IF($A126="","",IF($F126="","",raporTarihi-$F126))</f>
        <v/>
      </c>
      <c r="I126" s="28">
        <f>IF($A126="","",IF($H126="","",IF($H126&lt;=7,"0-7",IF($H126&lt;=30,"8-30",IF($H126&lt;=60,"31-60","60+")))))</f>
        <v/>
      </c>
      <c r="J126" s="28">
        <f>IF($A126="","",IF($B126="","YETİM",IF(COUNTIF(tblKartlar[KartId],$B126)=0,"YETİM","")))</f>
        <v/>
      </c>
      <c r="K126" s="28">
        <f>IF($A126="","",IF($E126="YOK",IF($D126="KRITIK","KRİTİK EKSİK","EKSİK"),"TAM"))</f>
        <v/>
      </c>
      <c r="L126" s="28">
        <f>IF($A126="","",1)</f>
        <v/>
      </c>
    </row>
    <row r="127">
      <c r="A127" s="26" t="n"/>
      <c r="B127" s="26" t="n"/>
      <c r="C127" s="26" t="n"/>
      <c r="D127" s="26" t="n"/>
      <c r="E127" s="26" t="n"/>
      <c r="F127" s="29" t="n"/>
      <c r="G127" s="26" t="n"/>
      <c r="H127" s="28">
        <f>IF($A127="","",IF($F127="","",raporTarihi-$F127))</f>
        <v/>
      </c>
      <c r="I127" s="28">
        <f>IF($A127="","",IF($H127="","",IF($H127&lt;=7,"0-7",IF($H127&lt;=30,"8-30",IF($H127&lt;=60,"31-60","60+")))))</f>
        <v/>
      </c>
      <c r="J127" s="28">
        <f>IF($A127="","",IF($B127="","YETİM",IF(COUNTIF(tblKartlar[KartId],$B127)=0,"YETİM","")))</f>
        <v/>
      </c>
      <c r="K127" s="28">
        <f>IF($A127="","",IF($E127="YOK",IF($D127="KRITIK","KRİTİK EKSİK","EKSİK"),"TAM"))</f>
        <v/>
      </c>
      <c r="L127" s="28">
        <f>IF($A127="","",1)</f>
        <v/>
      </c>
    </row>
    <row r="128">
      <c r="A128" s="26" t="n"/>
      <c r="B128" s="26" t="n"/>
      <c r="C128" s="26" t="n"/>
      <c r="D128" s="26" t="n"/>
      <c r="E128" s="26" t="n"/>
      <c r="F128" s="29" t="n"/>
      <c r="G128" s="26" t="n"/>
      <c r="H128" s="28">
        <f>IF($A128="","",IF($F128="","",raporTarihi-$F128))</f>
        <v/>
      </c>
      <c r="I128" s="28">
        <f>IF($A128="","",IF($H128="","",IF($H128&lt;=7,"0-7",IF($H128&lt;=30,"8-30",IF($H128&lt;=60,"31-60","60+")))))</f>
        <v/>
      </c>
      <c r="J128" s="28">
        <f>IF($A128="","",IF($B128="","YETİM",IF(COUNTIF(tblKartlar[KartId],$B128)=0,"YETİM","")))</f>
        <v/>
      </c>
      <c r="K128" s="28">
        <f>IF($A128="","",IF($E128="YOK",IF($D128="KRITIK","KRİTİK EKSİK","EKSİK"),"TAM"))</f>
        <v/>
      </c>
      <c r="L128" s="28">
        <f>IF($A128="","",1)</f>
        <v/>
      </c>
    </row>
    <row r="129">
      <c r="A129" s="26" t="n"/>
      <c r="B129" s="26" t="n"/>
      <c r="C129" s="26" t="n"/>
      <c r="D129" s="26" t="n"/>
      <c r="E129" s="26" t="n"/>
      <c r="F129" s="29" t="n"/>
      <c r="G129" s="26" t="n"/>
      <c r="H129" s="28">
        <f>IF($A129="","",IF($F129="","",raporTarihi-$F129))</f>
        <v/>
      </c>
      <c r="I129" s="28">
        <f>IF($A129="","",IF($H129="","",IF($H129&lt;=7,"0-7",IF($H129&lt;=30,"8-30",IF($H129&lt;=60,"31-60","60+")))))</f>
        <v/>
      </c>
      <c r="J129" s="28">
        <f>IF($A129="","",IF($B129="","YETİM",IF(COUNTIF(tblKartlar[KartId],$B129)=0,"YETİM","")))</f>
        <v/>
      </c>
      <c r="K129" s="28">
        <f>IF($A129="","",IF($E129="YOK",IF($D129="KRITIK","KRİTİK EKSİK","EKSİK"),"TAM"))</f>
        <v/>
      </c>
      <c r="L129" s="28">
        <f>IF($A129="","",1)</f>
        <v/>
      </c>
    </row>
    <row r="130">
      <c r="A130" s="26" t="n"/>
      <c r="B130" s="26" t="n"/>
      <c r="C130" s="26" t="n"/>
      <c r="D130" s="26" t="n"/>
      <c r="E130" s="26" t="n"/>
      <c r="F130" s="29" t="n"/>
      <c r="G130" s="26" t="n"/>
      <c r="H130" s="28">
        <f>IF($A130="","",IF($F130="","",raporTarihi-$F130))</f>
        <v/>
      </c>
      <c r="I130" s="28">
        <f>IF($A130="","",IF($H130="","",IF($H130&lt;=7,"0-7",IF($H130&lt;=30,"8-30",IF($H130&lt;=60,"31-60","60+")))))</f>
        <v/>
      </c>
      <c r="J130" s="28">
        <f>IF($A130="","",IF($B130="","YETİM",IF(COUNTIF(tblKartlar[KartId],$B130)=0,"YETİM","")))</f>
        <v/>
      </c>
      <c r="K130" s="28">
        <f>IF($A130="","",IF($E130="YOK",IF($D130="KRITIK","KRİTİK EKSİK","EKSİK"),"TAM"))</f>
        <v/>
      </c>
      <c r="L130" s="28">
        <f>IF($A130="","",1)</f>
        <v/>
      </c>
    </row>
    <row r="131">
      <c r="A131" s="26" t="n"/>
      <c r="B131" s="26" t="n"/>
      <c r="C131" s="26" t="n"/>
      <c r="D131" s="26" t="n"/>
      <c r="E131" s="26" t="n"/>
      <c r="F131" s="29" t="n"/>
      <c r="G131" s="26" t="n"/>
      <c r="H131" s="28">
        <f>IF($A131="","",IF($F131="","",raporTarihi-$F131))</f>
        <v/>
      </c>
      <c r="I131" s="28">
        <f>IF($A131="","",IF($H131="","",IF($H131&lt;=7,"0-7",IF($H131&lt;=30,"8-30",IF($H131&lt;=60,"31-60","60+")))))</f>
        <v/>
      </c>
      <c r="J131" s="28">
        <f>IF($A131="","",IF($B131="","YETİM",IF(COUNTIF(tblKartlar[KartId],$B131)=0,"YETİM","")))</f>
        <v/>
      </c>
      <c r="K131" s="28">
        <f>IF($A131="","",IF($E131="YOK",IF($D131="KRITIK","KRİTİK EKSİK","EKSİK"),"TAM"))</f>
        <v/>
      </c>
      <c r="L131" s="28">
        <f>IF($A131="","",1)</f>
        <v/>
      </c>
    </row>
    <row r="132">
      <c r="A132" s="26" t="n"/>
      <c r="B132" s="26" t="n"/>
      <c r="C132" s="26" t="n"/>
      <c r="D132" s="26" t="n"/>
      <c r="E132" s="26" t="n"/>
      <c r="F132" s="29" t="n"/>
      <c r="G132" s="26" t="n"/>
      <c r="H132" s="28">
        <f>IF($A132="","",IF($F132="","",raporTarihi-$F132))</f>
        <v/>
      </c>
      <c r="I132" s="28">
        <f>IF($A132="","",IF($H132="","",IF($H132&lt;=7,"0-7",IF($H132&lt;=30,"8-30",IF($H132&lt;=60,"31-60","60+")))))</f>
        <v/>
      </c>
      <c r="J132" s="28">
        <f>IF($A132="","",IF($B132="","YETİM",IF(COUNTIF(tblKartlar[KartId],$B132)=0,"YETİM","")))</f>
        <v/>
      </c>
      <c r="K132" s="28">
        <f>IF($A132="","",IF($E132="YOK",IF($D132="KRITIK","KRİTİK EKSİK","EKSİK"),"TAM"))</f>
        <v/>
      </c>
      <c r="L132" s="28">
        <f>IF($A132="","",1)</f>
        <v/>
      </c>
    </row>
    <row r="133">
      <c r="A133" s="26" t="n"/>
      <c r="B133" s="26" t="n"/>
      <c r="C133" s="26" t="n"/>
      <c r="D133" s="26" t="n"/>
      <c r="E133" s="26" t="n"/>
      <c r="F133" s="29" t="n"/>
      <c r="G133" s="26" t="n"/>
      <c r="H133" s="28">
        <f>IF($A133="","",IF($F133="","",raporTarihi-$F133))</f>
        <v/>
      </c>
      <c r="I133" s="28">
        <f>IF($A133="","",IF($H133="","",IF($H133&lt;=7,"0-7",IF($H133&lt;=30,"8-30",IF($H133&lt;=60,"31-60","60+")))))</f>
        <v/>
      </c>
      <c r="J133" s="28">
        <f>IF($A133="","",IF($B133="","YETİM",IF(COUNTIF(tblKartlar[KartId],$B133)=0,"YETİM","")))</f>
        <v/>
      </c>
      <c r="K133" s="28">
        <f>IF($A133="","",IF($E133="YOK",IF($D133="KRITIK","KRİTİK EKSİK","EKSİK"),"TAM"))</f>
        <v/>
      </c>
      <c r="L133" s="28">
        <f>IF($A133="","",1)</f>
        <v/>
      </c>
    </row>
    <row r="134">
      <c r="A134" s="26" t="n"/>
      <c r="B134" s="26" t="n"/>
      <c r="C134" s="26" t="n"/>
      <c r="D134" s="26" t="n"/>
      <c r="E134" s="26" t="n"/>
      <c r="F134" s="29" t="n"/>
      <c r="G134" s="26" t="n"/>
      <c r="H134" s="28">
        <f>IF($A134="","",IF($F134="","",raporTarihi-$F134))</f>
        <v/>
      </c>
      <c r="I134" s="28">
        <f>IF($A134="","",IF($H134="","",IF($H134&lt;=7,"0-7",IF($H134&lt;=30,"8-30",IF($H134&lt;=60,"31-60","60+")))))</f>
        <v/>
      </c>
      <c r="J134" s="28">
        <f>IF($A134="","",IF($B134="","YETİM",IF(COUNTIF(tblKartlar[KartId],$B134)=0,"YETİM","")))</f>
        <v/>
      </c>
      <c r="K134" s="28">
        <f>IF($A134="","",IF($E134="YOK",IF($D134="KRITIK","KRİTİK EKSİK","EKSİK"),"TAM"))</f>
        <v/>
      </c>
      <c r="L134" s="28">
        <f>IF($A134="","",1)</f>
        <v/>
      </c>
    </row>
    <row r="135">
      <c r="A135" s="26" t="n"/>
      <c r="B135" s="26" t="n"/>
      <c r="C135" s="26" t="n"/>
      <c r="D135" s="26" t="n"/>
      <c r="E135" s="26" t="n"/>
      <c r="F135" s="29" t="n"/>
      <c r="G135" s="26" t="n"/>
      <c r="H135" s="28">
        <f>IF($A135="","",IF($F135="","",raporTarihi-$F135))</f>
        <v/>
      </c>
      <c r="I135" s="28">
        <f>IF($A135="","",IF($H135="","",IF($H135&lt;=7,"0-7",IF($H135&lt;=30,"8-30",IF($H135&lt;=60,"31-60","60+")))))</f>
        <v/>
      </c>
      <c r="J135" s="28">
        <f>IF($A135="","",IF($B135="","YETİM",IF(COUNTIF(tblKartlar[KartId],$B135)=0,"YETİM","")))</f>
        <v/>
      </c>
      <c r="K135" s="28">
        <f>IF($A135="","",IF($E135="YOK",IF($D135="KRITIK","KRİTİK EKSİK","EKSİK"),"TAM"))</f>
        <v/>
      </c>
      <c r="L135" s="28">
        <f>IF($A135="","",1)</f>
        <v/>
      </c>
    </row>
    <row r="136">
      <c r="A136" s="26" t="n"/>
      <c r="B136" s="26" t="n"/>
      <c r="C136" s="26" t="n"/>
      <c r="D136" s="26" t="n"/>
      <c r="E136" s="26" t="n"/>
      <c r="F136" s="29" t="n"/>
      <c r="G136" s="26" t="n"/>
      <c r="H136" s="28">
        <f>IF($A136="","",IF($F136="","",raporTarihi-$F136))</f>
        <v/>
      </c>
      <c r="I136" s="28">
        <f>IF($A136="","",IF($H136="","",IF($H136&lt;=7,"0-7",IF($H136&lt;=30,"8-30",IF($H136&lt;=60,"31-60","60+")))))</f>
        <v/>
      </c>
      <c r="J136" s="28">
        <f>IF($A136="","",IF($B136="","YETİM",IF(COUNTIF(tblKartlar[KartId],$B136)=0,"YETİM","")))</f>
        <v/>
      </c>
      <c r="K136" s="28">
        <f>IF($A136="","",IF($E136="YOK",IF($D136="KRITIK","KRİTİK EKSİK","EKSİK"),"TAM"))</f>
        <v/>
      </c>
      <c r="L136" s="28">
        <f>IF($A136="","",1)</f>
        <v/>
      </c>
    </row>
    <row r="137">
      <c r="A137" s="26" t="n"/>
      <c r="B137" s="26" t="n"/>
      <c r="C137" s="26" t="n"/>
      <c r="D137" s="26" t="n"/>
      <c r="E137" s="26" t="n"/>
      <c r="F137" s="29" t="n"/>
      <c r="G137" s="26" t="n"/>
      <c r="H137" s="28">
        <f>IF($A137="","",IF($F137="","",raporTarihi-$F137))</f>
        <v/>
      </c>
      <c r="I137" s="28">
        <f>IF($A137="","",IF($H137="","",IF($H137&lt;=7,"0-7",IF($H137&lt;=30,"8-30",IF($H137&lt;=60,"31-60","60+")))))</f>
        <v/>
      </c>
      <c r="J137" s="28">
        <f>IF($A137="","",IF($B137="","YETİM",IF(COUNTIF(tblKartlar[KartId],$B137)=0,"YETİM","")))</f>
        <v/>
      </c>
      <c r="K137" s="28">
        <f>IF($A137="","",IF($E137="YOK",IF($D137="KRITIK","KRİTİK EKSİK","EKSİK"),"TAM"))</f>
        <v/>
      </c>
      <c r="L137" s="28">
        <f>IF($A137="","",1)</f>
        <v/>
      </c>
    </row>
    <row r="138">
      <c r="A138" s="26" t="n"/>
      <c r="B138" s="26" t="n"/>
      <c r="C138" s="26" t="n"/>
      <c r="D138" s="26" t="n"/>
      <c r="E138" s="26" t="n"/>
      <c r="F138" s="29" t="n"/>
      <c r="G138" s="26" t="n"/>
      <c r="H138" s="28">
        <f>IF($A138="","",IF($F138="","",raporTarihi-$F138))</f>
        <v/>
      </c>
      <c r="I138" s="28">
        <f>IF($A138="","",IF($H138="","",IF($H138&lt;=7,"0-7",IF($H138&lt;=30,"8-30",IF($H138&lt;=60,"31-60","60+")))))</f>
        <v/>
      </c>
      <c r="J138" s="28">
        <f>IF($A138="","",IF($B138="","YETİM",IF(COUNTIF(tblKartlar[KartId],$B138)=0,"YETİM","")))</f>
        <v/>
      </c>
      <c r="K138" s="28">
        <f>IF($A138="","",IF($E138="YOK",IF($D138="KRITIK","KRİTİK EKSİK","EKSİK"),"TAM"))</f>
        <v/>
      </c>
      <c r="L138" s="28">
        <f>IF($A138="","",1)</f>
        <v/>
      </c>
    </row>
    <row r="139">
      <c r="A139" s="26" t="n"/>
      <c r="B139" s="26" t="n"/>
      <c r="C139" s="26" t="n"/>
      <c r="D139" s="26" t="n"/>
      <c r="E139" s="26" t="n"/>
      <c r="F139" s="29" t="n"/>
      <c r="G139" s="26" t="n"/>
      <c r="H139" s="28">
        <f>IF($A139="","",IF($F139="","",raporTarihi-$F139))</f>
        <v/>
      </c>
      <c r="I139" s="28">
        <f>IF($A139="","",IF($H139="","",IF($H139&lt;=7,"0-7",IF($H139&lt;=30,"8-30",IF($H139&lt;=60,"31-60","60+")))))</f>
        <v/>
      </c>
      <c r="J139" s="28">
        <f>IF($A139="","",IF($B139="","YETİM",IF(COUNTIF(tblKartlar[KartId],$B139)=0,"YETİM","")))</f>
        <v/>
      </c>
      <c r="K139" s="28">
        <f>IF($A139="","",IF($E139="YOK",IF($D139="KRITIK","KRİTİK EKSİK","EKSİK"),"TAM"))</f>
        <v/>
      </c>
      <c r="L139" s="28">
        <f>IF($A139="","",1)</f>
        <v/>
      </c>
    </row>
    <row r="140">
      <c r="A140" s="26" t="n"/>
      <c r="B140" s="26" t="n"/>
      <c r="C140" s="26" t="n"/>
      <c r="D140" s="26" t="n"/>
      <c r="E140" s="26" t="n"/>
      <c r="F140" s="29" t="n"/>
      <c r="G140" s="26" t="n"/>
      <c r="H140" s="28">
        <f>IF($A140="","",IF($F140="","",raporTarihi-$F140))</f>
        <v/>
      </c>
      <c r="I140" s="28">
        <f>IF($A140="","",IF($H140="","",IF($H140&lt;=7,"0-7",IF($H140&lt;=30,"8-30",IF($H140&lt;=60,"31-60","60+")))))</f>
        <v/>
      </c>
      <c r="J140" s="28">
        <f>IF($A140="","",IF($B140="","YETİM",IF(COUNTIF(tblKartlar[KartId],$B140)=0,"YETİM","")))</f>
        <v/>
      </c>
      <c r="K140" s="28">
        <f>IF($A140="","",IF($E140="YOK",IF($D140="KRITIK","KRİTİK EKSİK","EKSİK"),"TAM"))</f>
        <v/>
      </c>
      <c r="L140" s="28">
        <f>IF($A140="","",1)</f>
        <v/>
      </c>
    </row>
    <row r="141">
      <c r="A141" s="26" t="n"/>
      <c r="B141" s="26" t="n"/>
      <c r="C141" s="26" t="n"/>
      <c r="D141" s="26" t="n"/>
      <c r="E141" s="26" t="n"/>
      <c r="F141" s="29" t="n"/>
      <c r="G141" s="26" t="n"/>
      <c r="H141" s="28">
        <f>IF($A141="","",IF($F141="","",raporTarihi-$F141))</f>
        <v/>
      </c>
      <c r="I141" s="28">
        <f>IF($A141="","",IF($H141="","",IF($H141&lt;=7,"0-7",IF($H141&lt;=30,"8-30",IF($H141&lt;=60,"31-60","60+")))))</f>
        <v/>
      </c>
      <c r="J141" s="28">
        <f>IF($A141="","",IF($B141="","YETİM",IF(COUNTIF(tblKartlar[KartId],$B141)=0,"YETİM","")))</f>
        <v/>
      </c>
      <c r="K141" s="28">
        <f>IF($A141="","",IF($E141="YOK",IF($D141="KRITIK","KRİTİK EKSİK","EKSİK"),"TAM"))</f>
        <v/>
      </c>
      <c r="L141" s="28">
        <f>IF($A141="","",1)</f>
        <v/>
      </c>
    </row>
    <row r="142">
      <c r="A142" s="26" t="n"/>
      <c r="B142" s="26" t="n"/>
      <c r="C142" s="26" t="n"/>
      <c r="D142" s="26" t="n"/>
      <c r="E142" s="26" t="n"/>
      <c r="F142" s="29" t="n"/>
      <c r="G142" s="26" t="n"/>
      <c r="H142" s="28">
        <f>IF($A142="","",IF($F142="","",raporTarihi-$F142))</f>
        <v/>
      </c>
      <c r="I142" s="28">
        <f>IF($A142="","",IF($H142="","",IF($H142&lt;=7,"0-7",IF($H142&lt;=30,"8-30",IF($H142&lt;=60,"31-60","60+")))))</f>
        <v/>
      </c>
      <c r="J142" s="28">
        <f>IF($A142="","",IF($B142="","YETİM",IF(COUNTIF(tblKartlar[KartId],$B142)=0,"YETİM","")))</f>
        <v/>
      </c>
      <c r="K142" s="28">
        <f>IF($A142="","",IF($E142="YOK",IF($D142="KRITIK","KRİTİK EKSİK","EKSİK"),"TAM"))</f>
        <v/>
      </c>
      <c r="L142" s="28">
        <f>IF($A142="","",1)</f>
        <v/>
      </c>
    </row>
    <row r="143">
      <c r="A143" s="26" t="n"/>
      <c r="B143" s="26" t="n"/>
      <c r="C143" s="26" t="n"/>
      <c r="D143" s="26" t="n"/>
      <c r="E143" s="26" t="n"/>
      <c r="F143" s="29" t="n"/>
      <c r="G143" s="26" t="n"/>
      <c r="H143" s="28">
        <f>IF($A143="","",IF($F143="","",raporTarihi-$F143))</f>
        <v/>
      </c>
      <c r="I143" s="28">
        <f>IF($A143="","",IF($H143="","",IF($H143&lt;=7,"0-7",IF($H143&lt;=30,"8-30",IF($H143&lt;=60,"31-60","60+")))))</f>
        <v/>
      </c>
      <c r="J143" s="28">
        <f>IF($A143="","",IF($B143="","YETİM",IF(COUNTIF(tblKartlar[KartId],$B143)=0,"YETİM","")))</f>
        <v/>
      </c>
      <c r="K143" s="28">
        <f>IF($A143="","",IF($E143="YOK",IF($D143="KRITIK","KRİTİK EKSİK","EKSİK"),"TAM"))</f>
        <v/>
      </c>
      <c r="L143" s="28">
        <f>IF($A143="","",1)</f>
        <v/>
      </c>
    </row>
    <row r="144">
      <c r="A144" s="26" t="n"/>
      <c r="B144" s="26" t="n"/>
      <c r="C144" s="26" t="n"/>
      <c r="D144" s="26" t="n"/>
      <c r="E144" s="26" t="n"/>
      <c r="F144" s="29" t="n"/>
      <c r="G144" s="26" t="n"/>
      <c r="H144" s="28">
        <f>IF($A144="","",IF($F144="","",raporTarihi-$F144))</f>
        <v/>
      </c>
      <c r="I144" s="28">
        <f>IF($A144="","",IF($H144="","",IF($H144&lt;=7,"0-7",IF($H144&lt;=30,"8-30",IF($H144&lt;=60,"31-60","60+")))))</f>
        <v/>
      </c>
      <c r="J144" s="28">
        <f>IF($A144="","",IF($B144="","YETİM",IF(COUNTIF(tblKartlar[KartId],$B144)=0,"YETİM","")))</f>
        <v/>
      </c>
      <c r="K144" s="28">
        <f>IF($A144="","",IF($E144="YOK",IF($D144="KRITIK","KRİTİK EKSİK","EKSİK"),"TAM"))</f>
        <v/>
      </c>
      <c r="L144" s="28">
        <f>IF($A144="","",1)</f>
        <v/>
      </c>
    </row>
    <row r="145">
      <c r="A145" s="26" t="n"/>
      <c r="B145" s="26" t="n"/>
      <c r="C145" s="26" t="n"/>
      <c r="D145" s="26" t="n"/>
      <c r="E145" s="26" t="n"/>
      <c r="F145" s="29" t="n"/>
      <c r="G145" s="26" t="n"/>
      <c r="H145" s="28">
        <f>IF($A145="","",IF($F145="","",raporTarihi-$F145))</f>
        <v/>
      </c>
      <c r="I145" s="28">
        <f>IF($A145="","",IF($H145="","",IF($H145&lt;=7,"0-7",IF($H145&lt;=30,"8-30",IF($H145&lt;=60,"31-60","60+")))))</f>
        <v/>
      </c>
      <c r="J145" s="28">
        <f>IF($A145="","",IF($B145="","YETİM",IF(COUNTIF(tblKartlar[KartId],$B145)=0,"YETİM","")))</f>
        <v/>
      </c>
      <c r="K145" s="28">
        <f>IF($A145="","",IF($E145="YOK",IF($D145="KRITIK","KRİTİK EKSİK","EKSİK"),"TAM"))</f>
        <v/>
      </c>
      <c r="L145" s="28">
        <f>IF($A145="","",1)</f>
        <v/>
      </c>
    </row>
    <row r="146">
      <c r="A146" s="26" t="n"/>
      <c r="B146" s="26" t="n"/>
      <c r="C146" s="26" t="n"/>
      <c r="D146" s="26" t="n"/>
      <c r="E146" s="26" t="n"/>
      <c r="F146" s="29" t="n"/>
      <c r="G146" s="26" t="n"/>
      <c r="H146" s="28">
        <f>IF($A146="","",IF($F146="","",raporTarihi-$F146))</f>
        <v/>
      </c>
      <c r="I146" s="28">
        <f>IF($A146="","",IF($H146="","",IF($H146&lt;=7,"0-7",IF($H146&lt;=30,"8-30",IF($H146&lt;=60,"31-60","60+")))))</f>
        <v/>
      </c>
      <c r="J146" s="28">
        <f>IF($A146="","",IF($B146="","YETİM",IF(COUNTIF(tblKartlar[KartId],$B146)=0,"YETİM","")))</f>
        <v/>
      </c>
      <c r="K146" s="28">
        <f>IF($A146="","",IF($E146="YOK",IF($D146="KRITIK","KRİTİK EKSİK","EKSİK"),"TAM"))</f>
        <v/>
      </c>
      <c r="L146" s="28">
        <f>IF($A146="","",1)</f>
        <v/>
      </c>
    </row>
    <row r="147">
      <c r="A147" s="26" t="n"/>
      <c r="B147" s="26" t="n"/>
      <c r="C147" s="26" t="n"/>
      <c r="D147" s="26" t="n"/>
      <c r="E147" s="26" t="n"/>
      <c r="F147" s="29" t="n"/>
      <c r="G147" s="26" t="n"/>
      <c r="H147" s="28">
        <f>IF($A147="","",IF($F147="","",raporTarihi-$F147))</f>
        <v/>
      </c>
      <c r="I147" s="28">
        <f>IF($A147="","",IF($H147="","",IF($H147&lt;=7,"0-7",IF($H147&lt;=30,"8-30",IF($H147&lt;=60,"31-60","60+")))))</f>
        <v/>
      </c>
      <c r="J147" s="28">
        <f>IF($A147="","",IF($B147="","YETİM",IF(COUNTIF(tblKartlar[KartId],$B147)=0,"YETİM","")))</f>
        <v/>
      </c>
      <c r="K147" s="28">
        <f>IF($A147="","",IF($E147="YOK",IF($D147="KRITIK","KRİTİK EKSİK","EKSİK"),"TAM"))</f>
        <v/>
      </c>
      <c r="L147" s="28">
        <f>IF($A147="","",1)</f>
        <v/>
      </c>
    </row>
    <row r="148">
      <c r="A148" s="26" t="n"/>
      <c r="B148" s="26" t="n"/>
      <c r="C148" s="26" t="n"/>
      <c r="D148" s="26" t="n"/>
      <c r="E148" s="26" t="n"/>
      <c r="F148" s="29" t="n"/>
      <c r="G148" s="26" t="n"/>
      <c r="H148" s="28">
        <f>IF($A148="","",IF($F148="","",raporTarihi-$F148))</f>
        <v/>
      </c>
      <c r="I148" s="28">
        <f>IF($A148="","",IF($H148="","",IF($H148&lt;=7,"0-7",IF($H148&lt;=30,"8-30",IF($H148&lt;=60,"31-60","60+")))))</f>
        <v/>
      </c>
      <c r="J148" s="28">
        <f>IF($A148="","",IF($B148="","YETİM",IF(COUNTIF(tblKartlar[KartId],$B148)=0,"YETİM","")))</f>
        <v/>
      </c>
      <c r="K148" s="28">
        <f>IF($A148="","",IF($E148="YOK",IF($D148="KRITIK","KRİTİK EKSİK","EKSİK"),"TAM"))</f>
        <v/>
      </c>
      <c r="L148" s="28">
        <f>IF($A148="","",1)</f>
        <v/>
      </c>
    </row>
    <row r="149">
      <c r="A149" s="26" t="n"/>
      <c r="B149" s="26" t="n"/>
      <c r="C149" s="26" t="n"/>
      <c r="D149" s="26" t="n"/>
      <c r="E149" s="26" t="n"/>
      <c r="F149" s="29" t="n"/>
      <c r="G149" s="26" t="n"/>
      <c r="H149" s="28">
        <f>IF($A149="","",IF($F149="","",raporTarihi-$F149))</f>
        <v/>
      </c>
      <c r="I149" s="28">
        <f>IF($A149="","",IF($H149="","",IF($H149&lt;=7,"0-7",IF($H149&lt;=30,"8-30",IF($H149&lt;=60,"31-60","60+")))))</f>
        <v/>
      </c>
      <c r="J149" s="28">
        <f>IF($A149="","",IF($B149="","YETİM",IF(COUNTIF(tblKartlar[KartId],$B149)=0,"YETİM","")))</f>
        <v/>
      </c>
      <c r="K149" s="28">
        <f>IF($A149="","",IF($E149="YOK",IF($D149="KRITIK","KRİTİK EKSİK","EKSİK"),"TAM"))</f>
        <v/>
      </c>
      <c r="L149" s="28">
        <f>IF($A149="","",1)</f>
        <v/>
      </c>
    </row>
    <row r="150">
      <c r="A150" s="26" t="n"/>
      <c r="B150" s="26" t="n"/>
      <c r="C150" s="26" t="n"/>
      <c r="D150" s="26" t="n"/>
      <c r="E150" s="26" t="n"/>
      <c r="F150" s="29" t="n"/>
      <c r="G150" s="26" t="n"/>
      <c r="H150" s="28">
        <f>IF($A150="","",IF($F150="","",raporTarihi-$F150))</f>
        <v/>
      </c>
      <c r="I150" s="28">
        <f>IF($A150="","",IF($H150="","",IF($H150&lt;=7,"0-7",IF($H150&lt;=30,"8-30",IF($H150&lt;=60,"31-60","60+")))))</f>
        <v/>
      </c>
      <c r="J150" s="28">
        <f>IF($A150="","",IF($B150="","YETİM",IF(COUNTIF(tblKartlar[KartId],$B150)=0,"YETİM","")))</f>
        <v/>
      </c>
      <c r="K150" s="28">
        <f>IF($A150="","",IF($E150="YOK",IF($D150="KRITIK","KRİTİK EKSİK","EKSİK"),"TAM"))</f>
        <v/>
      </c>
      <c r="L150" s="28">
        <f>IF($A150="","",1)</f>
        <v/>
      </c>
    </row>
    <row r="151">
      <c r="A151" s="26" t="n"/>
      <c r="B151" s="26" t="n"/>
      <c r="C151" s="26" t="n"/>
      <c r="D151" s="26" t="n"/>
      <c r="E151" s="26" t="n"/>
      <c r="F151" s="29" t="n"/>
      <c r="G151" s="26" t="n"/>
      <c r="H151" s="28">
        <f>IF($A151="","",IF($F151="","",raporTarihi-$F151))</f>
        <v/>
      </c>
      <c r="I151" s="28">
        <f>IF($A151="","",IF($H151="","",IF($H151&lt;=7,"0-7",IF($H151&lt;=30,"8-30",IF($H151&lt;=60,"31-60","60+")))))</f>
        <v/>
      </c>
      <c r="J151" s="28">
        <f>IF($A151="","",IF($B151="","YETİM",IF(COUNTIF(tblKartlar[KartId],$B151)=0,"YETİM","")))</f>
        <v/>
      </c>
      <c r="K151" s="28">
        <f>IF($A151="","",IF($E151="YOK",IF($D151="KRITIK","KRİTİK EKSİK","EKSİK"),"TAM"))</f>
        <v/>
      </c>
      <c r="L151" s="28">
        <f>IF($A151="","",1)</f>
        <v/>
      </c>
    </row>
    <row r="152">
      <c r="A152" s="26" t="n"/>
      <c r="B152" s="26" t="n"/>
      <c r="C152" s="26" t="n"/>
      <c r="D152" s="26" t="n"/>
      <c r="E152" s="26" t="n"/>
      <c r="F152" s="29" t="n"/>
      <c r="G152" s="26" t="n"/>
      <c r="H152" s="28">
        <f>IF($A152="","",IF($F152="","",raporTarihi-$F152))</f>
        <v/>
      </c>
      <c r="I152" s="28">
        <f>IF($A152="","",IF($H152="","",IF($H152&lt;=7,"0-7",IF($H152&lt;=30,"8-30",IF($H152&lt;=60,"31-60","60+")))))</f>
        <v/>
      </c>
      <c r="J152" s="28">
        <f>IF($A152="","",IF($B152="","YETİM",IF(COUNTIF(tblKartlar[KartId],$B152)=0,"YETİM","")))</f>
        <v/>
      </c>
      <c r="K152" s="28">
        <f>IF($A152="","",IF($E152="YOK",IF($D152="KRITIK","KRİTİK EKSİK","EKSİK"),"TAM"))</f>
        <v/>
      </c>
      <c r="L152" s="28">
        <f>IF($A152="","",1)</f>
        <v/>
      </c>
    </row>
    <row r="153">
      <c r="A153" s="26" t="n"/>
      <c r="B153" s="26" t="n"/>
      <c r="C153" s="26" t="n"/>
      <c r="D153" s="26" t="n"/>
      <c r="E153" s="26" t="n"/>
      <c r="F153" s="29" t="n"/>
      <c r="G153" s="26" t="n"/>
      <c r="H153" s="28">
        <f>IF($A153="","",IF($F153="","",raporTarihi-$F153))</f>
        <v/>
      </c>
      <c r="I153" s="28">
        <f>IF($A153="","",IF($H153="","",IF($H153&lt;=7,"0-7",IF($H153&lt;=30,"8-30",IF($H153&lt;=60,"31-60","60+")))))</f>
        <v/>
      </c>
      <c r="J153" s="28">
        <f>IF($A153="","",IF($B153="","YETİM",IF(COUNTIF(tblKartlar[KartId],$B153)=0,"YETİM","")))</f>
        <v/>
      </c>
      <c r="K153" s="28">
        <f>IF($A153="","",IF($E153="YOK",IF($D153="KRITIK","KRİTİK EKSİK","EKSİK"),"TAM"))</f>
        <v/>
      </c>
      <c r="L153" s="28">
        <f>IF($A153="","",1)</f>
        <v/>
      </c>
    </row>
    <row r="154">
      <c r="A154" s="26" t="n"/>
      <c r="B154" s="26" t="n"/>
      <c r="C154" s="26" t="n"/>
      <c r="D154" s="26" t="n"/>
      <c r="E154" s="26" t="n"/>
      <c r="F154" s="29" t="n"/>
      <c r="G154" s="26" t="n"/>
      <c r="H154" s="28">
        <f>IF($A154="","",IF($F154="","",raporTarihi-$F154))</f>
        <v/>
      </c>
      <c r="I154" s="28">
        <f>IF($A154="","",IF($H154="","",IF($H154&lt;=7,"0-7",IF($H154&lt;=30,"8-30",IF($H154&lt;=60,"31-60","60+")))))</f>
        <v/>
      </c>
      <c r="J154" s="28">
        <f>IF($A154="","",IF($B154="","YETİM",IF(COUNTIF(tblKartlar[KartId],$B154)=0,"YETİM","")))</f>
        <v/>
      </c>
      <c r="K154" s="28">
        <f>IF($A154="","",IF($E154="YOK",IF($D154="KRITIK","KRİTİK EKSİK","EKSİK"),"TAM"))</f>
        <v/>
      </c>
      <c r="L154" s="28">
        <f>IF($A154="","",1)</f>
        <v/>
      </c>
    </row>
    <row r="155">
      <c r="A155" s="26" t="n"/>
      <c r="B155" s="26" t="n"/>
      <c r="C155" s="26" t="n"/>
      <c r="D155" s="26" t="n"/>
      <c r="E155" s="26" t="n"/>
      <c r="F155" s="29" t="n"/>
      <c r="G155" s="26" t="n"/>
      <c r="H155" s="28">
        <f>IF($A155="","",IF($F155="","",raporTarihi-$F155))</f>
        <v/>
      </c>
      <c r="I155" s="28">
        <f>IF($A155="","",IF($H155="","",IF($H155&lt;=7,"0-7",IF($H155&lt;=30,"8-30",IF($H155&lt;=60,"31-60","60+")))))</f>
        <v/>
      </c>
      <c r="J155" s="28">
        <f>IF($A155="","",IF($B155="","YETİM",IF(COUNTIF(tblKartlar[KartId],$B155)=0,"YETİM","")))</f>
        <v/>
      </c>
      <c r="K155" s="28">
        <f>IF($A155="","",IF($E155="YOK",IF($D155="KRITIK","KRİTİK EKSİK","EKSİK"),"TAM"))</f>
        <v/>
      </c>
      <c r="L155" s="28">
        <f>IF($A155="","",1)</f>
        <v/>
      </c>
    </row>
    <row r="156">
      <c r="A156" s="26" t="n"/>
      <c r="B156" s="26" t="n"/>
      <c r="C156" s="26" t="n"/>
      <c r="D156" s="26" t="n"/>
      <c r="E156" s="26" t="n"/>
      <c r="F156" s="29" t="n"/>
      <c r="G156" s="26" t="n"/>
      <c r="H156" s="28">
        <f>IF($A156="","",IF($F156="","",raporTarihi-$F156))</f>
        <v/>
      </c>
      <c r="I156" s="28">
        <f>IF($A156="","",IF($H156="","",IF($H156&lt;=7,"0-7",IF($H156&lt;=30,"8-30",IF($H156&lt;=60,"31-60","60+")))))</f>
        <v/>
      </c>
      <c r="J156" s="28">
        <f>IF($A156="","",IF($B156="","YETİM",IF(COUNTIF(tblKartlar[KartId],$B156)=0,"YETİM","")))</f>
        <v/>
      </c>
      <c r="K156" s="28">
        <f>IF($A156="","",IF($E156="YOK",IF($D156="KRITIK","KRİTİK EKSİK","EKSİK"),"TAM"))</f>
        <v/>
      </c>
      <c r="L156" s="28">
        <f>IF($A156="","",1)</f>
        <v/>
      </c>
    </row>
    <row r="157">
      <c r="A157" s="26" t="n"/>
      <c r="B157" s="26" t="n"/>
      <c r="C157" s="26" t="n"/>
      <c r="D157" s="26" t="n"/>
      <c r="E157" s="26" t="n"/>
      <c r="F157" s="29" t="n"/>
      <c r="G157" s="26" t="n"/>
      <c r="H157" s="28">
        <f>IF($A157="","",IF($F157="","",raporTarihi-$F157))</f>
        <v/>
      </c>
      <c r="I157" s="28">
        <f>IF($A157="","",IF($H157="","",IF($H157&lt;=7,"0-7",IF($H157&lt;=30,"8-30",IF($H157&lt;=60,"31-60","60+")))))</f>
        <v/>
      </c>
      <c r="J157" s="28">
        <f>IF($A157="","",IF($B157="","YETİM",IF(COUNTIF(tblKartlar[KartId],$B157)=0,"YETİM","")))</f>
        <v/>
      </c>
      <c r="K157" s="28">
        <f>IF($A157="","",IF($E157="YOK",IF($D157="KRITIK","KRİTİK EKSİK","EKSİK"),"TAM"))</f>
        <v/>
      </c>
      <c r="L157" s="28">
        <f>IF($A157="","",1)</f>
        <v/>
      </c>
    </row>
    <row r="158">
      <c r="A158" s="26" t="n"/>
      <c r="B158" s="26" t="n"/>
      <c r="C158" s="26" t="n"/>
      <c r="D158" s="26" t="n"/>
      <c r="E158" s="26" t="n"/>
      <c r="F158" s="29" t="n"/>
      <c r="G158" s="26" t="n"/>
      <c r="H158" s="28">
        <f>IF($A158="","",IF($F158="","",raporTarihi-$F158))</f>
        <v/>
      </c>
      <c r="I158" s="28">
        <f>IF($A158="","",IF($H158="","",IF($H158&lt;=7,"0-7",IF($H158&lt;=30,"8-30",IF($H158&lt;=60,"31-60","60+")))))</f>
        <v/>
      </c>
      <c r="J158" s="28">
        <f>IF($A158="","",IF($B158="","YETİM",IF(COUNTIF(tblKartlar[KartId],$B158)=0,"YETİM","")))</f>
        <v/>
      </c>
      <c r="K158" s="28">
        <f>IF($A158="","",IF($E158="YOK",IF($D158="KRITIK","KRİTİK EKSİK","EKSİK"),"TAM"))</f>
        <v/>
      </c>
      <c r="L158" s="28">
        <f>IF($A158="","",1)</f>
        <v/>
      </c>
    </row>
    <row r="159">
      <c r="A159" s="26" t="n"/>
      <c r="B159" s="26" t="n"/>
      <c r="C159" s="26" t="n"/>
      <c r="D159" s="26" t="n"/>
      <c r="E159" s="26" t="n"/>
      <c r="F159" s="29" t="n"/>
      <c r="G159" s="26" t="n"/>
      <c r="H159" s="28">
        <f>IF($A159="","",IF($F159="","",raporTarihi-$F159))</f>
        <v/>
      </c>
      <c r="I159" s="28">
        <f>IF($A159="","",IF($H159="","",IF($H159&lt;=7,"0-7",IF($H159&lt;=30,"8-30",IF($H159&lt;=60,"31-60","60+")))))</f>
        <v/>
      </c>
      <c r="J159" s="28">
        <f>IF($A159="","",IF($B159="","YETİM",IF(COUNTIF(tblKartlar[KartId],$B159)=0,"YETİM","")))</f>
        <v/>
      </c>
      <c r="K159" s="28">
        <f>IF($A159="","",IF($E159="YOK",IF($D159="KRITIK","KRİTİK EKSİK","EKSİK"),"TAM"))</f>
        <v/>
      </c>
      <c r="L159" s="28">
        <f>IF($A159="","",1)</f>
        <v/>
      </c>
    </row>
    <row r="160">
      <c r="A160" s="26" t="n"/>
      <c r="B160" s="26" t="n"/>
      <c r="C160" s="26" t="n"/>
      <c r="D160" s="26" t="n"/>
      <c r="E160" s="26" t="n"/>
      <c r="F160" s="29" t="n"/>
      <c r="G160" s="26" t="n"/>
      <c r="H160" s="28">
        <f>IF($A160="","",IF($F160="","",raporTarihi-$F160))</f>
        <v/>
      </c>
      <c r="I160" s="28">
        <f>IF($A160="","",IF($H160="","",IF($H160&lt;=7,"0-7",IF($H160&lt;=30,"8-30",IF($H160&lt;=60,"31-60","60+")))))</f>
        <v/>
      </c>
      <c r="J160" s="28">
        <f>IF($A160="","",IF($B160="","YETİM",IF(COUNTIF(tblKartlar[KartId],$B160)=0,"YETİM","")))</f>
        <v/>
      </c>
      <c r="K160" s="28">
        <f>IF($A160="","",IF($E160="YOK",IF($D160="KRITIK","KRİTİK EKSİK","EKSİK"),"TAM"))</f>
        <v/>
      </c>
      <c r="L160" s="28">
        <f>IF($A160="","",1)</f>
        <v/>
      </c>
    </row>
    <row r="161">
      <c r="A161" s="26" t="n"/>
      <c r="B161" s="26" t="n"/>
      <c r="C161" s="26" t="n"/>
      <c r="D161" s="26" t="n"/>
      <c r="E161" s="26" t="n"/>
      <c r="F161" s="29" t="n"/>
      <c r="G161" s="26" t="n"/>
      <c r="H161" s="28">
        <f>IF($A161="","",IF($F161="","",raporTarihi-$F161))</f>
        <v/>
      </c>
      <c r="I161" s="28">
        <f>IF($A161="","",IF($H161="","",IF($H161&lt;=7,"0-7",IF($H161&lt;=30,"8-30",IF($H161&lt;=60,"31-60","60+")))))</f>
        <v/>
      </c>
      <c r="J161" s="28">
        <f>IF($A161="","",IF($B161="","YETİM",IF(COUNTIF(tblKartlar[KartId],$B161)=0,"YETİM","")))</f>
        <v/>
      </c>
      <c r="K161" s="28">
        <f>IF($A161="","",IF($E161="YOK",IF($D161="KRITIK","KRİTİK EKSİK","EKSİK"),"TAM"))</f>
        <v/>
      </c>
      <c r="L161" s="28">
        <f>IF($A161="","",1)</f>
        <v/>
      </c>
    </row>
    <row r="162">
      <c r="A162" s="26" t="n"/>
      <c r="B162" s="26" t="n"/>
      <c r="C162" s="26" t="n"/>
      <c r="D162" s="26" t="n"/>
      <c r="E162" s="26" t="n"/>
      <c r="F162" s="29" t="n"/>
      <c r="G162" s="26" t="n"/>
      <c r="H162" s="28">
        <f>IF($A162="","",IF($F162="","",raporTarihi-$F162))</f>
        <v/>
      </c>
      <c r="I162" s="28">
        <f>IF($A162="","",IF($H162="","",IF($H162&lt;=7,"0-7",IF($H162&lt;=30,"8-30",IF($H162&lt;=60,"31-60","60+")))))</f>
        <v/>
      </c>
      <c r="J162" s="28">
        <f>IF($A162="","",IF($B162="","YETİM",IF(COUNTIF(tblKartlar[KartId],$B162)=0,"YETİM","")))</f>
        <v/>
      </c>
      <c r="K162" s="28">
        <f>IF($A162="","",IF($E162="YOK",IF($D162="KRITIK","KRİTİK EKSİK","EKSİK"),"TAM"))</f>
        <v/>
      </c>
      <c r="L162" s="28">
        <f>IF($A162="","",1)</f>
        <v/>
      </c>
    </row>
    <row r="163">
      <c r="A163" s="26" t="n"/>
      <c r="B163" s="26" t="n"/>
      <c r="C163" s="26" t="n"/>
      <c r="D163" s="26" t="n"/>
      <c r="E163" s="26" t="n"/>
      <c r="F163" s="29" t="n"/>
      <c r="G163" s="26" t="n"/>
      <c r="H163" s="28">
        <f>IF($A163="","",IF($F163="","",raporTarihi-$F163))</f>
        <v/>
      </c>
      <c r="I163" s="28">
        <f>IF($A163="","",IF($H163="","",IF($H163&lt;=7,"0-7",IF($H163&lt;=30,"8-30",IF($H163&lt;=60,"31-60","60+")))))</f>
        <v/>
      </c>
      <c r="J163" s="28">
        <f>IF($A163="","",IF($B163="","YETİM",IF(COUNTIF(tblKartlar[KartId],$B163)=0,"YETİM","")))</f>
        <v/>
      </c>
      <c r="K163" s="28">
        <f>IF($A163="","",IF($E163="YOK",IF($D163="KRITIK","KRİTİK EKSİK","EKSİK"),"TAM"))</f>
        <v/>
      </c>
      <c r="L163" s="28">
        <f>IF($A163="","",1)</f>
        <v/>
      </c>
    </row>
    <row r="164">
      <c r="A164" s="26" t="n"/>
      <c r="B164" s="26" t="n"/>
      <c r="C164" s="26" t="n"/>
      <c r="D164" s="26" t="n"/>
      <c r="E164" s="26" t="n"/>
      <c r="F164" s="29" t="n"/>
      <c r="G164" s="26" t="n"/>
      <c r="H164" s="28">
        <f>IF($A164="","",IF($F164="","",raporTarihi-$F164))</f>
        <v/>
      </c>
      <c r="I164" s="28">
        <f>IF($A164="","",IF($H164="","",IF($H164&lt;=7,"0-7",IF($H164&lt;=30,"8-30",IF($H164&lt;=60,"31-60","60+")))))</f>
        <v/>
      </c>
      <c r="J164" s="28">
        <f>IF($A164="","",IF($B164="","YETİM",IF(COUNTIF(tblKartlar[KartId],$B164)=0,"YETİM","")))</f>
        <v/>
      </c>
      <c r="K164" s="28">
        <f>IF($A164="","",IF($E164="YOK",IF($D164="KRITIK","KRİTİK EKSİK","EKSİK"),"TAM"))</f>
        <v/>
      </c>
      <c r="L164" s="28">
        <f>IF($A164="","",1)</f>
        <v/>
      </c>
    </row>
    <row r="165">
      <c r="A165" s="26" t="n"/>
      <c r="B165" s="26" t="n"/>
      <c r="C165" s="26" t="n"/>
      <c r="D165" s="26" t="n"/>
      <c r="E165" s="26" t="n"/>
      <c r="F165" s="29" t="n"/>
      <c r="G165" s="26" t="n"/>
      <c r="H165" s="28">
        <f>IF($A165="","",IF($F165="","",raporTarihi-$F165))</f>
        <v/>
      </c>
      <c r="I165" s="28">
        <f>IF($A165="","",IF($H165="","",IF($H165&lt;=7,"0-7",IF($H165&lt;=30,"8-30",IF($H165&lt;=60,"31-60","60+")))))</f>
        <v/>
      </c>
      <c r="J165" s="28">
        <f>IF($A165="","",IF($B165="","YETİM",IF(COUNTIF(tblKartlar[KartId],$B165)=0,"YETİM","")))</f>
        <v/>
      </c>
      <c r="K165" s="28">
        <f>IF($A165="","",IF($E165="YOK",IF($D165="KRITIK","KRİTİK EKSİK","EKSİK"),"TAM"))</f>
        <v/>
      </c>
      <c r="L165" s="28">
        <f>IF($A165="","",1)</f>
        <v/>
      </c>
    </row>
    <row r="166">
      <c r="A166" s="26" t="n"/>
      <c r="B166" s="26" t="n"/>
      <c r="C166" s="26" t="n"/>
      <c r="D166" s="26" t="n"/>
      <c r="E166" s="26" t="n"/>
      <c r="F166" s="29" t="n"/>
      <c r="G166" s="26" t="n"/>
      <c r="H166" s="28">
        <f>IF($A166="","",IF($F166="","",raporTarihi-$F166))</f>
        <v/>
      </c>
      <c r="I166" s="28">
        <f>IF($A166="","",IF($H166="","",IF($H166&lt;=7,"0-7",IF($H166&lt;=30,"8-30",IF($H166&lt;=60,"31-60","60+")))))</f>
        <v/>
      </c>
      <c r="J166" s="28">
        <f>IF($A166="","",IF($B166="","YETİM",IF(COUNTIF(tblKartlar[KartId],$B166)=0,"YETİM","")))</f>
        <v/>
      </c>
      <c r="K166" s="28">
        <f>IF($A166="","",IF($E166="YOK",IF($D166="KRITIK","KRİTİK EKSİK","EKSİK"),"TAM"))</f>
        <v/>
      </c>
      <c r="L166" s="28">
        <f>IF($A166="","",1)</f>
        <v/>
      </c>
    </row>
    <row r="167">
      <c r="A167" s="26" t="n"/>
      <c r="B167" s="26" t="n"/>
      <c r="C167" s="26" t="n"/>
      <c r="D167" s="26" t="n"/>
      <c r="E167" s="26" t="n"/>
      <c r="F167" s="29" t="n"/>
      <c r="G167" s="26" t="n"/>
      <c r="H167" s="28">
        <f>IF($A167="","",IF($F167="","",raporTarihi-$F167))</f>
        <v/>
      </c>
      <c r="I167" s="28">
        <f>IF($A167="","",IF($H167="","",IF($H167&lt;=7,"0-7",IF($H167&lt;=30,"8-30",IF($H167&lt;=60,"31-60","60+")))))</f>
        <v/>
      </c>
      <c r="J167" s="28">
        <f>IF($A167="","",IF($B167="","YETİM",IF(COUNTIF(tblKartlar[KartId],$B167)=0,"YETİM","")))</f>
        <v/>
      </c>
      <c r="K167" s="28">
        <f>IF($A167="","",IF($E167="YOK",IF($D167="KRITIK","KRİTİK EKSİK","EKSİK"),"TAM"))</f>
        <v/>
      </c>
      <c r="L167" s="28">
        <f>IF($A167="","",1)</f>
        <v/>
      </c>
    </row>
    <row r="168">
      <c r="A168" s="26" t="n"/>
      <c r="B168" s="26" t="n"/>
      <c r="C168" s="26" t="n"/>
      <c r="D168" s="26" t="n"/>
      <c r="E168" s="26" t="n"/>
      <c r="F168" s="29" t="n"/>
      <c r="G168" s="26" t="n"/>
      <c r="H168" s="28">
        <f>IF($A168="","",IF($F168="","",raporTarihi-$F168))</f>
        <v/>
      </c>
      <c r="I168" s="28">
        <f>IF($A168="","",IF($H168="","",IF($H168&lt;=7,"0-7",IF($H168&lt;=30,"8-30",IF($H168&lt;=60,"31-60","60+")))))</f>
        <v/>
      </c>
      <c r="J168" s="28">
        <f>IF($A168="","",IF($B168="","YETİM",IF(COUNTIF(tblKartlar[KartId],$B168)=0,"YETİM","")))</f>
        <v/>
      </c>
      <c r="K168" s="28">
        <f>IF($A168="","",IF($E168="YOK",IF($D168="KRITIK","KRİTİK EKSİK","EKSİK"),"TAM"))</f>
        <v/>
      </c>
      <c r="L168" s="28">
        <f>IF($A168="","",1)</f>
        <v/>
      </c>
    </row>
    <row r="169">
      <c r="A169" s="26" t="n"/>
      <c r="B169" s="26" t="n"/>
      <c r="C169" s="26" t="n"/>
      <c r="D169" s="26" t="n"/>
      <c r="E169" s="26" t="n"/>
      <c r="F169" s="29" t="n"/>
      <c r="G169" s="26" t="n"/>
      <c r="H169" s="28">
        <f>IF($A169="","",IF($F169="","",raporTarihi-$F169))</f>
        <v/>
      </c>
      <c r="I169" s="28">
        <f>IF($A169="","",IF($H169="","",IF($H169&lt;=7,"0-7",IF($H169&lt;=30,"8-30",IF($H169&lt;=60,"31-60","60+")))))</f>
        <v/>
      </c>
      <c r="J169" s="28">
        <f>IF($A169="","",IF($B169="","YETİM",IF(COUNTIF(tblKartlar[KartId],$B169)=0,"YETİM","")))</f>
        <v/>
      </c>
      <c r="K169" s="28">
        <f>IF($A169="","",IF($E169="YOK",IF($D169="KRITIK","KRİTİK EKSİK","EKSİK"),"TAM"))</f>
        <v/>
      </c>
      <c r="L169" s="28">
        <f>IF($A169="","",1)</f>
        <v/>
      </c>
    </row>
    <row r="170">
      <c r="A170" s="26" t="n"/>
      <c r="B170" s="26" t="n"/>
      <c r="C170" s="26" t="n"/>
      <c r="D170" s="26" t="n"/>
      <c r="E170" s="26" t="n"/>
      <c r="F170" s="29" t="n"/>
      <c r="G170" s="26" t="n"/>
      <c r="H170" s="28">
        <f>IF($A170="","",IF($F170="","",raporTarihi-$F170))</f>
        <v/>
      </c>
      <c r="I170" s="28">
        <f>IF($A170="","",IF($H170="","",IF($H170&lt;=7,"0-7",IF($H170&lt;=30,"8-30",IF($H170&lt;=60,"31-60","60+")))))</f>
        <v/>
      </c>
      <c r="J170" s="28">
        <f>IF($A170="","",IF($B170="","YETİM",IF(COUNTIF(tblKartlar[KartId],$B170)=0,"YETİM","")))</f>
        <v/>
      </c>
      <c r="K170" s="28">
        <f>IF($A170="","",IF($E170="YOK",IF($D170="KRITIK","KRİTİK EKSİK","EKSİK"),"TAM"))</f>
        <v/>
      </c>
      <c r="L170" s="28">
        <f>IF($A170="","",1)</f>
        <v/>
      </c>
    </row>
    <row r="171">
      <c r="A171" s="26" t="n"/>
      <c r="B171" s="26" t="n"/>
      <c r="C171" s="26" t="n"/>
      <c r="D171" s="26" t="n"/>
      <c r="E171" s="26" t="n"/>
      <c r="F171" s="29" t="n"/>
      <c r="G171" s="26" t="n"/>
      <c r="H171" s="28">
        <f>IF($A171="","",IF($F171="","",raporTarihi-$F171))</f>
        <v/>
      </c>
      <c r="I171" s="28">
        <f>IF($A171="","",IF($H171="","",IF($H171&lt;=7,"0-7",IF($H171&lt;=30,"8-30",IF($H171&lt;=60,"31-60","60+")))))</f>
        <v/>
      </c>
      <c r="J171" s="28">
        <f>IF($A171="","",IF($B171="","YETİM",IF(COUNTIF(tblKartlar[KartId],$B171)=0,"YETİM","")))</f>
        <v/>
      </c>
      <c r="K171" s="28">
        <f>IF($A171="","",IF($E171="YOK",IF($D171="KRITIK","KRİTİK EKSİK","EKSİK"),"TAM"))</f>
        <v/>
      </c>
      <c r="L171" s="28">
        <f>IF($A171="","",1)</f>
        <v/>
      </c>
    </row>
    <row r="172">
      <c r="A172" s="26" t="n"/>
      <c r="B172" s="26" t="n"/>
      <c r="C172" s="26" t="n"/>
      <c r="D172" s="26" t="n"/>
      <c r="E172" s="26" t="n"/>
      <c r="F172" s="29" t="n"/>
      <c r="G172" s="26" t="n"/>
      <c r="H172" s="28">
        <f>IF($A172="","",IF($F172="","",raporTarihi-$F172))</f>
        <v/>
      </c>
      <c r="I172" s="28">
        <f>IF($A172="","",IF($H172="","",IF($H172&lt;=7,"0-7",IF($H172&lt;=30,"8-30",IF($H172&lt;=60,"31-60","60+")))))</f>
        <v/>
      </c>
      <c r="J172" s="28">
        <f>IF($A172="","",IF($B172="","YETİM",IF(COUNTIF(tblKartlar[KartId],$B172)=0,"YETİM","")))</f>
        <v/>
      </c>
      <c r="K172" s="28">
        <f>IF($A172="","",IF($E172="YOK",IF($D172="KRITIK","KRİTİK EKSİK","EKSİK"),"TAM"))</f>
        <v/>
      </c>
      <c r="L172" s="28">
        <f>IF($A172="","",1)</f>
        <v/>
      </c>
    </row>
    <row r="173">
      <c r="A173" s="26" t="n"/>
      <c r="B173" s="26" t="n"/>
      <c r="C173" s="26" t="n"/>
      <c r="D173" s="26" t="n"/>
      <c r="E173" s="26" t="n"/>
      <c r="F173" s="29" t="n"/>
      <c r="G173" s="26" t="n"/>
      <c r="H173" s="28">
        <f>IF($A173="","",IF($F173="","",raporTarihi-$F173))</f>
        <v/>
      </c>
      <c r="I173" s="28">
        <f>IF($A173="","",IF($H173="","",IF($H173&lt;=7,"0-7",IF($H173&lt;=30,"8-30",IF($H173&lt;=60,"31-60","60+")))))</f>
        <v/>
      </c>
      <c r="J173" s="28">
        <f>IF($A173="","",IF($B173="","YETİM",IF(COUNTIF(tblKartlar[KartId],$B173)=0,"YETİM","")))</f>
        <v/>
      </c>
      <c r="K173" s="28">
        <f>IF($A173="","",IF($E173="YOK",IF($D173="KRITIK","KRİTİK EKSİK","EKSİK"),"TAM"))</f>
        <v/>
      </c>
      <c r="L173" s="28">
        <f>IF($A173="","",1)</f>
        <v/>
      </c>
    </row>
    <row r="174">
      <c r="A174" s="26" t="n"/>
      <c r="B174" s="26" t="n"/>
      <c r="C174" s="26" t="n"/>
      <c r="D174" s="26" t="n"/>
      <c r="E174" s="26" t="n"/>
      <c r="F174" s="29" t="n"/>
      <c r="G174" s="26" t="n"/>
      <c r="H174" s="28">
        <f>IF($A174="","",IF($F174="","",raporTarihi-$F174))</f>
        <v/>
      </c>
      <c r="I174" s="28">
        <f>IF($A174="","",IF($H174="","",IF($H174&lt;=7,"0-7",IF($H174&lt;=30,"8-30",IF($H174&lt;=60,"31-60","60+")))))</f>
        <v/>
      </c>
      <c r="J174" s="28">
        <f>IF($A174="","",IF($B174="","YETİM",IF(COUNTIF(tblKartlar[KartId],$B174)=0,"YETİM","")))</f>
        <v/>
      </c>
      <c r="K174" s="28">
        <f>IF($A174="","",IF($E174="YOK",IF($D174="KRITIK","KRİTİK EKSİK","EKSİK"),"TAM"))</f>
        <v/>
      </c>
      <c r="L174" s="28">
        <f>IF($A174="","",1)</f>
        <v/>
      </c>
    </row>
    <row r="175">
      <c r="A175" s="26" t="n"/>
      <c r="B175" s="26" t="n"/>
      <c r="C175" s="26" t="n"/>
      <c r="D175" s="26" t="n"/>
      <c r="E175" s="26" t="n"/>
      <c r="F175" s="29" t="n"/>
      <c r="G175" s="26" t="n"/>
      <c r="H175" s="28">
        <f>IF($A175="","",IF($F175="","",raporTarihi-$F175))</f>
        <v/>
      </c>
      <c r="I175" s="28">
        <f>IF($A175="","",IF($H175="","",IF($H175&lt;=7,"0-7",IF($H175&lt;=30,"8-30",IF($H175&lt;=60,"31-60","60+")))))</f>
        <v/>
      </c>
      <c r="J175" s="28">
        <f>IF($A175="","",IF($B175="","YETİM",IF(COUNTIF(tblKartlar[KartId],$B175)=0,"YETİM","")))</f>
        <v/>
      </c>
      <c r="K175" s="28">
        <f>IF($A175="","",IF($E175="YOK",IF($D175="KRITIK","KRİTİK EKSİK","EKSİK"),"TAM"))</f>
        <v/>
      </c>
      <c r="L175" s="28">
        <f>IF($A175="","",1)</f>
        <v/>
      </c>
    </row>
    <row r="176">
      <c r="A176" s="26" t="n"/>
      <c r="B176" s="26" t="n"/>
      <c r="C176" s="26" t="n"/>
      <c r="D176" s="26" t="n"/>
      <c r="E176" s="26" t="n"/>
      <c r="F176" s="29" t="n"/>
      <c r="G176" s="26" t="n"/>
      <c r="H176" s="28">
        <f>IF($A176="","",IF($F176="","",raporTarihi-$F176))</f>
        <v/>
      </c>
      <c r="I176" s="28">
        <f>IF($A176="","",IF($H176="","",IF($H176&lt;=7,"0-7",IF($H176&lt;=30,"8-30",IF($H176&lt;=60,"31-60","60+")))))</f>
        <v/>
      </c>
      <c r="J176" s="28">
        <f>IF($A176="","",IF($B176="","YETİM",IF(COUNTIF(tblKartlar[KartId],$B176)=0,"YETİM","")))</f>
        <v/>
      </c>
      <c r="K176" s="28">
        <f>IF($A176="","",IF($E176="YOK",IF($D176="KRITIK","KRİTİK EKSİK","EKSİK"),"TAM"))</f>
        <v/>
      </c>
      <c r="L176" s="28">
        <f>IF($A176="","",1)</f>
        <v/>
      </c>
    </row>
    <row r="177">
      <c r="A177" s="26" t="n"/>
      <c r="B177" s="26" t="n"/>
      <c r="C177" s="26" t="n"/>
      <c r="D177" s="26" t="n"/>
      <c r="E177" s="26" t="n"/>
      <c r="F177" s="29" t="n"/>
      <c r="G177" s="26" t="n"/>
      <c r="H177" s="28">
        <f>IF($A177="","",IF($F177="","",raporTarihi-$F177))</f>
        <v/>
      </c>
      <c r="I177" s="28">
        <f>IF($A177="","",IF($H177="","",IF($H177&lt;=7,"0-7",IF($H177&lt;=30,"8-30",IF($H177&lt;=60,"31-60","60+")))))</f>
        <v/>
      </c>
      <c r="J177" s="28">
        <f>IF($A177="","",IF($B177="","YETİM",IF(COUNTIF(tblKartlar[KartId],$B177)=0,"YETİM","")))</f>
        <v/>
      </c>
      <c r="K177" s="28">
        <f>IF($A177="","",IF($E177="YOK",IF($D177="KRITIK","KRİTİK EKSİK","EKSİK"),"TAM"))</f>
        <v/>
      </c>
      <c r="L177" s="28">
        <f>IF($A177="","",1)</f>
        <v/>
      </c>
    </row>
    <row r="178">
      <c r="A178" s="26" t="n"/>
      <c r="B178" s="26" t="n"/>
      <c r="C178" s="26" t="n"/>
      <c r="D178" s="26" t="n"/>
      <c r="E178" s="26" t="n"/>
      <c r="F178" s="29" t="n"/>
      <c r="G178" s="26" t="n"/>
      <c r="H178" s="28">
        <f>IF($A178="","",IF($F178="","",raporTarihi-$F178))</f>
        <v/>
      </c>
      <c r="I178" s="28">
        <f>IF($A178="","",IF($H178="","",IF($H178&lt;=7,"0-7",IF($H178&lt;=30,"8-30",IF($H178&lt;=60,"31-60","60+")))))</f>
        <v/>
      </c>
      <c r="J178" s="28">
        <f>IF($A178="","",IF($B178="","YETİM",IF(COUNTIF(tblKartlar[KartId],$B178)=0,"YETİM","")))</f>
        <v/>
      </c>
      <c r="K178" s="28">
        <f>IF($A178="","",IF($E178="YOK",IF($D178="KRITIK","KRİTİK EKSİK","EKSİK"),"TAM"))</f>
        <v/>
      </c>
      <c r="L178" s="28">
        <f>IF($A178="","",1)</f>
        <v/>
      </c>
    </row>
    <row r="179">
      <c r="A179" s="26" t="n"/>
      <c r="B179" s="26" t="n"/>
      <c r="C179" s="26" t="n"/>
      <c r="D179" s="26" t="n"/>
      <c r="E179" s="26" t="n"/>
      <c r="F179" s="29" t="n"/>
      <c r="G179" s="26" t="n"/>
      <c r="H179" s="28">
        <f>IF($A179="","",IF($F179="","",raporTarihi-$F179))</f>
        <v/>
      </c>
      <c r="I179" s="28">
        <f>IF($A179="","",IF($H179="","",IF($H179&lt;=7,"0-7",IF($H179&lt;=30,"8-30",IF($H179&lt;=60,"31-60","60+")))))</f>
        <v/>
      </c>
      <c r="J179" s="28">
        <f>IF($A179="","",IF($B179="","YETİM",IF(COUNTIF(tblKartlar[KartId],$B179)=0,"YETİM","")))</f>
        <v/>
      </c>
      <c r="K179" s="28">
        <f>IF($A179="","",IF($E179="YOK",IF($D179="KRITIK","KRİTİK EKSİK","EKSİK"),"TAM"))</f>
        <v/>
      </c>
      <c r="L179" s="28">
        <f>IF($A179="","",1)</f>
        <v/>
      </c>
    </row>
    <row r="180">
      <c r="A180" s="26" t="n"/>
      <c r="B180" s="26" t="n"/>
      <c r="C180" s="26" t="n"/>
      <c r="D180" s="26" t="n"/>
      <c r="E180" s="26" t="n"/>
      <c r="F180" s="29" t="n"/>
      <c r="G180" s="26" t="n"/>
      <c r="H180" s="28">
        <f>IF($A180="","",IF($F180="","",raporTarihi-$F180))</f>
        <v/>
      </c>
      <c r="I180" s="28">
        <f>IF($A180="","",IF($H180="","",IF($H180&lt;=7,"0-7",IF($H180&lt;=30,"8-30",IF($H180&lt;=60,"31-60","60+")))))</f>
        <v/>
      </c>
      <c r="J180" s="28">
        <f>IF($A180="","",IF($B180="","YETİM",IF(COUNTIF(tblKartlar[KartId],$B180)=0,"YETİM","")))</f>
        <v/>
      </c>
      <c r="K180" s="28">
        <f>IF($A180="","",IF($E180="YOK",IF($D180="KRITIK","KRİTİK EKSİK","EKSİK"),"TAM"))</f>
        <v/>
      </c>
      <c r="L180" s="28">
        <f>IF($A180="","",1)</f>
        <v/>
      </c>
    </row>
    <row r="181">
      <c r="A181" s="26" t="n"/>
      <c r="B181" s="26" t="n"/>
      <c r="C181" s="26" t="n"/>
      <c r="D181" s="26" t="n"/>
      <c r="E181" s="26" t="n"/>
      <c r="F181" s="29" t="n"/>
      <c r="G181" s="26" t="n"/>
      <c r="H181" s="28">
        <f>IF($A181="","",IF($F181="","",raporTarihi-$F181))</f>
        <v/>
      </c>
      <c r="I181" s="28">
        <f>IF($A181="","",IF($H181="","",IF($H181&lt;=7,"0-7",IF($H181&lt;=30,"8-30",IF($H181&lt;=60,"31-60","60+")))))</f>
        <v/>
      </c>
      <c r="J181" s="28">
        <f>IF($A181="","",IF($B181="","YETİM",IF(COUNTIF(tblKartlar[KartId],$B181)=0,"YETİM","")))</f>
        <v/>
      </c>
      <c r="K181" s="28">
        <f>IF($A181="","",IF($E181="YOK",IF($D181="KRITIK","KRİTİK EKSİK","EKSİK"),"TAM"))</f>
        <v/>
      </c>
      <c r="L181" s="28">
        <f>IF($A181="","",1)</f>
        <v/>
      </c>
    </row>
    <row r="182">
      <c r="A182" s="26" t="n"/>
      <c r="B182" s="26" t="n"/>
      <c r="C182" s="26" t="n"/>
      <c r="D182" s="26" t="n"/>
      <c r="E182" s="26" t="n"/>
      <c r="F182" s="29" t="n"/>
      <c r="G182" s="26" t="n"/>
      <c r="H182" s="28">
        <f>IF($A182="","",IF($F182="","",raporTarihi-$F182))</f>
        <v/>
      </c>
      <c r="I182" s="28">
        <f>IF($A182="","",IF($H182="","",IF($H182&lt;=7,"0-7",IF($H182&lt;=30,"8-30",IF($H182&lt;=60,"31-60","60+")))))</f>
        <v/>
      </c>
      <c r="J182" s="28">
        <f>IF($A182="","",IF($B182="","YETİM",IF(COUNTIF(tblKartlar[KartId],$B182)=0,"YETİM","")))</f>
        <v/>
      </c>
      <c r="K182" s="28">
        <f>IF($A182="","",IF($E182="YOK",IF($D182="KRITIK","KRİTİK EKSİK","EKSİK"),"TAM"))</f>
        <v/>
      </c>
      <c r="L182" s="28">
        <f>IF($A182="","",1)</f>
        <v/>
      </c>
    </row>
    <row r="183">
      <c r="A183" s="26" t="n"/>
      <c r="B183" s="26" t="n"/>
      <c r="C183" s="26" t="n"/>
      <c r="D183" s="26" t="n"/>
      <c r="E183" s="26" t="n"/>
      <c r="F183" s="29" t="n"/>
      <c r="G183" s="26" t="n"/>
      <c r="H183" s="28">
        <f>IF($A183="","",IF($F183="","",raporTarihi-$F183))</f>
        <v/>
      </c>
      <c r="I183" s="28">
        <f>IF($A183="","",IF($H183="","",IF($H183&lt;=7,"0-7",IF($H183&lt;=30,"8-30",IF($H183&lt;=60,"31-60","60+")))))</f>
        <v/>
      </c>
      <c r="J183" s="28">
        <f>IF($A183="","",IF($B183="","YETİM",IF(COUNTIF(tblKartlar[KartId],$B183)=0,"YETİM","")))</f>
        <v/>
      </c>
      <c r="K183" s="28">
        <f>IF($A183="","",IF($E183="YOK",IF($D183="KRITIK","KRİTİK EKSİK","EKSİK"),"TAM"))</f>
        <v/>
      </c>
      <c r="L183" s="28">
        <f>IF($A183="","",1)</f>
        <v/>
      </c>
    </row>
    <row r="184">
      <c r="A184" s="26" t="n"/>
      <c r="B184" s="26" t="n"/>
      <c r="C184" s="26" t="n"/>
      <c r="D184" s="26" t="n"/>
      <c r="E184" s="26" t="n"/>
      <c r="F184" s="29" t="n"/>
      <c r="G184" s="26" t="n"/>
      <c r="H184" s="28">
        <f>IF($A184="","",IF($F184="","",raporTarihi-$F184))</f>
        <v/>
      </c>
      <c r="I184" s="28">
        <f>IF($A184="","",IF($H184="","",IF($H184&lt;=7,"0-7",IF($H184&lt;=30,"8-30",IF($H184&lt;=60,"31-60","60+")))))</f>
        <v/>
      </c>
      <c r="J184" s="28">
        <f>IF($A184="","",IF($B184="","YETİM",IF(COUNTIF(tblKartlar[KartId],$B184)=0,"YETİM","")))</f>
        <v/>
      </c>
      <c r="K184" s="28">
        <f>IF($A184="","",IF($E184="YOK",IF($D184="KRITIK","KRİTİK EKSİK","EKSİK"),"TAM"))</f>
        <v/>
      </c>
      <c r="L184" s="28">
        <f>IF($A184="","",1)</f>
        <v/>
      </c>
    </row>
    <row r="185">
      <c r="A185" s="26" t="n"/>
      <c r="B185" s="26" t="n"/>
      <c r="C185" s="26" t="n"/>
      <c r="D185" s="26" t="n"/>
      <c r="E185" s="26" t="n"/>
      <c r="F185" s="29" t="n"/>
      <c r="G185" s="26" t="n"/>
      <c r="H185" s="28">
        <f>IF($A185="","",IF($F185="","",raporTarihi-$F185))</f>
        <v/>
      </c>
      <c r="I185" s="28">
        <f>IF($A185="","",IF($H185="","",IF($H185&lt;=7,"0-7",IF($H185&lt;=30,"8-30",IF($H185&lt;=60,"31-60","60+")))))</f>
        <v/>
      </c>
      <c r="J185" s="28">
        <f>IF($A185="","",IF($B185="","YETİM",IF(COUNTIF(tblKartlar[KartId],$B185)=0,"YETİM","")))</f>
        <v/>
      </c>
      <c r="K185" s="28">
        <f>IF($A185="","",IF($E185="YOK",IF($D185="KRITIK","KRİTİK EKSİK","EKSİK"),"TAM"))</f>
        <v/>
      </c>
      <c r="L185" s="28">
        <f>IF($A185="","",1)</f>
        <v/>
      </c>
    </row>
    <row r="186">
      <c r="A186" s="26" t="n"/>
      <c r="B186" s="26" t="n"/>
      <c r="C186" s="26" t="n"/>
      <c r="D186" s="26" t="n"/>
      <c r="E186" s="26" t="n"/>
      <c r="F186" s="29" t="n"/>
      <c r="G186" s="26" t="n"/>
      <c r="H186" s="28">
        <f>IF($A186="","",IF($F186="","",raporTarihi-$F186))</f>
        <v/>
      </c>
      <c r="I186" s="28">
        <f>IF($A186="","",IF($H186="","",IF($H186&lt;=7,"0-7",IF($H186&lt;=30,"8-30",IF($H186&lt;=60,"31-60","60+")))))</f>
        <v/>
      </c>
      <c r="J186" s="28">
        <f>IF($A186="","",IF($B186="","YETİM",IF(COUNTIF(tblKartlar[KartId],$B186)=0,"YETİM","")))</f>
        <v/>
      </c>
      <c r="K186" s="28">
        <f>IF($A186="","",IF($E186="YOK",IF($D186="KRITIK","KRİTİK EKSİK","EKSİK"),"TAM"))</f>
        <v/>
      </c>
      <c r="L186" s="28">
        <f>IF($A186="","",1)</f>
        <v/>
      </c>
    </row>
    <row r="187">
      <c r="A187" s="26" t="n"/>
      <c r="B187" s="26" t="n"/>
      <c r="C187" s="26" t="n"/>
      <c r="D187" s="26" t="n"/>
      <c r="E187" s="26" t="n"/>
      <c r="F187" s="29" t="n"/>
      <c r="G187" s="26" t="n"/>
      <c r="H187" s="28">
        <f>IF($A187="","",IF($F187="","",raporTarihi-$F187))</f>
        <v/>
      </c>
      <c r="I187" s="28">
        <f>IF($A187="","",IF($H187="","",IF($H187&lt;=7,"0-7",IF($H187&lt;=30,"8-30",IF($H187&lt;=60,"31-60","60+")))))</f>
        <v/>
      </c>
      <c r="J187" s="28">
        <f>IF($A187="","",IF($B187="","YETİM",IF(COUNTIF(tblKartlar[KartId],$B187)=0,"YETİM","")))</f>
        <v/>
      </c>
      <c r="K187" s="28">
        <f>IF($A187="","",IF($E187="YOK",IF($D187="KRITIK","KRİTİK EKSİK","EKSİK"),"TAM"))</f>
        <v/>
      </c>
      <c r="L187" s="28">
        <f>IF($A187="","",1)</f>
        <v/>
      </c>
    </row>
    <row r="188">
      <c r="A188" s="26" t="n"/>
      <c r="B188" s="26" t="n"/>
      <c r="C188" s="26" t="n"/>
      <c r="D188" s="26" t="n"/>
      <c r="E188" s="26" t="n"/>
      <c r="F188" s="29" t="n"/>
      <c r="G188" s="26" t="n"/>
      <c r="H188" s="28">
        <f>IF($A188="","",IF($F188="","",raporTarihi-$F188))</f>
        <v/>
      </c>
      <c r="I188" s="28">
        <f>IF($A188="","",IF($H188="","",IF($H188&lt;=7,"0-7",IF($H188&lt;=30,"8-30",IF($H188&lt;=60,"31-60","60+")))))</f>
        <v/>
      </c>
      <c r="J188" s="28">
        <f>IF($A188="","",IF($B188="","YETİM",IF(COUNTIF(tblKartlar[KartId],$B188)=0,"YETİM","")))</f>
        <v/>
      </c>
      <c r="K188" s="28">
        <f>IF($A188="","",IF($E188="YOK",IF($D188="KRITIK","KRİTİK EKSİK","EKSİK"),"TAM"))</f>
        <v/>
      </c>
      <c r="L188" s="28">
        <f>IF($A188="","",1)</f>
        <v/>
      </c>
    </row>
    <row r="189">
      <c r="A189" s="26" t="n"/>
      <c r="B189" s="26" t="n"/>
      <c r="C189" s="26" t="n"/>
      <c r="D189" s="26" t="n"/>
      <c r="E189" s="26" t="n"/>
      <c r="F189" s="29" t="n"/>
      <c r="G189" s="26" t="n"/>
      <c r="H189" s="28">
        <f>IF($A189="","",IF($F189="","",raporTarihi-$F189))</f>
        <v/>
      </c>
      <c r="I189" s="28">
        <f>IF($A189="","",IF($H189="","",IF($H189&lt;=7,"0-7",IF($H189&lt;=30,"8-30",IF($H189&lt;=60,"31-60","60+")))))</f>
        <v/>
      </c>
      <c r="J189" s="28">
        <f>IF($A189="","",IF($B189="","YETİM",IF(COUNTIF(tblKartlar[KartId],$B189)=0,"YETİM","")))</f>
        <v/>
      </c>
      <c r="K189" s="28">
        <f>IF($A189="","",IF($E189="YOK",IF($D189="KRITIK","KRİTİK EKSİK","EKSİK"),"TAM"))</f>
        <v/>
      </c>
      <c r="L189" s="28">
        <f>IF($A189="","",1)</f>
        <v/>
      </c>
    </row>
    <row r="190">
      <c r="A190" s="26" t="n"/>
      <c r="B190" s="26" t="n"/>
      <c r="C190" s="26" t="n"/>
      <c r="D190" s="26" t="n"/>
      <c r="E190" s="26" t="n"/>
      <c r="F190" s="29" t="n"/>
      <c r="G190" s="26" t="n"/>
      <c r="H190" s="28">
        <f>IF($A190="","",IF($F190="","",raporTarihi-$F190))</f>
        <v/>
      </c>
      <c r="I190" s="28">
        <f>IF($A190="","",IF($H190="","",IF($H190&lt;=7,"0-7",IF($H190&lt;=30,"8-30",IF($H190&lt;=60,"31-60","60+")))))</f>
        <v/>
      </c>
      <c r="J190" s="28">
        <f>IF($A190="","",IF($B190="","YETİM",IF(COUNTIF(tblKartlar[KartId],$B190)=0,"YETİM","")))</f>
        <v/>
      </c>
      <c r="K190" s="28">
        <f>IF($A190="","",IF($E190="YOK",IF($D190="KRITIK","KRİTİK EKSİK","EKSİK"),"TAM"))</f>
        <v/>
      </c>
      <c r="L190" s="28">
        <f>IF($A190="","",1)</f>
        <v/>
      </c>
    </row>
    <row r="191">
      <c r="A191" s="26" t="n"/>
      <c r="B191" s="26" t="n"/>
      <c r="C191" s="26" t="n"/>
      <c r="D191" s="26" t="n"/>
      <c r="E191" s="26" t="n"/>
      <c r="F191" s="29" t="n"/>
      <c r="G191" s="26" t="n"/>
      <c r="H191" s="28">
        <f>IF($A191="","",IF($F191="","",raporTarihi-$F191))</f>
        <v/>
      </c>
      <c r="I191" s="28">
        <f>IF($A191="","",IF($H191="","",IF($H191&lt;=7,"0-7",IF($H191&lt;=30,"8-30",IF($H191&lt;=60,"31-60","60+")))))</f>
        <v/>
      </c>
      <c r="J191" s="28">
        <f>IF($A191="","",IF($B191="","YETİM",IF(COUNTIF(tblKartlar[KartId],$B191)=0,"YETİM","")))</f>
        <v/>
      </c>
      <c r="K191" s="28">
        <f>IF($A191="","",IF($E191="YOK",IF($D191="KRITIK","KRİTİK EKSİK","EKSİK"),"TAM"))</f>
        <v/>
      </c>
      <c r="L191" s="28">
        <f>IF($A191="","",1)</f>
        <v/>
      </c>
    </row>
    <row r="192">
      <c r="A192" s="26" t="n"/>
      <c r="B192" s="26" t="n"/>
      <c r="C192" s="26" t="n"/>
      <c r="D192" s="26" t="n"/>
      <c r="E192" s="26" t="n"/>
      <c r="F192" s="29" t="n"/>
      <c r="G192" s="26" t="n"/>
      <c r="H192" s="28">
        <f>IF($A192="","",IF($F192="","",raporTarihi-$F192))</f>
        <v/>
      </c>
      <c r="I192" s="28">
        <f>IF($A192="","",IF($H192="","",IF($H192&lt;=7,"0-7",IF($H192&lt;=30,"8-30",IF($H192&lt;=60,"31-60","60+")))))</f>
        <v/>
      </c>
      <c r="J192" s="28">
        <f>IF($A192="","",IF($B192="","YETİM",IF(COUNTIF(tblKartlar[KartId],$B192)=0,"YETİM","")))</f>
        <v/>
      </c>
      <c r="K192" s="28">
        <f>IF($A192="","",IF($E192="YOK",IF($D192="KRITIK","KRİTİK EKSİK","EKSİK"),"TAM"))</f>
        <v/>
      </c>
      <c r="L192" s="28">
        <f>IF($A192="","",1)</f>
        <v/>
      </c>
    </row>
    <row r="193">
      <c r="A193" s="26" t="n"/>
      <c r="B193" s="26" t="n"/>
      <c r="C193" s="26" t="n"/>
      <c r="D193" s="26" t="n"/>
      <c r="E193" s="26" t="n"/>
      <c r="F193" s="29" t="n"/>
      <c r="G193" s="26" t="n"/>
      <c r="H193" s="28">
        <f>IF($A193="","",IF($F193="","",raporTarihi-$F193))</f>
        <v/>
      </c>
      <c r="I193" s="28">
        <f>IF($A193="","",IF($H193="","",IF($H193&lt;=7,"0-7",IF($H193&lt;=30,"8-30",IF($H193&lt;=60,"31-60","60+")))))</f>
        <v/>
      </c>
      <c r="J193" s="28">
        <f>IF($A193="","",IF($B193="","YETİM",IF(COUNTIF(tblKartlar[KartId],$B193)=0,"YETİM","")))</f>
        <v/>
      </c>
      <c r="K193" s="28">
        <f>IF($A193="","",IF($E193="YOK",IF($D193="KRITIK","KRİTİK EKSİK","EKSİK"),"TAM"))</f>
        <v/>
      </c>
      <c r="L193" s="28">
        <f>IF($A193="","",1)</f>
        <v/>
      </c>
    </row>
    <row r="194">
      <c r="A194" s="26" t="n"/>
      <c r="B194" s="26" t="n"/>
      <c r="C194" s="26" t="n"/>
      <c r="D194" s="26" t="n"/>
      <c r="E194" s="26" t="n"/>
      <c r="F194" s="29" t="n"/>
      <c r="G194" s="26" t="n"/>
      <c r="H194" s="28">
        <f>IF($A194="","",IF($F194="","",raporTarihi-$F194))</f>
        <v/>
      </c>
      <c r="I194" s="28">
        <f>IF($A194="","",IF($H194="","",IF($H194&lt;=7,"0-7",IF($H194&lt;=30,"8-30",IF($H194&lt;=60,"31-60","60+")))))</f>
        <v/>
      </c>
      <c r="J194" s="28">
        <f>IF($A194="","",IF($B194="","YETİM",IF(COUNTIF(tblKartlar[KartId],$B194)=0,"YETİM","")))</f>
        <v/>
      </c>
      <c r="K194" s="28">
        <f>IF($A194="","",IF($E194="YOK",IF($D194="KRITIK","KRİTİK EKSİK","EKSİK"),"TAM"))</f>
        <v/>
      </c>
      <c r="L194" s="28">
        <f>IF($A194="","",1)</f>
        <v/>
      </c>
    </row>
    <row r="195">
      <c r="A195" s="26" t="n"/>
      <c r="B195" s="26" t="n"/>
      <c r="C195" s="26" t="n"/>
      <c r="D195" s="26" t="n"/>
      <c r="E195" s="26" t="n"/>
      <c r="F195" s="29" t="n"/>
      <c r="G195" s="26" t="n"/>
      <c r="H195" s="28">
        <f>IF($A195="","",IF($F195="","",raporTarihi-$F195))</f>
        <v/>
      </c>
      <c r="I195" s="28">
        <f>IF($A195="","",IF($H195="","",IF($H195&lt;=7,"0-7",IF($H195&lt;=30,"8-30",IF($H195&lt;=60,"31-60","60+")))))</f>
        <v/>
      </c>
      <c r="J195" s="28">
        <f>IF($A195="","",IF($B195="","YETİM",IF(COUNTIF(tblKartlar[KartId],$B195)=0,"YETİM","")))</f>
        <v/>
      </c>
      <c r="K195" s="28">
        <f>IF($A195="","",IF($E195="YOK",IF($D195="KRITIK","KRİTİK EKSİK","EKSİK"),"TAM"))</f>
        <v/>
      </c>
      <c r="L195" s="28">
        <f>IF($A195="","",1)</f>
        <v/>
      </c>
    </row>
    <row r="196">
      <c r="A196" s="26" t="n"/>
      <c r="B196" s="26" t="n"/>
      <c r="C196" s="26" t="n"/>
      <c r="D196" s="26" t="n"/>
      <c r="E196" s="26" t="n"/>
      <c r="F196" s="29" t="n"/>
      <c r="G196" s="26" t="n"/>
      <c r="H196" s="28">
        <f>IF($A196="","",IF($F196="","",raporTarihi-$F196))</f>
        <v/>
      </c>
      <c r="I196" s="28">
        <f>IF($A196="","",IF($H196="","",IF($H196&lt;=7,"0-7",IF($H196&lt;=30,"8-30",IF($H196&lt;=60,"31-60","60+")))))</f>
        <v/>
      </c>
      <c r="J196" s="28">
        <f>IF($A196="","",IF($B196="","YETİM",IF(COUNTIF(tblKartlar[KartId],$B196)=0,"YETİM","")))</f>
        <v/>
      </c>
      <c r="K196" s="28">
        <f>IF($A196="","",IF($E196="YOK",IF($D196="KRITIK","KRİTİK EKSİK","EKSİK"),"TAM"))</f>
        <v/>
      </c>
      <c r="L196" s="28">
        <f>IF($A196="","",1)</f>
        <v/>
      </c>
    </row>
    <row r="197">
      <c r="A197" s="26" t="n"/>
      <c r="B197" s="26" t="n"/>
      <c r="C197" s="26" t="n"/>
      <c r="D197" s="26" t="n"/>
      <c r="E197" s="26" t="n"/>
      <c r="F197" s="29" t="n"/>
      <c r="G197" s="26" t="n"/>
      <c r="H197" s="28">
        <f>IF($A197="","",IF($F197="","",raporTarihi-$F197))</f>
        <v/>
      </c>
      <c r="I197" s="28">
        <f>IF($A197="","",IF($H197="","",IF($H197&lt;=7,"0-7",IF($H197&lt;=30,"8-30",IF($H197&lt;=60,"31-60","60+")))))</f>
        <v/>
      </c>
      <c r="J197" s="28">
        <f>IF($A197="","",IF($B197="","YETİM",IF(COUNTIF(tblKartlar[KartId],$B197)=0,"YETİM","")))</f>
        <v/>
      </c>
      <c r="K197" s="28">
        <f>IF($A197="","",IF($E197="YOK",IF($D197="KRITIK","KRİTİK EKSİK","EKSİK"),"TAM"))</f>
        <v/>
      </c>
      <c r="L197" s="28">
        <f>IF($A197="","",1)</f>
        <v/>
      </c>
    </row>
    <row r="198">
      <c r="A198" s="26" t="n"/>
      <c r="B198" s="26" t="n"/>
      <c r="C198" s="26" t="n"/>
      <c r="D198" s="26" t="n"/>
      <c r="E198" s="26" t="n"/>
      <c r="F198" s="29" t="n"/>
      <c r="G198" s="26" t="n"/>
      <c r="H198" s="28">
        <f>IF($A198="","",IF($F198="","",raporTarihi-$F198))</f>
        <v/>
      </c>
      <c r="I198" s="28">
        <f>IF($A198="","",IF($H198="","",IF($H198&lt;=7,"0-7",IF($H198&lt;=30,"8-30",IF($H198&lt;=60,"31-60","60+")))))</f>
        <v/>
      </c>
      <c r="J198" s="28">
        <f>IF($A198="","",IF($B198="","YETİM",IF(COUNTIF(tblKartlar[KartId],$B198)=0,"YETİM","")))</f>
        <v/>
      </c>
      <c r="K198" s="28">
        <f>IF($A198="","",IF($E198="YOK",IF($D198="KRITIK","KRİTİK EKSİK","EKSİK"),"TAM"))</f>
        <v/>
      </c>
      <c r="L198" s="28">
        <f>IF($A198="","",1)</f>
        <v/>
      </c>
    </row>
    <row r="199">
      <c r="A199" s="26" t="n"/>
      <c r="B199" s="26" t="n"/>
      <c r="C199" s="26" t="n"/>
      <c r="D199" s="26" t="n"/>
      <c r="E199" s="26" t="n"/>
      <c r="F199" s="29" t="n"/>
      <c r="G199" s="26" t="n"/>
      <c r="H199" s="28">
        <f>IF($A199="","",IF($F199="","",raporTarihi-$F199))</f>
        <v/>
      </c>
      <c r="I199" s="28">
        <f>IF($A199="","",IF($H199="","",IF($H199&lt;=7,"0-7",IF($H199&lt;=30,"8-30",IF($H199&lt;=60,"31-60","60+")))))</f>
        <v/>
      </c>
      <c r="J199" s="28">
        <f>IF($A199="","",IF($B199="","YETİM",IF(COUNTIF(tblKartlar[KartId],$B199)=0,"YETİM","")))</f>
        <v/>
      </c>
      <c r="K199" s="28">
        <f>IF($A199="","",IF($E199="YOK",IF($D199="KRITIK","KRİTİK EKSİK","EKSİK"),"TAM"))</f>
        <v/>
      </c>
      <c r="L199" s="28">
        <f>IF($A199="","",1)</f>
        <v/>
      </c>
    </row>
    <row r="200">
      <c r="A200" s="26" t="n"/>
      <c r="B200" s="26" t="n"/>
      <c r="C200" s="26" t="n"/>
      <c r="D200" s="26" t="n"/>
      <c r="E200" s="26" t="n"/>
      <c r="F200" s="29" t="n"/>
      <c r="G200" s="26" t="n"/>
      <c r="H200" s="28">
        <f>IF($A200="","",IF($F200="","",raporTarihi-$F200))</f>
        <v/>
      </c>
      <c r="I200" s="28">
        <f>IF($A200="","",IF($H200="","",IF($H200&lt;=7,"0-7",IF($H200&lt;=30,"8-30",IF($H200&lt;=60,"31-60","60+")))))</f>
        <v/>
      </c>
      <c r="J200" s="28">
        <f>IF($A200="","",IF($B200="","YETİM",IF(COUNTIF(tblKartlar[KartId],$B200)=0,"YETİM","")))</f>
        <v/>
      </c>
      <c r="K200" s="28">
        <f>IF($A200="","",IF($E200="YOK",IF($D200="KRITIK","KRİTİK EKSİK","EKSİK"),"TAM"))</f>
        <v/>
      </c>
      <c r="L200" s="28">
        <f>IF($A200="","",1)</f>
        <v/>
      </c>
    </row>
    <row r="201">
      <c r="A201" s="26" t="n"/>
      <c r="B201" s="26" t="n"/>
      <c r="C201" s="26" t="n"/>
      <c r="D201" s="26" t="n"/>
      <c r="E201" s="26" t="n"/>
      <c r="F201" s="29" t="n"/>
      <c r="G201" s="26" t="n"/>
      <c r="H201" s="28">
        <f>IF($A201="","",IF($F201="","",raporTarihi-$F201))</f>
        <v/>
      </c>
      <c r="I201" s="28">
        <f>IF($A201="","",IF($H201="","",IF($H201&lt;=7,"0-7",IF($H201&lt;=30,"8-30",IF($H201&lt;=60,"31-60","60+")))))</f>
        <v/>
      </c>
      <c r="J201" s="28">
        <f>IF($A201="","",IF($B201="","YETİM",IF(COUNTIF(tblKartlar[KartId],$B201)=0,"YETİM","")))</f>
        <v/>
      </c>
      <c r="K201" s="28">
        <f>IF($A201="","",IF($E201="YOK",IF($D201="KRITIK","KRİTİK EKSİK","EKSİK"),"TAM"))</f>
        <v/>
      </c>
      <c r="L201" s="28">
        <f>IF($A201="","",1)</f>
        <v/>
      </c>
    </row>
    <row r="202">
      <c r="A202" s="26" t="n"/>
      <c r="B202" s="26" t="n"/>
      <c r="C202" s="26" t="n"/>
      <c r="D202" s="26" t="n"/>
      <c r="E202" s="26" t="n"/>
      <c r="F202" s="29" t="n"/>
      <c r="G202" s="26" t="n"/>
      <c r="H202" s="28">
        <f>IF($A202="","",IF($F202="","",raporTarihi-$F202))</f>
        <v/>
      </c>
      <c r="I202" s="28">
        <f>IF($A202="","",IF($H202="","",IF($H202&lt;=7,"0-7",IF($H202&lt;=30,"8-30",IF($H202&lt;=60,"31-60","60+")))))</f>
        <v/>
      </c>
      <c r="J202" s="28">
        <f>IF($A202="","",IF($B202="","YETİM",IF(COUNTIF(tblKartlar[KartId],$B202)=0,"YETİM","")))</f>
        <v/>
      </c>
      <c r="K202" s="28">
        <f>IF($A202="","",IF($E202="YOK",IF($D202="KRITIK","KRİTİK EKSİK","EKSİK"),"TAM"))</f>
        <v/>
      </c>
      <c r="L202" s="28">
        <f>IF($A202="","",1)</f>
        <v/>
      </c>
    </row>
    <row r="203">
      <c r="A203" s="26" t="n"/>
      <c r="B203" s="26" t="n"/>
      <c r="C203" s="26" t="n"/>
      <c r="D203" s="26" t="n"/>
      <c r="E203" s="26" t="n"/>
      <c r="F203" s="29" t="n"/>
      <c r="G203" s="26" t="n"/>
      <c r="H203" s="28">
        <f>IF($A203="","",IF($F203="","",raporTarihi-$F203))</f>
        <v/>
      </c>
      <c r="I203" s="28">
        <f>IF($A203="","",IF($H203="","",IF($H203&lt;=7,"0-7",IF($H203&lt;=30,"8-30",IF($H203&lt;=60,"31-60","60+")))))</f>
        <v/>
      </c>
      <c r="J203" s="28">
        <f>IF($A203="","",IF($B203="","YETİM",IF(COUNTIF(tblKartlar[KartId],$B203)=0,"YETİM","")))</f>
        <v/>
      </c>
      <c r="K203" s="28">
        <f>IF($A203="","",IF($E203="YOK",IF($D203="KRITIK","KRİTİK EKSİK","EKSİK"),"TAM"))</f>
        <v/>
      </c>
      <c r="L203" s="28">
        <f>IF($A203="","",1)</f>
        <v/>
      </c>
    </row>
    <row r="204">
      <c r="A204" s="26" t="n"/>
      <c r="B204" s="26" t="n"/>
      <c r="C204" s="26" t="n"/>
      <c r="D204" s="26" t="n"/>
      <c r="E204" s="26" t="n"/>
      <c r="F204" s="29" t="n"/>
      <c r="G204" s="26" t="n"/>
      <c r="H204" s="28">
        <f>IF($A204="","",IF($F204="","",raporTarihi-$F204))</f>
        <v/>
      </c>
      <c r="I204" s="28">
        <f>IF($A204="","",IF($H204="","",IF($H204&lt;=7,"0-7",IF($H204&lt;=30,"8-30",IF($H204&lt;=60,"31-60","60+")))))</f>
        <v/>
      </c>
      <c r="J204" s="28">
        <f>IF($A204="","",IF($B204="","YETİM",IF(COUNTIF(tblKartlar[KartId],$B204)=0,"YETİM","")))</f>
        <v/>
      </c>
      <c r="K204" s="28">
        <f>IF($A204="","",IF($E204="YOK",IF($D204="KRITIK","KRİTİK EKSİK","EKSİK"),"TAM"))</f>
        <v/>
      </c>
      <c r="L204" s="28">
        <f>IF($A204="","",1)</f>
        <v/>
      </c>
    </row>
    <row r="205">
      <c r="A205" s="26" t="n"/>
      <c r="B205" s="26" t="n"/>
      <c r="C205" s="26" t="n"/>
      <c r="D205" s="26" t="n"/>
      <c r="E205" s="26" t="n"/>
      <c r="F205" s="29" t="n"/>
      <c r="G205" s="26" t="n"/>
      <c r="H205" s="28">
        <f>IF($A205="","",IF($F205="","",raporTarihi-$F205))</f>
        <v/>
      </c>
      <c r="I205" s="28">
        <f>IF($A205="","",IF($H205="","",IF($H205&lt;=7,"0-7",IF($H205&lt;=30,"8-30",IF($H205&lt;=60,"31-60","60+")))))</f>
        <v/>
      </c>
      <c r="J205" s="28">
        <f>IF($A205="","",IF($B205="","YETİM",IF(COUNTIF(tblKartlar[KartId],$B205)=0,"YETİM","")))</f>
        <v/>
      </c>
      <c r="K205" s="28">
        <f>IF($A205="","",IF($E205="YOK",IF($D205="KRITIK","KRİTİK EKSİK","EKSİK"),"TAM"))</f>
        <v/>
      </c>
      <c r="L205" s="28">
        <f>IF($A205="","",1)</f>
        <v/>
      </c>
    </row>
    <row r="206">
      <c r="A206" s="26" t="n"/>
      <c r="B206" s="26" t="n"/>
      <c r="C206" s="26" t="n"/>
      <c r="D206" s="26" t="n"/>
      <c r="E206" s="26" t="n"/>
      <c r="F206" s="29" t="n"/>
      <c r="G206" s="26" t="n"/>
      <c r="H206" s="28">
        <f>IF($A206="","",IF($F206="","",raporTarihi-$F206))</f>
        <v/>
      </c>
      <c r="I206" s="28">
        <f>IF($A206="","",IF($H206="","",IF($H206&lt;=7,"0-7",IF($H206&lt;=30,"8-30",IF($H206&lt;=60,"31-60","60+")))))</f>
        <v/>
      </c>
      <c r="J206" s="28">
        <f>IF($A206="","",IF($B206="","YETİM",IF(COUNTIF(tblKartlar[KartId],$B206)=0,"YETİM","")))</f>
        <v/>
      </c>
      <c r="K206" s="28">
        <f>IF($A206="","",IF($E206="YOK",IF($D206="KRITIK","KRİTİK EKSİK","EKSİK"),"TAM"))</f>
        <v/>
      </c>
      <c r="L206" s="28">
        <f>IF($A206="","",1)</f>
        <v/>
      </c>
    </row>
    <row r="207">
      <c r="A207" s="26" t="n"/>
      <c r="B207" s="26" t="n"/>
      <c r="C207" s="26" t="n"/>
      <c r="D207" s="26" t="n"/>
      <c r="E207" s="26" t="n"/>
      <c r="F207" s="29" t="n"/>
      <c r="G207" s="26" t="n"/>
      <c r="H207" s="28">
        <f>IF($A207="","",IF($F207="","",raporTarihi-$F207))</f>
        <v/>
      </c>
      <c r="I207" s="28">
        <f>IF($A207="","",IF($H207="","",IF($H207&lt;=7,"0-7",IF($H207&lt;=30,"8-30",IF($H207&lt;=60,"31-60","60+")))))</f>
        <v/>
      </c>
      <c r="J207" s="28">
        <f>IF($A207="","",IF($B207="","YETİM",IF(COUNTIF(tblKartlar[KartId],$B207)=0,"YETİM","")))</f>
        <v/>
      </c>
      <c r="K207" s="28">
        <f>IF($A207="","",IF($E207="YOK",IF($D207="KRITIK","KRİTİK EKSİK","EKSİK"),"TAM"))</f>
        <v/>
      </c>
      <c r="L207" s="28">
        <f>IF($A207="","",1)</f>
        <v/>
      </c>
    </row>
    <row r="208">
      <c r="A208" s="26" t="n"/>
      <c r="B208" s="26" t="n"/>
      <c r="C208" s="26" t="n"/>
      <c r="D208" s="26" t="n"/>
      <c r="E208" s="26" t="n"/>
      <c r="F208" s="29" t="n"/>
      <c r="G208" s="26" t="n"/>
      <c r="H208" s="28">
        <f>IF($A208="","",IF($F208="","",raporTarihi-$F208))</f>
        <v/>
      </c>
      <c r="I208" s="28">
        <f>IF($A208="","",IF($H208="","",IF($H208&lt;=7,"0-7",IF($H208&lt;=30,"8-30",IF($H208&lt;=60,"31-60","60+")))))</f>
        <v/>
      </c>
      <c r="J208" s="28">
        <f>IF($A208="","",IF($B208="","YETİM",IF(COUNTIF(tblKartlar[KartId],$B208)=0,"YETİM","")))</f>
        <v/>
      </c>
      <c r="K208" s="28">
        <f>IF($A208="","",IF($E208="YOK",IF($D208="KRITIK","KRİTİK EKSİK","EKSİK"),"TAM"))</f>
        <v/>
      </c>
      <c r="L208" s="28">
        <f>IF($A208="","",1)</f>
        <v/>
      </c>
    </row>
    <row r="209">
      <c r="A209" s="26" t="n"/>
      <c r="B209" s="26" t="n"/>
      <c r="C209" s="26" t="n"/>
      <c r="D209" s="26" t="n"/>
      <c r="E209" s="26" t="n"/>
      <c r="F209" s="29" t="n"/>
      <c r="G209" s="26" t="n"/>
      <c r="H209" s="28">
        <f>IF($A209="","",IF($F209="","",raporTarihi-$F209))</f>
        <v/>
      </c>
      <c r="I209" s="28">
        <f>IF($A209="","",IF($H209="","",IF($H209&lt;=7,"0-7",IF($H209&lt;=30,"8-30",IF($H209&lt;=60,"31-60","60+")))))</f>
        <v/>
      </c>
      <c r="J209" s="28">
        <f>IF($A209="","",IF($B209="","YETİM",IF(COUNTIF(tblKartlar[KartId],$B209)=0,"YETİM","")))</f>
        <v/>
      </c>
      <c r="K209" s="28">
        <f>IF($A209="","",IF($E209="YOK",IF($D209="KRITIK","KRİTİK EKSİK","EKSİK"),"TAM"))</f>
        <v/>
      </c>
      <c r="L209" s="28">
        <f>IF($A209="","",1)</f>
        <v/>
      </c>
    </row>
    <row r="210">
      <c r="A210" s="26" t="n"/>
      <c r="B210" s="26" t="n"/>
      <c r="C210" s="26" t="n"/>
      <c r="D210" s="26" t="n"/>
      <c r="E210" s="26" t="n"/>
      <c r="F210" s="29" t="n"/>
      <c r="G210" s="26" t="n"/>
      <c r="H210" s="28">
        <f>IF($A210="","",IF($F210="","",raporTarihi-$F210))</f>
        <v/>
      </c>
      <c r="I210" s="28">
        <f>IF($A210="","",IF($H210="","",IF($H210&lt;=7,"0-7",IF($H210&lt;=30,"8-30",IF($H210&lt;=60,"31-60","60+")))))</f>
        <v/>
      </c>
      <c r="J210" s="28">
        <f>IF($A210="","",IF($B210="","YETİM",IF(COUNTIF(tblKartlar[KartId],$B210)=0,"YETİM","")))</f>
        <v/>
      </c>
      <c r="K210" s="28">
        <f>IF($A210="","",IF($E210="YOK",IF($D210="KRITIK","KRİTİK EKSİK","EKSİK"),"TAM"))</f>
        <v/>
      </c>
      <c r="L210" s="28">
        <f>IF($A210="","",1)</f>
        <v/>
      </c>
    </row>
    <row r="211">
      <c r="A211" s="26" t="n"/>
      <c r="B211" s="26" t="n"/>
      <c r="C211" s="26" t="n"/>
      <c r="D211" s="26" t="n"/>
      <c r="E211" s="26" t="n"/>
      <c r="F211" s="29" t="n"/>
      <c r="G211" s="26" t="n"/>
      <c r="H211" s="28">
        <f>IF($A211="","",IF($F211="","",raporTarihi-$F211))</f>
        <v/>
      </c>
      <c r="I211" s="28">
        <f>IF($A211="","",IF($H211="","",IF($H211&lt;=7,"0-7",IF($H211&lt;=30,"8-30",IF($H211&lt;=60,"31-60","60+")))))</f>
        <v/>
      </c>
      <c r="J211" s="28">
        <f>IF($A211="","",IF($B211="","YETİM",IF(COUNTIF(tblKartlar[KartId],$B211)=0,"YETİM","")))</f>
        <v/>
      </c>
      <c r="K211" s="28">
        <f>IF($A211="","",IF($E211="YOK",IF($D211="KRITIK","KRİTİK EKSİK","EKSİK"),"TAM"))</f>
        <v/>
      </c>
      <c r="L211" s="28">
        <f>IF($A211="","",1)</f>
        <v/>
      </c>
    </row>
    <row r="212">
      <c r="A212" s="26" t="n"/>
      <c r="B212" s="26" t="n"/>
      <c r="C212" s="26" t="n"/>
      <c r="D212" s="26" t="n"/>
      <c r="E212" s="26" t="n"/>
      <c r="F212" s="29" t="n"/>
      <c r="G212" s="26" t="n"/>
      <c r="H212" s="28">
        <f>IF($A212="","",IF($F212="","",raporTarihi-$F212))</f>
        <v/>
      </c>
      <c r="I212" s="28">
        <f>IF($A212="","",IF($H212="","",IF($H212&lt;=7,"0-7",IF($H212&lt;=30,"8-30",IF($H212&lt;=60,"31-60","60+")))))</f>
        <v/>
      </c>
      <c r="J212" s="28">
        <f>IF($A212="","",IF($B212="","YETİM",IF(COUNTIF(tblKartlar[KartId],$B212)=0,"YETİM","")))</f>
        <v/>
      </c>
      <c r="K212" s="28">
        <f>IF($A212="","",IF($E212="YOK",IF($D212="KRITIK","KRİTİK EKSİK","EKSİK"),"TAM"))</f>
        <v/>
      </c>
      <c r="L212" s="28">
        <f>IF($A212="","",1)</f>
        <v/>
      </c>
    </row>
    <row r="213">
      <c r="A213" s="26" t="n"/>
      <c r="B213" s="26" t="n"/>
      <c r="C213" s="26" t="n"/>
      <c r="D213" s="26" t="n"/>
      <c r="E213" s="26" t="n"/>
      <c r="F213" s="29" t="n"/>
      <c r="G213" s="26" t="n"/>
      <c r="H213" s="28">
        <f>IF($A213="","",IF($F213="","",raporTarihi-$F213))</f>
        <v/>
      </c>
      <c r="I213" s="28">
        <f>IF($A213="","",IF($H213="","",IF($H213&lt;=7,"0-7",IF($H213&lt;=30,"8-30",IF($H213&lt;=60,"31-60","60+")))))</f>
        <v/>
      </c>
      <c r="J213" s="28">
        <f>IF($A213="","",IF($B213="","YETİM",IF(COUNTIF(tblKartlar[KartId],$B213)=0,"YETİM","")))</f>
        <v/>
      </c>
      <c r="K213" s="28">
        <f>IF($A213="","",IF($E213="YOK",IF($D213="KRITIK","KRİTİK EKSİK","EKSİK"),"TAM"))</f>
        <v/>
      </c>
      <c r="L213" s="28">
        <f>IF($A213="","",1)</f>
        <v/>
      </c>
    </row>
    <row r="214">
      <c r="A214" s="26" t="n"/>
      <c r="B214" s="26" t="n"/>
      <c r="C214" s="26" t="n"/>
      <c r="D214" s="26" t="n"/>
      <c r="E214" s="26" t="n"/>
      <c r="F214" s="29" t="n"/>
      <c r="G214" s="26" t="n"/>
      <c r="H214" s="28">
        <f>IF($A214="","",IF($F214="","",raporTarihi-$F214))</f>
        <v/>
      </c>
      <c r="I214" s="28">
        <f>IF($A214="","",IF($H214="","",IF($H214&lt;=7,"0-7",IF($H214&lt;=30,"8-30",IF($H214&lt;=60,"31-60","60+")))))</f>
        <v/>
      </c>
      <c r="J214" s="28">
        <f>IF($A214="","",IF($B214="","YETİM",IF(COUNTIF(tblKartlar[KartId],$B214)=0,"YETİM","")))</f>
        <v/>
      </c>
      <c r="K214" s="28">
        <f>IF($A214="","",IF($E214="YOK",IF($D214="KRITIK","KRİTİK EKSİK","EKSİK"),"TAM"))</f>
        <v/>
      </c>
      <c r="L214" s="28">
        <f>IF($A214="","",1)</f>
        <v/>
      </c>
    </row>
    <row r="215">
      <c r="A215" s="26" t="n"/>
      <c r="B215" s="26" t="n"/>
      <c r="C215" s="26" t="n"/>
      <c r="D215" s="26" t="n"/>
      <c r="E215" s="26" t="n"/>
      <c r="F215" s="29" t="n"/>
      <c r="G215" s="26" t="n"/>
      <c r="H215" s="28">
        <f>IF($A215="","",IF($F215="","",raporTarihi-$F215))</f>
        <v/>
      </c>
      <c r="I215" s="28">
        <f>IF($A215="","",IF($H215="","",IF($H215&lt;=7,"0-7",IF($H215&lt;=30,"8-30",IF($H215&lt;=60,"31-60","60+")))))</f>
        <v/>
      </c>
      <c r="J215" s="28">
        <f>IF($A215="","",IF($B215="","YETİM",IF(COUNTIF(tblKartlar[KartId],$B215)=0,"YETİM","")))</f>
        <v/>
      </c>
      <c r="K215" s="28">
        <f>IF($A215="","",IF($E215="YOK",IF($D215="KRITIK","KRİTİK EKSİK","EKSİK"),"TAM"))</f>
        <v/>
      </c>
      <c r="L215" s="28">
        <f>IF($A215="","",1)</f>
        <v/>
      </c>
    </row>
    <row r="216">
      <c r="A216" s="26" t="n"/>
      <c r="B216" s="26" t="n"/>
      <c r="C216" s="26" t="n"/>
      <c r="D216" s="26" t="n"/>
      <c r="E216" s="26" t="n"/>
      <c r="F216" s="29" t="n"/>
      <c r="G216" s="26" t="n"/>
      <c r="H216" s="28">
        <f>IF($A216="","",IF($F216="","",raporTarihi-$F216))</f>
        <v/>
      </c>
      <c r="I216" s="28">
        <f>IF($A216="","",IF($H216="","",IF($H216&lt;=7,"0-7",IF($H216&lt;=30,"8-30",IF($H216&lt;=60,"31-60","60+")))))</f>
        <v/>
      </c>
      <c r="J216" s="28">
        <f>IF($A216="","",IF($B216="","YETİM",IF(COUNTIF(tblKartlar[KartId],$B216)=0,"YETİM","")))</f>
        <v/>
      </c>
      <c r="K216" s="28">
        <f>IF($A216="","",IF($E216="YOK",IF($D216="KRITIK","KRİTİK EKSİK","EKSİK"),"TAM"))</f>
        <v/>
      </c>
      <c r="L216" s="28">
        <f>IF($A216="","",1)</f>
        <v/>
      </c>
    </row>
    <row r="217">
      <c r="A217" s="26" t="n"/>
      <c r="B217" s="26" t="n"/>
      <c r="C217" s="26" t="n"/>
      <c r="D217" s="26" t="n"/>
      <c r="E217" s="26" t="n"/>
      <c r="F217" s="29" t="n"/>
      <c r="G217" s="26" t="n"/>
      <c r="H217" s="28">
        <f>IF($A217="","",IF($F217="","",raporTarihi-$F217))</f>
        <v/>
      </c>
      <c r="I217" s="28">
        <f>IF($A217="","",IF($H217="","",IF($H217&lt;=7,"0-7",IF($H217&lt;=30,"8-30",IF($H217&lt;=60,"31-60","60+")))))</f>
        <v/>
      </c>
      <c r="J217" s="28">
        <f>IF($A217="","",IF($B217="","YETİM",IF(COUNTIF(tblKartlar[KartId],$B217)=0,"YETİM","")))</f>
        <v/>
      </c>
      <c r="K217" s="28">
        <f>IF($A217="","",IF($E217="YOK",IF($D217="KRITIK","KRİTİK EKSİK","EKSİK"),"TAM"))</f>
        <v/>
      </c>
      <c r="L217" s="28">
        <f>IF($A217="","",1)</f>
        <v/>
      </c>
    </row>
    <row r="218">
      <c r="A218" s="26" t="n"/>
      <c r="B218" s="26" t="n"/>
      <c r="C218" s="26" t="n"/>
      <c r="D218" s="26" t="n"/>
      <c r="E218" s="26" t="n"/>
      <c r="F218" s="29" t="n"/>
      <c r="G218" s="26" t="n"/>
      <c r="H218" s="28">
        <f>IF($A218="","",IF($F218="","",raporTarihi-$F218))</f>
        <v/>
      </c>
      <c r="I218" s="28">
        <f>IF($A218="","",IF($H218="","",IF($H218&lt;=7,"0-7",IF($H218&lt;=30,"8-30",IF($H218&lt;=60,"31-60","60+")))))</f>
        <v/>
      </c>
      <c r="J218" s="28">
        <f>IF($A218="","",IF($B218="","YETİM",IF(COUNTIF(tblKartlar[KartId],$B218)=0,"YETİM","")))</f>
        <v/>
      </c>
      <c r="K218" s="28">
        <f>IF($A218="","",IF($E218="YOK",IF($D218="KRITIK","KRİTİK EKSİK","EKSİK"),"TAM"))</f>
        <v/>
      </c>
      <c r="L218" s="28">
        <f>IF($A218="","",1)</f>
        <v/>
      </c>
    </row>
    <row r="219">
      <c r="A219" s="26" t="n"/>
      <c r="B219" s="26" t="n"/>
      <c r="C219" s="26" t="n"/>
      <c r="D219" s="26" t="n"/>
      <c r="E219" s="26" t="n"/>
      <c r="F219" s="29" t="n"/>
      <c r="G219" s="26" t="n"/>
      <c r="H219" s="28">
        <f>IF($A219="","",IF($F219="","",raporTarihi-$F219))</f>
        <v/>
      </c>
      <c r="I219" s="28">
        <f>IF($A219="","",IF($H219="","",IF($H219&lt;=7,"0-7",IF($H219&lt;=30,"8-30",IF($H219&lt;=60,"31-60","60+")))))</f>
        <v/>
      </c>
      <c r="J219" s="28">
        <f>IF($A219="","",IF($B219="","YETİM",IF(COUNTIF(tblKartlar[KartId],$B219)=0,"YETİM","")))</f>
        <v/>
      </c>
      <c r="K219" s="28">
        <f>IF($A219="","",IF($E219="YOK",IF($D219="KRITIK","KRİTİK EKSİK","EKSİK"),"TAM"))</f>
        <v/>
      </c>
      <c r="L219" s="28">
        <f>IF($A219="","",1)</f>
        <v/>
      </c>
    </row>
    <row r="220">
      <c r="A220" s="26" t="n"/>
      <c r="B220" s="26" t="n"/>
      <c r="C220" s="26" t="n"/>
      <c r="D220" s="26" t="n"/>
      <c r="E220" s="26" t="n"/>
      <c r="F220" s="29" t="n"/>
      <c r="G220" s="26" t="n"/>
      <c r="H220" s="28">
        <f>IF($A220="","",IF($F220="","",raporTarihi-$F220))</f>
        <v/>
      </c>
      <c r="I220" s="28">
        <f>IF($A220="","",IF($H220="","",IF($H220&lt;=7,"0-7",IF($H220&lt;=30,"8-30",IF($H220&lt;=60,"31-60","60+")))))</f>
        <v/>
      </c>
      <c r="J220" s="28">
        <f>IF($A220="","",IF($B220="","YETİM",IF(COUNTIF(tblKartlar[KartId],$B220)=0,"YETİM","")))</f>
        <v/>
      </c>
      <c r="K220" s="28">
        <f>IF($A220="","",IF($E220="YOK",IF($D220="KRITIK","KRİTİK EKSİK","EKSİK"),"TAM"))</f>
        <v/>
      </c>
      <c r="L220" s="28">
        <f>IF($A220="","",1)</f>
        <v/>
      </c>
    </row>
    <row r="221">
      <c r="A221" s="26" t="n"/>
      <c r="B221" s="26" t="n"/>
      <c r="C221" s="26" t="n"/>
      <c r="D221" s="26" t="n"/>
      <c r="E221" s="26" t="n"/>
      <c r="F221" s="29" t="n"/>
      <c r="G221" s="26" t="n"/>
      <c r="H221" s="28">
        <f>IF($A221="","",IF($F221="","",raporTarihi-$F221))</f>
        <v/>
      </c>
      <c r="I221" s="28">
        <f>IF($A221="","",IF($H221="","",IF($H221&lt;=7,"0-7",IF($H221&lt;=30,"8-30",IF($H221&lt;=60,"31-60","60+")))))</f>
        <v/>
      </c>
      <c r="J221" s="28">
        <f>IF($A221="","",IF($B221="","YETİM",IF(COUNTIF(tblKartlar[KartId],$B221)=0,"YETİM","")))</f>
        <v/>
      </c>
      <c r="K221" s="28">
        <f>IF($A221="","",IF($E221="YOK",IF($D221="KRITIK","KRİTİK EKSİK","EKSİK"),"TAM"))</f>
        <v/>
      </c>
      <c r="L221" s="28">
        <f>IF($A221="","",1)</f>
        <v/>
      </c>
    </row>
    <row r="222">
      <c r="A222" s="26" t="n"/>
      <c r="B222" s="26" t="n"/>
      <c r="C222" s="26" t="n"/>
      <c r="D222" s="26" t="n"/>
      <c r="E222" s="26" t="n"/>
      <c r="F222" s="29" t="n"/>
      <c r="G222" s="26" t="n"/>
      <c r="H222" s="28">
        <f>IF($A222="","",IF($F222="","",raporTarihi-$F222))</f>
        <v/>
      </c>
      <c r="I222" s="28">
        <f>IF($A222="","",IF($H222="","",IF($H222&lt;=7,"0-7",IF($H222&lt;=30,"8-30",IF($H222&lt;=60,"31-60","60+")))))</f>
        <v/>
      </c>
      <c r="J222" s="28">
        <f>IF($A222="","",IF($B222="","YETİM",IF(COUNTIF(tblKartlar[KartId],$B222)=0,"YETİM","")))</f>
        <v/>
      </c>
      <c r="K222" s="28">
        <f>IF($A222="","",IF($E222="YOK",IF($D222="KRITIK","KRİTİK EKSİK","EKSİK"),"TAM"))</f>
        <v/>
      </c>
      <c r="L222" s="28">
        <f>IF($A222="","",1)</f>
        <v/>
      </c>
    </row>
    <row r="223">
      <c r="A223" s="26" t="n"/>
      <c r="B223" s="26" t="n"/>
      <c r="C223" s="26" t="n"/>
      <c r="D223" s="26" t="n"/>
      <c r="E223" s="26" t="n"/>
      <c r="F223" s="29" t="n"/>
      <c r="G223" s="26" t="n"/>
      <c r="H223" s="28">
        <f>IF($A223="","",IF($F223="","",raporTarihi-$F223))</f>
        <v/>
      </c>
      <c r="I223" s="28">
        <f>IF($A223="","",IF($H223="","",IF($H223&lt;=7,"0-7",IF($H223&lt;=30,"8-30",IF($H223&lt;=60,"31-60","60+")))))</f>
        <v/>
      </c>
      <c r="J223" s="28">
        <f>IF($A223="","",IF($B223="","YETİM",IF(COUNTIF(tblKartlar[KartId],$B223)=0,"YETİM","")))</f>
        <v/>
      </c>
      <c r="K223" s="28">
        <f>IF($A223="","",IF($E223="YOK",IF($D223="KRITIK","KRİTİK EKSİK","EKSİK"),"TAM"))</f>
        <v/>
      </c>
      <c r="L223" s="28">
        <f>IF($A223="","",1)</f>
        <v/>
      </c>
    </row>
    <row r="224">
      <c r="A224" s="26" t="n"/>
      <c r="B224" s="26" t="n"/>
      <c r="C224" s="26" t="n"/>
      <c r="D224" s="26" t="n"/>
      <c r="E224" s="26" t="n"/>
      <c r="F224" s="29" t="n"/>
      <c r="G224" s="26" t="n"/>
      <c r="H224" s="28">
        <f>IF($A224="","",IF($F224="","",raporTarihi-$F224))</f>
        <v/>
      </c>
      <c r="I224" s="28">
        <f>IF($A224="","",IF($H224="","",IF($H224&lt;=7,"0-7",IF($H224&lt;=30,"8-30",IF($H224&lt;=60,"31-60","60+")))))</f>
        <v/>
      </c>
      <c r="J224" s="28">
        <f>IF($A224="","",IF($B224="","YETİM",IF(COUNTIF(tblKartlar[KartId],$B224)=0,"YETİM","")))</f>
        <v/>
      </c>
      <c r="K224" s="28">
        <f>IF($A224="","",IF($E224="YOK",IF($D224="KRITIK","KRİTİK EKSİK","EKSİK"),"TAM"))</f>
        <v/>
      </c>
      <c r="L224" s="28">
        <f>IF($A224="","",1)</f>
        <v/>
      </c>
    </row>
    <row r="225">
      <c r="A225" s="26" t="n"/>
      <c r="B225" s="26" t="n"/>
      <c r="C225" s="26" t="n"/>
      <c r="D225" s="26" t="n"/>
      <c r="E225" s="26" t="n"/>
      <c r="F225" s="29" t="n"/>
      <c r="G225" s="26" t="n"/>
      <c r="H225" s="28">
        <f>IF($A225="","",IF($F225="","",raporTarihi-$F225))</f>
        <v/>
      </c>
      <c r="I225" s="28">
        <f>IF($A225="","",IF($H225="","",IF($H225&lt;=7,"0-7",IF($H225&lt;=30,"8-30",IF($H225&lt;=60,"31-60","60+")))))</f>
        <v/>
      </c>
      <c r="J225" s="28">
        <f>IF($A225="","",IF($B225="","YETİM",IF(COUNTIF(tblKartlar[KartId],$B225)=0,"YETİM","")))</f>
        <v/>
      </c>
      <c r="K225" s="28">
        <f>IF($A225="","",IF($E225="YOK",IF($D225="KRITIK","KRİTİK EKSİK","EKSİK"),"TAM"))</f>
        <v/>
      </c>
      <c r="L225" s="28">
        <f>IF($A225="","",1)</f>
        <v/>
      </c>
    </row>
    <row r="226">
      <c r="A226" s="26" t="n"/>
      <c r="B226" s="26" t="n"/>
      <c r="C226" s="26" t="n"/>
      <c r="D226" s="26" t="n"/>
      <c r="E226" s="26" t="n"/>
      <c r="F226" s="29" t="n"/>
      <c r="G226" s="26" t="n"/>
      <c r="H226" s="28">
        <f>IF($A226="","",IF($F226="","",raporTarihi-$F226))</f>
        <v/>
      </c>
      <c r="I226" s="28">
        <f>IF($A226="","",IF($H226="","",IF($H226&lt;=7,"0-7",IF($H226&lt;=30,"8-30",IF($H226&lt;=60,"31-60","60+")))))</f>
        <v/>
      </c>
      <c r="J226" s="28">
        <f>IF($A226="","",IF($B226="","YETİM",IF(COUNTIF(tblKartlar[KartId],$B226)=0,"YETİM","")))</f>
        <v/>
      </c>
      <c r="K226" s="28">
        <f>IF($A226="","",IF($E226="YOK",IF($D226="KRITIK","KRİTİK EKSİK","EKSİK"),"TAM"))</f>
        <v/>
      </c>
      <c r="L226" s="28">
        <f>IF($A226="","",1)</f>
        <v/>
      </c>
    </row>
    <row r="227">
      <c r="A227" s="26" t="n"/>
      <c r="B227" s="26" t="n"/>
      <c r="C227" s="26" t="n"/>
      <c r="D227" s="26" t="n"/>
      <c r="E227" s="26" t="n"/>
      <c r="F227" s="29" t="n"/>
      <c r="G227" s="26" t="n"/>
      <c r="H227" s="28">
        <f>IF($A227="","",IF($F227="","",raporTarihi-$F227))</f>
        <v/>
      </c>
      <c r="I227" s="28">
        <f>IF($A227="","",IF($H227="","",IF($H227&lt;=7,"0-7",IF($H227&lt;=30,"8-30",IF($H227&lt;=60,"31-60","60+")))))</f>
        <v/>
      </c>
      <c r="J227" s="28">
        <f>IF($A227="","",IF($B227="","YETİM",IF(COUNTIF(tblKartlar[KartId],$B227)=0,"YETİM","")))</f>
        <v/>
      </c>
      <c r="K227" s="28">
        <f>IF($A227="","",IF($E227="YOK",IF($D227="KRITIK","KRİTİK EKSİK","EKSİK"),"TAM"))</f>
        <v/>
      </c>
      <c r="L227" s="28">
        <f>IF($A227="","",1)</f>
        <v/>
      </c>
    </row>
    <row r="228">
      <c r="A228" s="26" t="n"/>
      <c r="B228" s="26" t="n"/>
      <c r="C228" s="26" t="n"/>
      <c r="D228" s="26" t="n"/>
      <c r="E228" s="26" t="n"/>
      <c r="F228" s="29" t="n"/>
      <c r="G228" s="26" t="n"/>
      <c r="H228" s="28">
        <f>IF($A228="","",IF($F228="","",raporTarihi-$F228))</f>
        <v/>
      </c>
      <c r="I228" s="28">
        <f>IF($A228="","",IF($H228="","",IF($H228&lt;=7,"0-7",IF($H228&lt;=30,"8-30",IF($H228&lt;=60,"31-60","60+")))))</f>
        <v/>
      </c>
      <c r="J228" s="28">
        <f>IF($A228="","",IF($B228="","YETİM",IF(COUNTIF(tblKartlar[KartId],$B228)=0,"YETİM","")))</f>
        <v/>
      </c>
      <c r="K228" s="28">
        <f>IF($A228="","",IF($E228="YOK",IF($D228="KRITIK","KRİTİK EKSİK","EKSİK"),"TAM"))</f>
        <v/>
      </c>
      <c r="L228" s="28">
        <f>IF($A228="","",1)</f>
        <v/>
      </c>
    </row>
    <row r="229">
      <c r="A229" s="26" t="n"/>
      <c r="B229" s="26" t="n"/>
      <c r="C229" s="26" t="n"/>
      <c r="D229" s="26" t="n"/>
      <c r="E229" s="26" t="n"/>
      <c r="F229" s="29" t="n"/>
      <c r="G229" s="26" t="n"/>
      <c r="H229" s="28">
        <f>IF($A229="","",IF($F229="","",raporTarihi-$F229))</f>
        <v/>
      </c>
      <c r="I229" s="28">
        <f>IF($A229="","",IF($H229="","",IF($H229&lt;=7,"0-7",IF($H229&lt;=30,"8-30",IF($H229&lt;=60,"31-60","60+")))))</f>
        <v/>
      </c>
      <c r="J229" s="28">
        <f>IF($A229="","",IF($B229="","YETİM",IF(COUNTIF(tblKartlar[KartId],$B229)=0,"YETİM","")))</f>
        <v/>
      </c>
      <c r="K229" s="28">
        <f>IF($A229="","",IF($E229="YOK",IF($D229="KRITIK","KRİTİK EKSİK","EKSİK"),"TAM"))</f>
        <v/>
      </c>
      <c r="L229" s="28">
        <f>IF($A229="","",1)</f>
        <v/>
      </c>
    </row>
    <row r="230">
      <c r="A230" s="26" t="n"/>
      <c r="B230" s="26" t="n"/>
      <c r="C230" s="26" t="n"/>
      <c r="D230" s="26" t="n"/>
      <c r="E230" s="26" t="n"/>
      <c r="F230" s="29" t="n"/>
      <c r="G230" s="26" t="n"/>
      <c r="H230" s="28">
        <f>IF($A230="","",IF($F230="","",raporTarihi-$F230))</f>
        <v/>
      </c>
      <c r="I230" s="28">
        <f>IF($A230="","",IF($H230="","",IF($H230&lt;=7,"0-7",IF($H230&lt;=30,"8-30",IF($H230&lt;=60,"31-60","60+")))))</f>
        <v/>
      </c>
      <c r="J230" s="28">
        <f>IF($A230="","",IF($B230="","YETİM",IF(COUNTIF(tblKartlar[KartId],$B230)=0,"YETİM","")))</f>
        <v/>
      </c>
      <c r="K230" s="28">
        <f>IF($A230="","",IF($E230="YOK",IF($D230="KRITIK","KRİTİK EKSİK","EKSİK"),"TAM"))</f>
        <v/>
      </c>
      <c r="L230" s="28">
        <f>IF($A230="","",1)</f>
        <v/>
      </c>
    </row>
    <row r="231">
      <c r="A231" s="26" t="n"/>
      <c r="B231" s="26" t="n"/>
      <c r="C231" s="26" t="n"/>
      <c r="D231" s="26" t="n"/>
      <c r="E231" s="26" t="n"/>
      <c r="F231" s="29" t="n"/>
      <c r="G231" s="26" t="n"/>
      <c r="H231" s="28">
        <f>IF($A231="","",IF($F231="","",raporTarihi-$F231))</f>
        <v/>
      </c>
      <c r="I231" s="28">
        <f>IF($A231="","",IF($H231="","",IF($H231&lt;=7,"0-7",IF($H231&lt;=30,"8-30",IF($H231&lt;=60,"31-60","60+")))))</f>
        <v/>
      </c>
      <c r="J231" s="28">
        <f>IF($A231="","",IF($B231="","YETİM",IF(COUNTIF(tblKartlar[KartId],$B231)=0,"YETİM","")))</f>
        <v/>
      </c>
      <c r="K231" s="28">
        <f>IF($A231="","",IF($E231="YOK",IF($D231="KRITIK","KRİTİK EKSİK","EKSİK"),"TAM"))</f>
        <v/>
      </c>
      <c r="L231" s="28">
        <f>IF($A231="","",1)</f>
        <v/>
      </c>
    </row>
    <row r="232">
      <c r="A232" s="26" t="n"/>
      <c r="B232" s="26" t="n"/>
      <c r="C232" s="26" t="n"/>
      <c r="D232" s="26" t="n"/>
      <c r="E232" s="26" t="n"/>
      <c r="F232" s="29" t="n"/>
      <c r="G232" s="26" t="n"/>
      <c r="H232" s="28">
        <f>IF($A232="","",IF($F232="","",raporTarihi-$F232))</f>
        <v/>
      </c>
      <c r="I232" s="28">
        <f>IF($A232="","",IF($H232="","",IF($H232&lt;=7,"0-7",IF($H232&lt;=30,"8-30",IF($H232&lt;=60,"31-60","60+")))))</f>
        <v/>
      </c>
      <c r="J232" s="28">
        <f>IF($A232="","",IF($B232="","YETİM",IF(COUNTIF(tblKartlar[KartId],$B232)=0,"YETİM","")))</f>
        <v/>
      </c>
      <c r="K232" s="28">
        <f>IF($A232="","",IF($E232="YOK",IF($D232="KRITIK","KRİTİK EKSİK","EKSİK"),"TAM"))</f>
        <v/>
      </c>
      <c r="L232" s="28">
        <f>IF($A232="","",1)</f>
        <v/>
      </c>
    </row>
    <row r="233">
      <c r="A233" s="26" t="n"/>
      <c r="B233" s="26" t="n"/>
      <c r="C233" s="26" t="n"/>
      <c r="D233" s="26" t="n"/>
      <c r="E233" s="26" t="n"/>
      <c r="F233" s="29" t="n"/>
      <c r="G233" s="26" t="n"/>
      <c r="H233" s="28">
        <f>IF($A233="","",IF($F233="","",raporTarihi-$F233))</f>
        <v/>
      </c>
      <c r="I233" s="28">
        <f>IF($A233="","",IF($H233="","",IF($H233&lt;=7,"0-7",IF($H233&lt;=30,"8-30",IF($H233&lt;=60,"31-60","60+")))))</f>
        <v/>
      </c>
      <c r="J233" s="28">
        <f>IF($A233="","",IF($B233="","YETİM",IF(COUNTIF(tblKartlar[KartId],$B233)=0,"YETİM","")))</f>
        <v/>
      </c>
      <c r="K233" s="28">
        <f>IF($A233="","",IF($E233="YOK",IF($D233="KRITIK","KRİTİK EKSİK","EKSİK"),"TAM"))</f>
        <v/>
      </c>
      <c r="L233" s="28">
        <f>IF($A233="","",1)</f>
        <v/>
      </c>
    </row>
    <row r="234">
      <c r="A234" s="26" t="n"/>
      <c r="B234" s="26" t="n"/>
      <c r="C234" s="26" t="n"/>
      <c r="D234" s="26" t="n"/>
      <c r="E234" s="26" t="n"/>
      <c r="F234" s="29" t="n"/>
      <c r="G234" s="26" t="n"/>
      <c r="H234" s="28">
        <f>IF($A234="","",IF($F234="","",raporTarihi-$F234))</f>
        <v/>
      </c>
      <c r="I234" s="28">
        <f>IF($A234="","",IF($H234="","",IF($H234&lt;=7,"0-7",IF($H234&lt;=30,"8-30",IF($H234&lt;=60,"31-60","60+")))))</f>
        <v/>
      </c>
      <c r="J234" s="28">
        <f>IF($A234="","",IF($B234="","YETİM",IF(COUNTIF(tblKartlar[KartId],$B234)=0,"YETİM","")))</f>
        <v/>
      </c>
      <c r="K234" s="28">
        <f>IF($A234="","",IF($E234="YOK",IF($D234="KRITIK","KRİTİK EKSİK","EKSİK"),"TAM"))</f>
        <v/>
      </c>
      <c r="L234" s="28">
        <f>IF($A234="","",1)</f>
        <v/>
      </c>
    </row>
    <row r="235">
      <c r="A235" s="26" t="n"/>
      <c r="B235" s="26" t="n"/>
      <c r="C235" s="26" t="n"/>
      <c r="D235" s="26" t="n"/>
      <c r="E235" s="26" t="n"/>
      <c r="F235" s="29" t="n"/>
      <c r="G235" s="26" t="n"/>
      <c r="H235" s="28">
        <f>IF($A235="","",IF($F235="","",raporTarihi-$F235))</f>
        <v/>
      </c>
      <c r="I235" s="28">
        <f>IF($A235="","",IF($H235="","",IF($H235&lt;=7,"0-7",IF($H235&lt;=30,"8-30",IF($H235&lt;=60,"31-60","60+")))))</f>
        <v/>
      </c>
      <c r="J235" s="28">
        <f>IF($A235="","",IF($B235="","YETİM",IF(COUNTIF(tblKartlar[KartId],$B235)=0,"YETİM","")))</f>
        <v/>
      </c>
      <c r="K235" s="28">
        <f>IF($A235="","",IF($E235="YOK",IF($D235="KRITIK","KRİTİK EKSİK","EKSİK"),"TAM"))</f>
        <v/>
      </c>
      <c r="L235" s="28">
        <f>IF($A235="","",1)</f>
        <v/>
      </c>
    </row>
    <row r="236">
      <c r="A236" s="26" t="n"/>
      <c r="B236" s="26" t="n"/>
      <c r="C236" s="26" t="n"/>
      <c r="D236" s="26" t="n"/>
      <c r="E236" s="26" t="n"/>
      <c r="F236" s="29" t="n"/>
      <c r="G236" s="26" t="n"/>
      <c r="H236" s="28">
        <f>IF($A236="","",IF($F236="","",raporTarihi-$F236))</f>
        <v/>
      </c>
      <c r="I236" s="28">
        <f>IF($A236="","",IF($H236="","",IF($H236&lt;=7,"0-7",IF($H236&lt;=30,"8-30",IF($H236&lt;=60,"31-60","60+")))))</f>
        <v/>
      </c>
      <c r="J236" s="28">
        <f>IF($A236="","",IF($B236="","YETİM",IF(COUNTIF(tblKartlar[KartId],$B236)=0,"YETİM","")))</f>
        <v/>
      </c>
      <c r="K236" s="28">
        <f>IF($A236="","",IF($E236="YOK",IF($D236="KRITIK","KRİTİK EKSİK","EKSİK"),"TAM"))</f>
        <v/>
      </c>
      <c r="L236" s="28">
        <f>IF($A236="","",1)</f>
        <v/>
      </c>
    </row>
    <row r="237">
      <c r="A237" s="26" t="n"/>
      <c r="B237" s="26" t="n"/>
      <c r="C237" s="26" t="n"/>
      <c r="D237" s="26" t="n"/>
      <c r="E237" s="26" t="n"/>
      <c r="F237" s="29" t="n"/>
      <c r="G237" s="26" t="n"/>
      <c r="H237" s="28">
        <f>IF($A237="","",IF($F237="","",raporTarihi-$F237))</f>
        <v/>
      </c>
      <c r="I237" s="28">
        <f>IF($A237="","",IF($H237="","",IF($H237&lt;=7,"0-7",IF($H237&lt;=30,"8-30",IF($H237&lt;=60,"31-60","60+")))))</f>
        <v/>
      </c>
      <c r="J237" s="28">
        <f>IF($A237="","",IF($B237="","YETİM",IF(COUNTIF(tblKartlar[KartId],$B237)=0,"YETİM","")))</f>
        <v/>
      </c>
      <c r="K237" s="28">
        <f>IF($A237="","",IF($E237="YOK",IF($D237="KRITIK","KRİTİK EKSİK","EKSİK"),"TAM"))</f>
        <v/>
      </c>
      <c r="L237" s="28">
        <f>IF($A237="","",1)</f>
        <v/>
      </c>
    </row>
    <row r="238">
      <c r="A238" s="26" t="n"/>
      <c r="B238" s="26" t="n"/>
      <c r="C238" s="26" t="n"/>
      <c r="D238" s="26" t="n"/>
      <c r="E238" s="26" t="n"/>
      <c r="F238" s="29" t="n"/>
      <c r="G238" s="26" t="n"/>
      <c r="H238" s="28">
        <f>IF($A238="","",IF($F238="","",raporTarihi-$F238))</f>
        <v/>
      </c>
      <c r="I238" s="28">
        <f>IF($A238="","",IF($H238="","",IF($H238&lt;=7,"0-7",IF($H238&lt;=30,"8-30",IF($H238&lt;=60,"31-60","60+")))))</f>
        <v/>
      </c>
      <c r="J238" s="28">
        <f>IF($A238="","",IF($B238="","YETİM",IF(COUNTIF(tblKartlar[KartId],$B238)=0,"YETİM","")))</f>
        <v/>
      </c>
      <c r="K238" s="28">
        <f>IF($A238="","",IF($E238="YOK",IF($D238="KRITIK","KRİTİK EKSİK","EKSİK"),"TAM"))</f>
        <v/>
      </c>
      <c r="L238" s="28">
        <f>IF($A238="","",1)</f>
        <v/>
      </c>
    </row>
    <row r="239">
      <c r="A239" s="26" t="n"/>
      <c r="B239" s="26" t="n"/>
      <c r="C239" s="26" t="n"/>
      <c r="D239" s="26" t="n"/>
      <c r="E239" s="26" t="n"/>
      <c r="F239" s="29" t="n"/>
      <c r="G239" s="26" t="n"/>
      <c r="H239" s="28">
        <f>IF($A239="","",IF($F239="","",raporTarihi-$F239))</f>
        <v/>
      </c>
      <c r="I239" s="28">
        <f>IF($A239="","",IF($H239="","",IF($H239&lt;=7,"0-7",IF($H239&lt;=30,"8-30",IF($H239&lt;=60,"31-60","60+")))))</f>
        <v/>
      </c>
      <c r="J239" s="28">
        <f>IF($A239="","",IF($B239="","YETİM",IF(COUNTIF(tblKartlar[KartId],$B239)=0,"YETİM","")))</f>
        <v/>
      </c>
      <c r="K239" s="28">
        <f>IF($A239="","",IF($E239="YOK",IF($D239="KRITIK","KRİTİK EKSİK","EKSİK"),"TAM"))</f>
        <v/>
      </c>
      <c r="L239" s="28">
        <f>IF($A239="","",1)</f>
        <v/>
      </c>
    </row>
    <row r="240">
      <c r="A240" s="26" t="n"/>
      <c r="B240" s="26" t="n"/>
      <c r="C240" s="26" t="n"/>
      <c r="D240" s="26" t="n"/>
      <c r="E240" s="26" t="n"/>
      <c r="F240" s="29" t="n"/>
      <c r="G240" s="26" t="n"/>
      <c r="H240" s="28">
        <f>IF($A240="","",IF($F240="","",raporTarihi-$F240))</f>
        <v/>
      </c>
      <c r="I240" s="28">
        <f>IF($A240="","",IF($H240="","",IF($H240&lt;=7,"0-7",IF($H240&lt;=30,"8-30",IF($H240&lt;=60,"31-60","60+")))))</f>
        <v/>
      </c>
      <c r="J240" s="28">
        <f>IF($A240="","",IF($B240="","YETİM",IF(COUNTIF(tblKartlar[KartId],$B240)=0,"YETİM","")))</f>
        <v/>
      </c>
      <c r="K240" s="28">
        <f>IF($A240="","",IF($E240="YOK",IF($D240="KRITIK","KRİTİK EKSİK","EKSİK"),"TAM"))</f>
        <v/>
      </c>
      <c r="L240" s="28">
        <f>IF($A240="","",1)</f>
        <v/>
      </c>
    </row>
    <row r="241">
      <c r="A241" s="26" t="n"/>
      <c r="B241" s="26" t="n"/>
      <c r="C241" s="26" t="n"/>
      <c r="D241" s="26" t="n"/>
      <c r="E241" s="26" t="n"/>
      <c r="F241" s="29" t="n"/>
      <c r="G241" s="26" t="n"/>
      <c r="H241" s="28">
        <f>IF($A241="","",IF($F241="","",raporTarihi-$F241))</f>
        <v/>
      </c>
      <c r="I241" s="28">
        <f>IF($A241="","",IF($H241="","",IF($H241&lt;=7,"0-7",IF($H241&lt;=30,"8-30",IF($H241&lt;=60,"31-60","60+")))))</f>
        <v/>
      </c>
      <c r="J241" s="28">
        <f>IF($A241="","",IF($B241="","YETİM",IF(COUNTIF(tblKartlar[KartId],$B241)=0,"YETİM","")))</f>
        <v/>
      </c>
      <c r="K241" s="28">
        <f>IF($A241="","",IF($E241="YOK",IF($D241="KRITIK","KRİTİK EKSİK","EKSİK"),"TAM"))</f>
        <v/>
      </c>
      <c r="L241" s="28">
        <f>IF($A241="","",1)</f>
        <v/>
      </c>
    </row>
    <row r="242">
      <c r="A242" s="26" t="n"/>
      <c r="B242" s="26" t="n"/>
      <c r="C242" s="26" t="n"/>
      <c r="D242" s="26" t="n"/>
      <c r="E242" s="26" t="n"/>
      <c r="F242" s="29" t="n"/>
      <c r="G242" s="26" t="n"/>
      <c r="H242" s="28">
        <f>IF($A242="","",IF($F242="","",raporTarihi-$F242))</f>
        <v/>
      </c>
      <c r="I242" s="28">
        <f>IF($A242="","",IF($H242="","",IF($H242&lt;=7,"0-7",IF($H242&lt;=30,"8-30",IF($H242&lt;=60,"31-60","60+")))))</f>
        <v/>
      </c>
      <c r="J242" s="28">
        <f>IF($A242="","",IF($B242="","YETİM",IF(COUNTIF(tblKartlar[KartId],$B242)=0,"YETİM","")))</f>
        <v/>
      </c>
      <c r="K242" s="28">
        <f>IF($A242="","",IF($E242="YOK",IF($D242="KRITIK","KRİTİK EKSİK","EKSİK"),"TAM"))</f>
        <v/>
      </c>
      <c r="L242" s="28">
        <f>IF($A242="","",1)</f>
        <v/>
      </c>
    </row>
    <row r="243">
      <c r="A243" s="26" t="n"/>
      <c r="B243" s="26" t="n"/>
      <c r="C243" s="26" t="n"/>
      <c r="D243" s="26" t="n"/>
      <c r="E243" s="26" t="n"/>
      <c r="F243" s="29" t="n"/>
      <c r="G243" s="26" t="n"/>
      <c r="H243" s="28">
        <f>IF($A243="","",IF($F243="","",raporTarihi-$F243))</f>
        <v/>
      </c>
      <c r="I243" s="28">
        <f>IF($A243="","",IF($H243="","",IF($H243&lt;=7,"0-7",IF($H243&lt;=30,"8-30",IF($H243&lt;=60,"31-60","60+")))))</f>
        <v/>
      </c>
      <c r="J243" s="28">
        <f>IF($A243="","",IF($B243="","YETİM",IF(COUNTIF(tblKartlar[KartId],$B243)=0,"YETİM","")))</f>
        <v/>
      </c>
      <c r="K243" s="28">
        <f>IF($A243="","",IF($E243="YOK",IF($D243="KRITIK","KRİTİK EKSİK","EKSİK"),"TAM"))</f>
        <v/>
      </c>
      <c r="L243" s="28">
        <f>IF($A243="","",1)</f>
        <v/>
      </c>
    </row>
    <row r="244">
      <c r="A244" s="26" t="n"/>
      <c r="B244" s="26" t="n"/>
      <c r="C244" s="26" t="n"/>
      <c r="D244" s="26" t="n"/>
      <c r="E244" s="26" t="n"/>
      <c r="F244" s="29" t="n"/>
      <c r="G244" s="26" t="n"/>
      <c r="H244" s="28">
        <f>IF($A244="","",IF($F244="","",raporTarihi-$F244))</f>
        <v/>
      </c>
      <c r="I244" s="28">
        <f>IF($A244="","",IF($H244="","",IF($H244&lt;=7,"0-7",IF($H244&lt;=30,"8-30",IF($H244&lt;=60,"31-60","60+")))))</f>
        <v/>
      </c>
      <c r="J244" s="28">
        <f>IF($A244="","",IF($B244="","YETİM",IF(COUNTIF(tblKartlar[KartId],$B244)=0,"YETİM","")))</f>
        <v/>
      </c>
      <c r="K244" s="28">
        <f>IF($A244="","",IF($E244="YOK",IF($D244="KRITIK","KRİTİK EKSİK","EKSİK"),"TAM"))</f>
        <v/>
      </c>
      <c r="L244" s="28">
        <f>IF($A244="","",1)</f>
        <v/>
      </c>
    </row>
    <row r="245">
      <c r="A245" s="26" t="n"/>
      <c r="B245" s="26" t="n"/>
      <c r="C245" s="26" t="n"/>
      <c r="D245" s="26" t="n"/>
      <c r="E245" s="26" t="n"/>
      <c r="F245" s="29" t="n"/>
      <c r="G245" s="26" t="n"/>
      <c r="H245" s="28">
        <f>IF($A245="","",IF($F245="","",raporTarihi-$F245))</f>
        <v/>
      </c>
      <c r="I245" s="28">
        <f>IF($A245="","",IF($H245="","",IF($H245&lt;=7,"0-7",IF($H245&lt;=30,"8-30",IF($H245&lt;=60,"31-60","60+")))))</f>
        <v/>
      </c>
      <c r="J245" s="28">
        <f>IF($A245="","",IF($B245="","YETİM",IF(COUNTIF(tblKartlar[KartId],$B245)=0,"YETİM","")))</f>
        <v/>
      </c>
      <c r="K245" s="28">
        <f>IF($A245="","",IF($E245="YOK",IF($D245="KRITIK","KRİTİK EKSİK","EKSİK"),"TAM"))</f>
        <v/>
      </c>
      <c r="L245" s="28">
        <f>IF($A245="","",1)</f>
        <v/>
      </c>
    </row>
    <row r="246">
      <c r="A246" s="26" t="n"/>
      <c r="B246" s="26" t="n"/>
      <c r="C246" s="26" t="n"/>
      <c r="D246" s="26" t="n"/>
      <c r="E246" s="26" t="n"/>
      <c r="F246" s="29" t="n"/>
      <c r="G246" s="26" t="n"/>
      <c r="H246" s="28">
        <f>IF($A246="","",IF($F246="","",raporTarihi-$F246))</f>
        <v/>
      </c>
      <c r="I246" s="28">
        <f>IF($A246="","",IF($H246="","",IF($H246&lt;=7,"0-7",IF($H246&lt;=30,"8-30",IF($H246&lt;=60,"31-60","60+")))))</f>
        <v/>
      </c>
      <c r="J246" s="28">
        <f>IF($A246="","",IF($B246="","YETİM",IF(COUNTIF(tblKartlar[KartId],$B246)=0,"YETİM","")))</f>
        <v/>
      </c>
      <c r="K246" s="28">
        <f>IF($A246="","",IF($E246="YOK",IF($D246="KRITIK","KRİTİK EKSİK","EKSİK"),"TAM"))</f>
        <v/>
      </c>
      <c r="L246" s="28">
        <f>IF($A246="","",1)</f>
        <v/>
      </c>
    </row>
    <row r="247">
      <c r="A247" s="26" t="n"/>
      <c r="B247" s="26" t="n"/>
      <c r="C247" s="26" t="n"/>
      <c r="D247" s="26" t="n"/>
      <c r="E247" s="26" t="n"/>
      <c r="F247" s="29" t="n"/>
      <c r="G247" s="26" t="n"/>
      <c r="H247" s="28">
        <f>IF($A247="","",IF($F247="","",raporTarihi-$F247))</f>
        <v/>
      </c>
      <c r="I247" s="28">
        <f>IF($A247="","",IF($H247="","",IF($H247&lt;=7,"0-7",IF($H247&lt;=30,"8-30",IF($H247&lt;=60,"31-60","60+")))))</f>
        <v/>
      </c>
      <c r="J247" s="28">
        <f>IF($A247="","",IF($B247="","YETİM",IF(COUNTIF(tblKartlar[KartId],$B247)=0,"YETİM","")))</f>
        <v/>
      </c>
      <c r="K247" s="28">
        <f>IF($A247="","",IF($E247="YOK",IF($D247="KRITIK","KRİTİK EKSİK","EKSİK"),"TAM"))</f>
        <v/>
      </c>
      <c r="L247" s="28">
        <f>IF($A247="","",1)</f>
        <v/>
      </c>
    </row>
    <row r="248">
      <c r="A248" s="26" t="n"/>
      <c r="B248" s="26" t="n"/>
      <c r="C248" s="26" t="n"/>
      <c r="D248" s="26" t="n"/>
      <c r="E248" s="26" t="n"/>
      <c r="F248" s="29" t="n"/>
      <c r="G248" s="26" t="n"/>
      <c r="H248" s="28">
        <f>IF($A248="","",IF($F248="","",raporTarihi-$F248))</f>
        <v/>
      </c>
      <c r="I248" s="28">
        <f>IF($A248="","",IF($H248="","",IF($H248&lt;=7,"0-7",IF($H248&lt;=30,"8-30",IF($H248&lt;=60,"31-60","60+")))))</f>
        <v/>
      </c>
      <c r="J248" s="28">
        <f>IF($A248="","",IF($B248="","YETİM",IF(COUNTIF(tblKartlar[KartId],$B248)=0,"YETİM","")))</f>
        <v/>
      </c>
      <c r="K248" s="28">
        <f>IF($A248="","",IF($E248="YOK",IF($D248="KRITIK","KRİTİK EKSİK","EKSİK"),"TAM"))</f>
        <v/>
      </c>
      <c r="L248" s="28">
        <f>IF($A248="","",1)</f>
        <v/>
      </c>
    </row>
    <row r="249">
      <c r="A249" s="26" t="n"/>
      <c r="B249" s="26" t="n"/>
      <c r="C249" s="26" t="n"/>
      <c r="D249" s="26" t="n"/>
      <c r="E249" s="26" t="n"/>
      <c r="F249" s="29" t="n"/>
      <c r="G249" s="26" t="n"/>
      <c r="H249" s="28">
        <f>IF($A249="","",IF($F249="","",raporTarihi-$F249))</f>
        <v/>
      </c>
      <c r="I249" s="28">
        <f>IF($A249="","",IF($H249="","",IF($H249&lt;=7,"0-7",IF($H249&lt;=30,"8-30",IF($H249&lt;=60,"31-60","60+")))))</f>
        <v/>
      </c>
      <c r="J249" s="28">
        <f>IF($A249="","",IF($B249="","YETİM",IF(COUNTIF(tblKartlar[KartId],$B249)=0,"YETİM","")))</f>
        <v/>
      </c>
      <c r="K249" s="28">
        <f>IF($A249="","",IF($E249="YOK",IF($D249="KRITIK","KRİTİK EKSİK","EKSİK"),"TAM"))</f>
        <v/>
      </c>
      <c r="L249" s="28">
        <f>IF($A249="","",1)</f>
        <v/>
      </c>
    </row>
    <row r="250">
      <c r="A250" s="26" t="n"/>
      <c r="B250" s="26" t="n"/>
      <c r="C250" s="26" t="n"/>
      <c r="D250" s="26" t="n"/>
      <c r="E250" s="26" t="n"/>
      <c r="F250" s="29" t="n"/>
      <c r="G250" s="26" t="n"/>
      <c r="H250" s="28">
        <f>IF($A250="","",IF($F250="","",raporTarihi-$F250))</f>
        <v/>
      </c>
      <c r="I250" s="28">
        <f>IF($A250="","",IF($H250="","",IF($H250&lt;=7,"0-7",IF($H250&lt;=30,"8-30",IF($H250&lt;=60,"31-60","60+")))))</f>
        <v/>
      </c>
      <c r="J250" s="28">
        <f>IF($A250="","",IF($B250="","YETİM",IF(COUNTIF(tblKartlar[KartId],$B250)=0,"YETİM","")))</f>
        <v/>
      </c>
      <c r="K250" s="28">
        <f>IF($A250="","",IF($E250="YOK",IF($D250="KRITIK","KRİTİK EKSİK","EKSİK"),"TAM"))</f>
        <v/>
      </c>
      <c r="L250" s="28">
        <f>IF($A250="","",1)</f>
        <v/>
      </c>
    </row>
    <row r="251">
      <c r="A251" s="26" t="n"/>
      <c r="B251" s="26" t="n"/>
      <c r="C251" s="26" t="n"/>
      <c r="D251" s="26" t="n"/>
      <c r="E251" s="26" t="n"/>
      <c r="F251" s="29" t="n"/>
      <c r="G251" s="26" t="n"/>
      <c r="H251" s="28">
        <f>IF($A251="","",IF($F251="","",raporTarihi-$F251))</f>
        <v/>
      </c>
      <c r="I251" s="28">
        <f>IF($A251="","",IF($H251="","",IF($H251&lt;=7,"0-7",IF($H251&lt;=30,"8-30",IF($H251&lt;=60,"31-60","60+")))))</f>
        <v/>
      </c>
      <c r="J251" s="28">
        <f>IF($A251="","",IF($B251="","YETİM",IF(COUNTIF(tblKartlar[KartId],$B251)=0,"YETİM","")))</f>
        <v/>
      </c>
      <c r="K251" s="28">
        <f>IF($A251="","",IF($E251="YOK",IF($D251="KRITIK","KRİTİK EKSİK","EKSİK"),"TAM"))</f>
        <v/>
      </c>
      <c r="L251" s="28">
        <f>IF($A251="","",1)</f>
        <v/>
      </c>
    </row>
    <row r="252">
      <c r="A252" s="26" t="n"/>
      <c r="B252" s="26" t="n"/>
      <c r="C252" s="26" t="n"/>
      <c r="D252" s="26" t="n"/>
      <c r="E252" s="26" t="n"/>
      <c r="F252" s="29" t="n"/>
      <c r="G252" s="26" t="n"/>
      <c r="H252" s="28">
        <f>IF($A252="","",IF($F252="","",raporTarihi-$F252))</f>
        <v/>
      </c>
      <c r="I252" s="28">
        <f>IF($A252="","",IF($H252="","",IF($H252&lt;=7,"0-7",IF($H252&lt;=30,"8-30",IF($H252&lt;=60,"31-60","60+")))))</f>
        <v/>
      </c>
      <c r="J252" s="28">
        <f>IF($A252="","",IF($B252="","YETİM",IF(COUNTIF(tblKartlar[KartId],$B252)=0,"YETİM","")))</f>
        <v/>
      </c>
      <c r="K252" s="28">
        <f>IF($A252="","",IF($E252="YOK",IF($D252="KRITIK","KRİTİK EKSİK","EKSİK"),"TAM"))</f>
        <v/>
      </c>
      <c r="L252" s="28">
        <f>IF($A252="","",1)</f>
        <v/>
      </c>
    </row>
    <row r="253">
      <c r="A253" s="26" t="n"/>
      <c r="B253" s="26" t="n"/>
      <c r="C253" s="26" t="n"/>
      <c r="D253" s="26" t="n"/>
      <c r="E253" s="26" t="n"/>
      <c r="F253" s="29" t="n"/>
      <c r="G253" s="26" t="n"/>
      <c r="H253" s="28">
        <f>IF($A253="","",IF($F253="","",raporTarihi-$F253))</f>
        <v/>
      </c>
      <c r="I253" s="28">
        <f>IF($A253="","",IF($H253="","",IF($H253&lt;=7,"0-7",IF($H253&lt;=30,"8-30",IF($H253&lt;=60,"31-60","60+")))))</f>
        <v/>
      </c>
      <c r="J253" s="28">
        <f>IF($A253="","",IF($B253="","YETİM",IF(COUNTIF(tblKartlar[KartId],$B253)=0,"YETİM","")))</f>
        <v/>
      </c>
      <c r="K253" s="28">
        <f>IF($A253="","",IF($E253="YOK",IF($D253="KRITIK","KRİTİK EKSİK","EKSİK"),"TAM"))</f>
        <v/>
      </c>
      <c r="L253" s="28">
        <f>IF($A253="","",1)</f>
        <v/>
      </c>
    </row>
    <row r="254">
      <c r="A254" s="26" t="n"/>
      <c r="B254" s="26" t="n"/>
      <c r="C254" s="26" t="n"/>
      <c r="D254" s="26" t="n"/>
      <c r="E254" s="26" t="n"/>
      <c r="F254" s="29" t="n"/>
      <c r="G254" s="26" t="n"/>
      <c r="H254" s="28">
        <f>IF($A254="","",IF($F254="","",raporTarihi-$F254))</f>
        <v/>
      </c>
      <c r="I254" s="28">
        <f>IF($A254="","",IF($H254="","",IF($H254&lt;=7,"0-7",IF($H254&lt;=30,"8-30",IF($H254&lt;=60,"31-60","60+")))))</f>
        <v/>
      </c>
      <c r="J254" s="28">
        <f>IF($A254="","",IF($B254="","YETİM",IF(COUNTIF(tblKartlar[KartId],$B254)=0,"YETİM","")))</f>
        <v/>
      </c>
      <c r="K254" s="28">
        <f>IF($A254="","",IF($E254="YOK",IF($D254="KRITIK","KRİTİK EKSİK","EKSİK"),"TAM"))</f>
        <v/>
      </c>
      <c r="L254" s="28">
        <f>IF($A254="","",1)</f>
        <v/>
      </c>
    </row>
    <row r="255">
      <c r="A255" s="26" t="n"/>
      <c r="B255" s="26" t="n"/>
      <c r="C255" s="26" t="n"/>
      <c r="D255" s="26" t="n"/>
      <c r="E255" s="26" t="n"/>
      <c r="F255" s="29" t="n"/>
      <c r="G255" s="26" t="n"/>
      <c r="H255" s="28">
        <f>IF($A255="","",IF($F255="","",raporTarihi-$F255))</f>
        <v/>
      </c>
      <c r="I255" s="28">
        <f>IF($A255="","",IF($H255="","",IF($H255&lt;=7,"0-7",IF($H255&lt;=30,"8-30",IF($H255&lt;=60,"31-60","60+")))))</f>
        <v/>
      </c>
      <c r="J255" s="28">
        <f>IF($A255="","",IF($B255="","YETİM",IF(COUNTIF(tblKartlar[KartId],$B255)=0,"YETİM","")))</f>
        <v/>
      </c>
      <c r="K255" s="28">
        <f>IF($A255="","",IF($E255="YOK",IF($D255="KRITIK","KRİTİK EKSİK","EKSİK"),"TAM"))</f>
        <v/>
      </c>
      <c r="L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K6:K255">
    <cfRule type="cellIs" priority="1" operator="equal" dxfId="2">
      <formula>"KRİTİK EKSİK"</formula>
    </cfRule>
    <cfRule type="cellIs" priority="2" operator="equal" dxfId="1">
      <formula>"EKSİK"</formula>
    </cfRule>
    <cfRule type="cellIs" priority="3" operator="equal" dxfId="0">
      <formula>"TAM"</formula>
    </cfRule>
  </conditionalFormatting>
  <conditionalFormatting sqref="E6:E255">
    <cfRule type="cellIs" priority="4" operator="equal" dxfId="1">
      <formula>"YOK"</formula>
    </cfRule>
  </conditionalFormatting>
  <conditionalFormatting sqref="J6:J255">
    <cfRule type="cellIs" priority="5" operator="equal" dxfId="2">
      <formula>"YETİM"</formula>
    </cfRule>
  </conditionalFormatting>
  <dataValidations count="7">
    <dataValidation sqref="A6:A255" showDropDown="0" showInputMessage="1" showErrorMessage="1" allowBlank="1" errorTitle="Kimlik" error="Boş olamaz" promptTitle="Kontrol Kimliği" prompt="KNT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" type="textLength" errorStyle="stop" operator="greaterThanOrEqual">
      <formula1>0</formula1>
      <formula2>40</formula2>
    </dataValidation>
    <dataValidation sqref="C6:C255" showDropDown="0" showInputMessage="1" showErrorMessage="1" allowBlank="1" errorTitle="Belge" error="Geçersiz" promptTitle="Belge Adı" prompt="Belge adı" type="textLength" errorStyle="stop" operator="greaterThanOrEqual">
      <formula1>0</formula1>
      <formula2>80</formula2>
    </dataValidation>
    <dataValidation sqref="D6:D255" showDropDown="0" showInputMessage="1" showErrorMessage="1" allowBlank="1" errorTitle="Liste" error="Listeden seçin" promptTitle="Zorunluluk" prompt="Listeden seçin" type="list" errorStyle="stop">
      <formula1>ListeZorunluluk</formula1>
    </dataValidation>
    <dataValidation sqref="E6:E255" showDropDown="0" showInputMessage="1" showErrorMessage="1" allowBlank="1" errorTitle="Liste" error="Listeden seçin" promptTitle="Belge Durum" prompt="VAR veya YOK" type="list" errorStyle="stop">
      <formula1>ListeBelgeDurum</formula1>
    </dataValidation>
    <dataValidation sqref="F6:F255" showDropDown="0" showInputMessage="1" showErrorMessage="1" allowBlank="1" errorTitle="Tarih" error="Geçerli tarih" promptTitle="Tarih" prompt="Kontrol tarihi" type="date" errorStyle="stop" operator="greaterThan">
      <formula1>1</formula1>
    </dataValidation>
    <dataValidation sqref="G6:G255" showDropDown="0" showInputMessage="1" showErrorMessage="1" allowBlank="1" errorTitle="Not" error="Geçersiz" promptTitle="Not" prompt="Kısa not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A365D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YMM Tasdik Kontrol Robotu</t>
        </is>
      </c>
    </row>
    <row r="3" ht="20" customHeight="1">
      <c r="A3" s="22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6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1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6">
        <f>SUM(tblAkis[Tutar])</f>
        <v/>
      </c>
    </row>
    <row r="9">
      <c r="A9" s="7" t="inlineStr">
        <is>
          <t>H04</t>
        </is>
      </c>
      <c r="B9" s="7" t="inlineStr">
        <is>
          <t>Başvuru toplam</t>
        </is>
      </c>
      <c r="C9" s="36">
        <f>SUM(tblAkis[BasvuruTutar])</f>
        <v/>
      </c>
    </row>
    <row r="10">
      <c r="A10" s="7" t="inlineStr">
        <is>
          <t>H05</t>
        </is>
      </c>
      <c r="B10" s="7" t="inlineStr">
        <is>
          <t>Belge toplam</t>
        </is>
      </c>
      <c r="C10" s="36">
        <f>SUM(tblAkis[BelgeTutar])</f>
        <v/>
      </c>
    </row>
    <row r="11">
      <c r="A11" s="7" t="inlineStr">
        <is>
          <t>H06</t>
        </is>
      </c>
      <c r="B11" s="7" t="inlineStr">
        <is>
          <t>Kontrol toplam</t>
        </is>
      </c>
      <c r="C11" s="36">
        <f>SUM(tblAkis[KontrolTutar])</f>
        <v/>
      </c>
    </row>
    <row r="12">
      <c r="A12" s="7" t="inlineStr">
        <is>
          <t>H07</t>
        </is>
      </c>
      <c r="B12" s="7" t="inlineStr">
        <is>
          <t>Tasdik toplam</t>
        </is>
      </c>
      <c r="C12" s="36">
        <f>SUM(tblAkis[TasdikTutar])</f>
        <v/>
      </c>
    </row>
    <row r="13">
      <c r="A13" s="7" t="inlineStr">
        <is>
          <t>H08</t>
        </is>
      </c>
      <c r="B13" s="7" t="inlineStr">
        <is>
          <t>Arşiv toplam</t>
        </is>
      </c>
      <c r="C13" s="36">
        <f>SUM(tblAkis[ArsivTutar])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1">
        <f>COUNTIF(tblAkis[Durum],"TASLAK")</f>
        <v/>
      </c>
    </row>
    <row r="15">
      <c r="A15" s="7" t="inlineStr">
        <is>
          <t>H10</t>
        </is>
      </c>
      <c r="B15" s="7" t="inlineStr">
        <is>
          <t>İnceleme adet</t>
        </is>
      </c>
      <c r="C15" s="31">
        <f>COUNTIF(tblAkis[Durum],"INCELEME")</f>
        <v/>
      </c>
    </row>
    <row r="16">
      <c r="A16" s="7" t="inlineStr">
        <is>
          <t>H11</t>
        </is>
      </c>
      <c r="B16" s="7" t="inlineStr">
        <is>
          <t>Eksik adet (akis)</t>
        </is>
      </c>
      <c r="C16" s="31">
        <f>COUNTIF(tblAkis[Durum],"EKSIK")</f>
        <v/>
      </c>
    </row>
    <row r="17">
      <c r="A17" s="7" t="inlineStr">
        <is>
          <t>H12</t>
        </is>
      </c>
      <c r="B17" s="7" t="inlineStr">
        <is>
          <t>Tasdik adet</t>
        </is>
      </c>
      <c r="C17" s="31">
        <f>COUNTIF(tblAkis[Durum],"TASDIK")</f>
        <v/>
      </c>
    </row>
    <row r="18">
      <c r="A18" s="7" t="inlineStr">
        <is>
          <t>H13</t>
        </is>
      </c>
      <c r="B18" s="7" t="inlineStr">
        <is>
          <t>Durdur adet</t>
        </is>
      </c>
      <c r="C18" s="31">
        <f>COUNTIF(tblAkis[Durum],"DURDUR")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1">
        <f>C14+C15+C16</f>
        <v/>
      </c>
    </row>
    <row r="20">
      <c r="A20" s="7" t="inlineStr">
        <is>
          <t>H15</t>
        </is>
      </c>
      <c r="B20" s="7" t="inlineStr">
        <is>
          <t>Kapalı düşüm</t>
        </is>
      </c>
      <c r="C20" s="31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6">
        <f>SUMIF(tblAkis[Durum],"TASLAK",tblAkis[Tutar])+SUMIF(tblAkis[Durum],"INCELEME",tblAkis[Tutar])+SUMIF(tblAkis[Durum],"EKSIK",tblAkis[Tutar])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1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1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1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1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1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1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1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1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70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1">
        <f>COUNTIFS(tblAkis[YasGun],"&gt;"&amp;ytk_esikGecikmeGun,tblAkis[Durum],"&lt;&gt;TASDIK",tblAkis[Durum],"&lt;&gt;DURDUR",tblAkis[Tutar],"&gt;0")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6">
        <f>SUMIFS(tblAkis[Tutar],tblAkis[YasGun],"&gt;"&amp;ytk_esikGecikmeGun,tblAkis[Durum],"&lt;&gt;TASDIK",tblAkis[Durum],"&lt;&gt;DURDUR")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6">
        <f>C32*ytk_gecikmeOranGun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6">
        <f>C21*ytk_senaryoTemkinli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6">
        <f>C21*ytk_senaryoBaz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6">
        <f>C21*ytk_senaryoIyimser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6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8">
        <f>C21*ytk_tornadoOran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6">
        <f>SUMIFS(tblAkis[Tutar],tblAkis[Durum],"EKSIK",tblAkis[YasGun],"&gt;"&amp;ytk_esikGecikmeGun)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8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6">
        <f>IFERROR(_xlfn.PERCENTILE.INC(tblAkis[Tutar],ytk_yuzdelikOran),0)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6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6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1">
        <f>COUNTA(tblKartlar[KartId])</f>
        <v/>
      </c>
    </row>
    <row r="45">
      <c r="A45" s="7" t="inlineStr">
        <is>
          <t>H40</t>
        </is>
      </c>
      <c r="B45" s="7" t="inlineStr">
        <is>
          <t>Dosya tutar toplam</t>
        </is>
      </c>
      <c r="C45" s="36">
        <f>SUM(tblKartlar[DosyaTutar])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8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",TRUE,"İnceleme",C15,"Eksik",C16,"Geciken",C31)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1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8">
        <f>IF(C6=0,0,C7/MAX(C6,1))</f>
        <v/>
      </c>
    </row>
    <row r="51">
      <c r="A51" s="7" t="inlineStr">
        <is>
          <t>H46</t>
        </is>
      </c>
      <c r="B51" s="7" t="inlineStr">
        <is>
          <t>Kontrol kayıt adet</t>
        </is>
      </c>
      <c r="C51" s="31">
        <f>COUNTA(tblKontrol[KontrolId])</f>
        <v/>
      </c>
    </row>
    <row r="52">
      <c r="A52" s="7" t="inlineStr">
        <is>
          <t>H47</t>
        </is>
      </c>
      <c r="B52" s="7" t="inlineStr">
        <is>
          <t>Eksik belge adet</t>
        </is>
      </c>
      <c r="C52" s="31">
        <f>COUNTIF(tblKontrol[BelgeDurum],"YOK")</f>
        <v/>
      </c>
    </row>
    <row r="53">
      <c r="A53" s="7" t="inlineStr">
        <is>
          <t>H48</t>
        </is>
      </c>
      <c r="B53" s="7" t="inlineStr">
        <is>
          <t>Kritik eksik adet</t>
        </is>
      </c>
      <c r="C53" s="31">
        <f>COUNTIFS(tblKontrol[BelgeDurum],"YOK",tblKontrol[Zorunluluk],"KRITIK")</f>
        <v/>
      </c>
    </row>
    <row r="54">
      <c r="A54" s="7" t="inlineStr">
        <is>
          <t>H49</t>
        </is>
      </c>
      <c r="B54" s="7" t="inlineStr">
        <is>
          <t>Tam belge adet</t>
        </is>
      </c>
      <c r="C54" s="31">
        <f>COUNTIF(tblKontrol[BelgeDurum],"VAR")</f>
        <v/>
      </c>
    </row>
    <row r="55">
      <c r="A55" s="7" t="inlineStr">
        <is>
          <t>H50</t>
        </is>
      </c>
      <c r="B55" s="7" t="inlineStr">
        <is>
          <t>Kontrol yetim</t>
        </is>
      </c>
      <c r="C55" s="31">
        <f>COUNTIF(tblKontrol[YetimBayrak],"YETİM")</f>
        <v/>
      </c>
    </row>
    <row r="56">
      <c r="A56" s="7" t="inlineStr">
        <is>
          <t>H51</t>
        </is>
      </c>
      <c r="B56" s="7" t="inlineStr">
        <is>
          <t>Kritik eksik bayrak</t>
        </is>
      </c>
      <c r="C56" s="31">
        <f>COUNTIF(tblKontrol[EksikBayrak],"KRİTİK EKSİK")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1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6">
        <f>IFERROR(_xlfn.PERCENTILE.INC(tblAkis[YasGun],ytk_yuzdelikOran),0)</f>
        <v/>
      </c>
    </row>
    <row r="59">
      <c r="A59" s="7" t="inlineStr">
        <is>
          <t>H54</t>
        </is>
      </c>
      <c r="B59" s="7" t="inlineStr">
        <is>
          <t>Eksik kuyruk özet</t>
        </is>
      </c>
      <c r="C59" s="24">
        <f>_xlfn.TEXTJOIN(" | ",TRUE,"Eksik",C52,"Kritik",C53,"Tam",C54,"Yetim",C55)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",TRUE,"Açık",C19,"Yetim",C22,"Zincir",C24,"Geciken",C31,"Eksik",C52,"Kritik",C53)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9">
        <f>ytk_senaryoTemkinli*IF(COUNTA(tblAkis[IslemId])&gt;=0,1,1)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9">
        <f>ytk_senaryoBaz*IF(COUNTA(tblAkis[IslemId])&gt;=0,1,1)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9">
        <f>ytk_senaryoIyimser*IF(COUNTA(tblAkis[IslemId])&gt;=0,1,1)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YMM Tasdik Kontrol Robotu</t>
        </is>
      </c>
    </row>
    <row r="3" ht="28" customHeight="1">
      <c r="A3" s="40" t="inlineStr">
        <is>
          <t>YMM Tasdik Kontrol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41">
        <f>PANO!B4</f>
        <v/>
      </c>
    </row>
    <row r="9">
      <c r="A9" s="7" t="inlineStr">
        <is>
          <t>Açık Kuyruk</t>
        </is>
      </c>
      <c r="B9" s="31">
        <f>ytk_acikAdet</f>
        <v/>
      </c>
    </row>
    <row r="10">
      <c r="A10" s="7" t="inlineStr">
        <is>
          <t>Açık Tutar</t>
        </is>
      </c>
      <c r="B10" s="36">
        <f>ytk_acikTutar</f>
        <v/>
      </c>
    </row>
    <row r="11">
      <c r="A11" s="7" t="inlineStr">
        <is>
          <t>Gecikme Maliyeti</t>
        </is>
      </c>
      <c r="B11" s="36">
        <f>ytk_gecikmeMaliyeti</f>
        <v/>
      </c>
    </row>
    <row r="12">
      <c r="A12" s="7" t="inlineStr">
        <is>
          <t>Yetim</t>
        </is>
      </c>
      <c r="B12" s="31">
        <f>ytk_yetimKayit</f>
        <v/>
      </c>
    </row>
    <row r="13">
      <c r="A13" s="7" t="inlineStr">
        <is>
          <t>Geçersiz Geçiş</t>
        </is>
      </c>
      <c r="B13" s="31">
        <f>ytk_gecersizGecis</f>
        <v/>
      </c>
    </row>
    <row r="14">
      <c r="A14" s="7" t="inlineStr">
        <is>
          <t>Zincir Kırık</t>
        </is>
      </c>
      <c r="B14" s="31">
        <f>ytk_zincirKirik</f>
        <v/>
      </c>
    </row>
    <row r="15">
      <c r="A15" s="7" t="inlineStr">
        <is>
          <t>Tahmin Aralık</t>
        </is>
      </c>
      <c r="B15" s="36">
        <f>ytk_tahminAralik</f>
        <v/>
      </c>
    </row>
    <row r="16">
      <c r="A16" s="7" t="inlineStr">
        <is>
          <t>Eksik Kuyruk</t>
        </is>
      </c>
      <c r="B16" s="24">
        <f>ytk_eksikKuyruk</f>
        <v/>
      </c>
    </row>
    <row r="17">
      <c r="A17" s="7" t="inlineStr">
        <is>
          <t>Kritik Eksik</t>
        </is>
      </c>
      <c r="B17" s="31">
        <f>ytk_kritikEksik</f>
        <v/>
      </c>
    </row>
    <row r="18">
      <c r="A18" s="7" t="inlineStr">
        <is>
          <t>Kanıt Özeti</t>
        </is>
      </c>
      <c r="B18" s="24">
        <f>ytk_kanitRaporu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Eksik belge kuyruğu KONTROL_LISTE'den türetilir.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Kritik eksik belgeleri kapatın; eksik kuyruğu yaş kovalarına göre önceliklendirin.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"TASDIK"</formula>
    </cfRule>
    <cfRule type="cellIs" priority="2" operator="equal" dxfId="1">
      <formula>"EKSİK"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&amp;LYMM Tasdik Kontrol Robotu | Kanıt&amp;CExcelArşiv&amp;RSayfa &amp;P / &amp;N</oddFooter>
    <evenHeader/>
    <evenFooter>&amp;LYMM Tasdik Kontrol Robotu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YMM Tasdik Kontrol Robotu</t>
        </is>
      </c>
    </row>
    <row r="3">
      <c r="A3" s="42" t="inlineStr">
        <is>
          <t>Canlı Kontrol Paneli</t>
        </is>
      </c>
    </row>
    <row r="5">
      <c r="A5" s="7" t="inlineStr">
        <is>
          <t>İşlem sayısı</t>
        </is>
      </c>
      <c r="B5" s="31">
        <f>COUNTA(tblAkis[IslemId])</f>
        <v/>
      </c>
    </row>
    <row r="6">
      <c r="A6" s="7" t="inlineStr">
        <is>
          <t>Kart sayısı</t>
        </is>
      </c>
      <c r="B6" s="31">
        <f>COUNTA(tblKartlar[KartId])</f>
        <v/>
      </c>
    </row>
    <row r="7">
      <c r="A7" s="7" t="inlineStr">
        <is>
          <t>Taslak</t>
        </is>
      </c>
      <c r="B7" s="31">
        <f>COUNTIF(tblAkis[Durum],"TASLAK")</f>
        <v/>
      </c>
    </row>
    <row r="8">
      <c r="A8" s="7" t="inlineStr">
        <is>
          <t>İnceleme</t>
        </is>
      </c>
      <c r="B8" s="31">
        <f>COUNTIF(tblAkis[Durum],"INCELEME")</f>
        <v/>
      </c>
    </row>
    <row r="9">
      <c r="A9" s="7" t="inlineStr">
        <is>
          <t>Eksik</t>
        </is>
      </c>
      <c r="B9" s="31">
        <f>COUNTIF(tblAkis[Durum],"EKSIK")</f>
        <v/>
      </c>
    </row>
    <row r="10">
      <c r="A10" s="7" t="inlineStr">
        <is>
          <t>Tasdik</t>
        </is>
      </c>
      <c r="B10" s="31">
        <f>COUNTIF(tblAkis[Durum],"TASDIK")</f>
        <v/>
      </c>
    </row>
    <row r="11">
      <c r="A11" s="7" t="inlineStr">
        <is>
          <t>Durdur</t>
        </is>
      </c>
      <c r="B11" s="31">
        <f>COUNTIF(tblAkis[Durum],"DURDUR")</f>
        <v/>
      </c>
    </row>
    <row r="12">
      <c r="A12" s="7" t="inlineStr">
        <is>
          <t>Yetim</t>
        </is>
      </c>
      <c r="B12" s="31">
        <f>ytk_yetimKayit</f>
        <v/>
      </c>
    </row>
    <row r="13">
      <c r="A13" s="7" t="inlineStr">
        <is>
          <t>Geçersiz</t>
        </is>
      </c>
      <c r="B13" s="31">
        <f>ytk_gecersizGecis</f>
        <v/>
      </c>
    </row>
    <row r="14">
      <c r="A14" s="7" t="inlineStr">
        <is>
          <t>Zincir kırık</t>
        </is>
      </c>
      <c r="B14" s="31">
        <f>ytk_zincirKirik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1">
        <f>HESAP!C49</f>
        <v/>
      </c>
    </row>
    <row r="17">
      <c r="A17" s="7" t="inlineStr">
        <is>
          <t>Açık tutar</t>
        </is>
      </c>
      <c r="B17" s="36">
        <f>ytk_acikTutar</f>
        <v/>
      </c>
    </row>
    <row r="18">
      <c r="A18" s="7" t="inlineStr">
        <is>
          <t>Gecikme maliyeti</t>
        </is>
      </c>
      <c r="B18" s="36">
        <f>ytk_gecikmeMaliyeti</f>
        <v/>
      </c>
    </row>
    <row r="19">
      <c r="A19" s="7" t="inlineStr">
        <is>
          <t>Kapalı düşüm</t>
        </is>
      </c>
      <c r="B19" s="31">
        <f>ytk_kapaliDusum</f>
        <v/>
      </c>
    </row>
    <row r="20">
      <c r="A20" s="7" t="inlineStr">
        <is>
          <t>Eksik belge</t>
        </is>
      </c>
      <c r="B20" s="31">
        <f>ytk_eksikAdet</f>
        <v/>
      </c>
    </row>
    <row r="21">
      <c r="A21" s="7" t="inlineStr">
        <is>
          <t>Kritik eksik</t>
        </is>
      </c>
      <c r="B21" s="31">
        <f>ytk_kritikEksik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YMM Tasdik Kontrol Robotu</t>
        </is>
      </c>
    </row>
    <row r="3">
      <c r="A3" s="42" t="inlineStr">
        <is>
          <t>Örnek Senaryo Açıklaması</t>
        </is>
      </c>
    </row>
    <row r="4">
      <c r="A4" s="8" t="inlineStr">
        <is>
          <t>Dosyada 8 kart, 24 kontrol ve 28 akış satırı vardır. Yetim (22, 25), geçersiz geçiş (18, 20) ve zincir kırık (12, 19) kasıtlıdır. Eksik belge kuyruğu KONTROL_LISTE'den türetilir. KARTLAR, AKIS ve KONTROL_LISTE'yi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Taslak/İnceleme/Eksik/Tasdik/Durdur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4" customWidth="1" min="7" max="7"/>
    <col width="12" customWidth="1" min="9" max="9"/>
    <col width="14" customWidth="1" min="11" max="11"/>
  </cols>
  <sheetData>
    <row r="1" ht="26" customHeight="1">
      <c r="A1" s="1" t="inlineStr">
        <is>
          <t>LISTELER — YMM Tasdik Kontrol Robotu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Zorunluluk</t>
        </is>
      </c>
      <c r="I3" s="24" t="inlineStr">
        <is>
          <t>Belge Durum</t>
        </is>
      </c>
      <c r="K3" s="24" t="inlineStr">
        <is>
          <t>Kart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Tip</t>
        </is>
      </c>
      <c r="I6" s="30" t="inlineStr">
        <is>
          <t>Durum</t>
        </is>
      </c>
      <c r="K6" s="30" t="inlineStr">
        <is>
          <t>KartId</t>
        </is>
      </c>
    </row>
    <row r="7">
      <c r="A7" s="26" t="inlineStr">
        <is>
          <t>TASLAK</t>
        </is>
      </c>
      <c r="C7" s="26" t="inlineStr">
        <is>
          <t>TASLAK|INCELEME</t>
        </is>
      </c>
      <c r="E7" s="26" t="inlineStr">
        <is>
          <t>EVET</t>
        </is>
      </c>
      <c r="G7" s="26" t="inlineStr">
        <is>
          <t>KRITIK</t>
        </is>
      </c>
      <c r="I7" s="26" t="inlineStr">
        <is>
          <t>VAR</t>
        </is>
      </c>
      <c r="K7" s="26" t="inlineStr">
        <is>
          <t>MUK-00001</t>
        </is>
      </c>
    </row>
    <row r="8">
      <c r="A8" s="26" t="inlineStr">
        <is>
          <t>INCELEME</t>
        </is>
      </c>
      <c r="C8" s="26" t="inlineStr">
        <is>
          <t>INCELEME|EKSIK</t>
        </is>
      </c>
      <c r="E8" s="26" t="inlineStr">
        <is>
          <t>HAYIR</t>
        </is>
      </c>
      <c r="G8" s="26" t="inlineStr">
        <is>
          <t>ZORUNLU</t>
        </is>
      </c>
      <c r="I8" s="26" t="inlineStr">
        <is>
          <t>YOK</t>
        </is>
      </c>
      <c r="K8" s="26" t="inlineStr">
        <is>
          <t>MUK-00002</t>
        </is>
      </c>
    </row>
    <row r="9">
      <c r="A9" s="26" t="inlineStr">
        <is>
          <t>EKSIK</t>
        </is>
      </c>
      <c r="C9" s="26" t="inlineStr">
        <is>
          <t>INCELEME|TASDIK</t>
        </is>
      </c>
      <c r="G9" s="26" t="inlineStr">
        <is>
          <t>OPSIYONEL</t>
        </is>
      </c>
      <c r="K9" s="26" t="inlineStr">
        <is>
          <t>MUK-00003</t>
        </is>
      </c>
    </row>
    <row r="10">
      <c r="A10" s="26" t="inlineStr">
        <is>
          <t>TASDIK</t>
        </is>
      </c>
      <c r="C10" s="26" t="inlineStr">
        <is>
          <t>INCELEME|DURDUR</t>
        </is>
      </c>
      <c r="K10" s="26" t="inlineStr">
        <is>
          <t>MUK-00004</t>
        </is>
      </c>
    </row>
    <row r="11">
      <c r="A11" s="26" t="inlineStr">
        <is>
          <t>DURDUR</t>
        </is>
      </c>
      <c r="C11" s="26" t="inlineStr">
        <is>
          <t>EKSIK|INCELEME</t>
        </is>
      </c>
      <c r="K11" s="26" t="inlineStr">
        <is>
          <t>MUK-00005</t>
        </is>
      </c>
    </row>
    <row r="12">
      <c r="C12" s="26" t="inlineStr">
        <is>
          <t>EKSIK|DURDUR</t>
        </is>
      </c>
      <c r="K12" s="26" t="inlineStr">
        <is>
          <t>MUK-00006</t>
        </is>
      </c>
    </row>
    <row r="13">
      <c r="K13" s="26" t="inlineStr">
        <is>
          <t>MUK-00007</t>
        </is>
      </c>
    </row>
    <row r="14">
      <c r="K14" s="26" t="inlineStr">
        <is>
          <t>MUK-00008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N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YMM Tasdik Kontrol Robotu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ytk_esikGecikmeGun</t>
        </is>
      </c>
      <c r="B8" s="43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ytk_esikGeciken</t>
        </is>
      </c>
      <c r="B9" s="43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ytk_gecikmeOranGun</t>
        </is>
      </c>
      <c r="B10" s="44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ytk_senaryoTemkinli</t>
        </is>
      </c>
      <c r="B11" s="44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ytk_senaryoBaz</t>
        </is>
      </c>
      <c r="B12" s="44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ytk_senaryoIyimser</t>
        </is>
      </c>
      <c r="B13" s="43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ytk_tornadoOran</t>
        </is>
      </c>
      <c r="B14" s="44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ytk_yuzdelikOran</t>
        </is>
      </c>
      <c r="B15" s="44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ytk_olcekHedef</t>
        </is>
      </c>
      <c r="B16" s="43" t="n">
        <v>5000</v>
      </c>
      <c r="C16" s="7" t="inlineStr">
        <is>
          <t>satir</t>
        </is>
      </c>
      <c r="D16" s="7" t="inlineStr">
        <is>
          <t>Manda A4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ytk_azamiTutar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ytk_eksikEsik</t>
        </is>
      </c>
      <c r="B18" s="43" t="n">
        <v>1</v>
      </c>
      <c r="C18" s="7" t="inlineStr">
        <is>
          <t>adet</t>
        </is>
      </c>
      <c r="D18" s="7" t="inlineStr">
        <is>
          <t>Eksik belge eşiği</t>
        </is>
      </c>
      <c r="E18" s="7" t="inlineStr">
        <is>
          <t>01.01.2026</t>
        </is>
      </c>
      <c r="F18" s="8" t="inlineStr">
        <is>
          <t>EKSİK karar eşiği</t>
        </is>
      </c>
    </row>
    <row r="19">
      <c r="A19" s="7" t="inlineStr">
        <is>
          <t>ytk_durumHaritasi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ytk_kuyrukOzeti_metin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ytk_kapaliDusum_metin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ytk_kanitRaporu_metin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ytk_dosyaSurumu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ytk_ymmUnvan</t>
        </is>
      </c>
      <c r="B24" s="26" t="inlineStr">
        <is>
          <t>Örnek YMM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YMM unvanı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TASLAK</t>
        </is>
      </c>
      <c r="I30" s="7" t="inlineStr">
        <is>
          <t>Taslak</t>
        </is>
      </c>
      <c r="J30" s="20" t="n">
        <v>1</v>
      </c>
      <c r="K30" s="7" t="inlineStr">
        <is>
          <t>INCELEME</t>
        </is>
      </c>
      <c r="L30" s="7" t="inlineStr">
        <is>
          <t>acik</t>
        </is>
      </c>
    </row>
    <row r="31">
      <c r="H31" s="7" t="inlineStr">
        <is>
          <t>INCELEME</t>
        </is>
      </c>
      <c r="I31" s="7" t="inlineStr">
        <is>
          <t>İnceleme</t>
        </is>
      </c>
      <c r="J31" s="20" t="n">
        <v>2</v>
      </c>
      <c r="K31" s="7" t="inlineStr">
        <is>
          <t>EKSIK|TASDIK|DURDUR</t>
        </is>
      </c>
      <c r="L31" s="7" t="inlineStr">
        <is>
          <t>acik</t>
        </is>
      </c>
    </row>
    <row r="32">
      <c r="H32" s="7" t="inlineStr">
        <is>
          <t>EKSIK</t>
        </is>
      </c>
      <c r="I32" s="7" t="inlineStr">
        <is>
          <t>Eksik belge</t>
        </is>
      </c>
      <c r="J32" s="20" t="n">
        <v>3</v>
      </c>
      <c r="K32" s="7" t="inlineStr">
        <is>
          <t>INCELEME|DURDUR</t>
        </is>
      </c>
      <c r="L32" s="7" t="inlineStr">
        <is>
          <t>acik</t>
        </is>
      </c>
    </row>
    <row r="33">
      <c r="H33" s="7" t="inlineStr">
        <is>
          <t>TASDIK</t>
        </is>
      </c>
      <c r="I33" s="7" t="inlineStr">
        <is>
          <t>Tasdik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DURDUR</t>
        </is>
      </c>
      <c r="I34" s="7" t="inlineStr">
        <is>
          <t>Durdur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ytk_acikAdet</t>
        </is>
      </c>
      <c r="I40" s="8">
        <f>HESAP!C19</f>
        <v/>
      </c>
    </row>
    <row r="41">
      <c r="H41" s="7" t="inlineStr">
        <is>
          <t>ytk_acikTutar</t>
        </is>
      </c>
      <c r="I41" s="8">
        <f>HESAP!C21</f>
        <v/>
      </c>
    </row>
    <row r="42">
      <c r="H42" s="7" t="inlineStr">
        <is>
          <t>ytk_gecikenAdet</t>
        </is>
      </c>
      <c r="I42" s="8">
        <f>HESAP!C31</f>
        <v/>
      </c>
    </row>
    <row r="43">
      <c r="H43" s="7" t="inlineStr">
        <is>
          <t>ytk_gecikmeMaliyeti</t>
        </is>
      </c>
      <c r="I43" s="8">
        <f>HESAP!C33</f>
        <v/>
      </c>
    </row>
    <row r="44">
      <c r="H44" s="7" t="inlineStr">
        <is>
          <t>ytk_yetimKayit</t>
        </is>
      </c>
      <c r="I44" s="8">
        <f>HESAP!C22</f>
        <v/>
      </c>
    </row>
    <row r="45">
      <c r="H45" s="7" t="inlineStr">
        <is>
          <t>ytk_gecersizGecis</t>
        </is>
      </c>
      <c r="I45" s="8">
        <f>HESAP!C23</f>
        <v/>
      </c>
    </row>
    <row r="46">
      <c r="H46" s="7" t="inlineStr">
        <is>
          <t>ytk_zincirKirik</t>
        </is>
      </c>
      <c r="I46" s="8">
        <f>HESAP!C24</f>
        <v/>
      </c>
    </row>
    <row r="47">
      <c r="H47" s="7" t="inlineStr">
        <is>
          <t>ytk_yasKova</t>
        </is>
      </c>
      <c r="I47" s="8">
        <f>HESAP!C48</f>
        <v/>
      </c>
    </row>
    <row r="48">
      <c r="H48" s="7" t="inlineStr">
        <is>
          <t>ytk_tahminAralik</t>
        </is>
      </c>
      <c r="I48" s="8">
        <f>HESAP!C43</f>
        <v/>
      </c>
    </row>
    <row r="49">
      <c r="H49" s="7" t="inlineStr">
        <is>
          <t>ytk_senaryoKarsilastirma</t>
        </is>
      </c>
      <c r="I49" s="8">
        <f>HESAP!C37</f>
        <v/>
      </c>
    </row>
    <row r="50">
      <c r="H50" s="7" t="inlineStr">
        <is>
          <t>ytk_tornadoZirve</t>
        </is>
      </c>
      <c r="I50" s="8">
        <f>HESAP!C38</f>
        <v/>
      </c>
    </row>
    <row r="51">
      <c r="H51" s="7" t="inlineStr">
        <is>
          <t>ytk_odemeOncelik</t>
        </is>
      </c>
      <c r="I51" s="8">
        <f>HESAP!C39</f>
        <v/>
      </c>
    </row>
    <row r="52">
      <c r="H52" s="7" t="inlineStr">
        <is>
          <t>ytk_paretoGecikme</t>
        </is>
      </c>
      <c r="I52" s="8">
        <f>HESAP!C40</f>
        <v/>
      </c>
    </row>
    <row r="53">
      <c r="H53" s="7" t="inlineStr">
        <is>
          <t>ytk_kapaliDusum</t>
        </is>
      </c>
      <c r="I53" s="8">
        <f>HESAP!C20</f>
        <v/>
      </c>
    </row>
    <row r="54">
      <c r="H54" s="7" t="inlineStr">
        <is>
          <t>ytk_kuyrukOzeti</t>
        </is>
      </c>
      <c r="I54" s="8">
        <f>HESAP!C47</f>
        <v/>
      </c>
    </row>
    <row r="55">
      <c r="H55" s="7" t="inlineStr">
        <is>
          <t>ytk_kanitRaporu</t>
        </is>
      </c>
      <c r="I55" s="8">
        <f>HESAP!C60</f>
        <v/>
      </c>
    </row>
    <row r="56">
      <c r="H56" s="7" t="inlineStr">
        <is>
          <t>ytk_sonrakiKimlik</t>
        </is>
      </c>
      <c r="I56" s="8">
        <f>"MUK-"&amp;TEXT(COUNTA(tblKartlar[KartId])+1,"00000")</f>
        <v/>
      </c>
    </row>
    <row r="57">
      <c r="H57" s="7" t="inlineStr">
        <is>
          <t>ytk_eksikKuyruk</t>
        </is>
      </c>
      <c r="I57" s="8">
        <f>HESAP!C59</f>
        <v/>
      </c>
    </row>
    <row r="58">
      <c r="H58" s="7" t="inlineStr">
        <is>
          <t>ytk_modulO8</t>
        </is>
      </c>
      <c r="I58" s="8">
        <f>HESAP!C57</f>
        <v/>
      </c>
    </row>
    <row r="59">
      <c r="H59" s="7" t="inlineStr">
        <is>
          <t>ytk_modulI2</t>
        </is>
      </c>
      <c r="I59" s="8">
        <f>HESAP!C58</f>
        <v/>
      </c>
    </row>
    <row r="60">
      <c r="H60" s="7" t="inlineStr">
        <is>
          <t>ytk_eksikAdet</t>
        </is>
      </c>
      <c r="I60" s="8">
        <f>HESAP!C52</f>
        <v/>
      </c>
    </row>
    <row r="61">
      <c r="H61" s="7" t="inlineStr">
        <is>
          <t>ytk_kritikEksik</t>
        </is>
      </c>
      <c r="I61" s="8">
        <f>HESAP!C53</f>
        <v/>
      </c>
    </row>
    <row r="63">
      <c r="H63" s="16" t="inlineStr">
        <is>
          <t>Yorumlar</t>
        </is>
      </c>
    </row>
    <row r="64">
      <c r="H64" s="7" t="inlineStr">
        <is>
          <t>ytk_yorumYas</t>
        </is>
      </c>
      <c r="I64" s="8">
        <f>_xlfn.TEXTJOIN(" ",TRUE,"Yaş kovaları",ytk_yasKova)</f>
        <v/>
      </c>
    </row>
    <row r="65">
      <c r="H65" s="7" t="inlineStr">
        <is>
          <t>ytk_yorumGecikme</t>
        </is>
      </c>
      <c r="I65" s="8">
        <f>_xlfn.TEXTJOIN(" ",TRUE,"Gecikme maliyeti",TEXT(ytk_gecikmeMaliyeti,"0.00"),"TL")</f>
        <v/>
      </c>
    </row>
    <row r="66">
      <c r="H66" s="7" t="inlineStr">
        <is>
          <t>ytk_yorumTahmin</t>
        </is>
      </c>
      <c r="I66" s="8">
        <f>_xlfn.TEXTJOIN(" ",TRUE,"Tahmin aralık",TEXT(ytk_tahminAralik,"0.00"),"TL")</f>
        <v/>
      </c>
    </row>
    <row r="67">
      <c r="H67" s="7" t="inlineStr">
        <is>
          <t>ytk_yorumSenaryo</t>
        </is>
      </c>
      <c r="I67" s="8">
        <f>_xlfn.TEXTJOIN(" ",TRUE,"Senaryo farkı",TEXT(ytk_senaryoKarsilastirma,"0.00"),"TL")</f>
        <v/>
      </c>
    </row>
    <row r="68">
      <c r="H68" s="7" t="inlineStr">
        <is>
          <t>ytk_yorumTornado</t>
        </is>
      </c>
      <c r="I68" s="8">
        <f>_xlfn.TEXTJOIN(" ",TRUE,"Tornado zirve",TEXT(ytk_tornadoZirve,"0.00"),"TL")</f>
        <v/>
      </c>
    </row>
    <row r="69">
      <c r="H69" s="7" t="inlineStr">
        <is>
          <t>ytk_yorumOncelik</t>
        </is>
      </c>
      <c r="I69" s="8">
        <f>_xlfn.TEXTJOIN(" ",TRUE,"Ödeme öncelik havuzu",TEXT(ytk_odemeOncelik,"0.00"),"TL")</f>
        <v/>
      </c>
    </row>
    <row r="70">
      <c r="H70" s="7" t="inlineStr">
        <is>
          <t>ytk_yorumPareto</t>
        </is>
      </c>
      <c r="I70" s="8">
        <f>_xlfn.TEXTJOIN(" ",TRUE,"Pareto gecikme payı",TEXT(ytk_paretoGecikme,"0.0%"))</f>
        <v/>
      </c>
    </row>
    <row r="71">
      <c r="H71" s="7" t="inlineStr">
        <is>
          <t>ytk_modulO8Yorum</t>
        </is>
      </c>
      <c r="I71" s="8">
        <f>_xlfn.TEXTJOIN(" ",TRUE,"Kalite",TEXT(ytk_modulO8,"0"),"yetim/geçiş/zincir düşer")</f>
        <v/>
      </c>
    </row>
    <row r="72">
      <c r="H72" s="7" t="inlineStr">
        <is>
          <t>ytk_modulI2Yorum</t>
        </is>
      </c>
      <c r="I72" s="8">
        <f>_xlfn.TEXTJOIN(" ",TRUE,"Yüzdelik 90 tutar",TEXT(ytk_modulI2,"0.00"),"TL")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YMM Tasdik Kontrol Robotu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mükellef kartı ekleyin; VKN ve tasdik türünü yazın.</t>
        </is>
      </c>
    </row>
    <row r="6">
      <c r="A6" s="8" t="inlineStr">
        <is>
          <t>2. KONTROL_LISTE sayfasına zorunlu/kritik belgeleri girin; VAR/YOK işaretleyin.</t>
        </is>
      </c>
    </row>
    <row r="7">
      <c r="A7" s="8" t="inlineStr">
        <is>
          <t>3. AKIS sayfasına her tasdik olayını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(Tasdik/Durdur) açık kuyruklardan düşer.</t>
        </is>
      </c>
    </row>
    <row r="11">
      <c r="A11" s="8" t="inlineStr">
        <is>
          <t>7. Kritik eksik DURDUR, eksik belge EKSİK, uygun dosya TASDIK, boş veri VERİ YOK üretir.</t>
        </is>
      </c>
    </row>
    <row r="12">
      <c r="A12" s="8" t="inlineStr">
        <is>
          <t>8. RAPOR sayfasından kanıt paketini yazdırın.</t>
        </is>
      </c>
    </row>
    <row r="13">
      <c r="A13" s="8" t="inlineStr">
        <is>
          <t>9. raporTarihi AYARLAR'dadır; TODAY kullanılmaz.</t>
        </is>
      </c>
    </row>
    <row r="14">
      <c r="A14" s="8" t="inlineStr">
        <is>
          <t>10. Koruma şifresi: 1234 — formül hücreleri kilitli, sarı hücreler açıktır.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2026-08-14T19:41:45Z</dcterms:created>
  <dcterms:modified xmlns:dcterms="http://purl.org/dc/terms/" xmlns:xsi="http://www.w3.org/2001/XMLSchema-instance" xsi:type="dcterms:W3CDTF">2026-09-25T14:23:09Z</dcterms:modified>
</cp:coreProperties>
</file>