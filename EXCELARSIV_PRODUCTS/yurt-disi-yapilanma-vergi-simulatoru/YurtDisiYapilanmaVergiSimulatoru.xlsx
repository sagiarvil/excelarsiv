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ydv_karTl">MOTOR!$G$20</definedName>
    <definedName name="ydv_toplamVergi">MOTOR!$G$28</definedName>
    <definedName name="ydv_efektifVergi">MOTOR!$G$29</definedName>
    <definedName name="ydv_ciftVergi">MOTOR!$G$30</definedName>
    <definedName name="ydv_trEkMatrah">MOTOR!$G$31</definedName>
    <definedName name="ydv_kararMetni">MOTOR!$G$33</definedName>
    <definedName name="ydv_yapiOneri">MOTOR!$G$34</definedName>
    <definedName name="ydv_kararGerekce">MOTOR!$G$35</definedName>
    <definedName name="ydv_maddeAtifMetni">MOTOR!$G$54</definedName>
    <definedName name="ydv_kanitRaporu">MOTOR!$G$55</definedName>
    <definedName name="ydv_kuralYilMatris">KURALLAR!$B$17</definedName>
    <definedName name="ydv_parmakIzi">AYARLAR!$B$19</definedName>
    <definedName name="ydv_senaryoKarsilastirma">SENARYO!$B$11</definedName>
    <definedName name="ydv_yorumSenaryo">SENARYO!$B$12</definedName>
    <definedName name="ydv_duyarlilikSira">SENARYO!$B$19</definedName>
    <definedName name="ydv_yorumDuyarlilik">SENARYO!$B$20</definedName>
    <definedName name="ydv_kuralDegisimSenaryo">SENARYO!$B$22</definedName>
    <definedName name="ydv_yorumKuralDegisim">SENARYO!$B$23</definedName>
    <definedName name="ydv_tahminAralik">SENARYO!$B$32</definedName>
    <definedName name="ydv_yorumTahmin">SENARYO!$B$33</definedName>
    <definedName name="ydv_vakaDurum">VAKALAR!$B$12</definedName>
    <definedName name="ydv_vakaFark">VAKALAR!$B$13</definedName>
    <definedName name="ydv_tolerans">AYARLAR!$B$8</definedName>
    <definedName name="ydv_kacirilanEsik">AYARLAR!$B$9</definedName>
    <definedName name="ydv_senaryoIyi">AYARLAR!$B$10</definedName>
    <definedName name="ydv_senaryoKotu">AYARLAR!$B$11</definedName>
    <definedName name="ydv_oranArtisPuan">AYARLAR!$B$12</definedName>
    <definedName name="ydv_tahminAlt">AYARLAR!$B$13</definedName>
    <definedName name="ydv_tahminUst">AYARLAR!$B$14</definedName>
    <definedName name="ydv_tornadoKur">AYARLAR!$B$15</definedName>
    <definedName name="ydv_tornadoTf">AYARLAR!$B$16</definedName>
    <definedName name="ydv_peArtisOran">AYARLAR!$B$17</definedName>
    <definedName name="ydv_yuzdelikOran">AYARLAR!$B$18</definedName>
    <definedName name="ydv_girisBeklenen">AYARLAR!$B$21</definedName>
    <definedName name="ydv_riskDusuk">AYARLAR!$B$22</definedName>
    <definedName name="ydv_riskOrta">AYARLAR!$B$23</definedName>
    <definedName name="ydv_riskYuksek">AYARLAR!$B$24</definedName>
    <definedName name="ydv_yilTaban">AYARLAR!$B$25</definedName>
    <definedName name="ydv_yuvarMax">AYARLAR!$B$26</definedName>
    <definedName name="ydv_bazCarpan">AYARLAR!$B$27</definedName>
    <definedName name="ydv_sifirCarpan">AYARLAR!$B$28</definedName>
    <definedName name="ydv_siraBir">AYARLAR!$B$29</definedName>
    <definedName name="ydv_siraIki">AYARLAR!$B$30</definedName>
    <definedName name="ydv_siraUc">AYARLAR!$B$31</definedName>
    <definedName name="ydv_tahminX">AYARLAR!$B$32</definedName>
    <definedName name="ydv_ofisMatrahOran">AYARLAR!$B$33</definedName>
    <definedName name="ydv_dagitimOran">AYARLAR!$B$34</definedName>
    <definedName name="ydv_tfBolum">AYARLAR!$B$35</definedName>
    <definedName name="ydv_ekMatrahCarpan">AYARLAR!$B$36</definedName>
    <definedName name="ydv_ciftVergiEsik">AYARLAR!$B$37</definedName>
    <definedName name="ydv_dikkatEsik">AYARLAR!$B$38</definedName>
    <definedName name="ydv_dikkatCiftEsik">AYARLAR!$B$39</definedName>
    <definedName name="ydv_subeEfektifEsik">AYARLAR!$B$40</definedName>
    <definedName name="vaka_kar_1">AYARLAR!$B$41</definedName>
    <definedName name="vaka_yerel_oran">AYARLAR!$B$42</definedName>
    <definedName name="vaka_tf_puan">AYARLAR!$B$43</definedName>
    <definedName name="ydv_modulT1">PANO!$C$12</definedName>
    <definedName name="ydv_modulT1Yorum">PANO!$D$12</definedName>
    <definedName name="ydv_modulT2">PANO!$C$13</definedName>
    <definedName name="ydv_modulT2Yorum">PANO!$D$13</definedName>
    <definedName name="ydv_modulO1">PANO!$C$14</definedName>
    <definedName name="ydv_modulO1Yorum">PANO!$D$14</definedName>
    <definedName name="ydv_modulO6">PANO!$C$17</definedName>
    <definedName name="ydv_modulO6Yorum">PANO!$D$17</definedName>
    <definedName name="ydv_modulO8">PANO!$C$18</definedName>
    <definedName name="ydv_modulO8Yorum">PANO!$D$18</definedName>
    <definedName name="ydv_modulI2">PANO!$C$21</definedName>
    <definedName name="ydv_modulI2Yorum">PANO!$D$21</definedName>
    <definedName name="ListeYillar">LISTELER!$A$6:$A$8</definedName>
    <definedName name="ListeYorumAB">LISTELER!$C$6:$C$7</definedName>
    <definedName name="ListeEvetHayir">LISTELER!$E$6:$E$7</definedName>
    <definedName name="ListeYapi">LISTELER!$G$6:$G$9</definedName>
    <definedName name="_xlnm.Print_Area" localSheetId="16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2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center" vertical="center"/>
    </xf>
    <xf numFmtId="0" fontId="20" fillId="4" borderId="0" applyAlignment="1" applyProtection="1" pivotButton="0" quotePrefix="0" xfId="0">
      <alignment horizontal="left" vertical="center"/>
      <protection locked="0" hidden="0"/>
    </xf>
    <xf numFmtId="3" fontId="20" fillId="4" borderId="0" applyAlignment="1" applyProtection="1" pivotButton="0" quotePrefix="0" xfId="0">
      <alignment horizontal="left" vertical="center"/>
      <protection locked="0" hidden="0"/>
    </xf>
    <xf numFmtId="164" fontId="20" fillId="4" borderId="0" applyAlignment="1" applyProtection="1" pivotButton="0" quotePrefix="0" xfId="0">
      <alignment horizontal="left" vertical="center"/>
      <protection locked="0" hidden="0"/>
    </xf>
    <xf numFmtId="165" fontId="20" fillId="4" borderId="0" applyAlignment="1" applyProtection="1" pivotButton="0" quotePrefix="0" xfId="0">
      <alignment horizontal="left" vertical="center"/>
      <protection locked="0" hidden="0"/>
    </xf>
    <xf numFmtId="164" fontId="21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2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left" vertical="center" wrapText="1"/>
    </xf>
    <xf numFmtId="164" fontId="16" fillId="0" borderId="0" applyAlignment="1" pivotButton="0" quotePrefix="0" xfId="0">
      <alignment horizontal="left" vertical="center" wrapText="1"/>
    </xf>
    <xf numFmtId="0" fontId="17" fillId="3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21" fillId="0" borderId="0" applyAlignment="1" pivotButton="0" quotePrefix="0" xfId="0">
      <alignment horizontal="left" vertical="center"/>
    </xf>
    <xf numFmtId="3" fontId="19" fillId="4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Toplam Vergi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Vergi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Kâr TL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'ORNEK_VERI'!N5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'ORNEK_VERI'!$N$6:$N$10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Yurt dışı yapılanma vergi kararını etkiler | Doğru kullanım: Sırayla izleyin | Örnek: demo satırına bakın | Yanlışsa: Efektif vergi ve karar bozulur | Kaynak: KVK md.5 / md.33</t>
      </text>
    </comment>
    <comment ref="A6" authorId="0" shapeId="0">
      <text>
        <t>Tanım: Adım 2 — Karar | Neden önemli: Yurt dışı yapılanma vergi kararını etkiler | Doğru kullanım: Sırayla izleyin | Örnek: demo satırına bakın | Yanlışsa: Efektif vergi ve karar bozulur | Kaynak: KVK md.5 / md.33</t>
      </text>
    </comment>
    <comment ref="A7" authorId="0" shapeId="0">
      <text>
        <t>Tanım: Adım 3 — Kanıt | Neden önemli: Yurt dışı yapılanma vergi kararını etkiler | Doğru kullanım: Sırayla izleyin | Örnek: demo satırına bakın | Yanlışsa: Efektif vergi ve karar bozulur | Kaynak: KVK md.5 / md.33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Yurt dışı yapılanma vergi kararını etkiler | Doğru kullanım: Kurumun resmi unvanını yazın. | Örnek: demo satırına bakın | Yanlışsa: Efektif vergi ve karar bozulur | Kaynak: KVK md.5 / md.33</t>
      </text>
    </comment>
    <comment ref="B7" authorId="0" shapeId="0">
      <text>
        <t>Tanım: Dönem | Neden önemli: Yurt dışı yapılanma vergi kararını etkiler | Doğru kullanım: Vergi dönemi etiketini yazın (ör. 2026). | Örnek: demo satırına bakın | Yanlışsa: Efektif vergi ve karar bozulur | Kaynak: KVK md.5 / md.33</t>
      </text>
    </comment>
    <comment ref="B8" authorId="0" shapeId="0">
      <text>
        <t>Tanım: Hesap Yılı | Neden önemli: Yurt dışı yapılanma vergi kararını etkiler | Doğru kullanım: 2025, 2026 veya 2027 seçin.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Yurt dışı yapılanmanın bulunduğu ülkeyi yazın. | Örnek: demo satırına bakın | Yanlışsa: Efektif vergi ve karar bozulur | Kaynak: KVK md.5 / md.33</t>
      </text>
    </comment>
    <comment ref="B10" authorId="0" shapeId="0">
      <text>
        <t>Tanım: Yapılanma Tipi | Neden önemli: Yurt dışı yapılanma vergi kararını etkiler | Doğru kullanım: ŞUBE, İŞTİRAK, LİMİTED veya OFİS seçin. | Örnek: demo satırına bakın | Yanlışsa: Efektif vergi ve karar bozulur | Kaynak: KVK md.5 / md.33</t>
      </text>
    </comment>
    <comment ref="B11" authorId="0" shapeId="0">
      <text>
        <t>Tanım: Yurt Dışı Kâr [PB] | Neden önemli: Yurt dışı yapılanma vergi kararını etkiler | Doğru kullanım: Yerel para biriminde dönem kârını girin. | Örnek: demo satırına bakın | Yanlışsa: Efektif vergi ve karar bozulur | Kaynak: KVK md.5 / md.33</t>
      </text>
    </comment>
    <comment ref="B12" authorId="0" shapeId="0">
      <text>
        <t>Tanım: Yerel Vergi Oranı [%] | Neden önemli: Yurt dışı yapılanma vergi kararını etkiler | Doğru kullanım: Ülke kurumlar vergisi oranını girin. | Örnek: demo satırına bakın | Yanlışsa: Efektif vergi ve karar bozulur | Kaynak: KVK md.5 / md.33</t>
      </text>
    </comment>
    <comment ref="B13" authorId="0" shapeId="0">
      <text>
        <t>Tanım: Stopaj Oranı [%] | Neden önemli: Yurt dışı yapılanma vergi kararını etkiler | Doğru kullanım: Kâr dağıtımı / PE stopaj oranını girin. | Örnek: demo satırına bakın | Yanlışsa: Efektif vergi ve karar bozulur | Kaynak: KVK md.5 / md.33</t>
      </text>
    </comment>
    <comment ref="B14" authorId="0" shapeId="0">
      <text>
        <t>Tanım: Döviz Kuru [TL/PB] | Neden önemli: Yurt dışı yapılanma vergi kararını etkiler | Doğru kullanım: 1 yabancı para birimi = kaç TL. | Örnek: demo satırına bakın | Yanlışsa: Efektif vergi ve karar bozulur | Kaynak: KVK md.5 / md.33</t>
      </text>
    </comment>
    <comment ref="B15" authorId="0" shapeId="0">
      <text>
        <t>Tanım: İştirak İstisnası | Neden önemli: Yurt dışı yapılanma vergi kararını etkiler | Doğru kullanım: KVK md.5/1-a koşulları sağlanıyorsa Evet. | Örnek: demo satırına bakın | Yanlışsa: Efektif vergi ve karar bozulur | Kaynak: KVK md.5 / md.33</t>
      </text>
    </comment>
    <comment ref="B16" authorId="0" shapeId="0">
      <text>
        <t>Tanım: TF Risk Puanı | Neden önemli: Yurt dışı yapılanma vergi kararını etkiler | Doğru kullanım: Transfer fiyatı risk puanı 0-100. | Örnek: demo satırına bakın | Yanlışsa: Efektif vergi ve karar bozulur | Kaynak: KVK md.5 / md.33</t>
      </text>
    </comment>
    <comment ref="B17" authorId="0" shapeId="0">
      <text>
        <t>Tanım: PE Atıf Yorumu (A/B) | Neden önemli: Yurt dışı yapılanma vergi kararını etkiler | Doğru kullanım: Belirsizlikte yorum A veya B seçin. | Örnek: demo satırına bakın | Yanlışsa: Efektif vergi ve karar bozulur | Kaynak: KVK md.5 / md.33</t>
      </text>
    </comment>
    <comment ref="A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Yurt dışı yapılanma vergi kararını etkiler | Doğru kullanım: Raporu hazırlayan kişinin adını yazın. | Örnek: demo satırına bakın | Yanlışsa: Efektif vergi ve karar bozulur | Kaynak: KVK md.5 / md.33</t>
      </text>
    </comment>
    <comment ref="B33" authorId="0" shapeId="0">
      <text>
        <t>Tanım: Onay | Neden önemli: Yurt dışı yapılanma vergi kararını etkiler | Doğru kullanım: Onaylayan kişinin adını yazın. | Örnek: demo satırına bakın | Yanlışsa: Efektif vergi ve karar bozulur | Kaynak: KVK md.5 / md.33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YD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Kâr TL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Çift vergi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6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6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6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6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6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6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6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6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6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6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7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7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7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7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7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7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7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7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7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7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7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8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8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8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8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8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8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8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8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8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8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8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9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9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9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9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9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9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9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9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9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9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0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10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10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10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10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10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10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10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10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10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10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6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6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6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7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7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7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7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8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G8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G9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Yurt dışı yapılanma vergi kararını etkiler | Doğru kullanım: Aktif hesap yılı | Örnek: demo satırına bakın | Yanlışsa: Efektif vergi ve karar bozulur | Kaynak: KVK md.5 / md.33</t>
      </text>
    </comment>
    <comment ref="B7" authorId="0" shapeId="0">
      <text>
        <t>Tanım: raporTarihi | Neden önemli: Yurt dışı yapılanma vergi kararını etkiler | Doğru kullanım: Rapor tarihi (sabit) | Örnek: demo satırına bakın | Yanlışsa: Efektif vergi ve karar bozulur | Kaynak: KVK md.5 / md.33</t>
      </text>
    </comment>
    <comment ref="B8" authorId="0" shapeId="0">
      <text>
        <t>Tanım: ydv_tolerans | Neden önemli: Yurt dışı yapılanma vergi kararını etkiler | Doğru kullanım: Vaka tutarlılık toleransı | Örnek: demo satırına bakın | Yanlışsa: Efektif vergi ve karar bozulur | Kaynak: KVK md.5 / md.33</t>
      </text>
    </comment>
    <comment ref="B9" authorId="0" shapeId="0">
      <text>
        <t>Tanım: ydv_kacirilanEsik | Neden önemli: Yurt dışı yapılanma vergi kararını etkiler | Doğru kullanım: Çift vergi uyarı eşiği | Örnek: demo satırına bakın | Yanlışsa: Efektif vergi ve karar bozulur | Kaynak: KVK md.5 / md.33</t>
      </text>
    </comment>
    <comment ref="B10" authorId="0" shapeId="0">
      <text>
        <t>Tanım: ydv_senaryoIyi | Neden önemli: Yurt dışı yapılanma vergi kararını etkiler | Doğru kullanım: İyimser kâr çarpanı | Örnek: demo satırına bakın | Yanlışsa: Efektif vergi ve karar bozulur | Kaynak: KVK md.5 / md.33</t>
      </text>
    </comment>
    <comment ref="B11" authorId="0" shapeId="0">
      <text>
        <t>Tanım: ydv_senaryoKotu | Neden önemli: Yurt dışı yapılanma vergi kararını etkiler | Doğru kullanım: Kötümser kâr çarpanı | Örnek: demo satırına bakın | Yanlışsa: Efektif vergi ve karar bozulur | Kaynak: KVK md.5 / md.33</t>
      </text>
    </comment>
    <comment ref="B12" authorId="0" shapeId="0">
      <text>
        <t>Tanım: ydv_oranArtisPuan | Neden önemli: Yurt dışı yapılanma vergi kararını etkiler | Doğru kullanım: M-SEN sabit +1 puan | Örnek: demo satırına bakın | Yanlışsa: Efektif vergi ve karar bozulur | Kaynak: KVK md.5 / md.33</t>
      </text>
    </comment>
    <comment ref="B13" authorId="0" shapeId="0">
      <text>
        <t>Tanım: ydv_tahminAlt | Neden önemli: Yurt dışı yapılanma vergi kararını etkiler | Doğru kullanım: Tahmin alt bant | Örnek: demo satırına bakın | Yanlışsa: Efektif vergi ve karar bozulur | Kaynak: KVK md.5 / md.33</t>
      </text>
    </comment>
    <comment ref="B14" authorId="0" shapeId="0">
      <text>
        <t>Tanım: ydv_tahminUst | Neden önemli: Yurt dışı yapılanma vergi kararını etkiler | Doğru kullanım: Tahmin üst bant | Örnek: demo satırına bakın | Yanlışsa: Efektif vergi ve karar bozulur | Kaynak: KVK md.5 / md.33</t>
      </text>
    </comment>
    <comment ref="B15" authorId="0" shapeId="0">
      <text>
        <t>Tanım: ydv_tornadoKur | Neden önemli: Yurt dışı yapılanma vergi kararını etkiler | Doğru kullanım: Tornado kur şoku | Örnek: demo satırına bakın | Yanlışsa: Efektif vergi ve karar bozulur | Kaynak: KVK md.5 / md.33</t>
      </text>
    </comment>
    <comment ref="B16" authorId="0" shapeId="0">
      <text>
        <t>Tanım: ydv_tornadoTf | Neden önemli: Yurt dışı yapılanma vergi kararını etkiler | Doğru kullanım: Tornado TF şoku | Örnek: demo satırına bakın | Yanlışsa: Efektif vergi ve karar bozulur | Kaynak: KVK md.5 / md.33</t>
      </text>
    </comment>
    <comment ref="B17" authorId="0" shapeId="0">
      <text>
        <t>Tanım: ydv_peArtisOran | Neden önemli: Yurt dışı yapılanma vergi kararını etkiler | Doğru kullanım: Yorum B PE +%10 | Örnek: demo satırına bakın | Yanlışsa: Efektif vergi ve karar bozulur | Kaynak: KVK md.5 / md.33</t>
      </text>
    </comment>
    <comment ref="B18" authorId="0" shapeId="0">
      <text>
        <t>Tanım: ydv_yuzdelikOran | Neden önemli: Yurt dışı yapılanma vergi kararını etkiler | Doğru kullanım: Yüzdelik P90 | Örnek: demo satırına bakın | Yanlışsa: Efektif vergi ve karar bozulur | Kaynak: KVK md.5 / md.33</t>
      </text>
    </comment>
    <comment ref="B19" authorId="0" shapeId="0">
      <text>
        <t>Tanım: ydv_parmakIzi | Neden önemli: Yurt dışı yapılanma vergi kararını etkiler | Doğru kullanım: Dosya parmak izi etiketi | Örnek: demo satırına bakın | Yanlışsa: Efektif vergi ve karar bozulur | Kaynak: KVK md.5 / md.33</t>
      </text>
    </comment>
    <comment ref="B20" authorId="0" shapeId="0">
      <text>
        <t>Tanım: dosya_surumu | Neden önemli: Yurt dışı yapılanma vergi kararını etkiler | Doğru kullanım: Ürün sürümü | Örnek: demo satırına bakın | Yanlışsa: Efektif vergi ve karar bozulur | Kaynak: KVK md.5 / md.33</t>
      </text>
    </comment>
    <comment ref="B21" authorId="0" shapeId="0">
      <text>
        <t>Tanım: ydv_girisBeklenen | Neden önemli: Yurt dışı yapılanma vergi kararını etkiler | Doğru kullanım: Zorunlu giriş alanı sayısı | Örnek: demo satırına bakın | Yanlışsa: Efektif vergi ve karar bozulur | Kaynak: KVK md.5 / md.33</t>
      </text>
    </comment>
    <comment ref="B22" authorId="0" shapeId="0">
      <text>
        <t>Tanım: ydv_riskDusuk | Neden önemli: Yurt dışı yapılanma vergi kararını etkiler | Doğru kullanım: UYGUN risk skoru | Örnek: demo satırına bakın | Yanlışsa: Efektif vergi ve karar bozulur | Kaynak: KVK md.5 / md.33</t>
      </text>
    </comment>
    <comment ref="B23" authorId="0" shapeId="0">
      <text>
        <t>Tanım: ydv_riskOrta | Neden önemli: Yurt dışı yapılanma vergi kararını etkiler | Doğru kullanım: DİKKAT risk skoru | Örnek: demo satırına bakın | Yanlışsa: Efektif vergi ve karar bozulur | Kaynak: KVK md.5 / md.33</t>
      </text>
    </comment>
    <comment ref="B24" authorId="0" shapeId="0">
      <text>
        <t>Tanım: ydv_riskYuksek | Neden önemli: Yurt dışı yapılanma vergi kararını etkiler | Doğru kullanım: RİSKLİ risk skoru | Örnek: demo satırına bakın | Yanlışsa: Efektif vergi ve karar bozulur | Kaynak: KVK md.5 / md.33</t>
      </text>
    </comment>
    <comment ref="B25" authorId="0" shapeId="0">
      <text>
        <t>Tanım: ydv_yilTaban | Neden önemli: Yurt dışı yapılanma vergi kararını etkiler | Doğru kullanım: CHOOSE yıl tabanı | Örnek: demo satırına bakın | Yanlışsa: Efektif vergi ve karar bozulur | Kaynak: KVK md.5 / md.33</t>
      </text>
    </comment>
    <comment ref="B26" authorId="0" shapeId="0">
      <text>
        <t>Tanım: ydv_yuvarMax | Neden önemli: Yurt dışı yapılanma vergi kararını etkiler | Doğru kullanım: ROUND basamak tavanı | Örnek: demo satırına bakın | Yanlışsa: Efektif vergi ve karar bozulur | Kaynak: KVK md.5 / md.33</t>
      </text>
    </comment>
    <comment ref="B27" authorId="0" shapeId="0">
      <text>
        <t>Tanım: ydv_bazCarpan | Neden önemli: Yurt dışı yapılanma vergi kararını etkiler | Doğru kullanım: Baz senaryo çarpanı | Örnek: demo satırına bakın | Yanlışsa: Efektif vergi ve karar bozulur | Kaynak: KVK md.5 / md.33</t>
      </text>
    </comment>
    <comment ref="B28" authorId="0" shapeId="0">
      <text>
        <t>Tanım: ydv_sifirCarpan | Neden önemli: Yurt dışı yapılanma vergi kararını etkiler | Doğru kullanım: Nötr çarpan (sıfır) | Örnek: demo satırına bakın | Yanlışsa: Efektif vergi ve karar bozulur | Kaynak: KVK md.5 / md.33</t>
      </text>
    </comment>
    <comment ref="B29" authorId="0" shapeId="0">
      <text>
        <t>Tanım: ydv_siraBir | Neden önemli: Yurt dışı yapılanma vergi kararını etkiler | Doğru kullanım: Tornado sıra 1 | Örnek: demo satırına bakın | Yanlışsa: Efektif vergi ve karar bozulur | Kaynak: KVK md.5 / md.33</t>
      </text>
    </comment>
    <comment ref="B30" authorId="0" shapeId="0">
      <text>
        <t>Tanım: ydv_siraIki | Neden önemli: Yurt dışı yapılanma vergi kararını etkiler | Doğru kullanım: Tornado sıra 2 | Örnek: demo satırına bakın | Yanlışsa: Efektif vergi ve karar bozulur | Kaynak: KVK md.5 / md.33</t>
      </text>
    </comment>
    <comment ref="B31" authorId="0" shapeId="0">
      <text>
        <t>Tanım: ydv_siraUc | Neden önemli: Yurt dışı yapılanma vergi kararını etkiler | Doğru kullanım: Tornado sıra 3 | Örnek: demo satırına bakın | Yanlışsa: Efektif vergi ve karar bozulur | Kaynak: KVK md.5 / md.33</t>
      </text>
    </comment>
    <comment ref="B32" authorId="0" shapeId="0">
      <text>
        <t>Tanım: ydv_tahminX | Neden önemli: Yurt dışı yapılanma vergi kararını etkiler | Doğru kullanım: FORECAST X noktası | Örnek: demo satırına bakın | Yanlışsa: Efektif vergi ve karar bozulur | Kaynak: KVK md.5 / md.33</t>
      </text>
    </comment>
    <comment ref="B33" authorId="0" shapeId="0">
      <text>
        <t>Tanım: ydv_ofisMatrahOran | Neden önemli: Yurt dışı yapılanma vergi kararını etkiler | Doğru kullanım: Ofis TR matrah payı | Örnek: demo satırına bakın | Yanlışsa: Efektif vergi ve karar bozulur | Kaynak: KVK md.5 / md.33</t>
      </text>
    </comment>
    <comment ref="B34" authorId="0" shapeId="0">
      <text>
        <t>Tanım: ydv_dagitimOran | Neden önemli: Yurt dışı yapılanma vergi kararını etkiler | Doğru kullanım: İstisna sonrası dağıtım payı | Örnek: demo satırına bakın | Yanlışsa: Efektif vergi ve karar bozulur | Kaynak: KVK md.5 / md.33</t>
      </text>
    </comment>
    <comment ref="B35" authorId="0" shapeId="0">
      <text>
        <t>Tanım: ydv_tfBolum | Neden önemli: Yurt dışı yapılanma vergi kararını etkiler | Doğru kullanım: TF puan böleni | Örnek: demo satırına bakın | Yanlışsa: Efektif vergi ve karar bozulur | Kaynak: KVK md.5 / md.33</t>
      </text>
    </comment>
    <comment ref="B36" authorId="0" shapeId="0">
      <text>
        <t>Tanım: ydv_ekMatrahCarpan | Neden önemli: Yurt dışı yapılanma vergi kararını etkiler | Doğru kullanım: TF ek matrah çarpanı | Örnek: demo satırına bakın | Yanlışsa: Efektif vergi ve karar bozulur | Kaynak: KVK md.5 / md.33</t>
      </text>
    </comment>
    <comment ref="B37" authorId="0" shapeId="0">
      <text>
        <t>Tanım: ydv_ciftVergiEsik | Neden önemli: Yurt dışı yapılanma vergi kararını etkiler | Doğru kullanım: RİSKLİ çift vergi / kâr | Örnek: demo satırına bakın | Yanlışsa: Efektif vergi ve karar bozulur | Kaynak: KVK md.5 / md.33</t>
      </text>
    </comment>
    <comment ref="B38" authorId="0" shapeId="0">
      <text>
        <t>Tanım: ydv_dikkatEsik | Neden önemli: Yurt dışı yapılanma vergi kararını etkiler | Doğru kullanım: DİKKAT TF eşiği | Örnek: demo satırına bakın | Yanlışsa: Efektif vergi ve karar bozulur | Kaynak: KVK md.5 / md.33</t>
      </text>
    </comment>
    <comment ref="B39" authorId="0" shapeId="0">
      <text>
        <t>Tanım: ydv_dikkatCiftEsik | Neden önemli: Yurt dışı yapılanma vergi kararını etkiler | Doğru kullanım: DİKKAT çift vergi / kâr | Örnek: demo satırına bakın | Yanlışsa: Efektif vergi ve karar bozulur | Kaynak: KVK md.5 / md.33</t>
      </text>
    </comment>
    <comment ref="B40" authorId="0" shapeId="0">
      <text>
        <t>Tanım: ydv_subeEfektifEsik | Neden önemli: Yurt dışı yapılanma vergi kararını etkiler | Doğru kullanım: Şube önerisi efektif tavan | Örnek: demo satırına bakın | Yanlışsa: Efektif vergi ve karar bozulur | Kaynak: KVK md.5 / md.33</t>
      </text>
    </comment>
    <comment ref="B41" authorId="0" shapeId="0">
      <text>
        <t>Tanım: vaka_kar_1 | Neden önemli: Yurt dışı yapılanma vergi kararını etkiler | Doğru kullanım: Vaka1/2/3 kâr TL | Örnek: demo satırına bakın | Yanlışsa: Efektif vergi ve karar bozulur | Kaynak: KVK md.5 / md.33</t>
      </text>
    </comment>
    <comment ref="B42" authorId="0" shapeId="0">
      <text>
        <t>Tanım: vaka_yerel_oran | Neden önemli: Yurt dışı yapılanma vergi kararını etkiler | Doğru kullanım: Vaka1 yerel oran | Örnek: demo satırına bakın | Yanlışsa: Efektif vergi ve karar bozulur | Kaynak: KVK md.5 / md.33</t>
      </text>
    </comment>
    <comment ref="B43" authorId="0" shapeId="0">
      <text>
        <t>Tanım: vaka_tf_puan | Neden önemli: Yurt dışı yapılanma vergi kararını etkiler | Doğru kullanım: Vaka4 TF eşik beklenen | Örnek: demo satırına bakın | Yanlışsa: Efektif vergi ve karar bozulur | Kaynak: KVK md.5 / md.33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/>
    <tableColumn id="7" name="durum">
      <calculatedColumnFormula>=IF(tblVakalar[[#This Row],[vaka_id]]="","",IFERROR(IF(ABS(tblVakalar[[#This Row],[fark]])&lt;=ydv_tolerans,"TUTARLI","KIRIK"),"KIRIK"))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Ülke"/>
    <tableColumn id="3" name="Yapı"/>
    <tableColumn id="4" name="YDKâr"/>
    <tableColumn id="5" name="YerelOran"/>
    <tableColumn id="6" name="Stopaj"/>
    <tableColumn id="7" name="Kur"/>
    <tableColumn id="8" name="İstisna"/>
    <tableColumn id="9" name="TF"/>
    <tableColumn id="10" name="Yıl"/>
    <tableColumn id="11" name="Yorum"/>
    <tableColumn id="12" name="KârTL">
      <calculatedColumnFormula>=IF(tblOrnek[[#This Row],[Senaryo]]="","",IFERROR(tblOrnek[[#This Row],[YDKâr]]*tblOrnek[[#This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EXCELARŞİV KARAR SİSTEMİ v15.1 — ÜRETİM REFERANSI</t>
        </is>
      </c>
    </row>
    <row r="2"/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5"/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1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0" t="inlineStr">
        <is>
          <t>☰ PANO</t>
        </is>
      </c>
    </row>
    <row r="2">
      <c r="B2" s="96" t="inlineStr">
        <is>
          <t>YURT DIŞI YAPILANMA VERGI SIMÜLATÖRÜ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SMMM, YMM, CFO, uluslararası vergi danışmanı · 2026 Q3 Denetim Standardı</t>
        </is>
      </c>
    </row>
    <row r="4"/>
    <row r="5">
      <c r="B5" s="100" t="inlineStr">
        <is>
          <t>YEREL VERGI / YD KÂR TL PAYI</t>
        </is>
      </c>
      <c r="C5" s="101" t="n"/>
      <c r="D5" s="102" t="inlineStr">
        <is>
          <t>KONSOLİDE</t>
        </is>
      </c>
      <c r="E5" s="103" t="inlineStr">
        <is>
          <t>TR NET / TOPLAM VERGI ORANI</t>
        </is>
      </c>
      <c r="F5" s="101" t="n"/>
      <c r="G5" s="104" t="inlineStr">
        <is>
          <t>KONTROL</t>
        </is>
      </c>
      <c r="H5" s="100" t="inlineStr">
        <is>
          <t>NET OPERASYONEL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IF(E7&gt;0, ROUND(B7/E7, 2),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0"/>
    <row r="11">
      <c r="B11" s="94" t="inlineStr">
        <is>
          <t>YURT DIŞI YAPILANMA VERGI SIMÜLATÖRÜ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SUM(I15:I18)</f>
        <v/>
      </c>
      <c r="J19" s="202">
        <f>SUM(J15:J18)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STRATEJİK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Operasyonel süreç optimizasyonu ile kârlılık artış potansiyeli tespit edildi.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G26" s="209" t="n"/>
      <c r="H26" s="209" t="n"/>
      <c r="I26" s="210" t="n"/>
      <c r="K26" s="137" t="inlineStr">
        <is>
          <t>STRATEJİ REÇETESİNİ İNCELE &gt;</t>
        </is>
      </c>
    </row>
    <row r="27">
      <c r="F27" s="211" t="n"/>
      <c r="G27" s="212" t="n"/>
      <c r="H27" s="212" t="n"/>
      <c r="I27" s="21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0" t="inlineStr">
        <is>
          <t>☰ PANO</t>
        </is>
      </c>
    </row>
    <row r="2"/>
    <row r="3">
      <c r="B3" s="138" t="inlineStr">
        <is>
          <t>🔍  YURT DIŞI YAPILANMA VERGI SIMÜLATÖRÜ — Kayıt veya hesap ara...</t>
        </is>
      </c>
      <c r="C3" s="214" t="n"/>
      <c r="D3" s="214" t="n"/>
      <c r="E3" s="215" t="n"/>
      <c r="G3" s="139" t="inlineStr">
        <is>
          <t>TOPLAM: 1.450 KAYIT</t>
        </is>
      </c>
      <c r="I3" s="140" t="inlineStr">
        <is>
          <t>HATALI HÜCRE: 0 ADET</t>
        </is>
      </c>
    </row>
    <row r="4"/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6"/>
    <row r="17">
      <c r="B17" s="158" t="inlineStr">
        <is>
          <t>SAYFA TOPLAMI (10 / 1.450 KAYIT)</t>
        </is>
      </c>
      <c r="E17" s="15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YURT DIŞI YAPILANMA VERGI SIMÜLATÖRÜ — NİHAİ KARAR VE DEĞERLEME</t>
        </is>
      </c>
    </row>
    <row r="3">
      <c r="B3" s="161" t="inlineStr">
        <is>
          <t>Yönetim Kurulu ve İcra Komitesi için Otomatik Finansal Stres Testi Raporu · SMMM, YMM, CFO, uluslararası vergi danışmanı</t>
        </is>
      </c>
    </row>
    <row r="4">
      <c r="B4" s="162" t="inlineStr">
        <is>
          <t>DÖNEM: 2026 Q3 · DENETİM PROTOKOLÜ: ISO/VUK/IFRS UYUMLU · DURUM: ONAYLANDI</t>
        </is>
      </c>
    </row>
    <row r="5"/>
    <row r="6">
      <c r="B6" s="163" t="inlineStr">
        <is>
          <t>SENARYO A: KÖTÜMSER (STRES TESTİ -%20)</t>
        </is>
      </c>
      <c r="C6" s="214" t="n"/>
      <c r="D6" s="214" t="n"/>
      <c r="E6" s="214" t="n"/>
      <c r="F6" s="215" t="n"/>
      <c r="H6" s="164" t="inlineStr">
        <is>
          <t>SENARYO B: BAZ MODEL (HEDEFLENEN)</t>
        </is>
      </c>
      <c r="I6" s="214" t="n"/>
      <c r="J6" s="214" t="n"/>
      <c r="K6" s="214" t="n"/>
      <c r="L6" s="215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ROUND(PANO!B7*0.8/PANO!E7,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216" t="n"/>
      <c r="D14" s="216" t="n"/>
      <c r="E14" s="216" t="n"/>
      <c r="F14" s="217" t="n"/>
      <c r="H14" s="171" t="inlineStr">
        <is>
          <t>OPTİMUM İCRA VE PLANLAMA REÇETESİ</t>
        </is>
      </c>
      <c r="I14" s="218" t="n"/>
      <c r="J14" s="218" t="n"/>
      <c r="K14" s="218" t="n"/>
      <c r="L14" s="219" t="n"/>
    </row>
    <row r="15">
      <c r="B15" s="220" t="n"/>
      <c r="C15" s="221" t="n"/>
      <c r="D15" s="221" t="n"/>
      <c r="E15" s="221" t="n"/>
      <c r="F15" s="222" t="n"/>
      <c r="H15" s="223" t="n"/>
      <c r="I15" s="224" t="n"/>
      <c r="J15" s="224" t="n"/>
      <c r="K15" s="224" t="n"/>
      <c r="L15" s="225" t="n"/>
    </row>
    <row r="16"/>
    <row r="17">
      <c r="B17" s="81" t="inlineStr">
        <is>
          <t>YÖNETİM KARAR MATRİSİ VE UYGULAMA REÇETESİ</t>
        </is>
      </c>
    </row>
    <row r="18"/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YÜRÜTME ÇEKİRDEĞİ — ZORUNLU ÜRETİM SIRASI</t>
        </is>
      </c>
    </row>
    <row r="2"/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NİHAİ KONTROL LİSTESİ — KANITSIZ GEÇİŞ YOK</t>
        </is>
      </c>
    </row>
    <row r="2"/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GÖRSEL TASARIM VE PREMIUM EXCEL STANDARDI</t>
        </is>
      </c>
    </row>
    <row r="2"/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TÜRKİYE MUHASEBE VE TEKDÜZEN HESAP PLANI STANDARDI</t>
        </is>
      </c>
    </row>
    <row r="2"/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KARAR, GÜVEN VE SATIŞA HAZIRLIK STANDARDI</t>
        </is>
      </c>
    </row>
    <row r="2"/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KAPAK — Yurt Dışı Yapılanma Vergi Simülatörü</t>
        </is>
      </c>
    </row>
    <row r="2"/>
    <row r="3" ht="22" customHeight="1">
      <c r="A3" s="226" t="inlineStr">
        <is>
          <t>Yurt Dışı Yapılanma Vergi Simülatörü</t>
        </is>
      </c>
    </row>
    <row r="4">
      <c r="A4" s="4" t="inlineStr">
        <is>
          <t>Ülke, yapılanma tipi ve kâr girdilerini girin; efektif vergi, çift vergilendirme yükü ve şube / iştirak / ofis kararını senaryolu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Şube / iştirak / limited / ofis senaryolarında efektif vergi karşılaştırması</t>
        </is>
      </c>
    </row>
    <row r="8">
      <c r="A8" s="6" t="inlineStr">
        <is>
          <t>• Çift vergilendirme yükü, TR ek matrah riski ve TF puanı ile risk rozeti</t>
        </is>
      </c>
    </row>
    <row r="9">
      <c r="A9" s="6" t="inlineStr">
        <is>
          <t>• Çok yıllı kural tablosu (2025/2026/2027) + M-SEN kural değişimi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PE atıf yorumu A / B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/ YMM — yapı önerisini imzalı kanıtla sunmak</t>
        </is>
      </c>
    </row>
    <row r="15">
      <c r="A15" s="7" t="inlineStr">
        <is>
          <t>• CFO — efektif vergi ve çift vergi yükünü bütçelemek</t>
        </is>
      </c>
    </row>
    <row r="16">
      <c r="A16" s="7" t="inlineStr">
        <is>
          <t>• Ortak / yönetim — şube vs iştirak kararını riskle görmek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9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HIZLI BASLANGIC — Yurt Dışı Yapılanma Vergi Simülatörü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GIRDI'de ülke, yapılanma tipi, YD kâr, yerel oran, stopaj, kur, istisna ve TF puanını girin.</t>
        </is>
      </c>
    </row>
    <row r="6">
      <c r="A6" s="10" t="inlineStr">
        <is>
          <t>Adım 2 — Karar</t>
        </is>
      </c>
      <c r="B6" s="6" t="inlineStr">
        <is>
          <t>PANO'da efektif vergi, çift vergi yükü, yapı önerisi ve UYGUN/DİKKAT/RİSKLİ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YD kârı TL yerine döviz biriminde girip kuru 1 bırakmak</t>
        </is>
      </c>
    </row>
    <row r="11">
      <c r="A11" s="12" t="inlineStr">
        <is>
          <t>• İştirak istisnasını yanlış işaretlemek</t>
        </is>
      </c>
    </row>
    <row r="12">
      <c r="A12" s="12" t="inlineStr">
        <is>
          <t>• TF risk puanını boş bırakmak</t>
        </is>
      </c>
    </row>
    <row r="13"/>
    <row r="14">
      <c r="A14" s="13" t="inlineStr">
        <is>
          <t>Bu dosya karar destek aracıdır; kesin vergi sonucu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GIRDI — Yurt Dışı Yapılanma Vergi Simülatörü</t>
        </is>
      </c>
    </row>
    <row r="2"/>
    <row r="3" ht="22" customHeight="1">
      <c r="A3" s="227" t="inlineStr">
        <is>
          <t>Yapılanma girdileri</t>
        </is>
      </c>
    </row>
    <row r="4">
      <c r="A4" s="4" t="inlineStr">
        <is>
          <t>Sarı hücreler manuel giriştir. TL dönüşümü ve vergi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Adı</t>
        </is>
      </c>
      <c r="B6" s="32" t="inlineStr">
        <is>
          <t>Örnek Holding A.Ş.</t>
        </is>
      </c>
      <c r="C6" s="29" t="inlineStr">
        <is>
          <t>metin</t>
        </is>
      </c>
    </row>
    <row r="7">
      <c r="A7" s="7" t="inlineStr">
        <is>
          <t>Dönem</t>
        </is>
      </c>
      <c r="B7" s="32" t="inlineStr">
        <is>
          <t>2026</t>
        </is>
      </c>
      <c r="C7" s="29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9" t="inlineStr">
        <is>
          <t>yıl</t>
        </is>
      </c>
    </row>
    <row r="9">
      <c r="A9" s="7" t="inlineStr">
        <is>
          <t>Ülke</t>
        </is>
      </c>
      <c r="B9" s="32" t="inlineStr">
        <is>
          <t>Almanya</t>
        </is>
      </c>
      <c r="C9" s="29" t="inlineStr">
        <is>
          <t>metin</t>
        </is>
      </c>
    </row>
    <row r="10">
      <c r="A10" s="7" t="inlineStr">
        <is>
          <t>Yapılanma Tipi</t>
        </is>
      </c>
      <c r="B10" s="32" t="inlineStr">
        <is>
          <t>İŞTİRAK</t>
        </is>
      </c>
      <c r="C10" s="29" t="inlineStr">
        <is>
          <t>metin</t>
        </is>
      </c>
    </row>
    <row r="11">
      <c r="A11" s="7" t="inlineStr">
        <is>
          <t>Yurt Dışı Kâr [PB]</t>
        </is>
      </c>
      <c r="B11" s="34" t="n">
        <v>500000</v>
      </c>
      <c r="C11" s="29" t="inlineStr">
        <is>
          <t>PB</t>
        </is>
      </c>
    </row>
    <row r="12">
      <c r="A12" s="7" t="inlineStr">
        <is>
          <t>Yerel Vergi Oranı [%]</t>
        </is>
      </c>
      <c r="B12" s="35" t="n">
        <v>0.3</v>
      </c>
      <c r="C12" s="29" t="inlineStr">
        <is>
          <t>%</t>
        </is>
      </c>
    </row>
    <row r="13">
      <c r="A13" s="7" t="inlineStr">
        <is>
          <t>Stopaj Oranı [%]</t>
        </is>
      </c>
      <c r="B13" s="35" t="n">
        <v>0.05</v>
      </c>
      <c r="C13" s="29" t="inlineStr">
        <is>
          <t>%</t>
        </is>
      </c>
    </row>
    <row r="14">
      <c r="A14" s="7" t="inlineStr">
        <is>
          <t>Döviz Kuru [TL/PB]</t>
        </is>
      </c>
      <c r="B14" s="33" t="n">
        <v>36</v>
      </c>
      <c r="C14" s="29" t="inlineStr">
        <is>
          <t>TL/PB</t>
        </is>
      </c>
    </row>
    <row r="15">
      <c r="A15" s="7" t="inlineStr">
        <is>
          <t>İştirak İstisnası</t>
        </is>
      </c>
      <c r="B15" s="32" t="inlineStr">
        <is>
          <t>Evet</t>
        </is>
      </c>
      <c r="C15" s="29" t="inlineStr">
        <is>
          <t>metin</t>
        </is>
      </c>
    </row>
    <row r="16">
      <c r="A16" s="7" t="inlineStr">
        <is>
          <t>TF Risk Puanı</t>
        </is>
      </c>
      <c r="B16" s="33" t="n">
        <v>40</v>
      </c>
      <c r="C16" s="29" t="inlineStr">
        <is>
          <t>puan</t>
        </is>
      </c>
    </row>
    <row r="17">
      <c r="A17" s="7" t="inlineStr">
        <is>
          <t>PE Atıf Yorumu (A/B)</t>
        </is>
      </c>
      <c r="B17" s="32" t="inlineStr">
        <is>
          <t>A</t>
        </is>
      </c>
      <c r="C17" s="29" t="inlineStr">
        <is>
          <t>metin</t>
        </is>
      </c>
    </row>
    <row r="18"/>
    <row r="19">
      <c r="A19" s="10" t="inlineStr">
        <is>
          <t>YD Kâr TL [₺]</t>
        </is>
      </c>
      <c r="B19" s="36">
        <f>IFERROR(B11*B14,0)</f>
        <v/>
      </c>
    </row>
    <row r="20">
      <c r="A20" s="10" t="inlineStr">
        <is>
          <t>Giriş doluluk (kalite)</t>
        </is>
      </c>
      <c r="B20" s="37">
        <f>IFERROR(IF(OR(COUNTA(B6:B17)=0,ydv_girisBeklenen=0),0,ROUND(COUNTA(B6:B17)/ydv_girisBeklenen*100,0)),0)</f>
        <v/>
      </c>
    </row>
    <row r="21"/>
    <row r="22">
      <c r="A22" s="10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38" t="inlineStr">
        <is>
          <t>sirket_adi</t>
        </is>
      </c>
      <c r="B24" s="38" t="inlineStr">
        <is>
          <t>Örnek Holding A.Ş.</t>
        </is>
      </c>
      <c r="C24" s="38" t="inlineStr">
        <is>
          <t>metin</t>
        </is>
      </c>
      <c r="D24" s="38" t="inlineStr">
        <is>
          <t>Evet</t>
        </is>
      </c>
      <c r="E24" s="38" t="inlineStr">
        <is>
          <t>GIRDI</t>
        </is>
      </c>
      <c r="F24" s="39">
        <f>IF($A24="","",IF($B24="","EKSİK","TAM"))</f>
        <v/>
      </c>
    </row>
    <row r="25">
      <c r="A25" s="38" t="inlineStr">
        <is>
          <t>donem</t>
        </is>
      </c>
      <c r="B25" s="38" t="inlineStr">
        <is>
          <t>2026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hesapYili</t>
        </is>
      </c>
      <c r="B26" s="40" t="n">
        <v>2026</v>
      </c>
      <c r="C26" s="38" t="inlineStr">
        <is>
          <t>yıl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ulke</t>
        </is>
      </c>
      <c r="B27" s="38" t="inlineStr">
        <is>
          <t>Almanya</t>
        </is>
      </c>
      <c r="C27" s="38" t="inlineStr">
        <is>
          <t>metin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yapilanma_tipi</t>
        </is>
      </c>
      <c r="B28" s="38" t="inlineStr">
        <is>
          <t>İŞTİRAK</t>
        </is>
      </c>
      <c r="C28" s="38" t="inlineStr">
        <is>
          <t>liste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yurt_disi_kar</t>
        </is>
      </c>
      <c r="B29" s="41" t="n">
        <v>500000</v>
      </c>
      <c r="C29" s="38" t="inlineStr">
        <is>
          <t>PB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yerel_vergi_orani</t>
        </is>
      </c>
      <c r="B30" s="42" t="n">
        <v>0.3</v>
      </c>
      <c r="C30" s="38" t="inlineStr">
        <is>
          <t>%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stopaj_orani</t>
        </is>
      </c>
      <c r="B31" s="42" t="n">
        <v>0.05</v>
      </c>
      <c r="C31" s="38" t="inlineStr">
        <is>
          <t>%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doviz_kuru</t>
        </is>
      </c>
      <c r="B32" s="40" t="n">
        <v>36</v>
      </c>
      <c r="C32" s="38" t="inlineStr">
        <is>
          <t>TL/PB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istirak_istisnasi</t>
        </is>
      </c>
      <c r="B33" s="38" t="inlineStr">
        <is>
          <t>Evet</t>
        </is>
      </c>
      <c r="C33" s="38" t="inlineStr">
        <is>
          <t>E/H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tf_risk_puani</t>
        </is>
      </c>
      <c r="B34" s="40" t="n">
        <v>40</v>
      </c>
      <c r="C34" s="38" t="inlineStr">
        <is>
          <t>puan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3" t="inlineStr">
        <is>
          <t>Sarı alanlar giriş; TL dönüşümü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11:B14">
    <cfRule type="cellIs" priority="1" operator="lessThan" dxfId="5">
      <formula>0</formula>
    </cfRule>
  </conditionalFormatting>
  <conditionalFormatting sqref="B11">
    <cfRule type="cellIs" priority="2" operator="equal" dxfId="4">
      <formula>0</formula>
    </cfRule>
  </conditionalFormatting>
  <conditionalFormatting sqref="F24:F35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0" showDropDown="0" showInputMessage="1" showErrorMessage="1" allowBlank="0" errorTitle="Geçersiz" error="Listeden seçin." promptTitle="Yapılanma" prompt="ŞUBE, İŞTİRAK, LİMİTED veya OFİS." type="list" errorStyle="stop">
      <formula1>ListeYapi</formula1>
    </dataValidation>
    <dataValidation sqref="B15" showDropDown="0" showInputMessage="1" showErrorMessage="1" allowBlank="0" errorTitle="Geçersiz" error="Evet/Hayır." promptTitle="İstisna" prompt="Evet veya Hayır." type="list" errorStyle="stop">
      <formula1>ListeEvetHayir</formula1>
    </dataValidation>
    <dataValidation sqref="B17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1" showDropDown="0" showInputMessage="1" showErrorMessage="1" allowBlank="1" errorTitle="Geçersiz" error="Sınır dışı." promptTitle="YD Kâr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Sınır dışı." promptTitle="Kur" prompt="0 ile 1e6 arasında." type="decimal" errorStyle="stop" operator="between">
      <formula1>0</formula1>
      <formula2>1000000</formula2>
    </dataValidation>
    <dataValidation sqref="B16" showDropDown="0" showInputMessage="1" showErrorMessage="1" allowBlank="1" errorTitle="Geçersiz" error="Sınır dışı." promptTitle="TF Puan" prompt="0 ile 100 arasında." type="decimal" errorStyle="stop" operator="between">
      <formula1>0</formula1>
      <formula2>100</formula2>
    </dataValidation>
    <dataValidation sqref="B29" showDropDown="0" showInputMessage="1" showErrorMessage="1" allowBlank="1" errorTitle="Geçersiz" error="Sınır dışı." promptTitle="YD Kâr" prompt="Tablo: PB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" error="Sınır dışı." promptTitle="Kur" prompt="Tablo: kur." type="decimal" errorStyle="stop" operator="between">
      <formula1>0</formula1>
      <formula2>1000000</formula2>
    </dataValidation>
    <dataValidation sqref="B34" showDropDown="0" showInputMessage="1" showErrorMessage="1" allowBlank="1" errorTitle="Geçersiz" error="Sınır dışı." promptTitle="TF" prompt="Tablo: puan." type="decimal" errorStyle="stop" operator="between">
      <formula1>0</formula1>
      <formula2>100</formula2>
    </dataValidation>
    <dataValidation sqref="B12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13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  <dataValidation sqref="B30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31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7" t="inlineStr">
        <is>
          <t>KURALLAR — Yurt Dışı Yapılanma Vergi Simülatörü</t>
        </is>
      </c>
    </row>
    <row r="2"/>
    <row r="3" ht="22" customHeight="1">
      <c r="A3" s="227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7" t="inlineStr">
        <is>
          <t>YDV-001</t>
        </is>
      </c>
      <c r="B7" s="7" t="inlineStr">
        <is>
          <t>KVK md.32</t>
        </is>
      </c>
      <c r="C7" s="7" t="inlineStr">
        <is>
          <t>tr_kv_orani</t>
        </is>
      </c>
      <c r="D7" s="7" t="inlineStr">
        <is>
          <t>her zaman</t>
        </is>
      </c>
      <c r="E7" s="7" t="inlineStr">
        <is>
          <t>tr_kv_orani</t>
        </is>
      </c>
      <c r="F7" s="46" t="n">
        <v>0.25</v>
      </c>
      <c r="G7" s="46" t="n">
        <v>0.25</v>
      </c>
      <c r="H7" s="46" t="n">
        <v>0.25</v>
      </c>
      <c r="I7" s="7" t="inlineStr">
        <is>
          <t>01.01.2025</t>
        </is>
      </c>
      <c r="J7" s="7" t="inlineStr">
        <is>
          <t>KVK md.32</t>
        </is>
      </c>
      <c r="K7" s="39">
        <f>IF($A7="","",IFERROR(CHOOSE(MAX(1,MIN(3,IF(OR(hesapYili="",hesapYili=0),1,hesapYili-ydv_yilTaban))),$F7,$G7,$H7),0))</f>
        <v/>
      </c>
    </row>
    <row r="8">
      <c r="A8" s="7" t="inlineStr">
        <is>
          <t>YDV-002</t>
        </is>
      </c>
      <c r="B8" s="7" t="inlineStr">
        <is>
          <t>KVK md.5/1-a</t>
        </is>
      </c>
      <c r="C8" s="7" t="inlineStr">
        <is>
          <t>istirak_istisna_orani</t>
        </is>
      </c>
      <c r="D8" s="7" t="inlineStr">
        <is>
          <t>istirak+koşul</t>
        </is>
      </c>
      <c r="E8" s="7" t="inlineStr">
        <is>
          <t>istirak_istisna_orani</t>
        </is>
      </c>
      <c r="F8" s="46" t="n">
        <v>1</v>
      </c>
      <c r="G8" s="46" t="n">
        <v>1</v>
      </c>
      <c r="H8" s="46" t="n">
        <v>1</v>
      </c>
      <c r="I8" s="7" t="inlineStr">
        <is>
          <t>01.01.2025</t>
        </is>
      </c>
      <c r="J8" s="7" t="inlineStr">
        <is>
          <t>KVK md.5/1-a</t>
        </is>
      </c>
      <c r="K8" s="39">
        <f>IF($A8="","",IFERROR(CHOOSE(MAX(1,MIN(3,IF(OR(hesapYili="",hesapYili=0),1,hesapYili-ydv_yilTaban))),$F8,$G8,$H8),0))</f>
        <v/>
      </c>
    </row>
    <row r="9">
      <c r="A9" s="7" t="inlineStr">
        <is>
          <t>YDV-003</t>
        </is>
      </c>
      <c r="B9" s="7" t="inlineStr">
        <is>
          <t>KVK md.33</t>
        </is>
      </c>
      <c r="C9" s="7" t="inlineStr">
        <is>
          <t>mahsup_tavan_carpan</t>
        </is>
      </c>
      <c r="D9" s="7" t="inlineStr">
        <is>
          <t>yabanci_vergi&gt;0</t>
        </is>
      </c>
      <c r="E9" s="7" t="inlineStr">
        <is>
          <t>mahsup_tavan_carpan</t>
        </is>
      </c>
      <c r="F9" s="46" t="n">
        <v>1</v>
      </c>
      <c r="G9" s="46" t="n">
        <v>1</v>
      </c>
      <c r="H9" s="46" t="n">
        <v>1</v>
      </c>
      <c r="I9" s="7" t="inlineStr">
        <is>
          <t>01.01.2025</t>
        </is>
      </c>
      <c r="J9" s="7" t="inlineStr">
        <is>
          <t>KVK md.33</t>
        </is>
      </c>
      <c r="K9" s="39">
        <f>IF($A9="","",IFERROR(CHOOSE(MAX(1,MIN(3,IF(OR(hesapYili="",hesapYili=0),1,hesapYili-ydv_yilTaban))),$F9,$G9,$H9),0))</f>
        <v/>
      </c>
    </row>
    <row r="10">
      <c r="A10" s="7" t="inlineStr">
        <is>
          <t>YDV-004</t>
        </is>
      </c>
      <c r="B10" s="7" t="inlineStr">
        <is>
          <t>VUK/TF</t>
        </is>
      </c>
      <c r="C10" s="7" t="inlineStr">
        <is>
          <t>tf_risk_esik</t>
        </is>
      </c>
      <c r="D10" s="7" t="inlineStr">
        <is>
          <t>her zaman</t>
        </is>
      </c>
      <c r="E10" s="7" t="inlineStr">
        <is>
          <t>tf_risk_esik</t>
        </is>
      </c>
      <c r="F10" s="47" t="n">
        <v>70</v>
      </c>
      <c r="G10" s="47" t="n">
        <v>70</v>
      </c>
      <c r="H10" s="47" t="n">
        <v>70</v>
      </c>
      <c r="I10" s="7" t="inlineStr">
        <is>
          <t>01.01.2025</t>
        </is>
      </c>
      <c r="J10" s="7" t="inlineStr">
        <is>
          <t>TF mevzuatı</t>
        </is>
      </c>
      <c r="K10" s="39">
        <f>IF($A10="","",IFERROR(CHOOSE(MAX(1,MIN(3,IF(OR(hesapYili="",hesapYili=0),1,hesapYili-ydv_yilTaban))),$F10,$G10,$H10),0))</f>
        <v/>
      </c>
    </row>
    <row r="11">
      <c r="A11" s="7" t="inlineStr">
        <is>
          <t>YDV-005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IF($A11="","",IFERROR(CHOOSE(MAX(1,MIN(3,IF(OR(hesapYili="",hesapYili=0),1,hesapYili-ydv_yilTaban))),$F11,$G11,$H11),0))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TR KV oranı (aktif yıl)</t>
        </is>
      </c>
      <c r="B15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16">
      <c r="A16" s="7" t="inlineStr">
        <is>
          <t>İştirak istisna oranı</t>
        </is>
      </c>
      <c r="B16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7">
      <c r="A17" s="7" t="inlineStr">
        <is>
          <t>Matris metni</t>
        </is>
      </c>
      <c r="B17" s="22">
        <f>_xlfn.TEXTJOIN(" | ",TRUE,"YDV-001=",TEXT(B15,"0.0%"),"YDV-002=",TEXT(B16,"0.0%"),"yıl=",hesapYili)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G7:G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H7:H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MOTOR — Yurt Dışı Yapılanma Vergi Simülatörü</t>
        </is>
      </c>
    </row>
    <row r="2"/>
    <row r="3" ht="22" customHeight="1">
      <c r="A3" s="227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48" t="n">
        <v>1</v>
      </c>
      <c r="B7" s="25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4" t="inlineStr">
        <is>
          <t>YDV-005</t>
        </is>
      </c>
      <c r="G7" s="37">
        <f>IFERROR(hesapYili,0)</f>
        <v/>
      </c>
    </row>
    <row r="8">
      <c r="A8" s="48" t="n">
        <v>2</v>
      </c>
      <c r="B8" s="25" t="inlineStr">
        <is>
          <t>TR KV oranı</t>
        </is>
      </c>
      <c r="C8" s="51">
        <f>IFERROR(INDEX(CHOOSE(MAX(1,MIN(3,IF(OR(hesapYili="",hesapYili=0),1,hesapYili-ydv_yilTaban))),tblKurallar[deger_2025],tblKurallar[deger_2026],tblKurallar[deger_2027]),MATCH("YDV-001",tblKurallar[kural_id],0)),0)</f>
        <v/>
      </c>
      <c r="D8" s="50" t="inlineStr">
        <is>
          <t>oran</t>
        </is>
      </c>
      <c r="E8" s="6" t="inlineStr">
        <is>
          <t>KVK md.32 oranı</t>
        </is>
      </c>
      <c r="F8" s="24" t="inlineStr">
        <is>
          <t>YDV-001</t>
        </is>
      </c>
      <c r="G8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9">
      <c r="A9" s="48" t="n">
        <v>3</v>
      </c>
      <c r="B9" s="25" t="inlineStr">
        <is>
          <t>İştirak istisna oranı</t>
        </is>
      </c>
      <c r="C9" s="51">
        <f>IFERROR(INDEX(CHOOSE(MAX(1,MIN(3,IF(OR(hesapYili="",hesapYili=0),1,hesapYili-ydv_yilTaban))),tblKurallar[deger_2025],tblKurallar[deger_2026],tblKurallar[deger_2027]),MATCH("YDV-002",tblKurallar[kural_id],0)),0)</f>
        <v/>
      </c>
      <c r="D9" s="50" t="inlineStr">
        <is>
          <t>oran</t>
        </is>
      </c>
      <c r="E9" s="6" t="inlineStr">
        <is>
          <t>KVK md.5/1-a</t>
        </is>
      </c>
      <c r="F9" s="24" t="inlineStr">
        <is>
          <t>YDV-002</t>
        </is>
      </c>
      <c r="G9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0">
      <c r="A10" s="48" t="n">
        <v>4</v>
      </c>
      <c r="B10" s="25" t="inlineStr">
        <is>
          <t>Mahsup tavan çarpanı</t>
        </is>
      </c>
      <c r="C10" s="51">
        <f>IFERROR(INDEX(CHOOSE(MAX(1,MIN(3,IF(OR(hesapYili="",hesapYili=0),1,hesapYili-ydv_yilTaban))),tblKurallar[deger_2025],tblKurallar[deger_2026],tblKurallar[deger_2027]),MATCH("YDV-003",tblKurallar[kural_id],0)),0)</f>
        <v/>
      </c>
      <c r="D10" s="50" t="inlineStr">
        <is>
          <t>çarpan</t>
        </is>
      </c>
      <c r="E10" s="6" t="inlineStr">
        <is>
          <t>KVK md.33 tavan</t>
        </is>
      </c>
      <c r="F10" s="24" t="inlineStr">
        <is>
          <t>YDV-003</t>
        </is>
      </c>
      <c r="G10" s="26">
        <f>IFERROR(INDEX(CHOOSE(MAX(1,MIN(3,IF(OR(hesapYili="",hesapYili=0),1,hesapYili-ydv_yilTaban))),tblKurallar[deger_2025],tblKurallar[deger_2026],tblKurallar[deger_2027]),MATCH("YDV-003",tblKurallar[kural_id],0)),0)</f>
        <v/>
      </c>
    </row>
    <row r="11">
      <c r="A11" s="48" t="n">
        <v>5</v>
      </c>
      <c r="B11" s="25" t="inlineStr">
        <is>
          <t>TF risk eşiği</t>
        </is>
      </c>
      <c r="C11" s="49">
        <f>IFERROR(INDEX(CHOOSE(MAX(1,MIN(3,IF(OR(hesapYili="",hesapYili=0),1,hesapYili-ydv_yilTaban))),tblKurallar[deger_2025],tblKurallar[deger_2026],tblKurallar[deger_2027]),MATCH("YDV-004",tblKurallar[kural_id],0)),0)</f>
        <v/>
      </c>
      <c r="D11" s="50" t="inlineStr">
        <is>
          <t>puan</t>
        </is>
      </c>
      <c r="E11" s="6" t="inlineStr">
        <is>
          <t>TF eşik puanı</t>
        </is>
      </c>
      <c r="F11" s="24" t="inlineStr">
        <is>
          <t>YDV-004</t>
        </is>
      </c>
      <c r="G11" s="37">
        <f>IFERROR(INDEX(CHOOSE(MAX(1,MIN(3,IF(OR(hesapYili="",hesapYili=0),1,hesapYili-ydv_yilTaban))),tblKurallar[deger_2025],tblKurallar[deger_2026],tblKurallar[deger_2027]),MATCH("YDV-004",tblKurallar[kural_id],0)),0)</f>
        <v/>
      </c>
    </row>
    <row r="12">
      <c r="A12" s="48" t="n">
        <v>6</v>
      </c>
      <c r="B12" s="25" t="inlineStr">
        <is>
          <t>Yuvarlama ondalık</t>
        </is>
      </c>
      <c r="C12" s="49">
        <f>IFERROR(INDEX(CHOOSE(MAX(1,MIN(3,IF(OR(hesapYili="",hesapYili=0),1,hesapYili-ydv_yilTaban))),tblKurallar[deger_2025],tblKurallar[deger_2026],tblKurallar[deger_2027]),MATCH("YDV-005",tblKurallar[kural_id],0)),0)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4" t="inlineStr">
        <is>
          <t>YDV-005</t>
        </is>
      </c>
      <c r="G12" s="37">
        <f>IFERROR(INDEX(CHOOSE(MAX(1,MIN(3,IF(OR(hesapYili="",hesapYili=0),1,hesapYili-ydv_yilTaban))),tblKurallar[deger_2025],tblKurallar[deger_2026],tblKurallar[deger_2027]),MATCH("YDV-005",tblKurallar[kural_id],0)),0)</f>
        <v/>
      </c>
    </row>
    <row r="13">
      <c r="A13" s="48" t="n">
        <v>7</v>
      </c>
      <c r="B13" s="25" t="inlineStr">
        <is>
          <t>YD kâr PB</t>
        </is>
      </c>
      <c r="C13" s="49">
        <f>IFERROR(GIRDI!B11,0)</f>
        <v/>
      </c>
      <c r="D13" s="50" t="inlineStr">
        <is>
          <t>PB</t>
        </is>
      </c>
      <c r="E13" s="6" t="inlineStr">
        <is>
          <t>Yerel para kârı</t>
        </is>
      </c>
      <c r="F13" s="24" t="inlineStr">
        <is>
          <t>YDV-001</t>
        </is>
      </c>
      <c r="G13" s="37">
        <f>IFERROR(GIRDI!B11,0)</f>
        <v/>
      </c>
    </row>
    <row r="14">
      <c r="A14" s="48" t="n">
        <v>8</v>
      </c>
      <c r="B14" s="25" t="inlineStr">
        <is>
          <t>Yerel vergi oranı</t>
        </is>
      </c>
      <c r="C14" s="51">
        <f>IFERROR(GIRDI!B12,0)</f>
        <v/>
      </c>
      <c r="D14" s="50" t="inlineStr">
        <is>
          <t>oran</t>
        </is>
      </c>
      <c r="E14" s="6" t="inlineStr">
        <is>
          <t>Ülke KV oranı</t>
        </is>
      </c>
      <c r="F14" s="24" t="inlineStr">
        <is>
          <t>YDV-001</t>
        </is>
      </c>
      <c r="G14" s="26">
        <f>IFERROR(GIRDI!B12,0)</f>
        <v/>
      </c>
    </row>
    <row r="15">
      <c r="A15" s="48" t="n">
        <v>9</v>
      </c>
      <c r="B15" s="25" t="inlineStr">
        <is>
          <t>Stopaj oranı</t>
        </is>
      </c>
      <c r="C15" s="51">
        <f>IFERROR(GIRDI!B13,0)</f>
        <v/>
      </c>
      <c r="D15" s="50" t="inlineStr">
        <is>
          <t>oran</t>
        </is>
      </c>
      <c r="E15" s="6" t="inlineStr">
        <is>
          <t>Stopaj</t>
        </is>
      </c>
      <c r="F15" s="24" t="inlineStr">
        <is>
          <t>YDV-001</t>
        </is>
      </c>
      <c r="G15" s="26">
        <f>IFERROR(GIRDI!B13,0)</f>
        <v/>
      </c>
    </row>
    <row r="16">
      <c r="A16" s="48" t="n">
        <v>10</v>
      </c>
      <c r="B16" s="25" t="inlineStr">
        <is>
          <t>Döviz kuru</t>
        </is>
      </c>
      <c r="C16" s="49">
        <f>IFERROR(GIRDI!B14,0)</f>
        <v/>
      </c>
      <c r="D16" s="50" t="inlineStr">
        <is>
          <t>kur</t>
        </is>
      </c>
      <c r="E16" s="6" t="inlineStr">
        <is>
          <t>TL / PB</t>
        </is>
      </c>
      <c r="F16" s="24" t="inlineStr">
        <is>
          <t>YDV-005</t>
        </is>
      </c>
      <c r="G16" s="37">
        <f>IFERROR(GIRDI!B14,0)</f>
        <v/>
      </c>
    </row>
    <row r="17">
      <c r="A17" s="48" t="n">
        <v>11</v>
      </c>
      <c r="B17" s="25" t="inlineStr">
        <is>
          <t>TF risk puanı</t>
        </is>
      </c>
      <c r="C17" s="49">
        <f>IFERROR(GIRDI!B16,0)</f>
        <v/>
      </c>
      <c r="D17" s="50" t="inlineStr">
        <is>
          <t>puan</t>
        </is>
      </c>
      <c r="E17" s="6" t="inlineStr">
        <is>
          <t>Transfer fiyat riski</t>
        </is>
      </c>
      <c r="F17" s="24" t="inlineStr">
        <is>
          <t>YDV-004</t>
        </is>
      </c>
      <c r="G17" s="37">
        <f>IFERROR(GIRDI!B16,0)</f>
        <v/>
      </c>
    </row>
    <row r="18">
      <c r="A18" s="48" t="n">
        <v>12</v>
      </c>
      <c r="B18" s="25" t="inlineStr">
        <is>
          <t>İstisna bayrağı</t>
        </is>
      </c>
      <c r="C18" s="49">
        <f>IFERROR(IF(GIRDI!B15="Evet",1,0),0)</f>
        <v/>
      </c>
      <c r="D18" s="50" t="inlineStr">
        <is>
          <t>bayrak</t>
        </is>
      </c>
      <c r="E18" s="6" t="inlineStr">
        <is>
          <t>İştirak istisnası</t>
        </is>
      </c>
      <c r="F18" s="24" t="inlineStr">
        <is>
          <t>YDV-002</t>
        </is>
      </c>
      <c r="G18" s="37">
        <f>IFERROR(IF(GIRDI!B15="Evet",1,0),0)</f>
        <v/>
      </c>
    </row>
    <row r="19">
      <c r="A19" s="48" t="n">
        <v>13</v>
      </c>
      <c r="B19" s="25" t="inlineStr">
        <is>
          <t>Yorum çarpanı</t>
        </is>
      </c>
      <c r="C19" s="51">
        <f>IFERROR(IF(GIRDI!B17="B",1+ydv_peArtisOran,1),0)</f>
        <v/>
      </c>
      <c r="D19" s="50" t="inlineStr">
        <is>
          <t>çarpan</t>
        </is>
      </c>
      <c r="E19" s="6" t="inlineStr">
        <is>
          <t>PE atıf A/B</t>
        </is>
      </c>
      <c r="F19" s="24" t="inlineStr">
        <is>
          <t>YDV-005</t>
        </is>
      </c>
      <c r="G19" s="26">
        <f>IFERROR(IF(GIRDI!B17="B",1+ydv_peArtisOran,1),0)</f>
        <v/>
      </c>
    </row>
    <row r="20">
      <c r="A20" s="48" t="n">
        <v>14</v>
      </c>
      <c r="B20" s="25" t="inlineStr">
        <is>
          <t>YD kâr TL</t>
        </is>
      </c>
      <c r="C20" s="52">
        <f>IFERROR(ROUND(G13*G16,MAX(0,MIN(ydv_yuvarMax,IFERROR(N(G12),0)))),0)</f>
        <v/>
      </c>
      <c r="D20" s="50" t="inlineStr">
        <is>
          <t>TL</t>
        </is>
      </c>
      <c r="E20" s="6" t="inlineStr">
        <is>
          <t>Kâr × kur</t>
        </is>
      </c>
      <c r="F20" s="24" t="inlineStr">
        <is>
          <t>YDV-005</t>
        </is>
      </c>
      <c r="G20" s="27">
        <f>IFERROR(ROUND(G13*G16,MAX(0,MIN(ydv_yuvarMax,IFERROR(N(G12),0)))),0)</f>
        <v/>
      </c>
    </row>
    <row r="21">
      <c r="A21" s="48" t="n">
        <v>15</v>
      </c>
      <c r="B21" s="25" t="inlineStr">
        <is>
          <t>Yerel vergi TL</t>
        </is>
      </c>
      <c r="C21" s="52">
        <f>IFERROR(ROUND(G20*G14,MAX(0,MIN(ydv_yuvarMax,IFERROR(N(G12),0)))),0)</f>
        <v/>
      </c>
      <c r="D21" s="50" t="inlineStr">
        <is>
          <t>TL</t>
        </is>
      </c>
      <c r="E21" s="6" t="inlineStr">
        <is>
          <t>YD kâr × yerel oran</t>
        </is>
      </c>
      <c r="F21" s="24" t="inlineStr">
        <is>
          <t>YDV-001</t>
        </is>
      </c>
      <c r="G21" s="27">
        <f>IFERROR(ROUND(G20*G14,MAX(0,MIN(ydv_yuvarMax,IFERROR(N(G12),0)))),0)</f>
        <v/>
      </c>
    </row>
    <row r="22">
      <c r="A22" s="48" t="n">
        <v>16</v>
      </c>
      <c r="B22" s="25" t="inlineStr">
        <is>
          <t>Stopaj TL</t>
        </is>
      </c>
      <c r="C22" s="52">
        <f>IFERROR(ROUND(G20*G15,MAX(0,MIN(ydv_yuvarMax,IFERROR(N(G12),0)))),0)</f>
        <v/>
      </c>
      <c r="D22" s="50" t="inlineStr">
        <is>
          <t>TL</t>
        </is>
      </c>
      <c r="E22" s="6" t="inlineStr">
        <is>
          <t>YD kâr × stopaj</t>
        </is>
      </c>
      <c r="F22" s="24" t="inlineStr">
        <is>
          <t>YDV-001</t>
        </is>
      </c>
      <c r="G22" s="27">
        <f>IFERROR(ROUND(G20*G15,MAX(0,MIN(ydv_yuvarMax,IFERROR(N(G12),0)))),0)</f>
        <v/>
      </c>
    </row>
    <row r="23">
      <c r="A23" s="48" t="n">
        <v>17</v>
      </c>
      <c r="B23" s="25" t="inlineStr">
        <is>
          <t>TR matrah</t>
        </is>
      </c>
      <c r="C23" s="52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  <c r="D23" s="50" t="inlineStr">
        <is>
          <t>TL</t>
        </is>
      </c>
      <c r="E23" s="6" t="inlineStr">
        <is>
          <t>Yapıya göre TR matrah</t>
        </is>
      </c>
      <c r="F23" s="24" t="inlineStr">
        <is>
          <t>YDV-002</t>
        </is>
      </c>
      <c r="G23" s="27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</row>
    <row r="24">
      <c r="A24" s="48" t="n">
        <v>18</v>
      </c>
      <c r="B24" s="25" t="inlineStr">
        <is>
          <t>TR brüt KV</t>
        </is>
      </c>
      <c r="C24" s="52">
        <f>IFERROR(ROUND(G23*G8,MAX(0,MIN(ydv_yuvarMax,IFERROR(N(G12),0)))),0)</f>
        <v/>
      </c>
      <c r="D24" s="50" t="inlineStr">
        <is>
          <t>TL</t>
        </is>
      </c>
      <c r="E24" s="6" t="inlineStr">
        <is>
          <t>Matrah × TR KV</t>
        </is>
      </c>
      <c r="F24" s="24" t="inlineStr">
        <is>
          <t>YDV-001</t>
        </is>
      </c>
      <c r="G24" s="27">
        <f>IFERROR(ROUND(G23*G8,MAX(0,MIN(ydv_yuvarMax,IFERROR(N(G12),0)))),0)</f>
        <v/>
      </c>
    </row>
    <row r="25">
      <c r="A25" s="48" t="n">
        <v>19</v>
      </c>
      <c r="B25" s="25" t="inlineStr">
        <is>
          <t>Mahsup tavan</t>
        </is>
      </c>
      <c r="C25" s="52">
        <f>IFERROR(ROUND(G24*G10,MAX(0,MIN(ydv_yuvarMax,IFERROR(N(G12),0)))),0)</f>
        <v/>
      </c>
      <c r="D25" s="50" t="inlineStr">
        <is>
          <t>TL</t>
        </is>
      </c>
      <c r="E25" s="6" t="inlineStr">
        <is>
          <t>Mahsup tavanı</t>
        </is>
      </c>
      <c r="F25" s="24" t="inlineStr">
        <is>
          <t>YDV-003</t>
        </is>
      </c>
      <c r="G25" s="27">
        <f>IFERROR(ROUND(G24*G10,MAX(0,MIN(ydv_yuvarMax,IFERROR(N(G12),0)))),0)</f>
        <v/>
      </c>
    </row>
    <row r="26">
      <c r="A26" s="48" t="n">
        <v>20</v>
      </c>
      <c r="B26" s="25" t="inlineStr">
        <is>
          <t>Mahsup tutarı</t>
        </is>
      </c>
      <c r="C26" s="52">
        <f>IFERROR(MIN(G21+G22,G25),0)</f>
        <v/>
      </c>
      <c r="D26" s="50" t="inlineStr">
        <is>
          <t>TL</t>
        </is>
      </c>
      <c r="E26" s="6" t="inlineStr">
        <is>
          <t>Yabancı vergi mahsubu</t>
        </is>
      </c>
      <c r="F26" s="24" t="inlineStr">
        <is>
          <t>YDV-003</t>
        </is>
      </c>
      <c r="G26" s="27">
        <f>IFERROR(MIN(G21+G22,G25),0)</f>
        <v/>
      </c>
    </row>
    <row r="27">
      <c r="A27" s="48" t="n">
        <v>21</v>
      </c>
      <c r="B27" s="25" t="inlineStr">
        <is>
          <t>TR net KV</t>
        </is>
      </c>
      <c r="C27" s="52">
        <f>IFERROR(MAX(0,G24-G26),0)</f>
        <v/>
      </c>
      <c r="D27" s="50" t="inlineStr">
        <is>
          <t>TL</t>
        </is>
      </c>
      <c r="E27" s="6" t="inlineStr">
        <is>
          <t>TR'de kalan KV</t>
        </is>
      </c>
      <c r="F27" s="24" t="inlineStr">
        <is>
          <t>YDV-003</t>
        </is>
      </c>
      <c r="G27" s="27">
        <f>IFERROR(MAX(0,G24-G26),0)</f>
        <v/>
      </c>
    </row>
    <row r="28">
      <c r="A28" s="48" t="n">
        <v>22</v>
      </c>
      <c r="B28" s="25" t="inlineStr">
        <is>
          <t>Toplam vergi</t>
        </is>
      </c>
      <c r="C28" s="52">
        <f>IFERROR(G21+G22+G27,0)</f>
        <v/>
      </c>
      <c r="D28" s="50" t="inlineStr">
        <is>
          <t>TL</t>
        </is>
      </c>
      <c r="E28" s="6" t="inlineStr">
        <is>
          <t>Yerel+stopaj+TR net</t>
        </is>
      </c>
      <c r="F28" s="24" t="inlineStr">
        <is>
          <t>YDV-001</t>
        </is>
      </c>
      <c r="G28" s="27">
        <f>IFERROR(G21+G22+G27,0)</f>
        <v/>
      </c>
    </row>
    <row r="29">
      <c r="A29" s="48" t="n">
        <v>23</v>
      </c>
      <c r="B29" s="25" t="inlineStr">
        <is>
          <t>Efektif vergi</t>
        </is>
      </c>
      <c r="C29" s="51">
        <f>IFERROR(IF(G20=0,0,G28/G20),0)</f>
        <v/>
      </c>
      <c r="D29" s="50" t="inlineStr">
        <is>
          <t>oran</t>
        </is>
      </c>
      <c r="E29" s="6" t="inlineStr">
        <is>
          <t>Toplam/kâr</t>
        </is>
      </c>
      <c r="F29" s="24" t="inlineStr">
        <is>
          <t>YDV-001</t>
        </is>
      </c>
      <c r="G29" s="26">
        <f>IFERROR(IF(G20=0,0,G28/G20),0)</f>
        <v/>
      </c>
    </row>
    <row r="30">
      <c r="A30" s="48" t="n">
        <v>24</v>
      </c>
      <c r="B30" s="25" t="inlineStr">
        <is>
          <t>Çift vergi yükü</t>
        </is>
      </c>
      <c r="C30" s="52">
        <f>IFERROR(MAX(0,G21+G22+G27-G24),0)</f>
        <v/>
      </c>
      <c r="D30" s="50" t="inlineStr">
        <is>
          <t>TL</t>
        </is>
      </c>
      <c r="E30" s="6" t="inlineStr">
        <is>
          <t>Çakışan yük</t>
        </is>
      </c>
      <c r="F30" s="24" t="inlineStr">
        <is>
          <t>YDV-003</t>
        </is>
      </c>
      <c r="G30" s="27">
        <f>IFERROR(MAX(0,G21+G22+G27-G24),0)</f>
        <v/>
      </c>
    </row>
    <row r="31">
      <c r="A31" s="48" t="n">
        <v>25</v>
      </c>
      <c r="B31" s="25" t="inlineStr">
        <is>
          <t>TR ek matrah riski</t>
        </is>
      </c>
      <c r="C31" s="52">
        <f>IFERROR(ROUND(G20*G17/ydv_tfBolum*ydv_ekMatrahCarpan*G19,MAX(0,MIN(ydv_yuvarMax,IFERROR(N(G12),0)))),0)</f>
        <v/>
      </c>
      <c r="D31" s="50" t="inlineStr">
        <is>
          <t>TL</t>
        </is>
      </c>
      <c r="E31" s="6" t="inlineStr">
        <is>
          <t>TF kaynaklı ek matrah</t>
        </is>
      </c>
      <c r="F31" s="24" t="inlineStr">
        <is>
          <t>YDV-004</t>
        </is>
      </c>
      <c r="G31" s="27">
        <f>IFERROR(ROUND(G20*G17/ydv_tfBolum*ydv_ekMatrahCarpan*G19,MAX(0,MIN(ydv_yuvarMax,IFERROR(N(G12),0)))),0)</f>
        <v/>
      </c>
    </row>
    <row r="32">
      <c r="A32" s="48" t="n">
        <v>26</v>
      </c>
      <c r="B32" s="25" t="inlineStr">
        <is>
          <t>Karar kodu</t>
        </is>
      </c>
      <c r="C32" s="22">
        <f>IFERROR(IF(COUNTA(tblGirdi[Alan Anahtarı])=0,"VERI_YOK",IF(OR(G17&gt;=G11,G30&gt;G20*ydv_ciftVergiEsik),"RISKLI",IF(OR(G17&gt;=ydv_dikkatEsik,G30&gt;G20*ydv_dikkatCiftEsik),"DIKKAT","UYGUN"))),"")</f>
        <v/>
      </c>
      <c r="D32" s="50" t="inlineStr">
        <is>
          <t>kod</t>
        </is>
      </c>
      <c r="E32" s="6" t="inlineStr">
        <is>
          <t>Risk karar kodu</t>
        </is>
      </c>
      <c r="F32" s="24" t="inlineStr">
        <is>
          <t>YDV-004</t>
        </is>
      </c>
      <c r="G32" s="28">
        <f>IFERROR(IF(COUNTA(tblGirdi[Alan Anahtarı])=0,"VERI_YOK",IF(OR(G17&gt;=G11,G30&gt;G20*ydv_ciftVergiEsik),"RISKLI",IF(OR(G17&gt;=ydv_dikkatEsik,G30&gt;G20*ydv_dikkatCiftEsik),"DIKKAT","UYGUN"))),"")</f>
        <v/>
      </c>
    </row>
    <row r="33">
      <c r="A33" s="48" t="n">
        <v>27</v>
      </c>
      <c r="B33" s="25" t="inlineStr">
        <is>
          <t>Karar metni</t>
        </is>
      </c>
      <c r="C33" s="22">
        <f>IFERROR(IF(G32="VERI_YOK","VERİ YOK",IF(G32="RISKLI","RİSKLİ",IF(G32="DIKKAT","DİKKAT","UYGUN"))),"")</f>
        <v/>
      </c>
      <c r="D33" s="50" t="inlineStr">
        <is>
          <t>metin</t>
        </is>
      </c>
      <c r="E33" s="6" t="inlineStr">
        <is>
          <t>Kullanıcıya karar</t>
        </is>
      </c>
      <c r="F33" s="24" t="inlineStr">
        <is>
          <t>YDV-004</t>
        </is>
      </c>
      <c r="G33" s="28">
        <f>IFERROR(IF(G32="VERI_YOK","VERİ YOK",IF(G32="RISKLI","RİSKLİ",IF(G32="DIKKAT","DİKKAT","UYGUN"))),"")</f>
        <v/>
      </c>
    </row>
    <row r="34">
      <c r="A34" s="48" t="n">
        <v>28</v>
      </c>
      <c r="B34" s="25" t="inlineStr">
        <is>
          <t>Yapı önerisi</t>
        </is>
      </c>
      <c r="C34" s="22">
        <f>IFERROR(IF(G32="VERI_YOK","VERİ YOK",IF(AND(G18=1,OR(GIRDI!B10="İŞTİRAK",GIRDI!B10="LİMİTED")),"İŞTİRAK",IF(GIRDI!B10="OFİS","OFİS",IF(G29&lt;=ydv_subeEfektifEsik,"ŞUBE","İŞTİRAK")))),"")</f>
        <v/>
      </c>
      <c r="D34" s="50" t="inlineStr">
        <is>
          <t>metin</t>
        </is>
      </c>
      <c r="E34" s="6" t="inlineStr">
        <is>
          <t>Önerilen yapı</t>
        </is>
      </c>
      <c r="F34" s="24" t="inlineStr">
        <is>
          <t>YDV-002</t>
        </is>
      </c>
      <c r="G34" s="28">
        <f>IFERROR(IF(G32="VERI_YOK","VERİ YOK",IF(AND(G18=1,OR(GIRDI!B10="İŞTİRAK",GIRDI!B10="LİMİTED")),"İŞTİRAK",IF(GIRDI!B10="OFİS","OFİS",IF(G29&lt;=ydv_subeEfektifEsik,"ŞUBE","İŞTİRAK")))),"")</f>
        <v/>
      </c>
    </row>
    <row r="35">
      <c r="A35" s="48" t="n">
        <v>29</v>
      </c>
      <c r="B35" s="25" t="inlineStr">
        <is>
          <t>Gerekçe</t>
        </is>
      </c>
      <c r="C35" s="22">
        <f>IFERROR(IF(G32="VERI_YOK","Giriş tablosu boş — hesap yapılamaz.",IF(G32="RISKLI","TF eşiği aşıldı veya çift vergi yükü yüksek; yapı AND TF dosyasını gözden geçirin.",IF(G32="DIKKAT","Orta risk: mahsup, stopaj AND PE atıfını doğrulayın.","Efektif vergi AND TF profili kabul edilebilir aralıkta."))),"")</f>
        <v/>
      </c>
      <c r="D35" s="50" t="inlineStr">
        <is>
          <t>metin</t>
        </is>
      </c>
      <c r="E35" s="6" t="inlineStr">
        <is>
          <t>Gerekçe cümlesi</t>
        </is>
      </c>
      <c r="F35" s="24" t="inlineStr">
        <is>
          <t>YDV-004</t>
        </is>
      </c>
      <c r="G35" s="28">
        <f>IFERROR(IF(G32="VERI_YOK","Giriş tablosu boş — hesap yapılamaz.",IF(G32="RISKLI","TF eşiği aşıldı veya çift vergi yükü yüksek; yapı AND TF dosyasını gözden geçirin.",IF(G32="DIKKAT","Orta risk: mahsup, stopaj AND PE atıfını doğrulayın.","Efektif vergi AND TF profili kabul edilebilir aralıkta."))),"")</f>
        <v/>
      </c>
    </row>
    <row r="36">
      <c r="A36" s="48" t="n">
        <v>30</v>
      </c>
      <c r="B36" s="25" t="inlineStr">
        <is>
          <t>Yerel / kâr payı</t>
        </is>
      </c>
      <c r="C36" s="51">
        <f>IFERROR(IF(G20=0,0,G21/G20),0)</f>
        <v/>
      </c>
      <c r="D36" s="50" t="inlineStr">
        <is>
          <t>oran</t>
        </is>
      </c>
      <c r="E36" s="6" t="inlineStr">
        <is>
          <t>T1 pay</t>
        </is>
      </c>
      <c r="F36" s="24" t="inlineStr">
        <is>
          <t>YDV-001</t>
        </is>
      </c>
      <c r="G36" s="26">
        <f>IFERROR(IF(G20=0,0,G21/G20),0)</f>
        <v/>
      </c>
    </row>
    <row r="37">
      <c r="A37" s="48" t="n">
        <v>31</v>
      </c>
      <c r="B37" s="25" t="inlineStr">
        <is>
          <t>TR net / toplam</t>
        </is>
      </c>
      <c r="C37" s="51">
        <f>IFERROR(IF(G28=0,0,G27/G28),0)</f>
        <v/>
      </c>
      <c r="D37" s="50" t="inlineStr">
        <is>
          <t>oran</t>
        </is>
      </c>
      <c r="E37" s="6" t="inlineStr">
        <is>
          <t>T2 pay</t>
        </is>
      </c>
      <c r="F37" s="24" t="inlineStr">
        <is>
          <t>YDV-001</t>
        </is>
      </c>
      <c r="G37" s="26">
        <f>IFERROR(IF(G28=0,0,G27/G28),0)</f>
        <v/>
      </c>
    </row>
    <row r="38">
      <c r="A38" s="48" t="n">
        <v>32</v>
      </c>
      <c r="B38" s="25" t="inlineStr">
        <is>
          <t>Mahsup / brüt</t>
        </is>
      </c>
      <c r="C38" s="51">
        <f>IFERROR(IF(G24=0,0,G26/G24),0)</f>
        <v/>
      </c>
      <c r="D38" s="50" t="inlineStr">
        <is>
          <t>oran</t>
        </is>
      </c>
      <c r="E38" s="6" t="inlineStr">
        <is>
          <t>O6 yoğunluk</t>
        </is>
      </c>
      <c r="F38" s="24" t="inlineStr">
        <is>
          <t>YDV-003</t>
        </is>
      </c>
      <c r="G38" s="26">
        <f>IFERROR(IF(G24=0,0,G26/G24),0)</f>
        <v/>
      </c>
    </row>
    <row r="39">
      <c r="A39" s="48" t="n">
        <v>33</v>
      </c>
      <c r="B39" s="25" t="inlineStr">
        <is>
          <t>Güven skoru</t>
        </is>
      </c>
      <c r="C39" s="49">
        <f>IFERROR(ROUND(IF(OR(COUNTA(GIRDI!B6:B17)=0,ydv_girisBeklenen=0),0,COUNTA(GIRDI!B6:B17)/ydv_girisBeklenen*100),0),0)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4" t="inlineStr">
        <is>
          <t>YDV-005</t>
        </is>
      </c>
      <c r="G39" s="37">
        <f>IFERROR(ROUND(IF(OR(COUNTA(GIRDI!B6:B17)=0,ydv_girisBeklenen=0),0,COUNTA(GIRDI!B6:B17)/ydv_girisBeklenen*100),0),0)</f>
        <v/>
      </c>
    </row>
    <row r="40">
      <c r="A40" s="48" t="n">
        <v>34</v>
      </c>
      <c r="B40" s="25" t="inlineStr">
        <is>
          <t>Risk skoru</t>
        </is>
      </c>
      <c r="C40" s="49">
        <f>IFERROR(IF(G32="VERI_YOK",0,IF(G32="UYGUN",ydv_riskDusuk,IF(G32="DIKKAT",ydv_riskOrta,ydv_riskYuksek))),0)</f>
        <v/>
      </c>
      <c r="D40" s="50" t="inlineStr">
        <is>
          <t>puan</t>
        </is>
      </c>
      <c r="E40" s="6" t="inlineStr">
        <is>
          <t>Risk skoru</t>
        </is>
      </c>
      <c r="F40" s="24" t="inlineStr">
        <is>
          <t>YDV-004</t>
        </is>
      </c>
      <c r="G40" s="37">
        <f>IFERROR(IF(G32="VERI_YOK",0,IF(G32="UYGUN",ydv_riskDusuk,IF(G32="DIKKAT",ydv_riskOrta,ydv_riskYuksek))),0)</f>
        <v/>
      </c>
    </row>
    <row r="41">
      <c r="A41" s="48" t="n">
        <v>35</v>
      </c>
      <c r="B41" s="25" t="inlineStr">
        <is>
          <t>Senaryo iyimser kâr</t>
        </is>
      </c>
      <c r="C41" s="52">
        <f>IFERROR(G20*ydv_senaryoIyi,0)</f>
        <v/>
      </c>
      <c r="D41" s="50" t="inlineStr">
        <is>
          <t>TL</t>
        </is>
      </c>
      <c r="E41" s="6" t="inlineStr">
        <is>
          <t>İyimser kâr TL</t>
        </is>
      </c>
      <c r="F41" s="24" t="inlineStr">
        <is>
          <t>YDV-001</t>
        </is>
      </c>
      <c r="G41" s="27">
        <f>IFERROR(G20*ydv_senaryoIyi,0)</f>
        <v/>
      </c>
    </row>
    <row r="42">
      <c r="A42" s="48" t="n">
        <v>36</v>
      </c>
      <c r="B42" s="25" t="inlineStr">
        <is>
          <t>Senaryo kötümser kâr</t>
        </is>
      </c>
      <c r="C42" s="52">
        <f>IFERROR(G20*ydv_senaryoKotu,0)</f>
        <v/>
      </c>
      <c r="D42" s="50" t="inlineStr">
        <is>
          <t>TL</t>
        </is>
      </c>
      <c r="E42" s="6" t="inlineStr">
        <is>
          <t>Kötümser kâr TL</t>
        </is>
      </c>
      <c r="F42" s="24" t="inlineStr">
        <is>
          <t>YDV-001</t>
        </is>
      </c>
      <c r="G42" s="27">
        <f>IFERROR(G20*ydv_senaryoKotu,0)</f>
        <v/>
      </c>
    </row>
    <row r="43">
      <c r="A43" s="48" t="n">
        <v>37</v>
      </c>
      <c r="B43" s="25" t="inlineStr">
        <is>
          <t>İyimser toplam vergi</t>
        </is>
      </c>
      <c r="C43" s="52">
        <f>IFERROR(ROUND(G41*G29,MAX(0,MIN(ydv_yuvarMax,IFERROR(N(G12),0)))),0)</f>
        <v/>
      </c>
      <c r="D43" s="50" t="inlineStr">
        <is>
          <t>TL</t>
        </is>
      </c>
      <c r="E43" s="6" t="inlineStr">
        <is>
          <t>İyimser yük</t>
        </is>
      </c>
      <c r="F43" s="24" t="inlineStr">
        <is>
          <t>YDV-001</t>
        </is>
      </c>
      <c r="G43" s="27">
        <f>IFERROR(ROUND(G41*G29,MAX(0,MIN(ydv_yuvarMax,IFERROR(N(G12),0)))),0)</f>
        <v/>
      </c>
    </row>
    <row r="44">
      <c r="A44" s="48" t="n">
        <v>38</v>
      </c>
      <c r="B44" s="25" t="inlineStr">
        <is>
          <t>Kötümser toplam vergi</t>
        </is>
      </c>
      <c r="C44" s="52">
        <f>IFERROR(ROUND(G42*G29,MAX(0,MIN(ydv_yuvarMax,IFERROR(N(G12),0)))),0)</f>
        <v/>
      </c>
      <c r="D44" s="50" t="inlineStr">
        <is>
          <t>TL</t>
        </is>
      </c>
      <c r="E44" s="6" t="inlineStr">
        <is>
          <t>Kötümser yük</t>
        </is>
      </c>
      <c r="F44" s="24" t="inlineStr">
        <is>
          <t>YDV-001</t>
        </is>
      </c>
      <c r="G44" s="27">
        <f>IFERROR(ROUND(G42*G29,MAX(0,MIN(ydv_yuvarMax,IFERROR(N(G12),0)))),0)</f>
        <v/>
      </c>
    </row>
    <row r="45">
      <c r="A45" s="48" t="n">
        <v>39</v>
      </c>
      <c r="B45" s="25" t="inlineStr">
        <is>
          <t>M-SEN TR oran+</t>
        </is>
      </c>
      <c r="C45" s="51">
        <f>IFERROR(MIN(1,G8+ydv_oranArtisPuan),0)</f>
        <v/>
      </c>
      <c r="D45" s="50" t="inlineStr">
        <is>
          <t>oran</t>
        </is>
      </c>
      <c r="E45" s="6" t="inlineStr">
        <is>
          <t>TR KV +1 puan</t>
        </is>
      </c>
      <c r="F45" s="24" t="inlineStr">
        <is>
          <t>YDV-001</t>
        </is>
      </c>
      <c r="G45" s="26">
        <f>IFERROR(MIN(1,G8+ydv_oranArtisPuan),0)</f>
        <v/>
      </c>
    </row>
    <row r="46">
      <c r="A46" s="48" t="n">
        <v>40</v>
      </c>
      <c r="B46" s="25" t="inlineStr">
        <is>
          <t>M-SEN TR brüt</t>
        </is>
      </c>
      <c r="C46" s="52">
        <f>IFERROR(ROUND(G23*G45,MAX(0,MIN(ydv_yuvarMax,IFERROR(N(G12),0)))),0)</f>
        <v/>
      </c>
      <c r="D46" s="50" t="inlineStr">
        <is>
          <t>TL</t>
        </is>
      </c>
      <c r="E46" s="6" t="inlineStr">
        <is>
          <t>M-SEN brüt</t>
        </is>
      </c>
      <c r="F46" s="24" t="inlineStr">
        <is>
          <t>YDV-001</t>
        </is>
      </c>
      <c r="G46" s="27">
        <f>IFERROR(ROUND(G23*G45,MAX(0,MIN(ydv_yuvarMax,IFERROR(N(G12),0)))),0)</f>
        <v/>
      </c>
    </row>
    <row r="47">
      <c r="A47" s="48" t="n">
        <v>41</v>
      </c>
      <c r="B47" s="25" t="inlineStr">
        <is>
          <t>M-SEN TR net</t>
        </is>
      </c>
      <c r="C47" s="52">
        <f>IFERROR(MAX(0,G46-G26),0)</f>
        <v/>
      </c>
      <c r="D47" s="50" t="inlineStr">
        <is>
          <t>TL</t>
        </is>
      </c>
      <c r="E47" s="6" t="inlineStr">
        <is>
          <t>M-SEN net</t>
        </is>
      </c>
      <c r="F47" s="24" t="inlineStr">
        <is>
          <t>YDV-001</t>
        </is>
      </c>
      <c r="G47" s="27">
        <f>IFERROR(MAX(0,G46-G26),0)</f>
        <v/>
      </c>
    </row>
    <row r="48">
      <c r="A48" s="48" t="n">
        <v>42</v>
      </c>
      <c r="B48" s="25" t="inlineStr">
        <is>
          <t>M-SEN toplam</t>
        </is>
      </c>
      <c r="C48" s="52">
        <f>IFERROR(G21+G22+G47,0)</f>
        <v/>
      </c>
      <c r="D48" s="50" t="inlineStr">
        <is>
          <t>TL</t>
        </is>
      </c>
      <c r="E48" s="6" t="inlineStr">
        <is>
          <t>M-SEN toplam vergi</t>
        </is>
      </c>
      <c r="F48" s="24" t="inlineStr">
        <is>
          <t>YDV-001</t>
        </is>
      </c>
      <c r="G48" s="27">
        <f>IFERROR(G21+G22+G47,0)</f>
        <v/>
      </c>
    </row>
    <row r="49">
      <c r="A49" s="48" t="n">
        <v>43</v>
      </c>
      <c r="B49" s="25" t="inlineStr">
        <is>
          <t>Tahmin üst</t>
        </is>
      </c>
      <c r="C49" s="52">
        <f>IFERROR(G28*ydv_tahminUst,0)</f>
        <v/>
      </c>
      <c r="D49" s="50" t="inlineStr">
        <is>
          <t>TL</t>
        </is>
      </c>
      <c r="E49" s="6" t="inlineStr">
        <is>
          <t>Tahmin üst bant</t>
        </is>
      </c>
      <c r="F49" s="24" t="inlineStr">
        <is>
          <t>YDV-005</t>
        </is>
      </c>
      <c r="G49" s="27">
        <f>IFERROR(G28*ydv_tahminUst,0)</f>
        <v/>
      </c>
    </row>
    <row r="50">
      <c r="A50" s="48" t="n">
        <v>44</v>
      </c>
      <c r="B50" s="25" t="inlineStr">
        <is>
          <t>Tahmin alt</t>
        </is>
      </c>
      <c r="C50" s="52">
        <f>IFERROR(G28*ydv_tahminAlt,0)</f>
        <v/>
      </c>
      <c r="D50" s="50" t="inlineStr">
        <is>
          <t>TL</t>
        </is>
      </c>
      <c r="E50" s="6" t="inlineStr">
        <is>
          <t>Tahmin alt bant</t>
        </is>
      </c>
      <c r="F50" s="24" t="inlineStr">
        <is>
          <t>YDV-005</t>
        </is>
      </c>
      <c r="G50" s="27">
        <f>IFERROR(G28*ydv_tahminAlt,0)</f>
        <v/>
      </c>
    </row>
    <row r="51">
      <c r="A51" s="48" t="n">
        <v>45</v>
      </c>
      <c r="B51" s="25" t="inlineStr">
        <is>
          <t>Tornado: kur etkisi</t>
        </is>
      </c>
      <c r="C51" s="52">
        <f>IFERROR(ABS(ROUND(G13*G16*ydv_tornadoKur*G14,MAX(0,MIN(ydv_yuvarMax,IFERROR(N(G12),0))))-G21),0)</f>
        <v/>
      </c>
      <c r="D51" s="50" t="inlineStr">
        <is>
          <t>TL</t>
        </is>
      </c>
      <c r="E51" s="6" t="inlineStr">
        <is>
          <t>Kur ± etki</t>
        </is>
      </c>
      <c r="F51" s="24" t="inlineStr">
        <is>
          <t>YDV-005</t>
        </is>
      </c>
      <c r="G51" s="27">
        <f>IFERROR(ABS(ROUND(G13*G16*ydv_tornadoKur*G14,MAX(0,MIN(ydv_yuvarMax,IFERROR(N(G12),0))))-G21),0)</f>
        <v/>
      </c>
    </row>
    <row r="52">
      <c r="A52" s="48" t="n">
        <v>46</v>
      </c>
      <c r="B52" s="25" t="inlineStr">
        <is>
          <t>Tornado: yerel oran</t>
        </is>
      </c>
      <c r="C52" s="52">
        <f>IFERROR(ABS(ROUND(G20*(G14+ydv_oranArtisPuan),MAX(0,MIN(ydv_yuvarMax,IFERROR(N(G12),0))))-G21),0)</f>
        <v/>
      </c>
      <c r="D52" s="50" t="inlineStr">
        <is>
          <t>TL</t>
        </is>
      </c>
      <c r="E52" s="6" t="inlineStr">
        <is>
          <t>Yerel oran ±</t>
        </is>
      </c>
      <c r="F52" s="24" t="inlineStr">
        <is>
          <t>YDV-001</t>
        </is>
      </c>
      <c r="G52" s="27">
        <f>IFERROR(ABS(ROUND(G20*(G14+ydv_oranArtisPuan),MAX(0,MIN(ydv_yuvarMax,IFERROR(N(G12),0))))-G21),0)</f>
        <v/>
      </c>
    </row>
    <row r="53">
      <c r="A53" s="48" t="n">
        <v>47</v>
      </c>
      <c r="B53" s="25" t="inlineStr">
        <is>
          <t>Tornado: TF etkisi</t>
        </is>
      </c>
      <c r="C53" s="52">
        <f>IFERROR(ABS(ROUND(G20*(G17+ydv_tornadoTf)/ydv_tfBolum*ydv_ekMatrahCarpan,MAX(0,MIN(ydv_yuvarMax,IFERROR(N(G12),0))))-G31),0)</f>
        <v/>
      </c>
      <c r="D53" s="50" t="inlineStr">
        <is>
          <t>TL</t>
        </is>
      </c>
      <c r="E53" s="6" t="inlineStr">
        <is>
          <t>TF ± etki</t>
        </is>
      </c>
      <c r="F53" s="24" t="inlineStr">
        <is>
          <t>YDV-004</t>
        </is>
      </c>
      <c r="G53" s="27">
        <f>IFERROR(ABS(ROUND(G20*(G17+ydv_tornadoTf)/ydv_tfBolum*ydv_ekMatrahCarpan,MAX(0,MIN(ydv_yuvarMax,IFERROR(N(G12),0))))-G31),0)</f>
        <v/>
      </c>
    </row>
    <row r="54">
      <c r="A54" s="48" t="n">
        <v>48</v>
      </c>
      <c r="B54" s="25" t="inlineStr">
        <is>
          <t>Madde atıf özeti</t>
        </is>
      </c>
      <c r="C54" s="22">
        <f>IFERROR(_xlfn.TEXTJOIN(" | ",TRUE,"YDV-001→KVK md.32","YDV-002→KVK md.5/1-a","YDV-003→KVK md.33","YDV-004→TF"),"")</f>
        <v/>
      </c>
      <c r="D54" s="50" t="inlineStr">
        <is>
          <t>metin</t>
        </is>
      </c>
      <c r="E54" s="6" t="inlineStr">
        <is>
          <t>Kanıt atıfları</t>
        </is>
      </c>
      <c r="F54" s="24" t="inlineStr">
        <is>
          <t>YDV-001</t>
        </is>
      </c>
      <c r="G54" s="28">
        <f>IFERROR(_xlfn.TEXTJOIN(" | ",TRUE,"YDV-001→KVK md.32","YDV-002→KVK md.5/1-a","YDV-003→KVK md.33","YDV-004→TF"),"")</f>
        <v/>
      </c>
    </row>
    <row r="55">
      <c r="A55" s="48" t="n">
        <v>49</v>
      </c>
      <c r="B55" s="25" t="inlineStr">
        <is>
          <t>Kanıt satır özeti</t>
        </is>
      </c>
      <c r="C55" s="22">
        <f>IFERROR(_xlfn.TEXTJOIN(" · ",TRUE,"KârTL=",TEXT(G20,"₺ #,##0"),"Efektif=",TEXT(G29,"0.0%"),"Çift=",TEXT(G30,"₺ #,##0"),"Karar=",G33,"Yapı=",G34),"")</f>
        <v/>
      </c>
      <c r="D55" s="50" t="inlineStr">
        <is>
          <t>metin</t>
        </is>
      </c>
      <c r="E55" s="6" t="inlineStr">
        <is>
          <t>Rapor özeti</t>
        </is>
      </c>
      <c r="F55" s="24" t="inlineStr">
        <is>
          <t>YDV-005</t>
        </is>
      </c>
      <c r="G55" s="28">
        <f>IFERROR(_xlfn.TEXTJOIN(" · ",TRUE,"KârTL=",TEXT(G20,"₺ #,##0"),"Efektif=",TEXT(G29,"0.0%"),"Çift=",TEXT(G30,"₺ #,##0"),"Karar=",G33,"Yapı=",G34),"")</f>
        <v/>
      </c>
    </row>
    <row r="56"/>
    <row r="57">
      <c r="I57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F7="YDV-001"</formula>
    </cfRule>
    <cfRule type="expression" priority="3" dxfId="5">
      <formula>F7="YDV-004"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1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SENARYO — Yurt Dışı Yapılanma Vergi Simülatörü</t>
        </is>
      </c>
    </row>
    <row r="2"/>
    <row r="3" ht="22" customHeight="1">
      <c r="A3" s="227" t="inlineStr">
        <is>
          <t>Senaryo ve duyarlılık</t>
        </is>
      </c>
    </row>
    <row r="4"/>
    <row r="5">
      <c r="A5" s="53" t="inlineStr">
        <is>
          <t>Senaryo</t>
        </is>
      </c>
      <c r="B5" s="53" t="inlineStr">
        <is>
          <t>Kâr Çarpanı</t>
        </is>
      </c>
      <c r="C5" s="53" t="inlineStr">
        <is>
          <t>Toplam Vergi</t>
        </is>
      </c>
      <c r="D5" s="53" t="inlineStr">
        <is>
          <t>Efektif</t>
        </is>
      </c>
      <c r="E5" s="53" t="inlineStr">
        <is>
          <t>Karar</t>
        </is>
      </c>
      <c r="G5" s="53" t="inlineStr">
        <is>
          <t>VergiDemo</t>
        </is>
      </c>
    </row>
    <row r="6">
      <c r="A6" s="7" t="inlineStr">
        <is>
          <t>İyimser</t>
        </is>
      </c>
      <c r="B6" s="26">
        <f>IFERROR(ydv_senaryoIyi+N(GIRDI!B11)*ydv_sifirCarpan,0)</f>
        <v/>
      </c>
      <c r="C6" s="27">
        <f>IFERROR(ROUND(IFERROR(ydv_karTl,0)*B6*IFERROR(ydv_efektifVergi,0),2),0)</f>
        <v/>
      </c>
      <c r="D6" s="26">
        <f>IFERROR(ydv_efektifVergi,0)</f>
        <v/>
      </c>
      <c r="E6" s="28">
        <f>IF(COUNTA(tblGirdi[Alan Anahtarı])=0,"VERİ YOK",IFERROR(ydv_kararMetni,"-"))</f>
        <v/>
      </c>
      <c r="G6" s="30" t="n">
        <v>5940000</v>
      </c>
    </row>
    <row r="7">
      <c r="A7" s="7" t="inlineStr">
        <is>
          <t>Baz</t>
        </is>
      </c>
      <c r="B7" s="26">
        <f>IFERROR(ydv_bazCarpan+N(GIRDI!B11)*ydv_sifirCarpan,ydv_bazCarpan)</f>
        <v/>
      </c>
      <c r="C7" s="27">
        <f>IFERROR(ydv_toplamVergi,0)</f>
        <v/>
      </c>
      <c r="D7" s="26">
        <f>IFERROR(ydv_efektifVergi,0)</f>
        <v/>
      </c>
      <c r="E7" s="28">
        <f>IF(COUNTA(tblGirdi[Alan Anahtarı])=0,"VERİ YOK",IFERROR(ydv_kararMetni,"-"))</f>
        <v/>
      </c>
      <c r="G7" s="30" t="n">
        <v>6300000</v>
      </c>
    </row>
    <row r="8">
      <c r="A8" s="7" t="inlineStr">
        <is>
          <t>Kötümser</t>
        </is>
      </c>
      <c r="B8" s="26">
        <f>IFERROR(ydv_senaryoKotu+N(GIRDI!B11)*ydv_sifirCarpan,0)</f>
        <v/>
      </c>
      <c r="C8" s="27">
        <f>IFERROR(ROUND(IFERROR(ydv_karTl,0)*B8*IFERROR(ydv_efektifVergi,0),2),0)</f>
        <v/>
      </c>
      <c r="D8" s="26">
        <f>IFERROR(ydv_efektifVergi,0)</f>
        <v/>
      </c>
      <c r="E8" s="28">
        <f>IF(COUNTA(tblGirdi[Alan Anahtarı])=0,"VERİ YOK",IFERROR(ydv_kararMetni,"-"))</f>
        <v/>
      </c>
      <c r="G8" s="30" t="n">
        <v>7200000</v>
      </c>
    </row>
    <row r="9">
      <c r="A9" s="7" t="inlineStr">
        <is>
          <t>M-SEN TR+1</t>
        </is>
      </c>
      <c r="B9" s="26">
        <f>IFERROR(ydv_bazCarpan+N(GIRDI!B11)*ydv_sifirCarpan,ydv_bazCarpan)</f>
        <v/>
      </c>
      <c r="C9" s="27">
        <f>IFERROR(MOTOR!G48,0)</f>
        <v/>
      </c>
      <c r="D9" s="26">
        <f>IFERROR(IF(ydv_karTl=0,0,MOTOR!G48/ydv_karTl),0)</f>
        <v/>
      </c>
      <c r="E9" s="28">
        <f>IF(COUNTA(tblGirdi[Alan Anahtarı])=0,"VERİ YOK","DİKKAT")</f>
        <v/>
      </c>
      <c r="G9" s="30" t="n">
        <v>6750000</v>
      </c>
    </row>
    <row r="10"/>
    <row r="11">
      <c r="A11" s="10" t="inlineStr">
        <is>
          <t>Senaryo bant genişliği (iyimser−kötümser vergi)</t>
        </is>
      </c>
      <c r="B11" s="27">
        <f>IFERROR(C6-C8,0)</f>
        <v/>
      </c>
    </row>
    <row r="12">
      <c r="A12" s="10" t="inlineStr">
        <is>
          <t>Senaryo yorumu</t>
        </is>
      </c>
      <c r="B12" s="22">
        <f>IFERROR(_xlfn.TEXTJOIN("; ",TRUE,"İyimser ",TEXT(C6,"₺ #,##0")," · Baz ",TEXT(C7,"₺ #,##0")," · Kötümser ",TEXT(C8,"₺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kur etkisi</t>
        </is>
      </c>
      <c r="B16" s="27">
        <f>IFERROR(MOTOR!G51,0)</f>
        <v/>
      </c>
      <c r="C16" s="37">
        <f>IFERROR(IF(B16&gt;=MAX(B16:B18),ydv_siraBir,IF(B16&gt;=MIN(B16:B18)+ABS(B16-B17),ydv_siraIki,ydv_siraUc)),ydv_siraUc)</f>
        <v/>
      </c>
      <c r="E16" s="30" t="n">
        <v>270000</v>
      </c>
    </row>
    <row r="17">
      <c r="A17" s="7" t="inlineStr">
        <is>
          <t>Tornado yerel oran</t>
        </is>
      </c>
      <c r="B17" s="27">
        <f>IFERROR(MOTOR!G52,0)</f>
        <v/>
      </c>
      <c r="C17" s="37">
        <f>IFERROR(IF(B17&gt;=MAX(B16:B18),ydv_siraBir,IF(B17=MEDIAN(B16:B18),ydv_siraIki,ydv_siraUc)),ydv_siraUc)</f>
        <v/>
      </c>
      <c r="E17" s="30" t="n">
        <v>180000</v>
      </c>
    </row>
    <row r="18">
      <c r="A18" s="7" t="inlineStr">
        <is>
          <t>Tornado TF etkisi</t>
        </is>
      </c>
      <c r="B18" s="27">
        <f>IFERROR(MOTOR!G53,0)</f>
        <v/>
      </c>
      <c r="C18" s="37">
        <f>IFERROR(IF(B18&gt;=MAX(B16:B18),ydv_siraBir,IF(B18=MEDIAN(B16:B18),ydv_siraIki,ydv_siraUc)),ydv_siraUc)</f>
        <v/>
      </c>
      <c r="E18" s="30" t="n">
        <v>360000</v>
      </c>
    </row>
    <row r="19">
      <c r="A19" s="10" t="inlineStr">
        <is>
          <t>Duyarlılık sıra özeti</t>
        </is>
      </c>
      <c r="B19" s="28">
        <f>IFERROR(CONCATENATE("1)",INDEX(A16:A18,MATCH(ydv_siraBir,C16:C18,0))," 2)",INDEX(A16:A18,MATCH(ydv_siraIki,C16:C18,0))),"-")</f>
        <v/>
      </c>
    </row>
    <row r="20">
      <c r="A20" s="10" t="inlineStr">
        <is>
          <t>Duyarlılık yorumu</t>
        </is>
      </c>
      <c r="B20" s="22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toplam</t>
        </is>
      </c>
      <c r="B22" s="27">
        <f>C9</f>
        <v/>
      </c>
    </row>
    <row r="23">
      <c r="A23" s="10" t="inlineStr">
        <is>
          <t>M-SEN yorumu</t>
        </is>
      </c>
      <c r="B23" s="22">
        <f>_xlfn.TEXTJOIN("; ",TRUE,"TR KV +1 puan senaryosunda toplam vergi ",TEXT(C9,"₺ #,##0")," TL")</f>
        <v/>
      </c>
    </row>
    <row r="24"/>
    <row r="25">
      <c r="A25" s="10" t="inlineStr">
        <is>
          <t>Tahmin aralığı (toplam vergi)</t>
        </is>
      </c>
      <c r="B25" s="27">
        <f>MOTOR!G50</f>
        <v/>
      </c>
      <c r="C25" s="27">
        <f>ydv_toplamVergi</f>
        <v/>
      </c>
      <c r="D25" s="27">
        <f>MOTOR!G49</f>
        <v/>
      </c>
    </row>
    <row r="26">
      <c r="A26" s="10" t="inlineStr">
        <is>
          <t>Tahmin (FORECAST)</t>
        </is>
      </c>
    </row>
    <row r="27">
      <c r="A27" s="29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7">
        <f>C6</f>
        <v/>
      </c>
      <c r="D28" s="30" t="n">
        <v>5940000</v>
      </c>
    </row>
    <row r="29">
      <c r="A29" s="54" t="n">
        <v>2</v>
      </c>
      <c r="B29" s="27">
        <f>C7</f>
        <v/>
      </c>
      <c r="D29" s="30" t="n">
        <v>6300000</v>
      </c>
    </row>
    <row r="30">
      <c r="A30" s="54" t="n">
        <v>3</v>
      </c>
      <c r="B30" s="27">
        <f>C8</f>
        <v/>
      </c>
      <c r="D30" s="30" t="n">
        <v>7200000</v>
      </c>
    </row>
    <row r="31">
      <c r="A31" s="54" t="n">
        <v>4</v>
      </c>
      <c r="B31" s="27">
        <f>C9</f>
        <v/>
      </c>
      <c r="D31" s="30" t="n">
        <v>6750000</v>
      </c>
    </row>
    <row r="32">
      <c r="A32" s="7" t="inlineStr">
        <is>
          <t>Tahmin sonraki</t>
        </is>
      </c>
      <c r="B32" s="27">
        <f>IFERROR(FORECAST.LINEAR(ydv_tahminX,B28:B31,A28:A31),0)</f>
        <v/>
      </c>
    </row>
    <row r="33">
      <c r="A33" s="10" t="inlineStr">
        <is>
          <t>Tahmin yorumu</t>
        </is>
      </c>
      <c r="B33" s="22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ISNUMBER(SEARCH("UYGUN",E6))</formula>
    </cfRule>
    <cfRule type="expression" priority="4" dxfId="4">
      <formula>ISNUMBER(SEARCH("DİKKAT",E6))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37.5" customWidth="1" min="2" max="2"/>
    <col width="57.5" customWidth="1" min="3" max="3"/>
    <col width="18.5" customWidth="1" min="4" max="4"/>
    <col width="14.5" customWidth="1" min="5" max="5"/>
    <col width="12" customWidth="1" min="6" max="6"/>
    <col width="12" customWidth="1" min="7" max="7"/>
    <col width="18.5" customWidth="1" min="8" max="8"/>
    <col width="13" customWidth="1" min="9" max="9"/>
    <col width="13" customWidth="1" min="10" max="10"/>
    <col width="14.5" customWidth="1" min="11" max="11"/>
    <col width="13" customWidth="1" min="12" max="12"/>
  </cols>
  <sheetData>
    <row r="1" ht="32" customHeight="1">
      <c r="A1" s="207" t="inlineStr">
        <is>
          <t>VAKALAR — Yurt Dışı Yapılanma Vergi Simülatörü</t>
        </is>
      </c>
    </row>
    <row r="2"/>
    <row r="3" ht="22" customHeight="1">
      <c r="A3" s="227" t="inlineStr">
        <is>
          <t>Tebliğ tarzı altın vakalar</t>
        </is>
      </c>
    </row>
    <row r="4"/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53" t="inlineStr">
        <is>
          <t>Beklenen</t>
        </is>
      </c>
      <c r="K5" s="53" t="inlineStr">
        <is>
          <t>Hesaplanan</t>
        </is>
      </c>
    </row>
    <row r="6">
      <c r="A6" s="7" t="inlineStr">
        <is>
          <t>V-001</t>
        </is>
      </c>
      <c r="B6" s="7" t="inlineStr">
        <is>
          <t>Yerel vergi — Almanya %30</t>
        </is>
      </c>
      <c r="C6" s="7" t="inlineStr">
        <is>
          <t>kar_tl=vaka_kar_1; oran=vaka_yerel_oran</t>
        </is>
      </c>
      <c r="D6" s="55" t="n">
        <v>5400000</v>
      </c>
      <c r="E6" s="27">
        <f>IFERROR(ROUND(vaka_kar_1*vaka_yerel_oran+N(GIRDI!B11)*ydv_sifirCarpan,2),0)</f>
        <v/>
      </c>
      <c r="F6" s="27">
        <f>IFERROR(D6-E6,0)</f>
        <v/>
      </c>
      <c r="G6" s="56">
        <f>IF($A6="","",IFERROR(IF(ABS($F6)&lt;=ydv_tolerans,"TUTARLI","KIRIK"),"KIRIK"))</f>
        <v/>
      </c>
      <c r="H6" s="7" t="inlineStr">
        <is>
          <t>Yerel KV örnek</t>
        </is>
      </c>
      <c r="J6" s="30" t="n">
        <v>5400000</v>
      </c>
      <c r="K6" s="30" t="n">
        <v>5400000</v>
      </c>
    </row>
    <row r="7">
      <c r="A7" s="7" t="inlineStr">
        <is>
          <t>V-002</t>
        </is>
      </c>
      <c r="B7" s="7" t="inlineStr">
        <is>
          <t>TR brüt KV — şube matrah</t>
        </is>
      </c>
      <c r="C7" s="7" t="inlineStr">
        <is>
          <t>kar_tl=vaka_kar_1; TR=%25</t>
        </is>
      </c>
      <c r="D7" s="55" t="n">
        <v>4500000</v>
      </c>
      <c r="E7" s="27">
        <f>IFERROR(ROUND(vaka_kar_1*INDEX(tblKurallar[deger_2025],MATCH("YDV-001",tblKurallar[kural_id],0)),2),0)</f>
        <v/>
      </c>
      <c r="F7" s="27">
        <f>IFERROR(D7-E7,0)</f>
        <v/>
      </c>
      <c r="G7" s="56">
        <f>IF($A7="","",IFERROR(IF(ABS($F7)&lt;=ydv_tolerans,"TUTARLI","KIRIK"),"KIRIK"))</f>
        <v/>
      </c>
      <c r="H7" s="7" t="inlineStr">
        <is>
          <t>KVK md.32</t>
        </is>
      </c>
      <c r="J7" s="30" t="n">
        <v>4500000</v>
      </c>
      <c r="K7" s="30" t="n">
        <v>4500000</v>
      </c>
    </row>
    <row r="8">
      <c r="A8" s="7" t="inlineStr">
        <is>
          <t>V-003</t>
        </is>
      </c>
      <c r="B8" s="7" t="inlineStr">
        <is>
          <t>İştirak istisna sonrası TR matrah</t>
        </is>
      </c>
      <c r="C8" s="7" t="inlineStr">
        <is>
          <t>kar=vaka_kar_1; istisna=%100; dağıtım=ydv_dagitimOran</t>
        </is>
      </c>
      <c r="D8" s="55" t="n">
        <v>0</v>
      </c>
      <c r="E8" s="27">
        <f>IFERROR(ROUND(vaka_kar_1*(1-INDEX(tblKurallar[deger_2025],MATCH("YDV-002",tblKurallar[kural_id],0)))*ydv_dagitimOran,2),0)</f>
        <v/>
      </c>
      <c r="F8" s="27">
        <f>IFERROR(D8-E8,0)</f>
        <v/>
      </c>
      <c r="G8" s="56">
        <f>IF($A8="","",IFERROR(IF(ABS($F8)&lt;=ydv_tolerans,"TUTARLI","KIRIK"),"KIRIK"))</f>
        <v/>
      </c>
      <c r="H8" s="7" t="inlineStr">
        <is>
          <t>KVK md.5/1-a</t>
        </is>
      </c>
      <c r="J8" s="30" t="n">
        <v>0</v>
      </c>
      <c r="K8" s="30" t="n">
        <v>0</v>
      </c>
    </row>
    <row r="9">
      <c r="A9" s="7" t="inlineStr">
        <is>
          <t>V-004</t>
        </is>
      </c>
      <c r="B9" s="7" t="inlineStr">
        <is>
          <t>TF eşik kontrolü</t>
        </is>
      </c>
      <c r="C9" s="7" t="inlineStr">
        <is>
          <t>esik=YDV-004; puan=vaka_tf_puan</t>
        </is>
      </c>
      <c r="D9" s="57" t="n">
        <v>70</v>
      </c>
      <c r="E9" s="37">
        <f>IFERROR(INDEX(tblKurallar[deger_2025],MATCH("YDV-004",tblKurallar[kural_id],0)),0)</f>
        <v/>
      </c>
      <c r="F9" s="37">
        <f>IFERROR(D9-E9,0)</f>
        <v/>
      </c>
      <c r="G9" s="56">
        <f>IF($A9="","",IFERROR(IF(ABS($F9)&lt;=ydv_tolerans,"TUTARLI","KIRIK"),"KIRIK"))</f>
        <v/>
      </c>
      <c r="H9" s="7" t="inlineStr">
        <is>
          <t>TF mevzuatı</t>
        </is>
      </c>
      <c r="J9" s="58" t="n">
        <v>70</v>
      </c>
      <c r="K9" s="58" t="n">
        <v>70</v>
      </c>
    </row>
    <row r="10"/>
    <row r="11">
      <c r="A11" s="10" t="inlineStr">
        <is>
          <t>Vaka özeti</t>
        </is>
      </c>
    </row>
    <row r="12">
      <c r="A12" s="7" t="inlineStr">
        <is>
          <t>Durum</t>
        </is>
      </c>
      <c r="B12" s="28">
        <f>IFERROR(IF(COUNTIF(G6:G9,"KIRIK")&gt;0,"KIRIK","TUTARLI"),"KIRIK")</f>
        <v/>
      </c>
    </row>
    <row r="13">
      <c r="A13" s="7" t="inlineStr">
        <is>
          <t>Toplam fark</t>
        </is>
      </c>
      <c r="B13" s="27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5"/>
  <sheetViews>
    <sheetView showGridLines="0" workbookViewId="0">
      <selection activeCell="A1" sqref="A1"/>
    </sheetView>
  </sheetViews>
  <sheetFormatPr baseColWidth="8" defaultRowHeight="15"/>
  <cols>
    <col width="96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KANIT RAPORU — Yurt Dışı Yapılanma Vergi Simülatörü</t>
        </is>
      </c>
    </row>
    <row r="2"/>
    <row r="3" ht="22" customHeight="1">
      <c r="A3" s="227" t="inlineStr">
        <is>
          <t>KANIT RAPORU — Yurt Dışı Yapılanma Vergi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8">
        <f>GIRDI!B6</f>
        <v/>
      </c>
    </row>
    <row r="6">
      <c r="A6" s="7" t="inlineStr">
        <is>
          <t>Dönem / yıl / ülke</t>
        </is>
      </c>
      <c r="B6" s="28">
        <f>CONCATENATE(GIRDI!B7," / ",hesapYili," / ",GIRDI!B9)</f>
        <v/>
      </c>
    </row>
    <row r="7"/>
    <row r="8">
      <c r="A8" s="5" t="inlineStr">
        <is>
          <t>Girdi özeti</t>
        </is>
      </c>
    </row>
    <row r="9">
      <c r="A9" s="7" t="inlineStr">
        <is>
          <t>Yapılanma tipi</t>
        </is>
      </c>
      <c r="B9" s="28">
        <f>GIRDI!B10</f>
        <v/>
      </c>
    </row>
    <row r="10">
      <c r="A10" s="7" t="inlineStr">
        <is>
          <t>YD kâr (PB)</t>
        </is>
      </c>
      <c r="B10" s="27">
        <f>GIRDI!B11</f>
        <v/>
      </c>
    </row>
    <row r="11">
      <c r="A11" s="7" t="inlineStr">
        <is>
          <t>Yerel vergi oranı</t>
        </is>
      </c>
      <c r="B11" s="26">
        <f>GIRDI!B12</f>
        <v/>
      </c>
    </row>
    <row r="12">
      <c r="A12" s="7" t="inlineStr">
        <is>
          <t>Stopaj oranı</t>
        </is>
      </c>
      <c r="B12" s="26">
        <f>GIRDI!B13</f>
        <v/>
      </c>
    </row>
    <row r="13">
      <c r="A13" s="7" t="inlineStr">
        <is>
          <t>Döviz kuru</t>
        </is>
      </c>
      <c r="B13" s="37">
        <f>GIRDI!B14</f>
        <v/>
      </c>
    </row>
    <row r="14">
      <c r="A14" s="7" t="inlineStr">
        <is>
          <t>İştirak istisnası</t>
        </is>
      </c>
      <c r="B14" s="28">
        <f>GIRDI!B15</f>
        <v/>
      </c>
    </row>
    <row r="15">
      <c r="A15" s="7" t="inlineStr">
        <is>
          <t>TF risk puanı</t>
        </is>
      </c>
      <c r="B15" s="37">
        <f>GIRDI!B16</f>
        <v/>
      </c>
    </row>
    <row r="16"/>
    <row r="17">
      <c r="A17" s="5" t="inlineStr">
        <is>
          <t>Hesap zinciri</t>
        </is>
      </c>
    </row>
    <row r="18">
      <c r="A18" s="7" t="inlineStr">
        <is>
          <t>YD kâr TL</t>
        </is>
      </c>
      <c r="B18" s="36">
        <f>ydv_karTl</f>
        <v/>
      </c>
    </row>
    <row r="19">
      <c r="A19" s="7" t="inlineStr">
        <is>
          <t>Efektif vergi</t>
        </is>
      </c>
      <c r="B19" s="26">
        <f>ydv_efektifVergi</f>
        <v/>
      </c>
    </row>
    <row r="20">
      <c r="A20" s="7" t="inlineStr">
        <is>
          <t>Çift vergi yükü</t>
        </is>
      </c>
      <c r="B20" s="27">
        <f>ydv_ciftVergi</f>
        <v/>
      </c>
    </row>
    <row r="21">
      <c r="A21" s="7" t="inlineStr">
        <is>
          <t>TR ek matrah riski</t>
        </is>
      </c>
      <c r="B21" s="27">
        <f>ydv_trEkMatrah</f>
        <v/>
      </c>
    </row>
    <row r="22">
      <c r="A22" s="10" t="inlineStr">
        <is>
          <t>KARAR</t>
        </is>
      </c>
      <c r="B22" s="21">
        <f>ydv_kararMetni</f>
        <v/>
      </c>
    </row>
    <row r="23">
      <c r="A23" s="7" t="inlineStr">
        <is>
          <t>Yapı önerisi</t>
        </is>
      </c>
      <c r="B23" s="61">
        <f>ydv_yapiOneri</f>
        <v/>
      </c>
    </row>
    <row r="24">
      <c r="A24" s="7" t="inlineStr">
        <is>
          <t>Gerekçe</t>
        </is>
      </c>
      <c r="B24" s="22">
        <f>ydv_kararGerekce</f>
        <v/>
      </c>
    </row>
    <row r="25"/>
    <row r="26">
      <c r="A26" s="10" t="inlineStr">
        <is>
          <t>Madde atıfları</t>
        </is>
      </c>
      <c r="B26" s="22">
        <f>ydv_maddeAtifMetni</f>
        <v/>
      </c>
    </row>
    <row r="27"/>
    <row r="28">
      <c r="A28" s="10" t="inlineStr">
        <is>
          <t>Kanıt gövdesi</t>
        </is>
      </c>
      <c r="B28" s="22">
        <f>ydv_kanitRaporu</f>
        <v/>
      </c>
    </row>
    <row r="29"/>
    <row r="30">
      <c r="A30" s="7" t="inlineStr">
        <is>
          <t>Parmak izi (SHA-256 kısaltma)</t>
        </is>
      </c>
      <c r="B30" s="29">
        <f>ydv_parmakIzi</f>
        <v/>
      </c>
    </row>
    <row r="31"/>
    <row r="32">
      <c r="A32" s="7" t="inlineStr">
        <is>
          <t>Hazırlayan (imza)</t>
        </is>
      </c>
      <c r="B32" s="62" t="inlineStr"/>
    </row>
    <row r="33">
      <c r="A33" s="7" t="inlineStr">
        <is>
          <t>Onaylayan (imza)</t>
        </is>
      </c>
      <c r="B33" s="62" t="inlineStr"/>
    </row>
    <row r="34"/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I1"/>
    <mergeCell ref="A3:I3"/>
    <mergeCell ref="A35:F35"/>
    <mergeCell ref="B26:F26"/>
  </mergeCells>
  <conditionalFormatting sqref="B22">
    <cfRule type="expression" priority="1" dxfId="0">
      <formula>ISNUMBER(SEARCH("RİSKLİ",B22))</formula>
    </cfRule>
    <cfRule type="expression" priority="2" dxfId="1">
      <formula>ISNUMBER(SEARCH("UYGUN",B22))</formula>
    </cfRule>
    <cfRule type="expression" priority="3" dxfId="2">
      <formula>ISNUMBER(SEARCH("DİKKAT",B22))</formula>
    </cfRule>
  </conditionalFormatting>
  <conditionalFormatting sqref="B20">
    <cfRule type="cellIs" priority="4" operator="greaterThan" dxfId="4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&amp;LYurt Dışı Yapılanma Vergi Simülatörü · 1.0.0&amp;CExcelArşiv&amp;RSayfa &amp;P / &amp;N</oddFooter>
    <evenHeader/>
    <evenFooter>&amp;LYurt Dışı Yapılanma Vergi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KONTROLLER — Yurt Dışı Yapılanma Vergi Simülatörü</t>
        </is>
      </c>
    </row>
    <row r="2"/>
    <row r="3" ht="22" customHeight="1">
      <c r="A3" s="227" t="inlineStr">
        <is>
          <t>Canlı kontrol paneli</t>
        </is>
      </c>
    </row>
    <row r="4"/>
    <row r="5">
      <c r="A5" s="7" t="inlineStr">
        <is>
          <t>Giriş tablosu boş mu?</t>
        </is>
      </c>
      <c r="B5" s="28">
        <f>IF(COUNTA(tblGirdi[Alan Anahtarı])=0,"BOŞ","DOLU")</f>
        <v/>
      </c>
    </row>
    <row r="6">
      <c r="A6" s="7" t="inlineStr">
        <is>
          <t>Negatif YD kâr?</t>
        </is>
      </c>
      <c r="B6" s="28">
        <f>IF(GIRDI!B11&lt;0,"NEGATİF","TEMİZ")</f>
        <v/>
      </c>
    </row>
    <row r="7">
      <c r="A7" s="7" t="inlineStr">
        <is>
          <t>Hesap yılı geçerli mi?</t>
        </is>
      </c>
      <c r="B7" s="28">
        <f>IFERROR(IF(AND(N(hesapYili)&gt;N(ydv_yilTaban),N(hesapYili)&lt;=N(ydv_yilTaban)+3),"TEMİZ","HATALI"),"HATALI")</f>
        <v/>
      </c>
    </row>
    <row r="8">
      <c r="A8" s="7" t="inlineStr">
        <is>
          <t>Kâr TL sıfır mı?</t>
        </is>
      </c>
      <c r="B8" s="28">
        <f>IF(IFERROR(MOTOR!G20,0)=0,"SIFIR","NORMAL")</f>
        <v/>
      </c>
    </row>
    <row r="9">
      <c r="A9" s="7" t="inlineStr">
        <is>
          <t>Vaka kırık mı?</t>
        </is>
      </c>
      <c r="B9" s="28">
        <f>IFERROR(IF(COUNTIF(tblVakalar[durum],"KIRIK")&gt;0,"KIRIK","TUTARLI"),"KIRIK")</f>
        <v/>
      </c>
    </row>
    <row r="10">
      <c r="A10" s="7" t="inlineStr">
        <is>
          <t>Çift vergi eşiği aşıyor mu?</t>
        </is>
      </c>
      <c r="B10" s="28">
        <f>IF(IFERROR(MOTOR!G30,0)&gt;ydv_kacirilanEsik+N(GIRDI!B11)*ydv_sifirCarpan,"AŞIYOR","NORMAL")</f>
        <v/>
      </c>
    </row>
    <row r="11">
      <c r="A11" s="7" t="inlineStr">
        <is>
          <t>Yorum A/B seçili mi?</t>
        </is>
      </c>
      <c r="B11" s="28">
        <f>IF(OR(GIRDI!B17="A",GIRDI!B17="B"),"TEMİZ","EKSİK")</f>
        <v/>
      </c>
    </row>
    <row r="12">
      <c r="A12" s="10" t="inlineStr">
        <is>
          <t>Kalite skoru (modül)</t>
        </is>
      </c>
      <c r="B12" s="63">
        <f>IFERROR(ROUND(IF(OR(B14=0,B14=""),0,B15/B14*100),0),0)</f>
        <v/>
      </c>
    </row>
    <row r="13"/>
    <row r="14">
      <c r="A14" s="7" t="inlineStr">
        <is>
          <t>Toplam giriş alanı</t>
        </is>
      </c>
      <c r="B14" s="37">
        <f>IFERROR(ydv_girisBeklenen+COUNTA(GIRDI!B6:B17)*0,0)</f>
        <v/>
      </c>
    </row>
    <row r="15">
      <c r="A15" s="7" t="inlineStr">
        <is>
          <t>Dolu giriş</t>
        </is>
      </c>
      <c r="B15" s="37">
        <f>COUNTA(GIRDI!B6:B17)</f>
        <v/>
      </c>
    </row>
    <row r="16"/>
    <row r="17">
      <c r="A17" s="7" t="inlineStr">
        <is>
          <t>Kâr TL kontrol</t>
        </is>
      </c>
      <c r="B17" s="27">
        <f>IFERROR(ydv_karTl,0)</f>
        <v/>
      </c>
    </row>
    <row r="18">
      <c r="A18" s="7" t="inlineStr">
        <is>
          <t>Efektif kontrol</t>
        </is>
      </c>
      <c r="B18" s="26">
        <f>IFERROR(ydv_efektifVergi,0)</f>
        <v/>
      </c>
    </row>
    <row r="19">
      <c r="A19" s="7" t="inlineStr">
        <is>
          <t>Karar kontrol</t>
        </is>
      </c>
      <c r="B19" s="28">
        <f>IFERROR(ydv_kararMetni,"-")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N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1.5" customWidth="1" min="1" max="1"/>
    <col width="12.5" customWidth="1" min="2" max="2"/>
    <col width="12" customWidth="1" min="3" max="3"/>
    <col width="12" customWidth="1" min="4" max="4"/>
    <col width="13.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.5" customWidth="1" min="14" max="14"/>
    <col width="13" customWidth="1" min="15" max="15"/>
  </cols>
  <sheetData>
    <row r="1" ht="32" customHeight="1">
      <c r="A1" s="207" t="inlineStr">
        <is>
          <t>ORNEK VERI — Yurt Dışı Yapılanma Vergi Simülatörü</t>
        </is>
      </c>
    </row>
    <row r="2"/>
    <row r="3" ht="22" customHeight="1">
      <c r="A3" s="227" t="inlineStr">
        <is>
          <t>Örnek senaryo kütüphanesi</t>
        </is>
      </c>
    </row>
    <row r="4">
      <c r="A4" s="29" t="inlineStr">
        <is>
          <t>Bu sayfa demo değerleri saklar; GIRDI'ye kopyalanabilir.</t>
        </is>
      </c>
    </row>
    <row r="5" ht="30" customHeight="1">
      <c r="A5" s="23" t="inlineStr">
        <is>
          <t>Senaryo</t>
        </is>
      </c>
      <c r="B5" s="23" t="inlineStr">
        <is>
          <t>Ülke</t>
        </is>
      </c>
      <c r="C5" s="23" t="inlineStr">
        <is>
          <t>Yapı</t>
        </is>
      </c>
      <c r="D5" s="23" t="inlineStr">
        <is>
          <t>YDKâr</t>
        </is>
      </c>
      <c r="E5" s="23" t="inlineStr">
        <is>
          <t>YerelOran</t>
        </is>
      </c>
      <c r="F5" s="23" t="inlineStr">
        <is>
          <t>Stopaj</t>
        </is>
      </c>
      <c r="G5" s="23" t="inlineStr">
        <is>
          <t>Kur</t>
        </is>
      </c>
      <c r="H5" s="23" t="inlineStr">
        <is>
          <t>İstisna</t>
        </is>
      </c>
      <c r="I5" s="23" t="inlineStr">
        <is>
          <t>TF</t>
        </is>
      </c>
      <c r="J5" s="23" t="inlineStr">
        <is>
          <t>Yıl</t>
        </is>
      </c>
      <c r="K5" s="23" t="inlineStr">
        <is>
          <t>Yorum</t>
        </is>
      </c>
      <c r="L5" s="23" t="inlineStr">
        <is>
          <t>KârTL</t>
        </is>
      </c>
      <c r="N5" s="53" t="inlineStr">
        <is>
          <t>KarDemo</t>
        </is>
      </c>
    </row>
    <row r="6">
      <c r="A6" s="38" t="inlineStr">
        <is>
          <t>Demo ana</t>
        </is>
      </c>
      <c r="B6" s="38" t="inlineStr">
        <is>
          <t>Almanya</t>
        </is>
      </c>
      <c r="C6" s="38" t="inlineStr">
        <is>
          <t>İŞTİRAK</t>
        </is>
      </c>
      <c r="D6" s="41" t="n">
        <v>500000</v>
      </c>
      <c r="E6" s="42" t="n">
        <v>0.3</v>
      </c>
      <c r="F6" s="42" t="n">
        <v>0.05</v>
      </c>
      <c r="G6" s="40" t="n">
        <v>36</v>
      </c>
      <c r="H6" s="38" t="inlineStr">
        <is>
          <t>Evet</t>
        </is>
      </c>
      <c r="I6" s="40" t="n">
        <v>40</v>
      </c>
      <c r="J6" s="40" t="n">
        <v>2026</v>
      </c>
      <c r="K6" s="38" t="inlineStr">
        <is>
          <t>A</t>
        </is>
      </c>
      <c r="L6" s="39">
        <f>IF($A6="","",IFERROR($D6*$G6,0))</f>
        <v/>
      </c>
      <c r="N6" s="30" t="n">
        <v>18000000</v>
      </c>
    </row>
    <row r="7">
      <c r="A7" s="38" t="inlineStr">
        <is>
          <t>Şube yüksek vergi</t>
        </is>
      </c>
      <c r="B7" s="38" t="inlineStr">
        <is>
          <t>Fransa</t>
        </is>
      </c>
      <c r="C7" s="38" t="inlineStr">
        <is>
          <t>ŞUBE</t>
        </is>
      </c>
      <c r="D7" s="41" t="n">
        <v>400000</v>
      </c>
      <c r="E7" s="42" t="n">
        <v>0.28</v>
      </c>
      <c r="F7" s="42" t="n">
        <v>0</v>
      </c>
      <c r="G7" s="40" t="n">
        <v>36</v>
      </c>
      <c r="H7" s="38" t="inlineStr">
        <is>
          <t>Hayır</t>
        </is>
      </c>
      <c r="I7" s="40" t="n">
        <v>55</v>
      </c>
      <c r="J7" s="40" t="n">
        <v>2026</v>
      </c>
      <c r="K7" s="38" t="inlineStr">
        <is>
          <t>A</t>
        </is>
      </c>
      <c r="L7" s="39">
        <f>IF($A7="","",IFERROR($D7*$G7,0))</f>
        <v/>
      </c>
      <c r="N7" s="30" t="n">
        <v>14400000</v>
      </c>
    </row>
    <row r="8">
      <c r="A8" s="38" t="inlineStr">
        <is>
          <t>Ofis düşük risk</t>
        </is>
      </c>
      <c r="B8" s="38" t="inlineStr">
        <is>
          <t>BAE</t>
        </is>
      </c>
      <c r="C8" s="38" t="inlineStr">
        <is>
          <t>OFİS</t>
        </is>
      </c>
      <c r="D8" s="41" t="n">
        <v>100000</v>
      </c>
      <c r="E8" s="42" t="n">
        <v>0.09</v>
      </c>
      <c r="F8" s="42" t="n">
        <v>0</v>
      </c>
      <c r="G8" s="40" t="n">
        <v>10</v>
      </c>
      <c r="H8" s="38" t="inlineStr">
        <is>
          <t>Hayır</t>
        </is>
      </c>
      <c r="I8" s="40" t="n">
        <v>20</v>
      </c>
      <c r="J8" s="40" t="n">
        <v>2026</v>
      </c>
      <c r="K8" s="38" t="inlineStr">
        <is>
          <t>A</t>
        </is>
      </c>
      <c r="L8" s="39">
        <f>IF($A8="","",IFERROR($D8*$G8,0))</f>
        <v/>
      </c>
      <c r="N8" s="30" t="n">
        <v>1000000</v>
      </c>
    </row>
    <row r="9">
      <c r="A9" s="38" t="inlineStr">
        <is>
          <t>TF riskli limited</t>
        </is>
      </c>
      <c r="B9" s="38" t="inlineStr">
        <is>
          <t>Hollanda</t>
        </is>
      </c>
      <c r="C9" s="38" t="inlineStr">
        <is>
          <t>LİMİTED</t>
        </is>
      </c>
      <c r="D9" s="41" t="n">
        <v>600000</v>
      </c>
      <c r="E9" s="42" t="n">
        <v>0.25</v>
      </c>
      <c r="F9" s="42" t="n">
        <v>0.05</v>
      </c>
      <c r="G9" s="40" t="n">
        <v>36</v>
      </c>
      <c r="H9" s="38" t="inlineStr">
        <is>
          <t>Evet</t>
        </is>
      </c>
      <c r="I9" s="40" t="n">
        <v>85</v>
      </c>
      <c r="J9" s="40" t="n">
        <v>2026</v>
      </c>
      <c r="K9" s="38" t="inlineStr">
        <is>
          <t>B</t>
        </is>
      </c>
      <c r="L9" s="39">
        <f>IF($A9="","",IFERROR($D9*$G9,0))</f>
        <v/>
      </c>
      <c r="N9" s="30" t="n">
        <v>21600000</v>
      </c>
    </row>
    <row r="10">
      <c r="A10" s="38" t="inlineStr">
        <is>
          <t>2025 geçiş</t>
        </is>
      </c>
      <c r="B10" s="38" t="inlineStr">
        <is>
          <t>Almanya</t>
        </is>
      </c>
      <c r="C10" s="38" t="inlineStr">
        <is>
          <t>İŞTİRAK</t>
        </is>
      </c>
      <c r="D10" s="41" t="n">
        <v>500000</v>
      </c>
      <c r="E10" s="42" t="n">
        <v>0.3</v>
      </c>
      <c r="F10" s="42" t="n">
        <v>0.05</v>
      </c>
      <c r="G10" s="40" t="n">
        <v>34</v>
      </c>
      <c r="H10" s="38" t="inlineStr">
        <is>
          <t>Evet</t>
        </is>
      </c>
      <c r="I10" s="40" t="n">
        <v>40</v>
      </c>
      <c r="J10" s="40" t="n">
        <v>2025</v>
      </c>
      <c r="K10" s="38" t="inlineStr">
        <is>
          <t>A</t>
        </is>
      </c>
      <c r="L10" s="39">
        <f>IF($A10="","",IFERROR($D10*$G10,0))</f>
        <v/>
      </c>
      <c r="N10" s="30" t="n">
        <v>17000000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>
        <f>IF($A11="","",IFERROR($D11*$G11,0))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>
        <f>IF($A12="","",IFERROR($D12*$G12,0))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>
        <f>IF($A13="","",IFERROR($D13*$G13,0))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>
        <f>IF($A14="","",IFERROR($D14*$G14,0))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>
        <f>IF($A15="","",IFERROR($D15*$G15,0))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>
        <f>IF($A16="","",IFERROR($D16*$G16,0))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>
        <f>IF($A17="","",IFERROR($D17*$G17,0))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>
        <f>IF($A18="","",IFERROR($D18*$G18,0))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>
        <f>IF($A19="","",IFERROR($D19*$G19,0))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>
        <f>IF($A20="","",IFERROR($D20*$G20,0))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>
        <f>IF($A21="","",IFERROR($D21*$G21,0))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>
        <f>IF($A22="","",IFERROR($D22*$G22,0))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>
        <f>IF($A23="","",IFERROR($D23*$G23,0))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>
        <f>IF($A24="","",IFERROR($D24*$G24,0))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>
        <f>IF($A25="","",IFERROR($D25*$G25,0))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>
        <f>IF($A26="","",IFERROR($D26*$G26,0))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>
        <f>IF($A27="","",IFERROR($D27*$G27,0))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>
        <f>IF($A28="","",IFERROR($D28*$G28,0))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>
        <f>IF($A29="","",IFERROR($D29*$G29,0))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>
        <f>IF($A30="","",IFERROR($D30*$G30,0))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>
        <f>IF($A31="","",IFERROR($D31*$G31,0))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>
        <f>IF($A32="","",IFERROR($D32*$G32,0))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>
        <f>IF($A33="","",IFERROR($D33*$G33,0))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>
        <f>IF($A34="","",IFERROR($D34*$G34,0))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>
        <f>IF($A35="","",IFERROR($D35*$G35,0))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>
        <f>IF($A36="","",IFERROR($D36*$G36,0))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>
        <f>IF($A37="","",IFERROR($D37*$G37,0))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>
        <f>IF($A38="","",IFERROR($D38*$G38,0))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>
        <f>IF($A39="","",IFERROR($D39*$G39,0))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>
        <f>IF($A40="","",IFERROR($D40*$G40,0))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>
        <f>IF($A41="","",IFERROR($D41*$G41,0))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>
        <f>IF($A42="","",IFERROR($D42*$G42,0))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>
        <f>IF($A43="","",IFERROR($D43*$G43,0))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>
        <f>IF($A44="","",IFERROR($D44*$G44,0))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>
        <f>IF($A45="","",IFERROR($D45*$G45,0))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>
        <f>IF($A46="","",IFERROR($D46*$G46,0))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>
        <f>IF($A47="","",IFERROR($D47*$G47,0))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>
        <f>IF($A48="","",IFERROR($D48*$G48,0))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>
        <f>IF($A49="","",IFERROR($D49*$G49,0))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>
        <f>IF($A50="","",IFERROR($D50*$G50,0))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>
        <f>IF($A51="","",IFERROR($D51*$G51,0))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>
        <f>IF($A52="","",IFERROR($D52*$G52,0))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>
        <f>IF($A53="","",IFERROR($D53*$G53,0))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>
        <f>IF($A54="","",IFERROR($D54*$G54,0))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>
        <f>IF($A55="","",IFERROR($D55*$G55,0))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>
        <f>IF($A56="","",IFERROR($D56*$G56,0))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>
        <f>IF($A57="","",IFERROR($D57*$G57,0))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>
        <f>IF($A58="","",IFERROR($D58*$G58,0))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>
        <f>IF($A59="","",IFERROR($D59*$G59,0))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>
        <f>IF($A60="","",IFERROR($D60*$G60,0))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>
        <f>IF($A61="","",IFERROR($D61*$G61,0))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>
        <f>IF($A62="","",IFERROR($D62*$G62,0))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>
        <f>IF($A63="","",IFERROR($D63*$G63,0))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>
        <f>IF($A64="","",IFERROR($D64*$G64,0))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>
        <f>IF($A65="","",IFERROR($D65*$G65,0))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>
        <f>IF($A66="","",IFERROR($D66*$G66,0))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>
        <f>IF($A67="","",IFERROR($D67*$G67,0))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>
        <f>IF($A68="","",IFERROR($D68*$G68,0))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>
        <f>IF($A69="","",IFERROR($D69*$G69,0))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>
        <f>IF($A70="","",IFERROR($D70*$G70,0))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>
        <f>IF($A71="","",IFERROR($D71*$G71,0))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>
        <f>IF($A72="","",IFERROR($D72*$G72,0))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>
        <f>IF($A73="","",IFERROR($D73*$G73,0))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>
        <f>IF($A74="","",IFERROR($D74*$G74,0))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>
        <f>IF($A75="","",IFERROR($D75*$G75,0))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>
        <f>IF($A76="","",IFERROR($D76*$G76,0))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>
        <f>IF($A77="","",IFERROR($D77*$G77,0))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>
        <f>IF($A78="","",IFERROR($D78*$G78,0))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>
        <f>IF($A79="","",IFERROR($D79*$G79,0))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>
        <f>IF($A80="","",IFERROR($D80*$G80,0))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>
        <f>IF($A81="","",IFERROR($D81*$G81,0))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>
        <f>IF($A82="","",IFERROR($D82*$G82,0))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>
        <f>IF($A83="","",IFERROR($D83*$G83,0))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>
        <f>IF($A84="","",IFERROR($D84*$G84,0))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>
        <f>IF($A85="","",IFERROR($D85*$G85,0))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>
        <f>IF($A86="","",IFERROR($D86*$G86,0))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>
        <f>IF($A87="","",IFERROR($D87*$G87,0))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>
        <f>IF($A88="","",IFERROR($D88*$G88,0))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>
        <f>IF($A89="","",IFERROR($D89*$G89,0))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>
        <f>IF($A90="","",IFERROR($D90*$G90,0))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>
        <f>IF($A91="","",IFERROR($D91*$G91,0))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>
        <f>IF($A92="","",IFERROR($D92*$G92,0))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>
        <f>IF($A93="","",IFERROR($D93*$G93,0))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>
        <f>IF($A94="","",IFERROR($D94*$G94,0))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>
        <f>IF($A95="","",IFERROR($D95*$G95,0))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>
        <f>IF($A96="","",IFERROR($D96*$G96,0))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>
        <f>IF($A97="","",IFERROR($D97*$G97,0))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>
        <f>IF($A98="","",IFERROR($D98*$G98,0))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>
        <f>IF($A99="","",IFERROR($D99*$G99,0))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>
        <f>IF($A100="","",IFERROR($D100*$G100,0))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>
        <f>IF($A101="","",IFERROR($D101*$G101,0))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>
        <f>IF($A102="","",IFERROR($D102*$G102,0))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>
        <f>IF($A103="","",IFERROR($D103*$G103,0))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>
        <f>IF($A104="","",IFERROR($D104*$G104,0))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>
        <f>IF($A105="","",IFERROR($D105*$G105,0))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>
        <f>IF($A106="","",IFERROR($D106*$G106,0))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>
        <f>IF($A107="","",IFERROR($D107*$G107,0))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>
        <f>IF($A108="","",IFERROR($D108*$G108,0))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>
        <f>IF($A109="","",IFERROR($D109*$G109,0))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>
        <f>IF($A110="","",IFERROR($D110*$G110,0))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>
        <f>IF($A111="","",IFERROR($D111*$G111,0))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>
        <f>IF($A112="","",IFERROR($D112*$G112,0))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>
        <f>IF($A113="","",IFERROR($D113*$G113,0))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>
        <f>IF($A114="","",IFERROR($D114*$G114,0))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>
        <f>IF($A115="","",IFERROR($D115*$G115,0))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>
        <f>IF($A116="","",IFERROR($D116*$G116,0))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>
        <f>IF($A117="","",IFERROR($D117*$G117,0))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>
        <f>IF($A118="","",IFERROR($D118*$G118,0))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>
        <f>IF($A119="","",IFERROR($D119*$G119,0))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>
        <f>IF($A120="","",IFERROR($D120*$G120,0))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>
        <f>IF($A121="","",IFERROR($D121*$G121,0))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>
        <f>IF($A122="","",IFERROR($D122*$G122,0))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>
        <f>IF($A123="","",IFERROR($D123*$G123,0))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>
        <f>IF($A124="","",IFERROR($D124*$G124,0))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>
        <f>IF($A125="","",IFERROR($D125*$G125,0))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>
        <f>IF($A126="","",IFERROR($D126*$G126,0))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>
        <f>IF($A127="","",IFERROR($D127*$G127,0))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>
        <f>IF($A128="","",IFERROR($D128*$G128,0))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>
        <f>IF($A129="","",IFERROR($D129*$G129,0))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>
        <f>IF($A130="","",IFERROR($D130*$G130,0))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>
        <f>IF($A131="","",IFERROR($D131*$G131,0))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>
        <f>IF($A132="","",IFERROR($D132*$G132,0))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>
        <f>IF($A133="","",IFERROR($D133*$G133,0))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>
        <f>IF($A134="","",IFERROR($D134*$G134,0))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>
        <f>IF($A135="","",IFERROR($D135*$G135,0))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>
        <f>IF($A136="","",IFERROR($D136*$G136,0))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>
        <f>IF($A137="","",IFERROR($D137*$G137,0))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>
        <f>IF($A138="","",IFERROR($D138*$G138,0))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>
        <f>IF($A139="","",IFERROR($D139*$G139,0))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>
        <f>IF($A140="","",IFERROR($D140*$G140,0))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>
        <f>IF($A141="","",IFERROR($D141*$G141,0))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>
        <f>IF($A142="","",IFERROR($D142*$G142,0))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>
        <f>IF($A143="","",IFERROR($D143*$G143,0))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>
        <f>IF($A144="","",IFERROR($D144*$G144,0))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>
        <f>IF($A145="","",IFERROR($D145*$G145,0))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>
        <f>IF($A146="","",IFERROR($D146*$G146,0))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>
        <f>IF($A147="","",IFERROR($D147*$G147,0))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>
        <f>IF($A148="","",IFERROR($D148*$G148,0))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>
        <f>IF($A149="","",IFERROR($D149*$G149,0))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>
        <f>IF($A150="","",IFERROR($D150*$G150,0))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>
        <f>IF($A151="","",IFERROR($D151*$G151,0))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>
        <f>IF($A152="","",IFERROR($D152*$G152,0))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>
        <f>IF($A153="","",IFERROR($D153*$G153,0))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>
        <f>IF($A154="","",IFERROR($D154*$G154,0))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>
        <f>IF($A155="","",IFERROR($D155*$G155,0))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>
        <f>IF($A156="","",IFERROR($D156*$G156,0))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>
        <f>IF($A157="","",IFERROR($D157*$G157,0))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>
        <f>IF($A158="","",IFERROR($D158*$G158,0))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>
        <f>IF($A159="","",IFERROR($D159*$G159,0))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>
        <f>IF($A160="","",IFERROR($D160*$G160,0))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>
        <f>IF($A161="","",IFERROR($D161*$G161,0))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>
        <f>IF($A162="","",IFERROR($D162*$G162,0))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>
        <f>IF($A163="","",IFERROR($D163*$G163,0))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>
        <f>IF($A164="","",IFERROR($D164*$G164,0))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>
        <f>IF($A165="","",IFERROR($D165*$G165,0))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>
        <f>IF($A166="","",IFERROR($D166*$G166,0))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>
        <f>IF($A167="","",IFERROR($D167*$G167,0))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>
        <f>IF($A168="","",IFERROR($D168*$G168,0))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>
        <f>IF($A169="","",IFERROR($D169*$G169,0))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>
        <f>IF($A170="","",IFERROR($D170*$G170,0))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>
        <f>IF($A171="","",IFERROR($D171*$G171,0))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>
        <f>IF($A172="","",IFERROR($D172*$G172,0))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>
        <f>IF($A173="","",IFERROR($D173*$G173,0))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>
        <f>IF($A174="","",IFERROR($D174*$G174,0))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>
        <f>IF($A175="","",IFERROR($D175*$G175,0))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>
        <f>IF($A176="","",IFERROR($D176*$G176,0))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>
        <f>IF($A177="","",IFERROR($D177*$G177,0))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>
        <f>IF($A178="","",IFERROR($D178*$G178,0))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>
        <f>IF($A179="","",IFERROR($D179*$G179,0))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>
        <f>IF($A180="","",IFERROR($D180*$G180,0))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>
        <f>IF($A181="","",IFERROR($D181*$G181,0))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>
        <f>IF($A182="","",IFERROR($D182*$G182,0))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>
        <f>IF($A183="","",IFERROR($D183*$G183,0))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>
        <f>IF($A184="","",IFERROR($D184*$G184,0))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>
        <f>IF($A185="","",IFERROR($D185*$G185,0))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>
        <f>IF($A186="","",IFERROR($D186*$G186,0))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>
        <f>IF($A187="","",IFERROR($D187*$G187,0))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>
        <f>IF($A188="","",IFERROR($D188*$G188,0))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>
        <f>IF($A189="","",IFERROR($D189*$G189,0))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>
        <f>IF($A190="","",IFERROR($D190*$G190,0))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>
        <f>IF($A191="","",IFERROR($D191*$G191,0))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>
        <f>IF($A192="","",IFERROR($D192*$G192,0))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>
        <f>IF($A193="","",IFERROR($D193*$G193,0))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>
        <f>IF($A194="","",IFERROR($D194*$G194,0))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>
        <f>IF($A195="","",IFERROR($D195*$G195,0))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>
        <f>IF($A196="","",IFERROR($D196*$G196,0))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>
        <f>IF($A197="","",IFERROR($D197*$G197,0))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>
        <f>IF($A198="","",IFERROR($D198*$G198,0))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>
        <f>IF($A199="","",IFERROR($D199*$G199,0))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>
        <f>IF($A200="","",IFERROR($D200*$G200,0))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>
        <f>IF($A201="","",IFERROR($D201*$G201,0))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>
        <f>IF($A202="","",IFERROR($D202*$G202,0))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>
        <f>IF($A203="","",IFERROR($D203*$G203,0))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>
        <f>IF($A204="","",IFERROR($D204*$G204,0))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>
        <f>IF($A205="","",IFERROR($D205*$G205,0))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>
        <f>IF($A206="","",IFERROR($D206*$G206,0))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>
        <f>IF($A207="","",IFERROR($D207*$G207,0))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>
        <f>IF($A208="","",IFERROR($D208*$G208,0))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>
        <f>IF($A209="","",IFERROR($D209*$G209,0))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>
        <f>IF($A210="","",IFERROR($D210*$G210,0))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>
        <f>IF($A211="","",IFERROR($D211*$G211,0))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>
        <f>IF($A212="","",IFERROR($D212*$G212,0))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>
        <f>IF($A213="","",IFERROR($D213*$G213,0))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>
        <f>IF($A214="","",IFERROR($D214*$G214,0))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>
        <f>IF($A215="","",IFERROR($D215*$G215,0))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>
        <f>IF($A216="","",IFERROR($D216*$G216,0))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>
        <f>IF($A217="","",IFERROR($D217*$G217,0))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>
        <f>IF($A218="","",IFERROR($D218*$G218,0))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>
        <f>IF($A219="","",IFERROR($D219*$G219,0))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>
        <f>IF($A220="","",IFERROR($D220*$G220,0))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>
        <f>IF($A221="","",IFERROR($D221*$G221,0))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>
        <f>IF($A222="","",IFERROR($D222*$G222,0))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>
        <f>IF($A223="","",IFERROR($D223*$G223,0))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>
        <f>IF($A224="","",IFERROR($D224*$G224,0))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>
        <f>IF($A225="","",IFERROR($D225*$G225,0))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>
        <f>IF($A226="","",IFERROR($D226*$G226,0))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>
        <f>IF($A227="","",IFERROR($D227*$G227,0))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>
        <f>IF($A228="","",IFERROR($D228*$G228,0))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>
        <f>IF($A229="","",IFERROR($D229*$G229,0))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>
        <f>IF($A230="","",IFERROR($D230*$G230,0))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>
        <f>IF($A231="","",IFERROR($D231*$G231,0))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>
        <f>IF($A232="","",IFERROR($D232*$G232,0))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>
        <f>IF($A233="","",IFERROR($D233*$G233,0))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>
        <f>IF($A234="","",IFERROR($D234*$G234,0))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>
        <f>IF($A235="","",IFERROR($D235*$G235,0))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>
        <f>IF($A236="","",IFERROR($D236*$G236,0))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>
        <f>IF($A237="","",IFERROR($D237*$G237,0))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>
        <f>IF($A238="","",IFERROR($D238*$G238,0))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>
        <f>IF($A239="","",IFERROR($D239*$G239,0))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>
        <f>IF($A240="","",IFERROR($D240*$G240,0))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>
        <f>IF($A241="","",IFERROR($D241*$G241,0))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>
        <f>IF($A242="","",IFERROR($D242*$G242,0))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>
        <f>IF($A243="","",IFERROR($D243*$G243,0))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>
        <f>IF($A244="","",IFERROR($D244*$G244,0))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>
        <f>IF($A245="","",IFERROR($D245*$G245,0))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>
        <f>IF($A246="","",IFERROR($D246*$G246,0))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>
        <f>IF($A247="","",IFERROR($D247*$G247,0))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>
        <f>IF($A248="","",IFERROR($D248*$G248,0))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>
        <f>IF($A249="","",IFERROR($D249*$G249,0))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>
        <f>IF($A250="","",IFERROR($D250*$G250,0))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>
        <f>IF($A251="","",IFERROR($D251*$G251,0))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>
        <f>IF($A252="","",IFERROR($D252*$G252,0))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>
        <f>IF($A253="","",IFERROR($D253*$G253,0))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>
        <f>IF($A254="","",IFERROR($D254*$G254,0))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>
        <f>IF($A255="","",IFERROR($D255*$G255,0))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>
        <f>IF($A256="","",IFERROR($D256*$G256,0))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>
        <f>IF($A257="","",IFERROR($D257*$G257,0))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>
        <f>IF($A258="","",IFERROR($D258*$G258,0))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>
        <f>IF($A259="","",IFERROR($D259*$G259,0))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>
        <f>IF($A260="","",IFERROR($D260*$G260,0))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>
        <f>IF($A261="","",IFERROR($D261*$G261,0))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>
        <f>IF($A262="","",IFERROR($D262*$G262,0))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>
        <f>IF($A263="","",IFERROR($D263*$G263,0))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>
        <f>IF($A264="","",IFERROR($D264*$G264,0))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>
        <f>IF($A265="","",IFERROR($D265*$G265,0))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>
        <f>IF($A266="","",IFERROR($D266*$G266,0))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>
        <f>IF($A267="","",IFERROR($D267*$G267,0))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>
        <f>IF($A268="","",IFERROR($D268*$G268,0))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>
        <f>IF($A269="","",IFERROR($D269*$G269,0))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>
        <f>IF($A270="","",IFERROR($D270*$G270,0))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>
        <f>IF($A271="","",IFERROR($D271*$G271,0))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>
        <f>IF($A272="","",IFERROR($D272*$G272,0))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>
        <f>IF($A273="","",IFERROR($D273*$G273,0))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>
        <f>IF($A274="","",IFERROR($D274*$G274,0))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>
        <f>IF($A275="","",IFERROR($D275*$G275,0))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>
        <f>IF($A276="","",IFERROR($D276*$G276,0))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>
        <f>IF($A277="","",IFERROR($D277*$G277,0))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>
        <f>IF($A278="","",IFERROR($D278*$G278,0))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>
        <f>IF($A279="","",IFERROR($D279*$G279,0))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>
        <f>IF($A280="","",IFERROR($D280*$G280,0))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>
        <f>IF($A281="","",IFERROR($D281*$G281,0))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>
        <f>IF($A282="","",IFERROR($D282*$G282,0))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>
        <f>IF($A283="","",IFERROR($D283*$G283,0))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>
        <f>IF($A284="","",IFERROR($D284*$G284,0))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>
        <f>IF($A285="","",IFERROR($D285*$G285,0))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>
        <f>IF($A286="","",IFERROR($D286*$G286,0))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>
        <f>IF($A287="","",IFERROR($D287*$G287,0))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>
        <f>IF($A288="","",IFERROR($D288*$G288,0))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>
        <f>IF($A289="","",IFERROR($D289*$G289,0))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>
        <f>IF($A290="","",IFERROR($D290*$G290,0))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>
        <f>IF($A291="","",IFERROR($D291*$G291,0))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>
        <f>IF($A292="","",IFERROR($D292*$G292,0))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>
        <f>IF($A293="","",IFERROR($D293*$G293,0))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>
        <f>IF($A294="","",IFERROR($D294*$G294,0))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>
        <f>IF($A295="","",IFERROR($D295*$G295,0))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>
        <f>IF($A296="","",IFERROR($D296*$G296,0))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>
        <f>IF($A297="","",IFERROR($D297*$G297,0))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>
        <f>IF($A298="","",IFERROR($D298*$G298,0))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>
        <f>IF($A299="","",IFERROR($D299*$G299,0))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>
        <f>IF($A300="","",IFERROR($D300*$G300,0))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>
        <f>IF($A301="","",IFERROR($D301*$G301,0))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>
        <f>IF($A302="","",IFERROR($D302*$G302,0))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>
        <f>IF($A303="","",IFERROR($D303*$G303,0))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>
        <f>IF($A304="","",IFERROR($D304*$G304,0))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>
        <f>IF($A305="","",IFERROR($D305*$G305,0))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>
        <f>IF($A306="","",IFERROR($D306*$G306,0))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>
        <f>IF($A307="","",IFERROR($D307*$G307,0))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>
        <f>IF($A308="","",IFERROR($D308*$G308,0))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>
        <f>IF($A309="","",IFERROR($D309*$G309,0))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>
        <f>IF($A310="","",IFERROR($D310*$G310,0))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>
        <f>IF($A311="","",IFERROR($D311*$G311,0))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>
        <f>IF($A312="","",IFERROR($D312*$G312,0))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>
        <f>IF($A313="","",IFERROR($D313*$G313,0))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>
        <f>IF($A314="","",IFERROR($D314*$G314,0))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>
        <f>IF($A315="","",IFERROR($D315*$G315,0))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>
        <f>IF($A316="","",IFERROR($D316*$G316,0))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>
        <f>IF($A317="","",IFERROR($D317*$G317,0))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>
        <f>IF($A318="","",IFERROR($D318*$G318,0))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>
        <f>IF($A319="","",IFERROR($D319*$G319,0))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>
        <f>IF($A320="","",IFERROR($D320*$G320,0))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>
        <f>IF($A321="","",IFERROR($D321*$G321,0))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>
        <f>IF($A322="","",IFERROR($D322*$G322,0))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>
        <f>IF($A323="","",IFERROR($D323*$G323,0))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>
        <f>IF($A324="","",IFERROR($D324*$G324,0))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>
        <f>IF($A325="","",IFERROR($D325*$G325,0))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>
        <f>IF($A326="","",IFERROR($D326*$G326,0))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>
        <f>IF($A327="","",IFERROR($D327*$G327,0))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>
        <f>IF($A328="","",IFERROR($D328*$G328,0))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>
        <f>IF($A329="","",IFERROR($D329*$G329,0))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>
        <f>IF($A330="","",IFERROR($D330*$G330,0))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>
        <f>IF($A331="","",IFERROR($D331*$G331,0))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>
        <f>IF($A332="","",IFERROR($D332*$G332,0))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>
        <f>IF($A333="","",IFERROR($D333*$G333,0))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>
        <f>IF($A334="","",IFERROR($D334*$G334,0))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>
        <f>IF($A335="","",IFERROR($D335*$G335,0))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>
        <f>IF($A336="","",IFERROR($D336*$G336,0))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>
        <f>IF($A337="","",IFERROR($D337*$G337,0))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>
        <f>IF($A338="","",IFERROR($D338*$G338,0))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>
        <f>IF($A339="","",IFERROR($D339*$G339,0))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>
        <f>IF($A340="","",IFERROR($D340*$G340,0))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>
        <f>IF($A341="","",IFERROR($D341*$G341,0))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>
        <f>IF($A342="","",IFERROR($D342*$G342,0))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>
        <f>IF($A343="","",IFERROR($D343*$G343,0))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>
        <f>IF($A344="","",IFERROR($D344*$G344,0))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>
        <f>IF($A345="","",IFERROR($D345*$G345,0))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>
        <f>IF($A346="","",IFERROR($D346*$G346,0))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>
        <f>IF($A347="","",IFERROR($D347*$G347,0))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>
        <f>IF($A348="","",IFERROR($D348*$G348,0))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>
        <f>IF($A349="","",IFERROR($D349*$G349,0))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>
        <f>IF($A350="","",IFERROR($D350*$G350,0))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>
        <f>IF($A351="","",IFERROR($D351*$G351,0))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>
        <f>IF($A352="","",IFERROR($D352*$G352,0))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>
        <f>IF($A353="","",IFERROR($D353*$G353,0))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>
        <f>IF($A354="","",IFERROR($D354*$G354,0))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>
        <f>IF($A355="","",IFERROR($D355*$G355,0))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>
        <f>IF($A356="","",IFERROR($D356*$G356,0))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>
        <f>IF($A357="","",IFERROR($D357*$G357,0))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>
        <f>IF($A358="","",IFERROR($D358*$G358,0))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>
        <f>IF($A359="","",IFERROR($D359*$G359,0))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>
        <f>IF($A360="","",IFERROR($D360*$G360,0))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>
        <f>IF($A361="","",IFERROR($D361*$G361,0))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>
        <f>IF($A362="","",IFERROR($D362*$G362,0))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>
        <f>IF($A363="","",IFERROR($D363*$G363,0))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>
        <f>IF($A364="","",IFERROR($D364*$G364,0))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>
        <f>IF($A365="","",IFERROR($D365*$G365,0))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>
        <f>IF($A366="","",IFERROR($D366*$G366,0))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>
        <f>IF($A367="","",IFERROR($D367*$G367,0))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>
        <f>IF($A368="","",IFERROR($D368*$G368,0))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>
        <f>IF($A369="","",IFERROR($D369*$G369,0))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9">
        <f>IF($A370="","",IFERROR($D370*$G370,0))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9">
        <f>IF($A371="","",IFERROR($D371*$G371,0))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9">
        <f>IF($A372="","",IFERROR($D372*$G372,0))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9">
        <f>IF($A373="","",IFERROR($D373*$G373,0))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9">
        <f>IF($A374="","",IFERROR($D374*$G374,0))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9">
        <f>IF($A375="","",IFERROR($D375*$G375,0))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9">
        <f>IF($A376="","",IFERROR($D376*$G376,0))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9">
        <f>IF($A377="","",IFERROR($D377*$G377,0))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9">
        <f>IF($A378="","",IFERROR($D378*$G378,0))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9">
        <f>IF($A379="","",IFERROR($D379*$G379,0))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9">
        <f>IF($A380="","",IFERROR($D380*$G380,0))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9">
        <f>IF($A381="","",IFERROR($D381*$G381,0))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9">
        <f>IF($A382="","",IFERROR($D382*$G382,0))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9">
        <f>IF($A383="","",IFERROR($D383*$G383,0))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9">
        <f>IF($A384="","",IFERROR($D384*$G384,0))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9">
        <f>IF($A385="","",IFERROR($D385*$G385,0))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9">
        <f>IF($A386="","",IFERROR($D386*$G386,0))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9">
        <f>IF($A387="","",IFERROR($D387*$G387,0))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9">
        <f>IF($A388="","",IFERROR($D388*$G388,0))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9">
        <f>IF($A389="","",IFERROR($D389*$G389,0))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9">
        <f>IF($A390="","",IFERROR($D390*$G390,0))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9">
        <f>IF($A391="","",IFERROR($D391*$G391,0))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9">
        <f>IF($A392="","",IFERROR($D392*$G392,0))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9">
        <f>IF($A393="","",IFERROR($D393*$G393,0))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9">
        <f>IF($A394="","",IFERROR($D394*$G394,0))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9">
        <f>IF($A395="","",IFERROR($D395*$G395,0))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9">
        <f>IF($A396="","",IFERROR($D396*$G396,0))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9">
        <f>IF($A397="","",IFERROR($D397*$G397,0))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9">
        <f>IF($A398="","",IFERROR($D398*$G398,0))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9">
        <f>IF($A399="","",IFERROR($D399*$G399,0))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9">
        <f>IF($A400="","",IFERROR($D400*$G400,0))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9">
        <f>IF($A401="","",IFERROR($D401*$G401,0))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9">
        <f>IF($A402="","",IFERROR($D402*$G402,0))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9">
        <f>IF($A403="","",IFERROR($D403*$G403,0))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9">
        <f>IF($A404="","",IFERROR($D404*$G404,0))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9">
        <f>IF($A405="","",IFERROR($D405*$G405,0))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9">
        <f>IF($A406="","",IFERROR($D406*$G406,0))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9">
        <f>IF($A407="","",IFERROR($D407*$G407,0))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9">
        <f>IF($A408="","",IFERROR($D408*$G408,0))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9">
        <f>IF($A409="","",IFERROR($D409*$G409,0))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9">
        <f>IF($A410="","",IFERROR($D410*$G410,0))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9">
        <f>IF($A411="","",IFERROR($D411*$G411,0))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9">
        <f>IF($A412="","",IFERROR($D412*$G412,0))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9">
        <f>IF($A413="","",IFERROR($D413*$G413,0))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9">
        <f>IF($A414="","",IFERROR($D414*$G414,0))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9">
        <f>IF($A415="","",IFERROR($D415*$G415,0))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9">
        <f>IF($A416="","",IFERROR($D416*$G416,0))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9">
        <f>IF($A417="","",IFERROR($D417*$G417,0))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9">
        <f>IF($A418="","",IFERROR($D418*$G418,0))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9">
        <f>IF($A419="","",IFERROR($D419*$G419,0))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9">
        <f>IF($A420="","",IFERROR($D420*$G420,0))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9">
        <f>IF($A421="","",IFERROR($D421*$G421,0))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9">
        <f>IF($A422="","",IFERROR($D422*$G422,0))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9">
        <f>IF($A423="","",IFERROR($D423*$G423,0))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9">
        <f>IF($A424="","",IFERROR($D424*$G424,0))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9">
        <f>IF($A425="","",IFERROR($D425*$G425,0))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9">
        <f>IF($A426="","",IFERROR($D426*$G426,0))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9">
        <f>IF($A427="","",IFERROR($D427*$G427,0))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9">
        <f>IF($A428="","",IFERROR($D428*$G428,0))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9">
        <f>IF($A429="","",IFERROR($D429*$G429,0))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9">
        <f>IF($A430="","",IFERROR($D430*$G430,0))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9">
        <f>IF($A431="","",IFERROR($D431*$G431,0))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9">
        <f>IF($A432="","",IFERROR($D432*$G432,0))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9">
        <f>IF($A433="","",IFERROR($D433*$G433,0))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9">
        <f>IF($A434="","",IFERROR($D434*$G434,0))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9">
        <f>IF($A435="","",IFERROR($D435*$G435,0))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9">
        <f>IF($A436="","",IFERROR($D436*$G436,0))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9">
        <f>IF($A437="","",IFERROR($D437*$G437,0))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9">
        <f>IF($A438="","",IFERROR($D438*$G438,0))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9">
        <f>IF($A439="","",IFERROR($D439*$G439,0))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9">
        <f>IF($A440="","",IFERROR($D440*$G440,0))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9">
        <f>IF($A441="","",IFERROR($D441*$G441,0))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9">
        <f>IF($A442="","",IFERROR($D442*$G442,0))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9">
        <f>IF($A443="","",IFERROR($D443*$G443,0))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9">
        <f>IF($A444="","",IFERROR($D444*$G444,0))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9">
        <f>IF($A445="","",IFERROR($D445*$G445,0))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9">
        <f>IF($A446="","",IFERROR($D446*$G446,0))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9">
        <f>IF($A447="","",IFERROR($D447*$G447,0))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9">
        <f>IF($A448="","",IFERROR($D448*$G448,0))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9">
        <f>IF($A449="","",IFERROR($D449*$G449,0))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9">
        <f>IF($A450="","",IFERROR($D450*$G450,0))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9">
        <f>IF($A451="","",IFERROR($D451*$G451,0))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9">
        <f>IF($A452="","",IFERROR($D452*$G452,0))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9">
        <f>IF($A453="","",IFERROR($D453*$G453,0))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9">
        <f>IF($A454="","",IFERROR($D454*$G454,0))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9">
        <f>IF($A455="","",IFERROR($D455*$G455,0))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9">
        <f>IF($A456="","",IFERROR($D456*$G456,0))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9">
        <f>IF($A457="","",IFERROR($D457*$G457,0))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9">
        <f>IF($A458="","",IFERROR($D458*$G458,0))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9">
        <f>IF($A459="","",IFERROR($D459*$G459,0))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9">
        <f>IF($A460="","",IFERROR($D460*$G460,0))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9">
        <f>IF($A461="","",IFERROR($D461*$G461,0))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9">
        <f>IF($A462="","",IFERROR($D462*$G462,0))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9">
        <f>IF($A463="","",IFERROR($D463*$G463,0))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9">
        <f>IF($A464="","",IFERROR($D464*$G464,0))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9">
        <f>IF($A465="","",IFERROR($D465*$G465,0))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9">
        <f>IF($A466="","",IFERROR($D466*$G466,0))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9">
        <f>IF($A467="","",IFERROR($D467*$G467,0))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9">
        <f>IF($A468="","",IFERROR($D468*$G468,0))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9">
        <f>IF($A469="","",IFERROR($D469*$G469,0))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9">
        <f>IF($A470="","",IFERROR($D470*$G470,0))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9">
        <f>IF($A471="","",IFERROR($D471*$G471,0))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9">
        <f>IF($A472="","",IFERROR($D472*$G472,0))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9">
        <f>IF($A473="","",IFERROR($D473*$G473,0))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9">
        <f>IF($A474="","",IFERROR($D474*$G474,0))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9">
        <f>IF($A475="","",IFERROR($D475*$G475,0))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9">
        <f>IF($A476="","",IFERROR($D476*$G476,0))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9">
        <f>IF($A477="","",IFERROR($D477*$G477,0))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9">
        <f>IF($A478="","",IFERROR($D478*$G478,0))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9">
        <f>IF($A479="","",IFERROR($D479*$G479,0))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9">
        <f>IF($A480="","",IFERROR($D480*$G480,0))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9">
        <f>IF($A481="","",IFERROR($D481*$G481,0))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9">
        <f>IF($A482="","",IFERROR($D482*$G482,0))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9">
        <f>IF($A483="","",IFERROR($D483*$G483,0))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9">
        <f>IF($A484="","",IFERROR($D484*$G484,0))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9">
        <f>IF($A485="","",IFERROR($D485*$G485,0))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9">
        <f>IF($A486="","",IFERROR($D486*$G486,0))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9">
        <f>IF($A487="","",IFERROR($D487*$G487,0))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9">
        <f>IF($A488="","",IFERROR($D488*$G488,0))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9">
        <f>IF($A489="","",IFERROR($D489*$G489,0))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9">
        <f>IF($A490="","",IFERROR($D490*$G490,0))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9">
        <f>IF($A491="","",IFERROR($D491*$G491,0))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9">
        <f>IF($A492="","",IFERROR($D492*$G492,0))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9">
        <f>IF($A493="","",IFERROR($D493*$G493,0))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9">
        <f>IF($A494="","",IFERROR($D494*$G494,0))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9">
        <f>IF($A495="","",IFERROR($D495*$G495,0))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9">
        <f>IF($A496="","",IFERROR($D496*$G496,0))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9">
        <f>IF($A497="","",IFERROR($D497*$G497,0))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9">
        <f>IF($A498="","",IFERROR($D498*$G498,0))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9">
        <f>IF($A499="","",IFERROR($D499*$G499,0))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9">
        <f>IF($A500="","",IFERROR($D500*$G500,0))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9">
        <f>IF($A501="","",IFERROR($D501*$G501,0))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9">
        <f>IF($A502="","",IFERROR($D502*$G502,0))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9">
        <f>IF($A503="","",IFERROR($D503*$G503,0))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9">
        <f>IF($A504="","",IFERROR($D504*$G504,0))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9">
        <f>IF($A505="","",IFERROR($D505*$G505,0))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9">
        <f>IF($A506="","",IFERROR($D506*$G506,0))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9">
        <f>IF($A507="","",IFERROR($D507*$G507,0))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9">
        <f>IF($A508="","",IFERROR($D508*$G508,0))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9">
        <f>IF($A509="","",IFERROR($D509*$G509,0))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9">
        <f>IF($A510="","",IFERROR($D510*$G510,0))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9">
        <f>IF($A511="","",IFERROR($D511*$G511,0))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9">
        <f>IF($A512="","",IFERROR($D512*$G512,0))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9">
        <f>IF($A513="","",IFERROR($D513*$G513,0))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9">
        <f>IF($A514="","",IFERROR($D514*$G514,0))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9">
        <f>IF($A515="","",IFERROR($D515*$G515,0))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9">
        <f>IF($A516="","",IFERROR($D516*$G516,0))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9">
        <f>IF($A517="","",IFERROR($D517*$G517,0))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9">
        <f>IF($A518="","",IFERROR($D518*$G518,0))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9">
        <f>IF($A519="","",IFERROR($D519*$G519,0))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9">
        <f>IF($A520="","",IFERROR($D520*$G520,0))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9">
        <f>IF($A521="","",IFERROR($D521*$G521,0))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9">
        <f>IF($A522="","",IFERROR($D522*$G522,0))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9">
        <f>IF($A523="","",IFERROR($D523*$G523,0))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9">
        <f>IF($A524="","",IFERROR($D524*$G524,0))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9">
        <f>IF($A525="","",IFERROR($D525*$G525,0))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9">
        <f>IF($A526="","",IFERROR($D526*$G526,0))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9">
        <f>IF($A527="","",IFERROR($D527*$G527,0))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9">
        <f>IF($A528="","",IFERROR($D528*$G528,0))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9">
        <f>IF($A529="","",IFERROR($D529*$G529,0))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9">
        <f>IF($A530="","",IFERROR($D530*$G530,0))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9">
        <f>IF($A531="","",IFERROR($D531*$G531,0))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9">
        <f>IF($A532="","",IFERROR($D532*$G532,0))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9">
        <f>IF($A533="","",IFERROR($D533*$G533,0))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9">
        <f>IF($A534="","",IFERROR($D534*$G534,0))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9">
        <f>IF($A535="","",IFERROR($D535*$G535,0))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9">
        <f>IF($A536="","",IFERROR($D536*$G536,0))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9">
        <f>IF($A537="","",IFERROR($D537*$G537,0))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9">
        <f>IF($A538="","",IFERROR($D538*$G538,0))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9">
        <f>IF($A539="","",IFERROR($D539*$G539,0))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9">
        <f>IF($A540="","",IFERROR($D540*$G540,0))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9">
        <f>IF($A541="","",IFERROR($D541*$G541,0))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9">
        <f>IF($A542="","",IFERROR($D542*$G542,0))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9">
        <f>IF($A543="","",IFERROR($D543*$G543,0))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9">
        <f>IF($A544="","",IFERROR($D544*$G544,0))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9">
        <f>IF($A545="","",IFERROR($D545*$G545,0))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9">
        <f>IF($A546="","",IFERROR($D546*$G546,0))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9">
        <f>IF($A547="","",IFERROR($D547*$G547,0))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9">
        <f>IF($A548="","",IFERROR($D548*$G548,0))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9">
        <f>IF($A549="","",IFERROR($D549*$G549,0))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9">
        <f>IF($A550="","",IFERROR($D550*$G550,0))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9">
        <f>IF($A551="","",IFERROR($D551*$G551,0))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9">
        <f>IF($A552="","",IFERROR($D552*$G552,0))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9">
        <f>IF($A553="","",IFERROR($D553*$G553,0))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9">
        <f>IF($A554="","",IFERROR($D554*$G554,0))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9">
        <f>IF($A555="","",IFERROR($D555*$G555,0))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9">
        <f>IF($A556="","",IFERROR($D556*$G556,0))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9">
        <f>IF($A557="","",IFERROR($D557*$G557,0))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9">
        <f>IF($A558="","",IFERROR($D558*$G558,0))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9">
        <f>IF($A559="","",IFERROR($D559*$G559,0))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9">
        <f>IF($A560="","",IFERROR($D560*$G560,0))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9">
        <f>IF($A561="","",IFERROR($D561*$G561,0))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9">
        <f>IF($A562="","",IFERROR($D562*$G562,0))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9">
        <f>IF($A563="","",IFERROR($D563*$G563,0))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9">
        <f>IF($A564="","",IFERROR($D564*$G564,0))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9">
        <f>IF($A565="","",IFERROR($D565*$G565,0))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9">
        <f>IF($A566="","",IFERROR($D566*$G566,0))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9">
        <f>IF($A567="","",IFERROR($D567*$G567,0))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9">
        <f>IF($A568="","",IFERROR($D568*$G568,0))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9">
        <f>IF($A569="","",IFERROR($D569*$G569,0))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9">
        <f>IF($A570="","",IFERROR($D570*$G570,0))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9">
        <f>IF($A571="","",IFERROR($D571*$G571,0))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9">
        <f>IF($A572="","",IFERROR($D572*$G572,0))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9">
        <f>IF($A573="","",IFERROR($D573*$G573,0))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9">
        <f>IF($A574="","",IFERROR($D574*$G574,0))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9">
        <f>IF($A575="","",IFERROR($D575*$G575,0))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9">
        <f>IF($A576="","",IFERROR($D576*$G576,0))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9">
        <f>IF($A577="","",IFERROR($D577*$G577,0))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9">
        <f>IF($A578="","",IFERROR($D578*$G578,0))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9">
        <f>IF($A579="","",IFERROR($D579*$G579,0))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9">
        <f>IF($A580="","",IFERROR($D580*$G580,0))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9">
        <f>IF($A581="","",IFERROR($D581*$G581,0))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9">
        <f>IF($A582="","",IFERROR($D582*$G582,0))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9">
        <f>IF($A583="","",IFERROR($D583*$G583,0))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9">
        <f>IF($A584="","",IFERROR($D584*$G584,0))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9">
        <f>IF($A585="","",IFERROR($D585*$G585,0))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9">
        <f>IF($A586="","",IFERROR($D586*$G586,0))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9">
        <f>IF($A587="","",IFERROR($D587*$G587,0))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9">
        <f>IF($A588="","",IFERROR($D588*$G588,0))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9">
        <f>IF($A589="","",IFERROR($D589*$G589,0))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9">
        <f>IF($A590="","",IFERROR($D590*$G590,0))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9">
        <f>IF($A591="","",IFERROR($D591*$G591,0))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9">
        <f>IF($A592="","",IFERROR($D592*$G592,0))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9">
        <f>IF($A593="","",IFERROR($D593*$G593,0))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9">
        <f>IF($A594="","",IFERROR($D594*$G594,0))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9">
        <f>IF($A595="","",IFERROR($D595*$G595,0))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9">
        <f>IF($A596="","",IFERROR($D596*$G596,0))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9">
        <f>IF($A597="","",IFERROR($D597*$G597,0))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9">
        <f>IF($A598="","",IFERROR($D598*$G598,0))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9">
        <f>IF($A599="","",IFERROR($D599*$G599,0))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9">
        <f>IF($A600="","",IFERROR($D600*$G600,0))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9">
        <f>IF($A601="","",IFERROR($D601*$G601,0))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9">
        <f>IF($A602="","",IFERROR($D602*$G602,0))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9">
        <f>IF($A603="","",IFERROR($D603*$G603,0))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9">
        <f>IF($A604="","",IFERROR($D604*$G604,0))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9">
        <f>IF($A605="","",IFERROR($D605*$G605,0))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9">
        <f>IF($A606="","",IFERROR($D606*$G606,0))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9">
        <f>IF($A607="","",IFERROR($D607*$G607,0))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9">
        <f>IF($A608="","",IFERROR($D608*$G608,0))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9">
        <f>IF($A609="","",IFERROR($D609*$G609,0))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9">
        <f>IF($A610="","",IFERROR($D610*$G610,0))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9">
        <f>IF($A611="","",IFERROR($D611*$G611,0))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9">
        <f>IF($A612="","",IFERROR($D612*$G612,0))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9">
        <f>IF($A613="","",IFERROR($D613*$G613,0))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9">
        <f>IF($A614="","",IFERROR($D614*$G614,0))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9">
        <f>IF($A615="","",IFERROR($D615*$G615,0))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9">
        <f>IF($A616="","",IFERROR($D616*$G616,0))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9">
        <f>IF($A617="","",IFERROR($D617*$G617,0))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9">
        <f>IF($A618="","",IFERROR($D618*$G618,0))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9">
        <f>IF($A619="","",IFERROR($D619*$G619,0))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9">
        <f>IF($A620="","",IFERROR($D620*$G620,0))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9">
        <f>IF($A621="","",IFERROR($D621*$G621,0))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9">
        <f>IF($A622="","",IFERROR($D622*$G622,0))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9">
        <f>IF($A623="","",IFERROR($D623*$G623,0))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9">
        <f>IF($A624="","",IFERROR($D624*$G624,0))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9">
        <f>IF($A625="","",IFERROR($D625*$G625,0))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9">
        <f>IF($A626="","",IFERROR($D626*$G626,0))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9">
        <f>IF($A627="","",IFERROR($D627*$G627,0))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9">
        <f>IF($A628="","",IFERROR($D628*$G628,0))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9">
        <f>IF($A629="","",IFERROR($D629*$G629,0))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9">
        <f>IF($A630="","",IFERROR($D630*$G630,0))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9">
        <f>IF($A631="","",IFERROR($D631*$G631,0))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9">
        <f>IF($A632="","",IFERROR($D632*$G632,0))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9">
        <f>IF($A633="","",IFERROR($D633*$G633,0))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9">
        <f>IF($A634="","",IFERROR($D634*$G634,0))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9">
        <f>IF($A635="","",IFERROR($D635*$G635,0))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9">
        <f>IF($A636="","",IFERROR($D636*$G636,0))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9">
        <f>IF($A637="","",IFERROR($D637*$G637,0))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9">
        <f>IF($A638="","",IFERROR($D638*$G638,0))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9">
        <f>IF($A639="","",IFERROR($D639*$G639,0))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9">
        <f>IF($A640="","",IFERROR($D640*$G640,0))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9">
        <f>IF($A641="","",IFERROR($D641*$G641,0))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9">
        <f>IF($A642="","",IFERROR($D642*$G642,0))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9">
        <f>IF($A643="","",IFERROR($D643*$G643,0))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9">
        <f>IF($A644="","",IFERROR($D644*$G644,0))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9">
        <f>IF($A645="","",IFERROR($D645*$G645,0))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9">
        <f>IF($A646="","",IFERROR($D646*$G646,0))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9">
        <f>IF($A647="","",IFERROR($D647*$G647,0))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9">
        <f>IF($A648="","",IFERROR($D648*$G648,0))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9">
        <f>IF($A649="","",IFERROR($D649*$G649,0))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9">
        <f>IF($A650="","",IFERROR($D650*$G650,0))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9">
        <f>IF($A651="","",IFERROR($D651*$G651,0))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9">
        <f>IF($A652="","",IFERROR($D652*$G652,0))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9">
        <f>IF($A653="","",IFERROR($D653*$G653,0))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9">
        <f>IF($A654="","",IFERROR($D654*$G654,0))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9">
        <f>IF($A655="","",IFERROR($D655*$G655,0))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9">
        <f>IF($A656="","",IFERROR($D656*$G656,0))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9">
        <f>IF($A657="","",IFERROR($D657*$G657,0))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9">
        <f>IF($A658="","",IFERROR($D658*$G658,0))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9">
        <f>IF($A659="","",IFERROR($D659*$G659,0))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9">
        <f>IF($A660="","",IFERROR($D660*$G660,0))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9">
        <f>IF($A661="","",IFERROR($D661*$G661,0))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9">
        <f>IF($A662="","",IFERROR($D662*$G662,0))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9">
        <f>IF($A663="","",IFERROR($D663*$G663,0))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9">
        <f>IF($A664="","",IFERROR($D664*$G664,0))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9">
        <f>IF($A665="","",IFERROR($D665*$G665,0))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9">
        <f>IF($A666="","",IFERROR($D666*$G666,0))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9">
        <f>IF($A667="","",IFERROR($D667*$G667,0))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9">
        <f>IF($A668="","",IFERROR($D668*$G668,0))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9">
        <f>IF($A669="","",IFERROR($D669*$G669,0))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9">
        <f>IF($A670="","",IFERROR($D670*$G670,0))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9">
        <f>IF($A671="","",IFERROR($D671*$G671,0))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9">
        <f>IF($A672="","",IFERROR($D672*$G672,0))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9">
        <f>IF($A673="","",IFERROR($D673*$G673,0))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9">
        <f>IF($A674="","",IFERROR($D674*$G674,0))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9">
        <f>IF($A675="","",IFERROR($D675*$G675,0))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9">
        <f>IF($A676="","",IFERROR($D676*$G676,0))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9">
        <f>IF($A677="","",IFERROR($D677*$G677,0))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9">
        <f>IF($A678="","",IFERROR($D678*$G678,0))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9">
        <f>IF($A679="","",IFERROR($D679*$G679,0))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9">
        <f>IF($A680="","",IFERROR($D680*$G680,0))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9">
        <f>IF($A681="","",IFERROR($D681*$G681,0))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9">
        <f>IF($A682="","",IFERROR($D682*$G682,0))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9">
        <f>IF($A683="","",IFERROR($D683*$G683,0))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9">
        <f>IF($A684="","",IFERROR($D684*$G684,0))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9">
        <f>IF($A685="","",IFERROR($D685*$G685,0))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9">
        <f>IF($A686="","",IFERROR($D686*$G686,0))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9">
        <f>IF($A687="","",IFERROR($D687*$G687,0))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9">
        <f>IF($A688="","",IFERROR($D688*$G688,0))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9">
        <f>IF($A689="","",IFERROR($D689*$G689,0))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9">
        <f>IF($A690="","",IFERROR($D690*$G690,0))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9">
        <f>IF($A691="","",IFERROR($D691*$G691,0))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9">
        <f>IF($A692="","",IFERROR($D692*$G692,0))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9">
        <f>IF($A693="","",IFERROR($D693*$G693,0))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9">
        <f>IF($A694="","",IFERROR($D694*$G694,0))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9">
        <f>IF($A695="","",IFERROR($D695*$G695,0))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9">
        <f>IF($A696="","",IFERROR($D696*$G696,0))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9">
        <f>IF($A697="","",IFERROR($D697*$G697,0))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9">
        <f>IF($A698="","",IFERROR($D698*$G698,0))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9">
        <f>IF($A699="","",IFERROR($D699*$G699,0))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8" t="n"/>
      <c r="K700" s="38" t="n"/>
      <c r="L700" s="39">
        <f>IF($A700="","",IFERROR($D700*$G700,0))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8" t="n"/>
      <c r="K701" s="38" t="n"/>
      <c r="L701" s="39">
        <f>IF($A701="","",IFERROR($D701*$G701,0))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8" t="n"/>
      <c r="K702" s="38" t="n"/>
      <c r="L702" s="39">
        <f>IF($A702="","",IFERROR($D702*$G702,0))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8" t="n"/>
      <c r="K703" s="38" t="n"/>
      <c r="L703" s="39">
        <f>IF($A703="","",IFERROR($D703*$G703,0))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8" t="n"/>
      <c r="K704" s="38" t="n"/>
      <c r="L704" s="39">
        <f>IF($A704="","",IFERROR($D704*$G704,0))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8" t="n"/>
      <c r="K705" s="38" t="n"/>
      <c r="L705" s="39">
        <f>IF($A705="","",IFERROR($D705*$G705,0))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8" t="n"/>
      <c r="K706" s="38" t="n"/>
      <c r="L706" s="39">
        <f>IF($A706="","",IFERROR($D706*$G706,0))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8" t="n"/>
      <c r="K707" s="38" t="n"/>
      <c r="L707" s="39">
        <f>IF($A707="","",IFERROR($D707*$G707,0))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8" t="n"/>
      <c r="K708" s="38" t="n"/>
      <c r="L708" s="39">
        <f>IF($A708="","",IFERROR($D708*$G708,0))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8" t="n"/>
      <c r="K709" s="38" t="n"/>
      <c r="L709" s="39">
        <f>IF($A709="","",IFERROR($D709*$G709,0))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8" t="n"/>
      <c r="K710" s="38" t="n"/>
      <c r="L710" s="39">
        <f>IF($A710="","",IFERROR($D710*$G710,0))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8" t="n"/>
      <c r="K711" s="38" t="n"/>
      <c r="L711" s="39">
        <f>IF($A711="","",IFERROR($D711*$G711,0))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8" t="n"/>
      <c r="K712" s="38" t="n"/>
      <c r="L712" s="39">
        <f>IF($A712="","",IFERROR($D712*$G712,0))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8" t="n"/>
      <c r="K713" s="38" t="n"/>
      <c r="L713" s="39">
        <f>IF($A713="","",IFERROR($D713*$G713,0))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8" t="n"/>
      <c r="K714" s="38" t="n"/>
      <c r="L714" s="39">
        <f>IF($A714="","",IFERROR($D714*$G714,0))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8" t="n"/>
      <c r="K715" s="38" t="n"/>
      <c r="L715" s="39">
        <f>IF($A715="","",IFERROR($D715*$G715,0))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8" t="n"/>
      <c r="K716" s="38" t="n"/>
      <c r="L716" s="39">
        <f>IF($A716="","",IFERROR($D716*$G716,0))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8" t="n"/>
      <c r="K717" s="38" t="n"/>
      <c r="L717" s="39">
        <f>IF($A717="","",IFERROR($D717*$G717,0))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8" t="n"/>
      <c r="K718" s="38" t="n"/>
      <c r="L718" s="39">
        <f>IF($A718="","",IFERROR($D718*$G718,0))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8" t="n"/>
      <c r="K719" s="38" t="n"/>
      <c r="L719" s="39">
        <f>IF($A719="","",IFERROR($D719*$G719,0))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8" t="n"/>
      <c r="K720" s="38" t="n"/>
      <c r="L720" s="39">
        <f>IF($A720="","",IFERROR($D720*$G720,0))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8" t="n"/>
      <c r="K721" s="38" t="n"/>
      <c r="L721" s="39">
        <f>IF($A721="","",IFERROR($D721*$G721,0))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8" t="n"/>
      <c r="K722" s="38" t="n"/>
      <c r="L722" s="39">
        <f>IF($A722="","",IFERROR($D722*$G722,0))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8" t="n"/>
      <c r="K723" s="38" t="n"/>
      <c r="L723" s="39">
        <f>IF($A723="","",IFERROR($D723*$G723,0))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8" t="n"/>
      <c r="K724" s="38" t="n"/>
      <c r="L724" s="39">
        <f>IF($A724="","",IFERROR($D724*$G724,0))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8" t="n"/>
      <c r="K725" s="38" t="n"/>
      <c r="L725" s="39">
        <f>IF($A725="","",IFERROR($D725*$G725,0))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8" t="n"/>
      <c r="K726" s="38" t="n"/>
      <c r="L726" s="39">
        <f>IF($A726="","",IFERROR($D726*$G726,0))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8" t="n"/>
      <c r="K727" s="38" t="n"/>
      <c r="L727" s="39">
        <f>IF($A727="","",IFERROR($D727*$G727,0))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8" t="n"/>
      <c r="K728" s="38" t="n"/>
      <c r="L728" s="39">
        <f>IF($A728="","",IFERROR($D728*$G728,0))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8" t="n"/>
      <c r="K729" s="38" t="n"/>
      <c r="L729" s="39">
        <f>IF($A729="","",IFERROR($D729*$G729,0))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8" t="n"/>
      <c r="K730" s="38" t="n"/>
      <c r="L730" s="39">
        <f>IF($A730="","",IFERROR($D730*$G730,0))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8" t="n"/>
      <c r="K731" s="38" t="n"/>
      <c r="L731" s="39">
        <f>IF($A731="","",IFERROR($D731*$G731,0))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8" t="n"/>
      <c r="K732" s="38" t="n"/>
      <c r="L732" s="39">
        <f>IF($A732="","",IFERROR($D732*$G732,0))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8" t="n"/>
      <c r="K733" s="38" t="n"/>
      <c r="L733" s="39">
        <f>IF($A733="","",IFERROR($D733*$G733,0))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8" t="n"/>
      <c r="K734" s="38" t="n"/>
      <c r="L734" s="39">
        <f>IF($A734="","",IFERROR($D734*$G734,0))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8" t="n"/>
      <c r="K735" s="38" t="n"/>
      <c r="L735" s="39">
        <f>IF($A735="","",IFERROR($D735*$G735,0))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8" t="n"/>
      <c r="K736" s="38" t="n"/>
      <c r="L736" s="39">
        <f>IF($A736="","",IFERROR($D736*$G736,0))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8" t="n"/>
      <c r="K737" s="38" t="n"/>
      <c r="L737" s="39">
        <f>IF($A737="","",IFERROR($D737*$G737,0))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8" t="n"/>
      <c r="K738" s="38" t="n"/>
      <c r="L738" s="39">
        <f>IF($A738="","",IFERROR($D738*$G738,0))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8" t="n"/>
      <c r="K739" s="38" t="n"/>
      <c r="L739" s="39">
        <f>IF($A739="","",IFERROR($D739*$G739,0))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8" t="n"/>
      <c r="K740" s="38" t="n"/>
      <c r="L740" s="39">
        <f>IF($A740="","",IFERROR($D740*$G740,0))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8" t="n"/>
      <c r="K741" s="38" t="n"/>
      <c r="L741" s="39">
        <f>IF($A741="","",IFERROR($D741*$G741,0))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8" t="n"/>
      <c r="K742" s="38" t="n"/>
      <c r="L742" s="39">
        <f>IF($A742="","",IFERROR($D742*$G742,0))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8" t="n"/>
      <c r="K743" s="38" t="n"/>
      <c r="L743" s="39">
        <f>IF($A743="","",IFERROR($D743*$G743,0))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8" t="n"/>
      <c r="K744" s="38" t="n"/>
      <c r="L744" s="39">
        <f>IF($A744="","",IFERROR($D744*$G744,0))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8" t="n"/>
      <c r="K745" s="38" t="n"/>
      <c r="L745" s="39">
        <f>IF($A745="","",IFERROR($D745*$G745,0))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8" t="n"/>
      <c r="K746" s="38" t="n"/>
      <c r="L746" s="39">
        <f>IF($A746="","",IFERROR($D746*$G746,0))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8" t="n"/>
      <c r="K747" s="38" t="n"/>
      <c r="L747" s="39">
        <f>IF($A747="","",IFERROR($D747*$G747,0))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8" t="n"/>
      <c r="K748" s="38" t="n"/>
      <c r="L748" s="39">
        <f>IF($A748="","",IFERROR($D748*$G748,0))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8" t="n"/>
      <c r="K749" s="38" t="n"/>
      <c r="L749" s="39">
        <f>IF($A749="","",IFERROR($D749*$G749,0))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8" t="n"/>
      <c r="K750" s="38" t="n"/>
      <c r="L750" s="39">
        <f>IF($A750="","",IFERROR($D750*$G750,0))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8" t="n"/>
      <c r="K751" s="38" t="n"/>
      <c r="L751" s="39">
        <f>IF($A751="","",IFERROR($D751*$G751,0))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8" t="n"/>
      <c r="K752" s="38" t="n"/>
      <c r="L752" s="39">
        <f>IF($A752="","",IFERROR($D752*$G752,0))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8" t="n"/>
      <c r="K753" s="38" t="n"/>
      <c r="L753" s="39">
        <f>IF($A753="","",IFERROR($D753*$G753,0))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8" t="n"/>
      <c r="K754" s="38" t="n"/>
      <c r="L754" s="39">
        <f>IF($A754="","",IFERROR($D754*$G754,0))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8" t="n"/>
      <c r="K755" s="38" t="n"/>
      <c r="L755" s="39">
        <f>IF($A755="","",IFERROR($D755*$G755,0))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8" t="n"/>
      <c r="K756" s="38" t="n"/>
      <c r="L756" s="39">
        <f>IF($A756="","",IFERROR($D756*$G756,0))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8" t="n"/>
      <c r="K757" s="38" t="n"/>
      <c r="L757" s="39">
        <f>IF($A757="","",IFERROR($D757*$G757,0))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8" t="n"/>
      <c r="K758" s="38" t="n"/>
      <c r="L758" s="39">
        <f>IF($A758="","",IFERROR($D758*$G758,0))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8" t="n"/>
      <c r="K759" s="38" t="n"/>
      <c r="L759" s="39">
        <f>IF($A759="","",IFERROR($D759*$G759,0))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8" t="n"/>
      <c r="K760" s="38" t="n"/>
      <c r="L760" s="39">
        <f>IF($A760="","",IFERROR($D760*$G760,0))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8" t="n"/>
      <c r="K761" s="38" t="n"/>
      <c r="L761" s="39">
        <f>IF($A761="","",IFERROR($D761*$G761,0))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8" t="n"/>
      <c r="K762" s="38" t="n"/>
      <c r="L762" s="39">
        <f>IF($A762="","",IFERROR($D762*$G762,0))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8" t="n"/>
      <c r="K763" s="38" t="n"/>
      <c r="L763" s="39">
        <f>IF($A763="","",IFERROR($D763*$G763,0))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8" t="n"/>
      <c r="K764" s="38" t="n"/>
      <c r="L764" s="39">
        <f>IF($A764="","",IFERROR($D764*$G764,0))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8" t="n"/>
      <c r="K765" s="38" t="n"/>
      <c r="L765" s="39">
        <f>IF($A765="","",IFERROR($D765*$G765,0))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8" t="n"/>
      <c r="K766" s="38" t="n"/>
      <c r="L766" s="39">
        <f>IF($A766="","",IFERROR($D766*$G766,0))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8" t="n"/>
      <c r="K767" s="38" t="n"/>
      <c r="L767" s="39">
        <f>IF($A767="","",IFERROR($D767*$G767,0))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8" t="n"/>
      <c r="K768" s="38" t="n"/>
      <c r="L768" s="39">
        <f>IF($A768="","",IFERROR($D768*$G768,0))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8" t="n"/>
      <c r="K769" s="38" t="n"/>
      <c r="L769" s="39">
        <f>IF($A769="","",IFERROR($D769*$G769,0))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8" t="n"/>
      <c r="K770" s="38" t="n"/>
      <c r="L770" s="39">
        <f>IF($A770="","",IFERROR($D770*$G770,0))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8" t="n"/>
      <c r="K771" s="38" t="n"/>
      <c r="L771" s="39">
        <f>IF($A771="","",IFERROR($D771*$G771,0))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8" t="n"/>
      <c r="K772" s="38" t="n"/>
      <c r="L772" s="39">
        <f>IF($A772="","",IFERROR($D772*$G772,0))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8" t="n"/>
      <c r="K773" s="38" t="n"/>
      <c r="L773" s="39">
        <f>IF($A773="","",IFERROR($D773*$G773,0))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8" t="n"/>
      <c r="K774" s="38" t="n"/>
      <c r="L774" s="39">
        <f>IF($A774="","",IFERROR($D774*$G774,0))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8" t="n"/>
      <c r="K775" s="38" t="n"/>
      <c r="L775" s="39">
        <f>IF($A775="","",IFERROR($D775*$G775,0))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8" t="n"/>
      <c r="K776" s="38" t="n"/>
      <c r="L776" s="39">
        <f>IF($A776="","",IFERROR($D776*$G776,0))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8" t="n"/>
      <c r="K777" s="38" t="n"/>
      <c r="L777" s="39">
        <f>IF($A777="","",IFERROR($D777*$G777,0))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8" t="n"/>
      <c r="K778" s="38" t="n"/>
      <c r="L778" s="39">
        <f>IF($A778="","",IFERROR($D778*$G778,0))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8" t="n"/>
      <c r="K779" s="38" t="n"/>
      <c r="L779" s="39">
        <f>IF($A779="","",IFERROR($D779*$G779,0))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8" t="n"/>
      <c r="K780" s="38" t="n"/>
      <c r="L780" s="39">
        <f>IF($A780="","",IFERROR($D780*$G780,0))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8" t="n"/>
      <c r="K781" s="38" t="n"/>
      <c r="L781" s="39">
        <f>IF($A781="","",IFERROR($D781*$G781,0))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8" t="n"/>
      <c r="K782" s="38" t="n"/>
      <c r="L782" s="39">
        <f>IF($A782="","",IFERROR($D782*$G782,0))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8" t="n"/>
      <c r="K783" s="38" t="n"/>
      <c r="L783" s="39">
        <f>IF($A783="","",IFERROR($D783*$G783,0))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8" t="n"/>
      <c r="K784" s="38" t="n"/>
      <c r="L784" s="39">
        <f>IF($A784="","",IFERROR($D784*$G784,0))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8" t="n"/>
      <c r="K785" s="38" t="n"/>
      <c r="L785" s="39">
        <f>IF($A785="","",IFERROR($D785*$G785,0))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8" t="n"/>
      <c r="K786" s="38" t="n"/>
      <c r="L786" s="39">
        <f>IF($A786="","",IFERROR($D786*$G786,0))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8" t="n"/>
      <c r="K787" s="38" t="n"/>
      <c r="L787" s="39">
        <f>IF($A787="","",IFERROR($D787*$G787,0))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8" t="n"/>
      <c r="K788" s="38" t="n"/>
      <c r="L788" s="39">
        <f>IF($A788="","",IFERROR($D788*$G788,0))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8" t="n"/>
      <c r="K789" s="38" t="n"/>
      <c r="L789" s="39">
        <f>IF($A789="","",IFERROR($D789*$G789,0))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8" t="n"/>
      <c r="K790" s="38" t="n"/>
      <c r="L790" s="39">
        <f>IF($A790="","",IFERROR($D790*$G790,0))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8" t="n"/>
      <c r="K791" s="38" t="n"/>
      <c r="L791" s="39">
        <f>IF($A791="","",IFERROR($D791*$G791,0))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8" t="n"/>
      <c r="K792" s="38" t="n"/>
      <c r="L792" s="39">
        <f>IF($A792="","",IFERROR($D792*$G792,0))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8" t="n"/>
      <c r="K793" s="38" t="n"/>
      <c r="L793" s="39">
        <f>IF($A793="","",IFERROR($D793*$G793,0))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8" t="n"/>
      <c r="K794" s="38" t="n"/>
      <c r="L794" s="39">
        <f>IF($A794="","",IFERROR($D794*$G794,0))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8" t="n"/>
      <c r="K795" s="38" t="n"/>
      <c r="L795" s="39">
        <f>IF($A795="","",IFERROR($D795*$G795,0))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8" t="n"/>
      <c r="K796" s="38" t="n"/>
      <c r="L796" s="39">
        <f>IF($A796="","",IFERROR($D796*$G796,0))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8" t="n"/>
      <c r="K797" s="38" t="n"/>
      <c r="L797" s="39">
        <f>IF($A797="","",IFERROR($D797*$G797,0))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8" t="n"/>
      <c r="K798" s="38" t="n"/>
      <c r="L798" s="39">
        <f>IF($A798="","",IFERROR($D798*$G798,0))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8" t="n"/>
      <c r="K799" s="38" t="n"/>
      <c r="L799" s="39">
        <f>IF($A799="","",IFERROR($D799*$G799,0))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8" t="n"/>
      <c r="K800" s="38" t="n"/>
      <c r="L800" s="39">
        <f>IF($A800="","",IFERROR($D800*$G800,0))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8" t="n"/>
      <c r="K801" s="38" t="n"/>
      <c r="L801" s="39">
        <f>IF($A801="","",IFERROR($D801*$G801,0))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8" t="n"/>
      <c r="K802" s="38" t="n"/>
      <c r="L802" s="39">
        <f>IF($A802="","",IFERROR($D802*$G802,0))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8" t="n"/>
      <c r="K803" s="38" t="n"/>
      <c r="L803" s="39">
        <f>IF($A803="","",IFERROR($D803*$G803,0))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8" t="n"/>
      <c r="K804" s="38" t="n"/>
      <c r="L804" s="39">
        <f>IF($A804="","",IFERROR($D804*$G804,0))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8" t="n"/>
      <c r="K805" s="38" t="n"/>
      <c r="L805" s="39">
        <f>IF($A805="","",IFERROR($D805*$G805,0))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8" t="n"/>
      <c r="K806" s="38" t="n"/>
      <c r="L806" s="39">
        <f>IF($A806="","",IFERROR($D806*$G806,0))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8" t="n"/>
      <c r="K807" s="38" t="n"/>
      <c r="L807" s="39">
        <f>IF($A807="","",IFERROR($D807*$G807,0))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8" t="n"/>
      <c r="K808" s="38" t="n"/>
      <c r="L808" s="39">
        <f>IF($A808="","",IFERROR($D808*$G808,0))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8" t="n"/>
      <c r="K809" s="38" t="n"/>
      <c r="L809" s="39">
        <f>IF($A809="","",IFERROR($D809*$G809,0))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8" t="n"/>
      <c r="K810" s="38" t="n"/>
      <c r="L810" s="39">
        <f>IF($A810="","",IFERROR($D810*$G810,0))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8" t="n"/>
      <c r="K811" s="38" t="n"/>
      <c r="L811" s="39">
        <f>IF($A811="","",IFERROR($D811*$G811,0))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8" t="n"/>
      <c r="K812" s="38" t="n"/>
      <c r="L812" s="39">
        <f>IF($A812="","",IFERROR($D812*$G812,0))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8" t="n"/>
      <c r="K813" s="38" t="n"/>
      <c r="L813" s="39">
        <f>IF($A813="","",IFERROR($D813*$G813,0))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8" t="n"/>
      <c r="K814" s="38" t="n"/>
      <c r="L814" s="39">
        <f>IF($A814="","",IFERROR($D814*$G814,0))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8" t="n"/>
      <c r="K815" s="38" t="n"/>
      <c r="L815" s="39">
        <f>IF($A815="","",IFERROR($D815*$G815,0))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8" t="n"/>
      <c r="K816" s="38" t="n"/>
      <c r="L816" s="39">
        <f>IF($A816="","",IFERROR($D816*$G816,0))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8" t="n"/>
      <c r="K817" s="38" t="n"/>
      <c r="L817" s="39">
        <f>IF($A817="","",IFERROR($D817*$G817,0))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8" t="n"/>
      <c r="K818" s="38" t="n"/>
      <c r="L818" s="39">
        <f>IF($A818="","",IFERROR($D818*$G818,0))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8" t="n"/>
      <c r="K819" s="38" t="n"/>
      <c r="L819" s="39">
        <f>IF($A819="","",IFERROR($D819*$G819,0))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8" t="n"/>
      <c r="K820" s="38" t="n"/>
      <c r="L820" s="39">
        <f>IF($A820="","",IFERROR($D820*$G820,0))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8" t="n"/>
      <c r="K821" s="38" t="n"/>
      <c r="L821" s="39">
        <f>IF($A821="","",IFERROR($D821*$G821,0))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8" t="n"/>
      <c r="K822" s="38" t="n"/>
      <c r="L822" s="39">
        <f>IF($A822="","",IFERROR($D822*$G822,0))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8" t="n"/>
      <c r="K823" s="38" t="n"/>
      <c r="L823" s="39">
        <f>IF($A823="","",IFERROR($D823*$G823,0))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8" t="n"/>
      <c r="K824" s="38" t="n"/>
      <c r="L824" s="39">
        <f>IF($A824="","",IFERROR($D824*$G824,0))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8" t="n"/>
      <c r="K825" s="38" t="n"/>
      <c r="L825" s="39">
        <f>IF($A825="","",IFERROR($D825*$G825,0))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8" t="n"/>
      <c r="K826" s="38" t="n"/>
      <c r="L826" s="39">
        <f>IF($A826="","",IFERROR($D826*$G826,0))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8" t="n"/>
      <c r="K827" s="38" t="n"/>
      <c r="L827" s="39">
        <f>IF($A827="","",IFERROR($D827*$G827,0))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8" t="n"/>
      <c r="K828" s="38" t="n"/>
      <c r="L828" s="39">
        <f>IF($A828="","",IFERROR($D828*$G828,0))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8" t="n"/>
      <c r="K829" s="38" t="n"/>
      <c r="L829" s="39">
        <f>IF($A829="","",IFERROR($D829*$G829,0))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8" t="n"/>
      <c r="K830" s="38" t="n"/>
      <c r="L830" s="39">
        <f>IF($A830="","",IFERROR($D830*$G830,0))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8" t="n"/>
      <c r="K831" s="38" t="n"/>
      <c r="L831" s="39">
        <f>IF($A831="","",IFERROR($D831*$G831,0))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8" t="n"/>
      <c r="K832" s="38" t="n"/>
      <c r="L832" s="39">
        <f>IF($A832="","",IFERROR($D832*$G832,0))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8" t="n"/>
      <c r="K833" s="38" t="n"/>
      <c r="L833" s="39">
        <f>IF($A833="","",IFERROR($D833*$G833,0))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8" t="n"/>
      <c r="K834" s="38" t="n"/>
      <c r="L834" s="39">
        <f>IF($A834="","",IFERROR($D834*$G834,0))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8" t="n"/>
      <c r="K835" s="38" t="n"/>
      <c r="L835" s="39">
        <f>IF($A835="","",IFERROR($D835*$G835,0))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8" t="n"/>
      <c r="K836" s="38" t="n"/>
      <c r="L836" s="39">
        <f>IF($A836="","",IFERROR($D836*$G836,0))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8" t="n"/>
      <c r="K837" s="38" t="n"/>
      <c r="L837" s="39">
        <f>IF($A837="","",IFERROR($D837*$G837,0))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8" t="n"/>
      <c r="K838" s="38" t="n"/>
      <c r="L838" s="39">
        <f>IF($A838="","",IFERROR($D838*$G838,0))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8" t="n"/>
      <c r="K839" s="38" t="n"/>
      <c r="L839" s="39">
        <f>IF($A839="","",IFERROR($D839*$G839,0))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8" t="n"/>
      <c r="K840" s="38" t="n"/>
      <c r="L840" s="39">
        <f>IF($A840="","",IFERROR($D840*$G840,0))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8" t="n"/>
      <c r="K841" s="38" t="n"/>
      <c r="L841" s="39">
        <f>IF($A841="","",IFERROR($D841*$G841,0))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8" t="n"/>
      <c r="K842" s="38" t="n"/>
      <c r="L842" s="39">
        <f>IF($A842="","",IFERROR($D842*$G842,0))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8" t="n"/>
      <c r="K843" s="38" t="n"/>
      <c r="L843" s="39">
        <f>IF($A843="","",IFERROR($D843*$G843,0))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8" t="n"/>
      <c r="K844" s="38" t="n"/>
      <c r="L844" s="39">
        <f>IF($A844="","",IFERROR($D844*$G844,0))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8" t="n"/>
      <c r="K845" s="38" t="n"/>
      <c r="L845" s="39">
        <f>IF($A845="","",IFERROR($D845*$G845,0))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8" t="n"/>
      <c r="K846" s="38" t="n"/>
      <c r="L846" s="39">
        <f>IF($A846="","",IFERROR($D846*$G846,0))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8" t="n"/>
      <c r="K847" s="38" t="n"/>
      <c r="L847" s="39">
        <f>IF($A847="","",IFERROR($D847*$G847,0))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8" t="n"/>
      <c r="K848" s="38" t="n"/>
      <c r="L848" s="39">
        <f>IF($A848="","",IFERROR($D848*$G848,0))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8" t="n"/>
      <c r="K849" s="38" t="n"/>
      <c r="L849" s="39">
        <f>IF($A849="","",IFERROR($D849*$G849,0))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8" t="n"/>
      <c r="K850" s="38" t="n"/>
      <c r="L850" s="39">
        <f>IF($A850="","",IFERROR($D850*$G850,0))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8" t="n"/>
      <c r="K851" s="38" t="n"/>
      <c r="L851" s="39">
        <f>IF($A851="","",IFERROR($D851*$G851,0))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8" t="n"/>
      <c r="K852" s="38" t="n"/>
      <c r="L852" s="39">
        <f>IF($A852="","",IFERROR($D852*$G852,0))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8" t="n"/>
      <c r="K853" s="38" t="n"/>
      <c r="L853" s="39">
        <f>IF($A853="","",IFERROR($D853*$G853,0))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8" t="n"/>
      <c r="K854" s="38" t="n"/>
      <c r="L854" s="39">
        <f>IF($A854="","",IFERROR($D854*$G854,0))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8" t="n"/>
      <c r="K855" s="38" t="n"/>
      <c r="L855" s="39">
        <f>IF($A855="","",IFERROR($D855*$G855,0))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8" t="n"/>
      <c r="K856" s="38" t="n"/>
      <c r="L856" s="39">
        <f>IF($A856="","",IFERROR($D856*$G856,0))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8" t="n"/>
      <c r="K857" s="38" t="n"/>
      <c r="L857" s="39">
        <f>IF($A857="","",IFERROR($D857*$G857,0))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8" t="n"/>
      <c r="K858" s="38" t="n"/>
      <c r="L858" s="39">
        <f>IF($A858="","",IFERROR($D858*$G858,0))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8" t="n"/>
      <c r="K859" s="38" t="n"/>
      <c r="L859" s="39">
        <f>IF($A859="","",IFERROR($D859*$G859,0))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8" t="n"/>
      <c r="K860" s="38" t="n"/>
      <c r="L860" s="39">
        <f>IF($A860="","",IFERROR($D860*$G860,0))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8" t="n"/>
      <c r="K861" s="38" t="n"/>
      <c r="L861" s="39">
        <f>IF($A861="","",IFERROR($D861*$G861,0))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8" t="n"/>
      <c r="K862" s="38" t="n"/>
      <c r="L862" s="39">
        <f>IF($A862="","",IFERROR($D862*$G862,0))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8" t="n"/>
      <c r="K863" s="38" t="n"/>
      <c r="L863" s="39">
        <f>IF($A863="","",IFERROR($D863*$G863,0))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8" t="n"/>
      <c r="K864" s="38" t="n"/>
      <c r="L864" s="39">
        <f>IF($A864="","",IFERROR($D864*$G864,0))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8" t="n"/>
      <c r="K865" s="38" t="n"/>
      <c r="L865" s="39">
        <f>IF($A865="","",IFERROR($D865*$G865,0))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8" t="n"/>
      <c r="K866" s="38" t="n"/>
      <c r="L866" s="39">
        <f>IF($A866="","",IFERROR($D866*$G866,0))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8" t="n"/>
      <c r="K867" s="38" t="n"/>
      <c r="L867" s="39">
        <f>IF($A867="","",IFERROR($D867*$G867,0))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8" t="n"/>
      <c r="K868" s="38" t="n"/>
      <c r="L868" s="39">
        <f>IF($A868="","",IFERROR($D868*$G868,0))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8" t="n"/>
      <c r="K869" s="38" t="n"/>
      <c r="L869" s="39">
        <f>IF($A869="","",IFERROR($D869*$G869,0))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8" t="n"/>
      <c r="K870" s="38" t="n"/>
      <c r="L870" s="39">
        <f>IF($A870="","",IFERROR($D870*$G870,0))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8" t="n"/>
      <c r="K871" s="38" t="n"/>
      <c r="L871" s="39">
        <f>IF($A871="","",IFERROR($D871*$G871,0))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8" t="n"/>
      <c r="K872" s="38" t="n"/>
      <c r="L872" s="39">
        <f>IF($A872="","",IFERROR($D872*$G872,0))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8" t="n"/>
      <c r="K873" s="38" t="n"/>
      <c r="L873" s="39">
        <f>IF($A873="","",IFERROR($D873*$G873,0))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8" t="n"/>
      <c r="K874" s="38" t="n"/>
      <c r="L874" s="39">
        <f>IF($A874="","",IFERROR($D874*$G874,0))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8" t="n"/>
      <c r="K875" s="38" t="n"/>
      <c r="L875" s="39">
        <f>IF($A875="","",IFERROR($D875*$G875,0))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8" t="n"/>
      <c r="K876" s="38" t="n"/>
      <c r="L876" s="39">
        <f>IF($A876="","",IFERROR($D876*$G876,0))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8" t="n"/>
      <c r="K877" s="38" t="n"/>
      <c r="L877" s="39">
        <f>IF($A877="","",IFERROR($D877*$G877,0))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8" t="n"/>
      <c r="K878" s="38" t="n"/>
      <c r="L878" s="39">
        <f>IF($A878="","",IFERROR($D878*$G878,0))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8" t="n"/>
      <c r="K879" s="38" t="n"/>
      <c r="L879" s="39">
        <f>IF($A879="","",IFERROR($D879*$G879,0))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8" t="n"/>
      <c r="K880" s="38" t="n"/>
      <c r="L880" s="39">
        <f>IF($A880="","",IFERROR($D880*$G880,0))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8" t="n"/>
      <c r="K881" s="38" t="n"/>
      <c r="L881" s="39">
        <f>IF($A881="","",IFERROR($D881*$G881,0))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8" t="n"/>
      <c r="K882" s="38" t="n"/>
      <c r="L882" s="39">
        <f>IF($A882="","",IFERROR($D882*$G882,0))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8" t="n"/>
      <c r="K883" s="38" t="n"/>
      <c r="L883" s="39">
        <f>IF($A883="","",IFERROR($D883*$G883,0))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8" t="n"/>
      <c r="K884" s="38" t="n"/>
      <c r="L884" s="39">
        <f>IF($A884="","",IFERROR($D884*$G884,0))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8" t="n"/>
      <c r="K885" s="38" t="n"/>
      <c r="L885" s="39">
        <f>IF($A885="","",IFERROR($D885*$G885,0))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8" t="n"/>
      <c r="K886" s="38" t="n"/>
      <c r="L886" s="39">
        <f>IF($A886="","",IFERROR($D886*$G886,0))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8" t="n"/>
      <c r="K887" s="38" t="n"/>
      <c r="L887" s="39">
        <f>IF($A887="","",IFERROR($D887*$G887,0))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8" t="n"/>
      <c r="K888" s="38" t="n"/>
      <c r="L888" s="39">
        <f>IF($A888="","",IFERROR($D888*$G888,0))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8" t="n"/>
      <c r="K889" s="38" t="n"/>
      <c r="L889" s="39">
        <f>IF($A889="","",IFERROR($D889*$G889,0))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8" t="n"/>
      <c r="K890" s="38" t="n"/>
      <c r="L890" s="39">
        <f>IF($A890="","",IFERROR($D890*$G890,0))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8" t="n"/>
      <c r="K891" s="38" t="n"/>
      <c r="L891" s="39">
        <f>IF($A891="","",IFERROR($D891*$G891,0))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8" t="n"/>
      <c r="K892" s="38" t="n"/>
      <c r="L892" s="39">
        <f>IF($A892="","",IFERROR($D892*$G892,0))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8" t="n"/>
      <c r="K893" s="38" t="n"/>
      <c r="L893" s="39">
        <f>IF($A893="","",IFERROR($D893*$G893,0))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8" t="n"/>
      <c r="K894" s="38" t="n"/>
      <c r="L894" s="39">
        <f>IF($A894="","",IFERROR($D894*$G894,0))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8" t="n"/>
      <c r="K895" s="38" t="n"/>
      <c r="L895" s="39">
        <f>IF($A895="","",IFERROR($D895*$G895,0))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8" t="n"/>
      <c r="K896" s="38" t="n"/>
      <c r="L896" s="39">
        <f>IF($A896="","",IFERROR($D896*$G896,0))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8" t="n"/>
      <c r="K897" s="38" t="n"/>
      <c r="L897" s="39">
        <f>IF($A897="","",IFERROR($D897*$G897,0))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8" t="n"/>
      <c r="K898" s="38" t="n"/>
      <c r="L898" s="39">
        <f>IF($A898="","",IFERROR($D898*$G898,0))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8" t="n"/>
      <c r="K899" s="38" t="n"/>
      <c r="L899" s="39">
        <f>IF($A899="","",IFERROR($D899*$G899,0))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8" t="n"/>
      <c r="K900" s="38" t="n"/>
      <c r="L900" s="39">
        <f>IF($A900="","",IFERROR($D900*$G900,0))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8" t="n"/>
      <c r="K901" s="38" t="n"/>
      <c r="L901" s="39">
        <f>IF($A901="","",IFERROR($D901*$G901,0))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8" t="n"/>
      <c r="K902" s="38" t="n"/>
      <c r="L902" s="39">
        <f>IF($A902="","",IFERROR($D902*$G902,0))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8" t="n"/>
      <c r="K903" s="38" t="n"/>
      <c r="L903" s="39">
        <f>IF($A903="","",IFERROR($D903*$G903,0))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8" t="n"/>
      <c r="K904" s="38" t="n"/>
      <c r="L904" s="39">
        <f>IF($A904="","",IFERROR($D904*$G904,0))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8" t="n"/>
      <c r="K905" s="38" t="n"/>
      <c r="L905" s="39">
        <f>IF($A905="","",IFERROR($D905*$G905,0))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8" t="n"/>
      <c r="K906" s="38" t="n"/>
      <c r="L906" s="39">
        <f>IF($A906="","",IFERROR($D906*$G906,0))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8" t="n"/>
      <c r="K907" s="38" t="n"/>
      <c r="L907" s="39">
        <f>IF($A907="","",IFERROR($D907*$G907,0))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8" t="n"/>
      <c r="K908" s="38" t="n"/>
      <c r="L908" s="39">
        <f>IF($A908="","",IFERROR($D908*$G908,0))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8" t="n"/>
      <c r="K909" s="38" t="n"/>
      <c r="L909" s="39">
        <f>IF($A909="","",IFERROR($D909*$G909,0))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8" t="n"/>
      <c r="K910" s="38" t="n"/>
      <c r="L910" s="39">
        <f>IF($A910="","",IFERROR($D910*$G910,0))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8" t="n"/>
      <c r="K911" s="38" t="n"/>
      <c r="L911" s="39">
        <f>IF($A911="","",IFERROR($D911*$G911,0))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8" t="n"/>
      <c r="K912" s="38" t="n"/>
      <c r="L912" s="39">
        <f>IF($A912="","",IFERROR($D912*$G912,0))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8" t="n"/>
      <c r="K913" s="38" t="n"/>
      <c r="L913" s="39">
        <f>IF($A913="","",IFERROR($D913*$G913,0))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8" t="n"/>
      <c r="K914" s="38" t="n"/>
      <c r="L914" s="39">
        <f>IF($A914="","",IFERROR($D914*$G914,0))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8" t="n"/>
      <c r="K915" s="38" t="n"/>
      <c r="L915" s="39">
        <f>IF($A915="","",IFERROR($D915*$G915,0))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8" t="n"/>
      <c r="K916" s="38" t="n"/>
      <c r="L916" s="39">
        <f>IF($A916="","",IFERROR($D916*$G916,0))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8" t="n"/>
      <c r="K917" s="38" t="n"/>
      <c r="L917" s="39">
        <f>IF($A917="","",IFERROR($D917*$G917,0))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8" t="n"/>
      <c r="K918" s="38" t="n"/>
      <c r="L918" s="39">
        <f>IF($A918="","",IFERROR($D918*$G918,0))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8" t="n"/>
      <c r="K919" s="38" t="n"/>
      <c r="L919" s="39">
        <f>IF($A919="","",IFERROR($D919*$G919,0))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8" t="n"/>
      <c r="K920" s="38" t="n"/>
      <c r="L920" s="39">
        <f>IF($A920="","",IFERROR($D920*$G920,0))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8" t="n"/>
      <c r="K921" s="38" t="n"/>
      <c r="L921" s="39">
        <f>IF($A921="","",IFERROR($D921*$G921,0))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8" t="n"/>
      <c r="K922" s="38" t="n"/>
      <c r="L922" s="39">
        <f>IF($A922="","",IFERROR($D922*$G922,0))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8" t="n"/>
      <c r="K923" s="38" t="n"/>
      <c r="L923" s="39">
        <f>IF($A923="","",IFERROR($D923*$G923,0))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8" t="n"/>
      <c r="K924" s="38" t="n"/>
      <c r="L924" s="39">
        <f>IF($A924="","",IFERROR($D924*$G924,0))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8" t="n"/>
      <c r="K925" s="38" t="n"/>
      <c r="L925" s="39">
        <f>IF($A925="","",IFERROR($D925*$G925,0))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8" t="n"/>
      <c r="K926" s="38" t="n"/>
      <c r="L926" s="39">
        <f>IF($A926="","",IFERROR($D926*$G926,0))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8" t="n"/>
      <c r="K927" s="38" t="n"/>
      <c r="L927" s="39">
        <f>IF($A927="","",IFERROR($D927*$G927,0))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8" t="n"/>
      <c r="K928" s="38" t="n"/>
      <c r="L928" s="39">
        <f>IF($A928="","",IFERROR($D928*$G928,0))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8" t="n"/>
      <c r="K929" s="38" t="n"/>
      <c r="L929" s="39">
        <f>IF($A929="","",IFERROR($D929*$G929,0))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8" t="n"/>
      <c r="K930" s="38" t="n"/>
      <c r="L930" s="39">
        <f>IF($A930="","",IFERROR($D930*$G930,0))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8" t="n"/>
      <c r="K931" s="38" t="n"/>
      <c r="L931" s="39">
        <f>IF($A931="","",IFERROR($D931*$G931,0))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8" t="n"/>
      <c r="K932" s="38" t="n"/>
      <c r="L932" s="39">
        <f>IF($A932="","",IFERROR($D932*$G932,0))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8" t="n"/>
      <c r="K933" s="38" t="n"/>
      <c r="L933" s="39">
        <f>IF($A933="","",IFERROR($D933*$G933,0))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8" t="n"/>
      <c r="K934" s="38" t="n"/>
      <c r="L934" s="39">
        <f>IF($A934="","",IFERROR($D934*$G934,0))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8" t="n"/>
      <c r="K935" s="38" t="n"/>
      <c r="L935" s="39">
        <f>IF($A935="","",IFERROR($D935*$G935,0))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8" t="n"/>
      <c r="K936" s="38" t="n"/>
      <c r="L936" s="39">
        <f>IF($A936="","",IFERROR($D936*$G936,0))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8" t="n"/>
      <c r="K937" s="38" t="n"/>
      <c r="L937" s="39">
        <f>IF($A937="","",IFERROR($D937*$G937,0))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8" t="n"/>
      <c r="K938" s="38" t="n"/>
      <c r="L938" s="39">
        <f>IF($A938="","",IFERROR($D938*$G938,0))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8" t="n"/>
      <c r="K939" s="38" t="n"/>
      <c r="L939" s="39">
        <f>IF($A939="","",IFERROR($D939*$G939,0))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8" t="n"/>
      <c r="K940" s="38" t="n"/>
      <c r="L940" s="39">
        <f>IF($A940="","",IFERROR($D940*$G940,0))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8" t="n"/>
      <c r="K941" s="38" t="n"/>
      <c r="L941" s="39">
        <f>IF($A941="","",IFERROR($D941*$G941,0))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8" t="n"/>
      <c r="K942" s="38" t="n"/>
      <c r="L942" s="39">
        <f>IF($A942="","",IFERROR($D942*$G942,0))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8" t="n"/>
      <c r="K943" s="38" t="n"/>
      <c r="L943" s="39">
        <f>IF($A943="","",IFERROR($D943*$G943,0))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8" t="n"/>
      <c r="K944" s="38" t="n"/>
      <c r="L944" s="39">
        <f>IF($A944="","",IFERROR($D944*$G944,0))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8" t="n"/>
      <c r="K945" s="38" t="n"/>
      <c r="L945" s="39">
        <f>IF($A945="","",IFERROR($D945*$G945,0))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8" t="n"/>
      <c r="K946" s="38" t="n"/>
      <c r="L946" s="39">
        <f>IF($A946="","",IFERROR($D946*$G946,0))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8" t="n"/>
      <c r="K947" s="38" t="n"/>
      <c r="L947" s="39">
        <f>IF($A947="","",IFERROR($D947*$G947,0))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8" t="n"/>
      <c r="K948" s="38" t="n"/>
      <c r="L948" s="39">
        <f>IF($A948="","",IFERROR($D948*$G948,0))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8" t="n"/>
      <c r="K949" s="38" t="n"/>
      <c r="L949" s="39">
        <f>IF($A949="","",IFERROR($D949*$G949,0))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8" t="n"/>
      <c r="K950" s="38" t="n"/>
      <c r="L950" s="39">
        <f>IF($A950="","",IFERROR($D950*$G950,0))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8" t="n"/>
      <c r="K951" s="38" t="n"/>
      <c r="L951" s="39">
        <f>IF($A951="","",IFERROR($D951*$G951,0))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8" t="n"/>
      <c r="K952" s="38" t="n"/>
      <c r="L952" s="39">
        <f>IF($A952="","",IFERROR($D952*$G952,0))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8" t="n"/>
      <c r="K953" s="38" t="n"/>
      <c r="L953" s="39">
        <f>IF($A953="","",IFERROR($D953*$G953,0))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8" t="n"/>
      <c r="K954" s="38" t="n"/>
      <c r="L954" s="39">
        <f>IF($A954="","",IFERROR($D954*$G954,0))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8" t="n"/>
      <c r="K955" s="38" t="n"/>
      <c r="L955" s="39">
        <f>IF($A955="","",IFERROR($D955*$G955,0))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8" t="n"/>
      <c r="K956" s="38" t="n"/>
      <c r="L956" s="39">
        <f>IF($A956="","",IFERROR($D956*$G956,0))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8" t="n"/>
      <c r="K957" s="38" t="n"/>
      <c r="L957" s="39">
        <f>IF($A957="","",IFERROR($D957*$G957,0))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8" t="n"/>
      <c r="K958" s="38" t="n"/>
      <c r="L958" s="39">
        <f>IF($A958="","",IFERROR($D958*$G958,0))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8" t="n"/>
      <c r="K959" s="38" t="n"/>
      <c r="L959" s="39">
        <f>IF($A959="","",IFERROR($D959*$G959,0))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8" t="n"/>
      <c r="K960" s="38" t="n"/>
      <c r="L960" s="39">
        <f>IF($A960="","",IFERROR($D960*$G960,0))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8" t="n"/>
      <c r="K961" s="38" t="n"/>
      <c r="L961" s="39">
        <f>IF($A961="","",IFERROR($D961*$G961,0))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8" t="n"/>
      <c r="K962" s="38" t="n"/>
      <c r="L962" s="39">
        <f>IF($A962="","",IFERROR($D962*$G962,0))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8" t="n"/>
      <c r="K963" s="38" t="n"/>
      <c r="L963" s="39">
        <f>IF($A963="","",IFERROR($D963*$G963,0))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8" t="n"/>
      <c r="K964" s="38" t="n"/>
      <c r="L964" s="39">
        <f>IF($A964="","",IFERROR($D964*$G964,0))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8" t="n"/>
      <c r="K965" s="38" t="n"/>
      <c r="L965" s="39">
        <f>IF($A965="","",IFERROR($D965*$G965,0))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8" t="n"/>
      <c r="K966" s="38" t="n"/>
      <c r="L966" s="39">
        <f>IF($A966="","",IFERROR($D966*$G966,0))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8" t="n"/>
      <c r="K967" s="38" t="n"/>
      <c r="L967" s="39">
        <f>IF($A967="","",IFERROR($D967*$G967,0))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8" t="n"/>
      <c r="K968" s="38" t="n"/>
      <c r="L968" s="39">
        <f>IF($A968="","",IFERROR($D968*$G968,0))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8" t="n"/>
      <c r="K969" s="38" t="n"/>
      <c r="L969" s="39">
        <f>IF($A969="","",IFERROR($D969*$G969,0))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8" t="n"/>
      <c r="K970" s="38" t="n"/>
      <c r="L970" s="39">
        <f>IF($A970="","",IFERROR($D970*$G970,0))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8" t="n"/>
      <c r="K971" s="38" t="n"/>
      <c r="L971" s="39">
        <f>IF($A971="","",IFERROR($D971*$G971,0))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8" t="n"/>
      <c r="K972" s="38" t="n"/>
      <c r="L972" s="39">
        <f>IF($A972="","",IFERROR($D972*$G972,0))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8" t="n"/>
      <c r="K973" s="38" t="n"/>
      <c r="L973" s="39">
        <f>IF($A973="","",IFERROR($D973*$G973,0))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8" t="n"/>
      <c r="K974" s="38" t="n"/>
      <c r="L974" s="39">
        <f>IF($A974="","",IFERROR($D974*$G974,0))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8" t="n"/>
      <c r="K975" s="38" t="n"/>
      <c r="L975" s="39">
        <f>IF($A975="","",IFERROR($D975*$G975,0))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8" t="n"/>
      <c r="K976" s="38" t="n"/>
      <c r="L976" s="39">
        <f>IF($A976="","",IFERROR($D976*$G976,0))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8" t="n"/>
      <c r="K977" s="38" t="n"/>
      <c r="L977" s="39">
        <f>IF($A977="","",IFERROR($D977*$G977,0))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8" t="n"/>
      <c r="K978" s="38" t="n"/>
      <c r="L978" s="39">
        <f>IF($A978="","",IFERROR($D978*$G978,0))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8" t="n"/>
      <c r="K979" s="38" t="n"/>
      <c r="L979" s="39">
        <f>IF($A979="","",IFERROR($D979*$G979,0))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8" t="n"/>
      <c r="K980" s="38" t="n"/>
      <c r="L980" s="39">
        <f>IF($A980="","",IFERROR($D980*$G980,0))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8" t="n"/>
      <c r="K981" s="38" t="n"/>
      <c r="L981" s="39">
        <f>IF($A981="","",IFERROR($D981*$G981,0))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8" t="n"/>
      <c r="K982" s="38" t="n"/>
      <c r="L982" s="39">
        <f>IF($A982="","",IFERROR($D982*$G982,0))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8" t="n"/>
      <c r="K983" s="38" t="n"/>
      <c r="L983" s="39">
        <f>IF($A983="","",IFERROR($D983*$G983,0))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8" t="n"/>
      <c r="K984" s="38" t="n"/>
      <c r="L984" s="39">
        <f>IF($A984="","",IFERROR($D984*$G984,0))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8" t="n"/>
      <c r="K985" s="38" t="n"/>
      <c r="L985" s="39">
        <f>IF($A985="","",IFERROR($D985*$G985,0))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8" t="n"/>
      <c r="K986" s="38" t="n"/>
      <c r="L986" s="39">
        <f>IF($A986="","",IFERROR($D986*$G986,0))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8" t="n"/>
      <c r="K987" s="38" t="n"/>
      <c r="L987" s="39">
        <f>IF($A987="","",IFERROR($D987*$G987,0))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8" t="n"/>
      <c r="K988" s="38" t="n"/>
      <c r="L988" s="39">
        <f>IF($A988="","",IFERROR($D988*$G988,0))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8" t="n"/>
      <c r="K989" s="38" t="n"/>
      <c r="L989" s="39">
        <f>IF($A989="","",IFERROR($D989*$G989,0))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8" t="n"/>
      <c r="K990" s="38" t="n"/>
      <c r="L990" s="39">
        <f>IF($A990="","",IFERROR($D990*$G990,0))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8" t="n"/>
      <c r="K991" s="38" t="n"/>
      <c r="L991" s="39">
        <f>IF($A991="","",IFERROR($D991*$G991,0))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8" t="n"/>
      <c r="K992" s="38" t="n"/>
      <c r="L992" s="39">
        <f>IF($A992="","",IFERROR($D992*$G992,0))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8" t="n"/>
      <c r="K993" s="38" t="n"/>
      <c r="L993" s="39">
        <f>IF($A993="","",IFERROR($D993*$G993,0))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8" t="n"/>
      <c r="K994" s="38" t="n"/>
      <c r="L994" s="39">
        <f>IF($A994="","",IFERROR($D994*$G994,0))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8" t="n"/>
      <c r="K995" s="38" t="n"/>
      <c r="L995" s="39">
        <f>IF($A995="","",IFERROR($D995*$G995,0))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8" t="n"/>
      <c r="K996" s="38" t="n"/>
      <c r="L996" s="39">
        <f>IF($A996="","",IFERROR($D996*$G996,0))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8" t="n"/>
      <c r="K997" s="38" t="n"/>
      <c r="L997" s="39">
        <f>IF($A997="","",IFERROR($D997*$G997,0))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8" t="n"/>
      <c r="K998" s="38" t="n"/>
      <c r="L998" s="39">
        <f>IF($A998="","",IFERROR($D998*$G998,0))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8" t="n"/>
      <c r="K999" s="38" t="n"/>
      <c r="L999" s="39">
        <f>IF($A999="","",IFERROR($D999*$G999,0))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8" t="n"/>
      <c r="K1000" s="38" t="n"/>
      <c r="L1000" s="39">
        <f>IF($A1000="","",IFERROR($D1000*$G1000,0))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8" t="n"/>
      <c r="K1001" s="38" t="n"/>
      <c r="L1001" s="39">
        <f>IF($A1001="","",IFERROR($D1001*$G1001,0))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8" t="n"/>
      <c r="K1002" s="38" t="n"/>
      <c r="L1002" s="39">
        <f>IF($A1002="","",IFERROR($D1002*$G1002,0))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8" t="n"/>
      <c r="K1003" s="38" t="n"/>
      <c r="L1003" s="39">
        <f>IF($A1003="","",IFERROR($D1003*$G1003,0))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8" t="n"/>
      <c r="K1004" s="38" t="n"/>
      <c r="L1004" s="39">
        <f>IF($A1004="","",IFERROR($D1004*$G1004,0))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D6:D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G6:G20">
    <cfRule type="cellIs" priority="4" operator="lessThan" dxfId="5">
      <formula>0</formula>
    </cfRule>
  </conditionalFormatting>
  <conditionalFormatting sqref="I6:I20">
    <cfRule type="cellIs" priority="5" operator="lessThan" dxfId="5">
      <formula>0</formula>
    </cfRule>
  </conditionalFormatting>
  <conditionalFormatting sqref="L6:L20">
    <cfRule type="cellIs" priority="6" operator="lessThan" dxfId="5">
      <formula>0</formula>
    </cfRule>
    <cfRule type="cellIs" priority="7" operator="greaterThan" dxfId="4">
      <formula>0</formula>
    </cfRule>
  </conditionalFormatting>
  <dataValidations count="5">
    <dataValidation sqref="D6:D1004" showDropDown="0" showInputMessage="1" showErrorMessage="1" allowBlank="1" errorTitle="Geçersiz" error="Sınır dışı değer." promptTitle="YDKâr" prompt="YDKâr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ur" prompt="Kur değerini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" error="Sınır dışı değer." promptTitle="TF" prompt="TF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Yerel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Stopaj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LISTELER — Yurt Dışı Yapılanma Vergi Simülatörü</t>
        </is>
      </c>
    </row>
    <row r="2"/>
    <row r="3" ht="22" customHeight="1">
      <c r="A3" s="227" t="inlineStr">
        <is>
          <t>Doğrulama listeleri</t>
        </is>
      </c>
    </row>
    <row r="4"/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  <c r="G5" s="53" t="inlineStr">
        <is>
          <t>Yapılanma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ŞUBE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Hayır</t>
        </is>
      </c>
      <c r="G7" s="62" t="inlineStr">
        <is>
          <t>İŞTİRAK</t>
        </is>
      </c>
    </row>
    <row r="8">
      <c r="A8" s="64" t="n">
        <v>2027</v>
      </c>
      <c r="G8" s="62" t="inlineStr">
        <is>
          <t>LİMİTED</t>
        </is>
      </c>
    </row>
    <row r="9">
      <c r="G9" s="62" t="inlineStr">
        <is>
          <t>OFİS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6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7" t="inlineStr">
        <is>
          <t>AYARLAR — Yurt Dışı Yapılanma Vergi Simülatörü</t>
        </is>
      </c>
    </row>
    <row r="2"/>
    <row r="3" ht="22" customHeight="1">
      <c r="A3" s="227" t="inlineStr">
        <is>
          <t>Parametreler (tek kaynak)</t>
        </is>
      </c>
    </row>
    <row r="4"/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7" t="inlineStr">
        <is>
          <t>hesapYili</t>
        </is>
      </c>
      <c r="B6" s="47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</row>
    <row r="7">
      <c r="A7" s="7" t="inlineStr">
        <is>
          <t>raporTarihi</t>
        </is>
      </c>
      <c r="B7" s="6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</row>
    <row r="8">
      <c r="A8" s="7" t="inlineStr">
        <is>
          <t>ydv_tolerans</t>
        </is>
      </c>
      <c r="B8" s="67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</row>
    <row r="9">
      <c r="A9" s="7" t="inlineStr">
        <is>
          <t>ydv_kacirilanEsik</t>
        </is>
      </c>
      <c r="B9" s="67" t="n">
        <v>500000</v>
      </c>
      <c r="C9" s="7" t="inlineStr">
        <is>
          <t>TL</t>
        </is>
      </c>
      <c r="D9" s="7" t="inlineStr">
        <is>
          <t>Çift vergi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</row>
    <row r="10">
      <c r="A10" s="7" t="inlineStr">
        <is>
          <t>ydv_senaryoIyi</t>
        </is>
      </c>
      <c r="B10" s="46" t="n">
        <v>0.9</v>
      </c>
      <c r="C10" s="7" t="inlineStr">
        <is>
          <t>çarpan</t>
        </is>
      </c>
      <c r="D10" s="7" t="inlineStr">
        <is>
          <t>İyimser kâr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</row>
    <row r="11">
      <c r="A11" s="7" t="inlineStr">
        <is>
          <t>ydv_senaryoKotu</t>
        </is>
      </c>
      <c r="B11" s="46" t="n">
        <v>1.15</v>
      </c>
      <c r="C11" s="7" t="inlineStr">
        <is>
          <t>çarpan</t>
        </is>
      </c>
      <c r="D11" s="7" t="inlineStr">
        <is>
          <t>Kötümser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</row>
    <row r="12">
      <c r="A12" s="7" t="inlineStr">
        <is>
          <t>ydv_oranArtisPuan</t>
        </is>
      </c>
      <c r="B12" s="46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</row>
    <row r="13">
      <c r="A13" s="7" t="inlineStr">
        <is>
          <t>ydv_tahminAlt</t>
        </is>
      </c>
      <c r="B13" s="46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ydv_tahminUst</t>
        </is>
      </c>
      <c r="B14" s="46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ydv_tornadoKur</t>
        </is>
      </c>
      <c r="B15" s="46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ydv_tornadoTf</t>
        </is>
      </c>
      <c r="B16" s="47" t="n">
        <v>10</v>
      </c>
      <c r="C16" s="7" t="inlineStr">
        <is>
          <t>puan</t>
        </is>
      </c>
      <c r="D16" s="7" t="inlineStr">
        <is>
          <t>Tornado TF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ydv_peArtisOran</t>
        </is>
      </c>
      <c r="B17" s="46" t="n">
        <v>0.1</v>
      </c>
      <c r="C17" s="7" t="inlineStr">
        <is>
          <t>oran</t>
        </is>
      </c>
      <c r="D17" s="7" t="inlineStr">
        <is>
          <t>Yorum B PE +%10</t>
        </is>
      </c>
      <c r="E17" s="7" t="inlineStr">
        <is>
          <t>PE atıf modeli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ydv_yuzdelikOran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ydv_parmakIzi</t>
        </is>
      </c>
      <c r="B19" s="68" t="inlineStr">
        <is>
          <t>3df93af9ca63ea19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dosya_surumu</t>
        </is>
      </c>
      <c r="B20" s="68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ydv_girisBeklenen</t>
        </is>
      </c>
      <c r="B21" s="47" t="n">
        <v>12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ydv_riskDusuk</t>
        </is>
      </c>
      <c r="B22" s="47" t="n">
        <v>15</v>
      </c>
      <c r="C22" s="7" t="inlineStr">
        <is>
          <t>puan</t>
        </is>
      </c>
      <c r="D22" s="7" t="inlineStr">
        <is>
          <t>UYGUN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ydv_riskOrta</t>
        </is>
      </c>
      <c r="B23" s="47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ydv_riskYuksek</t>
        </is>
      </c>
      <c r="B24" s="47" t="n">
        <v>85</v>
      </c>
      <c r="C24" s="7" t="inlineStr">
        <is>
          <t>puan</t>
        </is>
      </c>
      <c r="D24" s="7" t="inlineStr">
        <is>
          <t>RİSKLİ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ydv_yilTaban</t>
        </is>
      </c>
      <c r="B25" s="47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ydv_yuvarMax</t>
        </is>
      </c>
      <c r="B26" s="47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ydv_bazCarpan</t>
        </is>
      </c>
      <c r="B27" s="46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ydv_sifirCarpan</t>
        </is>
      </c>
      <c r="B28" s="46" t="n">
        <v>0</v>
      </c>
      <c r="C28" s="7" t="inlineStr">
        <is>
          <t>çarpan</t>
        </is>
      </c>
      <c r="D28" s="7" t="inlineStr">
        <is>
          <t>Nötr çarpan (sıfır)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ydv_siraBir</t>
        </is>
      </c>
      <c r="B29" s="47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ydv_siraIki</t>
        </is>
      </c>
      <c r="B30" s="47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ydv_siraUc</t>
        </is>
      </c>
      <c r="B31" s="47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ydv_tahminX</t>
        </is>
      </c>
      <c r="B32" s="47" t="n">
        <v>5</v>
      </c>
      <c r="C32" s="7" t="inlineStr">
        <is>
          <t>adet</t>
        </is>
      </c>
      <c r="D32" s="7" t="inlineStr">
        <is>
          <t>FORECAST X noktası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ydv_ofisMatrahOran</t>
        </is>
      </c>
      <c r="B33" s="46" t="n">
        <v>0.15</v>
      </c>
      <c r="C33" s="7" t="inlineStr">
        <is>
          <t>oran</t>
        </is>
      </c>
      <c r="D33" s="7" t="inlineStr">
        <is>
          <t>Ofis TR matrah payı</t>
        </is>
      </c>
      <c r="E33" s="7" t="inlineStr">
        <is>
          <t>PE modeli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ydv_dagitimOran</t>
        </is>
      </c>
      <c r="B34" s="46" t="n">
        <v>0</v>
      </c>
      <c r="C34" s="7" t="inlineStr">
        <is>
          <t>oran</t>
        </is>
      </c>
      <c r="D34" s="7" t="inlineStr">
        <is>
          <t>İstisna sonrası dağıtım payı</t>
        </is>
      </c>
      <c r="E34" s="7" t="inlineStr">
        <is>
          <t>KVK md.5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ydv_tfBolum</t>
        </is>
      </c>
      <c r="B35" s="47" t="n">
        <v>100</v>
      </c>
      <c r="C35" s="7" t="inlineStr">
        <is>
          <t>adet</t>
        </is>
      </c>
      <c r="D35" s="7" t="inlineStr">
        <is>
          <t>TF puan böleni</t>
        </is>
      </c>
      <c r="E35" s="7" t="inlineStr">
        <is>
          <t>Model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ydv_ekMatrahCarpan</t>
        </is>
      </c>
      <c r="B36" s="46" t="n">
        <v>0.25</v>
      </c>
      <c r="C36" s="7" t="inlineStr">
        <is>
          <t>oran</t>
        </is>
      </c>
      <c r="D36" s="7" t="inlineStr">
        <is>
          <t>TF ek matrah çarpanı</t>
        </is>
      </c>
      <c r="E36" s="7" t="inlineStr">
        <is>
          <t>Model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ydv_ciftVergiEsik</t>
        </is>
      </c>
      <c r="B37" s="46" t="n">
        <v>0.2</v>
      </c>
      <c r="C37" s="7" t="inlineStr">
        <is>
          <t>oran</t>
        </is>
      </c>
      <c r="D37" s="7" t="inlineStr">
        <is>
          <t>RİSKLİ çift vergi / kâr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ydv_dikkatEsik</t>
        </is>
      </c>
      <c r="B38" s="47" t="n">
        <v>50</v>
      </c>
      <c r="C38" s="7" t="inlineStr">
        <is>
          <t>puan</t>
        </is>
      </c>
      <c r="D38" s="7" t="inlineStr">
        <is>
          <t>DİKKAT TF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ydv_dikkatCiftEsik</t>
        </is>
      </c>
      <c r="B39" s="46" t="n">
        <v>0.1</v>
      </c>
      <c r="C39" s="7" t="inlineStr">
        <is>
          <t>oran</t>
        </is>
      </c>
      <c r="D39" s="7" t="inlineStr">
        <is>
          <t>DİKKAT çift vergi / kâr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ydv_subeEfektifEsik</t>
        </is>
      </c>
      <c r="B40" s="46" t="n">
        <v>0.28</v>
      </c>
      <c r="C40" s="7" t="inlineStr">
        <is>
          <t>oran</t>
        </is>
      </c>
      <c r="D40" s="7" t="inlineStr">
        <is>
          <t>Şube önerisi efektif tavan</t>
        </is>
      </c>
      <c r="E40" s="7" t="inlineStr">
        <is>
          <t>Model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vaka_kar_1</t>
        </is>
      </c>
      <c r="B41" s="67" t="n">
        <v>18000000</v>
      </c>
      <c r="C41" s="7" t="inlineStr">
        <is>
          <t>TL</t>
        </is>
      </c>
      <c r="D41" s="7" t="inlineStr">
        <is>
          <t>Vaka1/2/3 kâr TL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vaka_yerel_oran</t>
        </is>
      </c>
      <c r="B42" s="46" t="n">
        <v>0.3</v>
      </c>
      <c r="C42" s="7" t="inlineStr">
        <is>
          <t>oran</t>
        </is>
      </c>
      <c r="D42" s="7" t="inlineStr">
        <is>
          <t>Vaka1 yerel oran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vaka_tf_puan</t>
        </is>
      </c>
      <c r="B43" s="47" t="n">
        <v>70</v>
      </c>
      <c r="C43" s="7" t="inlineStr">
        <is>
          <t>puan</t>
        </is>
      </c>
      <c r="D43" s="7" t="inlineStr">
        <is>
          <t>Vaka4 TF eşik beklenen</t>
        </is>
      </c>
      <c r="E43" s="7" t="inlineStr">
        <is>
          <t>Tebliğ örneği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4"/>
    <row r="45">
      <c r="B45" s="69" t="inlineStr">
        <is>
          <t>Parametre satırları yukarıda; ad tanımları B kolonuna bağlı.</t>
        </is>
      </c>
    </row>
    <row r="46"/>
    <row r="47">
      <c r="B4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Eşik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05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KILAVUZ — Yurt Dışı Yapılanma Vergi Simülatörü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UYGUN — TF ve çift vergi yükü düşük; mevcut yapı sürdürülebilir.</t>
        </is>
      </c>
    </row>
    <row r="7">
      <c r="A7" s="6" t="inlineStr">
        <is>
          <t>• DİKKAT — orta risk; mahsup, stopaj ve PE atıfını doğrulayın.</t>
        </is>
      </c>
    </row>
    <row r="8">
      <c r="A8" s="6" t="inlineStr">
        <is>
          <t>• RİSKLİ — TF eşiği aşıldı veya çift vergi yüksek; yapıyı yeniden değerlendirin.</t>
        </is>
      </c>
    </row>
    <row r="9">
      <c r="A9" s="6" t="inlineStr">
        <is>
          <t>• Yapı önerisi — İŞTİRAK / ŞUBE / OFİS / VERİ YOK (risk + efektif vergiye göre).</t>
        </is>
      </c>
    </row>
    <row r="10"/>
    <row r="11">
      <c r="A11" s="70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pe_atif_yorumu</t>
        </is>
      </c>
    </row>
    <row r="13"/>
    <row r="14">
      <c r="A14" s="10" t="inlineStr">
        <is>
          <t>Yorum A</t>
        </is>
      </c>
      <c r="B14" s="6" t="inlineStr">
        <is>
          <t>PE atıfı ve ofis matrah payı girdideki oranlarla aynen uygulanır. İştirak istisnası işaretliyse TR matrahı dağıtım payına iner.</t>
        </is>
      </c>
    </row>
    <row r="15">
      <c r="A15" s="10" t="inlineStr">
        <is>
          <t>Yorum B</t>
        </is>
      </c>
      <c r="B15" s="6" t="inlineStr">
        <is>
          <t>Yorum B, PE / ofis atıfını +%10 sıkılaştırır (daha yüksek TR matrah ve ek risk). Dosya her iki yorumun etkisini MOTOR'da üretir.</t>
        </is>
      </c>
    </row>
    <row r="16"/>
    <row r="17">
      <c r="A17" s="10" t="inlineStr">
        <is>
          <t>Kullanım sırası</t>
        </is>
      </c>
    </row>
    <row r="18">
      <c r="A18" s="6" t="inlineStr">
        <is>
          <t>GIRDI → KURALLAR (gerekirse) → MOTOR → SENARYO → VAKALAR → PANO → KANIT_RAPORU → AYARLAR.</t>
        </is>
      </c>
    </row>
    <row r="19"/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1:I1"/>
    <mergeCell ref="A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2026-08-11T10:20:57Z</dcterms:created>
  <dcterms:modified xmlns:dcterms="http://purl.org/dc/terms/" xmlns:xsi="http://www.w3.org/2001/XMLSchema-instance" xsi:type="dcterms:W3CDTF">2026-09-25T21:22:39Z</dcterms:modified>
</cp:coreProperties>
</file>