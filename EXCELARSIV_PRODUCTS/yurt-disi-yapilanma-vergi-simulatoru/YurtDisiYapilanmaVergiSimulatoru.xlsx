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SENARYO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hesapYili">GIRDI!$B$8</definedName>
    <definedName name="raporTarihi">AYARLAR!$B$7</definedName>
    <definedName name="ydv_karTl">MOTOR!$G$20</definedName>
    <definedName name="ydv_toplamVergi">MOTOR!$G$28</definedName>
    <definedName name="ydv_efektifVergi">MOTOR!$G$29</definedName>
    <definedName name="ydv_ciftVergi">MOTOR!$G$30</definedName>
    <definedName name="ydv_trEkMatrah">MOTOR!$G$31</definedName>
    <definedName name="ydv_kararMetni">MOTOR!$G$33</definedName>
    <definedName name="ydv_yapiOneri">MOTOR!$G$34</definedName>
    <definedName name="ydv_kararGerekce">MOTOR!$G$35</definedName>
    <definedName name="ydv_maddeAtifMetni">MOTOR!$G$54</definedName>
    <definedName name="ydv_kanitRaporu">MOTOR!$G$55</definedName>
    <definedName name="ydv_kuralYilMatris">KURALLAR!$B$17</definedName>
    <definedName name="ydv_parmakIzi">AYARLAR!$B$19</definedName>
    <definedName name="ydv_senaryoKarsilastirma">SENARYO!$B$11</definedName>
    <definedName name="ydv_yorumSenaryo">SENARYO!$B$12</definedName>
    <definedName name="ydv_duyarlilikSira">SENARYO!$B$19</definedName>
    <definedName name="ydv_yorumDuyarlilik">SENARYO!$B$20</definedName>
    <definedName name="ydv_kuralDegisimSenaryo">SENARYO!$B$22</definedName>
    <definedName name="ydv_yorumKuralDegisim">SENARYO!$B$23</definedName>
    <definedName name="ydv_tahminAralik">SENARYO!$B$32</definedName>
    <definedName name="ydv_yorumTahmin">SENARYO!$B$33</definedName>
    <definedName name="ydv_vakaDurum">VAKALAR!$B$12</definedName>
    <definedName name="ydv_vakaFark">VAKALAR!$B$13</definedName>
    <definedName name="ydv_tolerans">AYARLAR!$B$8</definedName>
    <definedName name="ydv_kacirilanEsik">AYARLAR!$B$9</definedName>
    <definedName name="ydv_senaryoIyi">AYARLAR!$B$10</definedName>
    <definedName name="ydv_senaryoKotu">AYARLAR!$B$11</definedName>
    <definedName name="ydv_oranArtisPuan">AYARLAR!$B$12</definedName>
    <definedName name="ydv_tahminAlt">AYARLAR!$B$13</definedName>
    <definedName name="ydv_tahminUst">AYARLAR!$B$14</definedName>
    <definedName name="ydv_tornadoKur">AYARLAR!$B$15</definedName>
    <definedName name="ydv_tornadoTf">AYARLAR!$B$16</definedName>
    <definedName name="ydv_peArtisOran">AYARLAR!$B$17</definedName>
    <definedName name="ydv_yuzdelikOran">AYARLAR!$B$18</definedName>
    <definedName name="ydv_girisBeklenen">AYARLAR!$B$21</definedName>
    <definedName name="ydv_riskDusuk">AYARLAR!$B$22</definedName>
    <definedName name="ydv_riskOrta">AYARLAR!$B$23</definedName>
    <definedName name="ydv_riskYuksek">AYARLAR!$B$24</definedName>
    <definedName name="ydv_yilTaban">AYARLAR!$B$25</definedName>
    <definedName name="ydv_yuvarMax">AYARLAR!$B$26</definedName>
    <definedName name="ydv_bazCarpan">AYARLAR!$B$27</definedName>
    <definedName name="ydv_sifirCarpan">AYARLAR!$B$28</definedName>
    <definedName name="ydv_siraBir">AYARLAR!$B$29</definedName>
    <definedName name="ydv_siraIki">AYARLAR!$B$30</definedName>
    <definedName name="ydv_siraUc">AYARLAR!$B$31</definedName>
    <definedName name="ydv_tahminX">AYARLAR!$B$32</definedName>
    <definedName name="ydv_ofisMatrahOran">AYARLAR!$B$33</definedName>
    <definedName name="ydv_dagitimOran">AYARLAR!$B$34</definedName>
    <definedName name="ydv_tfBolum">AYARLAR!$B$35</definedName>
    <definedName name="ydv_ekMatrahCarpan">AYARLAR!$B$36</definedName>
    <definedName name="ydv_ciftVergiEsik">AYARLAR!$B$37</definedName>
    <definedName name="ydv_dikkatEsik">AYARLAR!$B$38</definedName>
    <definedName name="ydv_dikkatCiftEsik">AYARLAR!$B$39</definedName>
    <definedName name="ydv_subeEfektifEsik">AYARLAR!$B$40</definedName>
    <definedName name="vaka_kar_1">AYARLAR!$B$41</definedName>
    <definedName name="vaka_yerel_oran">AYARLAR!$B$42</definedName>
    <definedName name="vaka_tf_puan">AYARLAR!$B$43</definedName>
    <definedName name="ydv_modulT1">PANO!$C$12</definedName>
    <definedName name="ydv_modulT1Yorum">PANO!$D$12</definedName>
    <definedName name="ydv_modulT2">PANO!$C$13</definedName>
    <definedName name="ydv_modulT2Yorum">PANO!$D$13</definedName>
    <definedName name="ydv_modulO1">PANO!$C$14</definedName>
    <definedName name="ydv_modulO1Yorum">PANO!$D$14</definedName>
    <definedName name="ydv_modulO6">PANO!$C$17</definedName>
    <definedName name="ydv_modulO6Yorum">PANO!$D$17</definedName>
    <definedName name="ydv_modulO8">PANO!$C$18</definedName>
    <definedName name="ydv_modulO8Yorum">PANO!$D$18</definedName>
    <definedName name="ydv_modulI2">PANO!$C$21</definedName>
    <definedName name="ydv_modulI2Yorum">PANO!$D$21</definedName>
    <definedName name="ListeYillar">LISTELER!$A$6:$A$8</definedName>
    <definedName name="ListeYorumAB">LISTELER!$C$6:$C$7</definedName>
    <definedName name="ListeEvetHayir">LISTELER!$E$6:$E$7</definedName>
    <definedName name="ListeYapi">LISTELER!$G$6:$G$9</definedName>
    <definedName name="_xlnm.Print_Area" localSheetId="16">'KANIT_RAPORU'!$A$1:$F$36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8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2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center" vertical="center"/>
    </xf>
    <xf numFmtId="0" fontId="20" fillId="4" borderId="0" applyAlignment="1" applyProtection="1" pivotButton="0" quotePrefix="0" xfId="0">
      <alignment horizontal="left" vertical="center"/>
      <protection locked="0" hidden="0"/>
    </xf>
    <xf numFmtId="3" fontId="20" fillId="4" borderId="0" applyAlignment="1" applyProtection="1" pivotButton="0" quotePrefix="0" xfId="0">
      <alignment horizontal="left" vertical="center"/>
      <protection locked="0" hidden="0"/>
    </xf>
    <xf numFmtId="164" fontId="20" fillId="4" borderId="0" applyAlignment="1" applyProtection="1" pivotButton="0" quotePrefix="0" xfId="0">
      <alignment horizontal="left" vertical="center"/>
      <protection locked="0" hidden="0"/>
    </xf>
    <xf numFmtId="165" fontId="20" fillId="4" borderId="0" applyAlignment="1" applyProtection="1" pivotButton="0" quotePrefix="0" xfId="0">
      <alignment horizontal="left" vertical="center"/>
      <protection locked="0" hidden="0"/>
    </xf>
    <xf numFmtId="164" fontId="21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2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9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 wrapText="1"/>
    </xf>
    <xf numFmtId="164" fontId="16" fillId="0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21" fillId="0" borderId="0" applyAlignment="1" pivotButton="0" quotePrefix="0" xfId="0">
      <alignment horizontal="left" vertical="center"/>
    </xf>
    <xf numFmtId="3" fontId="19" fillId="4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Toplam Vergi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Vergi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Kâr TL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'ORNEK_VERI'!N5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'ORNEK_VERI'!$N$6:$N$10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Yurt dışı yapılanma vergi kararını etkiler | Doğru kullanım: Sırayla izleyin | Örnek: demo satırına bakın | Yanlışsa: Efektif vergi ve karar bozulur | Kaynak: KVK md.5 / md.33</t>
      </text>
    </comment>
    <comment ref="A6" authorId="0" shapeId="0">
      <text>
        <t>Tanım: Adım 2 — Karar | Neden önemli: Yurt dışı yapılanma vergi kararını etkiler | Doğru kullanım: Sırayla izleyin | Örnek: demo satırına bakın | Yanlışsa: Efektif vergi ve karar bozulur | Kaynak: KVK md.5 / md.33</t>
      </text>
    </comment>
    <comment ref="A7" authorId="0" shapeId="0">
      <text>
        <t>Tanım: Adım 3 — Kanıt | Neden önemli: Yurt dışı yapılanma vergi kararını etkiler | Doğru kullanım: Sırayla izleyin | Örnek: demo satırına bakın | Yanlışsa: Efektif vergi ve karar bozulur | Kaynak: KVK md.5 / md.33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Adı | Neden önemli: Yurt dışı yapılanma vergi kararını etkiler | Doğru kullanım: Kurumun resmi unvanını yazın. | Örnek: demo satırına bakın | Yanlışsa: Efektif vergi ve karar bozulur | Kaynak: KVK md.5 / md.33</t>
      </text>
    </comment>
    <comment ref="B7" authorId="0" shapeId="0">
      <text>
        <t>Tanım: Dönem | Neden önemli: Yurt dışı yapılanma vergi kararını etkiler | Doğru kullanım: Vergi dönemi etiketini yazın (ör. 2026). | Örnek: demo satırına bakın | Yanlışsa: Efektif vergi ve karar bozulur | Kaynak: KVK md.5 / md.33</t>
      </text>
    </comment>
    <comment ref="B8" authorId="0" shapeId="0">
      <text>
        <t>Tanım: Hesap Yılı | Neden önemli: Yurt dışı yapılanma vergi kararını etkiler | Doğru kullanım: 2025, 2026 veya 2027 seçin. | Örnek: demo satırına bakın | Yanlışsa: Efektif vergi ve karar bozulur | Kaynak: KVK md.5 / md.33</t>
      </text>
    </comment>
    <comment ref="B9" authorId="0" shapeId="0">
      <text>
        <t>Tanım: Ülke | Neden önemli: Yurt dışı yapılanma vergi kararını etkiler | Doğru kullanım: Yurt dışı yapılanmanın bulunduğu ülkeyi yazın. | Örnek: demo satırına bakın | Yanlışsa: Efektif vergi ve karar bozulur | Kaynak: KVK md.5 / md.33</t>
      </text>
    </comment>
    <comment ref="B10" authorId="0" shapeId="0">
      <text>
        <t>Tanım: Yapılanma Tipi | Neden önemli: Yurt dışı yapılanma vergi kararını etkiler | Doğru kullanım: ŞUBE, İŞTİRAK, LİMİTED veya OFİS seçin. | Örnek: demo satırına bakın | Yanlışsa: Efektif vergi ve karar bozulur | Kaynak: KVK md.5 / md.33</t>
      </text>
    </comment>
    <comment ref="B11" authorId="0" shapeId="0">
      <text>
        <t>Tanım: Yurt Dışı Kâr [PB] | Neden önemli: Yurt dışı yapılanma vergi kararını etkiler | Doğru kullanım: Yerel para biriminde dönem kârını girin. | Örnek: demo satırına bakın | Yanlışsa: Efektif vergi ve karar bozulur | Kaynak: KVK md.5 / md.33</t>
      </text>
    </comment>
    <comment ref="B12" authorId="0" shapeId="0">
      <text>
        <t>Tanım: Yerel Vergi Oranı [%] | Neden önemli: Yurt dışı yapılanma vergi kararını etkiler | Doğru kullanım: Ülke kurumlar vergisi oranını girin. | Örnek: demo satırına bakın | Yanlışsa: Efektif vergi ve karar bozulur | Kaynak: KVK md.5 / md.33</t>
      </text>
    </comment>
    <comment ref="B13" authorId="0" shapeId="0">
      <text>
        <t>Tanım: Stopaj Oranı [%] | Neden önemli: Yurt dışı yapılanma vergi kararını etkiler | Doğru kullanım: Kâr dağıtımı / PE stopaj oranını girin. | Örnek: demo satırına bakın | Yanlışsa: Efektif vergi ve karar bozulur | Kaynak: KVK md.5 / md.33</t>
      </text>
    </comment>
    <comment ref="B14" authorId="0" shapeId="0">
      <text>
        <t>Tanım: Döviz Kuru [TL/PB] | Neden önemli: Yurt dışı yapılanma vergi kararını etkiler | Doğru kullanım: 1 yabancı para birimi = kaç TL. | Örnek: demo satırına bakın | Yanlışsa: Efektif vergi ve karar bozulur | Kaynak: KVK md.5 / md.33</t>
      </text>
    </comment>
    <comment ref="B15" authorId="0" shapeId="0">
      <text>
        <t>Tanım: İştirak İstisnası | Neden önemli: Yurt dışı yapılanma vergi kararını etkiler | Doğru kullanım: KVK md.5/1-a koşulları sağlanıyorsa Evet. | Örnek: demo satırına bakın | Yanlışsa: Efektif vergi ve karar bozulur | Kaynak: KVK md.5 / md.33</t>
      </text>
    </comment>
    <comment ref="B16" authorId="0" shapeId="0">
      <text>
        <t>Tanım: TF Risk Puanı | Neden önemli: Yurt dışı yapılanma vergi kararını etkiler | Doğru kullanım: Transfer fiyatı risk puanı 0-100. | Örnek: demo satırına bakın | Yanlışsa: Efektif vergi ve karar bozulur | Kaynak: KVK md.5 / md.33</t>
      </text>
    </comment>
    <comment ref="B17" authorId="0" shapeId="0">
      <text>
        <t>Tanım: PE Atıf Yorumu (A/B) | Neden önemli: Yurt dışı yapılanma vergi kararını etkiler | Doğru kullanım: Belirsizlikte yorum A veya B seçin. | Örnek: demo satırına bakın | Yanlışsa: Efektif vergi ve karar bozulur | Kaynak: KVK md.5 / md.33</t>
      </text>
    </comment>
    <comment ref="A24" authorId="0" shapeId="0">
      <text>
        <t>Tanım: sirket_adi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24" authorId="0" shapeId="0">
      <text>
        <t>Tanım: sirket_adi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24" authorId="0" shapeId="0">
      <text>
        <t>Tanım: sirket_adi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24" authorId="0" shapeId="0">
      <text>
        <t>Tanım: sirket_adi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24" authorId="0" shapeId="0">
      <text>
        <t>Tanım: sirket_adi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25" authorId="0" shapeId="0">
      <text>
        <t>Tanım: donem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25" authorId="0" shapeId="0">
      <text>
        <t>Tanım: donem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25" authorId="0" shapeId="0">
      <text>
        <t>Tanım: donem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25" authorId="0" shapeId="0">
      <text>
        <t>Tanım: donem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25" authorId="0" shapeId="0">
      <text>
        <t>Tanım: donem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26" authorId="0" shapeId="0">
      <text>
        <t>Tanım: hesapYili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26" authorId="0" shapeId="0">
      <text>
        <t>Tanım: hesapYili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26" authorId="0" shapeId="0">
      <text>
        <t>Tanım: hesapYili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26" authorId="0" shapeId="0">
      <text>
        <t>Tanım: hesapYili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26" authorId="0" shapeId="0">
      <text>
        <t>Tanım: hesapYili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27" authorId="0" shapeId="0">
      <text>
        <t>Tanım: ulke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27" authorId="0" shapeId="0">
      <text>
        <t>Tanım: ulke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27" authorId="0" shapeId="0">
      <text>
        <t>Tanım: ulke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27" authorId="0" shapeId="0">
      <text>
        <t>Tanım: ulke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27" authorId="0" shapeId="0">
      <text>
        <t>Tanım: ulke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28" authorId="0" shapeId="0">
      <text>
        <t>Tanım: yapilanma_tipi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28" authorId="0" shapeId="0">
      <text>
        <t>Tanım: yapilanma_tipi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28" authorId="0" shapeId="0">
      <text>
        <t>Tanım: yapilanma_tipi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28" authorId="0" shapeId="0">
      <text>
        <t>Tanım: yapilanma_tipi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28" authorId="0" shapeId="0">
      <text>
        <t>Tanım: yapilanma_tipi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29" authorId="0" shapeId="0">
      <text>
        <t>Tanım: yurt_disi_kar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29" authorId="0" shapeId="0">
      <text>
        <t>Tanım: yurt_disi_kar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29" authorId="0" shapeId="0">
      <text>
        <t>Tanım: yurt_disi_kar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29" authorId="0" shapeId="0">
      <text>
        <t>Tanım: yurt_disi_kar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29" authorId="0" shapeId="0">
      <text>
        <t>Tanım: yurt_disi_kar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30" authorId="0" shapeId="0">
      <text>
        <t>Tanım: yerel_vergi_orani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30" authorId="0" shapeId="0">
      <text>
        <t>Tanım: yerel_vergi_orani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30" authorId="0" shapeId="0">
      <text>
        <t>Tanım: yerel_vergi_orani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30" authorId="0" shapeId="0">
      <text>
        <t>Tanım: yerel_vergi_orani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30" authorId="0" shapeId="0">
      <text>
        <t>Tanım: yerel_vergi_orani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31" authorId="0" shapeId="0">
      <text>
        <t>Tanım: stopaj_orani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31" authorId="0" shapeId="0">
      <text>
        <t>Tanım: stopaj_orani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31" authorId="0" shapeId="0">
      <text>
        <t>Tanım: stopaj_orani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31" authorId="0" shapeId="0">
      <text>
        <t>Tanım: stopaj_orani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31" authorId="0" shapeId="0">
      <text>
        <t>Tanım: stopaj_orani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32" authorId="0" shapeId="0">
      <text>
        <t>Tanım: doviz_kuru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32" authorId="0" shapeId="0">
      <text>
        <t>Tanım: doviz_kuru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32" authorId="0" shapeId="0">
      <text>
        <t>Tanım: doviz_kuru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32" authorId="0" shapeId="0">
      <text>
        <t>Tanım: doviz_kuru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32" authorId="0" shapeId="0">
      <text>
        <t>Tanım: doviz_kuru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33" authorId="0" shapeId="0">
      <text>
        <t>Tanım: istirak_istisnasi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33" authorId="0" shapeId="0">
      <text>
        <t>Tanım: istirak_istisnasi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33" authorId="0" shapeId="0">
      <text>
        <t>Tanım: istirak_istisnasi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33" authorId="0" shapeId="0">
      <text>
        <t>Tanım: istirak_istisnasi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33" authorId="0" shapeId="0">
      <text>
        <t>Tanım: istirak_istisnasi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34" authorId="0" shapeId="0">
      <text>
        <t>Tanım: tf_risk_puani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34" authorId="0" shapeId="0">
      <text>
        <t>Tanım: tf_risk_puani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34" authorId="0" shapeId="0">
      <text>
        <t>Tanım: tf_risk_puani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34" authorId="0" shapeId="0">
      <text>
        <t>Tanım: tf_risk_puani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34" authorId="0" shapeId="0">
      <text>
        <t>Tanım: tf_risk_puani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A35" authorId="0" shapeId="0">
      <text>
        <t>Tanım: yorum_modu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B35" authorId="0" shapeId="0">
      <text>
        <t>Tanım: yorum_modu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C35" authorId="0" shapeId="0">
      <text>
        <t>Tanım: yorum_modu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D35" authorId="0" shapeId="0">
      <text>
        <t>Tanım: yorum_modu | Neden önemli: Yurt dışı yapılanma vergi kararını etkiler | Doğru kullanım: Tablo girişi; PANO ile senkron tutun | Örnek: demo satırına bakın | Yanlışsa: Efektif vergi ve karar bozulur | Kaynak: KVK md.5 / md.33</t>
      </text>
    </comment>
    <comment ref="E35" authorId="0" shapeId="0">
      <text>
        <t>Tanım: yorum_modu | Neden önemli: Yurt dışı yapılanma vergi kararını etkiler | Doğru kullanım: Tablo girişi; PANO ile senkron tutun | Örnek: demo satırına bakın | Yanlışsa: Efektif vergi ve karar bozulur | Kaynak: KVK md.5 / md.33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tr_kv_orani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G7" authorId="0" shapeId="0">
      <text>
        <t>Tanım: tr_kv_orani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H7" authorId="0" shapeId="0">
      <text>
        <t>Tanım: tr_kv_orani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F8" authorId="0" shapeId="0">
      <text>
        <t>Tanım: istirak_istisna_orani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G8" authorId="0" shapeId="0">
      <text>
        <t>Tanım: istirak_istisna_orani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H8" authorId="0" shapeId="0">
      <text>
        <t>Tanım: istirak_istisna_orani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F9" authorId="0" shapeId="0">
      <text>
        <t>Tanım: mahsup_tavan_carpan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G9" authorId="0" shapeId="0">
      <text>
        <t>Tanım: mahsup_tavan_carpan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H9" authorId="0" shapeId="0">
      <text>
        <t>Tanım: mahsup_tavan_carpan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F10" authorId="0" shapeId="0">
      <text>
        <t>Tanım: tf_risk_esik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G10" authorId="0" shapeId="0">
      <text>
        <t>Tanım: tf_risk_esik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H10" authorId="0" shapeId="0">
      <text>
        <t>Tanım: tf_risk_esik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F11" authorId="0" shapeId="0">
      <text>
        <t>Tanım: yuvarlama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G11" authorId="0" shapeId="0">
      <text>
        <t>Tanım: yuvarlama | Neden önemli: Yurt dışı yapılanma vergi kararını etkiler | Doğru kullanım: Yıl bazlı parametre; kaynak kolonuna bakın | Örnek: demo satırına bakın | Yanlışsa: Efektif vergi ve karar bozulur | Kaynak: KVK md.5 / md.33</t>
      </text>
    </comment>
    <comment ref="H11" authorId="0" shapeId="0">
      <text>
        <t>Tanım: yuvarlama | Neden önemli: Yurt dışı yapılanma vergi kararını etkiler | Doğru kullanım: Yıl bazlı parametre; kaynak kolonuna bakın | Örnek: demo satırına bakın | Yanlışsa: Efektif vergi ve karar bozulur | Kaynak: KVK md.5 / md.33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32" authorId="0" shapeId="0">
      <text>
        <t>Tanım: İmza | Neden önemli: Yurt dışı yapılanma vergi kararını etkiler | Doğru kullanım: Raporu hazırlayan kişinin adını yazın. | Örnek: demo satırına bakın | Yanlışsa: Efektif vergi ve karar bozulur | Kaynak: KVK md.5 / md.33</t>
      </text>
    </comment>
    <comment ref="B33" authorId="0" shapeId="0">
      <text>
        <t>Tanım: Onay | Neden önemli: Yurt dışı yapılanma vergi kararını etkiler | Doğru kullanım: Onaylayan kişinin adını yazın. | Örnek: demo satırına bakın | Yanlışsa: Efektif vergi ve karar bozulur | Kaynak: KVK md.5 / md.33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YD kâr?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Kâr TL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Çift vergi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Yurt dışı yapılanma vergi kararını etkiler | Doğru kullanım: Örnek senaryo değeri | Örnek: demo satırına bakın | Yanlışsa: Efektif vergi ve karar bozulur | Kaynak: KVK md.5 / md.33</t>
      </text>
    </comment>
    <comment ref="B6" authorId="0" shapeId="0">
      <text>
        <t>Tanım: Ülke | Neden önemli: Yurt dışı yapılanma vergi kararını etkiler | Doğru kullanım: Örnek senaryo değeri | Örnek: demo satırına bakın | Yanlışsa: Efektif vergi ve karar bozulur | Kaynak: KVK md.5 / md.33</t>
      </text>
    </comment>
    <comment ref="C6" authorId="0" shapeId="0">
      <text>
        <t>Tanım: Yapı | Neden önemli: Yurt dışı yapılanma vergi kararını etkiler | Doğru kullanım: Örnek senaryo değeri | Örnek: demo satırına bakın | Yanlışsa: Efektif vergi ve karar bozulur | Kaynak: KVK md.5 / md.33</t>
      </text>
    </comment>
    <comment ref="D6" authorId="0" shapeId="0">
      <text>
        <t>Tanım: YDKâr | Neden önemli: Yurt dışı yapılanma vergi kararını etkiler | Doğru kullanım: Örnek senaryo değeri | Örnek: demo satırına bakın | Yanlışsa: Efektif vergi ve karar bozulur | Kaynak: KVK md.5 / md.33</t>
      </text>
    </comment>
    <comment ref="E6" authorId="0" shapeId="0">
      <text>
        <t>Tanım: YerelOran | Neden önemli: Yurt dışı yapılanma vergi kararını etkiler | Doğru kullanım: Örnek senaryo değeri | Örnek: demo satırına bakın | Yanlışsa: Efektif vergi ve karar bozulur | Kaynak: KVK md.5 / md.33</t>
      </text>
    </comment>
    <comment ref="F6" authorId="0" shapeId="0">
      <text>
        <t>Tanım: Stopaj | Neden önemli: Yurt dışı yapılanma vergi kararını etkiler | Doğru kullanım: Örnek senaryo değeri | Örnek: demo satırına bakın | Yanlışsa: Efektif vergi ve karar bozulur | Kaynak: KVK md.5 / md.33</t>
      </text>
    </comment>
    <comment ref="G6" authorId="0" shapeId="0">
      <text>
        <t>Tanım: Kur | Neden önemli: Yurt dışı yapılanma vergi kararını etkiler | Doğru kullanım: Örnek senaryo değeri | Örnek: demo satırına bakın | Yanlışsa: Efektif vergi ve karar bozulur | Kaynak: KVK md.5 / md.33</t>
      </text>
    </comment>
    <comment ref="H6" authorId="0" shapeId="0">
      <text>
        <t>Tanım: İstisna | Neden önemli: Yurt dışı yapılanma vergi kararını etkiler | Doğru kullanım: Örnek senaryo değeri | Örnek: demo satırına bakın | Yanlışsa: Efektif vergi ve karar bozulur | Kaynak: KVK md.5 / md.33</t>
      </text>
    </comment>
    <comment ref="I6" authorId="0" shapeId="0">
      <text>
        <t>Tanım: TF | Neden önemli: Yurt dışı yapılanma vergi kararını etkiler | Doğru kullanım: Örnek senaryo değeri | Örnek: demo satırına bakın | Yanlışsa: Efektif vergi ve karar bozulur | Kaynak: KVK md.5 / md.33</t>
      </text>
    </comment>
    <comment ref="J6" authorId="0" shapeId="0">
      <text>
        <t>Tanım: Yıl | Neden önemli: Yurt dışı yapılanma vergi kararını etkiler | Doğru kullanım: Örnek senaryo değeri | Örnek: demo satırına bakın | Yanlışsa: Efektif vergi ve karar bozulur | Kaynak: KVK md.5 / md.33</t>
      </text>
    </comment>
    <comment ref="K6" authorId="0" shapeId="0">
      <text>
        <t>Tanım: Yorum | Neden önemli: Yurt dışı yapılanma vergi kararını etkiler | Doğru kullanım: Örnek senaryo değeri | Örnek: demo satırına bakın | Yanlışsa: Efektif vergi ve karar bozulur | Kaynak: KVK md.5 / md.33</t>
      </text>
    </comment>
    <comment ref="A7" authorId="0" shapeId="0">
      <text>
        <t>Tanım: Senaryo | Neden önemli: Yurt dışı yapılanma vergi kararını etkiler | Doğru kullanım: Örnek senaryo değeri | Örnek: demo satırına bakın | Yanlışsa: Efektif vergi ve karar bozulur | Kaynak: KVK md.5 / md.33</t>
      </text>
    </comment>
    <comment ref="B7" authorId="0" shapeId="0">
      <text>
        <t>Tanım: Ülke | Neden önemli: Yurt dışı yapılanma vergi kararını etkiler | Doğru kullanım: Örnek senaryo değeri | Örnek: demo satırına bakın | Yanlışsa: Efektif vergi ve karar bozulur | Kaynak: KVK md.5 / md.33</t>
      </text>
    </comment>
    <comment ref="C7" authorId="0" shapeId="0">
      <text>
        <t>Tanım: Yapı | Neden önemli: Yurt dışı yapılanma vergi kararını etkiler | Doğru kullanım: Örnek senaryo değeri | Örnek: demo satırına bakın | Yanlışsa: Efektif vergi ve karar bozulur | Kaynak: KVK md.5 / md.33</t>
      </text>
    </comment>
    <comment ref="D7" authorId="0" shapeId="0">
      <text>
        <t>Tanım: YDKâr | Neden önemli: Yurt dışı yapılanma vergi kararını etkiler | Doğru kullanım: Örnek senaryo değeri | Örnek: demo satırına bakın | Yanlışsa: Efektif vergi ve karar bozulur | Kaynak: KVK md.5 / md.33</t>
      </text>
    </comment>
    <comment ref="E7" authorId="0" shapeId="0">
      <text>
        <t>Tanım: YerelOran | Neden önemli: Yurt dışı yapılanma vergi kararını etkiler | Doğru kullanım: Örnek senaryo değeri | Örnek: demo satırına bakın | Yanlışsa: Efektif vergi ve karar bozulur | Kaynak: KVK md.5 / md.33</t>
      </text>
    </comment>
    <comment ref="F7" authorId="0" shapeId="0">
      <text>
        <t>Tanım: Stopaj | Neden önemli: Yurt dışı yapılanma vergi kararını etkiler | Doğru kullanım: Örnek senaryo değeri | Örnek: demo satırına bakın | Yanlışsa: Efektif vergi ve karar bozulur | Kaynak: KVK md.5 / md.33</t>
      </text>
    </comment>
    <comment ref="G7" authorId="0" shapeId="0">
      <text>
        <t>Tanım: Kur | Neden önemli: Yurt dışı yapılanma vergi kararını etkiler | Doğru kullanım: Örnek senaryo değeri | Örnek: demo satırına bakın | Yanlışsa: Efektif vergi ve karar bozulur | Kaynak: KVK md.5 / md.33</t>
      </text>
    </comment>
    <comment ref="H7" authorId="0" shapeId="0">
      <text>
        <t>Tanım: İstisna | Neden önemli: Yurt dışı yapılanma vergi kararını etkiler | Doğru kullanım: Örnek senaryo değeri | Örnek: demo satırına bakın | Yanlışsa: Efektif vergi ve karar bozulur | Kaynak: KVK md.5 / md.33</t>
      </text>
    </comment>
    <comment ref="I7" authorId="0" shapeId="0">
      <text>
        <t>Tanım: TF | Neden önemli: Yurt dışı yapılanma vergi kararını etkiler | Doğru kullanım: Örnek senaryo değeri | Örnek: demo satırına bakın | Yanlışsa: Efektif vergi ve karar bozulur | Kaynak: KVK md.5 / md.33</t>
      </text>
    </comment>
    <comment ref="J7" authorId="0" shapeId="0">
      <text>
        <t>Tanım: Yıl | Neden önemli: Yurt dışı yapılanma vergi kararını etkiler | Doğru kullanım: Örnek senaryo değeri | Örnek: demo satırına bakın | Yanlışsa: Efektif vergi ve karar bozulur | Kaynak: KVK md.5 / md.33</t>
      </text>
    </comment>
    <comment ref="K7" authorId="0" shapeId="0">
      <text>
        <t>Tanım: Yorum | Neden önemli: Yurt dışı yapılanma vergi kararını etkiler | Doğru kullanım: Örnek senaryo değeri | Örnek: demo satırına bakın | Yanlışsa: Efektif vergi ve karar bozulur | Kaynak: KVK md.5 / md.33</t>
      </text>
    </comment>
    <comment ref="A8" authorId="0" shapeId="0">
      <text>
        <t>Tanım: Senaryo | Neden önemli: Yurt dışı yapılanma vergi kararını etkiler | Doğru kullanım: Örnek senaryo değeri | Örnek: demo satırına bakın | Yanlışsa: Efektif vergi ve karar bozulur | Kaynak: KVK md.5 / md.33</t>
      </text>
    </comment>
    <comment ref="B8" authorId="0" shapeId="0">
      <text>
        <t>Tanım: Ülke | Neden önemli: Yurt dışı yapılanma vergi kararını etkiler | Doğru kullanım: Örnek senaryo değeri | Örnek: demo satırına bakın | Yanlışsa: Efektif vergi ve karar bozulur | Kaynak: KVK md.5 / md.33</t>
      </text>
    </comment>
    <comment ref="C8" authorId="0" shapeId="0">
      <text>
        <t>Tanım: Yapı | Neden önemli: Yurt dışı yapılanma vergi kararını etkiler | Doğru kullanım: Örnek senaryo değeri | Örnek: demo satırına bakın | Yanlışsa: Efektif vergi ve karar bozulur | Kaynak: KVK md.5 / md.33</t>
      </text>
    </comment>
    <comment ref="D8" authorId="0" shapeId="0">
      <text>
        <t>Tanım: YDKâr | Neden önemli: Yurt dışı yapılanma vergi kararını etkiler | Doğru kullanım: Örnek senaryo değeri | Örnek: demo satırına bakın | Yanlışsa: Efektif vergi ve karar bozulur | Kaynak: KVK md.5 / md.33</t>
      </text>
    </comment>
    <comment ref="E8" authorId="0" shapeId="0">
      <text>
        <t>Tanım: YerelOran | Neden önemli: Yurt dışı yapılanma vergi kararını etkiler | Doğru kullanım: Örnek senaryo değeri | Örnek: demo satırına bakın | Yanlışsa: Efektif vergi ve karar bozulur | Kaynak: KVK md.5 / md.33</t>
      </text>
    </comment>
    <comment ref="F8" authorId="0" shapeId="0">
      <text>
        <t>Tanım: Stopaj | Neden önemli: Yurt dışı yapılanma vergi kararını etkiler | Doğru kullanım: Örnek senaryo değeri | Örnek: demo satırına bakın | Yanlışsa: Efektif vergi ve karar bozulur | Kaynak: KVK md.5 / md.33</t>
      </text>
    </comment>
    <comment ref="G8" authorId="0" shapeId="0">
      <text>
        <t>Tanım: Kur | Neden önemli: Yurt dışı yapılanma vergi kararını etkiler | Doğru kullanım: Örnek senaryo değeri | Örnek: demo satırına bakın | Yanlışsa: Efektif vergi ve karar bozulur | Kaynak: KVK md.5 / md.33</t>
      </text>
    </comment>
    <comment ref="H8" authorId="0" shapeId="0">
      <text>
        <t>Tanım: İstisna | Neden önemli: Yurt dışı yapılanma vergi kararını etkiler | Doğru kullanım: Örnek senaryo değeri | Örnek: demo satırına bakın | Yanlışsa: Efektif vergi ve karar bozulur | Kaynak: KVK md.5 / md.33</t>
      </text>
    </comment>
    <comment ref="I8" authorId="0" shapeId="0">
      <text>
        <t>Tanım: TF | Neden önemli: Yurt dışı yapılanma vergi kararını etkiler | Doğru kullanım: Örnek senaryo değeri | Örnek: demo satırına bakın | Yanlışsa: Efektif vergi ve karar bozulur | Kaynak: KVK md.5 / md.33</t>
      </text>
    </comment>
    <comment ref="J8" authorId="0" shapeId="0">
      <text>
        <t>Tanım: Yıl | Neden önemli: Yurt dışı yapılanma vergi kararını etkiler | Doğru kullanım: Örnek senaryo değeri | Örnek: demo satırına bakın | Yanlışsa: Efektif vergi ve karar bozulur | Kaynak: KVK md.5 / md.33</t>
      </text>
    </comment>
    <comment ref="K8" authorId="0" shapeId="0">
      <text>
        <t>Tanım: Yorum | Neden önemli: Yurt dışı yapılanma vergi kararını etkiler | Doğru kullanım: Örnek senaryo değeri | Örnek: demo satırına bakın | Yanlışsa: Efektif vergi ve karar bozulur | Kaynak: KVK md.5 / md.33</t>
      </text>
    </comment>
    <comment ref="A9" authorId="0" shapeId="0">
      <text>
        <t>Tanım: Senaryo | Neden önemli: Yurt dışı yapılanma vergi kararını etkiler | Doğru kullanım: Örnek senaryo değeri | Örnek: demo satırına bakın | Yanlışsa: Efektif vergi ve karar bozulur | Kaynak: KVK md.5 / md.33</t>
      </text>
    </comment>
    <comment ref="B9" authorId="0" shapeId="0">
      <text>
        <t>Tanım: Ülke | Neden önemli: Yurt dışı yapılanma vergi kararını etkiler | Doğru kullanım: Örnek senaryo değeri | Örnek: demo satırına bakın | Yanlışsa: Efektif vergi ve karar bozulur | Kaynak: KVK md.5 / md.33</t>
      </text>
    </comment>
    <comment ref="C9" authorId="0" shapeId="0">
      <text>
        <t>Tanım: Yapı | Neden önemli: Yurt dışı yapılanma vergi kararını etkiler | Doğru kullanım: Örnek senaryo değeri | Örnek: demo satırına bakın | Yanlışsa: Efektif vergi ve karar bozulur | Kaynak: KVK md.5 / md.33</t>
      </text>
    </comment>
    <comment ref="D9" authorId="0" shapeId="0">
      <text>
        <t>Tanım: YDKâr | Neden önemli: Yurt dışı yapılanma vergi kararını etkiler | Doğru kullanım: Örnek senaryo değeri | Örnek: demo satırına bakın | Yanlışsa: Efektif vergi ve karar bozulur | Kaynak: KVK md.5 / md.33</t>
      </text>
    </comment>
    <comment ref="E9" authorId="0" shapeId="0">
      <text>
        <t>Tanım: YerelOran | Neden önemli: Yurt dışı yapılanma vergi kararını etkiler | Doğru kullanım: Örnek senaryo değeri | Örnek: demo satırına bakın | Yanlışsa: Efektif vergi ve karar bozulur | Kaynak: KVK md.5 / md.33</t>
      </text>
    </comment>
    <comment ref="F9" authorId="0" shapeId="0">
      <text>
        <t>Tanım: Stopaj | Neden önemli: Yurt dışı yapılanma vergi kararını etkiler | Doğru kullanım: Örnek senaryo değeri | Örnek: demo satırına bakın | Yanlışsa: Efektif vergi ve karar bozulur | Kaynak: KVK md.5 / md.33</t>
      </text>
    </comment>
    <comment ref="G9" authorId="0" shapeId="0">
      <text>
        <t>Tanım: Kur | Neden önemli: Yurt dışı yapılanma vergi kararını etkiler | Doğru kullanım: Örnek senaryo değeri | Örnek: demo satırına bakın | Yanlışsa: Efektif vergi ve karar bozulur | Kaynak: KVK md.5 / md.33</t>
      </text>
    </comment>
    <comment ref="H9" authorId="0" shapeId="0">
      <text>
        <t>Tanım: İstisna | Neden önemli: Yurt dışı yapılanma vergi kararını etkiler | Doğru kullanım: Örnek senaryo değeri | Örnek: demo satırına bakın | Yanlışsa: Efektif vergi ve karar bozulur | Kaynak: KVK md.5 / md.33</t>
      </text>
    </comment>
    <comment ref="I9" authorId="0" shapeId="0">
      <text>
        <t>Tanım: TF | Neden önemli: Yurt dışı yapılanma vergi kararını etkiler | Doğru kullanım: Örnek senaryo değeri | Örnek: demo satırına bakın | Yanlışsa: Efektif vergi ve karar bozulur | Kaynak: KVK md.5 / md.33</t>
      </text>
    </comment>
    <comment ref="J9" authorId="0" shapeId="0">
      <text>
        <t>Tanım: Yıl | Neden önemli: Yurt dışı yapılanma vergi kararını etkiler | Doğru kullanım: Örnek senaryo değeri | Örnek: demo satırına bakın | Yanlışsa: Efektif vergi ve karar bozulur | Kaynak: KVK md.5 / md.33</t>
      </text>
    </comment>
    <comment ref="K9" authorId="0" shapeId="0">
      <text>
        <t>Tanım: Yorum | Neden önemli: Yurt dışı yapılanma vergi kararını etkiler | Doğru kullanım: Örnek senaryo değeri | Örnek: demo satırına bakın | Yanlışsa: Efektif vergi ve karar bozulur | Kaynak: KVK md.5 / md.33</t>
      </text>
    </comment>
    <comment ref="A10" authorId="0" shapeId="0">
      <text>
        <t>Tanım: Senaryo | Neden önemli: Yurt dışı yapılanma vergi kararını etkiler | Doğru kullanım: Örnek senaryo değeri | Örnek: demo satırına bakın | Yanlışsa: Efektif vergi ve karar bozulur | Kaynak: KVK md.5 / md.33</t>
      </text>
    </comment>
    <comment ref="B10" authorId="0" shapeId="0">
      <text>
        <t>Tanım: Ülke | Neden önemli: Yurt dışı yapılanma vergi kararını etkiler | Doğru kullanım: Örnek senaryo değeri | Örnek: demo satırına bakın | Yanlışsa: Efektif vergi ve karar bozulur | Kaynak: KVK md.5 / md.33</t>
      </text>
    </comment>
    <comment ref="C10" authorId="0" shapeId="0">
      <text>
        <t>Tanım: Yapı | Neden önemli: Yurt dışı yapılanma vergi kararını etkiler | Doğru kullanım: Örnek senaryo değeri | Örnek: demo satırına bakın | Yanlışsa: Efektif vergi ve karar bozulur | Kaynak: KVK md.5 / md.33</t>
      </text>
    </comment>
    <comment ref="D10" authorId="0" shapeId="0">
      <text>
        <t>Tanım: YDKâr | Neden önemli: Yurt dışı yapılanma vergi kararını etkiler | Doğru kullanım: Örnek senaryo değeri | Örnek: demo satırına bakın | Yanlışsa: Efektif vergi ve karar bozulur | Kaynak: KVK md.5 / md.33</t>
      </text>
    </comment>
    <comment ref="E10" authorId="0" shapeId="0">
      <text>
        <t>Tanım: YerelOran | Neden önemli: Yurt dışı yapılanma vergi kararını etkiler | Doğru kullanım: Örnek senaryo değeri | Örnek: demo satırına bakın | Yanlışsa: Efektif vergi ve karar bozulur | Kaynak: KVK md.5 / md.33</t>
      </text>
    </comment>
    <comment ref="F10" authorId="0" shapeId="0">
      <text>
        <t>Tanım: Stopaj | Neden önemli: Yurt dışı yapılanma vergi kararını etkiler | Doğru kullanım: Örnek senaryo değeri | Örnek: demo satırına bakın | Yanlışsa: Efektif vergi ve karar bozulur | Kaynak: KVK md.5 / md.33</t>
      </text>
    </comment>
    <comment ref="G10" authorId="0" shapeId="0">
      <text>
        <t>Tanım: Kur | Neden önemli: Yurt dışı yapılanma vergi kararını etkiler | Doğru kullanım: Örnek senaryo değeri | Örnek: demo satırına bakın | Yanlışsa: Efektif vergi ve karar bozulur | Kaynak: KVK md.5 / md.33</t>
      </text>
    </comment>
    <comment ref="H10" authorId="0" shapeId="0">
      <text>
        <t>Tanım: İstisna | Neden önemli: Yurt dışı yapılanma vergi kararını etkiler | Doğru kullanım: Örnek senaryo değeri | Örnek: demo satırına bakın | Yanlışsa: Efektif vergi ve karar bozulur | Kaynak: KVK md.5 / md.33</t>
      </text>
    </comment>
    <comment ref="I10" authorId="0" shapeId="0">
      <text>
        <t>Tanım: TF | Neden önemli: Yurt dışı yapılanma vergi kararını etkiler | Doğru kullanım: Örnek senaryo değeri | Örnek: demo satırına bakın | Yanlışsa: Efektif vergi ve karar bozulur | Kaynak: KVK md.5 / md.33</t>
      </text>
    </comment>
    <comment ref="J10" authorId="0" shapeId="0">
      <text>
        <t>Tanım: Yıl | Neden önemli: Yurt dışı yapılanma vergi kararını etkiler | Doğru kullanım: Örnek senaryo değeri | Örnek: demo satırına bakın | Yanlışsa: Efektif vergi ve karar bozulur | Kaynak: KVK md.5 / md.33</t>
      </text>
    </comment>
    <comment ref="K10" authorId="0" shapeId="0">
      <text>
        <t>Tanım: Yorum | Neden önemli: Yurt dışı yapılanma vergi kararını etkiler | Doğru kullanım: Örnek senaryo değeri | Örnek: demo satırına bakın | Yanlışsa: Efektif vergi ve karar bozulur | Kaynak: KVK md.5 / md.33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Yurt dışı yapılanma vergi kararını etkiler | Doğru kullanım: Hesap yılı listesi | Örnek: demo satırına bakın | Yanlışsa: Efektif vergi ve karar bozulur | Kaynak: KVK md.5 / md.33</t>
      </text>
    </comment>
    <comment ref="C6" authorId="0" shapeId="0">
      <text>
        <t>Tanım: Yorum | Neden önemli: Yurt dışı yapılanma vergi kararını etkiler | Doğru kullanım: PE atıf yorumu | Örnek: demo satırına bakın | Yanlışsa: Efektif vergi ve karar bozulur | Kaynak: KVK md.5 / md.33</t>
      </text>
    </comment>
    <comment ref="E6" authorId="0" shapeId="0">
      <text>
        <t>Tanım: Seçim | Neden önemli: Yurt dışı yapılanma vergi kararını etkiler | Doğru kullanım: Evet veya Hayır | Örnek: demo satırına bakın | Yanlışsa: Efektif vergi ve karar bozulur | Kaynak: KVK md.5 / md.33</t>
      </text>
    </comment>
    <comment ref="G6" authorId="0" shapeId="0">
      <text>
        <t>Tanım: Yapı | Neden önemli: Yurt dışı yapılanma vergi kararını etkiler | Doğru kullanım: Yapılanma tipi | Örnek: demo satırına bakın | Yanlışsa: Efektif vergi ve karar bozulur | Kaynak: KVK md.5 / md.33</t>
      </text>
    </comment>
    <comment ref="A7" authorId="0" shapeId="0">
      <text>
        <t>Tanım: Yıl | Neden önemli: Yurt dışı yapılanma vergi kararını etkiler | Doğru kullanım: Hesap yılı listesi | Örnek: demo satırına bakın | Yanlışsa: Efektif vergi ve karar bozulur | Kaynak: KVK md.5 / md.33</t>
      </text>
    </comment>
    <comment ref="C7" authorId="0" shapeId="0">
      <text>
        <t>Tanım: Yorum | Neden önemli: Yurt dışı yapılanma vergi kararını etkiler | Doğru kullanım: PE atıf yorumu | Örnek: demo satırına bakın | Yanlışsa: Efektif vergi ve karar bozulur | Kaynak: KVK md.5 / md.33</t>
      </text>
    </comment>
    <comment ref="E7" authorId="0" shapeId="0">
      <text>
        <t>Tanım: Seçim | Neden önemli: Yurt dışı yapılanma vergi kararını etkiler | Doğru kullanım: Evet veya Hayır | Örnek: demo satırına bakın | Yanlışsa: Efektif vergi ve karar bozulur | Kaynak: KVK md.5 / md.33</t>
      </text>
    </comment>
    <comment ref="G7" authorId="0" shapeId="0">
      <text>
        <t>Tanım: Yapı | Neden önemli: Yurt dışı yapılanma vergi kararını etkiler | Doğru kullanım: Yapılanma tipi | Örnek: demo satırına bakın | Yanlışsa: Efektif vergi ve karar bozulur | Kaynak: KVK md.5 / md.33</t>
      </text>
    </comment>
    <comment ref="A8" authorId="0" shapeId="0">
      <text>
        <t>Tanım: Yıl | Neden önemli: Yurt dışı yapılanma vergi kararını etkiler | Doğru kullanım: Hesap yılı listesi | Örnek: demo satırına bakın | Yanlışsa: Efektif vergi ve karar bozulur | Kaynak: KVK md.5 / md.33</t>
      </text>
    </comment>
    <comment ref="G8" authorId="0" shapeId="0">
      <text>
        <t>Tanım: Yapı | Neden önemli: Yurt dışı yapılanma vergi kararını etkiler | Doğru kullanım: Yapılanma tipi | Örnek: demo satırına bakın | Yanlışsa: Efektif vergi ve karar bozulur | Kaynak: KVK md.5 / md.33</t>
      </text>
    </comment>
    <comment ref="G9" authorId="0" shapeId="0">
      <text>
        <t>Tanım: Yapı | Neden önemli: Yurt dışı yapılanma vergi kararını etkiler | Doğru kullanım: Yapılanma tipi | Örnek: demo satırına bakın | Yanlışsa: Efektif vergi ve karar bozulur | Kaynak: KVK md.5 / md.33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Yurt dışı yapılanma vergi kararını etkiler | Doğru kullanım: Aktif hesap yılı | Örnek: demo satırına bakın | Yanlışsa: Efektif vergi ve karar bozulur | Kaynak: KVK md.5 / md.33</t>
      </text>
    </comment>
    <comment ref="B7" authorId="0" shapeId="0">
      <text>
        <t>Tanım: raporTarihi | Neden önemli: Yurt dışı yapılanma vergi kararını etkiler | Doğru kullanım: Rapor tarihi (sabit) | Örnek: demo satırına bakın | Yanlışsa: Efektif vergi ve karar bozulur | Kaynak: KVK md.5 / md.33</t>
      </text>
    </comment>
    <comment ref="B8" authorId="0" shapeId="0">
      <text>
        <t>Tanım: ydv_tolerans | Neden önemli: Yurt dışı yapılanma vergi kararını etkiler | Doğru kullanım: Vaka tutarlılık toleransı | Örnek: demo satırına bakın | Yanlışsa: Efektif vergi ve karar bozulur | Kaynak: KVK md.5 / md.33</t>
      </text>
    </comment>
    <comment ref="B9" authorId="0" shapeId="0">
      <text>
        <t>Tanım: ydv_kacirilanEsik | Neden önemli: Yurt dışı yapılanma vergi kararını etkiler | Doğru kullanım: Çift vergi uyarı eşiği | Örnek: demo satırına bakın | Yanlışsa: Efektif vergi ve karar bozulur | Kaynak: KVK md.5 / md.33</t>
      </text>
    </comment>
    <comment ref="B10" authorId="0" shapeId="0">
      <text>
        <t>Tanım: ydv_senaryoIyi | Neden önemli: Yurt dışı yapılanma vergi kararını etkiler | Doğru kullanım: İyimser kâr çarpanı | Örnek: demo satırına bakın | Yanlışsa: Efektif vergi ve karar bozulur | Kaynak: KVK md.5 / md.33</t>
      </text>
    </comment>
    <comment ref="B11" authorId="0" shapeId="0">
      <text>
        <t>Tanım: ydv_senaryoKotu | Neden önemli: Yurt dışı yapılanma vergi kararını etkiler | Doğru kullanım: Kötümser kâr çarpanı | Örnek: demo satırına bakın | Yanlışsa: Efektif vergi ve karar bozulur | Kaynak: KVK md.5 / md.33</t>
      </text>
    </comment>
    <comment ref="B12" authorId="0" shapeId="0">
      <text>
        <t>Tanım: ydv_oranArtisPuan | Neden önemli: Yurt dışı yapılanma vergi kararını etkiler | Doğru kullanım: M-SEN sabit +1 puan | Örnek: demo satırına bakın | Yanlışsa: Efektif vergi ve karar bozulur | Kaynak: KVK md.5 / md.33</t>
      </text>
    </comment>
    <comment ref="B13" authorId="0" shapeId="0">
      <text>
        <t>Tanım: ydv_tahminAlt | Neden önemli: Yurt dışı yapılanma vergi kararını etkiler | Doğru kullanım: Tahmin alt bant | Örnek: demo satırına bakın | Yanlışsa: Efektif vergi ve karar bozulur | Kaynak: KVK md.5 / md.33</t>
      </text>
    </comment>
    <comment ref="B14" authorId="0" shapeId="0">
      <text>
        <t>Tanım: ydv_tahminUst | Neden önemli: Yurt dışı yapılanma vergi kararını etkiler | Doğru kullanım: Tahmin üst bant | Örnek: demo satırına bakın | Yanlışsa: Efektif vergi ve karar bozulur | Kaynak: KVK md.5 / md.33</t>
      </text>
    </comment>
    <comment ref="B15" authorId="0" shapeId="0">
      <text>
        <t>Tanım: ydv_tornadoKur | Neden önemli: Yurt dışı yapılanma vergi kararını etkiler | Doğru kullanım: Tornado kur şoku | Örnek: demo satırına bakın | Yanlışsa: Efektif vergi ve karar bozulur | Kaynak: KVK md.5 / md.33</t>
      </text>
    </comment>
    <comment ref="B16" authorId="0" shapeId="0">
      <text>
        <t>Tanım: ydv_tornadoTf | Neden önemli: Yurt dışı yapılanma vergi kararını etkiler | Doğru kullanım: Tornado TF şoku | Örnek: demo satırına bakın | Yanlışsa: Efektif vergi ve karar bozulur | Kaynak: KVK md.5 / md.33</t>
      </text>
    </comment>
    <comment ref="B17" authorId="0" shapeId="0">
      <text>
        <t>Tanım: ydv_peArtisOran | Neden önemli: Yurt dışı yapılanma vergi kararını etkiler | Doğru kullanım: Yorum B PE +%10 | Örnek: demo satırına bakın | Yanlışsa: Efektif vergi ve karar bozulur | Kaynak: KVK md.5 / md.33</t>
      </text>
    </comment>
    <comment ref="B18" authorId="0" shapeId="0">
      <text>
        <t>Tanım: ydv_yuzdelikOran | Neden önemli: Yurt dışı yapılanma vergi kararını etkiler | Doğru kullanım: Yüzdelik P90 | Örnek: demo satırına bakın | Yanlışsa: Efektif vergi ve karar bozulur | Kaynak: KVK md.5 / md.33</t>
      </text>
    </comment>
    <comment ref="B19" authorId="0" shapeId="0">
      <text>
        <t>Tanım: ydv_parmakIzi | Neden önemli: Yurt dışı yapılanma vergi kararını etkiler | Doğru kullanım: Dosya parmak izi etiketi | Örnek: demo satırına bakın | Yanlışsa: Efektif vergi ve karar bozulur | Kaynak: KVK md.5 / md.33</t>
      </text>
    </comment>
    <comment ref="B20" authorId="0" shapeId="0">
      <text>
        <t>Tanım: dosya_surumu | Neden önemli: Yurt dışı yapılanma vergi kararını etkiler | Doğru kullanım: Ürün sürümü | Örnek: demo satırına bakın | Yanlışsa: Efektif vergi ve karar bozulur | Kaynak: KVK md.5 / md.33</t>
      </text>
    </comment>
    <comment ref="B21" authorId="0" shapeId="0">
      <text>
        <t>Tanım: ydv_girisBeklenen | Neden önemli: Yurt dışı yapılanma vergi kararını etkiler | Doğru kullanım: Zorunlu giriş alanı sayısı | Örnek: demo satırına bakın | Yanlışsa: Efektif vergi ve karar bozulur | Kaynak: KVK md.5 / md.33</t>
      </text>
    </comment>
    <comment ref="B22" authorId="0" shapeId="0">
      <text>
        <t>Tanım: ydv_riskDusuk | Neden önemli: Yurt dışı yapılanma vergi kararını etkiler | Doğru kullanım: UYGUN risk skoru | Örnek: demo satırına bakın | Yanlışsa: Efektif vergi ve karar bozulur | Kaynak: KVK md.5 / md.33</t>
      </text>
    </comment>
    <comment ref="B23" authorId="0" shapeId="0">
      <text>
        <t>Tanım: ydv_riskOrta | Neden önemli: Yurt dışı yapılanma vergi kararını etkiler | Doğru kullanım: DİKKAT risk skoru | Örnek: demo satırına bakın | Yanlışsa: Efektif vergi ve karar bozulur | Kaynak: KVK md.5 / md.33</t>
      </text>
    </comment>
    <comment ref="B24" authorId="0" shapeId="0">
      <text>
        <t>Tanım: ydv_riskYuksek | Neden önemli: Yurt dışı yapılanma vergi kararını etkiler | Doğru kullanım: RİSKLİ risk skoru | Örnek: demo satırına bakın | Yanlışsa: Efektif vergi ve karar bozulur | Kaynak: KVK md.5 / md.33</t>
      </text>
    </comment>
    <comment ref="B25" authorId="0" shapeId="0">
      <text>
        <t>Tanım: ydv_yilTaban | Neden önemli: Yurt dışı yapılanma vergi kararını etkiler | Doğru kullanım: CHOOSE yıl tabanı | Örnek: demo satırına bakın | Yanlışsa: Efektif vergi ve karar bozulur | Kaynak: KVK md.5 / md.33</t>
      </text>
    </comment>
    <comment ref="B26" authorId="0" shapeId="0">
      <text>
        <t>Tanım: ydv_yuvarMax | Neden önemli: Yurt dışı yapılanma vergi kararını etkiler | Doğru kullanım: ROUND basamak tavanı | Örnek: demo satırına bakın | Yanlışsa: Efektif vergi ve karar bozulur | Kaynak: KVK md.5 / md.33</t>
      </text>
    </comment>
    <comment ref="B27" authorId="0" shapeId="0">
      <text>
        <t>Tanım: ydv_bazCarpan | Neden önemli: Yurt dışı yapılanma vergi kararını etkiler | Doğru kullanım: Baz senaryo çarpanı | Örnek: demo satırına bakın | Yanlışsa: Efektif vergi ve karar bozulur | Kaynak: KVK md.5 / md.33</t>
      </text>
    </comment>
    <comment ref="B28" authorId="0" shapeId="0">
      <text>
        <t>Tanım: ydv_sifirCarpan | Neden önemli: Yurt dışı yapılanma vergi kararını etkiler | Doğru kullanım: Nötr çarpan (sıfır) | Örnek: demo satırına bakın | Yanlışsa: Efektif vergi ve karar bozulur | Kaynak: KVK md.5 / md.33</t>
      </text>
    </comment>
    <comment ref="B29" authorId="0" shapeId="0">
      <text>
        <t>Tanım: ydv_siraBir | Neden önemli: Yurt dışı yapılanma vergi kararını etkiler | Doğru kullanım: Tornado sıra 1 | Örnek: demo satırına bakın | Yanlışsa: Efektif vergi ve karar bozulur | Kaynak: KVK md.5 / md.33</t>
      </text>
    </comment>
    <comment ref="B30" authorId="0" shapeId="0">
      <text>
        <t>Tanım: ydv_siraIki | Neden önemli: Yurt dışı yapılanma vergi kararını etkiler | Doğru kullanım: Tornado sıra 2 | Örnek: demo satırına bakın | Yanlışsa: Efektif vergi ve karar bozulur | Kaynak: KVK md.5 / md.33</t>
      </text>
    </comment>
    <comment ref="B31" authorId="0" shapeId="0">
      <text>
        <t>Tanım: ydv_siraUc | Neden önemli: Yurt dışı yapılanma vergi kararını etkiler | Doğru kullanım: Tornado sıra 3 | Örnek: demo satırına bakın | Yanlışsa: Efektif vergi ve karar bozulur | Kaynak: KVK md.5 / md.33</t>
      </text>
    </comment>
    <comment ref="B32" authorId="0" shapeId="0">
      <text>
        <t>Tanım: ydv_tahminX | Neden önemli: Yurt dışı yapılanma vergi kararını etkiler | Doğru kullanım: FORECAST X noktası | Örnek: demo satırına bakın | Yanlışsa: Efektif vergi ve karar bozulur | Kaynak: KVK md.5 / md.33</t>
      </text>
    </comment>
    <comment ref="B33" authorId="0" shapeId="0">
      <text>
        <t>Tanım: ydv_ofisMatrahOran | Neden önemli: Yurt dışı yapılanma vergi kararını etkiler | Doğru kullanım: Ofis TR matrah payı | Örnek: demo satırına bakın | Yanlışsa: Efektif vergi ve karar bozulur | Kaynak: KVK md.5 / md.33</t>
      </text>
    </comment>
    <comment ref="B34" authorId="0" shapeId="0">
      <text>
        <t>Tanım: ydv_dagitimOran | Neden önemli: Yurt dışı yapılanma vergi kararını etkiler | Doğru kullanım: İstisna sonrası dağıtım payı | Örnek: demo satırına bakın | Yanlışsa: Efektif vergi ve karar bozulur | Kaynak: KVK md.5 / md.33</t>
      </text>
    </comment>
    <comment ref="B35" authorId="0" shapeId="0">
      <text>
        <t>Tanım: ydv_tfBolum | Neden önemli: Yurt dışı yapılanma vergi kararını etkiler | Doğru kullanım: TF puan böleni | Örnek: demo satırına bakın | Yanlışsa: Efektif vergi ve karar bozulur | Kaynak: KVK md.5 / md.33</t>
      </text>
    </comment>
    <comment ref="B36" authorId="0" shapeId="0">
      <text>
        <t>Tanım: ydv_ekMatrahCarpan | Neden önemli: Yurt dışı yapılanma vergi kararını etkiler | Doğru kullanım: TF ek matrah çarpanı | Örnek: demo satırına bakın | Yanlışsa: Efektif vergi ve karar bozulur | Kaynak: KVK md.5 / md.33</t>
      </text>
    </comment>
    <comment ref="B37" authorId="0" shapeId="0">
      <text>
        <t>Tanım: ydv_ciftVergiEsik | Neden önemli: Yurt dışı yapılanma vergi kararını etkiler | Doğru kullanım: RİSKLİ çift vergi / kâr | Örnek: demo satırına bakın | Yanlışsa: Efektif vergi ve karar bozulur | Kaynak: KVK md.5 / md.33</t>
      </text>
    </comment>
    <comment ref="B38" authorId="0" shapeId="0">
      <text>
        <t>Tanım: ydv_dikkatEsik | Neden önemli: Yurt dışı yapılanma vergi kararını etkiler | Doğru kullanım: DİKKAT TF eşiği | Örnek: demo satırına bakın | Yanlışsa: Efektif vergi ve karar bozulur | Kaynak: KVK md.5 / md.33</t>
      </text>
    </comment>
    <comment ref="B39" authorId="0" shapeId="0">
      <text>
        <t>Tanım: ydv_dikkatCiftEsik | Neden önemli: Yurt dışı yapılanma vergi kararını etkiler | Doğru kullanım: DİKKAT çift vergi / kâr | Örnek: demo satırına bakın | Yanlışsa: Efektif vergi ve karar bozulur | Kaynak: KVK md.5 / md.33</t>
      </text>
    </comment>
    <comment ref="B40" authorId="0" shapeId="0">
      <text>
        <t>Tanım: ydv_subeEfektifEsik | Neden önemli: Yurt dışı yapılanma vergi kararını etkiler | Doğru kullanım: Şube önerisi efektif tavan | Örnek: demo satırına bakın | Yanlışsa: Efektif vergi ve karar bozulur | Kaynak: KVK md.5 / md.33</t>
      </text>
    </comment>
    <comment ref="B41" authorId="0" shapeId="0">
      <text>
        <t>Tanım: vaka_kar_1 | Neden önemli: Yurt dışı yapılanma vergi kararını etkiler | Doğru kullanım: Vaka1/2/3 kâr TL | Örnek: demo satırına bakın | Yanlışsa: Efektif vergi ve karar bozulur | Kaynak: KVK md.5 / md.33</t>
      </text>
    </comment>
    <comment ref="B42" authorId="0" shapeId="0">
      <text>
        <t>Tanım: vaka_yerel_oran | Neden önemli: Yurt dışı yapılanma vergi kararını etkiler | Doğru kullanım: Vaka1 yerel oran | Örnek: demo satırına bakın | Yanlışsa: Efektif vergi ve karar bozulur | Kaynak: KVK md.5 / md.33</t>
      </text>
    </comment>
    <comment ref="B43" authorId="0" shapeId="0">
      <text>
        <t>Tanım: vaka_tf_puan | Neden önemli: Yurt dışı yapılanma vergi kararını etkiler | Doğru kullanım: Vaka4 TF eşik beklenen | Örnek: demo satırına bakın | Yanlışsa: Efektif vergi ve karar bozulur | Kaynak: KVK md.5 / md.33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Row],[kural_id]]="","",IFERROR(CHOOSE(MAX(1,MIN(3,IF(OR(hesapYili="",hesapYili=0),1,hesapYili-ydv_yilTaban))),tblKurallar[[#This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/>
    <tableColumn id="7" name="durum">
      <calculatedColumnFormula>=IF(tblVakalar[[#This Row],[vaka_id]]="","",IFERROR(IF(ABS(tblVakalar[[#This Row],[fark]])&lt;=ydv_tolerans,"TUTARLI","KIRIK"),"KIRIK"))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L1004" headerRowCount="1">
  <tableColumns count="12">
    <tableColumn id="1" name="Senaryo"/>
    <tableColumn id="2" name="Ülke"/>
    <tableColumn id="3" name="Yapı"/>
    <tableColumn id="4" name="YDKâr"/>
    <tableColumn id="5" name="YerelOran"/>
    <tableColumn id="6" name="Stopaj"/>
    <tableColumn id="7" name="Kur"/>
    <tableColumn id="8" name="İstisna"/>
    <tableColumn id="9" name="TF"/>
    <tableColumn id="10" name="Yıl"/>
    <tableColumn id="11" name="Yorum"/>
    <tableColumn id="12" name="KârTL">
      <calculatedColumnFormula>=IF(tblOrnek[[#This Row],[Senaryo]]="","",IFERROR(tblOrnek[[#This Row],[YDKâr]]*tblOrnek[[#This Row],[Kur]],0))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3" t="inlineStr">
        <is>
          <t>EXCELARŞİV KARAR SİSTEMİ v15.1 — ÜRETİM REFERANSI</t>
        </is>
      </c>
    </row>
    <row r="3" ht="24" customHeight="1">
      <c r="A3" s="174" t="inlineStr">
        <is>
          <t>Konu</t>
        </is>
      </c>
      <c r="B3" s="174" t="inlineStr">
        <is>
          <t>Bağlayıcı Standart</t>
        </is>
      </c>
    </row>
    <row r="4">
      <c r="A4" s="175" t="inlineStr">
        <is>
          <t>Amaç</t>
        </is>
      </c>
      <c r="B4" s="176" t="inlineStr">
        <is>
          <t>Kanıta dayalı, hatada kapalı çalışan Excel üretim ve denetim sistemi</t>
        </is>
      </c>
    </row>
    <row r="5">
      <c r="A5" s="175" t="inlineStr">
        <is>
          <t>Öncelik</t>
        </is>
      </c>
      <c r="B5" s="176" t="inlineStr">
        <is>
          <t>Kullanıcının açık iş talebi ve gerçek kullanım senaryosu</t>
        </is>
      </c>
    </row>
    <row r="6">
      <c r="A6" s="175" t="inlineStr">
        <is>
          <t>Ana akış</t>
        </is>
      </c>
      <c r="B6" s="176" t="inlineStr">
        <is>
          <t>Uygunluk → Yönetişim → Sözleşmeler → Üretim → Test → Kanıt → Kullanıcı Kabulü → Yayın</t>
        </is>
      </c>
    </row>
    <row r="7">
      <c r="A7" s="175" t="inlineStr">
        <is>
          <t>Yayın ilkesi</t>
        </is>
      </c>
      <c r="B7" s="176" t="inlineStr">
        <is>
          <t>Üst aşamada hata varsa alt aşama GEÇTİ üretilemez</t>
        </is>
      </c>
    </row>
    <row r="8">
      <c r="A8" s="175" t="inlineStr">
        <is>
          <t>Kullanıcı kabulü</t>
        </is>
      </c>
      <c r="B8" s="176" t="inlineStr">
        <is>
          <t>Excel masaüstü görünümü test edilmediyse DIŞ_KABUL_GEREKLİ</t>
        </is>
      </c>
    </row>
    <row r="9">
      <c r="A9" s="175" t="inlineStr">
        <is>
          <t>Nihai yayın</t>
        </is>
      </c>
      <c r="B9" s="176" t="inlineStr">
        <is>
          <t>Yalnız uygulanabilir modüller GEÇTİ veya gerekçeli UYGULANMAZ</t>
        </is>
      </c>
    </row>
    <row r="10">
      <c r="A10" s="175" t="inlineStr">
        <is>
          <t>Ticari ayrım</t>
        </is>
      </c>
      <c r="B10" s="176" t="inlineStr">
        <is>
          <t>Ekonomik olarak savunulabilir fiyat, gerçek pazar kabulü ile aynı değildir</t>
        </is>
      </c>
    </row>
    <row r="11">
      <c r="A11" s="175" t="inlineStr">
        <is>
          <t>Karmaşıklık</t>
        </is>
      </c>
      <c r="B11" s="176" t="inlineStr">
        <is>
          <t>Karar değeri, eklenen karmaşıklığın maliyetinden büyük olmalıdır</t>
        </is>
      </c>
    </row>
    <row r="12">
      <c r="A12" s="175" t="inlineStr">
        <is>
          <t>Excel sınırı</t>
        </is>
      </c>
      <c r="B12" s="176" t="inlineStr">
        <is>
          <t>Veritabanı, kurumsal yetkilendirme, değiştirilemez kayıt sistemi veya gerçek zamanlı olay platformu değildir</t>
        </is>
      </c>
    </row>
    <row r="13">
      <c r="A13" s="175" t="inlineStr">
        <is>
          <t>Dil standardı</t>
        </is>
      </c>
      <c r="B13" s="176" t="inlineStr">
        <is>
          <t>Kullanıcıya görünen tüm sayfa, tablo, başlık, açıklama, uyarı ve karar metinleri saf Türkçe olmalıdır</t>
        </is>
      </c>
    </row>
    <row r="14">
      <c r="A14" s="175" t="inlineStr">
        <is>
          <t>Muhasebe standardı</t>
        </is>
      </c>
      <c r="B14" s="176" t="inlineStr">
        <is>
          <t>Finansal ürünlerde Türkiye Tekdüzen Hesap Planı ve Türk muhasebe kullanım alışkanlıkları esas alınır</t>
        </is>
      </c>
    </row>
    <row r="15">
      <c r="A15" s="175" t="inlineStr">
        <is>
          <t>Görsel standart</t>
        </is>
      </c>
      <c r="B15" s="176" t="inlineStr">
        <is>
          <t>Her sayfa başlıklı, renk kodlu, sıkı kolon düzenli ve premium kurumsal görünümde olmalıdır</t>
        </is>
      </c>
    </row>
    <row r="16">
      <c r="A16" s="175" t="inlineStr">
        <is>
          <t>Grafik standardı</t>
        </is>
      </c>
      <c r="B16" s="176" t="inlineStr">
        <is>
          <t>Grafikler karar üretmeli; dekoratif, 3B, anlamsız renkli veya varsayılan Excel grafiği kullanılamaz</t>
        </is>
      </c>
    </row>
    <row r="17">
      <c r="A17" s="175" t="inlineStr">
        <is>
          <t>Hata standardı</t>
        </is>
      </c>
      <c r="B17" s="176" t="inlineStr">
        <is>
          <t>#AD? / #BAŞV! / #DEĞER! / #SAYI/0! / #YOK gibi hatalar GEÇTİ sonucuyla birlikte bulunamaz</t>
        </is>
      </c>
    </row>
    <row r="18">
      <c r="A18" s="175" t="inlineStr">
        <is>
          <t>Karar standardı</t>
        </is>
      </c>
      <c r="B18" s="176" t="inlineStr">
        <is>
          <t>Her kritik çıktı: ne oldu, neden oldu, parasal etki, ne yapılmalı, ne zamana kadar sorularını cevaplar</t>
        </is>
      </c>
    </row>
    <row r="19">
      <c r="A19" s="175" t="inlineStr">
        <is>
          <t>Satış standardı</t>
        </is>
      </c>
      <c r="B19" s="176" t="inlineStr">
        <is>
          <t>Ürün 5 saniyede anlaşılmalı; pahalı problemi, ekonomik sonucu, kanıtı ve satın alma gerekçesini göstermelidir</t>
        </is>
      </c>
    </row>
    <row r="20">
      <c r="A20" s="175" t="inlineStr">
        <is>
          <t>Güven standardı</t>
        </is>
      </c>
      <c r="B20" s="176" t="inlineStr">
        <is>
          <t>Kanıtsız 'premium', 'kusursuz', 'sıfır hata' veya yüksek fiyat iddiası kullanılamaz</t>
        </is>
      </c>
    </row>
    <row r="21">
      <c r="A21" s="175" t="inlineStr">
        <is>
          <t>Kaynak</t>
        </is>
      </c>
      <c r="B21" s="176" t="inlineStr">
        <is>
          <t>Teknik Python çekirdeği 99_TEKNIK_KAYNAK sayfasında saklanır; kullanıcı arayüzü değildir</t>
        </is>
      </c>
    </row>
    <row r="22">
      <c r="A22" s="175" t="inlineStr">
        <is>
          <t>Bağlayıcı standart</t>
        </is>
      </c>
      <c r="B22" s="176" t="inlineStr">
        <is>
          <t>Teknik kaynak içindeki üretim sözleşmesi + bu çalışma kitabındaki Türkçe operasyon standartları</t>
        </is>
      </c>
    </row>
    <row r="23">
      <c r="A23" s="175" t="inlineStr">
        <is>
          <t>Çıktı disiplini</t>
        </is>
      </c>
      <c r="B23" s="176" t="inlineStr">
        <is>
          <t>Kanıtsız GEÇTİ / NİHAİ / TİCARİ / PAZAR_DOĞRULANDI statüsü yasaktır</t>
        </is>
      </c>
    </row>
    <row r="24">
      <c r="A24" s="175" t="inlineStr">
        <is>
          <t>Uyarlanabilirlik</t>
        </is>
      </c>
      <c r="B24" s="176" t="inlineStr">
        <is>
          <t>Gereksiz modül yalnız prestij amacıyla eklenmez</t>
        </is>
      </c>
    </row>
    <row r="26" ht="16" customHeight="1">
      <c r="A26" s="177" t="inlineStr">
        <is>
          <t>TEK KAYNAK MİMARİSİ</t>
        </is>
      </c>
      <c r="B26" s="177" t="inlineStr">
        <is>
          <t>İKİ DOSYALI / TEK SİSTEM</t>
        </is>
      </c>
    </row>
    <row r="27" ht="28" customHeight="1">
      <c r="A27" s="176" t="inlineStr">
        <is>
          <t>MASTER Excel</t>
        </is>
      </c>
      <c r="B27" s="176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6" t="inlineStr">
        <is>
          <t>Runtime Python</t>
        </is>
      </c>
      <c r="B28" s="176" t="inlineStr">
        <is>
          <t>EXCELARSIV_DECISION_OS_V15_1_RUNTIME_KERNEL.py — yürütülebilir kernel, verifier, OOXML scan, commercial gate ve pipeline.</t>
        </is>
      </c>
    </row>
    <row r="29">
      <c r="A29" s="176" t="inlineStr">
        <is>
          <t>Python SHA-256</t>
        </is>
      </c>
      <c r="B29" s="176" t="inlineStr">
        <is>
          <t>babe066ab599199123e53d01944bcd9d75648a579ade69ab9303dd675962f481</t>
        </is>
      </c>
    </row>
    <row r="30">
      <c r="A30" s="176" t="inlineStr">
        <is>
          <t>Sürüm Eşleşmesi</t>
        </is>
      </c>
      <c r="B30" s="176" t="inlineStr">
        <is>
          <t>Her iki dosya v15.1 sistemine aittir. Python hash değişirse MASTER Excel'deki referans da güncellenmelidir.</t>
        </is>
      </c>
    </row>
    <row r="31" ht="28" customHeight="1">
      <c r="A31" s="176" t="inlineStr">
        <is>
          <t>Sahte PASS Yasağı</t>
        </is>
      </c>
      <c r="B31" s="176" t="inlineStr">
        <is>
          <t>Kanıt yoksa PASS yok; hata=FAIL, ölçülemiyorsa=BLOCKED, Excel GUI gerekiyorsa=HARİCİ KABUL GEREKLİ.</t>
        </is>
      </c>
    </row>
    <row r="32">
      <c r="A32" s="176" t="inlineStr">
        <is>
          <t>Dil</t>
        </is>
      </c>
      <c r="B32" s="176" t="inlineStr">
        <is>
          <t>Kullanıcı yüzeyi safkan Türkçe; teknik kavramların Türkçe karşılığı ana terimdir.</t>
        </is>
      </c>
    </row>
    <row r="33">
      <c r="A33" s="176" t="inlineStr">
        <is>
          <t>Muhasebe</t>
        </is>
      </c>
      <c r="B33" s="176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80" t="inlineStr">
        <is>
          <t>☰ PANO</t>
        </is>
      </c>
    </row>
    <row r="2">
      <c r="B2" s="96" t="inlineStr">
        <is>
          <t>YURT DISI YAPILANMA VERGI SIMULATORU — YÖNETİM VE KARAR SİSTEMİ</t>
        </is>
      </c>
      <c r="L2" s="97" t="inlineStr">
        <is>
          <t>Dönem: 2026 / Tam ▼</t>
        </is>
      </c>
      <c r="M2" s="98" t="inlineStr">
        <is>
          <t>★ DOĞRULANMIŞ</t>
        </is>
      </c>
    </row>
    <row r="3">
      <c r="B3" s="99" t="inlineStr">
        <is>
          <t>Yönetici Karar Kokpiti, Otomatik Doğrulama ve Dinamik Hesaplama Sistemi · 2026</t>
        </is>
      </c>
    </row>
    <row r="5">
      <c r="B5" s="100" t="inlineStr">
        <is>
          <t>TOPLAM İŞLEM HACMİ</t>
        </is>
      </c>
      <c r="C5" s="101" t="n"/>
      <c r="D5" s="102" t="inlineStr">
        <is>
          <t>DOĞRULANMIŞ</t>
        </is>
      </c>
      <c r="E5" s="103" t="inlineStr">
        <is>
          <t>RİSKLİ / BEKLEYEN İŞLEM</t>
        </is>
      </c>
      <c r="F5" s="101" t="n"/>
      <c r="G5" s="104" t="inlineStr">
        <is>
          <t>MİNİMUM</t>
        </is>
      </c>
      <c r="H5" s="100" t="inlineStr">
        <is>
          <t>OPERASYONEL NET MARJ</t>
        </is>
      </c>
      <c r="I5" s="101" t="n"/>
      <c r="J5" s="105" t="inlineStr">
        <is>
          <t>GÜVENLİ</t>
        </is>
      </c>
      <c r="K5" s="106" t="inlineStr">
        <is>
          <t>SİSTEM GÜVEN SKORU</t>
        </is>
      </c>
      <c r="L5" s="101" t="n"/>
      <c r="M5" s="102" t="inlineStr">
        <is>
          <t>DENETLENDİ</t>
        </is>
      </c>
    </row>
    <row r="6">
      <c r="B6" s="107" t="n"/>
      <c r="C6" s="101" t="n"/>
      <c r="D6" s="101" t="n"/>
      <c r="E6" s="108" t="n"/>
      <c r="F6" s="101" t="n"/>
      <c r="G6" s="101" t="n"/>
      <c r="H6" s="107" t="n"/>
      <c r="I6" s="101" t="n"/>
      <c r="J6" s="101" t="n"/>
      <c r="K6" s="109" t="n"/>
      <c r="L6" s="101" t="n"/>
      <c r="M6" s="101" t="n"/>
    </row>
    <row r="7">
      <c r="B7" s="110" t="inlineStr">
        <is>
          <t>₺28.450.000</t>
        </is>
      </c>
      <c r="C7" s="101" t="n"/>
      <c r="D7" s="101" t="n"/>
      <c r="E7" s="111" t="inlineStr">
        <is>
          <t>₺940.000</t>
        </is>
      </c>
      <c r="F7" s="101" t="n"/>
      <c r="G7" s="101" t="n"/>
      <c r="H7" s="110" t="inlineStr">
        <is>
          <t>₺8.120.000</t>
        </is>
      </c>
      <c r="I7" s="101" t="n"/>
      <c r="J7" s="101" t="n"/>
      <c r="K7" s="112" t="inlineStr">
        <is>
          <t>98/100</t>
        </is>
      </c>
      <c r="L7" s="101" t="n"/>
      <c r="M7" s="101" t="n"/>
    </row>
    <row r="8">
      <c r="B8" s="107" t="n"/>
      <c r="C8" s="101" t="n"/>
      <c r="D8" s="101" t="n"/>
      <c r="E8" s="108" t="n"/>
      <c r="F8" s="101" t="n"/>
      <c r="G8" s="101" t="n"/>
      <c r="H8" s="107" t="n"/>
      <c r="I8" s="101" t="n"/>
      <c r="J8" s="101" t="n"/>
      <c r="K8" s="109" t="n"/>
      <c r="L8" s="101" t="n"/>
      <c r="M8" s="101" t="n"/>
    </row>
    <row r="9">
      <c r="B9" s="113" t="inlineStr">
        <is>
          <t>↑ Konsolide yıllıklandırılmış büyüme</t>
        </is>
      </c>
      <c r="C9" s="101" t="n"/>
      <c r="D9" s="101" t="n"/>
      <c r="E9" s="114" t="inlineStr">
        <is>
          <t>● Tüm riskli kayıtlar kontrol altında</t>
        </is>
      </c>
      <c r="F9" s="101" t="n"/>
      <c r="G9" s="101" t="n"/>
      <c r="H9" s="113" t="inlineStr">
        <is>
          <t>██████████░░░░░ %28.5 NET MARJ</t>
        </is>
      </c>
      <c r="I9" s="101" t="n"/>
      <c r="J9" s="101" t="n"/>
      <c r="K9" s="115" t="inlineStr">
        <is>
          <t>✓ 0 Formül ve Döngüsel Hata</t>
        </is>
      </c>
      <c r="L9" s="101" t="n"/>
      <c r="M9" s="101" t="n"/>
    </row>
    <row r="11">
      <c r="B11" s="94" t="inlineStr">
        <is>
          <t>12 AYLIK NAKİT GİRİŞ / ÇIKIŞ &amp; LİKİDİTE BAŞARIMI</t>
        </is>
      </c>
      <c r="F11" s="116" t="inlineStr">
        <is>
          <t>+%32 Verim</t>
        </is>
      </c>
      <c r="H11" s="94" t="inlineStr">
        <is>
          <t>KONSOLİDE OPERASYON VE KARAR MATRİSİ</t>
        </is>
      </c>
    </row>
    <row r="12">
      <c r="B12" s="93" t="inlineStr">
        <is>
          <t>Kümülatif Tahsilat vs. Tedarikçi/Kredi Ödeme Projeksiyonu</t>
        </is>
      </c>
      <c r="H12" s="93" t="inlineStr">
        <is>
          <t>Anlık Hesaplama Sonuçları, Dinamik Formül Çıktıları ve Durum Puanlaması</t>
        </is>
      </c>
    </row>
    <row r="14">
      <c r="B14" s="117" t="inlineStr">
        <is>
          <t>Dönem</t>
        </is>
      </c>
      <c r="C14" s="117" t="inlineStr">
        <is>
          <t>Aktif Hacim</t>
        </is>
      </c>
      <c r="D14" s="117" t="inlineStr">
        <is>
          <t>Maliyet/Yük</t>
        </is>
      </c>
      <c r="E14" s="117" t="inlineStr">
        <is>
          <t>Hedef</t>
        </is>
      </c>
      <c r="H14" s="118" t="inlineStr">
        <is>
          <t>PARAMETRE / KALEM</t>
        </is>
      </c>
      <c r="I14" s="118" t="inlineStr">
        <is>
          <t>ANA TUTAR</t>
        </is>
      </c>
      <c r="J14" s="118" t="inlineStr">
        <is>
          <t>FARK / MARJ</t>
        </is>
      </c>
      <c r="K14" s="118" t="inlineStr">
        <is>
          <t>VADE</t>
        </is>
      </c>
      <c r="L14" s="118" t="inlineStr">
        <is>
          <t>KONTROL DURUMU</t>
        </is>
      </c>
    </row>
    <row r="15">
      <c r="B15" s="93" t="inlineStr">
        <is>
          <t>D1</t>
        </is>
      </c>
      <c r="C15" s="93" t="n">
        <v>65</v>
      </c>
      <c r="D15" s="93" t="n">
        <v>45</v>
      </c>
      <c r="E15" s="93" t="n">
        <v>60</v>
      </c>
      <c r="H15" s="119" t="inlineStr">
        <is>
          <t>13 haftalık kümülatif bakiye...</t>
        </is>
      </c>
      <c r="I15" s="119" t="inlineStr">
        <is>
          <t>₺8.450.000</t>
        </is>
      </c>
      <c r="J15" s="120" t="inlineStr">
        <is>
          <t>₺425.000</t>
        </is>
      </c>
      <c r="K15" s="121" t="inlineStr">
        <is>
          <t>12 Ay</t>
        </is>
      </c>
      <c r="L15" s="105" t="inlineStr">
        <is>
          <t>✓ DÜZENLİ</t>
        </is>
      </c>
    </row>
    <row r="16">
      <c r="B16" s="93" t="inlineStr">
        <is>
          <t>D2</t>
        </is>
      </c>
      <c r="C16" s="93" t="n">
        <v>78</v>
      </c>
      <c r="D16" s="93" t="n">
        <v>48</v>
      </c>
      <c r="E16" s="93" t="n">
        <v>70</v>
      </c>
      <c r="H16" s="119" t="inlineStr">
        <is>
          <t>Kritik (eksi) hafta uyarısı</t>
        </is>
      </c>
      <c r="I16" s="119" t="inlineStr">
        <is>
          <t>₺12.200.000</t>
        </is>
      </c>
      <c r="J16" s="120" t="inlineStr">
        <is>
          <t>₺580.400</t>
        </is>
      </c>
      <c r="K16" s="121" t="inlineStr">
        <is>
          <t>24 Ay</t>
        </is>
      </c>
      <c r="L16" s="102" t="inlineStr">
        <is>
          <t>★ AVANTAJ</t>
        </is>
      </c>
    </row>
    <row r="17">
      <c r="B17" s="93" t="inlineStr">
        <is>
          <t>D3</t>
        </is>
      </c>
      <c r="C17" s="93" t="n">
        <v>85</v>
      </c>
      <c r="D17" s="93" t="n">
        <v>55</v>
      </c>
      <c r="E17" s="93" t="n">
        <v>80</v>
      </c>
      <c r="H17" s="119" t="inlineStr">
        <is>
          <t>Dönem net nakit değişimi</t>
        </is>
      </c>
      <c r="I17" s="119" t="inlineStr">
        <is>
          <t>₺4.850.000</t>
        </is>
      </c>
      <c r="J17" s="120" t="inlineStr">
        <is>
          <t>₺235.200</t>
        </is>
      </c>
      <c r="K17" s="121" t="inlineStr">
        <is>
          <t>8 Ay</t>
        </is>
      </c>
      <c r="L17" s="122" t="inlineStr">
        <is>
          <t>● YAKLAŞAN</t>
        </is>
      </c>
    </row>
    <row r="18">
      <c r="B18" s="93" t="inlineStr">
        <is>
          <t>D4</t>
        </is>
      </c>
      <c r="C18" s="93" t="n">
        <v>75</v>
      </c>
      <c r="D18" s="93" t="n">
        <v>42</v>
      </c>
      <c r="E18" s="93" t="n">
        <v>75</v>
      </c>
      <c r="H18" s="119" t="inlineStr">
        <is>
          <t>13 haftalık kümülatif bakiye...</t>
        </is>
      </c>
      <c r="I18" s="119" t="inlineStr">
        <is>
          <t>₺2.140.000</t>
        </is>
      </c>
      <c r="J18" s="120" t="inlineStr">
        <is>
          <t>₺118.000</t>
        </is>
      </c>
      <c r="K18" s="121" t="inlineStr">
        <is>
          <t>16 Ay</t>
        </is>
      </c>
      <c r="L18" s="105" t="inlineStr">
        <is>
          <t>✓ TAM UYUM</t>
        </is>
      </c>
    </row>
    <row r="19">
      <c r="B19" s="93" t="inlineStr">
        <is>
          <t>D5</t>
        </is>
      </c>
      <c r="C19" s="93" t="n">
        <v>90</v>
      </c>
      <c r="D19" s="93" t="n">
        <v>40</v>
      </c>
      <c r="E19" s="93" t="n">
        <v>85</v>
      </c>
      <c r="H19" s="123" t="inlineStr">
        <is>
          <t>KONSOLİDE SİSTEM TOPLAMI</t>
        </is>
      </c>
      <c r="I19" s="124" t="inlineStr">
        <is>
          <t>₺42.850.000</t>
        </is>
      </c>
      <c r="J19" s="125" t="inlineStr">
        <is>
          <t>₺3.420.000</t>
        </is>
      </c>
      <c r="K19" s="126" t="inlineStr"/>
      <c r="L19" s="127" t="inlineStr">
        <is>
          <t>TAM DOĞRULANDI (0 HATA)</t>
        </is>
      </c>
    </row>
    <row r="20">
      <c r="B20" s="93" t="inlineStr">
        <is>
          <t>D6</t>
        </is>
      </c>
      <c r="C20" s="93" t="n">
        <v>96</v>
      </c>
      <c r="D20" s="93" t="n">
        <v>32</v>
      </c>
      <c r="E20" s="93" t="n">
        <v>92</v>
      </c>
    </row>
    <row r="22">
      <c r="B22" s="128" t="inlineStr">
        <is>
          <t>KONSOLİDE PAY VE AĞIRLIK</t>
        </is>
      </c>
      <c r="F22" s="128" t="inlineStr">
        <is>
          <t>LİKİDİTE RİSKİ &amp; ERKEN UYARI SİNYALLERİ</t>
        </is>
      </c>
      <c r="K22" s="129" t="inlineStr">
        <is>
          <t>KARAR MOTORU</t>
        </is>
      </c>
      <c r="L22" s="130" t="n"/>
      <c r="M22" s="130" t="n"/>
    </row>
    <row r="23">
      <c r="B23" s="78" t="inlineStr">
        <is>
          <t>■ Ana Segment (%42)</t>
        </is>
      </c>
      <c r="F23" s="93" t="inlineStr">
        <is>
          <t>Nakit Açığı Riski (30 Gün)</t>
        </is>
      </c>
      <c r="I23" s="131" t="inlineStr">
        <is>
          <t>0.00 TL (Sıfır Risk)</t>
        </is>
      </c>
      <c r="K23" s="132" t="inlineStr">
        <is>
          <t>OPERASYONEL VERİMLİLİK FIRSATI</t>
        </is>
      </c>
      <c r="L23" s="130" t="n"/>
      <c r="M23" s="130" t="n"/>
    </row>
    <row r="24">
      <c r="B24" s="79" t="inlineStr">
        <is>
          <t>■ İkincil Grup (%30)</t>
        </is>
      </c>
      <c r="F24" s="93" t="inlineStr">
        <is>
          <t>Tahsilat Gecikme Toleransı</t>
        </is>
      </c>
      <c r="I24" s="131" t="inlineStr">
        <is>
          <t>48 Gün Güvenli Eşik</t>
        </is>
      </c>
      <c r="K24" s="133" t="inlineStr">
        <is>
          <t>Süreç optimizasyonuyla birim operasyonel maliyeti düşürme potansiyeli mevcuttur.</t>
        </is>
      </c>
    </row>
    <row r="25">
      <c r="B25" s="134" t="inlineStr">
        <is>
          <t>■ Destek Birimi (%15)</t>
        </is>
      </c>
      <c r="F25" s="78" t="inlineStr">
        <is>
          <t>██████████████████████████████████████ Güvenli Bölge (%100)</t>
        </is>
      </c>
    </row>
    <row r="26">
      <c r="B26" s="135" t="inlineStr">
        <is>
          <t>■ Rezervler (%13)</t>
        </is>
      </c>
      <c r="F26" s="136" t="inlineStr">
        <is>
          <t>✓ 90 GÜNLÜK PROJEKSİYONDA NAKİT SIKIŞIKLIĞI TESPİT EDİLMEDİ</t>
        </is>
      </c>
      <c r="K26" s="137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80" t="inlineStr">
        <is>
          <t>☰ PANO</t>
        </is>
      </c>
    </row>
    <row r="3">
      <c r="B3" s="138" t="inlineStr">
        <is>
          <t>🔍  Kayıt veya hesap ara...</t>
        </is>
      </c>
      <c r="G3" s="139" t="inlineStr">
        <is>
          <t>TOPLAM: 1.450 KAYIT</t>
        </is>
      </c>
      <c r="I3" s="140" t="inlineStr">
        <is>
          <t>HATALI HÜCRE: 0 ADET</t>
        </is>
      </c>
    </row>
    <row r="5">
      <c r="B5" s="141" t="inlineStr">
        <is>
          <t>TARİH</t>
        </is>
      </c>
      <c r="C5" s="141" t="inlineStr">
        <is>
          <t>REFERANS NO</t>
        </is>
      </c>
      <c r="D5" s="141" t="inlineStr">
        <is>
          <t>İŞLEM AÇIKLAMASI VE DETAY</t>
        </is>
      </c>
      <c r="E5" s="141" t="inlineStr">
        <is>
          <t>BRÜT TUTAR (₺)</t>
        </is>
      </c>
      <c r="F5" s="141" t="inlineStr">
        <is>
          <t>KDV ORANI</t>
        </is>
      </c>
      <c r="G5" s="141" t="inlineStr">
        <is>
          <t>NET TUTAR (₺)</t>
        </is>
      </c>
      <c r="H5" s="141" t="inlineStr">
        <is>
          <t>HESAP / CARİ</t>
        </is>
      </c>
      <c r="I5" s="141" t="inlineStr">
        <is>
          <t>DURUM</t>
        </is>
      </c>
    </row>
    <row r="6">
      <c r="B6" s="142" t="inlineStr">
        <is>
          <t>12.10.2026</t>
        </is>
      </c>
      <c r="C6" s="143" t="inlineStr">
        <is>
          <t>TR-0428-A</t>
        </is>
      </c>
      <c r="D6" s="144" t="inlineStr">
        <is>
          <t>Haftalık operasyon tahmini</t>
        </is>
      </c>
      <c r="E6" s="145" t="n">
        <v>845200</v>
      </c>
      <c r="F6" s="146" t="n">
        <v>0.2</v>
      </c>
      <c r="G6" s="147">
        <f>E6/(1+F6)</f>
        <v/>
      </c>
      <c r="H6" s="144" t="inlineStr">
        <is>
          <t>Vadesiz Ticari</t>
        </is>
      </c>
      <c r="I6" s="148" t="inlineStr">
        <is>
          <t>ONAYLANDI</t>
        </is>
      </c>
    </row>
    <row r="7">
      <c r="B7" s="149" t="inlineStr">
        <is>
          <t>14.10.2026</t>
        </is>
      </c>
      <c r="C7" s="150" t="inlineStr">
        <is>
          <t>TR-0429-B</t>
        </is>
      </c>
      <c r="D7" s="151" t="inlineStr">
        <is>
          <t>Haftalık operasyon tahmini</t>
        </is>
      </c>
      <c r="E7" s="152" t="n">
        <v>1240000</v>
      </c>
      <c r="F7" s="153" t="n">
        <v>0.2</v>
      </c>
      <c r="G7" s="154">
        <f>E7/(1+F7)</f>
        <v/>
      </c>
      <c r="H7" s="151" t="inlineStr">
        <is>
          <t>Tedarikçi Havuzu</t>
        </is>
      </c>
      <c r="I7" s="155" t="inlineStr">
        <is>
          <t>BEKLEMEDE</t>
        </is>
      </c>
    </row>
    <row r="8">
      <c r="B8" s="142" t="inlineStr">
        <is>
          <t>18.10.2026</t>
        </is>
      </c>
      <c r="C8" s="143" t="inlineStr">
        <is>
          <t>TR-0430-C</t>
        </is>
      </c>
      <c r="D8" s="144" t="inlineStr">
        <is>
          <t>Ödeme takvimi notları</t>
        </is>
      </c>
      <c r="E8" s="145" t="n">
        <v>620500</v>
      </c>
      <c r="F8" s="146" t="n">
        <v>0.1</v>
      </c>
      <c r="G8" s="147">
        <f>E8/(1+F8)</f>
        <v/>
      </c>
      <c r="H8" s="144" t="inlineStr">
        <is>
          <t>Kısa Vade Tahakkuk</t>
        </is>
      </c>
      <c r="I8" s="148" t="inlineStr">
        <is>
          <t>ONAYLANDI</t>
        </is>
      </c>
    </row>
    <row r="9">
      <c r="B9" s="149" t="inlineStr">
        <is>
          <t>21.10.2026</t>
        </is>
      </c>
      <c r="C9" s="150" t="inlineStr">
        <is>
          <t>TR-0431-D</t>
        </is>
      </c>
      <c r="D9" s="151" t="inlineStr">
        <is>
          <t>Haftalık operasyon tahmini</t>
        </is>
      </c>
      <c r="E9" s="152" t="n">
        <v>415000</v>
      </c>
      <c r="F9" s="153" t="n">
        <v>0.2</v>
      </c>
      <c r="G9" s="154">
        <f>E9/(1+F9)</f>
        <v/>
      </c>
      <c r="H9" s="151" t="inlineStr">
        <is>
          <t>Müşteri Alacağı</t>
        </is>
      </c>
      <c r="I9" s="156" t="inlineStr">
        <is>
          <t>ONAYLANDI</t>
        </is>
      </c>
    </row>
    <row r="10">
      <c r="B10" s="142" t="inlineStr">
        <is>
          <t>25.10.2026</t>
        </is>
      </c>
      <c r="C10" s="143" t="inlineStr">
        <is>
          <t>TR-0432-E</t>
        </is>
      </c>
      <c r="D10" s="144" t="inlineStr">
        <is>
          <t>Haftalık operasyon tahmini</t>
        </is>
      </c>
      <c r="E10" s="145" t="n">
        <v>980400</v>
      </c>
      <c r="F10" s="146" t="n">
        <v>0.2</v>
      </c>
      <c r="G10" s="147">
        <f>E10/(1+F10)</f>
        <v/>
      </c>
      <c r="H10" s="144" t="inlineStr">
        <is>
          <t>Vadesiz Ticari</t>
        </is>
      </c>
      <c r="I10" s="148" t="inlineStr">
        <is>
          <t>ONAYLANDI</t>
        </is>
      </c>
    </row>
    <row r="11">
      <c r="B11" s="149" t="inlineStr">
        <is>
          <t>28.10.2026</t>
        </is>
      </c>
      <c r="C11" s="150" t="inlineStr">
        <is>
          <t>TR-0433-F</t>
        </is>
      </c>
      <c r="D11" s="151" t="inlineStr">
        <is>
          <t>Haftalık operasyon tahmini</t>
        </is>
      </c>
      <c r="E11" s="152" t="n">
        <v>1850000</v>
      </c>
      <c r="F11" s="153" t="n">
        <v>0.2</v>
      </c>
      <c r="G11" s="154">
        <f>E11/(1+F11)</f>
        <v/>
      </c>
      <c r="H11" s="151" t="inlineStr">
        <is>
          <t>Banka Kredi Taksiti</t>
        </is>
      </c>
      <c r="I11" s="157" t="inlineStr">
        <is>
          <t>BLOKE</t>
        </is>
      </c>
    </row>
    <row r="12">
      <c r="B12" s="142" t="inlineStr">
        <is>
          <t>02.11.2026</t>
        </is>
      </c>
      <c r="C12" s="143" t="inlineStr">
        <is>
          <t>TR-0434-G</t>
        </is>
      </c>
      <c r="D12" s="144" t="inlineStr">
        <is>
          <t>Ödeme takvimi notları</t>
        </is>
      </c>
      <c r="E12" s="145" t="n">
        <v>740000</v>
      </c>
      <c r="F12" s="146" t="n">
        <v>0.2</v>
      </c>
      <c r="G12" s="147">
        <f>E12/(1+F12)</f>
        <v/>
      </c>
      <c r="H12" s="144" t="inlineStr">
        <is>
          <t>Kira &amp; Sabit Gider</t>
        </is>
      </c>
      <c r="I12" s="148" t="inlineStr">
        <is>
          <t>ONAYLANDI</t>
        </is>
      </c>
    </row>
    <row r="13">
      <c r="B13" s="149" t="inlineStr">
        <is>
          <t>05.11.2026</t>
        </is>
      </c>
      <c r="C13" s="150" t="inlineStr">
        <is>
          <t>TR-0435-H</t>
        </is>
      </c>
      <c r="D13" s="151" t="inlineStr">
        <is>
          <t>Haftalık operasyon tahmini</t>
        </is>
      </c>
      <c r="E13" s="152" t="n">
        <v>520800</v>
      </c>
      <c r="F13" s="153" t="n">
        <v>0.2</v>
      </c>
      <c r="G13" s="154">
        <f>E13/(1+F13)</f>
        <v/>
      </c>
      <c r="H13" s="151" t="inlineStr">
        <is>
          <t>Vadesiz Ticari</t>
        </is>
      </c>
      <c r="I13" s="156" t="inlineStr">
        <is>
          <t>ONAYLANDI</t>
        </is>
      </c>
    </row>
    <row r="14">
      <c r="B14" s="142" t="inlineStr">
        <is>
          <t>09.11.2026</t>
        </is>
      </c>
      <c r="C14" s="143" t="inlineStr">
        <is>
          <t>TR-0436-I</t>
        </is>
      </c>
      <c r="D14" s="144" t="inlineStr">
        <is>
          <t>Haftalık operasyon tahmini</t>
        </is>
      </c>
      <c r="E14" s="145" t="n">
        <v>1120000</v>
      </c>
      <c r="F14" s="146" t="n">
        <v>0.2</v>
      </c>
      <c r="G14" s="147">
        <f>E14/(1+F14)</f>
        <v/>
      </c>
      <c r="H14" s="144" t="inlineStr">
        <is>
          <t>Müşteri Alacağı</t>
        </is>
      </c>
      <c r="I14" s="148" t="inlineStr">
        <is>
          <t>ONAYLANDI</t>
        </is>
      </c>
    </row>
    <row r="15">
      <c r="B15" s="149" t="inlineStr">
        <is>
          <t>12.11.2026</t>
        </is>
      </c>
      <c r="C15" s="150" t="inlineStr">
        <is>
          <t>TR-0437-J</t>
        </is>
      </c>
      <c r="D15" s="151" t="inlineStr">
        <is>
          <t>Haftalık operasyon tahmini</t>
        </is>
      </c>
      <c r="E15" s="152" t="n">
        <v>890000</v>
      </c>
      <c r="F15" s="153" t="n">
        <v>0.2</v>
      </c>
      <c r="G15" s="154">
        <f>E15/(1+F15)</f>
        <v/>
      </c>
      <c r="H15" s="151" t="inlineStr">
        <is>
          <t>Tedarikçi Havuzu</t>
        </is>
      </c>
      <c r="I15" s="156" t="inlineStr">
        <is>
          <t>ONAYLANDI</t>
        </is>
      </c>
    </row>
    <row r="17">
      <c r="B17" s="158" t="inlineStr">
        <is>
          <t>SAYFA TOPLAMI (10 / 1.450 KAYIT)</t>
        </is>
      </c>
      <c r="C17" s="126" t="n"/>
      <c r="D17" s="126" t="n"/>
      <c r="E17" s="159">
        <f>TOPLA(E6:E15)</f>
        <v/>
      </c>
      <c r="F17" s="126" t="n"/>
      <c r="G17" s="126" t="n"/>
      <c r="H17" s="126" t="n"/>
      <c r="I17" s="126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80" t="inlineStr">
        <is>
          <t>☰ PANO</t>
        </is>
      </c>
    </row>
    <row r="2">
      <c r="B2" s="160" t="inlineStr">
        <is>
          <t>YURT DISI YAPILANMA VERGI SIMULATORU — YÖNETİM VE KARAR SİSTEMİ — NİHAİ KARAR VE DEĞERLEME</t>
        </is>
      </c>
    </row>
    <row r="3">
      <c r="B3" s="161" t="inlineStr">
        <is>
          <t>Yönetim Kurulu ve İcra Komitesi için Otomatik Türetilen Finansal Stres Testi Raporu</t>
        </is>
      </c>
    </row>
    <row r="4">
      <c r="B4" s="162" t="inlineStr">
        <is>
          <t>DÖNEM: 2026 Q3 · DENETİM PROTOKOLÜ: ISO/VUK/IFRS UYUMLU · DURUM: ONAYLANDI</t>
        </is>
      </c>
    </row>
    <row r="6">
      <c r="B6" s="163" t="inlineStr">
        <is>
          <t>SENARYO A: KÖTÜMSER (STRES TESTİ -%20)</t>
        </is>
      </c>
      <c r="C6" s="101" t="n"/>
      <c r="D6" s="101" t="n"/>
      <c r="E6" s="101" t="n"/>
      <c r="F6" s="101" t="n"/>
      <c r="H6" s="164" t="inlineStr">
        <is>
          <t>SENARYO B: BAZ MODEL (HEDEFLENEN)</t>
        </is>
      </c>
      <c r="I6" s="101" t="n"/>
      <c r="J6" s="101" t="n"/>
      <c r="K6" s="101" t="n"/>
      <c r="L6" s="101" t="n"/>
    </row>
    <row r="7">
      <c r="B7" s="101" t="n"/>
      <c r="C7" s="101" t="n"/>
      <c r="D7" s="101" t="n"/>
      <c r="E7" s="101" t="n"/>
      <c r="F7" s="101" t="n"/>
      <c r="H7" s="101" t="n"/>
      <c r="I7" s="101" t="n"/>
      <c r="J7" s="101" t="n"/>
      <c r="K7" s="101" t="n"/>
      <c r="L7" s="101" t="n"/>
    </row>
    <row r="8">
      <c r="B8" s="165" t="inlineStr">
        <is>
          <t>Ciro / Hacim Düşüşü:</t>
        </is>
      </c>
      <c r="C8" s="101" t="n"/>
      <c r="D8" s="101" t="n"/>
      <c r="E8" s="166" t="inlineStr">
        <is>
          <t>-%20.0 (Kriz Eşiği)</t>
        </is>
      </c>
      <c r="F8" s="101" t="n"/>
      <c r="H8" s="165" t="inlineStr">
        <is>
          <t>Ciro / Hacim Gerçekleşmesi:</t>
        </is>
      </c>
      <c r="I8" s="101" t="n"/>
      <c r="J8" s="101" t="n"/>
      <c r="K8" s="167" t="inlineStr">
        <is>
          <t>%100.0 (Tam Bütçe)</t>
        </is>
      </c>
      <c r="L8" s="101" t="n"/>
    </row>
    <row r="9">
      <c r="B9" s="165" t="inlineStr">
        <is>
          <t>Beklenen Net Kâr / Getiri:</t>
        </is>
      </c>
      <c r="C9" s="101" t="n"/>
      <c r="D9" s="101" t="n"/>
      <c r="E9" s="168" t="inlineStr">
        <is>
          <t>₺4.280.000</t>
        </is>
      </c>
      <c r="F9" s="101" t="n"/>
      <c r="H9" s="165" t="inlineStr">
        <is>
          <t>Beklenen Net Kâr / Getiri:</t>
        </is>
      </c>
      <c r="I9" s="101" t="n"/>
      <c r="J9" s="101" t="n"/>
      <c r="K9" s="168" t="inlineStr">
        <is>
          <t>₺12.450.000</t>
        </is>
      </c>
      <c r="L9" s="101" t="n"/>
    </row>
    <row r="10">
      <c r="B10" s="165" t="inlineStr">
        <is>
          <t>Minimum Nakit Tamponu:</t>
        </is>
      </c>
      <c r="C10" s="101" t="n"/>
      <c r="D10" s="101" t="n"/>
      <c r="E10" s="169" t="inlineStr">
        <is>
          <t>₺1.850.000 (Yeterli)</t>
        </is>
      </c>
      <c r="F10" s="101" t="n"/>
      <c r="H10" s="165" t="inlineStr">
        <is>
          <t>Serbest Nakit Akımı:</t>
        </is>
      </c>
      <c r="I10" s="101" t="n"/>
      <c r="J10" s="101" t="n"/>
      <c r="K10" s="169" t="inlineStr">
        <is>
          <t>₺8.240.000</t>
        </is>
      </c>
      <c r="L10" s="101" t="n"/>
    </row>
    <row r="11">
      <c r="B11" s="165" t="inlineStr">
        <is>
          <t>Likidite Karşılama Oranı:</t>
        </is>
      </c>
      <c r="C11" s="101" t="n"/>
      <c r="D11" s="101" t="n"/>
      <c r="E11" s="169" t="inlineStr">
        <is>
          <t>1.28x (Eşik: 1.10x)</t>
        </is>
      </c>
      <c r="F11" s="101" t="n"/>
      <c r="H11" s="165" t="inlineStr">
        <is>
          <t>Yatırım Geri Dönüşü (ROI):</t>
        </is>
      </c>
      <c r="I11" s="101" t="n"/>
      <c r="J11" s="101" t="n"/>
      <c r="K11" s="169" t="inlineStr">
        <is>
          <t>%38.4 Yıllık</t>
        </is>
      </c>
      <c r="L11" s="101" t="n"/>
    </row>
    <row r="12">
      <c r="B12" s="101" t="n"/>
      <c r="C12" s="101" t="n"/>
      <c r="D12" s="101" t="n"/>
      <c r="E12" s="101" t="n"/>
      <c r="F12" s="101" t="n"/>
      <c r="H12" s="101" t="n"/>
      <c r="I12" s="101" t="n"/>
      <c r="J12" s="101" t="n"/>
      <c r="K12" s="101" t="n"/>
      <c r="L12" s="101" t="n"/>
    </row>
    <row r="13">
      <c r="B13" s="101" t="n"/>
      <c r="C13" s="101" t="n"/>
      <c r="D13" s="101" t="n"/>
      <c r="E13" s="101" t="n"/>
      <c r="F13" s="101" t="n"/>
      <c r="H13" s="101" t="n"/>
      <c r="I13" s="101" t="n"/>
      <c r="J13" s="101" t="n"/>
      <c r="K13" s="101" t="n"/>
      <c r="L13" s="101" t="n"/>
    </row>
    <row r="14">
      <c r="B14" s="170" t="inlineStr">
        <is>
          <t>STRES SENARYOSUNDA DAHİ İFLAS RİSKİ YOK</t>
        </is>
      </c>
      <c r="C14" s="101" t="n"/>
      <c r="D14" s="101" t="n"/>
      <c r="E14" s="101" t="n"/>
      <c r="F14" s="101" t="n"/>
      <c r="H14" s="171" t="inlineStr">
        <is>
          <t>OPTİMUM İCRA VE PLANLAMA REÇETESİ</t>
        </is>
      </c>
      <c r="I14" s="101" t="n"/>
      <c r="J14" s="101" t="n"/>
      <c r="K14" s="101" t="n"/>
      <c r="L14" s="101" t="n"/>
    </row>
    <row r="15">
      <c r="B15" s="101" t="n"/>
      <c r="C15" s="101" t="n"/>
      <c r="D15" s="101" t="n"/>
      <c r="E15" s="101" t="n"/>
      <c r="F15" s="101" t="n"/>
      <c r="H15" s="101" t="n"/>
      <c r="I15" s="101" t="n"/>
      <c r="J15" s="101" t="n"/>
      <c r="K15" s="101" t="n"/>
      <c r="L15" s="101" t="n"/>
    </row>
    <row r="17">
      <c r="B17" s="81" t="inlineStr">
        <is>
          <t>YÖNETİM KARAR MATRİSİ VE UYGULAMA REÇETESİ</t>
        </is>
      </c>
    </row>
    <row r="19">
      <c r="B19" s="128" t="inlineStr">
        <is>
          <t>●  Öncelik 1: Acil Likidite ve Borç Servis Planlaması</t>
        </is>
      </c>
    </row>
    <row r="20">
      <c r="B20" s="172" t="inlineStr">
        <is>
          <t xml:space="preserve">   Sistemde hesaplanan vade günlerine sadık kalınarak nakit blokajı 3 gün önceden hazır edilmelidir.</t>
        </is>
      </c>
    </row>
    <row r="21">
      <c r="B21" s="128" t="inlineStr">
        <is>
          <t>●  Öncelik 2: Formül Doğrulama ve Çapraz Sağlama</t>
        </is>
      </c>
    </row>
    <row r="22">
      <c r="B22" s="172" t="inlineStr">
        <is>
          <t xml:space="preserve">   Tüm hücreler kilitli formül korumasında olup girdi sayfalarında sıfır döngüsel başvuru (circular ref) garantilidir.</t>
        </is>
      </c>
    </row>
    <row r="23">
      <c r="B23" s="128" t="inlineStr">
        <is>
          <t>●  Öncelik 3: Resmi Mevzuat ve Vergi Kalkanı Entegrasyonu</t>
        </is>
      </c>
    </row>
    <row r="24">
      <c r="B24" s="172" t="inlineStr">
        <is>
          <t xml:space="preserve">   2026 güncel vergi dilimleri, amortisman ve SGK teşvik parametreleri tam otomatik yansıtılmaktadır.</t>
        </is>
      </c>
    </row>
    <row r="25">
      <c r="B25" s="128" t="inlineStr">
        <is>
          <t>●  Öncelik 4: Yönetici İmzası ve Rapor Paylaşımı</t>
        </is>
      </c>
    </row>
    <row r="26">
      <c r="B26" s="172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78" t="inlineStr">
        <is>
          <t>YÜRÜTME ÇEKİRDEĞİ — ZORUNLU ÜRETİM SIRASI</t>
        </is>
      </c>
    </row>
    <row r="3" ht="24" customHeight="1">
      <c r="A3" s="179" t="inlineStr">
        <is>
          <t>Adım</t>
        </is>
      </c>
      <c r="B3" s="179" t="inlineStr">
        <is>
          <t>Modül</t>
        </is>
      </c>
      <c r="C3" s="179" t="inlineStr">
        <is>
          <t>Tetikleyici</t>
        </is>
      </c>
      <c r="D3" s="179" t="inlineStr">
        <is>
          <t>Zorunlu Kanıt</t>
        </is>
      </c>
      <c r="E3" s="179" t="inlineStr">
        <is>
          <t>GEÇTİ Kuralı</t>
        </is>
      </c>
      <c r="F3" s="179" t="inlineStr">
        <is>
          <t>Hata Durumu</t>
        </is>
      </c>
      <c r="G3" s="179" t="inlineStr">
        <is>
          <t>Sonraki Aşama</t>
        </is>
      </c>
    </row>
    <row r="4">
      <c r="A4" s="180" t="n">
        <v>1</v>
      </c>
      <c r="B4" s="176" t="inlineStr">
        <is>
          <t>Excel Uygunluğu</t>
        </is>
      </c>
      <c r="C4" s="176" t="inlineStr">
        <is>
          <t>Her yeni model</t>
        </is>
      </c>
      <c r="D4" s="176" t="inlineStr">
        <is>
          <t>UYGUNLUK_KARARI</t>
        </is>
      </c>
      <c r="E4" s="176" t="inlineStr">
        <is>
          <t>Excel'in rolü açık</t>
        </is>
      </c>
      <c r="F4" s="176" t="inlineStr">
        <is>
          <t>HATA / BLOKE</t>
        </is>
      </c>
      <c r="G4" s="176" t="inlineStr">
        <is>
          <t>Yönetişim</t>
        </is>
      </c>
    </row>
    <row r="5">
      <c r="A5" s="180" t="n">
        <v>2</v>
      </c>
      <c r="B5" s="176" t="inlineStr">
        <is>
          <t>Yönetişim</t>
        </is>
      </c>
      <c r="C5" s="176" t="inlineStr">
        <is>
          <t>Her model</t>
        </is>
      </c>
      <c r="D5" s="176" t="inlineStr">
        <is>
          <t>Risk seviyesi + etki girdileri</t>
        </is>
      </c>
      <c r="E5" s="176" t="inlineStr">
        <is>
          <t>Seviye hesaplandı</t>
        </is>
      </c>
      <c r="F5" s="176" t="inlineStr">
        <is>
          <t>BLOKE</t>
        </is>
      </c>
      <c r="G5" s="176" t="inlineStr">
        <is>
          <t>Sözleşmeler</t>
        </is>
      </c>
    </row>
    <row r="6">
      <c r="A6" s="180" t="n">
        <v>3</v>
      </c>
      <c r="B6" s="176" t="inlineStr">
        <is>
          <t>Türk Muhasebe Eşlemesi</t>
        </is>
      </c>
      <c r="C6" s="176" t="inlineStr">
        <is>
          <t>Finansal model</t>
        </is>
      </c>
      <c r="D6" s="176" t="inlineStr">
        <is>
          <t>THP hesap eşleme tablosu</t>
        </is>
      </c>
      <c r="E6" s="176" t="inlineStr">
        <is>
          <t>Kritik satırlar THP ile uyumlu</t>
        </is>
      </c>
      <c r="F6" s="176" t="inlineStr">
        <is>
          <t>HATA</t>
        </is>
      </c>
      <c r="G6" s="176" t="inlineStr">
        <is>
          <t>Sözleşmeler</t>
        </is>
      </c>
    </row>
    <row r="7">
      <c r="A7" s="180" t="n">
        <v>4</v>
      </c>
      <c r="B7" s="176" t="inlineStr">
        <is>
          <t>Veri ve Anlam Sözleşmeleri</t>
        </is>
      </c>
      <c r="C7" s="176" t="inlineStr">
        <is>
          <t>Girdi/KPI varsa</t>
        </is>
      </c>
      <c r="D7" s="176" t="inlineStr">
        <is>
          <t>Veri + KPI sözleşmeleri</t>
        </is>
      </c>
      <c r="E7" s="176" t="inlineStr">
        <is>
          <t>Kapsam %100</t>
        </is>
      </c>
      <c r="F7" s="176" t="inlineStr">
        <is>
          <t>HATA</t>
        </is>
      </c>
      <c r="G7" s="176" t="inlineStr">
        <is>
          <t>Üretim</t>
        </is>
      </c>
    </row>
    <row r="8">
      <c r="A8" s="180" t="n">
        <v>5</v>
      </c>
      <c r="B8" s="176" t="inlineStr">
        <is>
          <t>Üretim</t>
        </is>
      </c>
      <c r="C8" s="176" t="inlineStr">
        <is>
          <t>Sözleşmeler GEÇTİ</t>
        </is>
      </c>
      <c r="D8" s="176" t="inlineStr">
        <is>
          <t>Çalışan Excel</t>
        </is>
      </c>
      <c r="E8" s="176" t="inlineStr">
        <is>
          <t>Tek gerçek kaynak korunmuş</t>
        </is>
      </c>
      <c r="F8" s="176" t="inlineStr">
        <is>
          <t>HATA</t>
        </is>
      </c>
      <c r="G8" s="176" t="inlineStr">
        <is>
          <t>Testler</t>
        </is>
      </c>
    </row>
    <row r="9" ht="28" customHeight="1">
      <c r="A9" s="180" t="n">
        <v>6</v>
      </c>
      <c r="B9" s="176" t="inlineStr">
        <is>
          <t>Görsel/Kullanım Katmanı</t>
        </is>
      </c>
      <c r="C9" s="176" t="inlineStr">
        <is>
          <t>Motor hazır</t>
        </is>
      </c>
      <c r="D9" s="176" t="inlineStr">
        <is>
          <t>Başlıklar + renk + grafik + yönlendirme</t>
        </is>
      </c>
      <c r="E9" s="176" t="inlineStr">
        <is>
          <t>Tüm kullanıcı sayfaları standarda uygun</t>
        </is>
      </c>
      <c r="F9" s="176" t="inlineStr">
        <is>
          <t>HATA</t>
        </is>
      </c>
      <c r="G9" s="176" t="inlineStr">
        <is>
          <t>Testler</t>
        </is>
      </c>
    </row>
    <row r="10" ht="28" customHeight="1">
      <c r="A10" s="180" t="n">
        <v>7</v>
      </c>
      <c r="B10" s="176" t="inlineStr">
        <is>
          <t>Testler</t>
        </is>
      </c>
      <c r="C10" s="176" t="inlineStr">
        <is>
          <t>Üretim tamam</t>
        </is>
      </c>
      <c r="D10" s="176" t="inlineStr">
        <is>
          <t>Formül/OOXML/kimlik/oracle/golden/metamorfik</t>
        </is>
      </c>
      <c r="E10" s="176" t="inlineStr">
        <is>
          <t>Uygulanabilir hard gate'ler GEÇTİ</t>
        </is>
      </c>
      <c r="F10" s="176" t="inlineStr">
        <is>
          <t>HATA</t>
        </is>
      </c>
      <c r="G10" s="176" t="inlineStr">
        <is>
          <t>Kanıt</t>
        </is>
      </c>
    </row>
    <row r="11">
      <c r="A11" s="180" t="n">
        <v>8</v>
      </c>
      <c r="B11" s="176" t="inlineStr">
        <is>
          <t>Hata-Kontrol Tutarlılığı</t>
        </is>
      </c>
      <c r="C11" s="176" t="inlineStr">
        <is>
          <t>Test sonucu var</t>
        </is>
      </c>
      <c r="D11" s="176" t="inlineStr">
        <is>
          <t>Hata taraması + kontrol sonuçları</t>
        </is>
      </c>
      <c r="E11" s="176" t="inlineStr">
        <is>
          <t>Formül hatası varken GEÇTİ yok</t>
        </is>
      </c>
      <c r="F11" s="176" t="inlineStr">
        <is>
          <t>HATA</t>
        </is>
      </c>
      <c r="G11" s="176" t="inlineStr">
        <is>
          <t>Kanıt</t>
        </is>
      </c>
    </row>
    <row r="12">
      <c r="A12" s="180" t="n">
        <v>9</v>
      </c>
      <c r="B12" s="176" t="inlineStr">
        <is>
          <t>Kanıt</t>
        </is>
      </c>
      <c r="C12" s="176" t="inlineStr">
        <is>
          <t>Test sonucu var</t>
        </is>
      </c>
      <c r="D12" s="176" t="inlineStr">
        <is>
          <t>Makine okunur artefakt + özet</t>
        </is>
      </c>
      <c r="E12" s="176" t="inlineStr">
        <is>
          <t>Kanıt fiziksel ve tutarlı</t>
        </is>
      </c>
      <c r="F12" s="176" t="inlineStr">
        <is>
          <t>HATA</t>
        </is>
      </c>
      <c r="G12" s="176" t="inlineStr">
        <is>
          <t>Kullanıcı Kabulü</t>
        </is>
      </c>
    </row>
    <row r="13">
      <c r="A13" s="180" t="n">
        <v>10</v>
      </c>
      <c r="B13" s="176" t="inlineStr">
        <is>
          <t>Kullanıcı Kabulü</t>
        </is>
      </c>
      <c r="C13" s="176" t="inlineStr">
        <is>
          <t>Kritik görevler</t>
        </is>
      </c>
      <c r="D13" s="176" t="inlineStr">
        <is>
          <t>Gerçek ekran davranışı</t>
        </is>
      </c>
      <c r="E13" s="176" t="inlineStr">
        <is>
          <t>Kritik görevler %100</t>
        </is>
      </c>
      <c r="F13" s="176" t="inlineStr">
        <is>
          <t>DIŞ_KABUL_GEREKLİ</t>
        </is>
      </c>
      <c r="G13" s="176" t="inlineStr">
        <is>
          <t>Ticari</t>
        </is>
      </c>
    </row>
    <row r="14">
      <c r="A14" s="180" t="n">
        <v>11</v>
      </c>
      <c r="B14" s="176" t="inlineStr">
        <is>
          <t>Ticari Değer</t>
        </is>
      </c>
      <c r="C14" s="176" t="inlineStr">
        <is>
          <t>Ürün satılacaksa</t>
        </is>
      </c>
      <c r="D14" s="176" t="inlineStr">
        <is>
          <t>ROI + demo + kanıt paketi</t>
        </is>
      </c>
      <c r="E14" s="176" t="inlineStr">
        <is>
          <t>Ekonomik değer kanıtlı</t>
        </is>
      </c>
      <c r="F14" s="176" t="inlineStr">
        <is>
          <t>UYARI / HATA</t>
        </is>
      </c>
      <c r="G14" s="176" t="inlineStr">
        <is>
          <t>Pazar Doğrulama</t>
        </is>
      </c>
    </row>
    <row r="15">
      <c r="A15" s="180" t="n">
        <v>12</v>
      </c>
      <c r="B15" s="176" t="inlineStr">
        <is>
          <t>Pazar Doğrulama</t>
        </is>
      </c>
      <c r="C15" s="176" t="inlineStr">
        <is>
          <t>Pazar iddiası varsa</t>
        </is>
      </c>
      <c r="D15" s="176" t="inlineStr">
        <is>
          <t>Ücretli satış/pilot/fiyat kabul kanıtı</t>
        </is>
      </c>
      <c r="E15" s="176" t="inlineStr">
        <is>
          <t>Gerçek fiyat kabul kanıtı</t>
        </is>
      </c>
      <c r="F15" s="176" t="inlineStr">
        <is>
          <t>UYGULANMAZ / HATA</t>
        </is>
      </c>
      <c r="G15" s="176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81" t="inlineStr">
        <is>
          <t>NİHAİ KONTROL LİSTESİ — KANITSIZ GEÇİŞ YOK</t>
        </is>
      </c>
    </row>
    <row r="3" ht="24" customHeight="1">
      <c r="A3" s="182" t="inlineStr">
        <is>
          <t>Kontrol No</t>
        </is>
      </c>
      <c r="B3" s="182" t="inlineStr">
        <is>
          <t>Kontrol</t>
        </is>
      </c>
      <c r="C3" s="182" t="inlineStr">
        <is>
          <t>Beklenen</t>
        </is>
      </c>
      <c r="D3" s="182" t="inlineStr">
        <is>
          <t>Zorunlu Kapı?</t>
        </is>
      </c>
      <c r="E3" s="182" t="inlineStr">
        <is>
          <t>Sonuç</t>
        </is>
      </c>
    </row>
    <row r="4">
      <c r="A4" s="183" t="inlineStr">
        <is>
          <t>K01</t>
        </is>
      </c>
      <c r="B4" s="176" t="inlineStr">
        <is>
          <t>Kullanıcının açık talebi öncelikli mi?</t>
        </is>
      </c>
      <c r="C4" s="176" t="inlineStr">
        <is>
          <t>Evet</t>
        </is>
      </c>
      <c r="D4" s="176" t="inlineStr">
        <is>
          <t>EVET</t>
        </is>
      </c>
    </row>
    <row r="5">
      <c r="A5" s="183" t="inlineStr">
        <is>
          <t>K02</t>
        </is>
      </c>
      <c r="B5" s="176" t="inlineStr">
        <is>
          <t>Mevcut yapı, formüller ve tek gerçek kaynak korunuyor mu?</t>
        </is>
      </c>
      <c r="C5" s="176" t="inlineStr">
        <is>
          <t>Evet, değişiklik gerekçeli</t>
        </is>
      </c>
      <c r="D5" s="176" t="inlineStr">
        <is>
          <t>EVET</t>
        </is>
      </c>
    </row>
    <row r="6">
      <c r="A6" s="183" t="inlineStr">
        <is>
          <t>K03</t>
        </is>
      </c>
      <c r="B6" s="176" t="inlineStr">
        <is>
          <t>Üst aşama HATA ise alt aşama GEÇTİ engelleniyor mu?</t>
        </is>
      </c>
      <c r="C6" s="176" t="inlineStr">
        <is>
          <t>Evet</t>
        </is>
      </c>
      <c r="D6" s="176" t="inlineStr">
        <is>
          <t>EVET</t>
        </is>
      </c>
    </row>
    <row r="7">
      <c r="A7" s="183" t="inlineStr">
        <is>
          <t>K04</t>
        </is>
      </c>
      <c r="B7" s="176" t="inlineStr">
        <is>
          <t>Kanıt fiziksel çıktı ve içerik doğrulaması içeriyor mu?</t>
        </is>
      </c>
      <c r="C7" s="176" t="inlineStr">
        <is>
          <t>Evet</t>
        </is>
      </c>
      <c r="D7" s="176" t="inlineStr">
        <is>
          <t>EVET</t>
        </is>
      </c>
    </row>
    <row r="8">
      <c r="A8" s="183" t="inlineStr">
        <is>
          <t>K05</t>
        </is>
      </c>
      <c r="B8" s="176" t="inlineStr">
        <is>
          <t>Excel GUI erişimi olmadan kullanıcı görünümü GEÇTİ yazılıyor mu?</t>
        </is>
      </c>
      <c r="C8" s="176" t="inlineStr">
        <is>
          <t>Hayır</t>
        </is>
      </c>
      <c r="D8" s="176" t="inlineStr">
        <is>
          <t>EVET</t>
        </is>
      </c>
    </row>
    <row r="9">
      <c r="A9" s="183" t="inlineStr">
        <is>
          <t>K06</t>
        </is>
      </c>
      <c r="B9" s="176" t="inlineStr">
        <is>
          <t>NİHAİ yalnız GEÇTİ / gerekçeli UYGULANMAZ ile mi?</t>
        </is>
      </c>
      <c r="C9" s="176" t="inlineStr">
        <is>
          <t>Evet</t>
        </is>
      </c>
      <c r="D9" s="176" t="inlineStr">
        <is>
          <t>EVET</t>
        </is>
      </c>
    </row>
    <row r="10">
      <c r="A10" s="183" t="inlineStr">
        <is>
          <t>K07</t>
        </is>
      </c>
      <c r="B10" s="176" t="inlineStr">
        <is>
          <t>Ekonomik fiyat savunusu pazar doğrulamasından ayrılmış mı?</t>
        </is>
      </c>
      <c r="C10" s="176" t="inlineStr">
        <is>
          <t>Evet</t>
        </is>
      </c>
      <c r="D10" s="176" t="inlineStr">
        <is>
          <t>EVET</t>
        </is>
      </c>
    </row>
    <row r="11">
      <c r="A11" s="183" t="inlineStr">
        <is>
          <t>K08</t>
        </is>
      </c>
      <c r="B11" s="176" t="inlineStr">
        <is>
          <t>Prestij için gereksiz modül var mı?</t>
        </is>
      </c>
      <c r="C11" s="176" t="inlineStr">
        <is>
          <t>Hayır</t>
        </is>
      </c>
      <c r="D11" s="176" t="inlineStr">
        <is>
          <t>HAYIR</t>
        </is>
      </c>
    </row>
    <row r="12">
      <c r="A12" s="183" t="inlineStr">
        <is>
          <t>K09</t>
        </is>
      </c>
      <c r="B12" s="176" t="inlineStr">
        <is>
          <t>Excel sınırları açık mı?</t>
        </is>
      </c>
      <c r="C12" s="176" t="inlineStr">
        <is>
          <t>Evet</t>
        </is>
      </c>
      <c r="D12" s="176" t="inlineStr">
        <is>
          <t>EVET</t>
        </is>
      </c>
    </row>
    <row r="13">
      <c r="A13" s="183" t="inlineStr">
        <is>
          <t>K10</t>
        </is>
      </c>
      <c r="B13" s="176" t="inlineStr">
        <is>
          <t>Teknik kaynak korunuyor mu?</t>
        </is>
      </c>
      <c r="C13" s="176" t="inlineStr">
        <is>
          <t>Evet</t>
        </is>
      </c>
      <c r="D13" s="176" t="inlineStr">
        <is>
          <t>EVET</t>
        </is>
      </c>
    </row>
    <row r="14">
      <c r="A14" s="183" t="inlineStr">
        <is>
          <t>K11</t>
        </is>
      </c>
      <c r="B14" s="176" t="inlineStr">
        <is>
          <t>Kullanıcıya görünen tüm metinler Türkçe mi?</t>
        </is>
      </c>
      <c r="C14" s="176" t="inlineStr">
        <is>
          <t>Evet</t>
        </is>
      </c>
      <c r="D14" s="176" t="inlineStr">
        <is>
          <t>EVET</t>
        </is>
      </c>
    </row>
    <row r="15">
      <c r="A15" s="183" t="inlineStr">
        <is>
          <t>K12</t>
        </is>
      </c>
      <c r="B15" s="176" t="inlineStr">
        <is>
          <t>Her kullanıcı sayfasında üst başlık var mı?</t>
        </is>
      </c>
      <c r="C15" s="176" t="inlineStr">
        <is>
          <t>Evet</t>
        </is>
      </c>
      <c r="D15" s="176" t="inlineStr">
        <is>
          <t>EVET</t>
        </is>
      </c>
    </row>
    <row r="16">
      <c r="A16" s="183" t="inlineStr">
        <is>
          <t>K13</t>
        </is>
      </c>
      <c r="B16" s="176" t="inlineStr">
        <is>
          <t>Sayfalar arasında tutarlı renk sistemi var mı?</t>
        </is>
      </c>
      <c r="C16" s="176" t="inlineStr">
        <is>
          <t>Evet</t>
        </is>
      </c>
      <c r="D16" s="176" t="inlineStr">
        <is>
          <t>EVET</t>
        </is>
      </c>
    </row>
    <row r="17">
      <c r="A17" s="183" t="inlineStr">
        <is>
          <t>K14</t>
        </is>
      </c>
      <c r="B17" s="176" t="inlineStr">
        <is>
          <t>Alt sayfa sekmeleri işlevine göre renklendirilmiş mi?</t>
        </is>
      </c>
      <c r="C17" s="176" t="inlineStr">
        <is>
          <t>Evet</t>
        </is>
      </c>
      <c r="D17" s="176" t="inlineStr">
        <is>
          <t>EVET</t>
        </is>
      </c>
    </row>
    <row r="18">
      <c r="A18" s="183" t="inlineStr">
        <is>
          <t>K15</t>
        </is>
      </c>
      <c r="B18" s="176" t="inlineStr">
        <is>
          <t>İçerik blokları arasında gereksiz boş kolon var mı?</t>
        </is>
      </c>
      <c r="C18" s="176" t="inlineStr">
        <is>
          <t>Hayır</t>
        </is>
      </c>
      <c r="D18" s="176" t="inlineStr">
        <is>
          <t>EVET</t>
        </is>
      </c>
    </row>
    <row r="19">
      <c r="A19" s="183" t="inlineStr">
        <is>
          <t>K16</t>
        </is>
      </c>
      <c r="B19" s="176" t="inlineStr">
        <is>
          <t>Grafikler premium ve karar odaklı mı?</t>
        </is>
      </c>
      <c r="C19" s="176" t="inlineStr">
        <is>
          <t>Evet</t>
        </is>
      </c>
      <c r="D19" s="176" t="inlineStr">
        <is>
          <t>EVET</t>
        </is>
      </c>
    </row>
    <row r="20">
      <c r="A20" s="183" t="inlineStr">
        <is>
          <t>K17</t>
        </is>
      </c>
      <c r="B20" s="176" t="inlineStr">
        <is>
          <t>Varsayılan Excel grafiği / 3B / dekoratif grafik var mı?</t>
        </is>
      </c>
      <c r="C20" s="176" t="inlineStr">
        <is>
          <t>Hayır</t>
        </is>
      </c>
      <c r="D20" s="176" t="inlineStr">
        <is>
          <t>EVET</t>
        </is>
      </c>
    </row>
    <row r="21">
      <c r="A21" s="183" t="inlineStr">
        <is>
          <t>K18</t>
        </is>
      </c>
      <c r="B21" s="176" t="inlineStr">
        <is>
          <t>Finansal ürün Türkiye Tekdüzen Hesap Planı ile eşleşiyor mu?</t>
        </is>
      </c>
      <c r="C21" s="176" t="inlineStr">
        <is>
          <t>Evet</t>
        </is>
      </c>
      <c r="D21" s="176" t="inlineStr">
        <is>
          <t>EVET</t>
        </is>
      </c>
    </row>
    <row r="22">
      <c r="A22" s="183" t="inlineStr">
        <is>
          <t>K19</t>
        </is>
      </c>
      <c r="B22" s="176" t="inlineStr">
        <is>
          <t>Muhasebe satır adları Türkiye kullanımına uygun mu?</t>
        </is>
      </c>
      <c r="C22" s="176" t="inlineStr">
        <is>
          <t>Evet</t>
        </is>
      </c>
      <c r="D22" s="176" t="inlineStr">
        <is>
          <t>EVET</t>
        </is>
      </c>
    </row>
    <row r="23">
      <c r="A23" s="183" t="inlineStr">
        <is>
          <t>K20</t>
        </is>
      </c>
      <c r="B23" s="176" t="inlineStr">
        <is>
          <t>Formül hatası varken herhangi bir kontrol GEÇTİ gösteriyor mu?</t>
        </is>
      </c>
      <c r="C23" s="176" t="inlineStr">
        <is>
          <t>Hayır</t>
        </is>
      </c>
      <c r="D23" s="176" t="inlineStr">
        <is>
          <t>EVET</t>
        </is>
      </c>
    </row>
    <row r="24">
      <c r="A24" s="183" t="inlineStr">
        <is>
          <t>K21</t>
        </is>
      </c>
      <c r="B24" s="176" t="inlineStr">
        <is>
          <t>Karar Motoru boş veya yalnız başlık düzeyinde mi?</t>
        </is>
      </c>
      <c r="C24" s="176" t="inlineStr">
        <is>
          <t>Hayır</t>
        </is>
      </c>
      <c r="D24" s="176" t="inlineStr">
        <is>
          <t>EVET</t>
        </is>
      </c>
    </row>
    <row r="25">
      <c r="A25" s="183" t="inlineStr">
        <is>
          <t>K22</t>
        </is>
      </c>
      <c r="B25" s="176" t="inlineStr">
        <is>
          <t>Senaryo/Stres modülü gerçekten sonuç değiştiriyor mu?</t>
        </is>
      </c>
      <c r="C25" s="176" t="inlineStr">
        <is>
          <t>Evet</t>
        </is>
      </c>
      <c r="D25" s="176" t="inlineStr">
        <is>
          <t>EVET</t>
        </is>
      </c>
    </row>
    <row r="26">
      <c r="A26" s="183" t="inlineStr">
        <is>
          <t>K23</t>
        </is>
      </c>
      <c r="B26" s="176" t="inlineStr">
        <is>
          <t>Oracle/bağımsız doğrulama gerçek veri üretiyor mu?</t>
        </is>
      </c>
      <c r="C26" s="176" t="inlineStr">
        <is>
          <t>Evet veya gerekçeli UYGULANMAZ</t>
        </is>
      </c>
      <c r="D26" s="176" t="inlineStr">
        <is>
          <t>EVET</t>
        </is>
      </c>
    </row>
    <row r="27">
      <c r="A27" s="183" t="inlineStr">
        <is>
          <t>K24</t>
        </is>
      </c>
      <c r="B27" s="176" t="inlineStr">
        <is>
          <t>Yönetici ekranı 5 saniyede sorunu ve aksiyonu anlatıyor mu?</t>
        </is>
      </c>
      <c r="C27" s="176" t="inlineStr">
        <is>
          <t>Evet</t>
        </is>
      </c>
      <c r="D27" s="176" t="inlineStr">
        <is>
          <t>EVET</t>
        </is>
      </c>
    </row>
    <row r="28">
      <c r="A28" s="183" t="inlineStr">
        <is>
          <t>K25</t>
        </is>
      </c>
      <c r="B28" s="176" t="inlineStr">
        <is>
          <t>Her kritik kararın parasal etkisi ve önerilen aksiyonu var mı?</t>
        </is>
      </c>
      <c r="C28" s="176" t="inlineStr">
        <is>
          <t>Evet</t>
        </is>
      </c>
      <c r="D28" s="176" t="inlineStr">
        <is>
          <t>EVET</t>
        </is>
      </c>
    </row>
    <row r="29">
      <c r="A29" s="183" t="inlineStr">
        <is>
          <t>K26</t>
        </is>
      </c>
      <c r="B29" s="176" t="inlineStr">
        <is>
          <t>Ürün sayfası/ürün içi demo satın alma gerekçesini kanıtlıyor mu?</t>
        </is>
      </c>
      <c r="C29" s="176" t="inlineStr">
        <is>
          <t>Evet</t>
        </is>
      </c>
      <c r="D29" s="176" t="inlineStr">
        <is>
          <t>EVET</t>
        </is>
      </c>
    </row>
    <row r="30" ht="30" customHeight="1">
      <c r="A30" s="184" t="inlineStr">
        <is>
          <t>K27</t>
        </is>
      </c>
      <c r="B30" s="185" t="inlineStr">
        <is>
          <t>Buton görünümü verilen tüm alanlar gerçekten tıklanabilir ve doğru hedefe gidiyor mu?</t>
        </is>
      </c>
      <c r="C30" s="185" t="inlineStr">
        <is>
          <t>Evet</t>
        </is>
      </c>
      <c r="D30" s="176" t="inlineStr">
        <is>
          <t>EVET</t>
        </is>
      </c>
    </row>
    <row r="31" ht="30" customHeight="1">
      <c r="A31" s="184" t="inlineStr">
        <is>
          <t>K28</t>
        </is>
      </c>
      <c r="B31" s="185" t="inlineStr">
        <is>
          <t>Tüm görünür kullanıcı sheet tabları kurumsal kategori rengi taşıyor mu?</t>
        </is>
      </c>
      <c r="C31" s="185" t="inlineStr">
        <is>
          <t>Evet</t>
        </is>
      </c>
      <c r="D31" s="176" t="inlineStr">
        <is>
          <t>EVET</t>
        </is>
      </c>
    </row>
    <row r="32" ht="16" customHeight="1">
      <c r="A32" s="184" t="inlineStr">
        <is>
          <t>K29</t>
        </is>
      </c>
      <c r="B32" s="185" t="inlineStr">
        <is>
          <t>Sheet sırası tanımlı kullanıcı iş akışıyla birebir aynı mı?</t>
        </is>
      </c>
      <c r="C32" s="185" t="inlineStr">
        <is>
          <t>Evet</t>
        </is>
      </c>
      <c r="D32" s="176" t="inlineStr">
        <is>
          <t>EVET</t>
        </is>
      </c>
    </row>
    <row r="33" ht="30" customHeight="1">
      <c r="A33" s="184" t="inlineStr">
        <is>
          <t>K30</t>
        </is>
      </c>
      <c r="B33" s="185" t="inlineStr">
        <is>
          <t>Kurumsal renk paleti tutarlı mı; rastgele/gökkuşağı renk kullanımı var mı?</t>
        </is>
      </c>
      <c r="C33" s="185" t="inlineStr">
        <is>
          <t>Evet / Hayır</t>
        </is>
      </c>
      <c r="D33" s="176" t="inlineStr">
        <is>
          <t>EVET</t>
        </is>
      </c>
    </row>
    <row r="34" ht="30" customHeight="1">
      <c r="A34" s="184" t="inlineStr">
        <is>
          <t>K31</t>
        </is>
      </c>
      <c r="B34" s="185" t="inlineStr">
        <is>
          <t>Premium vitrin, altyapı kadar güçlü ve satış fiyatını destekleyecek seviyede mi?</t>
        </is>
      </c>
      <c r="C34" s="185" t="inlineStr">
        <is>
          <t>Evet</t>
        </is>
      </c>
      <c r="D34" s="176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86" t="inlineStr">
        <is>
          <t>GÖRSEL TASARIM VE PREMIUM EXCEL STANDARDI</t>
        </is>
      </c>
    </row>
    <row r="3" ht="24" customHeight="1">
      <c r="A3" s="187" t="inlineStr">
        <is>
          <t>Alan</t>
        </is>
      </c>
      <c r="B3" s="187" t="inlineStr">
        <is>
          <t>Zorunlu Kural</t>
        </is>
      </c>
      <c r="C3" s="187" t="inlineStr">
        <is>
          <t>Uygulama</t>
        </is>
      </c>
      <c r="D3" s="187" t="inlineStr">
        <is>
          <t>Yasak</t>
        </is>
      </c>
      <c r="E3" s="187" t="inlineStr">
        <is>
          <t>Kontrol</t>
        </is>
      </c>
      <c r="F3" s="187" t="inlineStr">
        <is>
          <t>Durum</t>
        </is>
      </c>
    </row>
    <row r="4" ht="28" customHeight="1">
      <c r="A4" s="188" t="inlineStr">
        <is>
          <t>Sayfa başlığı</t>
        </is>
      </c>
      <c r="B4" s="176" t="inlineStr">
        <is>
          <t>Her kullanıcı sayfasının en üstünde tek ve açık sayfa başlığı</t>
        </is>
      </c>
      <c r="C4" s="176" t="inlineStr">
        <is>
          <t>A1'den başlayan koyu lacivert başlık bandı</t>
        </is>
      </c>
      <c r="D4" s="176" t="inlineStr">
        <is>
          <t>Başlıksız sayfa</t>
        </is>
      </c>
      <c r="E4" s="176" t="inlineStr">
        <is>
          <t>Başlık kapsama = %100</t>
        </is>
      </c>
      <c r="F4" s="189" t="inlineStr">
        <is>
          <t>ZORUNLU</t>
        </is>
      </c>
    </row>
    <row r="5" ht="28" customHeight="1">
      <c r="A5" s="188" t="inlineStr">
        <is>
          <t>Sekme renkleri</t>
        </is>
      </c>
      <c r="B5" s="176" t="inlineStr">
        <is>
          <t>Sayfalar işlevine göre renk kodlanır</t>
        </is>
      </c>
      <c r="C5" s="176" t="inlineStr">
        <is>
          <t>Girdi=mavi, hesap=gri, rapor=lacivert, kontrol=kırmızı, kılavuz=altın</t>
        </is>
      </c>
      <c r="D5" s="176" t="inlineStr">
        <is>
          <t>Rastgele renk</t>
        </is>
      </c>
      <c r="E5" s="176" t="inlineStr">
        <is>
          <t>Renk semantiği tutarlı</t>
        </is>
      </c>
      <c r="F5" s="189" t="inlineStr">
        <is>
          <t>ZORUNLU</t>
        </is>
      </c>
    </row>
    <row r="6" ht="28" customHeight="1">
      <c r="A6" s="188" t="inlineStr">
        <is>
          <t>Kolon düzeni</t>
        </is>
      </c>
      <c r="B6" s="176" t="inlineStr">
        <is>
          <t>Veri blokları bitişik kolonlarda ilerler</t>
        </is>
      </c>
      <c r="C6" s="176" t="inlineStr">
        <is>
          <t>Gereksiz boş kolon bırakma; yalnız gerçek bölüm ayrımı varsa kontrollü boşluk</t>
        </is>
      </c>
      <c r="D6" s="176" t="inlineStr">
        <is>
          <t>A:C veri, D boş, E:F veri gibi parçalı yapı</t>
        </is>
      </c>
      <c r="E6" s="176" t="inlineStr">
        <is>
          <t>Boş kolon taraması</t>
        </is>
      </c>
      <c r="F6" s="189" t="inlineStr">
        <is>
          <t>ZORUNLU</t>
        </is>
      </c>
    </row>
    <row r="7" ht="16" customHeight="1">
      <c r="A7" s="188" t="inlineStr">
        <is>
          <t>Girdi hücreleri</t>
        </is>
      </c>
      <c r="B7" s="176" t="inlineStr">
        <is>
          <t>Kullanıcının değiştireceği alan açıkça görünür</t>
        </is>
      </c>
      <c r="C7" s="176" t="inlineStr">
        <is>
          <t>Açık sarı dolgu + mavi yazı</t>
        </is>
      </c>
      <c r="D7" s="176" t="inlineStr">
        <is>
          <t>Formülle aynı görünüm</t>
        </is>
      </c>
      <c r="E7" s="176" t="inlineStr">
        <is>
          <t>Girdi/formül ayrımı</t>
        </is>
      </c>
      <c r="F7" s="189" t="inlineStr">
        <is>
          <t>ZORUNLU</t>
        </is>
      </c>
    </row>
    <row r="8" ht="16" customHeight="1">
      <c r="A8" s="188" t="inlineStr">
        <is>
          <t>Formüller</t>
        </is>
      </c>
      <c r="B8" s="176" t="inlineStr">
        <is>
          <t>Hesap hücreleri kullanıcı girdisinden ayrılır</t>
        </is>
      </c>
      <c r="C8" s="176" t="inlineStr">
        <is>
          <t>Siyah yazı; sayfalar arası bağlantı yeşil yazı</t>
        </is>
      </c>
      <c r="D8" s="176" t="inlineStr">
        <is>
          <t>Hard-code gizleme</t>
        </is>
      </c>
      <c r="E8" s="176" t="inlineStr">
        <is>
          <t>Formül sınıfı kontrolü</t>
        </is>
      </c>
      <c r="F8" s="189" t="inlineStr">
        <is>
          <t>ZORUNLU</t>
        </is>
      </c>
    </row>
    <row r="9" ht="16" customHeight="1">
      <c r="A9" s="188" t="inlineStr">
        <is>
          <t>Grafik sayısı</t>
        </is>
      </c>
      <c r="B9" s="176" t="inlineStr">
        <is>
          <t>Yönetici ekranında en fazla 3 ana karar grafiği</t>
        </is>
      </c>
      <c r="C9" s="176" t="inlineStr">
        <is>
          <t>Trend, karşılaştırma, köprü/dağılım; iş kararına bağlı</t>
        </is>
      </c>
      <c r="D9" s="176" t="inlineStr">
        <is>
          <t>Grafik kalabalığı</t>
        </is>
      </c>
      <c r="E9" s="176" t="inlineStr">
        <is>
          <t>Grafik başına karar sorusu</t>
        </is>
      </c>
      <c r="F9" s="189" t="inlineStr">
        <is>
          <t>ZORUNLU</t>
        </is>
      </c>
    </row>
    <row r="10" ht="16" customHeight="1">
      <c r="A10" s="188" t="inlineStr">
        <is>
          <t>Grafik stili</t>
        </is>
      </c>
      <c r="B10" s="176" t="inlineStr">
        <is>
          <t>Kurumsal ve yüksek okunabilirlik</t>
        </is>
      </c>
      <c r="C10" s="176" t="inlineStr">
        <is>
          <t>Beyaz zemin, ince gridline, tek vurgu rengi, açık birim/başlık</t>
        </is>
      </c>
      <c r="D10" s="176" t="inlineStr">
        <is>
          <t>3B, gölge, neon, gökkuşağı renkleri</t>
        </is>
      </c>
      <c r="E10" s="176" t="inlineStr">
        <is>
          <t>Görsel inceleme</t>
        </is>
      </c>
      <c r="F10" s="189" t="inlineStr">
        <is>
          <t>ZORUNLU</t>
        </is>
      </c>
    </row>
    <row r="11" ht="16" customHeight="1">
      <c r="A11" s="188" t="inlineStr">
        <is>
          <t>Grafik başlığı</t>
        </is>
      </c>
      <c r="B11" s="176" t="inlineStr">
        <is>
          <t>Grafik 'neyi' değil 'ne anlama geldiğini' söyler</t>
        </is>
      </c>
      <c r="C11" s="176" t="inlineStr">
        <is>
          <t>Örn: 'Nakit 2028'de kritik eşiğin altına iniyor'</t>
        </is>
      </c>
      <c r="D11" s="176" t="inlineStr">
        <is>
          <t>'Nakit Grafiği' gibi anlamsız başlık</t>
        </is>
      </c>
      <c r="E11" s="176" t="inlineStr">
        <is>
          <t>Başlık karar testi</t>
        </is>
      </c>
      <c r="F11" s="189" t="inlineStr">
        <is>
          <t>ZORUNLU</t>
        </is>
      </c>
    </row>
    <row r="12" ht="16" customHeight="1">
      <c r="A12" s="188" t="inlineStr">
        <is>
          <t>Birimler</t>
        </is>
      </c>
      <c r="B12" s="176" t="inlineStr">
        <is>
          <t>Tüm finansal görsellerde birim açık</t>
        </is>
      </c>
      <c r="C12" s="176" t="inlineStr">
        <is>
          <t>TL, bin TL, milyon TL, %, gün, x</t>
        </is>
      </c>
      <c r="D12" s="176" t="inlineStr">
        <is>
          <t>Birim belirsizliği</t>
        </is>
      </c>
      <c r="E12" s="176" t="inlineStr">
        <is>
          <t>Birim kapsama %100</t>
        </is>
      </c>
      <c r="F12" s="189" t="inlineStr">
        <is>
          <t>ZORUNLU</t>
        </is>
      </c>
    </row>
    <row r="13" ht="16" customHeight="1">
      <c r="A13" s="188" t="inlineStr">
        <is>
          <t>Sıfır/negatif</t>
        </is>
      </c>
      <c r="B13" s="176" t="inlineStr">
        <is>
          <t>Finansal format standardı</t>
        </is>
      </c>
      <c r="C13" s="176" t="inlineStr">
        <is>
          <t>Sıfır='-', negatif kırmızı parantez</t>
        </is>
      </c>
      <c r="D13" s="176" t="inlineStr">
        <is>
          <t>-500 veya 0,00 kalabalığı</t>
        </is>
      </c>
      <c r="E13" s="176" t="inlineStr">
        <is>
          <t>Format kontrolü</t>
        </is>
      </c>
      <c r="F13" s="189" t="inlineStr">
        <is>
          <t>ZORUNLU</t>
        </is>
      </c>
    </row>
    <row r="14" ht="16" customHeight="1">
      <c r="A14" s="188" t="inlineStr">
        <is>
          <t>Yazı tipi</t>
        </is>
      </c>
      <c r="B14" s="176" t="inlineStr">
        <is>
          <t>Tek aile</t>
        </is>
      </c>
      <c r="C14" s="176" t="inlineStr">
        <is>
          <t>Aptos veya Segoe UI</t>
        </is>
      </c>
      <c r="D14" s="176" t="inlineStr">
        <is>
          <t>Karışık font</t>
        </is>
      </c>
      <c r="E14" s="176" t="inlineStr">
        <is>
          <t>Tek font kontrolü</t>
        </is>
      </c>
      <c r="F14" s="189" t="inlineStr">
        <is>
          <t>ZORUNLU</t>
        </is>
      </c>
    </row>
    <row r="15" ht="16" customHeight="1">
      <c r="A15" s="188" t="inlineStr">
        <is>
          <t>Izgara</t>
        </is>
      </c>
      <c r="B15" s="176" t="inlineStr">
        <is>
          <t>Kullanıcı sayfalarında kapalı</t>
        </is>
      </c>
      <c r="C15" s="176" t="inlineStr">
        <is>
          <t>Bölüm çizgileri ve kart sınırlarıyla düzen</t>
        </is>
      </c>
      <c r="D15" s="176" t="inlineStr">
        <is>
          <t>Excel varsayılan gridline</t>
        </is>
      </c>
      <c r="E15" s="176" t="inlineStr">
        <is>
          <t>Gridline kontrolü</t>
        </is>
      </c>
      <c r="F15" s="189" t="inlineStr">
        <is>
          <t>ZORUNLU</t>
        </is>
      </c>
    </row>
    <row r="16" ht="16" customHeight="1">
      <c r="A16" s="188" t="inlineStr">
        <is>
          <t>Boş durum</t>
        </is>
      </c>
      <c r="B16" s="176" t="inlineStr">
        <is>
          <t>Veri yokken temiz ve anlaşılır</t>
        </is>
      </c>
      <c r="C16" s="176" t="inlineStr">
        <is>
          <t>'Henüz veri yok' / 'Girdi bekleniyor'</t>
        </is>
      </c>
      <c r="D16" s="176" t="inlineStr">
        <is>
          <t>0 yığını / hata kodu</t>
        </is>
      </c>
      <c r="E16" s="176" t="inlineStr">
        <is>
          <t>Boş veri testi</t>
        </is>
      </c>
      <c r="F16" s="189" t="inlineStr">
        <is>
          <t>ZORUNLU</t>
        </is>
      </c>
    </row>
    <row r="17" ht="28" customHeight="1">
      <c r="A17" s="188" t="inlineStr">
        <is>
          <t>Başlangıç deneyimi</t>
        </is>
      </c>
      <c r="B17" s="176" t="inlineStr">
        <is>
          <t>İlk 5 saniyede ne gireceği ve neye bakacağı anlaşılır</t>
        </is>
      </c>
      <c r="C17" s="176" t="inlineStr">
        <is>
          <t>Girdi → durum → aksiyon akışı</t>
        </is>
      </c>
      <c r="D17" s="176" t="inlineStr">
        <is>
          <t>Kılavuz aramaya zorlama</t>
        </is>
      </c>
      <c r="E17" s="176" t="inlineStr">
        <is>
          <t>5 saniye testi</t>
        </is>
      </c>
      <c r="F17" s="189" t="inlineStr">
        <is>
          <t>ZORUNLU</t>
        </is>
      </c>
    </row>
    <row r="18" ht="30" customHeight="1">
      <c r="A18" s="184" t="inlineStr">
        <is>
          <t>Buton standardı</t>
        </is>
      </c>
      <c r="B18" s="185" t="inlineStr">
        <is>
          <t>Buton görünümü verilen her alan gerçek işlev taşır</t>
        </is>
      </c>
      <c r="C18" s="185" t="inlineStr">
        <is>
          <t>Sayfa içi HYPERLINK / gerçek aksiyon; tıklanınca hedefe gider</t>
        </is>
      </c>
      <c r="D18" s="185" t="inlineStr">
        <is>
          <t>İşlevsiz dekoratif buton / sahte navigasyon</t>
        </is>
      </c>
      <c r="E18" s="185" t="inlineStr">
        <is>
          <t>Butonların %100'ü tıklanabilir ve hedefi doğru</t>
        </is>
      </c>
      <c r="F18" s="189" t="inlineStr">
        <is>
          <t>ZORUNLU</t>
        </is>
      </c>
    </row>
    <row r="19" ht="32" customHeight="1">
      <c r="A19" s="184" t="inlineStr">
        <is>
          <t>Native sayfa sekmesi rengi</t>
        </is>
      </c>
      <c r="B19" s="185" t="inlineStr">
        <is>
          <t>Excel alt sheet tabları kurumsal paletle renklendirilir</t>
        </is>
      </c>
      <c r="C19" s="185" t="inlineStr">
        <is>
          <t>Başlangıç/özet=lacivert; girdiler=mavi; hesap/finans=teal; karar/kontrol=burgundy; doküman=gri</t>
        </is>
      </c>
      <c r="D19" s="185" t="inlineStr">
        <is>
          <t>Renksiz sekmeler veya rastgele/gökkuşağı renkleri</t>
        </is>
      </c>
      <c r="E19" s="185" t="inlineStr">
        <is>
          <t>Tüm görünür kullanıcı sheet tabları renkli</t>
        </is>
      </c>
      <c r="F19" s="189" t="inlineStr">
        <is>
          <t>ZORUNLU</t>
        </is>
      </c>
    </row>
    <row r="20" ht="60" customHeight="1">
      <c r="A20" s="184" t="inlineStr">
        <is>
          <t>İş akışı sıralaması</t>
        </is>
      </c>
      <c r="B20" s="185" t="inlineStr">
        <is>
          <t>Sayfalar kullanıcının çalışma sırasına göre fiziksel olarak dizilir</t>
        </is>
      </c>
      <c r="C20" s="185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5" t="inlineStr">
        <is>
          <t>Teknik oluşturma sırasına göre dağınık sheet dizilimi</t>
        </is>
      </c>
      <c r="E20" s="185" t="inlineStr">
        <is>
          <t>Sheet order = tanımlı workflow</t>
        </is>
      </c>
      <c r="F20" s="189" t="inlineStr">
        <is>
          <t>ZORUNLU</t>
        </is>
      </c>
    </row>
    <row r="21" ht="30" customHeight="1">
      <c r="A21" s="184" t="inlineStr">
        <is>
          <t>Kurumsal renk paleti</t>
        </is>
      </c>
      <c r="B21" s="185" t="inlineStr">
        <is>
          <t>Sekme, başlık, buton ve vurgu renkleri tek kurumsal paletten gelir</t>
        </is>
      </c>
      <c r="C21" s="185" t="inlineStr">
        <is>
          <t>Lacivert + mavi + teal + kontrollü burgundy/gri; kategori semantiği sabit</t>
        </is>
      </c>
      <c r="D21" s="185" t="inlineStr">
        <is>
          <t>Neon, rastgele yüksek doygunluk, her sayfada farklı bağımsız renk</t>
        </is>
      </c>
      <c r="E21" s="185" t="inlineStr">
        <is>
          <t>Palette token kontrolü</t>
        </is>
      </c>
      <c r="F21" s="189" t="inlineStr">
        <is>
          <t>ZORUNLU</t>
        </is>
      </c>
    </row>
    <row r="22" ht="45" customHeight="1">
      <c r="A22" s="184" t="inlineStr">
        <is>
          <t>Premium vitrin</t>
        </is>
      </c>
      <c r="B22" s="185" t="inlineStr">
        <is>
          <t>Görsel kalite ürün değerinin zorunlu parçasıdır</t>
        </is>
      </c>
      <c r="C22" s="185" t="inlineStr">
        <is>
          <t>Kaliteli grafik, gerçek KPI kartı, finansal hiyerarşi, tab rengi, fonksiyonel navigasyon</t>
        </is>
      </c>
      <c r="D22" s="185" t="inlineStr">
        <is>
          <t>Sadece doğru hesap yapıp çıplak/varsayılan Excel görünümü bırakmak</t>
        </is>
      </c>
      <c r="E22" s="185" t="inlineStr">
        <is>
          <t>Görsel release incelemesi</t>
        </is>
      </c>
      <c r="F22" s="189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90" t="inlineStr">
        <is>
          <t>TÜRKİYE MUHASEBE VE TEKDÜZEN HESAP PLANI STANDARDI</t>
        </is>
      </c>
    </row>
    <row r="3" ht="24" customHeight="1">
      <c r="A3" s="191" t="inlineStr">
        <is>
          <t>Konu</t>
        </is>
      </c>
      <c r="B3" s="191" t="inlineStr">
        <is>
          <t>Zorunlu Standart</t>
        </is>
      </c>
      <c r="C3" s="191" t="inlineStr">
        <is>
          <t>Örnek Türkçe Ad</t>
        </is>
      </c>
      <c r="D3" s="191" t="inlineStr">
        <is>
          <t>THP / Mantık</t>
        </is>
      </c>
      <c r="E3" s="191" t="inlineStr">
        <is>
          <t>Hata Riski</t>
        </is>
      </c>
      <c r="F3" s="191" t="inlineStr">
        <is>
          <t>Kontrol</t>
        </is>
      </c>
    </row>
    <row r="4">
      <c r="A4" s="192" t="inlineStr">
        <is>
          <t>Dil</t>
        </is>
      </c>
      <c r="B4" s="176" t="inlineStr">
        <is>
          <t>Kullanıcıya görünen finansal terimler Türkçe</t>
        </is>
      </c>
      <c r="C4" s="176" t="inlineStr">
        <is>
          <t>Hasılat, Satışların Maliyeti, Brüt Kâr, Faaliyet Giderleri</t>
        </is>
      </c>
      <c r="D4" s="176" t="inlineStr">
        <is>
          <t>Türk işletme kullanımına uygun</t>
        </is>
      </c>
      <c r="E4" s="176" t="inlineStr">
        <is>
          <t>İngilizce jargon</t>
        </is>
      </c>
      <c r="F4" s="176" t="inlineStr">
        <is>
          <t>Terminoloji taraması</t>
        </is>
      </c>
    </row>
    <row r="5" ht="28" customHeight="1">
      <c r="A5" s="192" t="inlineStr">
        <is>
          <t>Gelir Tablosu</t>
        </is>
      </c>
      <c r="B5" s="176" t="inlineStr">
        <is>
          <t>Türk sunum sırası kullanılır</t>
        </is>
      </c>
      <c r="C5" s="176" t="inlineStr">
        <is>
          <t>Net Satışlar → Satışların Maliyeti → Brüt Kâr → Faaliyet Giderleri → Faaliyet Kârı</t>
        </is>
      </c>
      <c r="D5" s="176" t="inlineStr">
        <is>
          <t>600/610/611; 620-623; 63x</t>
        </is>
      </c>
      <c r="E5" s="176" t="inlineStr">
        <is>
          <t>Yanlış sınıflama</t>
        </is>
      </c>
      <c r="F5" s="176" t="inlineStr">
        <is>
          <t>Hesap eşleme</t>
        </is>
      </c>
    </row>
    <row r="6" ht="28" customHeight="1">
      <c r="A6" s="192" t="inlineStr">
        <is>
          <t>Bilanço</t>
        </is>
      </c>
      <c r="B6" s="176" t="inlineStr">
        <is>
          <t>Dönen/Duran Varlık ve Kısa/Uzun Vadeli Yükümlülük ayrımı</t>
        </is>
      </c>
      <c r="C6" s="176" t="inlineStr">
        <is>
          <t>Hazır Değerler, Ticari Alacaklar, Stoklar, Mali Borçlar</t>
        </is>
      </c>
      <c r="D6" s="176" t="inlineStr">
        <is>
          <t>1xx / 2xx / 3xx / 4xx / 5xx</t>
        </is>
      </c>
      <c r="E6" s="176" t="inlineStr">
        <is>
          <t>Vade sınıfı hatası</t>
        </is>
      </c>
      <c r="F6" s="176" t="inlineStr">
        <is>
          <t>Bilanço eşitliği</t>
        </is>
      </c>
    </row>
    <row r="7">
      <c r="A7" s="192" t="inlineStr">
        <is>
          <t>Nakit Akışı</t>
        </is>
      </c>
      <c r="B7" s="176" t="inlineStr">
        <is>
          <t>İşletme/Yatırım/Finansman nakit akışları ayrılır</t>
        </is>
      </c>
      <c r="C7" s="176" t="inlineStr">
        <is>
          <t>Faaliyetlerden Nakit, Yatırım Harcamaları, Finansman Nakit Akışı</t>
        </is>
      </c>
      <c r="D7" s="176" t="inlineStr">
        <is>
          <t>Dolaylı/doğrudan yöntem açık seçilir</t>
        </is>
      </c>
      <c r="E7" s="176" t="inlineStr">
        <is>
          <t>Kâr = nakit sanılması</t>
        </is>
      </c>
      <c r="F7" s="176" t="inlineStr">
        <is>
          <t>Nakit devri</t>
        </is>
      </c>
    </row>
    <row r="8">
      <c r="A8" s="192" t="inlineStr">
        <is>
          <t>Ticari Alacaklar</t>
        </is>
      </c>
      <c r="B8" s="176" t="inlineStr">
        <is>
          <t>Cari ve vade mantığı korunur</t>
        </is>
      </c>
      <c r="C8" s="176" t="inlineStr">
        <is>
          <t>120 Alıcılar</t>
        </is>
      </c>
      <c r="D8" s="176" t="inlineStr">
        <is>
          <t>120</t>
        </is>
      </c>
      <c r="E8" s="176" t="inlineStr">
        <is>
          <t>Tahakkuk/nakit karışması</t>
        </is>
      </c>
      <c r="F8" s="176" t="inlineStr">
        <is>
          <t>Alacak devir kontrolü</t>
        </is>
      </c>
    </row>
    <row r="9">
      <c r="A9" s="192" t="inlineStr">
        <is>
          <t>Ticari Borçlar</t>
        </is>
      </c>
      <c r="B9" s="176" t="inlineStr">
        <is>
          <t>Tedarikçi borcu ayrı izlenir</t>
        </is>
      </c>
      <c r="C9" s="176" t="inlineStr">
        <is>
          <t>320 Satıcılar</t>
        </is>
      </c>
      <c r="D9" s="176" t="inlineStr">
        <is>
          <t>320</t>
        </is>
      </c>
      <c r="E9" s="176" t="inlineStr">
        <is>
          <t>Gider/ödeme karışması</t>
        </is>
      </c>
      <c r="F9" s="176" t="inlineStr">
        <is>
          <t>Borç devir kontrolü</t>
        </is>
      </c>
    </row>
    <row r="10">
      <c r="A10" s="192" t="inlineStr">
        <is>
          <t>Kasa/Banka</t>
        </is>
      </c>
      <c r="B10" s="176" t="inlineStr">
        <is>
          <t>Hazır değerler ayrı izlenir</t>
        </is>
      </c>
      <c r="C10" s="176" t="inlineStr">
        <is>
          <t>100 Kasa, 102 Bankalar</t>
        </is>
      </c>
      <c r="D10" s="176" t="inlineStr">
        <is>
          <t>100 / 102</t>
        </is>
      </c>
      <c r="E10" s="176" t="inlineStr">
        <is>
          <t>Virmanla toplam nakdin değişmesi</t>
        </is>
      </c>
      <c r="F10" s="176" t="inlineStr">
        <is>
          <t>Virman değişmezi</t>
        </is>
      </c>
    </row>
    <row r="11">
      <c r="A11" s="192" t="inlineStr">
        <is>
          <t>Stok</t>
        </is>
      </c>
      <c r="B11" s="176" t="inlineStr">
        <is>
          <t>Dikeye uygun stok türü</t>
        </is>
      </c>
      <c r="C11" s="176" t="inlineStr">
        <is>
          <t>150 İlk Madde ve Malzeme, 153 Ticari Mallar</t>
        </is>
      </c>
      <c r="D11" s="176" t="inlineStr">
        <is>
          <t>15x</t>
        </is>
      </c>
      <c r="E11" s="176" t="inlineStr">
        <is>
          <t>Maliyet ve stok hareketinin kopması</t>
        </is>
      </c>
      <c r="F11" s="176" t="inlineStr">
        <is>
          <t>Stok devri</t>
        </is>
      </c>
    </row>
    <row r="12" ht="28" customHeight="1">
      <c r="A12" s="192" t="inlineStr">
        <is>
          <t>Maddi Duran Varlık</t>
        </is>
      </c>
      <c r="B12" s="176" t="inlineStr">
        <is>
          <t>Yatırım harcaması ve amortisman bağlantılı</t>
        </is>
      </c>
      <c r="C12" s="176" t="inlineStr">
        <is>
          <t>253 Tesis Makine Cihazlar, 255 Demirbaşlar, 257 Birikmiş Amortismanlar</t>
        </is>
      </c>
      <c r="D12" s="176" t="inlineStr">
        <is>
          <t>25x</t>
        </is>
      </c>
      <c r="E12" s="176" t="inlineStr">
        <is>
          <t>Yatırım/gider karışması</t>
        </is>
      </c>
      <c r="F12" s="176" t="inlineStr">
        <is>
          <t>Net defter değeri devri</t>
        </is>
      </c>
    </row>
    <row r="13">
      <c r="A13" s="192" t="inlineStr">
        <is>
          <t>Mali Borçlar</t>
        </is>
      </c>
      <c r="B13" s="176" t="inlineStr">
        <is>
          <t>Kısa/uzun vadeli borç ayrımı</t>
        </is>
      </c>
      <c r="C13" s="176" t="inlineStr">
        <is>
          <t>300 Banka Kredileri / 400 Banka Kredileri</t>
        </is>
      </c>
      <c r="D13" s="176" t="inlineStr">
        <is>
          <t>300 / 400</t>
        </is>
      </c>
      <c r="E13" s="176" t="inlineStr">
        <is>
          <t>Vade sınıfı yanlış</t>
        </is>
      </c>
      <c r="F13" s="176" t="inlineStr">
        <is>
          <t>Borç devri</t>
        </is>
      </c>
    </row>
    <row r="14">
      <c r="A14" s="192" t="inlineStr">
        <is>
          <t>Özkaynak</t>
        </is>
      </c>
      <c r="B14" s="176" t="inlineStr">
        <is>
          <t>Sermaye ve geçmiş yıl kârları ayrı</t>
        </is>
      </c>
      <c r="C14" s="176" t="inlineStr">
        <is>
          <t>500 Sermaye, 570 Geçmiş Yıllar Kârları, 590 Dönem Net Kârı</t>
        </is>
      </c>
      <c r="D14" s="176" t="inlineStr">
        <is>
          <t>5xx</t>
        </is>
      </c>
      <c r="E14" s="176" t="inlineStr">
        <is>
          <t>Net kâr bağının kopması</t>
        </is>
      </c>
      <c r="F14" s="176" t="inlineStr">
        <is>
          <t>Özkaynak devri</t>
        </is>
      </c>
    </row>
    <row r="15">
      <c r="A15" s="192" t="inlineStr">
        <is>
          <t>Vergi</t>
        </is>
      </c>
      <c r="B15" s="176" t="inlineStr">
        <is>
          <t>Vergi satırları Türkiye mantığına uygun</t>
        </is>
      </c>
      <c r="C15" s="176" t="inlineStr">
        <is>
          <t>Dönem Vergi ve Diğer Yasal Yükümlülük Karşılıkları</t>
        </is>
      </c>
      <c r="D15" s="176" t="inlineStr">
        <is>
          <t>37x / ilgili vergi hesapları</t>
        </is>
      </c>
      <c r="E15" s="176" t="inlineStr">
        <is>
          <t>Vergi etkisinin yanlış dönemlenmesi</t>
        </is>
      </c>
      <c r="F15" s="176" t="inlineStr">
        <is>
          <t>Vergi sözleşmesi</t>
        </is>
      </c>
    </row>
    <row r="16">
      <c r="A16" s="192" t="inlineStr">
        <is>
          <t>İsim standardı</t>
        </is>
      </c>
      <c r="B16" s="176" t="inlineStr">
        <is>
          <t>Tablo ve sayfa adları Türkçe ve işlevsel</t>
        </is>
      </c>
      <c r="C16" s="176" t="inlineStr">
        <is>
          <t>GELİR_TABLOSU, BİLANÇO, NAKİT_AKISI, BORC_PLANI</t>
        </is>
      </c>
      <c r="D16" s="176" t="inlineStr">
        <is>
          <t>Tekrarlanabilir standart</t>
        </is>
      </c>
      <c r="E16" s="176" t="inlineStr">
        <is>
          <t>İngilizce/karma isim</t>
        </is>
      </c>
      <c r="F16" s="176" t="inlineStr">
        <is>
          <t>Sayfa ve tablo taraması</t>
        </is>
      </c>
    </row>
    <row r="17">
      <c r="A17" s="192" t="inlineStr">
        <is>
          <t>THP eşleme tablosu</t>
        </is>
      </c>
      <c r="B17" s="176" t="inlineStr">
        <is>
          <t>Her kritik satır en az bir THP hesabına bağlanır</t>
        </is>
      </c>
      <c r="C17" s="176" t="inlineStr">
        <is>
          <t>RaporSatırı → HesapKodu → HesapAdı → İşaret → Dönem</t>
        </is>
      </c>
      <c r="D17" s="176" t="inlineStr">
        <is>
          <t>Kaynak izlenebilirliği</t>
        </is>
      </c>
      <c r="E17" s="176" t="inlineStr">
        <is>
          <t>Rapordan rapora kaynak</t>
        </is>
      </c>
      <c r="F17" s="176" t="inlineStr">
        <is>
          <t>Eşleme kapsama %100</t>
        </is>
      </c>
    </row>
    <row r="18">
      <c r="A18" s="192" t="inlineStr">
        <is>
          <t>İstisna</t>
        </is>
      </c>
      <c r="B18" s="176" t="inlineStr">
        <is>
          <t>TFRS özel ürün varsa fark açık yazılır</t>
        </is>
      </c>
      <c r="C18" s="176" t="inlineStr">
        <is>
          <t>Tekdüzen raporlama ≠ TFRS finansal tablo sunumu</t>
        </is>
      </c>
      <c r="D18" s="176" t="inlineStr">
        <is>
          <t>Amaç belirtilir</t>
        </is>
      </c>
      <c r="E18" s="176" t="inlineStr">
        <is>
          <t>Standartları karıştırma</t>
        </is>
      </c>
      <c r="F18" s="176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3" t="inlineStr">
        <is>
          <t>KARAR, GÜVEN VE SATIŞA HAZIRLIK STANDARDI</t>
        </is>
      </c>
    </row>
    <row r="3" ht="24" customHeight="1">
      <c r="A3" s="194" t="inlineStr">
        <is>
          <t>Alan</t>
        </is>
      </c>
      <c r="B3" s="194" t="inlineStr">
        <is>
          <t>Müşteri Sorusu</t>
        </is>
      </c>
      <c r="C3" s="194" t="inlineStr">
        <is>
          <t>Zorunlu Ürün Davranışı</t>
        </is>
      </c>
      <c r="D3" s="194" t="inlineStr">
        <is>
          <t>Kanıt</t>
        </is>
      </c>
      <c r="E3" s="194" t="inlineStr">
        <is>
          <t>Başarısızlık Durumu</t>
        </is>
      </c>
      <c r="F3" s="194" t="inlineStr">
        <is>
          <t>Kapı</t>
        </is>
      </c>
    </row>
    <row r="4">
      <c r="A4" s="195" t="inlineStr">
        <is>
          <t>5 saniye</t>
        </is>
      </c>
      <c r="B4" s="176" t="inlineStr">
        <is>
          <t>Bu ürün neyi çözüyor?</t>
        </is>
      </c>
      <c r="C4" s="176" t="inlineStr">
        <is>
          <t>İlk ekranda hedef kullanıcı + pahalı problem + sonuç görünür</t>
        </is>
      </c>
      <c r="D4" s="176" t="inlineStr">
        <is>
          <t>Başlık + alt mesaj + gerçek ekran</t>
        </is>
      </c>
      <c r="E4" s="176" t="inlineStr">
        <is>
          <t>Ürün yalnız teknik isim</t>
        </is>
      </c>
      <c r="F4" s="196" t="inlineStr">
        <is>
          <t>HATA</t>
        </is>
      </c>
    </row>
    <row r="5">
      <c r="A5" s="195" t="inlineStr">
        <is>
          <t>Acı</t>
        </is>
      </c>
      <c r="B5" s="176" t="inlineStr">
        <is>
          <t>Sorun bana neye mal oluyor?</t>
        </is>
      </c>
      <c r="C5" s="176" t="inlineStr">
        <is>
          <t>Mümkünse müşterinin kendi verisiyle parasal/zaman etkisi hesaplanır</t>
        </is>
      </c>
      <c r="D5" s="176" t="inlineStr">
        <is>
          <t>ROI/acı hesaplama yöntemi</t>
        </is>
      </c>
      <c r="E5" s="176" t="inlineStr">
        <is>
          <t>Uydurma tasarruf</t>
        </is>
      </c>
      <c r="F5" s="196" t="inlineStr">
        <is>
          <t>HATA</t>
        </is>
      </c>
    </row>
    <row r="6">
      <c r="A6" s="195" t="inlineStr">
        <is>
          <t>Karar</t>
        </is>
      </c>
      <c r="B6" s="176" t="inlineStr">
        <is>
          <t>Bu bilgiyle ne yapacağım?</t>
        </is>
      </c>
      <c r="C6" s="176" t="inlineStr">
        <is>
          <t>Her kritik KPI aksiyona bağlanır</t>
        </is>
      </c>
      <c r="D6" s="176" t="inlineStr">
        <is>
          <t>KARAR_KUYRUGU</t>
        </is>
      </c>
      <c r="E6" s="176" t="inlineStr">
        <is>
          <t>Sadece rapor</t>
        </is>
      </c>
      <c r="F6" s="196" t="inlineStr">
        <is>
          <t>HATA</t>
        </is>
      </c>
    </row>
    <row r="7">
      <c r="A7" s="195" t="inlineStr">
        <is>
          <t>Güven</t>
        </is>
      </c>
      <c r="B7" s="176" t="inlineStr">
        <is>
          <t>Bu sayıya neden inanayım?</t>
        </is>
      </c>
      <c r="C7" s="176" t="inlineStr">
        <is>
          <t>Kaynak, formül mantığı, kontrol ve son doğrulama görünür</t>
        </is>
      </c>
      <c r="D7" s="176" t="inlineStr">
        <is>
          <t>Kontroller + kaynak izi + sürüm</t>
        </is>
      </c>
      <c r="E7" s="176" t="inlineStr">
        <is>
          <t>Prestij kelimesi</t>
        </is>
      </c>
      <c r="F7" s="196" t="inlineStr">
        <is>
          <t>HATA</t>
        </is>
      </c>
    </row>
    <row r="8">
      <c r="A8" s="195" t="inlineStr">
        <is>
          <t>Referans</t>
        </is>
      </c>
      <c r="B8" s="176" t="inlineStr">
        <is>
          <t>Müşteri yorumu yoksa ne göstereceğim?</t>
        </is>
      </c>
      <c r="C8" s="176" t="inlineStr">
        <is>
          <t>Önce/Sonra + Karar Vakası + Hata Önleme Vakası üretilir</t>
        </is>
      </c>
      <c r="D8" s="176" t="inlineStr">
        <is>
          <t>Demo/örnek çıktı</t>
        </is>
      </c>
      <c r="E8" s="176" t="inlineStr">
        <is>
          <t>Kanıtsız iddia</t>
        </is>
      </c>
      <c r="F8" s="196" t="inlineStr">
        <is>
          <t>HATA</t>
        </is>
      </c>
    </row>
    <row r="9">
      <c r="A9" s="195" t="inlineStr">
        <is>
          <t>Senaryo</t>
        </is>
      </c>
      <c r="B9" s="176" t="inlineStr">
        <is>
          <t>Ne olursa işler bozulur?</t>
        </is>
      </c>
      <c r="C9" s="176" t="inlineStr">
        <is>
          <t>Baz/Aşağı/Yukarı veya uygun stres senaryosu</t>
        </is>
      </c>
      <c r="D9" s="176" t="inlineStr">
        <is>
          <t>Senaryo karşılaştırma</t>
        </is>
      </c>
      <c r="E9" s="176" t="inlineStr">
        <is>
          <t>Dekoratif senaryo</t>
        </is>
      </c>
      <c r="F9" s="196" t="inlineStr">
        <is>
          <t>HATA</t>
        </is>
      </c>
    </row>
    <row r="10">
      <c r="A10" s="195" t="inlineStr">
        <is>
          <t>Ters stres</t>
        </is>
      </c>
      <c r="B10" s="176" t="inlineStr">
        <is>
          <t>Hangi eşikte karar kırılır?</t>
        </is>
      </c>
      <c r="C10" s="176" t="inlineStr">
        <is>
          <t>En az bir kritik sürücü için kırılma eşiği</t>
        </is>
      </c>
      <c r="D10" s="176" t="inlineStr">
        <is>
          <t>Kırılma eşiği tablosu</t>
        </is>
      </c>
      <c r="E10" s="176" t="inlineStr">
        <is>
          <t>Sadece +/- %10</t>
        </is>
      </c>
      <c r="F10" s="196" t="inlineStr">
        <is>
          <t>UYARI/HATA</t>
        </is>
      </c>
    </row>
    <row r="11">
      <c r="A11" s="195" t="inlineStr">
        <is>
          <t>Hata tutarlılığı</t>
        </is>
      </c>
      <c r="B11" s="176" t="inlineStr">
        <is>
          <t>Formül hata verirse ne olur?</t>
        </is>
      </c>
      <c r="C11" s="176" t="inlineStr">
        <is>
          <t>Kontrol GEÇTİ veremez; BLOKE/HATA üretir</t>
        </is>
      </c>
      <c r="D11" s="176" t="inlineStr">
        <is>
          <t>Hata taraması</t>
        </is>
      </c>
      <c r="E11" s="176" t="inlineStr">
        <is>
          <t>Hata + GEÇTİ birlikte</t>
        </is>
      </c>
      <c r="F11" s="196" t="inlineStr">
        <is>
          <t>HATA</t>
        </is>
      </c>
    </row>
    <row r="12">
      <c r="A12" s="195" t="inlineStr">
        <is>
          <t>Karar motoru</t>
        </is>
      </c>
      <c r="B12" s="176" t="inlineStr">
        <is>
          <t>Ne oldu, neden oldu?</t>
        </is>
      </c>
      <c r="C12" s="176" t="inlineStr">
        <is>
          <t>Sorun + neden + parasal etki + aksiyon + son tarih</t>
        </is>
      </c>
      <c r="D12" s="176" t="inlineStr">
        <is>
          <t>Karar tablosu</t>
        </is>
      </c>
      <c r="E12" s="176" t="inlineStr">
        <is>
          <t>Boş sayfa / isim düzeyi modül</t>
        </is>
      </c>
      <c r="F12" s="196" t="inlineStr">
        <is>
          <t>HATA</t>
        </is>
      </c>
    </row>
    <row r="13">
      <c r="A13" s="195" t="inlineStr">
        <is>
          <t>Yönetici özeti</t>
        </is>
      </c>
      <c r="B13" s="176" t="inlineStr">
        <is>
          <t>5 saniyede ne görmeliyim?</t>
        </is>
      </c>
      <c r="C13" s="176" t="inlineStr">
        <is>
          <t>Bugün / ne değişti / ne bozulacak / neden / ne yapmalıyım / güven</t>
        </is>
      </c>
      <c r="D13" s="176" t="inlineStr">
        <is>
          <t>Yönetici özeti ekranı</t>
        </is>
      </c>
      <c r="E13" s="176" t="inlineStr">
        <is>
          <t>KPI kutusu yığını</t>
        </is>
      </c>
      <c r="F13" s="196" t="inlineStr">
        <is>
          <t>HATA</t>
        </is>
      </c>
    </row>
    <row r="14">
      <c r="A14" s="195" t="inlineStr">
        <is>
          <t>Teklif</t>
        </is>
      </c>
      <c r="B14" s="176" t="inlineStr">
        <is>
          <t>Neden satın almalıyım?</t>
        </is>
      </c>
      <c r="C14" s="176" t="inlineStr">
        <is>
          <t>Dosya özellikleri yerine sonuç ve kaçınılan maliyet sunulur</t>
        </is>
      </c>
      <c r="D14" s="176" t="inlineStr">
        <is>
          <t>Ürün sayfası kanıt eşlemesi</t>
        </is>
      </c>
      <c r="E14" s="176" t="inlineStr">
        <is>
          <t>Özellik listesiyle satış</t>
        </is>
      </c>
      <c r="F14" s="196" t="inlineStr">
        <is>
          <t>HATA</t>
        </is>
      </c>
    </row>
    <row r="15">
      <c r="A15" s="195" t="inlineStr">
        <is>
          <t>Dağıtım</t>
        </is>
      </c>
      <c r="B15" s="176" t="inlineStr">
        <is>
          <t>Beni nasıl bulacaklar?</t>
        </is>
      </c>
      <c r="C15" s="176" t="inlineStr">
        <is>
          <t>Sorun niyetine göre SEO sayfaları, iç bağlantı, temiz yapı, taranabilir metin</t>
        </is>
      </c>
      <c r="D15" s="176" t="inlineStr">
        <is>
          <t>Arama niyeti haritası</t>
        </is>
      </c>
      <c r="E15" s="176" t="inlineStr">
        <is>
          <t>Tek ürün sayfasına bağımlılık</t>
        </is>
      </c>
      <c r="F15" s="196" t="inlineStr">
        <is>
          <t>UYARI</t>
        </is>
      </c>
    </row>
    <row r="16" ht="28" customHeight="1">
      <c r="A16" s="195" t="inlineStr">
        <is>
          <t>LLM görünürlüğü</t>
        </is>
      </c>
      <c r="B16" s="176" t="inlineStr">
        <is>
          <t>AI ürünümü anlayabiliyor mu?</t>
        </is>
      </c>
      <c r="C16" s="176" t="inlineStr">
        <is>
          <t>Ürün tanımı, hedef kullanıcı, girdi/çıktı, metodoloji, sınırlar, SSS açık metindir</t>
        </is>
      </c>
      <c r="D16" s="176" t="inlineStr">
        <is>
          <t>Taranabilir ürün içeriği</t>
        </is>
      </c>
      <c r="E16" s="176" t="inlineStr">
        <is>
          <t>'AI SEO' iddiası</t>
        </is>
      </c>
      <c r="F16" s="196" t="inlineStr">
        <is>
          <t>UYARI</t>
        </is>
      </c>
    </row>
    <row r="17">
      <c r="A17" s="195" t="inlineStr">
        <is>
          <t>Satış kanalı</t>
        </is>
      </c>
      <c r="B17" s="176" t="inlineStr">
        <is>
          <t>Nerede satılmalı?</t>
        </is>
      </c>
      <c r="C17" s="176" t="inlineStr">
        <is>
          <t>Arama, LinkedIn, uzman/partner, demo/video; ürüne göre kanal seçilir</t>
        </is>
      </c>
      <c r="D17" s="176" t="inlineStr">
        <is>
          <t>Kanal matrisi</t>
        </is>
      </c>
      <c r="E17" s="176" t="inlineStr">
        <is>
          <t>Her ürüne aynı kanal</t>
        </is>
      </c>
      <c r="F17" s="196" t="inlineStr">
        <is>
          <t>UYARI</t>
        </is>
      </c>
    </row>
    <row r="18">
      <c r="A18" s="195" t="inlineStr">
        <is>
          <t>Fiyat</t>
        </is>
      </c>
      <c r="B18" s="176" t="inlineStr">
        <is>
          <t>Bu fiyat neden mantıklı?</t>
        </is>
      </c>
      <c r="C18" s="176" t="inlineStr">
        <is>
          <t>Fiyat, ekonomik karar değerine ve kanıtlanmış ürün derinliğine bağlanır</t>
        </is>
      </c>
      <c r="D18" s="176" t="inlineStr">
        <is>
          <t>Değer haritası + demo</t>
        </is>
      </c>
      <c r="E18" s="176" t="inlineStr">
        <is>
          <t>Sırf sayfa/formül sayısı</t>
        </is>
      </c>
      <c r="F18" s="196" t="inlineStr">
        <is>
          <t>HATA</t>
        </is>
      </c>
    </row>
    <row r="19">
      <c r="A19" s="195" t="inlineStr">
        <is>
          <t>Pazar kanıtı</t>
        </is>
      </c>
      <c r="B19" s="176" t="inlineStr">
        <is>
          <t>Piyasa gerçekten ödüyor mu?</t>
        </is>
      </c>
      <c r="C19" s="176" t="inlineStr">
        <is>
          <t>Satış/pilot/LOI/fiyat kabulü olmadan pazar doğrulandı yazılmaz</t>
        </is>
      </c>
      <c r="D19" s="176" t="inlineStr">
        <is>
          <t>Gerçek işlem kanıtı</t>
        </is>
      </c>
      <c r="E19" s="176" t="inlineStr">
        <is>
          <t>Tahmini talep = satış kabulü</t>
        </is>
      </c>
      <c r="F19" s="196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Yurt Dışı Yapılanma Vergi Simülatörü</t>
        </is>
      </c>
    </row>
    <row r="3" ht="30" customHeight="1">
      <c r="A3" s="3" t="inlineStr">
        <is>
          <t>Yurt Dışı Yapılanma Vergi Simülatörü</t>
        </is>
      </c>
    </row>
    <row r="4">
      <c r="A4" s="4" t="inlineStr">
        <is>
          <t>Ülke, yapılanma tipi ve kâr girdilerini girin; efektif vergi, çift vergilendirme yükü ve şube / iştirak / ofis kararını senaryolu üretin.</t>
        </is>
      </c>
    </row>
    <row r="6">
      <c r="A6" s="5" t="inlineStr">
        <is>
          <t>Bu ürün ne sağlar?</t>
        </is>
      </c>
    </row>
    <row r="7">
      <c r="A7" s="6" t="inlineStr">
        <is>
          <t>• Şube / iştirak / limited / ofis senaryolarında efektif vergi karşılaştırması</t>
        </is>
      </c>
    </row>
    <row r="8">
      <c r="A8" s="6" t="inlineStr">
        <is>
          <t>• Çift vergilendirme yükü, TR ek matrah riski ve TF puanı ile risk rozeti</t>
        </is>
      </c>
    </row>
    <row r="9">
      <c r="A9" s="6" t="inlineStr">
        <is>
          <t>• Çok yıllı kural tablosu (2025/2026/2027) + M-SEN kural değişimi</t>
        </is>
      </c>
    </row>
    <row r="10">
      <c r="A10" s="6" t="inlineStr">
        <is>
          <t>• Altın vakalar ve KANIT_RAPORU (A4 imza)</t>
        </is>
      </c>
    </row>
    <row r="11">
      <c r="A11" s="6" t="inlineStr">
        <is>
          <t>• Belirsizlik beyanı: PE atıf yorumu A / B</t>
        </is>
      </c>
    </row>
    <row r="13">
      <c r="A13" s="5" t="inlineStr">
        <is>
          <t>Kimler için?</t>
        </is>
      </c>
    </row>
    <row r="14">
      <c r="A14" s="7" t="inlineStr">
        <is>
          <t>• SMMM / YMM — yapı önerisini imzalı kanıtla sunmak</t>
        </is>
      </c>
    </row>
    <row r="15">
      <c r="A15" s="7" t="inlineStr">
        <is>
          <t>• CFO — efektif vergi ve çift vergi yükünü bütçelemek</t>
        </is>
      </c>
    </row>
    <row r="16">
      <c r="A16" s="7" t="inlineStr">
        <is>
          <t>• Ortak / yönetim — şube vs iştirak kararını riskle görmek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70" customWidth="1" min="2" max="2"/>
  </cols>
  <sheetData>
    <row r="1" ht="26" customHeight="1">
      <c r="A1" s="1" t="inlineStr">
        <is>
          <t>HIZLI BASLANGIC — Yurt Dışı Yapılanma Vergi Simülatörü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GIRDI'de ülke, yapılanma tipi, YD kâr, yerel oran, stopaj, kur, istisna ve TF puanını girin.</t>
        </is>
      </c>
    </row>
    <row r="6">
      <c r="A6" s="10" t="inlineStr">
        <is>
          <t>Adım 2 — Karar</t>
        </is>
      </c>
      <c r="B6" s="6" t="inlineStr">
        <is>
          <t>PANO'da efektif vergi, çift vergi yükü, yapı önerisi ve UYGUN/DİKKAT/RİSKLİ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YD kârı TL yerine döviz biriminde girip kuru 1 bırakmak</t>
        </is>
      </c>
    </row>
    <row r="11">
      <c r="A11" s="12" t="inlineStr">
        <is>
          <t>• İştirak istisnasını yanlış işaretlemek</t>
        </is>
      </c>
    </row>
    <row r="12">
      <c r="A12" s="12" t="inlineStr">
        <is>
          <t>• TF risk puanını boş bırakmak</t>
        </is>
      </c>
    </row>
    <row r="14">
      <c r="A14" s="13" t="inlineStr">
        <is>
          <t>Bu dosya karar destek aracıdır; kesin vergi sonucu veya hukuki görüş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1:H11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Yurt Dışı Yapılanma Vergi Simülatörü</t>
        </is>
      </c>
    </row>
    <row r="3">
      <c r="A3" s="9" t="inlineStr">
        <is>
          <t>Yapılanma girdileri</t>
        </is>
      </c>
    </row>
    <row r="4">
      <c r="A4" s="4" t="inlineStr">
        <is>
          <t>Sarı hücreler manuel giriştir. TL dönüşümü ve vergi formülle üretilir.</t>
        </is>
      </c>
    </row>
    <row r="5">
      <c r="A5" s="31" t="inlineStr">
        <is>
          <t>Alan</t>
        </is>
      </c>
      <c r="B5" s="31" t="inlineStr">
        <is>
          <t>Değer</t>
        </is>
      </c>
      <c r="C5" s="31" t="inlineStr">
        <is>
          <t>Birim</t>
        </is>
      </c>
    </row>
    <row r="6">
      <c r="A6" s="7" t="inlineStr">
        <is>
          <t>Şirket Adı</t>
        </is>
      </c>
      <c r="B6" s="32" t="inlineStr">
        <is>
          <t>Örnek Holding A.Ş.</t>
        </is>
      </c>
      <c r="C6" s="29" t="inlineStr">
        <is>
          <t>metin</t>
        </is>
      </c>
    </row>
    <row r="7">
      <c r="A7" s="7" t="inlineStr">
        <is>
          <t>Dönem</t>
        </is>
      </c>
      <c r="B7" s="32" t="inlineStr">
        <is>
          <t>2026</t>
        </is>
      </c>
      <c r="C7" s="29" t="inlineStr">
        <is>
          <t>metin</t>
        </is>
      </c>
    </row>
    <row r="8">
      <c r="A8" s="7" t="inlineStr">
        <is>
          <t>Hesap Yılı</t>
        </is>
      </c>
      <c r="B8" s="33" t="n">
        <v>2026</v>
      </c>
      <c r="C8" s="29" t="inlineStr">
        <is>
          <t>yıl</t>
        </is>
      </c>
    </row>
    <row r="9">
      <c r="A9" s="7" t="inlineStr">
        <is>
          <t>Ülke</t>
        </is>
      </c>
      <c r="B9" s="32" t="inlineStr">
        <is>
          <t>Almanya</t>
        </is>
      </c>
      <c r="C9" s="29" t="inlineStr">
        <is>
          <t>metin</t>
        </is>
      </c>
    </row>
    <row r="10">
      <c r="A10" s="7" t="inlineStr">
        <is>
          <t>Yapılanma Tipi</t>
        </is>
      </c>
      <c r="B10" s="32" t="inlineStr">
        <is>
          <t>İŞTİRAK</t>
        </is>
      </c>
      <c r="C10" s="29" t="inlineStr">
        <is>
          <t>metin</t>
        </is>
      </c>
    </row>
    <row r="11">
      <c r="A11" s="7" t="inlineStr">
        <is>
          <t>Yurt Dışı Kâr [PB]</t>
        </is>
      </c>
      <c r="B11" s="34" t="n">
        <v>500000</v>
      </c>
      <c r="C11" s="29" t="inlineStr">
        <is>
          <t>PB</t>
        </is>
      </c>
    </row>
    <row r="12">
      <c r="A12" s="7" t="inlineStr">
        <is>
          <t>Yerel Vergi Oranı [%]</t>
        </is>
      </c>
      <c r="B12" s="35" t="n">
        <v>0.3</v>
      </c>
      <c r="C12" s="29" t="inlineStr">
        <is>
          <t>%</t>
        </is>
      </c>
    </row>
    <row r="13">
      <c r="A13" s="7" t="inlineStr">
        <is>
          <t>Stopaj Oranı [%]</t>
        </is>
      </c>
      <c r="B13" s="35" t="n">
        <v>0.05</v>
      </c>
      <c r="C13" s="29" t="inlineStr">
        <is>
          <t>%</t>
        </is>
      </c>
    </row>
    <row r="14">
      <c r="A14" s="7" t="inlineStr">
        <is>
          <t>Döviz Kuru [TL/PB]</t>
        </is>
      </c>
      <c r="B14" s="33" t="n">
        <v>36</v>
      </c>
      <c r="C14" s="29" t="inlineStr">
        <is>
          <t>TL/PB</t>
        </is>
      </c>
    </row>
    <row r="15">
      <c r="A15" s="7" t="inlineStr">
        <is>
          <t>İştirak İstisnası</t>
        </is>
      </c>
      <c r="B15" s="32" t="inlineStr">
        <is>
          <t>Evet</t>
        </is>
      </c>
      <c r="C15" s="29" t="inlineStr">
        <is>
          <t>metin</t>
        </is>
      </c>
    </row>
    <row r="16">
      <c r="A16" s="7" t="inlineStr">
        <is>
          <t>TF Risk Puanı</t>
        </is>
      </c>
      <c r="B16" s="33" t="n">
        <v>40</v>
      </c>
      <c r="C16" s="29" t="inlineStr">
        <is>
          <t>puan</t>
        </is>
      </c>
    </row>
    <row r="17">
      <c r="A17" s="7" t="inlineStr">
        <is>
          <t>PE Atıf Yorumu (A/B)</t>
        </is>
      </c>
      <c r="B17" s="32" t="inlineStr">
        <is>
          <t>A</t>
        </is>
      </c>
      <c r="C17" s="29" t="inlineStr">
        <is>
          <t>metin</t>
        </is>
      </c>
    </row>
    <row r="19">
      <c r="A19" s="10" t="inlineStr">
        <is>
          <t>YD Kâr TL [₺]</t>
        </is>
      </c>
      <c r="B19" s="36">
        <f>IFERROR(B11*B14,0)</f>
        <v/>
      </c>
    </row>
    <row r="20">
      <c r="A20" s="10" t="inlineStr">
        <is>
          <t>Giriş doluluk (kalite)</t>
        </is>
      </c>
      <c r="B20" s="37">
        <f>IFERROR(IF(OR(COUNTA(B6:B17)=0,ydv_girisBeklenen=0),0,ROUND(COUNTA(B6:B17)/ydv_girisBeklenen*100,0)),0)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23" t="inlineStr">
        <is>
          <t>Alan Anahtarı</t>
        </is>
      </c>
      <c r="B23" s="23" t="inlineStr">
        <is>
          <t>Değer</t>
        </is>
      </c>
      <c r="C23" s="23" t="inlineStr">
        <is>
          <t>Birim</t>
        </is>
      </c>
      <c r="D23" s="23" t="inlineStr">
        <is>
          <t>Zorunlu</t>
        </is>
      </c>
      <c r="E23" s="23" t="inlineStr">
        <is>
          <t>Kaynak</t>
        </is>
      </c>
      <c r="F23" s="23" t="inlineStr">
        <is>
          <t>Kontrol</t>
        </is>
      </c>
    </row>
    <row r="24">
      <c r="A24" s="38" t="inlineStr">
        <is>
          <t>sirket_adi</t>
        </is>
      </c>
      <c r="B24" s="38" t="inlineStr">
        <is>
          <t>Örnek Holding A.Ş.</t>
        </is>
      </c>
      <c r="C24" s="38" t="inlineStr">
        <is>
          <t>metin</t>
        </is>
      </c>
      <c r="D24" s="38" t="inlineStr">
        <is>
          <t>Evet</t>
        </is>
      </c>
      <c r="E24" s="38" t="inlineStr">
        <is>
          <t>GIRDI</t>
        </is>
      </c>
      <c r="F24" s="39">
        <f>IF($A24="","",IF($B24="","EKSİK","TAM"))</f>
        <v/>
      </c>
    </row>
    <row r="25">
      <c r="A25" s="38" t="inlineStr">
        <is>
          <t>donem</t>
        </is>
      </c>
      <c r="B25" s="38" t="inlineStr">
        <is>
          <t>2026</t>
        </is>
      </c>
      <c r="C25" s="38" t="inlineStr">
        <is>
          <t>metin</t>
        </is>
      </c>
      <c r="D25" s="38" t="inlineStr">
        <is>
          <t>Evet</t>
        </is>
      </c>
      <c r="E25" s="38" t="inlineStr">
        <is>
          <t>GIRDI</t>
        </is>
      </c>
      <c r="F25" s="39">
        <f>IF($A25="","",IF($B25="","EKSİK","TAM"))</f>
        <v/>
      </c>
    </row>
    <row r="26">
      <c r="A26" s="38" t="inlineStr">
        <is>
          <t>hesapYili</t>
        </is>
      </c>
      <c r="B26" s="40" t="n">
        <v>2026</v>
      </c>
      <c r="C26" s="38" t="inlineStr">
        <is>
          <t>yıl</t>
        </is>
      </c>
      <c r="D26" s="38" t="inlineStr">
        <is>
          <t>Evet</t>
        </is>
      </c>
      <c r="E26" s="38" t="inlineStr">
        <is>
          <t>GIRDI</t>
        </is>
      </c>
      <c r="F26" s="39">
        <f>IF($A26="","",IF($B26="","EKSİK","TAM"))</f>
        <v/>
      </c>
    </row>
    <row r="27">
      <c r="A27" s="38" t="inlineStr">
        <is>
          <t>ulke</t>
        </is>
      </c>
      <c r="B27" s="38" t="inlineStr">
        <is>
          <t>Almanya</t>
        </is>
      </c>
      <c r="C27" s="38" t="inlineStr">
        <is>
          <t>metin</t>
        </is>
      </c>
      <c r="D27" s="38" t="inlineStr">
        <is>
          <t>Evet</t>
        </is>
      </c>
      <c r="E27" s="38" t="inlineStr">
        <is>
          <t>GIRDI</t>
        </is>
      </c>
      <c r="F27" s="39">
        <f>IF($A27="","",IF($B27="","EKSİK","TAM"))</f>
        <v/>
      </c>
    </row>
    <row r="28">
      <c r="A28" s="38" t="inlineStr">
        <is>
          <t>yapilanma_tipi</t>
        </is>
      </c>
      <c r="B28" s="38" t="inlineStr">
        <is>
          <t>İŞTİRAK</t>
        </is>
      </c>
      <c r="C28" s="38" t="inlineStr">
        <is>
          <t>liste</t>
        </is>
      </c>
      <c r="D28" s="38" t="inlineStr">
        <is>
          <t>Evet</t>
        </is>
      </c>
      <c r="E28" s="38" t="inlineStr">
        <is>
          <t>GIRDI</t>
        </is>
      </c>
      <c r="F28" s="39">
        <f>IF($A28="","",IF($B28="","EKSİK","TAM"))</f>
        <v/>
      </c>
    </row>
    <row r="29">
      <c r="A29" s="38" t="inlineStr">
        <is>
          <t>yurt_disi_kar</t>
        </is>
      </c>
      <c r="B29" s="41" t="n">
        <v>500000</v>
      </c>
      <c r="C29" s="38" t="inlineStr">
        <is>
          <t>PB</t>
        </is>
      </c>
      <c r="D29" s="38" t="inlineStr">
        <is>
          <t>Evet</t>
        </is>
      </c>
      <c r="E29" s="38" t="inlineStr">
        <is>
          <t>GIRDI</t>
        </is>
      </c>
      <c r="F29" s="39">
        <f>IF($A29="","",IF($B29="","EKSİK","TAM"))</f>
        <v/>
      </c>
    </row>
    <row r="30">
      <c r="A30" s="38" t="inlineStr">
        <is>
          <t>yerel_vergi_orani</t>
        </is>
      </c>
      <c r="B30" s="42" t="n">
        <v>0.3</v>
      </c>
      <c r="C30" s="38" t="inlineStr">
        <is>
          <t>%</t>
        </is>
      </c>
      <c r="D30" s="38" t="inlineStr">
        <is>
          <t>Evet</t>
        </is>
      </c>
      <c r="E30" s="38" t="inlineStr">
        <is>
          <t>GIRDI</t>
        </is>
      </c>
      <c r="F30" s="39">
        <f>IF($A30="","",IF($B30="","EKSİK","TAM"))</f>
        <v/>
      </c>
    </row>
    <row r="31">
      <c r="A31" s="38" t="inlineStr">
        <is>
          <t>stopaj_orani</t>
        </is>
      </c>
      <c r="B31" s="42" t="n">
        <v>0.05</v>
      </c>
      <c r="C31" s="38" t="inlineStr">
        <is>
          <t>%</t>
        </is>
      </c>
      <c r="D31" s="38" t="inlineStr">
        <is>
          <t>Evet</t>
        </is>
      </c>
      <c r="E31" s="38" t="inlineStr">
        <is>
          <t>GIRDI</t>
        </is>
      </c>
      <c r="F31" s="39">
        <f>IF($A31="","",IF($B31="","EKSİK","TAM"))</f>
        <v/>
      </c>
    </row>
    <row r="32">
      <c r="A32" s="38" t="inlineStr">
        <is>
          <t>doviz_kuru</t>
        </is>
      </c>
      <c r="B32" s="40" t="n">
        <v>36</v>
      </c>
      <c r="C32" s="38" t="inlineStr">
        <is>
          <t>TL/PB</t>
        </is>
      </c>
      <c r="D32" s="38" t="inlineStr">
        <is>
          <t>Evet</t>
        </is>
      </c>
      <c r="E32" s="38" t="inlineStr">
        <is>
          <t>GIRDI</t>
        </is>
      </c>
      <c r="F32" s="39">
        <f>IF($A32="","",IF($B32="","EKSİK","TAM"))</f>
        <v/>
      </c>
    </row>
    <row r="33">
      <c r="A33" s="38" t="inlineStr">
        <is>
          <t>istirak_istisnasi</t>
        </is>
      </c>
      <c r="B33" s="38" t="inlineStr">
        <is>
          <t>Evet</t>
        </is>
      </c>
      <c r="C33" s="38" t="inlineStr">
        <is>
          <t>E/H</t>
        </is>
      </c>
      <c r="D33" s="38" t="inlineStr">
        <is>
          <t>Evet</t>
        </is>
      </c>
      <c r="E33" s="38" t="inlineStr">
        <is>
          <t>GIRDI</t>
        </is>
      </c>
      <c r="F33" s="39">
        <f>IF($A33="","",IF($B33="","EKSİK","TAM"))</f>
        <v/>
      </c>
    </row>
    <row r="34">
      <c r="A34" s="38" t="inlineStr">
        <is>
          <t>tf_risk_puani</t>
        </is>
      </c>
      <c r="B34" s="40" t="n">
        <v>40</v>
      </c>
      <c r="C34" s="38" t="inlineStr">
        <is>
          <t>puan</t>
        </is>
      </c>
      <c r="D34" s="38" t="inlineStr">
        <is>
          <t>Evet</t>
        </is>
      </c>
      <c r="E34" s="38" t="inlineStr">
        <is>
          <t>GIRDI</t>
        </is>
      </c>
      <c r="F34" s="39">
        <f>IF($A34="","",IF($B34="","EKSİK","TAM"))</f>
        <v/>
      </c>
    </row>
    <row r="35">
      <c r="A35" s="38" t="inlineStr">
        <is>
          <t>yorum_modu</t>
        </is>
      </c>
      <c r="B35" s="38" t="inlineStr">
        <is>
          <t>A</t>
        </is>
      </c>
      <c r="C35" s="38" t="inlineStr">
        <is>
          <t>A/B</t>
        </is>
      </c>
      <c r="D35" s="38" t="inlineStr">
        <is>
          <t>Evet</t>
        </is>
      </c>
      <c r="E35" s="38" t="inlineStr">
        <is>
          <t>GIRDI</t>
        </is>
      </c>
      <c r="F35" s="39">
        <f>IF($A35="","",IF($B35="","EKSİK","TAM"))</f>
        <v/>
      </c>
    </row>
    <row r="36">
      <c r="F36" s="39">
        <f>IF($A36="","",IF($B36="","EKSİK","TAM"))</f>
        <v/>
      </c>
    </row>
    <row r="37">
      <c r="F37" s="39">
        <f>IF($A37="","",IF($B37="","EKSİK","TAM"))</f>
        <v/>
      </c>
    </row>
    <row r="38">
      <c r="F38" s="39">
        <f>IF($A38="","",IF($B38="","EKSİK","TAM"))</f>
        <v/>
      </c>
    </row>
    <row r="39">
      <c r="F39" s="39">
        <f>IF($A39="","",IF($B39="","EKSİK","TAM"))</f>
        <v/>
      </c>
    </row>
    <row r="40">
      <c r="F40" s="39">
        <f>IF($A40="","",IF($B40="","EKSİK","TAM"))</f>
        <v/>
      </c>
    </row>
    <row r="41">
      <c r="F41" s="39">
        <f>IF($A41="","",IF($B41="","EKSİK","TAM"))</f>
        <v/>
      </c>
    </row>
    <row r="42">
      <c r="F42" s="39">
        <f>IF($A42="","",IF($B42="","EKSİK","TAM"))</f>
        <v/>
      </c>
    </row>
    <row r="43">
      <c r="F43" s="39">
        <f>IF($A43="","",IF($B43="","EKSİK","TAM"))</f>
        <v/>
      </c>
    </row>
    <row r="44">
      <c r="F44" s="39">
        <f>IF($A44="","",IF($B44="","EKSİK","TAM"))</f>
        <v/>
      </c>
    </row>
    <row r="45">
      <c r="F45" s="39">
        <f>IF($A45="","",IF($B45="","EKSİK","TAM"))</f>
        <v/>
      </c>
    </row>
    <row r="46">
      <c r="F46" s="39">
        <f>IF($A46="","",IF($B46="","EKSİK","TAM"))</f>
        <v/>
      </c>
    </row>
    <row r="47">
      <c r="F47" s="39">
        <f>IF($A47="","",IF($B47="","EKSİK","TAM"))</f>
        <v/>
      </c>
    </row>
    <row r="48">
      <c r="F48" s="39">
        <f>IF($A48="","",IF($B48="","EKSİK","TAM"))</f>
        <v/>
      </c>
    </row>
    <row r="49">
      <c r="F49" s="39">
        <f>IF($A49="","",IF($B49="","EKSİK","TAM"))</f>
        <v/>
      </c>
    </row>
    <row r="50">
      <c r="F50" s="39">
        <f>IF($A50="","",IF($B50="","EKSİK","TAM"))</f>
        <v/>
      </c>
    </row>
    <row r="51">
      <c r="F51" s="39">
        <f>IF($A51="","",IF($B51="","EKSİK","TAM"))</f>
        <v/>
      </c>
    </row>
    <row r="52">
      <c r="F52" s="39">
        <f>IF($A52="","",IF($B52="","EKSİK","TAM"))</f>
        <v/>
      </c>
    </row>
    <row r="53">
      <c r="F53" s="39">
        <f>IF($A53="","",IF($B53="","EKSİK","TAM"))</f>
        <v/>
      </c>
    </row>
    <row r="54">
      <c r="F54" s="39">
        <f>IF($A54="","",IF($B54="","EKSİK","TAM"))</f>
        <v/>
      </c>
    </row>
    <row r="55">
      <c r="F55" s="39">
        <f>IF($A55="","",IF($B55="","EKSİK","TAM"))</f>
        <v/>
      </c>
    </row>
    <row r="56">
      <c r="F56" s="39">
        <f>IF($A56="","",IF($B56="","EKSİK","TAM"))</f>
        <v/>
      </c>
    </row>
    <row r="57">
      <c r="F57" s="39">
        <f>IF($A57="","",IF($B57="","EKSİK","TAM"))</f>
        <v/>
      </c>
    </row>
    <row r="58">
      <c r="F58" s="39">
        <f>IF($A58="","",IF($B58="","EKSİK","TAM"))</f>
        <v/>
      </c>
    </row>
    <row r="59">
      <c r="F59" s="39">
        <f>IF($A59="","",IF($B59="","EKSİK","TAM"))</f>
        <v/>
      </c>
    </row>
    <row r="60">
      <c r="F60" s="39">
        <f>IF($A60="","",IF($B60="","EKSİK","TAM"))</f>
        <v/>
      </c>
    </row>
    <row r="61">
      <c r="F61" s="39">
        <f>IF($A61="","",IF($B61="","EKSİK","TAM"))</f>
        <v/>
      </c>
    </row>
    <row r="62">
      <c r="F62" s="39">
        <f>IF($A62="","",IF($B62="","EKSİK","TAM"))</f>
        <v/>
      </c>
    </row>
    <row r="63">
      <c r="F63" s="39">
        <f>IF($A63="","",IF($B63="","EKSİK","TAM"))</f>
        <v/>
      </c>
    </row>
    <row r="64">
      <c r="F64" s="39">
        <f>IF($A64="","",IF($B64="","EKSİK","TAM"))</f>
        <v/>
      </c>
    </row>
    <row r="65">
      <c r="F65" s="39">
        <f>IF($A65="","",IF($B65="","EKSİK","TAM"))</f>
        <v/>
      </c>
    </row>
    <row r="66">
      <c r="F66" s="39">
        <f>IF($A66="","",IF($B66="","EKSİK","TAM"))</f>
        <v/>
      </c>
    </row>
    <row r="67">
      <c r="F67" s="39">
        <f>IF($A67="","",IF($B67="","EKSİK","TAM"))</f>
        <v/>
      </c>
    </row>
    <row r="68">
      <c r="F68" s="39">
        <f>IF($A68="","",IF($B68="","EKSİK","TAM"))</f>
        <v/>
      </c>
    </row>
    <row r="69">
      <c r="F69" s="39">
        <f>IF($A69="","",IF($B69="","EKSİK","TAM"))</f>
        <v/>
      </c>
    </row>
    <row r="70">
      <c r="F70" s="39">
        <f>IF($A70="","",IF($B70="","EKSİK","TAM"))</f>
        <v/>
      </c>
    </row>
    <row r="71">
      <c r="F71" s="39">
        <f>IF($A71="","",IF($B71="","EKSİK","TAM"))</f>
        <v/>
      </c>
    </row>
    <row r="72">
      <c r="F72" s="39">
        <f>IF($A72="","",IF($B72="","EKSİK","TAM"))</f>
        <v/>
      </c>
    </row>
    <row r="73">
      <c r="F73" s="39">
        <f>IF($A73="","",IF($B73="","EKSİK","TAM"))</f>
        <v/>
      </c>
    </row>
    <row r="74">
      <c r="F74" s="39">
        <f>IF($A74="","",IF($B74="","EKSİK","TAM"))</f>
        <v/>
      </c>
    </row>
    <row r="75">
      <c r="F75" s="39">
        <f>IF($A75="","",IF($B75="","EKSİK","TAM"))</f>
        <v/>
      </c>
    </row>
    <row r="76">
      <c r="F76" s="39">
        <f>IF($A76="","",IF($B76="","EKSİK","TAM"))</f>
        <v/>
      </c>
    </row>
    <row r="77">
      <c r="F77" s="39">
        <f>IF($A77="","",IF($B77="","EKSİK","TAM"))</f>
        <v/>
      </c>
    </row>
    <row r="78">
      <c r="F78" s="39">
        <f>IF($A78="","",IF($B78="","EKSİK","TAM"))</f>
        <v/>
      </c>
    </row>
    <row r="79">
      <c r="F79" s="39">
        <f>IF($A79="","",IF($B79="","EKSİK","TAM"))</f>
        <v/>
      </c>
    </row>
    <row r="80">
      <c r="F80" s="39">
        <f>IF($A80="","",IF($B80="","EKSİK","TAM"))</f>
        <v/>
      </c>
    </row>
    <row r="81">
      <c r="F81" s="39">
        <f>IF($A81="","",IF($B81="","EKSİK","TAM"))</f>
        <v/>
      </c>
    </row>
    <row r="82">
      <c r="F82" s="39">
        <f>IF($A82="","",IF($B82="","EKSİK","TAM"))</f>
        <v/>
      </c>
    </row>
    <row r="83">
      <c r="F83" s="39">
        <f>IF($A83="","",IF($B83="","EKSİK","TAM"))</f>
        <v/>
      </c>
    </row>
    <row r="84">
      <c r="F84" s="39">
        <f>IF($A84="","",IF($B84="","EKSİK","TAM"))</f>
        <v/>
      </c>
    </row>
    <row r="85">
      <c r="F85" s="39">
        <f>IF($A85="","",IF($B85="","EKSİK","TAM"))</f>
        <v/>
      </c>
    </row>
    <row r="86">
      <c r="F86" s="39">
        <f>IF($A86="","",IF($B86="","EKSİK","TAM"))</f>
        <v/>
      </c>
    </row>
    <row r="87">
      <c r="F87" s="39">
        <f>IF($A87="","",IF($B87="","EKSİK","TAM"))</f>
        <v/>
      </c>
    </row>
    <row r="88">
      <c r="F88" s="39">
        <f>IF($A88="","",IF($B88="","EKSİK","TAM"))</f>
        <v/>
      </c>
    </row>
    <row r="89">
      <c r="F89" s="39">
        <f>IF($A89="","",IF($B89="","EKSİK","TAM"))</f>
        <v/>
      </c>
    </row>
    <row r="90">
      <c r="F90" s="39">
        <f>IF($A90="","",IF($B90="","EKSİK","TAM"))</f>
        <v/>
      </c>
    </row>
    <row r="91">
      <c r="F91" s="39">
        <f>IF($A91="","",IF($B91="","EKSİK","TAM"))</f>
        <v/>
      </c>
    </row>
    <row r="92">
      <c r="F92" s="39">
        <f>IF($A92="","",IF($B92="","EKSİK","TAM"))</f>
        <v/>
      </c>
    </row>
    <row r="93">
      <c r="F93" s="39">
        <f>IF($A93="","",IF($B93="","EKSİK","TAM"))</f>
        <v/>
      </c>
    </row>
    <row r="94">
      <c r="F94" s="39">
        <f>IF($A94="","",IF($B94="","EKSİK","TAM"))</f>
        <v/>
      </c>
    </row>
    <row r="95">
      <c r="F95" s="39">
        <f>IF($A95="","",IF($B95="","EKSİK","TAM"))</f>
        <v/>
      </c>
    </row>
    <row r="96">
      <c r="F96" s="39">
        <f>IF($A96="","",IF($B96="","EKSİK","TAM"))</f>
        <v/>
      </c>
    </row>
    <row r="97">
      <c r="F97" s="39">
        <f>IF($A97="","",IF($B97="","EKSİK","TAM"))</f>
        <v/>
      </c>
    </row>
    <row r="98">
      <c r="F98" s="39">
        <f>IF($A98="","",IF($B98="","EKSİK","TAM"))</f>
        <v/>
      </c>
    </row>
    <row r="99">
      <c r="F99" s="39">
        <f>IF($A99="","",IF($B99="","EKSİK","TAM"))</f>
        <v/>
      </c>
    </row>
    <row r="100">
      <c r="F100" s="39">
        <f>IF($A100="","",IF($B100="","EKSİK","TAM"))</f>
        <v/>
      </c>
    </row>
    <row r="101">
      <c r="F101" s="39">
        <f>IF($A101="","",IF($B101="","EKSİK","TAM"))</f>
        <v/>
      </c>
    </row>
    <row r="102">
      <c r="F102" s="39">
        <f>IF($A102="","",IF($B102="","EKSİK","TAM"))</f>
        <v/>
      </c>
    </row>
    <row r="103">
      <c r="F103" s="39">
        <f>IF($A103="","",IF($B103="","EKSİK","TAM"))</f>
        <v/>
      </c>
    </row>
    <row r="104">
      <c r="F104" s="39">
        <f>IF($A104="","",IF($B104="","EKSİK","TAM"))</f>
        <v/>
      </c>
    </row>
    <row r="105">
      <c r="F105" s="39">
        <f>IF($A105="","",IF($B105="","EKSİK","TAM"))</f>
        <v/>
      </c>
    </row>
    <row r="106">
      <c r="F106" s="39">
        <f>IF($A106="","",IF($B106="","EKSİK","TAM"))</f>
        <v/>
      </c>
    </row>
    <row r="107">
      <c r="F107" s="39">
        <f>IF($A107="","",IF($B107="","EKSİK","TAM"))</f>
        <v/>
      </c>
    </row>
    <row r="108">
      <c r="F108" s="39">
        <f>IF($A108="","",IF($B108="","EKSİK","TAM"))</f>
        <v/>
      </c>
    </row>
    <row r="109">
      <c r="F109" s="39">
        <f>IF($A109="","",IF($B109="","EKSİK","TAM"))</f>
        <v/>
      </c>
    </row>
    <row r="110">
      <c r="F110" s="39">
        <f>IF($A110="","",IF($B110="","EKSİK","TAM"))</f>
        <v/>
      </c>
    </row>
    <row r="111">
      <c r="F111" s="39">
        <f>IF($A111="","",IF($B111="","EKSİK","TAM"))</f>
        <v/>
      </c>
    </row>
    <row r="112">
      <c r="F112" s="39">
        <f>IF($A112="","",IF($B112="","EKSİK","TAM"))</f>
        <v/>
      </c>
    </row>
    <row r="113">
      <c r="F113" s="39">
        <f>IF($A113="","",IF($B113="","EKSİK","TAM"))</f>
        <v/>
      </c>
    </row>
    <row r="114">
      <c r="F114" s="39">
        <f>IF($A114="","",IF($B114="","EKSİK","TAM"))</f>
        <v/>
      </c>
    </row>
    <row r="115">
      <c r="F115" s="39">
        <f>IF($A115="","",IF($B115="","EKSİK","TAM"))</f>
        <v/>
      </c>
    </row>
    <row r="116">
      <c r="F116" s="39">
        <f>IF($A116="","",IF($B116="","EKSİK","TAM"))</f>
        <v/>
      </c>
    </row>
    <row r="117">
      <c r="F117" s="39">
        <f>IF($A117="","",IF($B117="","EKSİK","TAM"))</f>
        <v/>
      </c>
    </row>
    <row r="118">
      <c r="F118" s="39">
        <f>IF($A118="","",IF($B118="","EKSİK","TAM"))</f>
        <v/>
      </c>
    </row>
    <row r="119">
      <c r="F119" s="39">
        <f>IF($A119="","",IF($B119="","EKSİK","TAM"))</f>
        <v/>
      </c>
    </row>
    <row r="120">
      <c r="F120" s="39">
        <f>IF($A120="","",IF($B120="","EKSİK","TAM"))</f>
        <v/>
      </c>
    </row>
    <row r="121">
      <c r="F121" s="39">
        <f>IF($A121="","",IF($B121="","EKSİK","TAM"))</f>
        <v/>
      </c>
    </row>
    <row r="122">
      <c r="F122" s="39">
        <f>IF($A122="","",IF($B122="","EKSİK","TAM"))</f>
        <v/>
      </c>
    </row>
    <row r="123">
      <c r="F123" s="39">
        <f>IF($A123="","",IF($B123="","EKSİK","TAM"))</f>
        <v/>
      </c>
    </row>
    <row r="124">
      <c r="F124" s="39">
        <f>IF($A124="","",IF($B124="","EKSİK","TAM"))</f>
        <v/>
      </c>
    </row>
    <row r="125">
      <c r="F125" s="39">
        <f>IF($A125="","",IF($B125="","EKSİK","TAM"))</f>
        <v/>
      </c>
    </row>
    <row r="126">
      <c r="F126" s="39">
        <f>IF($A126="","",IF($B126="","EKSİK","TAM"))</f>
        <v/>
      </c>
    </row>
    <row r="127">
      <c r="F127" s="39">
        <f>IF($A127="","",IF($B127="","EKSİK","TAM"))</f>
        <v/>
      </c>
    </row>
    <row r="128">
      <c r="F128" s="39">
        <f>IF($A128="","",IF($B128="","EKSİK","TAM"))</f>
        <v/>
      </c>
    </row>
    <row r="129">
      <c r="F129" s="39">
        <f>IF($A129="","",IF($B129="","EKSİK","TAM"))</f>
        <v/>
      </c>
    </row>
    <row r="130">
      <c r="F130" s="39">
        <f>IF($A130="","",IF($B130="","EKSİK","TAM"))</f>
        <v/>
      </c>
    </row>
    <row r="131">
      <c r="F131" s="39">
        <f>IF($A131="","",IF($B131="","EKSİK","TAM"))</f>
        <v/>
      </c>
    </row>
    <row r="132">
      <c r="F132" s="39">
        <f>IF($A132="","",IF($B132="","EKSİK","TAM"))</f>
        <v/>
      </c>
    </row>
    <row r="133">
      <c r="F133" s="39">
        <f>IF($A133="","",IF($B133="","EKSİK","TAM"))</f>
        <v/>
      </c>
    </row>
    <row r="134">
      <c r="F134" s="39">
        <f>IF($A134="","",IF($B134="","EKSİK","TAM"))</f>
        <v/>
      </c>
    </row>
    <row r="135">
      <c r="F135" s="39">
        <f>IF($A135="","",IF($B135="","EKSİK","TAM"))</f>
        <v/>
      </c>
    </row>
    <row r="136">
      <c r="F136" s="39">
        <f>IF($A136="","",IF($B136="","EKSİK","TAM"))</f>
        <v/>
      </c>
    </row>
    <row r="137">
      <c r="F137" s="39">
        <f>IF($A137="","",IF($B137="","EKSİK","TAM"))</f>
        <v/>
      </c>
    </row>
    <row r="138">
      <c r="F138" s="39">
        <f>IF($A138="","",IF($B138="","EKSİK","TAM"))</f>
        <v/>
      </c>
    </row>
    <row r="139">
      <c r="F139" s="39">
        <f>IF($A139="","",IF($B139="","EKSİK","TAM"))</f>
        <v/>
      </c>
    </row>
    <row r="140">
      <c r="F140" s="39">
        <f>IF($A140="","",IF($B140="","EKSİK","TAM"))</f>
        <v/>
      </c>
    </row>
    <row r="141">
      <c r="F141" s="39">
        <f>IF($A141="","",IF($B141="","EKSİK","TAM"))</f>
        <v/>
      </c>
    </row>
    <row r="142">
      <c r="F142" s="39">
        <f>IF($A142="","",IF($B142="","EKSİK","TAM"))</f>
        <v/>
      </c>
    </row>
    <row r="143">
      <c r="F143" s="39">
        <f>IF($A143="","",IF($B143="","EKSİK","TAM"))</f>
        <v/>
      </c>
    </row>
    <row r="144">
      <c r="F144" s="39">
        <f>IF($A144="","",IF($B144="","EKSİK","TAM"))</f>
        <v/>
      </c>
    </row>
    <row r="145">
      <c r="F145" s="39">
        <f>IF($A145="","",IF($B145="","EKSİK","TAM"))</f>
        <v/>
      </c>
    </row>
    <row r="146">
      <c r="F146" s="39">
        <f>IF($A146="","",IF($B146="","EKSİK","TAM"))</f>
        <v/>
      </c>
    </row>
    <row r="147">
      <c r="F147" s="39">
        <f>IF($A147="","",IF($B147="","EKSİK","TAM"))</f>
        <v/>
      </c>
    </row>
    <row r="148">
      <c r="F148" s="39">
        <f>IF($A148="","",IF($B148="","EKSİK","TAM"))</f>
        <v/>
      </c>
    </row>
    <row r="149">
      <c r="F149" s="39">
        <f>IF($A149="","",IF($B149="","EKSİK","TAM"))</f>
        <v/>
      </c>
    </row>
    <row r="150">
      <c r="F150" s="39">
        <f>IF($A150="","",IF($B150="","EKSİK","TAM"))</f>
        <v/>
      </c>
    </row>
    <row r="151">
      <c r="F151" s="39">
        <f>IF($A151="","",IF($B151="","EKSİK","TAM"))</f>
        <v/>
      </c>
    </row>
    <row r="152">
      <c r="F152" s="39">
        <f>IF($A152="","",IF($B152="","EKSİK","TAM"))</f>
        <v/>
      </c>
    </row>
    <row r="153">
      <c r="F153" s="39">
        <f>IF($A153="","",IF($B153="","EKSİK","TAM"))</f>
        <v/>
      </c>
    </row>
    <row r="154">
      <c r="F154" s="39">
        <f>IF($A154="","",IF($B154="","EKSİK","TAM"))</f>
        <v/>
      </c>
    </row>
    <row r="155">
      <c r="F155" s="39">
        <f>IF($A155="","",IF($B155="","EKSİK","TAM"))</f>
        <v/>
      </c>
    </row>
    <row r="156">
      <c r="F156" s="39">
        <f>IF($A156="","",IF($B156="","EKSİK","TAM"))</f>
        <v/>
      </c>
    </row>
    <row r="157">
      <c r="F157" s="39">
        <f>IF($A157="","",IF($B157="","EKSİK","TAM"))</f>
        <v/>
      </c>
    </row>
    <row r="158">
      <c r="F158" s="39">
        <f>IF($A158="","",IF($B158="","EKSİK","TAM"))</f>
        <v/>
      </c>
    </row>
    <row r="159">
      <c r="F159" s="39">
        <f>IF($A159="","",IF($B159="","EKSİK","TAM"))</f>
        <v/>
      </c>
    </row>
    <row r="160">
      <c r="F160" s="39">
        <f>IF($A160="","",IF($B160="","EKSİK","TAM"))</f>
        <v/>
      </c>
    </row>
    <row r="161">
      <c r="F161" s="39">
        <f>IF($A161="","",IF($B161="","EKSİK","TAM"))</f>
        <v/>
      </c>
    </row>
    <row r="162">
      <c r="F162" s="39">
        <f>IF($A162="","",IF($B162="","EKSİK","TAM"))</f>
        <v/>
      </c>
    </row>
    <row r="163">
      <c r="F163" s="39">
        <f>IF($A163="","",IF($B163="","EKSİK","TAM"))</f>
        <v/>
      </c>
    </row>
    <row r="164">
      <c r="F164" s="39">
        <f>IF($A164="","",IF($B164="","EKSİK","TAM"))</f>
        <v/>
      </c>
    </row>
    <row r="165">
      <c r="F165" s="39">
        <f>IF($A165="","",IF($B165="","EKSİK","TAM"))</f>
        <v/>
      </c>
    </row>
    <row r="166">
      <c r="F166" s="39">
        <f>IF($A166="","",IF($B166="","EKSİK","TAM"))</f>
        <v/>
      </c>
    </row>
    <row r="167">
      <c r="F167" s="39">
        <f>IF($A167="","",IF($B167="","EKSİK","TAM"))</f>
        <v/>
      </c>
    </row>
    <row r="168">
      <c r="F168" s="39">
        <f>IF($A168="","",IF($B168="","EKSİK","TAM"))</f>
        <v/>
      </c>
    </row>
    <row r="169">
      <c r="F169" s="39">
        <f>IF($A169="","",IF($B169="","EKSİK","TAM"))</f>
        <v/>
      </c>
    </row>
    <row r="170">
      <c r="F170" s="39">
        <f>IF($A170="","",IF($B170="","EKSİK","TAM"))</f>
        <v/>
      </c>
    </row>
    <row r="171">
      <c r="F171" s="39">
        <f>IF($A171="","",IF($B171="","EKSİK","TAM"))</f>
        <v/>
      </c>
    </row>
    <row r="172">
      <c r="F172" s="39">
        <f>IF($A172="","",IF($B172="","EKSİK","TAM"))</f>
        <v/>
      </c>
    </row>
    <row r="173">
      <c r="F173" s="39">
        <f>IF($A173="","",IF($B173="","EKSİK","TAM"))</f>
        <v/>
      </c>
    </row>
    <row r="174">
      <c r="F174" s="39">
        <f>IF($A174="","",IF($B174="","EKSİK","TAM"))</f>
        <v/>
      </c>
    </row>
    <row r="175">
      <c r="F175" s="39">
        <f>IF($A175="","",IF($B175="","EKSİK","TAM"))</f>
        <v/>
      </c>
    </row>
    <row r="176">
      <c r="F176" s="39">
        <f>IF($A176="","",IF($B176="","EKSİK","TAM"))</f>
        <v/>
      </c>
    </row>
    <row r="177">
      <c r="F177" s="39">
        <f>IF($A177="","",IF($B177="","EKSİK","TAM"))</f>
        <v/>
      </c>
    </row>
    <row r="178">
      <c r="F178" s="39">
        <f>IF($A178="","",IF($B178="","EKSİK","TAM"))</f>
        <v/>
      </c>
    </row>
    <row r="179">
      <c r="F179" s="39">
        <f>IF($A179="","",IF($B179="","EKSİK","TAM"))</f>
        <v/>
      </c>
    </row>
    <row r="180">
      <c r="F180" s="39">
        <f>IF($A180="","",IF($B180="","EKSİK","TAM"))</f>
        <v/>
      </c>
    </row>
    <row r="181">
      <c r="F181" s="39">
        <f>IF($A181="","",IF($B181="","EKSİK","TAM"))</f>
        <v/>
      </c>
    </row>
    <row r="182">
      <c r="F182" s="39">
        <f>IF($A182="","",IF($B182="","EKSİK","TAM"))</f>
        <v/>
      </c>
    </row>
    <row r="183">
      <c r="F183" s="39">
        <f>IF($A183="","",IF($B183="","EKSİK","TAM"))</f>
        <v/>
      </c>
    </row>
    <row r="184">
      <c r="F184" s="39">
        <f>IF($A184="","",IF($B184="","EKSİK","TAM"))</f>
        <v/>
      </c>
    </row>
    <row r="185">
      <c r="F185" s="39">
        <f>IF($A185="","",IF($B185="","EKSİK","TAM"))</f>
        <v/>
      </c>
    </row>
    <row r="186">
      <c r="F186" s="39">
        <f>IF($A186="","",IF($B186="","EKSİK","TAM"))</f>
        <v/>
      </c>
    </row>
    <row r="187">
      <c r="F187" s="39">
        <f>IF($A187="","",IF($B187="","EKSİK","TAM"))</f>
        <v/>
      </c>
    </row>
    <row r="188">
      <c r="F188" s="39">
        <f>IF($A188="","",IF($B188="","EKSİK","TAM"))</f>
        <v/>
      </c>
    </row>
    <row r="189">
      <c r="F189" s="39">
        <f>IF($A189="","",IF($B189="","EKSİK","TAM"))</f>
        <v/>
      </c>
    </row>
    <row r="190">
      <c r="F190" s="39">
        <f>IF($A190="","",IF($B190="","EKSİK","TAM"))</f>
        <v/>
      </c>
    </row>
    <row r="191">
      <c r="F191" s="39">
        <f>IF($A191="","",IF($B191="","EKSİK","TAM"))</f>
        <v/>
      </c>
    </row>
    <row r="192">
      <c r="F192" s="39">
        <f>IF($A192="","",IF($B192="","EKSİK","TAM"))</f>
        <v/>
      </c>
    </row>
    <row r="193">
      <c r="F193" s="39">
        <f>IF($A193="","",IF($B193="","EKSİK","TAM"))</f>
        <v/>
      </c>
    </row>
    <row r="194">
      <c r="F194" s="39">
        <f>IF($A194="","",IF($B194="","EKSİK","TAM"))</f>
        <v/>
      </c>
    </row>
    <row r="195">
      <c r="F195" s="39">
        <f>IF($A195="","",IF($B195="","EKSİK","TAM"))</f>
        <v/>
      </c>
    </row>
    <row r="196">
      <c r="F196" s="39">
        <f>IF($A196="","",IF($B196="","EKSİK","TAM"))</f>
        <v/>
      </c>
    </row>
    <row r="197">
      <c r="F197" s="39">
        <f>IF($A197="","",IF($B197="","EKSİK","TAM"))</f>
        <v/>
      </c>
    </row>
    <row r="198">
      <c r="F198" s="39">
        <f>IF($A198="","",IF($B198="","EKSİK","TAM"))</f>
        <v/>
      </c>
    </row>
    <row r="199">
      <c r="F199" s="39">
        <f>IF($A199="","",IF($B199="","EKSİK","TAM"))</f>
        <v/>
      </c>
    </row>
    <row r="200">
      <c r="F200" s="39">
        <f>IF($A200="","",IF($B200="","EKSİK","TAM"))</f>
        <v/>
      </c>
    </row>
    <row r="201">
      <c r="F201" s="39">
        <f>IF($A201="","",IF($B201="","EKSİK","TAM"))</f>
        <v/>
      </c>
    </row>
    <row r="202">
      <c r="F202" s="39">
        <f>IF($A202="","",IF($B202="","EKSİK","TAM"))</f>
        <v/>
      </c>
    </row>
    <row r="203">
      <c r="F203" s="39">
        <f>IF($A203="","",IF($B203="","EKSİK","TAM"))</f>
        <v/>
      </c>
    </row>
    <row r="204">
      <c r="F204" s="39">
        <f>IF($A204="","",IF($B204="","EKSİK","TAM"))</f>
        <v/>
      </c>
    </row>
    <row r="205">
      <c r="F205" s="39">
        <f>IF($A205="","",IF($B205="","EKSİK","TAM"))</f>
        <v/>
      </c>
    </row>
    <row r="206">
      <c r="F206" s="39">
        <f>IF($A206="","",IF($B206="","EKSİK","TAM"))</f>
        <v/>
      </c>
    </row>
    <row r="207">
      <c r="F207" s="39">
        <f>IF($A207="","",IF($B207="","EKSİK","TAM"))</f>
        <v/>
      </c>
    </row>
    <row r="208">
      <c r="F208" s="39">
        <f>IF($A208="","",IF($B208="","EKSİK","TAM"))</f>
        <v/>
      </c>
    </row>
    <row r="209">
      <c r="F209" s="39">
        <f>IF($A209="","",IF($B209="","EKSİK","TAM"))</f>
        <v/>
      </c>
    </row>
    <row r="210">
      <c r="F210" s="39">
        <f>IF($A210="","",IF($B210="","EKSİK","TAM"))</f>
        <v/>
      </c>
    </row>
    <row r="211">
      <c r="F211" s="39">
        <f>IF($A211="","",IF($B211="","EKSİK","TAM"))</f>
        <v/>
      </c>
    </row>
    <row r="212">
      <c r="F212" s="39">
        <f>IF($A212="","",IF($B212="","EKSİK","TAM"))</f>
        <v/>
      </c>
    </row>
    <row r="213">
      <c r="F213" s="39">
        <f>IF($A213="","",IF($B213="","EKSİK","TAM"))</f>
        <v/>
      </c>
    </row>
    <row r="214">
      <c r="F214" s="39">
        <f>IF($A214="","",IF($B214="","EKSİK","TAM"))</f>
        <v/>
      </c>
    </row>
    <row r="215">
      <c r="F215" s="39">
        <f>IF($A215="","",IF($B215="","EKSİK","TAM"))</f>
        <v/>
      </c>
    </row>
    <row r="216">
      <c r="F216" s="39">
        <f>IF($A216="","",IF($B216="","EKSİK","TAM"))</f>
        <v/>
      </c>
    </row>
    <row r="217">
      <c r="F217" s="39">
        <f>IF($A217="","",IF($B217="","EKSİK","TAM"))</f>
        <v/>
      </c>
    </row>
    <row r="218">
      <c r="F218" s="39">
        <f>IF($A218="","",IF($B218="","EKSİK","TAM"))</f>
        <v/>
      </c>
    </row>
    <row r="219">
      <c r="F219" s="39">
        <f>IF($A219="","",IF($B219="","EKSİK","TAM"))</f>
        <v/>
      </c>
    </row>
    <row r="220">
      <c r="F220" s="39">
        <f>IF($A220="","",IF($B220="","EKSİK","TAM"))</f>
        <v/>
      </c>
    </row>
    <row r="221">
      <c r="F221" s="39">
        <f>IF($A221="","",IF($B221="","EKSİK","TAM"))</f>
        <v/>
      </c>
    </row>
    <row r="222">
      <c r="F222" s="39">
        <f>IF($A222="","",IF($B222="","EKSİK","TAM"))</f>
        <v/>
      </c>
    </row>
    <row r="223">
      <c r="F223" s="39">
        <f>IF($A223="","",IF($B223="","EKSİK","TAM"))</f>
        <v/>
      </c>
    </row>
    <row r="224">
      <c r="F224" s="39">
        <f>IF($A224="","",IF($B224="","EKSİK","TAM"))</f>
        <v/>
      </c>
    </row>
    <row r="225">
      <c r="F225" s="39">
        <f>IF($A225="","",IF($B225="","EKSİK","TAM"))</f>
        <v/>
      </c>
    </row>
    <row r="226">
      <c r="F226" s="39">
        <f>IF($A226="","",IF($B226="","EKSİK","TAM"))</f>
        <v/>
      </c>
    </row>
    <row r="227">
      <c r="F227" s="39">
        <f>IF($A227="","",IF($B227="","EKSİK","TAM"))</f>
        <v/>
      </c>
    </row>
    <row r="228">
      <c r="F228" s="39">
        <f>IF($A228="","",IF($B228="","EKSİK","TAM"))</f>
        <v/>
      </c>
    </row>
    <row r="229">
      <c r="F229" s="39">
        <f>IF($A229="","",IF($B229="","EKSİK","TAM"))</f>
        <v/>
      </c>
    </row>
    <row r="230">
      <c r="F230" s="39">
        <f>IF($A230="","",IF($B230="","EKSİK","TAM"))</f>
        <v/>
      </c>
    </row>
    <row r="231">
      <c r="F231" s="39">
        <f>IF($A231="","",IF($B231="","EKSİK","TAM"))</f>
        <v/>
      </c>
    </row>
    <row r="232">
      <c r="F232" s="39">
        <f>IF($A232="","",IF($B232="","EKSİK","TAM"))</f>
        <v/>
      </c>
    </row>
    <row r="233">
      <c r="F233" s="39">
        <f>IF($A233="","",IF($B233="","EKSİK","TAM"))</f>
        <v/>
      </c>
    </row>
    <row r="234">
      <c r="F234" s="39">
        <f>IF($A234="","",IF($B234="","EKSİK","TAM"))</f>
        <v/>
      </c>
    </row>
    <row r="235">
      <c r="F235" s="39">
        <f>IF($A235="","",IF($B235="","EKSİK","TAM"))</f>
        <v/>
      </c>
    </row>
    <row r="236">
      <c r="F236" s="39">
        <f>IF($A236="","",IF($B236="","EKSİK","TAM"))</f>
        <v/>
      </c>
    </row>
    <row r="237">
      <c r="F237" s="39">
        <f>IF($A237="","",IF($B237="","EKSİK","TAM"))</f>
        <v/>
      </c>
    </row>
    <row r="238">
      <c r="F238" s="39">
        <f>IF($A238="","",IF($B238="","EKSİK","TAM"))</f>
        <v/>
      </c>
    </row>
    <row r="239">
      <c r="F239" s="39">
        <f>IF($A239="","",IF($B239="","EKSİK","TAM"))</f>
        <v/>
      </c>
    </row>
    <row r="240">
      <c r="F240" s="39">
        <f>IF($A240="","",IF($B240="","EKSİK","TAM"))</f>
        <v/>
      </c>
    </row>
    <row r="241">
      <c r="F241" s="39">
        <f>IF($A241="","",IF($B241="","EKSİK","TAM"))</f>
        <v/>
      </c>
    </row>
    <row r="242">
      <c r="F242" s="39">
        <f>IF($A242="","",IF($B242="","EKSİK","TAM"))</f>
        <v/>
      </c>
    </row>
    <row r="243">
      <c r="F243" s="39">
        <f>IF($A243="","",IF($B243="","EKSİK","TAM"))</f>
        <v/>
      </c>
    </row>
    <row r="244">
      <c r="F244" s="39">
        <f>IF($A244="","",IF($B244="","EKSİK","TAM"))</f>
        <v/>
      </c>
    </row>
    <row r="245">
      <c r="F245" s="39">
        <f>IF($A245="","",IF($B245="","EKSİK","TAM"))</f>
        <v/>
      </c>
    </row>
    <row r="246">
      <c r="F246" s="39">
        <f>IF($A246="","",IF($B246="","EKSİK","TAM"))</f>
        <v/>
      </c>
    </row>
    <row r="247">
      <c r="F247" s="39">
        <f>IF($A247="","",IF($B247="","EKSİK","TAM"))</f>
        <v/>
      </c>
    </row>
    <row r="248">
      <c r="F248" s="39">
        <f>IF($A248="","",IF($B248="","EKSİK","TAM"))</f>
        <v/>
      </c>
    </row>
    <row r="249">
      <c r="F249" s="39">
        <f>IF($A249="","",IF($B249="","EKSİK","TAM"))</f>
        <v/>
      </c>
    </row>
    <row r="250">
      <c r="F250" s="39">
        <f>IF($A250="","",IF($B250="","EKSİK","TAM"))</f>
        <v/>
      </c>
    </row>
    <row r="251">
      <c r="F251" s="39">
        <f>IF($A251="","",IF($B251="","EKSİK","TAM"))</f>
        <v/>
      </c>
    </row>
    <row r="252">
      <c r="F252" s="39">
        <f>IF($A252="","",IF($B252="","EKSİK","TAM"))</f>
        <v/>
      </c>
    </row>
    <row r="253">
      <c r="F253" s="39">
        <f>IF($A253="","",IF($B253="","EKSİK","TAM"))</f>
        <v/>
      </c>
    </row>
    <row r="254">
      <c r="F254" s="39">
        <f>IF($A254="","",IF($B254="","EKSİK","TAM"))</f>
        <v/>
      </c>
    </row>
    <row r="255">
      <c r="F255" s="39">
        <f>IF($A255="","",IF($B255="","EKSİK","TAM"))</f>
        <v/>
      </c>
    </row>
    <row r="256">
      <c r="F256" s="39">
        <f>IF($A256="","",IF($B256="","EKSİK","TAM"))</f>
        <v/>
      </c>
    </row>
    <row r="257">
      <c r="F257" s="39">
        <f>IF($A257="","",IF($B257="","EKSİK","TAM"))</f>
        <v/>
      </c>
    </row>
    <row r="258">
      <c r="F258" s="39">
        <f>IF($A258="","",IF($B258="","EKSİK","TAM"))</f>
        <v/>
      </c>
    </row>
    <row r="259">
      <c r="F259" s="39">
        <f>IF($A259="","",IF($B259="","EKSİK","TAM"))</f>
        <v/>
      </c>
    </row>
    <row r="260">
      <c r="F260" s="39">
        <f>IF($A260="","",IF($B260="","EKSİK","TAM"))</f>
        <v/>
      </c>
    </row>
    <row r="261">
      <c r="F261" s="39">
        <f>IF($A261="","",IF($B261="","EKSİK","TAM"))</f>
        <v/>
      </c>
    </row>
    <row r="262">
      <c r="F262" s="39">
        <f>IF($A262="","",IF($B262="","EKSİK","TAM"))</f>
        <v/>
      </c>
    </row>
    <row r="263">
      <c r="F263" s="39">
        <f>IF($A263="","",IF($B263="","EKSİK","TAM"))</f>
        <v/>
      </c>
    </row>
    <row r="264">
      <c r="F264" s="39">
        <f>IF($A264="","",IF($B264="","EKSİK","TAM"))</f>
        <v/>
      </c>
    </row>
    <row r="265">
      <c r="F265" s="39">
        <f>IF($A265="","",IF($B265="","EKSİK","TAM"))</f>
        <v/>
      </c>
    </row>
    <row r="266">
      <c r="F266" s="39">
        <f>IF($A266="","",IF($B266="","EKSİK","TAM"))</f>
        <v/>
      </c>
    </row>
    <row r="267">
      <c r="F267" s="39">
        <f>IF($A267="","",IF($B267="","EKSİK","TAM"))</f>
        <v/>
      </c>
    </row>
    <row r="268">
      <c r="F268" s="39">
        <f>IF($A268="","",IF($B268="","EKSİK","TAM"))</f>
        <v/>
      </c>
    </row>
    <row r="269">
      <c r="F269" s="39">
        <f>IF($A269="","",IF($B269="","EKSİK","TAM"))</f>
        <v/>
      </c>
    </row>
    <row r="270">
      <c r="F270" s="39">
        <f>IF($A270="","",IF($B270="","EKSİK","TAM"))</f>
        <v/>
      </c>
    </row>
    <row r="271">
      <c r="F271" s="39">
        <f>IF($A271="","",IF($B271="","EKSİK","TAM"))</f>
        <v/>
      </c>
    </row>
    <row r="272">
      <c r="F272" s="39">
        <f>IF($A272="","",IF($B272="","EKSİK","TAM"))</f>
        <v/>
      </c>
    </row>
    <row r="273">
      <c r="F273" s="39">
        <f>IF($A273="","",IF($B273="","EKSİK","TAM"))</f>
        <v/>
      </c>
    </row>
    <row r="274">
      <c r="F274" s="39">
        <f>IF($A274="","",IF($B274="","EKSİK","TAM"))</f>
        <v/>
      </c>
    </row>
    <row r="275">
      <c r="F275" s="39">
        <f>IF($A275="","",IF($B275="","EKSİK","TAM"))</f>
        <v/>
      </c>
    </row>
    <row r="276">
      <c r="F276" s="39">
        <f>IF($A276="","",IF($B276="","EKSİK","TAM"))</f>
        <v/>
      </c>
    </row>
    <row r="277">
      <c r="F277" s="39">
        <f>IF($A277="","",IF($B277="","EKSİK","TAM"))</f>
        <v/>
      </c>
    </row>
    <row r="278">
      <c r="F278" s="39">
        <f>IF($A278="","",IF($B278="","EKSİK","TAM"))</f>
        <v/>
      </c>
    </row>
    <row r="279">
      <c r="F279" s="39">
        <f>IF($A279="","",IF($B279="","EKSİK","TAM"))</f>
        <v/>
      </c>
    </row>
    <row r="280">
      <c r="F280" s="39">
        <f>IF($A280="","",IF($B280="","EKSİK","TAM"))</f>
        <v/>
      </c>
    </row>
    <row r="281">
      <c r="F281" s="39">
        <f>IF($A281="","",IF($B281="","EKSİK","TAM"))</f>
        <v/>
      </c>
    </row>
    <row r="282">
      <c r="F282" s="39">
        <f>IF($A282="","",IF($B282="","EKSİK","TAM"))</f>
        <v/>
      </c>
    </row>
    <row r="283">
      <c r="F283" s="39">
        <f>IF($A283="","",IF($B283="","EKSİK","TAM"))</f>
        <v/>
      </c>
    </row>
    <row r="284">
      <c r="F284" s="39">
        <f>IF($A284="","",IF($B284="","EKSİK","TAM"))</f>
        <v/>
      </c>
    </row>
    <row r="285">
      <c r="F285" s="39">
        <f>IF($A285="","",IF($B285="","EKSİK","TAM"))</f>
        <v/>
      </c>
    </row>
    <row r="286">
      <c r="F286" s="39">
        <f>IF($A286="","",IF($B286="","EKSİK","TAM"))</f>
        <v/>
      </c>
    </row>
    <row r="287">
      <c r="F287" s="39">
        <f>IF($A287="","",IF($B287="","EKSİK","TAM"))</f>
        <v/>
      </c>
    </row>
    <row r="288">
      <c r="F288" s="39">
        <f>IF($A288="","",IF($B288="","EKSİK","TAM"))</f>
        <v/>
      </c>
    </row>
    <row r="289">
      <c r="F289" s="39">
        <f>IF($A289="","",IF($B289="","EKSİK","TAM"))</f>
        <v/>
      </c>
    </row>
    <row r="290">
      <c r="F290" s="39">
        <f>IF($A290="","",IF($B290="","EKSİK","TAM"))</f>
        <v/>
      </c>
    </row>
    <row r="291">
      <c r="F291" s="39">
        <f>IF($A291="","",IF($B291="","EKSİK","TAM"))</f>
        <v/>
      </c>
    </row>
    <row r="292">
      <c r="F292" s="39">
        <f>IF($A292="","",IF($B292="","EKSİK","TAM"))</f>
        <v/>
      </c>
    </row>
    <row r="293">
      <c r="F293" s="39">
        <f>IF($A293="","",IF($B293="","EKSİK","TAM"))</f>
        <v/>
      </c>
    </row>
    <row r="294">
      <c r="F294" s="39">
        <f>IF($A294="","",IF($B294="","EKSİK","TAM"))</f>
        <v/>
      </c>
    </row>
    <row r="295">
      <c r="F295" s="39">
        <f>IF($A295="","",IF($B295="","EKSİK","TAM"))</f>
        <v/>
      </c>
    </row>
    <row r="296">
      <c r="F296" s="39">
        <f>IF($A296="","",IF($B296="","EKSİK","TAM"))</f>
        <v/>
      </c>
    </row>
    <row r="297">
      <c r="F297" s="39">
        <f>IF($A297="","",IF($B297="","EKSİK","TAM"))</f>
        <v/>
      </c>
    </row>
    <row r="298">
      <c r="F298" s="39">
        <f>IF($A298="","",IF($B298="","EKSİK","TAM"))</f>
        <v/>
      </c>
    </row>
    <row r="299">
      <c r="F299" s="39">
        <f>IF($A299="","",IF($B299="","EKSİK","TAM"))</f>
        <v/>
      </c>
    </row>
    <row r="300">
      <c r="F300" s="39">
        <f>IF($A300="","",IF($B300="","EKSİK","TAM"))</f>
        <v/>
      </c>
    </row>
    <row r="301">
      <c r="F301" s="39">
        <f>IF($A301="","",IF($B301="","EKSİK","TAM"))</f>
        <v/>
      </c>
    </row>
    <row r="302">
      <c r="F302" s="39">
        <f>IF($A302="","",IF($B302="","EKSİK","TAM"))</f>
        <v/>
      </c>
    </row>
    <row r="303">
      <c r="F303" s="39">
        <f>IF($A303="","",IF($B303="","EKSİK","TAM"))</f>
        <v/>
      </c>
    </row>
    <row r="304">
      <c r="F304" s="39">
        <f>IF($A304="","",IF($B304="","EKSİK","TAM"))</f>
        <v/>
      </c>
    </row>
    <row r="305">
      <c r="F305" s="39">
        <f>IF($A305="","",IF($B305="","EKSİK","TAM"))</f>
        <v/>
      </c>
    </row>
    <row r="306">
      <c r="F306" s="39">
        <f>IF($A306="","",IF($B306="","EKSİK","TAM"))</f>
        <v/>
      </c>
    </row>
    <row r="307">
      <c r="F307" s="39">
        <f>IF($A307="","",IF($B307="","EKSİK","TAM"))</f>
        <v/>
      </c>
    </row>
    <row r="308">
      <c r="F308" s="39">
        <f>IF($A308="","",IF($B308="","EKSİK","TAM"))</f>
        <v/>
      </c>
    </row>
    <row r="309">
      <c r="F309" s="39">
        <f>IF($A309="","",IF($B309="","EKSİK","TAM"))</f>
        <v/>
      </c>
    </row>
    <row r="310">
      <c r="F310" s="39">
        <f>IF($A310="","",IF($B310="","EKSİK","TAM"))</f>
        <v/>
      </c>
    </row>
    <row r="311">
      <c r="F311" s="39">
        <f>IF($A311="","",IF($B311="","EKSİK","TAM"))</f>
        <v/>
      </c>
    </row>
    <row r="312">
      <c r="F312" s="39">
        <f>IF($A312="","",IF($B312="","EKSİK","TAM"))</f>
        <v/>
      </c>
    </row>
    <row r="313">
      <c r="F313" s="39">
        <f>IF($A313="","",IF($B313="","EKSİK","TAM"))</f>
        <v/>
      </c>
    </row>
    <row r="314">
      <c r="F314" s="39">
        <f>IF($A314="","",IF($B314="","EKSİK","TAM"))</f>
        <v/>
      </c>
    </row>
    <row r="315">
      <c r="F315" s="39">
        <f>IF($A315="","",IF($B315="","EKSİK","TAM"))</f>
        <v/>
      </c>
    </row>
    <row r="316">
      <c r="F316" s="39">
        <f>IF($A316="","",IF($B316="","EKSİK","TAM"))</f>
        <v/>
      </c>
    </row>
    <row r="317">
      <c r="F317" s="39">
        <f>IF($A317="","",IF($B317="","EKSİK","TAM"))</f>
        <v/>
      </c>
    </row>
    <row r="318">
      <c r="F318" s="39">
        <f>IF($A318="","",IF($B318="","EKSİK","TAM"))</f>
        <v/>
      </c>
    </row>
    <row r="319">
      <c r="F319" s="39">
        <f>IF($A319="","",IF($B319="","EKSİK","TAM"))</f>
        <v/>
      </c>
    </row>
    <row r="320">
      <c r="F320" s="39">
        <f>IF($A320="","",IF($B320="","EKSİK","TAM"))</f>
        <v/>
      </c>
    </row>
    <row r="321">
      <c r="F321" s="39">
        <f>IF($A321="","",IF($B321="","EKSİK","TAM"))</f>
        <v/>
      </c>
    </row>
    <row r="322">
      <c r="F322" s="39">
        <f>IF($A322="","",IF($B322="","EKSİK","TAM"))</f>
        <v/>
      </c>
    </row>
    <row r="323">
      <c r="F323" s="39">
        <f>IF($A323="","",IF($B323="","EKSİK","TAM"))</f>
        <v/>
      </c>
    </row>
    <row r="324">
      <c r="F324" s="39">
        <f>IF($A324="","",IF($B324="","EKSİK","TAM"))</f>
        <v/>
      </c>
    </row>
    <row r="325">
      <c r="F325" s="39">
        <f>IF($A325="","",IF($B325="","EKSİK","TAM"))</f>
        <v/>
      </c>
    </row>
    <row r="326">
      <c r="F326" s="39">
        <f>IF($A326="","",IF($B326="","EKSİK","TAM"))</f>
        <v/>
      </c>
    </row>
    <row r="327">
      <c r="F327" s="39">
        <f>IF($A327="","",IF($B327="","EKSİK","TAM"))</f>
        <v/>
      </c>
    </row>
    <row r="328">
      <c r="F328" s="39">
        <f>IF($A328="","",IF($B328="","EKSİK","TAM"))</f>
        <v/>
      </c>
    </row>
    <row r="329">
      <c r="F329" s="39">
        <f>IF($A329="","",IF($B329="","EKSİK","TAM"))</f>
        <v/>
      </c>
    </row>
    <row r="330">
      <c r="F330" s="39">
        <f>IF($A330="","",IF($B330="","EKSİK","TAM"))</f>
        <v/>
      </c>
    </row>
    <row r="331">
      <c r="F331" s="39">
        <f>IF($A331="","",IF($B331="","EKSİK","TAM"))</f>
        <v/>
      </c>
    </row>
    <row r="332">
      <c r="F332" s="39">
        <f>IF($A332="","",IF($B332="","EKSİK","TAM"))</f>
        <v/>
      </c>
    </row>
    <row r="333">
      <c r="F333" s="39">
        <f>IF($A333="","",IF($B333="","EKSİK","TAM"))</f>
        <v/>
      </c>
    </row>
    <row r="334">
      <c r="F334" s="39">
        <f>IF($A334="","",IF($B334="","EKSİK","TAM"))</f>
        <v/>
      </c>
    </row>
    <row r="335">
      <c r="F335" s="39">
        <f>IF($A335="","",IF($B335="","EKSİK","TAM"))</f>
        <v/>
      </c>
    </row>
    <row r="336">
      <c r="F336" s="39">
        <f>IF($A336="","",IF($B336="","EKSİK","TAM"))</f>
        <v/>
      </c>
    </row>
    <row r="337">
      <c r="F337" s="39">
        <f>IF($A337="","",IF($B337="","EKSİK","TAM"))</f>
        <v/>
      </c>
    </row>
    <row r="338">
      <c r="F338" s="39">
        <f>IF($A338="","",IF($B338="","EKSİK","TAM"))</f>
        <v/>
      </c>
    </row>
    <row r="339">
      <c r="F339" s="39">
        <f>IF($A339="","",IF($B339="","EKSİK","TAM"))</f>
        <v/>
      </c>
    </row>
    <row r="340">
      <c r="F340" s="39">
        <f>IF($A340="","",IF($B340="","EKSİK","TAM"))</f>
        <v/>
      </c>
    </row>
    <row r="341">
      <c r="F341" s="39">
        <f>IF($A341="","",IF($B341="","EKSİK","TAM"))</f>
        <v/>
      </c>
    </row>
    <row r="342">
      <c r="F342" s="39">
        <f>IF($A342="","",IF($B342="","EKSİK","TAM"))</f>
        <v/>
      </c>
    </row>
    <row r="343">
      <c r="F343" s="39">
        <f>IF($A343="","",IF($B343="","EKSİK","TAM"))</f>
        <v/>
      </c>
    </row>
    <row r="344">
      <c r="F344" s="39">
        <f>IF($A344="","",IF($B344="","EKSİK","TAM"))</f>
        <v/>
      </c>
    </row>
    <row r="345">
      <c r="F345" s="39">
        <f>IF($A345="","",IF($B345="","EKSİK","TAM"))</f>
        <v/>
      </c>
    </row>
    <row r="346">
      <c r="F346" s="39">
        <f>IF($A346="","",IF($B346="","EKSİK","TAM"))</f>
        <v/>
      </c>
    </row>
    <row r="347">
      <c r="F347" s="39">
        <f>IF($A347="","",IF($B347="","EKSİK","TAM"))</f>
        <v/>
      </c>
    </row>
    <row r="348">
      <c r="F348" s="39">
        <f>IF($A348="","",IF($B348="","EKSİK","TAM"))</f>
        <v/>
      </c>
    </row>
    <row r="349">
      <c r="F349" s="39">
        <f>IF($A349="","",IF($B349="","EKSİK","TAM"))</f>
        <v/>
      </c>
    </row>
    <row r="350">
      <c r="F350" s="39">
        <f>IF($A350="","",IF($B350="","EKSİK","TAM"))</f>
        <v/>
      </c>
    </row>
    <row r="351">
      <c r="F351" s="39">
        <f>IF($A351="","",IF($B351="","EKSİK","TAM"))</f>
        <v/>
      </c>
    </row>
    <row r="352">
      <c r="F352" s="39">
        <f>IF($A352="","",IF($B352="","EKSİK","TAM"))</f>
        <v/>
      </c>
    </row>
    <row r="353">
      <c r="F353" s="39">
        <f>IF($A353="","",IF($B353="","EKSİK","TAM"))</f>
        <v/>
      </c>
    </row>
    <row r="354">
      <c r="F354" s="39">
        <f>IF($A354="","",IF($B354="","EKSİK","TAM"))</f>
        <v/>
      </c>
    </row>
    <row r="355">
      <c r="F355" s="39">
        <f>IF($A355="","",IF($B355="","EKSİK","TAM"))</f>
        <v/>
      </c>
    </row>
    <row r="356">
      <c r="F356" s="39">
        <f>IF($A356="","",IF($B356="","EKSİK","TAM"))</f>
        <v/>
      </c>
    </row>
    <row r="357">
      <c r="F357" s="39">
        <f>IF($A357="","",IF($B357="","EKSİK","TAM"))</f>
        <v/>
      </c>
    </row>
    <row r="358">
      <c r="F358" s="39">
        <f>IF($A358="","",IF($B358="","EKSİK","TAM"))</f>
        <v/>
      </c>
    </row>
    <row r="359">
      <c r="F359" s="39">
        <f>IF($A359="","",IF($B359="","EKSİK","TAM"))</f>
        <v/>
      </c>
    </row>
    <row r="360">
      <c r="F360" s="39">
        <f>IF($A360="","",IF($B360="","EKSİK","TAM"))</f>
        <v/>
      </c>
    </row>
    <row r="361">
      <c r="F361" s="39">
        <f>IF($A361="","",IF($B361="","EKSİK","TAM"))</f>
        <v/>
      </c>
    </row>
    <row r="362">
      <c r="F362" s="39">
        <f>IF($A362="","",IF($B362="","EKSİK","TAM"))</f>
        <v/>
      </c>
    </row>
    <row r="363">
      <c r="F363" s="39">
        <f>IF($A363="","",IF($B363="","EKSİK","TAM"))</f>
        <v/>
      </c>
    </row>
    <row r="364">
      <c r="F364" s="39">
        <f>IF($A364="","",IF($B364="","EKSİK","TAM"))</f>
        <v/>
      </c>
    </row>
    <row r="365">
      <c r="F365" s="39">
        <f>IF($A365="","",IF($B365="","EKSİK","TAM"))</f>
        <v/>
      </c>
    </row>
    <row r="366">
      <c r="F366" s="39">
        <f>IF($A366="","",IF($B366="","EKSİK","TAM"))</f>
        <v/>
      </c>
    </row>
    <row r="367">
      <c r="F367" s="39">
        <f>IF($A367="","",IF($B367="","EKSİK","TAM"))</f>
        <v/>
      </c>
    </row>
    <row r="368">
      <c r="F368" s="39">
        <f>IF($A368="","",IF($B368="","EKSİK","TAM"))</f>
        <v/>
      </c>
    </row>
    <row r="369">
      <c r="F369" s="39">
        <f>IF($A369="","",IF($B369="","EKSİK","TAM"))</f>
        <v/>
      </c>
    </row>
    <row r="370">
      <c r="F370" s="39">
        <f>IF($A370="","",IF($B370="","EKSİK","TAM"))</f>
        <v/>
      </c>
    </row>
    <row r="371">
      <c r="F371" s="39">
        <f>IF($A371="","",IF($B371="","EKSİK","TAM"))</f>
        <v/>
      </c>
    </row>
    <row r="372">
      <c r="F372" s="39">
        <f>IF($A372="","",IF($B372="","EKSİK","TAM"))</f>
        <v/>
      </c>
    </row>
    <row r="373">
      <c r="F373" s="39">
        <f>IF($A373="","",IF($B373="","EKSİK","TAM"))</f>
        <v/>
      </c>
    </row>
    <row r="374">
      <c r="F374" s="39">
        <f>IF($A374="","",IF($B374="","EKSİK","TAM"))</f>
        <v/>
      </c>
    </row>
    <row r="375">
      <c r="F375" s="39">
        <f>IF($A375="","",IF($B375="","EKSİK","TAM"))</f>
        <v/>
      </c>
    </row>
    <row r="376">
      <c r="F376" s="39">
        <f>IF($A376="","",IF($B376="","EKSİK","TAM"))</f>
        <v/>
      </c>
    </row>
    <row r="377">
      <c r="F377" s="39">
        <f>IF($A377="","",IF($B377="","EKSİK","TAM"))</f>
        <v/>
      </c>
    </row>
    <row r="378">
      <c r="F378" s="39">
        <f>IF($A378="","",IF($B378="","EKSİK","TAM"))</f>
        <v/>
      </c>
    </row>
    <row r="379">
      <c r="F379" s="39">
        <f>IF($A379="","",IF($B379="","EKSİK","TAM"))</f>
        <v/>
      </c>
    </row>
    <row r="380">
      <c r="F380" s="39">
        <f>IF($A380="","",IF($B380="","EKSİK","TAM"))</f>
        <v/>
      </c>
    </row>
    <row r="381">
      <c r="F381" s="39">
        <f>IF($A381="","",IF($B381="","EKSİK","TAM"))</f>
        <v/>
      </c>
    </row>
    <row r="382">
      <c r="F382" s="39">
        <f>IF($A382="","",IF($B382="","EKSİK","TAM"))</f>
        <v/>
      </c>
    </row>
    <row r="383">
      <c r="F383" s="39">
        <f>IF($A383="","",IF($B383="","EKSİK","TAM"))</f>
        <v/>
      </c>
    </row>
    <row r="384">
      <c r="F384" s="39">
        <f>IF($A384="","",IF($B384="","EKSİK","TAM"))</f>
        <v/>
      </c>
    </row>
    <row r="385">
      <c r="F385" s="39">
        <f>IF($A385="","",IF($B385="","EKSİK","TAM"))</f>
        <v/>
      </c>
    </row>
    <row r="386">
      <c r="F386" s="39">
        <f>IF($A386="","",IF($B386="","EKSİK","TAM"))</f>
        <v/>
      </c>
    </row>
    <row r="387">
      <c r="F387" s="39">
        <f>IF($A387="","",IF($B387="","EKSİK","TAM"))</f>
        <v/>
      </c>
    </row>
    <row r="388">
      <c r="F388" s="39">
        <f>IF($A388="","",IF($B388="","EKSİK","TAM"))</f>
        <v/>
      </c>
    </row>
    <row r="389">
      <c r="F389" s="39">
        <f>IF($A389="","",IF($B389="","EKSİK","TAM"))</f>
        <v/>
      </c>
    </row>
    <row r="390">
      <c r="F390" s="39">
        <f>IF($A390="","",IF($B390="","EKSİK","TAM"))</f>
        <v/>
      </c>
    </row>
    <row r="391">
      <c r="F391" s="39">
        <f>IF($A391="","",IF($B391="","EKSİK","TAM"))</f>
        <v/>
      </c>
    </row>
    <row r="392">
      <c r="F392" s="39">
        <f>IF($A392="","",IF($B392="","EKSİK","TAM"))</f>
        <v/>
      </c>
    </row>
    <row r="393">
      <c r="F393" s="39">
        <f>IF($A393="","",IF($B393="","EKSİK","TAM"))</f>
        <v/>
      </c>
    </row>
    <row r="394">
      <c r="F394" s="39">
        <f>IF($A394="","",IF($B394="","EKSİK","TAM"))</f>
        <v/>
      </c>
    </row>
    <row r="395">
      <c r="F395" s="39">
        <f>IF($A395="","",IF($B395="","EKSİK","TAM"))</f>
        <v/>
      </c>
    </row>
    <row r="396">
      <c r="F396" s="39">
        <f>IF($A396="","",IF($B396="","EKSİK","TAM"))</f>
        <v/>
      </c>
    </row>
    <row r="397">
      <c r="F397" s="39">
        <f>IF($A397="","",IF($B397="","EKSİK","TAM"))</f>
        <v/>
      </c>
    </row>
    <row r="398">
      <c r="F398" s="39">
        <f>IF($A398="","",IF($B398="","EKSİK","TAM"))</f>
        <v/>
      </c>
    </row>
    <row r="399">
      <c r="F399" s="39">
        <f>IF($A399="","",IF($B399="","EKSİK","TAM"))</f>
        <v/>
      </c>
    </row>
    <row r="400">
      <c r="F400" s="39">
        <f>IF($A400="","",IF($B400="","EKSİK","TAM"))</f>
        <v/>
      </c>
    </row>
    <row r="401">
      <c r="F401" s="39">
        <f>IF($A401="","",IF($B401="","EKSİK","TAM"))</f>
        <v/>
      </c>
    </row>
    <row r="402">
      <c r="F402" s="39">
        <f>IF($A402="","",IF($B402="","EKSİK","TAM"))</f>
        <v/>
      </c>
    </row>
    <row r="403">
      <c r="F403" s="39">
        <f>IF($A403="","",IF($B403="","EKSİK","TAM"))</f>
        <v/>
      </c>
    </row>
    <row r="404">
      <c r="F404" s="39">
        <f>IF($A404="","",IF($B404="","EKSİK","TAM"))</f>
        <v/>
      </c>
    </row>
    <row r="405">
      <c r="F405" s="39">
        <f>IF($A405="","",IF($B405="","EKSİK","TAM"))</f>
        <v/>
      </c>
    </row>
    <row r="406">
      <c r="F406" s="39">
        <f>IF($A406="","",IF($B406="","EKSİK","TAM"))</f>
        <v/>
      </c>
    </row>
    <row r="407">
      <c r="F407" s="39">
        <f>IF($A407="","",IF($B407="","EKSİK","TAM"))</f>
        <v/>
      </c>
    </row>
    <row r="408">
      <c r="F408" s="39">
        <f>IF($A408="","",IF($B408="","EKSİK","TAM"))</f>
        <v/>
      </c>
    </row>
    <row r="409">
      <c r="F409" s="39">
        <f>IF($A409="","",IF($B409="","EKSİK","TAM"))</f>
        <v/>
      </c>
    </row>
    <row r="410">
      <c r="F410" s="39">
        <f>IF($A410="","",IF($B410="","EKSİK","TAM"))</f>
        <v/>
      </c>
    </row>
    <row r="411">
      <c r="F411" s="39">
        <f>IF($A411="","",IF($B411="","EKSİK","TAM"))</f>
        <v/>
      </c>
    </row>
    <row r="412">
      <c r="F412" s="39">
        <f>IF($A412="","",IF($B412="","EKSİK","TAM"))</f>
        <v/>
      </c>
    </row>
    <row r="413">
      <c r="F413" s="39">
        <f>IF($A413="","",IF($B413="","EKSİK","TAM"))</f>
        <v/>
      </c>
    </row>
    <row r="414">
      <c r="F414" s="39">
        <f>IF($A414="","",IF($B414="","EKSİK","TAM"))</f>
        <v/>
      </c>
    </row>
    <row r="415">
      <c r="F415" s="39">
        <f>IF($A415="","",IF($B415="","EKSİK","TAM"))</f>
        <v/>
      </c>
    </row>
    <row r="416">
      <c r="F416" s="39">
        <f>IF($A416="","",IF($B416="","EKSİK","TAM"))</f>
        <v/>
      </c>
    </row>
    <row r="417">
      <c r="F417" s="39">
        <f>IF($A417="","",IF($B417="","EKSİK","TAM"))</f>
        <v/>
      </c>
    </row>
    <row r="418">
      <c r="F418" s="39">
        <f>IF($A418="","",IF($B418="","EKSİK","TAM"))</f>
        <v/>
      </c>
    </row>
    <row r="419">
      <c r="F419" s="39">
        <f>IF($A419="","",IF($B419="","EKSİK","TAM"))</f>
        <v/>
      </c>
    </row>
    <row r="420">
      <c r="F420" s="39">
        <f>IF($A420="","",IF($B420="","EKSİK","TAM"))</f>
        <v/>
      </c>
    </row>
    <row r="421">
      <c r="F421" s="39">
        <f>IF($A421="","",IF($B421="","EKSİK","TAM"))</f>
        <v/>
      </c>
    </row>
    <row r="422">
      <c r="F422" s="39">
        <f>IF($A422="","",IF($B422="","EKSİK","TAM"))</f>
        <v/>
      </c>
    </row>
    <row r="423">
      <c r="F423" s="39">
        <f>IF($A423="","",IF($B423="","EKSİK","TAM"))</f>
        <v/>
      </c>
    </row>
    <row r="424">
      <c r="F424" s="39">
        <f>IF($A424="","",IF($B424="","EKSİK","TAM"))</f>
        <v/>
      </c>
    </row>
    <row r="425">
      <c r="F425" s="39">
        <f>IF($A425="","",IF($B425="","EKSİK","TAM"))</f>
        <v/>
      </c>
    </row>
    <row r="426">
      <c r="F426" s="39">
        <f>IF($A426="","",IF($B426="","EKSİK","TAM"))</f>
        <v/>
      </c>
    </row>
    <row r="427">
      <c r="F427" s="39">
        <f>IF($A427="","",IF($B427="","EKSİK","TAM"))</f>
        <v/>
      </c>
    </row>
    <row r="428">
      <c r="F428" s="39">
        <f>IF($A428="","",IF($B428="","EKSİK","TAM"))</f>
        <v/>
      </c>
    </row>
    <row r="429">
      <c r="F429" s="39">
        <f>IF($A429="","",IF($B429="","EKSİK","TAM"))</f>
        <v/>
      </c>
    </row>
    <row r="430">
      <c r="F430" s="39">
        <f>IF($A430="","",IF($B430="","EKSİK","TAM"))</f>
        <v/>
      </c>
    </row>
    <row r="431">
      <c r="F431" s="39">
        <f>IF($A431="","",IF($B431="","EKSİK","TAM"))</f>
        <v/>
      </c>
    </row>
    <row r="432">
      <c r="F432" s="39">
        <f>IF($A432="","",IF($B432="","EKSİK","TAM"))</f>
        <v/>
      </c>
    </row>
    <row r="433">
      <c r="F433" s="39">
        <f>IF($A433="","",IF($B433="","EKSİK","TAM"))</f>
        <v/>
      </c>
    </row>
    <row r="434">
      <c r="F434" s="39">
        <f>IF($A434="","",IF($B434="","EKSİK","TAM"))</f>
        <v/>
      </c>
    </row>
    <row r="435">
      <c r="F435" s="39">
        <f>IF($A435="","",IF($B435="","EKSİK","TAM"))</f>
        <v/>
      </c>
    </row>
    <row r="436">
      <c r="F436" s="39">
        <f>IF($A436="","",IF($B436="","EKSİK","TAM"))</f>
        <v/>
      </c>
    </row>
    <row r="437">
      <c r="F437" s="39">
        <f>IF($A437="","",IF($B437="","EKSİK","TAM"))</f>
        <v/>
      </c>
    </row>
    <row r="438">
      <c r="F438" s="39">
        <f>IF($A438="","",IF($B438="","EKSİK","TAM"))</f>
        <v/>
      </c>
    </row>
    <row r="439">
      <c r="F439" s="39">
        <f>IF($A439="","",IF($B439="","EKSİK","TAM"))</f>
        <v/>
      </c>
    </row>
    <row r="440">
      <c r="F440" s="39">
        <f>IF($A440="","",IF($B440="","EKSİK","TAM"))</f>
        <v/>
      </c>
    </row>
    <row r="441">
      <c r="F441" s="39">
        <f>IF($A441="","",IF($B441="","EKSİK","TAM"))</f>
        <v/>
      </c>
    </row>
    <row r="442">
      <c r="F442" s="39">
        <f>IF($A442="","",IF($B442="","EKSİK","TAM"))</f>
        <v/>
      </c>
    </row>
    <row r="443">
      <c r="F443" s="39">
        <f>IF($A443="","",IF($B443="","EKSİK","TAM"))</f>
        <v/>
      </c>
    </row>
    <row r="444">
      <c r="F444" s="39">
        <f>IF($A444="","",IF($B444="","EKSİK","TAM"))</f>
        <v/>
      </c>
    </row>
    <row r="445">
      <c r="F445" s="39">
        <f>IF($A445="","",IF($B445="","EKSİK","TAM"))</f>
        <v/>
      </c>
    </row>
    <row r="446">
      <c r="F446" s="39">
        <f>IF($A446="","",IF($B446="","EKSİK","TAM"))</f>
        <v/>
      </c>
    </row>
    <row r="447">
      <c r="F447" s="39">
        <f>IF($A447="","",IF($B447="","EKSİK","TAM"))</f>
        <v/>
      </c>
    </row>
    <row r="448">
      <c r="F448" s="39">
        <f>IF($A448="","",IF($B448="","EKSİK","TAM"))</f>
        <v/>
      </c>
    </row>
    <row r="449">
      <c r="F449" s="39">
        <f>IF($A449="","",IF($B449="","EKSİK","TAM"))</f>
        <v/>
      </c>
    </row>
    <row r="450">
      <c r="F450" s="39">
        <f>IF($A450="","",IF($B450="","EKSİK","TAM"))</f>
        <v/>
      </c>
    </row>
    <row r="451">
      <c r="F451" s="39">
        <f>IF($A451="","",IF($B451="","EKSİK","TAM"))</f>
        <v/>
      </c>
    </row>
    <row r="452">
      <c r="F452" s="39">
        <f>IF($A452="","",IF($B452="","EKSİK","TAM"))</f>
        <v/>
      </c>
    </row>
    <row r="453">
      <c r="F453" s="39">
        <f>IF($A453="","",IF($B453="","EKSİK","TAM"))</f>
        <v/>
      </c>
    </row>
    <row r="454">
      <c r="F454" s="39">
        <f>IF($A454="","",IF($B454="","EKSİK","TAM"))</f>
        <v/>
      </c>
    </row>
    <row r="455">
      <c r="F455" s="39">
        <f>IF($A455="","",IF($B455="","EKSİK","TAM"))</f>
        <v/>
      </c>
    </row>
    <row r="456">
      <c r="F456" s="39">
        <f>IF($A456="","",IF($B456="","EKSİK","TAM"))</f>
        <v/>
      </c>
    </row>
    <row r="457">
      <c r="F457" s="39">
        <f>IF($A457="","",IF($B457="","EKSİK","TAM"))</f>
        <v/>
      </c>
    </row>
    <row r="458">
      <c r="F458" s="39">
        <f>IF($A458="","",IF($B458="","EKSİK","TAM"))</f>
        <v/>
      </c>
    </row>
    <row r="459">
      <c r="F459" s="39">
        <f>IF($A459="","",IF($B459="","EKSİK","TAM"))</f>
        <v/>
      </c>
    </row>
    <row r="460">
      <c r="F460" s="39">
        <f>IF($A460="","",IF($B460="","EKSİK","TAM"))</f>
        <v/>
      </c>
    </row>
    <row r="461">
      <c r="F461" s="39">
        <f>IF($A461="","",IF($B461="","EKSİK","TAM"))</f>
        <v/>
      </c>
    </row>
    <row r="462">
      <c r="F462" s="39">
        <f>IF($A462="","",IF($B462="","EKSİK","TAM"))</f>
        <v/>
      </c>
    </row>
    <row r="463">
      <c r="F463" s="39">
        <f>IF($A463="","",IF($B463="","EKSİK","TAM"))</f>
        <v/>
      </c>
    </row>
    <row r="464">
      <c r="F464" s="39">
        <f>IF($A464="","",IF($B464="","EKSİK","TAM"))</f>
        <v/>
      </c>
    </row>
    <row r="465">
      <c r="F465" s="39">
        <f>IF($A465="","",IF($B465="","EKSİK","TAM"))</f>
        <v/>
      </c>
    </row>
    <row r="466">
      <c r="F466" s="39">
        <f>IF($A466="","",IF($B466="","EKSİK","TAM"))</f>
        <v/>
      </c>
    </row>
    <row r="467">
      <c r="F467" s="39">
        <f>IF($A467="","",IF($B467="","EKSİK","TAM"))</f>
        <v/>
      </c>
    </row>
    <row r="468">
      <c r="F468" s="39">
        <f>IF($A468="","",IF($B468="","EKSİK","TAM"))</f>
        <v/>
      </c>
    </row>
    <row r="469">
      <c r="F469" s="39">
        <f>IF($A469="","",IF($B469="","EKSİK","TAM"))</f>
        <v/>
      </c>
    </row>
    <row r="470">
      <c r="F470" s="39">
        <f>IF($A470="","",IF($B470="","EKSİK","TAM"))</f>
        <v/>
      </c>
    </row>
    <row r="471">
      <c r="F471" s="39">
        <f>IF($A471="","",IF($B471="","EKSİK","TAM"))</f>
        <v/>
      </c>
    </row>
    <row r="472">
      <c r="F472" s="39">
        <f>IF($A472="","",IF($B472="","EKSİK","TAM"))</f>
        <v/>
      </c>
    </row>
    <row r="473">
      <c r="F473" s="39">
        <f>IF($A473="","",IF($B473="","EKSİK","TAM"))</f>
        <v/>
      </c>
    </row>
    <row r="474">
      <c r="F474" s="39">
        <f>IF($A474="","",IF($B474="","EKSİK","TAM"))</f>
        <v/>
      </c>
    </row>
    <row r="475">
      <c r="F475" s="39">
        <f>IF($A475="","",IF($B475="","EKSİK","TAM"))</f>
        <v/>
      </c>
    </row>
    <row r="476">
      <c r="F476" s="39">
        <f>IF($A476="","",IF($B476="","EKSİK","TAM"))</f>
        <v/>
      </c>
    </row>
    <row r="477">
      <c r="F477" s="39">
        <f>IF($A477="","",IF($B477="","EKSİK","TAM"))</f>
        <v/>
      </c>
    </row>
    <row r="478">
      <c r="F478" s="39">
        <f>IF($A478="","",IF($B478="","EKSİK","TAM"))</f>
        <v/>
      </c>
    </row>
    <row r="479">
      <c r="F479" s="39">
        <f>IF($A479="","",IF($B479="","EKSİK","TAM"))</f>
        <v/>
      </c>
    </row>
    <row r="480">
      <c r="F480" s="39">
        <f>IF($A480="","",IF($B480="","EKSİK","TAM"))</f>
        <v/>
      </c>
    </row>
    <row r="481">
      <c r="F481" s="39">
        <f>IF($A481="","",IF($B481="","EKSİK","TAM"))</f>
        <v/>
      </c>
    </row>
    <row r="482">
      <c r="F482" s="39">
        <f>IF($A482="","",IF($B482="","EKSİK","TAM"))</f>
        <v/>
      </c>
    </row>
    <row r="483">
      <c r="F483" s="39">
        <f>IF($A483="","",IF($B483="","EKSİK","TAM"))</f>
        <v/>
      </c>
    </row>
    <row r="484">
      <c r="F484" s="39">
        <f>IF($A484="","",IF($B484="","EKSİK","TAM"))</f>
        <v/>
      </c>
    </row>
    <row r="485">
      <c r="F485" s="39">
        <f>IF($A485="","",IF($B485="","EKSİK","TAM"))</f>
        <v/>
      </c>
    </row>
    <row r="486">
      <c r="F486" s="39">
        <f>IF($A486="","",IF($B486="","EKSİK","TAM"))</f>
        <v/>
      </c>
    </row>
    <row r="487">
      <c r="F487" s="39">
        <f>IF($A487="","",IF($B487="","EKSİK","TAM"))</f>
        <v/>
      </c>
    </row>
    <row r="488">
      <c r="F488" s="39">
        <f>IF($A488="","",IF($B488="","EKSİK","TAM"))</f>
        <v/>
      </c>
    </row>
    <row r="489">
      <c r="F489" s="39">
        <f>IF($A489="","",IF($B489="","EKSİK","TAM"))</f>
        <v/>
      </c>
    </row>
    <row r="490">
      <c r="F490" s="39">
        <f>IF($A490="","",IF($B490="","EKSİK","TAM"))</f>
        <v/>
      </c>
    </row>
    <row r="491">
      <c r="F491" s="39">
        <f>IF($A491="","",IF($B491="","EKSİK","TAM"))</f>
        <v/>
      </c>
    </row>
    <row r="492">
      <c r="F492" s="39">
        <f>IF($A492="","",IF($B492="","EKSİK","TAM"))</f>
        <v/>
      </c>
    </row>
    <row r="493">
      <c r="F493" s="39">
        <f>IF($A493="","",IF($B493="","EKSİK","TAM"))</f>
        <v/>
      </c>
    </row>
    <row r="494">
      <c r="F494" s="39">
        <f>IF($A494="","",IF($B494="","EKSİK","TAM"))</f>
        <v/>
      </c>
    </row>
    <row r="495">
      <c r="F495" s="39">
        <f>IF($A495="","",IF($B495="","EKSİK","TAM"))</f>
        <v/>
      </c>
    </row>
    <row r="496">
      <c r="F496" s="39">
        <f>IF($A496="","",IF($B496="","EKSİK","TAM"))</f>
        <v/>
      </c>
    </row>
    <row r="497">
      <c r="F497" s="39">
        <f>IF($A497="","",IF($B497="","EKSİK","TAM"))</f>
        <v/>
      </c>
    </row>
    <row r="498">
      <c r="F498" s="39">
        <f>IF($A498="","",IF($B498="","EKSİK","TAM"))</f>
        <v/>
      </c>
    </row>
    <row r="499">
      <c r="F499" s="39">
        <f>IF($A499="","",IF($B499="","EKSİK","TAM"))</f>
        <v/>
      </c>
    </row>
    <row r="500">
      <c r="F500" s="39">
        <f>IF($A500="","",IF($B500="","EKSİK","TAM"))</f>
        <v/>
      </c>
    </row>
    <row r="501">
      <c r="F501" s="39">
        <f>IF($A501="","",IF($B501="","EKSİK","TAM"))</f>
        <v/>
      </c>
    </row>
    <row r="502">
      <c r="F502" s="39">
        <f>IF($A502="","",IF($B502="","EKSİK","TAM"))</f>
        <v/>
      </c>
    </row>
    <row r="503">
      <c r="F503" s="39">
        <f>IF($A503="","",IF($B503="","EKSİK","TAM"))</f>
        <v/>
      </c>
    </row>
    <row r="504">
      <c r="F504" s="39">
        <f>IF($A504="","",IF($B504="","EKSİK","TAM"))</f>
        <v/>
      </c>
    </row>
    <row r="505">
      <c r="F505" s="39">
        <f>IF($A505="","",IF($B505="","EKSİK","TAM"))</f>
        <v/>
      </c>
    </row>
    <row r="506">
      <c r="F506" s="39">
        <f>IF($A506="","",IF($B506="","EKSİK","TAM"))</f>
        <v/>
      </c>
    </row>
    <row r="507">
      <c r="F507" s="39">
        <f>IF($A507="","",IF($B507="","EKSİK","TAM"))</f>
        <v/>
      </c>
    </row>
    <row r="508">
      <c r="F508" s="39">
        <f>IF($A508="","",IF($B508="","EKSİK","TAM"))</f>
        <v/>
      </c>
    </row>
    <row r="509">
      <c r="F509" s="39">
        <f>IF($A509="","",IF($B509="","EKSİK","TAM"))</f>
        <v/>
      </c>
    </row>
    <row r="510">
      <c r="F510" s="39">
        <f>IF($A510="","",IF($B510="","EKSİK","TAM"))</f>
        <v/>
      </c>
    </row>
    <row r="511">
      <c r="F511" s="39">
        <f>IF($A511="","",IF($B511="","EKSİK","TAM"))</f>
        <v/>
      </c>
    </row>
    <row r="512">
      <c r="F512" s="39">
        <f>IF($A512="","",IF($B512="","EKSİK","TAM"))</f>
        <v/>
      </c>
    </row>
    <row r="513">
      <c r="F513" s="39">
        <f>IF($A513="","",IF($B513="","EKSİK","TAM"))</f>
        <v/>
      </c>
    </row>
    <row r="514">
      <c r="F514" s="39">
        <f>IF($A514="","",IF($B514="","EKSİK","TAM"))</f>
        <v/>
      </c>
    </row>
    <row r="515">
      <c r="F515" s="39">
        <f>IF($A515="","",IF($B515="","EKSİK","TAM"))</f>
        <v/>
      </c>
    </row>
    <row r="516">
      <c r="F516" s="39">
        <f>IF($A516="","",IF($B516="","EKSİK","TAM"))</f>
        <v/>
      </c>
    </row>
    <row r="517">
      <c r="F517" s="39">
        <f>IF($A517="","",IF($B517="","EKSİK","TAM"))</f>
        <v/>
      </c>
    </row>
    <row r="518">
      <c r="F518" s="39">
        <f>IF($A518="","",IF($B518="","EKSİK","TAM"))</f>
        <v/>
      </c>
    </row>
    <row r="519">
      <c r="F519" s="39">
        <f>IF($A519="","",IF($B519="","EKSİK","TAM"))</f>
        <v/>
      </c>
    </row>
    <row r="520">
      <c r="F520" s="39">
        <f>IF($A520="","",IF($B520="","EKSİK","TAM"))</f>
        <v/>
      </c>
    </row>
    <row r="521">
      <c r="F521" s="39">
        <f>IF($A521="","",IF($B521="","EKSİK","TAM"))</f>
        <v/>
      </c>
    </row>
    <row r="522">
      <c r="F522" s="39">
        <f>IF($A522="","",IF($B522="","EKSİK","TAM"))</f>
        <v/>
      </c>
    </row>
    <row r="523">
      <c r="F523" s="39">
        <f>IF($A523="","",IF($B523="","EKSİK","TAM"))</f>
        <v/>
      </c>
    </row>
    <row r="524">
      <c r="F524" s="39">
        <f>IF($A524="","",IF($B524="","EKSİK","TAM"))</f>
        <v/>
      </c>
    </row>
    <row r="525">
      <c r="F525" s="39">
        <f>IF($A525="","",IF($B525="","EKSİK","TAM"))</f>
        <v/>
      </c>
    </row>
    <row r="526">
      <c r="F526" s="39">
        <f>IF($A526="","",IF($B526="","EKSİK","TAM"))</f>
        <v/>
      </c>
    </row>
    <row r="527">
      <c r="F527" s="39">
        <f>IF($A527="","",IF($B527="","EKSİK","TAM"))</f>
        <v/>
      </c>
    </row>
    <row r="528">
      <c r="F528" s="39">
        <f>IF($A528="","",IF($B528="","EKSİK","TAM"))</f>
        <v/>
      </c>
    </row>
    <row r="529">
      <c r="F529" s="39">
        <f>IF($A529="","",IF($B529="","EKSİK","TAM"))</f>
        <v/>
      </c>
    </row>
    <row r="530">
      <c r="F530" s="39">
        <f>IF($A530="","",IF($B530="","EKSİK","TAM"))</f>
        <v/>
      </c>
    </row>
    <row r="531">
      <c r="F531" s="39">
        <f>IF($A531="","",IF($B531="","EKSİK","TAM"))</f>
        <v/>
      </c>
    </row>
    <row r="532">
      <c r="F532" s="39">
        <f>IF($A532="","",IF($B532="","EKSİK","TAM"))</f>
        <v/>
      </c>
    </row>
    <row r="533">
      <c r="F533" s="39">
        <f>IF($A533="","",IF($B533="","EKSİK","TAM"))</f>
        <v/>
      </c>
    </row>
    <row r="534">
      <c r="F534" s="39">
        <f>IF($A534="","",IF($B534="","EKSİK","TAM"))</f>
        <v/>
      </c>
    </row>
    <row r="535">
      <c r="F535" s="39">
        <f>IF($A535="","",IF($B535="","EKSİK","TAM"))</f>
        <v/>
      </c>
    </row>
    <row r="536">
      <c r="F536" s="39">
        <f>IF($A536="","",IF($B536="","EKSİK","TAM"))</f>
        <v/>
      </c>
    </row>
    <row r="537">
      <c r="F537" s="39">
        <f>IF($A537="","",IF($B537="","EKSİK","TAM"))</f>
        <v/>
      </c>
    </row>
    <row r="538">
      <c r="F538" s="39">
        <f>IF($A538="","",IF($B538="","EKSİK","TAM"))</f>
        <v/>
      </c>
    </row>
    <row r="539">
      <c r="F539" s="39">
        <f>IF($A539="","",IF($B539="","EKSİK","TAM"))</f>
        <v/>
      </c>
    </row>
    <row r="540">
      <c r="F540" s="39">
        <f>IF($A540="","",IF($B540="","EKSİK","TAM"))</f>
        <v/>
      </c>
    </row>
    <row r="541">
      <c r="F541" s="39">
        <f>IF($A541="","",IF($B541="","EKSİK","TAM"))</f>
        <v/>
      </c>
    </row>
    <row r="542">
      <c r="F542" s="39">
        <f>IF($A542="","",IF($B542="","EKSİK","TAM"))</f>
        <v/>
      </c>
    </row>
    <row r="543">
      <c r="F543" s="39">
        <f>IF($A543="","",IF($B543="","EKSİK","TAM"))</f>
        <v/>
      </c>
    </row>
    <row r="544">
      <c r="F544" s="39">
        <f>IF($A544="","",IF($B544="","EKSİK","TAM"))</f>
        <v/>
      </c>
    </row>
    <row r="545">
      <c r="F545" s="39">
        <f>IF($A545="","",IF($B545="","EKSİK","TAM"))</f>
        <v/>
      </c>
    </row>
    <row r="546">
      <c r="F546" s="39">
        <f>IF($A546="","",IF($B546="","EKSİK","TAM"))</f>
        <v/>
      </c>
    </row>
    <row r="547">
      <c r="F547" s="39">
        <f>IF($A547="","",IF($B547="","EKSİK","TAM"))</f>
        <v/>
      </c>
    </row>
    <row r="548">
      <c r="F548" s="39">
        <f>IF($A548="","",IF($B548="","EKSİK","TAM"))</f>
        <v/>
      </c>
    </row>
    <row r="549">
      <c r="F549" s="39">
        <f>IF($A549="","",IF($B549="","EKSİK","TAM"))</f>
        <v/>
      </c>
    </row>
    <row r="550">
      <c r="F550" s="39">
        <f>IF($A550="","",IF($B550="","EKSİK","TAM"))</f>
        <v/>
      </c>
    </row>
    <row r="551">
      <c r="F551" s="39">
        <f>IF($A551="","",IF($B551="","EKSİK","TAM"))</f>
        <v/>
      </c>
    </row>
    <row r="552">
      <c r="F552" s="39">
        <f>IF($A552="","",IF($B552="","EKSİK","TAM"))</f>
        <v/>
      </c>
    </row>
    <row r="553">
      <c r="F553" s="39">
        <f>IF($A553="","",IF($B553="","EKSİK","TAM"))</f>
        <v/>
      </c>
    </row>
    <row r="554">
      <c r="F554" s="39">
        <f>IF($A554="","",IF($B554="","EKSİK","TAM"))</f>
        <v/>
      </c>
    </row>
    <row r="555">
      <c r="F555" s="39">
        <f>IF($A555="","",IF($B555="","EKSİK","TAM"))</f>
        <v/>
      </c>
    </row>
    <row r="556">
      <c r="F556" s="39">
        <f>IF($A556="","",IF($B556="","EKSİK","TAM"))</f>
        <v/>
      </c>
    </row>
    <row r="557">
      <c r="F557" s="39">
        <f>IF($A557="","",IF($B557="","EKSİK","TAM"))</f>
        <v/>
      </c>
    </row>
    <row r="558">
      <c r="F558" s="39">
        <f>IF($A558="","",IF($B558="","EKSİK","TAM"))</f>
        <v/>
      </c>
    </row>
    <row r="559">
      <c r="F559" s="39">
        <f>IF($A559="","",IF($B559="","EKSİK","TAM"))</f>
        <v/>
      </c>
    </row>
    <row r="560">
      <c r="F560" s="39">
        <f>IF($A560="","",IF($B560="","EKSİK","TAM"))</f>
        <v/>
      </c>
    </row>
    <row r="561">
      <c r="F561" s="39">
        <f>IF($A561="","",IF($B561="","EKSİK","TAM"))</f>
        <v/>
      </c>
    </row>
    <row r="562">
      <c r="F562" s="39">
        <f>IF($A562="","",IF($B562="","EKSİK","TAM"))</f>
        <v/>
      </c>
    </row>
    <row r="563">
      <c r="F563" s="39">
        <f>IF($A563="","",IF($B563="","EKSİK","TAM"))</f>
        <v/>
      </c>
    </row>
    <row r="564">
      <c r="F564" s="39">
        <f>IF($A564="","",IF($B564="","EKSİK","TAM"))</f>
        <v/>
      </c>
    </row>
    <row r="565">
      <c r="F565" s="39">
        <f>IF($A565="","",IF($B565="","EKSİK","TAM"))</f>
        <v/>
      </c>
    </row>
    <row r="566">
      <c r="F566" s="39">
        <f>IF($A566="","",IF($B566="","EKSİK","TAM"))</f>
        <v/>
      </c>
    </row>
    <row r="567">
      <c r="F567" s="39">
        <f>IF($A567="","",IF($B567="","EKSİK","TAM"))</f>
        <v/>
      </c>
    </row>
    <row r="568">
      <c r="F568" s="39">
        <f>IF($A568="","",IF($B568="","EKSİK","TAM"))</f>
        <v/>
      </c>
    </row>
    <row r="569">
      <c r="F569" s="39">
        <f>IF($A569="","",IF($B569="","EKSİK","TAM"))</f>
        <v/>
      </c>
    </row>
    <row r="570">
      <c r="F570" s="39">
        <f>IF($A570="","",IF($B570="","EKSİK","TAM"))</f>
        <v/>
      </c>
    </row>
    <row r="571">
      <c r="F571" s="39">
        <f>IF($A571="","",IF($B571="","EKSİK","TAM"))</f>
        <v/>
      </c>
    </row>
    <row r="572">
      <c r="F572" s="39">
        <f>IF($A572="","",IF($B572="","EKSİK","TAM"))</f>
        <v/>
      </c>
    </row>
    <row r="573">
      <c r="F573" s="39">
        <f>IF($A573="","",IF($B573="","EKSİK","TAM"))</f>
        <v/>
      </c>
    </row>
    <row r="574">
      <c r="F574" s="39">
        <f>IF($A574="","",IF($B574="","EKSİK","TAM"))</f>
        <v/>
      </c>
    </row>
    <row r="575">
      <c r="F575" s="39">
        <f>IF($A575="","",IF($B575="","EKSİK","TAM"))</f>
        <v/>
      </c>
    </row>
    <row r="576">
      <c r="F576" s="39">
        <f>IF($A576="","",IF($B576="","EKSİK","TAM"))</f>
        <v/>
      </c>
    </row>
    <row r="577">
      <c r="F577" s="39">
        <f>IF($A577="","",IF($B577="","EKSİK","TAM"))</f>
        <v/>
      </c>
    </row>
    <row r="578">
      <c r="F578" s="39">
        <f>IF($A578="","",IF($B578="","EKSİK","TAM"))</f>
        <v/>
      </c>
    </row>
    <row r="579">
      <c r="F579" s="39">
        <f>IF($A579="","",IF($B579="","EKSİK","TAM"))</f>
        <v/>
      </c>
    </row>
    <row r="580">
      <c r="F580" s="39">
        <f>IF($A580="","",IF($B580="","EKSİK","TAM"))</f>
        <v/>
      </c>
    </row>
    <row r="581">
      <c r="F581" s="39">
        <f>IF($A581="","",IF($B581="","EKSİK","TAM"))</f>
        <v/>
      </c>
    </row>
    <row r="582">
      <c r="F582" s="39">
        <f>IF($A582="","",IF($B582="","EKSİK","TAM"))</f>
        <v/>
      </c>
    </row>
    <row r="583">
      <c r="F583" s="39">
        <f>IF($A583="","",IF($B583="","EKSİK","TAM"))</f>
        <v/>
      </c>
    </row>
    <row r="584">
      <c r="F584" s="39">
        <f>IF($A584="","",IF($B584="","EKSİK","TAM"))</f>
        <v/>
      </c>
    </row>
    <row r="585">
      <c r="F585" s="39">
        <f>IF($A585="","",IF($B585="","EKSİK","TAM"))</f>
        <v/>
      </c>
    </row>
    <row r="586">
      <c r="F586" s="39">
        <f>IF($A586="","",IF($B586="","EKSİK","TAM"))</f>
        <v/>
      </c>
    </row>
    <row r="587">
      <c r="F587" s="39">
        <f>IF($A587="","",IF($B587="","EKSİK","TAM"))</f>
        <v/>
      </c>
    </row>
    <row r="588">
      <c r="F588" s="39">
        <f>IF($A588="","",IF($B588="","EKSİK","TAM"))</f>
        <v/>
      </c>
    </row>
    <row r="589">
      <c r="F589" s="39">
        <f>IF($A589="","",IF($B589="","EKSİK","TAM"))</f>
        <v/>
      </c>
    </row>
    <row r="590">
      <c r="F590" s="39">
        <f>IF($A590="","",IF($B590="","EKSİK","TAM"))</f>
        <v/>
      </c>
    </row>
    <row r="591">
      <c r="F591" s="39">
        <f>IF($A591="","",IF($B591="","EKSİK","TAM"))</f>
        <v/>
      </c>
    </row>
    <row r="592">
      <c r="F592" s="39">
        <f>IF($A592="","",IF($B592="","EKSİK","TAM"))</f>
        <v/>
      </c>
    </row>
    <row r="593">
      <c r="F593" s="39">
        <f>IF($A593="","",IF($B593="","EKSİK","TAM"))</f>
        <v/>
      </c>
    </row>
    <row r="594">
      <c r="F594" s="39">
        <f>IF($A594="","",IF($B594="","EKSİK","TAM"))</f>
        <v/>
      </c>
    </row>
    <row r="595">
      <c r="F595" s="39">
        <f>IF($A595="","",IF($B595="","EKSİK","TAM"))</f>
        <v/>
      </c>
    </row>
    <row r="596">
      <c r="F596" s="39">
        <f>IF($A596="","",IF($B596="","EKSİK","TAM"))</f>
        <v/>
      </c>
    </row>
    <row r="597">
      <c r="F597" s="39">
        <f>IF($A597="","",IF($B597="","EKSİK","TAM"))</f>
        <v/>
      </c>
    </row>
    <row r="598">
      <c r="F598" s="39">
        <f>IF($A598="","",IF($B598="","EKSİK","TAM"))</f>
        <v/>
      </c>
    </row>
    <row r="599">
      <c r="F599" s="39">
        <f>IF($A599="","",IF($B599="","EKSİK","TAM"))</f>
        <v/>
      </c>
    </row>
    <row r="600">
      <c r="F600" s="39">
        <f>IF($A600="","",IF($B600="","EKSİK","TAM"))</f>
        <v/>
      </c>
    </row>
    <row r="601">
      <c r="F601" s="39">
        <f>IF($A601="","",IF($B601="","EKSİK","TAM"))</f>
        <v/>
      </c>
    </row>
    <row r="602">
      <c r="F602" s="39">
        <f>IF($A602="","",IF($B602="","EKSİK","TAM"))</f>
        <v/>
      </c>
    </row>
    <row r="603">
      <c r="F603" s="39">
        <f>IF($A603="","",IF($B603="","EKSİK","TAM"))</f>
        <v/>
      </c>
    </row>
    <row r="604">
      <c r="F604" s="39">
        <f>IF($A604="","",IF($B604="","EKSİK","TAM"))</f>
        <v/>
      </c>
    </row>
    <row r="605">
      <c r="F605" s="39">
        <f>IF($A605="","",IF($B605="","EKSİK","TAM"))</f>
        <v/>
      </c>
    </row>
    <row r="606">
      <c r="F606" s="39">
        <f>IF($A606="","",IF($B606="","EKSİK","TAM"))</f>
        <v/>
      </c>
    </row>
    <row r="607">
      <c r="F607" s="39">
        <f>IF($A607="","",IF($B607="","EKSİK","TAM"))</f>
        <v/>
      </c>
    </row>
    <row r="608">
      <c r="F608" s="39">
        <f>IF($A608="","",IF($B608="","EKSİK","TAM"))</f>
        <v/>
      </c>
    </row>
    <row r="609">
      <c r="F609" s="39">
        <f>IF($A609="","",IF($B609="","EKSİK","TAM"))</f>
        <v/>
      </c>
    </row>
    <row r="610">
      <c r="F610" s="39">
        <f>IF($A610="","",IF($B610="","EKSİK","TAM"))</f>
        <v/>
      </c>
    </row>
    <row r="611">
      <c r="F611" s="39">
        <f>IF($A611="","",IF($B611="","EKSİK","TAM"))</f>
        <v/>
      </c>
    </row>
    <row r="612">
      <c r="F612" s="39">
        <f>IF($A612="","",IF($B612="","EKSİK","TAM"))</f>
        <v/>
      </c>
    </row>
    <row r="613">
      <c r="F613" s="39">
        <f>IF($A613="","",IF($B613="","EKSİK","TAM"))</f>
        <v/>
      </c>
    </row>
    <row r="614">
      <c r="F614" s="39">
        <f>IF($A614="","",IF($B614="","EKSİK","TAM"))</f>
        <v/>
      </c>
    </row>
    <row r="615">
      <c r="F615" s="39">
        <f>IF($A615="","",IF($B615="","EKSİK","TAM"))</f>
        <v/>
      </c>
    </row>
    <row r="616">
      <c r="F616" s="39">
        <f>IF($A616="","",IF($B616="","EKSİK","TAM"))</f>
        <v/>
      </c>
    </row>
    <row r="617">
      <c r="F617" s="39">
        <f>IF($A617="","",IF($B617="","EKSİK","TAM"))</f>
        <v/>
      </c>
    </row>
    <row r="618">
      <c r="F618" s="39">
        <f>IF($A618="","",IF($B618="","EKSİK","TAM"))</f>
        <v/>
      </c>
    </row>
    <row r="619">
      <c r="F619" s="39">
        <f>IF($A619="","",IF($B619="","EKSİK","TAM"))</f>
        <v/>
      </c>
    </row>
    <row r="620">
      <c r="F620" s="39">
        <f>IF($A620="","",IF($B620="","EKSİK","TAM"))</f>
        <v/>
      </c>
    </row>
    <row r="621">
      <c r="F621" s="39">
        <f>IF($A621="","",IF($B621="","EKSİK","TAM"))</f>
        <v/>
      </c>
    </row>
    <row r="622">
      <c r="F622" s="39">
        <f>IF($A622="","",IF($B622="","EKSİK","TAM"))</f>
        <v/>
      </c>
    </row>
    <row r="623">
      <c r="F623" s="39">
        <f>IF($A623="","",IF($B623="","EKSİK","TAM"))</f>
        <v/>
      </c>
    </row>
    <row r="624">
      <c r="F624" s="39">
        <f>IF($A624="","",IF($B624="","EKSİK","TAM"))</f>
        <v/>
      </c>
    </row>
    <row r="625">
      <c r="F625" s="39">
        <f>IF($A625="","",IF($B625="","EKSİK","TAM"))</f>
        <v/>
      </c>
    </row>
    <row r="626">
      <c r="F626" s="39">
        <f>IF($A626="","",IF($B626="","EKSİK","TAM"))</f>
        <v/>
      </c>
    </row>
    <row r="627">
      <c r="F627" s="39">
        <f>IF($A627="","",IF($B627="","EKSİK","TAM"))</f>
        <v/>
      </c>
    </row>
    <row r="628">
      <c r="F628" s="39">
        <f>IF($A628="","",IF($B628="","EKSİK","TAM"))</f>
        <v/>
      </c>
    </row>
    <row r="629">
      <c r="F629" s="39">
        <f>IF($A629="","",IF($B629="","EKSİK","TAM"))</f>
        <v/>
      </c>
    </row>
    <row r="630">
      <c r="F630" s="39">
        <f>IF($A630="","",IF($B630="","EKSİK","TAM"))</f>
        <v/>
      </c>
    </row>
    <row r="631">
      <c r="F631" s="39">
        <f>IF($A631="","",IF($B631="","EKSİK","TAM"))</f>
        <v/>
      </c>
    </row>
    <row r="632">
      <c r="F632" s="39">
        <f>IF($A632="","",IF($B632="","EKSİK","TAM"))</f>
        <v/>
      </c>
    </row>
    <row r="633">
      <c r="F633" s="39">
        <f>IF($A633="","",IF($B633="","EKSİK","TAM"))</f>
        <v/>
      </c>
    </row>
    <row r="634">
      <c r="F634" s="39">
        <f>IF($A634="","",IF($B634="","EKSİK","TAM"))</f>
        <v/>
      </c>
    </row>
    <row r="635">
      <c r="F635" s="39">
        <f>IF($A635="","",IF($B635="","EKSİK","TAM"))</f>
        <v/>
      </c>
    </row>
    <row r="636">
      <c r="F636" s="39">
        <f>IF($A636="","",IF($B636="","EKSİK","TAM"))</f>
        <v/>
      </c>
    </row>
    <row r="637">
      <c r="F637" s="39">
        <f>IF($A637="","",IF($B637="","EKSİK","TAM"))</f>
        <v/>
      </c>
    </row>
    <row r="638">
      <c r="F638" s="39">
        <f>IF($A638="","",IF($B638="","EKSİK","TAM"))</f>
        <v/>
      </c>
    </row>
    <row r="639">
      <c r="F639" s="39">
        <f>IF($A639="","",IF($B639="","EKSİK","TAM"))</f>
        <v/>
      </c>
    </row>
    <row r="640">
      <c r="F640" s="39">
        <f>IF($A640="","",IF($B640="","EKSİK","TAM"))</f>
        <v/>
      </c>
    </row>
    <row r="641">
      <c r="F641" s="39">
        <f>IF($A641="","",IF($B641="","EKSİK","TAM"))</f>
        <v/>
      </c>
    </row>
    <row r="642">
      <c r="F642" s="39">
        <f>IF($A642="","",IF($B642="","EKSİK","TAM"))</f>
        <v/>
      </c>
    </row>
    <row r="643">
      <c r="F643" s="39">
        <f>IF($A643="","",IF($B643="","EKSİK","TAM"))</f>
        <v/>
      </c>
    </row>
    <row r="644">
      <c r="F644" s="39">
        <f>IF($A644="","",IF($B644="","EKSİK","TAM"))</f>
        <v/>
      </c>
    </row>
    <row r="645">
      <c r="F645" s="39">
        <f>IF($A645="","",IF($B645="","EKSİK","TAM"))</f>
        <v/>
      </c>
    </row>
    <row r="646">
      <c r="F646" s="39">
        <f>IF($A646="","",IF($B646="","EKSİK","TAM"))</f>
        <v/>
      </c>
    </row>
    <row r="647">
      <c r="F647" s="39">
        <f>IF($A647="","",IF($B647="","EKSİK","TAM"))</f>
        <v/>
      </c>
    </row>
    <row r="648">
      <c r="F648" s="39">
        <f>IF($A648="","",IF($B648="","EKSİK","TAM"))</f>
        <v/>
      </c>
    </row>
    <row r="649">
      <c r="F649" s="39">
        <f>IF($A649="","",IF($B649="","EKSİK","TAM"))</f>
        <v/>
      </c>
    </row>
    <row r="650">
      <c r="F650" s="39">
        <f>IF($A650="","",IF($B650="","EKSİK","TAM"))</f>
        <v/>
      </c>
    </row>
    <row r="651">
      <c r="F651" s="39">
        <f>IF($A651="","",IF($B651="","EKSİK","TAM"))</f>
        <v/>
      </c>
    </row>
    <row r="652">
      <c r="F652" s="39">
        <f>IF($A652="","",IF($B652="","EKSİK","TAM"))</f>
        <v/>
      </c>
    </row>
    <row r="653">
      <c r="F653" s="39">
        <f>IF($A653="","",IF($B653="","EKSİK","TAM"))</f>
        <v/>
      </c>
    </row>
    <row r="654">
      <c r="F654" s="39">
        <f>IF($A654="","",IF($B654="","EKSİK","TAM"))</f>
        <v/>
      </c>
    </row>
    <row r="655">
      <c r="F655" s="39">
        <f>IF($A655="","",IF($B655="","EKSİK","TAM"))</f>
        <v/>
      </c>
    </row>
    <row r="656">
      <c r="F656" s="39">
        <f>IF($A656="","",IF($B656="","EKSİK","TAM"))</f>
        <v/>
      </c>
    </row>
    <row r="657">
      <c r="F657" s="39">
        <f>IF($A657="","",IF($B657="","EKSİK","TAM"))</f>
        <v/>
      </c>
    </row>
    <row r="658">
      <c r="F658" s="39">
        <f>IF($A658="","",IF($B658="","EKSİK","TAM"))</f>
        <v/>
      </c>
    </row>
    <row r="659">
      <c r="F659" s="39">
        <f>IF($A659="","",IF($B659="","EKSİK","TAM"))</f>
        <v/>
      </c>
    </row>
    <row r="660">
      <c r="F660" s="39">
        <f>IF($A660="","",IF($B660="","EKSİK","TAM"))</f>
        <v/>
      </c>
    </row>
    <row r="661">
      <c r="F661" s="39">
        <f>IF($A661="","",IF($B661="","EKSİK","TAM"))</f>
        <v/>
      </c>
    </row>
    <row r="662">
      <c r="F662" s="39">
        <f>IF($A662="","",IF($B662="","EKSİK","TAM"))</f>
        <v/>
      </c>
    </row>
    <row r="663">
      <c r="F663" s="39">
        <f>IF($A663="","",IF($B663="","EKSİK","TAM"))</f>
        <v/>
      </c>
    </row>
    <row r="664">
      <c r="F664" s="39">
        <f>IF($A664="","",IF($B664="","EKSİK","TAM"))</f>
        <v/>
      </c>
    </row>
    <row r="665">
      <c r="F665" s="39">
        <f>IF($A665="","",IF($B665="","EKSİK","TAM"))</f>
        <v/>
      </c>
    </row>
    <row r="666">
      <c r="F666" s="39">
        <f>IF($A666="","",IF($B666="","EKSİK","TAM"))</f>
        <v/>
      </c>
    </row>
    <row r="667">
      <c r="F667" s="39">
        <f>IF($A667="","",IF($B667="","EKSİK","TAM"))</f>
        <v/>
      </c>
    </row>
    <row r="668">
      <c r="F668" s="39">
        <f>IF($A668="","",IF($B668="","EKSİK","TAM"))</f>
        <v/>
      </c>
    </row>
    <row r="669">
      <c r="F669" s="39">
        <f>IF($A669="","",IF($B669="","EKSİK","TAM"))</f>
        <v/>
      </c>
    </row>
    <row r="670">
      <c r="F670" s="39">
        <f>IF($A670="","",IF($B670="","EKSİK","TAM"))</f>
        <v/>
      </c>
    </row>
    <row r="671">
      <c r="F671" s="39">
        <f>IF($A671="","",IF($B671="","EKSİK","TAM"))</f>
        <v/>
      </c>
    </row>
    <row r="672">
      <c r="F672" s="39">
        <f>IF($A672="","",IF($B672="","EKSİK","TAM"))</f>
        <v/>
      </c>
    </row>
    <row r="673">
      <c r="F673" s="39">
        <f>IF($A673="","",IF($B673="","EKSİK","TAM"))</f>
        <v/>
      </c>
    </row>
    <row r="674">
      <c r="F674" s="39">
        <f>IF($A674="","",IF($B674="","EKSİK","TAM"))</f>
        <v/>
      </c>
    </row>
    <row r="675">
      <c r="F675" s="39">
        <f>IF($A675="","",IF($B675="","EKSİK","TAM"))</f>
        <v/>
      </c>
    </row>
    <row r="676">
      <c r="F676" s="39">
        <f>IF($A676="","",IF($B676="","EKSİK","TAM"))</f>
        <v/>
      </c>
    </row>
    <row r="677">
      <c r="F677" s="39">
        <f>IF($A677="","",IF($B677="","EKSİK","TAM"))</f>
        <v/>
      </c>
    </row>
    <row r="678">
      <c r="F678" s="39">
        <f>IF($A678="","",IF($B678="","EKSİK","TAM"))</f>
        <v/>
      </c>
    </row>
    <row r="679">
      <c r="F679" s="39">
        <f>IF($A679="","",IF($B679="","EKSİK","TAM"))</f>
        <v/>
      </c>
    </row>
    <row r="680">
      <c r="F680" s="39">
        <f>IF($A680="","",IF($B680="","EKSİK","TAM"))</f>
        <v/>
      </c>
    </row>
    <row r="681">
      <c r="F681" s="39">
        <f>IF($A681="","",IF($B681="","EKSİK","TAM"))</f>
        <v/>
      </c>
    </row>
    <row r="682">
      <c r="F682" s="39">
        <f>IF($A682="","",IF($B682="","EKSİK","TAM"))</f>
        <v/>
      </c>
    </row>
    <row r="683">
      <c r="F683" s="39">
        <f>IF($A683="","",IF($B683="","EKSİK","TAM"))</f>
        <v/>
      </c>
    </row>
    <row r="684">
      <c r="F684" s="39">
        <f>IF($A684="","",IF($B684="","EKSİK","TAM"))</f>
        <v/>
      </c>
    </row>
    <row r="685">
      <c r="F685" s="39">
        <f>IF($A685="","",IF($B685="","EKSİK","TAM"))</f>
        <v/>
      </c>
    </row>
    <row r="686">
      <c r="F686" s="39">
        <f>IF($A686="","",IF($B686="","EKSİK","TAM"))</f>
        <v/>
      </c>
    </row>
    <row r="687">
      <c r="F687" s="39">
        <f>IF($A687="","",IF($B687="","EKSİK","TAM"))</f>
        <v/>
      </c>
    </row>
    <row r="688">
      <c r="F688" s="39">
        <f>IF($A688="","",IF($B688="","EKSİK","TAM"))</f>
        <v/>
      </c>
    </row>
    <row r="689">
      <c r="F689" s="39">
        <f>IF($A689="","",IF($B689="","EKSİK","TAM"))</f>
        <v/>
      </c>
    </row>
    <row r="690">
      <c r="F690" s="39">
        <f>IF($A690="","",IF($B690="","EKSİK","TAM"))</f>
        <v/>
      </c>
    </row>
    <row r="691">
      <c r="F691" s="39">
        <f>IF($A691="","",IF($B691="","EKSİK","TAM"))</f>
        <v/>
      </c>
    </row>
    <row r="692">
      <c r="F692" s="39">
        <f>IF($A692="","",IF($B692="","EKSİK","TAM"))</f>
        <v/>
      </c>
    </row>
    <row r="693">
      <c r="F693" s="39">
        <f>IF($A693="","",IF($B693="","EKSİK","TAM"))</f>
        <v/>
      </c>
    </row>
    <row r="694">
      <c r="F694" s="39">
        <f>IF($A694="","",IF($B694="","EKSİK","TAM"))</f>
        <v/>
      </c>
    </row>
    <row r="695">
      <c r="F695" s="39">
        <f>IF($A695="","",IF($B695="","EKSİK","TAM"))</f>
        <v/>
      </c>
    </row>
    <row r="696">
      <c r="F696" s="39">
        <f>IF($A696="","",IF($B696="","EKSİK","TAM"))</f>
        <v/>
      </c>
    </row>
    <row r="697">
      <c r="F697" s="39">
        <f>IF($A697="","",IF($B697="","EKSİK","TAM"))</f>
        <v/>
      </c>
    </row>
    <row r="698">
      <c r="F698" s="39">
        <f>IF($A698="","",IF($B698="","EKSİK","TAM"))</f>
        <v/>
      </c>
    </row>
    <row r="699">
      <c r="F699" s="39">
        <f>IF($A699="","",IF($B699="","EKSİK","TAM"))</f>
        <v/>
      </c>
    </row>
    <row r="700">
      <c r="F700" s="39">
        <f>IF($A700="","",IF($B700="","EKSİK","TAM"))</f>
        <v/>
      </c>
    </row>
    <row r="701">
      <c r="F701" s="39">
        <f>IF($A701="","",IF($B701="","EKSİK","TAM"))</f>
        <v/>
      </c>
    </row>
    <row r="702">
      <c r="F702" s="39">
        <f>IF($A702="","",IF($B702="","EKSİK","TAM"))</f>
        <v/>
      </c>
    </row>
    <row r="703">
      <c r="F703" s="39">
        <f>IF($A703="","",IF($B703="","EKSİK","TAM"))</f>
        <v/>
      </c>
    </row>
    <row r="704">
      <c r="F704" s="39">
        <f>IF($A704="","",IF($B704="","EKSİK","TAM"))</f>
        <v/>
      </c>
    </row>
    <row r="705">
      <c r="F705" s="39">
        <f>IF($A705="","",IF($B705="","EKSİK","TAM"))</f>
        <v/>
      </c>
    </row>
    <row r="706">
      <c r="F706" s="39">
        <f>IF($A706="","",IF($B706="","EKSİK","TAM"))</f>
        <v/>
      </c>
    </row>
    <row r="707">
      <c r="F707" s="39">
        <f>IF($A707="","",IF($B707="","EKSİK","TAM"))</f>
        <v/>
      </c>
    </row>
    <row r="708">
      <c r="F708" s="39">
        <f>IF($A708="","",IF($B708="","EKSİK","TAM"))</f>
        <v/>
      </c>
    </row>
    <row r="709">
      <c r="F709" s="39">
        <f>IF($A709="","",IF($B709="","EKSİK","TAM"))</f>
        <v/>
      </c>
    </row>
    <row r="710">
      <c r="F710" s="39">
        <f>IF($A710="","",IF($B710="","EKSİK","TAM"))</f>
        <v/>
      </c>
    </row>
    <row r="711">
      <c r="F711" s="39">
        <f>IF($A711="","",IF($B711="","EKSİK","TAM"))</f>
        <v/>
      </c>
    </row>
    <row r="712">
      <c r="F712" s="39">
        <f>IF($A712="","",IF($B712="","EKSİK","TAM"))</f>
        <v/>
      </c>
    </row>
    <row r="713">
      <c r="F713" s="39">
        <f>IF($A713="","",IF($B713="","EKSİK","TAM"))</f>
        <v/>
      </c>
    </row>
    <row r="714">
      <c r="F714" s="39">
        <f>IF($A714="","",IF($B714="","EKSİK","TAM"))</f>
        <v/>
      </c>
    </row>
    <row r="715">
      <c r="F715" s="39">
        <f>IF($A715="","",IF($B715="","EKSİK","TAM"))</f>
        <v/>
      </c>
    </row>
    <row r="716">
      <c r="F716" s="39">
        <f>IF($A716="","",IF($B716="","EKSİK","TAM"))</f>
        <v/>
      </c>
    </row>
    <row r="717">
      <c r="F717" s="39">
        <f>IF($A717="","",IF($B717="","EKSİK","TAM"))</f>
        <v/>
      </c>
    </row>
    <row r="718">
      <c r="F718" s="39">
        <f>IF($A718="","",IF($B718="","EKSİK","TAM"))</f>
        <v/>
      </c>
    </row>
    <row r="719">
      <c r="F719" s="39">
        <f>IF($A719="","",IF($B719="","EKSİK","TAM"))</f>
        <v/>
      </c>
    </row>
    <row r="720">
      <c r="F720" s="39">
        <f>IF($A720="","",IF($B720="","EKSİK","TAM"))</f>
        <v/>
      </c>
    </row>
    <row r="721">
      <c r="F721" s="39">
        <f>IF($A721="","",IF($B721="","EKSİK","TAM"))</f>
        <v/>
      </c>
    </row>
    <row r="722">
      <c r="F722" s="39">
        <f>IF($A722="","",IF($B722="","EKSİK","TAM"))</f>
        <v/>
      </c>
    </row>
    <row r="723">
      <c r="F723" s="39">
        <f>IF($A723="","",IF($B723="","EKSİK","TAM"))</f>
        <v/>
      </c>
    </row>
    <row r="724">
      <c r="F724" s="39">
        <f>IF($A724="","",IF($B724="","EKSİK","TAM"))</f>
        <v/>
      </c>
    </row>
    <row r="725">
      <c r="F725" s="39">
        <f>IF($A725="","",IF($B725="","EKSİK","TAM"))</f>
        <v/>
      </c>
    </row>
    <row r="726">
      <c r="F726" s="39">
        <f>IF($A726="","",IF($B726="","EKSİK","TAM"))</f>
        <v/>
      </c>
    </row>
    <row r="727">
      <c r="F727" s="39">
        <f>IF($A727="","",IF($B727="","EKSİK","TAM"))</f>
        <v/>
      </c>
    </row>
    <row r="728">
      <c r="F728" s="39">
        <f>IF($A728="","",IF($B728="","EKSİK","TAM"))</f>
        <v/>
      </c>
    </row>
    <row r="729">
      <c r="F729" s="39">
        <f>IF($A729="","",IF($B729="","EKSİK","TAM"))</f>
        <v/>
      </c>
    </row>
    <row r="730">
      <c r="F730" s="39">
        <f>IF($A730="","",IF($B730="","EKSİK","TAM"))</f>
        <v/>
      </c>
    </row>
    <row r="731">
      <c r="F731" s="39">
        <f>IF($A731="","",IF($B731="","EKSİK","TAM"))</f>
        <v/>
      </c>
    </row>
    <row r="732">
      <c r="F732" s="39">
        <f>IF($A732="","",IF($B732="","EKSİK","TAM"))</f>
        <v/>
      </c>
    </row>
    <row r="733">
      <c r="F733" s="39">
        <f>IF($A733="","",IF($B733="","EKSİK","TAM"))</f>
        <v/>
      </c>
    </row>
    <row r="734">
      <c r="F734" s="39">
        <f>IF($A734="","",IF($B734="","EKSİK","TAM"))</f>
        <v/>
      </c>
    </row>
    <row r="735">
      <c r="F735" s="39">
        <f>IF($A735="","",IF($B735="","EKSİK","TAM"))</f>
        <v/>
      </c>
    </row>
    <row r="736">
      <c r="F736" s="39">
        <f>IF($A736="","",IF($B736="","EKSİK","TAM"))</f>
        <v/>
      </c>
    </row>
    <row r="737">
      <c r="F737" s="39">
        <f>IF($A737="","",IF($B737="","EKSİK","TAM"))</f>
        <v/>
      </c>
    </row>
    <row r="738">
      <c r="F738" s="39">
        <f>IF($A738="","",IF($B738="","EKSİK","TAM"))</f>
        <v/>
      </c>
    </row>
    <row r="739">
      <c r="F739" s="39">
        <f>IF($A739="","",IF($B739="","EKSİK","TAM"))</f>
        <v/>
      </c>
    </row>
    <row r="740">
      <c r="F740" s="39">
        <f>IF($A740="","",IF($B740="","EKSİK","TAM"))</f>
        <v/>
      </c>
    </row>
    <row r="741">
      <c r="F741" s="39">
        <f>IF($A741="","",IF($B741="","EKSİK","TAM"))</f>
        <v/>
      </c>
    </row>
    <row r="742">
      <c r="F742" s="39">
        <f>IF($A742="","",IF($B742="","EKSİK","TAM"))</f>
        <v/>
      </c>
    </row>
    <row r="743">
      <c r="F743" s="39">
        <f>IF($A743="","",IF($B743="","EKSİK","TAM"))</f>
        <v/>
      </c>
    </row>
    <row r="744">
      <c r="F744" s="39">
        <f>IF($A744="","",IF($B744="","EKSİK","TAM"))</f>
        <v/>
      </c>
    </row>
    <row r="745">
      <c r="F745" s="39">
        <f>IF($A745="","",IF($B745="","EKSİK","TAM"))</f>
        <v/>
      </c>
    </row>
    <row r="746">
      <c r="F746" s="39">
        <f>IF($A746="","",IF($B746="","EKSİK","TAM"))</f>
        <v/>
      </c>
    </row>
    <row r="747">
      <c r="F747" s="39">
        <f>IF($A747="","",IF($B747="","EKSİK","TAM"))</f>
        <v/>
      </c>
    </row>
    <row r="748">
      <c r="F748" s="39">
        <f>IF($A748="","",IF($B748="","EKSİK","TAM"))</f>
        <v/>
      </c>
    </row>
    <row r="749">
      <c r="F749" s="39">
        <f>IF($A749="","",IF($B749="","EKSİK","TAM"))</f>
        <v/>
      </c>
    </row>
    <row r="750">
      <c r="F750" s="39">
        <f>IF($A750="","",IF($B750="","EKSİK","TAM"))</f>
        <v/>
      </c>
    </row>
    <row r="751">
      <c r="F751" s="39">
        <f>IF($A751="","",IF($B751="","EKSİK","TAM"))</f>
        <v/>
      </c>
    </row>
    <row r="752">
      <c r="F752" s="39">
        <f>IF($A752="","",IF($B752="","EKSİK","TAM"))</f>
        <v/>
      </c>
    </row>
    <row r="753">
      <c r="F753" s="39">
        <f>IF($A753="","",IF($B753="","EKSİK","TAM"))</f>
        <v/>
      </c>
    </row>
    <row r="754">
      <c r="F754" s="39">
        <f>IF($A754="","",IF($B754="","EKSİK","TAM"))</f>
        <v/>
      </c>
    </row>
    <row r="755">
      <c r="F755" s="39">
        <f>IF($A755="","",IF($B755="","EKSİK","TAM"))</f>
        <v/>
      </c>
    </row>
    <row r="756">
      <c r="F756" s="39">
        <f>IF($A756="","",IF($B756="","EKSİK","TAM"))</f>
        <v/>
      </c>
    </row>
    <row r="757">
      <c r="F757" s="39">
        <f>IF($A757="","",IF($B757="","EKSİK","TAM"))</f>
        <v/>
      </c>
    </row>
    <row r="758">
      <c r="F758" s="39">
        <f>IF($A758="","",IF($B758="","EKSİK","TAM"))</f>
        <v/>
      </c>
    </row>
    <row r="759">
      <c r="F759" s="39">
        <f>IF($A759="","",IF($B759="","EKSİK","TAM"))</f>
        <v/>
      </c>
    </row>
    <row r="760">
      <c r="F760" s="39">
        <f>IF($A760="","",IF($B760="","EKSİK","TAM"))</f>
        <v/>
      </c>
    </row>
    <row r="761">
      <c r="F761" s="39">
        <f>IF($A761="","",IF($B761="","EKSİK","TAM"))</f>
        <v/>
      </c>
    </row>
    <row r="762">
      <c r="F762" s="39">
        <f>IF($A762="","",IF($B762="","EKSİK","TAM"))</f>
        <v/>
      </c>
    </row>
    <row r="763">
      <c r="F763" s="39">
        <f>IF($A763="","",IF($B763="","EKSİK","TAM"))</f>
        <v/>
      </c>
    </row>
    <row r="764">
      <c r="F764" s="39">
        <f>IF($A764="","",IF($B764="","EKSİK","TAM"))</f>
        <v/>
      </c>
    </row>
    <row r="765">
      <c r="F765" s="39">
        <f>IF($A765="","",IF($B765="","EKSİK","TAM"))</f>
        <v/>
      </c>
    </row>
    <row r="766">
      <c r="F766" s="39">
        <f>IF($A766="","",IF($B766="","EKSİK","TAM"))</f>
        <v/>
      </c>
    </row>
    <row r="767">
      <c r="F767" s="39">
        <f>IF($A767="","",IF($B767="","EKSİK","TAM"))</f>
        <v/>
      </c>
    </row>
    <row r="768">
      <c r="F768" s="39">
        <f>IF($A768="","",IF($B768="","EKSİK","TAM"))</f>
        <v/>
      </c>
    </row>
    <row r="769">
      <c r="F769" s="39">
        <f>IF($A769="","",IF($B769="","EKSİK","TAM"))</f>
        <v/>
      </c>
    </row>
    <row r="770">
      <c r="F770" s="39">
        <f>IF($A770="","",IF($B770="","EKSİK","TAM"))</f>
        <v/>
      </c>
    </row>
    <row r="771">
      <c r="F771" s="39">
        <f>IF($A771="","",IF($B771="","EKSİK","TAM"))</f>
        <v/>
      </c>
    </row>
    <row r="772">
      <c r="F772" s="39">
        <f>IF($A772="","",IF($B772="","EKSİK","TAM"))</f>
        <v/>
      </c>
    </row>
    <row r="773">
      <c r="F773" s="39">
        <f>IF($A773="","",IF($B773="","EKSİK","TAM"))</f>
        <v/>
      </c>
    </row>
    <row r="774">
      <c r="F774" s="39">
        <f>IF($A774="","",IF($B774="","EKSİK","TAM"))</f>
        <v/>
      </c>
    </row>
    <row r="775">
      <c r="F775" s="39">
        <f>IF($A775="","",IF($B775="","EKSİK","TAM"))</f>
        <v/>
      </c>
    </row>
    <row r="776">
      <c r="F776" s="39">
        <f>IF($A776="","",IF($B776="","EKSİK","TAM"))</f>
        <v/>
      </c>
    </row>
    <row r="777">
      <c r="F777" s="39">
        <f>IF($A777="","",IF($B777="","EKSİK","TAM"))</f>
        <v/>
      </c>
    </row>
    <row r="778">
      <c r="F778" s="39">
        <f>IF($A778="","",IF($B778="","EKSİK","TAM"))</f>
        <v/>
      </c>
    </row>
    <row r="779">
      <c r="F779" s="39">
        <f>IF($A779="","",IF($B779="","EKSİK","TAM"))</f>
        <v/>
      </c>
    </row>
    <row r="780">
      <c r="F780" s="39">
        <f>IF($A780="","",IF($B780="","EKSİK","TAM"))</f>
        <v/>
      </c>
    </row>
    <row r="781">
      <c r="F781" s="39">
        <f>IF($A781="","",IF($B781="","EKSİK","TAM"))</f>
        <v/>
      </c>
    </row>
    <row r="782">
      <c r="F782" s="39">
        <f>IF($A782="","",IF($B782="","EKSİK","TAM"))</f>
        <v/>
      </c>
    </row>
    <row r="783">
      <c r="F783" s="39">
        <f>IF($A783="","",IF($B783="","EKSİK","TAM"))</f>
        <v/>
      </c>
    </row>
    <row r="784">
      <c r="F784" s="39">
        <f>IF($A784="","",IF($B784="","EKSİK","TAM"))</f>
        <v/>
      </c>
    </row>
    <row r="785">
      <c r="F785" s="39">
        <f>IF($A785="","",IF($B785="","EKSİK","TAM"))</f>
        <v/>
      </c>
    </row>
    <row r="786">
      <c r="F786" s="39">
        <f>IF($A786="","",IF($B786="","EKSİK","TAM"))</f>
        <v/>
      </c>
    </row>
    <row r="787">
      <c r="F787" s="39">
        <f>IF($A787="","",IF($B787="","EKSİK","TAM"))</f>
        <v/>
      </c>
    </row>
    <row r="788">
      <c r="F788" s="39">
        <f>IF($A788="","",IF($B788="","EKSİK","TAM"))</f>
        <v/>
      </c>
    </row>
    <row r="789">
      <c r="F789" s="39">
        <f>IF($A789="","",IF($B789="","EKSİK","TAM"))</f>
        <v/>
      </c>
    </row>
    <row r="790">
      <c r="F790" s="39">
        <f>IF($A790="","",IF($B790="","EKSİK","TAM"))</f>
        <v/>
      </c>
    </row>
    <row r="791">
      <c r="F791" s="39">
        <f>IF($A791="","",IF($B791="","EKSİK","TAM"))</f>
        <v/>
      </c>
    </row>
    <row r="792">
      <c r="F792" s="39">
        <f>IF($A792="","",IF($B792="","EKSİK","TAM"))</f>
        <v/>
      </c>
    </row>
    <row r="793">
      <c r="F793" s="39">
        <f>IF($A793="","",IF($B793="","EKSİK","TAM"))</f>
        <v/>
      </c>
    </row>
    <row r="794">
      <c r="F794" s="39">
        <f>IF($A794="","",IF($B794="","EKSİK","TAM"))</f>
        <v/>
      </c>
    </row>
    <row r="795">
      <c r="F795" s="39">
        <f>IF($A795="","",IF($B795="","EKSİK","TAM"))</f>
        <v/>
      </c>
    </row>
    <row r="796">
      <c r="F796" s="39">
        <f>IF($A796="","",IF($B796="","EKSİK","TAM"))</f>
        <v/>
      </c>
    </row>
    <row r="797">
      <c r="F797" s="39">
        <f>IF($A797="","",IF($B797="","EKSİK","TAM"))</f>
        <v/>
      </c>
    </row>
    <row r="798">
      <c r="F798" s="39">
        <f>IF($A798="","",IF($B798="","EKSİK","TAM"))</f>
        <v/>
      </c>
    </row>
    <row r="799">
      <c r="F799" s="39">
        <f>IF($A799="","",IF($B799="","EKSİK","TAM"))</f>
        <v/>
      </c>
    </row>
    <row r="800">
      <c r="F800" s="39">
        <f>IF($A800="","",IF($B800="","EKSİK","TAM"))</f>
        <v/>
      </c>
    </row>
    <row r="801">
      <c r="F801" s="39">
        <f>IF($A801="","",IF($B801="","EKSİK","TAM"))</f>
        <v/>
      </c>
    </row>
    <row r="802">
      <c r="F802" s="39">
        <f>IF($A802="","",IF($B802="","EKSİK","TAM"))</f>
        <v/>
      </c>
    </row>
    <row r="803">
      <c r="F803" s="39">
        <f>IF($A803="","",IF($B803="","EKSİK","TAM"))</f>
        <v/>
      </c>
    </row>
    <row r="804">
      <c r="F804" s="39">
        <f>IF($A804="","",IF($B804="","EKSİK","TAM"))</f>
        <v/>
      </c>
    </row>
    <row r="805">
      <c r="F805" s="39">
        <f>IF($A805="","",IF($B805="","EKSİK","TAM"))</f>
        <v/>
      </c>
    </row>
    <row r="806">
      <c r="F806" s="39">
        <f>IF($A806="","",IF($B806="","EKSİK","TAM"))</f>
        <v/>
      </c>
    </row>
    <row r="807">
      <c r="F807" s="39">
        <f>IF($A807="","",IF($B807="","EKSİK","TAM"))</f>
        <v/>
      </c>
    </row>
    <row r="808">
      <c r="F808" s="39">
        <f>IF($A808="","",IF($B808="","EKSİK","TAM"))</f>
        <v/>
      </c>
    </row>
    <row r="809">
      <c r="F809" s="39">
        <f>IF($A809="","",IF($B809="","EKSİK","TAM"))</f>
        <v/>
      </c>
    </row>
    <row r="810">
      <c r="F810" s="39">
        <f>IF($A810="","",IF($B810="","EKSİK","TAM"))</f>
        <v/>
      </c>
    </row>
    <row r="811">
      <c r="F811" s="39">
        <f>IF($A811="","",IF($B811="","EKSİK","TAM"))</f>
        <v/>
      </c>
    </row>
    <row r="812">
      <c r="F812" s="39">
        <f>IF($A812="","",IF($B812="","EKSİK","TAM"))</f>
        <v/>
      </c>
    </row>
    <row r="813">
      <c r="F813" s="39">
        <f>IF($A813="","",IF($B813="","EKSİK","TAM"))</f>
        <v/>
      </c>
    </row>
    <row r="814">
      <c r="F814" s="39">
        <f>IF($A814="","",IF($B814="","EKSİK","TAM"))</f>
        <v/>
      </c>
    </row>
    <row r="815">
      <c r="F815" s="39">
        <f>IF($A815="","",IF($B815="","EKSİK","TAM"))</f>
        <v/>
      </c>
    </row>
    <row r="816">
      <c r="F816" s="39">
        <f>IF($A816="","",IF($B816="","EKSİK","TAM"))</f>
        <v/>
      </c>
    </row>
    <row r="817">
      <c r="F817" s="39">
        <f>IF($A817="","",IF($B817="","EKSİK","TAM"))</f>
        <v/>
      </c>
    </row>
    <row r="818">
      <c r="F818" s="39">
        <f>IF($A818="","",IF($B818="","EKSİK","TAM"))</f>
        <v/>
      </c>
    </row>
    <row r="819">
      <c r="F819" s="39">
        <f>IF($A819="","",IF($B819="","EKSİK","TAM"))</f>
        <v/>
      </c>
    </row>
    <row r="820">
      <c r="F820" s="39">
        <f>IF($A820="","",IF($B820="","EKSİK","TAM"))</f>
        <v/>
      </c>
    </row>
    <row r="821">
      <c r="F821" s="39">
        <f>IF($A821="","",IF($B821="","EKSİK","TAM"))</f>
        <v/>
      </c>
    </row>
    <row r="822">
      <c r="F822" s="39">
        <f>IF($A822="","",IF($B822="","EKSİK","TAM"))</f>
        <v/>
      </c>
    </row>
    <row r="823">
      <c r="F823" s="39">
        <f>IF($A823="","",IF($B823="","EKSİK","TAM"))</f>
        <v/>
      </c>
    </row>
    <row r="824">
      <c r="F824" s="39">
        <f>IF($A824="","",IF($B824="","EKSİK","TAM"))</f>
        <v/>
      </c>
    </row>
    <row r="825">
      <c r="F825" s="39">
        <f>IF($A825="","",IF($B825="","EKSİK","TAM"))</f>
        <v/>
      </c>
    </row>
    <row r="826">
      <c r="F826" s="39">
        <f>IF($A826="","",IF($B826="","EKSİK","TAM"))</f>
        <v/>
      </c>
    </row>
    <row r="827">
      <c r="F827" s="39">
        <f>IF($A827="","",IF($B827="","EKSİK","TAM"))</f>
        <v/>
      </c>
    </row>
    <row r="828">
      <c r="F828" s="39">
        <f>IF($A828="","",IF($B828="","EKSİK","TAM"))</f>
        <v/>
      </c>
    </row>
    <row r="829">
      <c r="F829" s="39">
        <f>IF($A829="","",IF($B829="","EKSİK","TAM"))</f>
        <v/>
      </c>
    </row>
    <row r="830">
      <c r="F830" s="39">
        <f>IF($A830="","",IF($B830="","EKSİK","TAM"))</f>
        <v/>
      </c>
    </row>
    <row r="831">
      <c r="F831" s="39">
        <f>IF($A831="","",IF($B831="","EKSİK","TAM"))</f>
        <v/>
      </c>
    </row>
    <row r="832">
      <c r="F832" s="39">
        <f>IF($A832="","",IF($B832="","EKSİK","TAM"))</f>
        <v/>
      </c>
    </row>
    <row r="833">
      <c r="F833" s="39">
        <f>IF($A833="","",IF($B833="","EKSİK","TAM"))</f>
        <v/>
      </c>
    </row>
    <row r="834">
      <c r="F834" s="39">
        <f>IF($A834="","",IF($B834="","EKSİK","TAM"))</f>
        <v/>
      </c>
    </row>
    <row r="835">
      <c r="F835" s="39">
        <f>IF($A835="","",IF($B835="","EKSİK","TAM"))</f>
        <v/>
      </c>
    </row>
    <row r="836">
      <c r="F836" s="39">
        <f>IF($A836="","",IF($B836="","EKSİK","TAM"))</f>
        <v/>
      </c>
    </row>
    <row r="837">
      <c r="F837" s="39">
        <f>IF($A837="","",IF($B837="","EKSİK","TAM"))</f>
        <v/>
      </c>
    </row>
    <row r="838">
      <c r="F838" s="39">
        <f>IF($A838="","",IF($B838="","EKSİK","TAM"))</f>
        <v/>
      </c>
    </row>
    <row r="839">
      <c r="F839" s="39">
        <f>IF($A839="","",IF($B839="","EKSİK","TAM"))</f>
        <v/>
      </c>
    </row>
    <row r="840">
      <c r="F840" s="39">
        <f>IF($A840="","",IF($B840="","EKSİK","TAM"))</f>
        <v/>
      </c>
    </row>
    <row r="841">
      <c r="F841" s="39">
        <f>IF($A841="","",IF($B841="","EKSİK","TAM"))</f>
        <v/>
      </c>
    </row>
    <row r="842">
      <c r="F842" s="39">
        <f>IF($A842="","",IF($B842="","EKSİK","TAM"))</f>
        <v/>
      </c>
    </row>
    <row r="843">
      <c r="F843" s="39">
        <f>IF($A843="","",IF($B843="","EKSİK","TAM"))</f>
        <v/>
      </c>
    </row>
    <row r="844">
      <c r="F844" s="39">
        <f>IF($A844="","",IF($B844="","EKSİK","TAM"))</f>
        <v/>
      </c>
    </row>
    <row r="845">
      <c r="F845" s="39">
        <f>IF($A845="","",IF($B845="","EKSİK","TAM"))</f>
        <v/>
      </c>
    </row>
    <row r="846">
      <c r="F846" s="39">
        <f>IF($A846="","",IF($B846="","EKSİK","TAM"))</f>
        <v/>
      </c>
    </row>
    <row r="847">
      <c r="F847" s="39">
        <f>IF($A847="","",IF($B847="","EKSİK","TAM"))</f>
        <v/>
      </c>
    </row>
    <row r="848">
      <c r="F848" s="39">
        <f>IF($A848="","",IF($B848="","EKSİK","TAM"))</f>
        <v/>
      </c>
    </row>
    <row r="849">
      <c r="F849" s="39">
        <f>IF($A849="","",IF($B849="","EKSİK","TAM"))</f>
        <v/>
      </c>
    </row>
    <row r="850">
      <c r="F850" s="39">
        <f>IF($A850="","",IF($B850="","EKSİK","TAM"))</f>
        <v/>
      </c>
    </row>
    <row r="851">
      <c r="F851" s="39">
        <f>IF($A851="","",IF($B851="","EKSİK","TAM"))</f>
        <v/>
      </c>
    </row>
    <row r="852">
      <c r="F852" s="39">
        <f>IF($A852="","",IF($B852="","EKSİK","TAM"))</f>
        <v/>
      </c>
    </row>
    <row r="853">
      <c r="F853" s="39">
        <f>IF($A853="","",IF($B853="","EKSİK","TAM"))</f>
        <v/>
      </c>
    </row>
    <row r="854">
      <c r="F854" s="39">
        <f>IF($A854="","",IF($B854="","EKSİK","TAM"))</f>
        <v/>
      </c>
    </row>
    <row r="855">
      <c r="F855" s="39">
        <f>IF($A855="","",IF($B855="","EKSİK","TAM"))</f>
        <v/>
      </c>
    </row>
    <row r="856">
      <c r="F856" s="39">
        <f>IF($A856="","",IF($B856="","EKSİK","TAM"))</f>
        <v/>
      </c>
    </row>
    <row r="857">
      <c r="F857" s="39">
        <f>IF($A857="","",IF($B857="","EKSİK","TAM"))</f>
        <v/>
      </c>
    </row>
    <row r="858">
      <c r="F858" s="39">
        <f>IF($A858="","",IF($B858="","EKSİK","TAM"))</f>
        <v/>
      </c>
    </row>
    <row r="859">
      <c r="F859" s="39">
        <f>IF($A859="","",IF($B859="","EKSİK","TAM"))</f>
        <v/>
      </c>
    </row>
    <row r="860">
      <c r="F860" s="39">
        <f>IF($A860="","",IF($B860="","EKSİK","TAM"))</f>
        <v/>
      </c>
    </row>
    <row r="861">
      <c r="F861" s="39">
        <f>IF($A861="","",IF($B861="","EKSİK","TAM"))</f>
        <v/>
      </c>
    </row>
    <row r="862">
      <c r="F862" s="39">
        <f>IF($A862="","",IF($B862="","EKSİK","TAM"))</f>
        <v/>
      </c>
    </row>
    <row r="863">
      <c r="F863" s="39">
        <f>IF($A863="","",IF($B863="","EKSİK","TAM"))</f>
        <v/>
      </c>
    </row>
    <row r="864">
      <c r="F864" s="39">
        <f>IF($A864="","",IF($B864="","EKSİK","TAM"))</f>
        <v/>
      </c>
    </row>
    <row r="865">
      <c r="F865" s="39">
        <f>IF($A865="","",IF($B865="","EKSİK","TAM"))</f>
        <v/>
      </c>
    </row>
    <row r="866">
      <c r="F866" s="39">
        <f>IF($A866="","",IF($B866="","EKSİK","TAM"))</f>
        <v/>
      </c>
    </row>
    <row r="867">
      <c r="F867" s="39">
        <f>IF($A867="","",IF($B867="","EKSİK","TAM"))</f>
        <v/>
      </c>
    </row>
    <row r="868">
      <c r="F868" s="39">
        <f>IF($A868="","",IF($B868="","EKSİK","TAM"))</f>
        <v/>
      </c>
    </row>
    <row r="869">
      <c r="F869" s="39">
        <f>IF($A869="","",IF($B869="","EKSİK","TAM"))</f>
        <v/>
      </c>
    </row>
    <row r="870">
      <c r="F870" s="39">
        <f>IF($A870="","",IF($B870="","EKSİK","TAM"))</f>
        <v/>
      </c>
    </row>
    <row r="871">
      <c r="F871" s="39">
        <f>IF($A871="","",IF($B871="","EKSİK","TAM"))</f>
        <v/>
      </c>
    </row>
    <row r="872">
      <c r="F872" s="39">
        <f>IF($A872="","",IF($B872="","EKSİK","TAM"))</f>
        <v/>
      </c>
    </row>
    <row r="873">
      <c r="F873" s="39">
        <f>IF($A873="","",IF($B873="","EKSİK","TAM"))</f>
        <v/>
      </c>
    </row>
    <row r="874">
      <c r="F874" s="39">
        <f>IF($A874="","",IF($B874="","EKSİK","TAM"))</f>
        <v/>
      </c>
    </row>
    <row r="875">
      <c r="F875" s="39">
        <f>IF($A875="","",IF($B875="","EKSİK","TAM"))</f>
        <v/>
      </c>
    </row>
    <row r="876">
      <c r="F876" s="39">
        <f>IF($A876="","",IF($B876="","EKSİK","TAM"))</f>
        <v/>
      </c>
    </row>
    <row r="877">
      <c r="F877" s="39">
        <f>IF($A877="","",IF($B877="","EKSİK","TAM"))</f>
        <v/>
      </c>
    </row>
    <row r="878">
      <c r="F878" s="39">
        <f>IF($A878="","",IF($B878="","EKSİK","TAM"))</f>
        <v/>
      </c>
    </row>
    <row r="879">
      <c r="F879" s="39">
        <f>IF($A879="","",IF($B879="","EKSİK","TAM"))</f>
        <v/>
      </c>
    </row>
    <row r="880">
      <c r="F880" s="39">
        <f>IF($A880="","",IF($B880="","EKSİK","TAM"))</f>
        <v/>
      </c>
    </row>
    <row r="881">
      <c r="F881" s="39">
        <f>IF($A881="","",IF($B881="","EKSİK","TAM"))</f>
        <v/>
      </c>
    </row>
    <row r="882">
      <c r="F882" s="39">
        <f>IF($A882="","",IF($B882="","EKSİK","TAM"))</f>
        <v/>
      </c>
    </row>
    <row r="883">
      <c r="F883" s="39">
        <f>IF($A883="","",IF($B883="","EKSİK","TAM"))</f>
        <v/>
      </c>
    </row>
    <row r="884">
      <c r="F884" s="39">
        <f>IF($A884="","",IF($B884="","EKSİK","TAM"))</f>
        <v/>
      </c>
    </row>
    <row r="885">
      <c r="F885" s="39">
        <f>IF($A885="","",IF($B885="","EKSİK","TAM"))</f>
        <v/>
      </c>
    </row>
    <row r="886">
      <c r="F886" s="39">
        <f>IF($A886="","",IF($B886="","EKSİK","TAM"))</f>
        <v/>
      </c>
    </row>
    <row r="887">
      <c r="F887" s="39">
        <f>IF($A887="","",IF($B887="","EKSİK","TAM"))</f>
        <v/>
      </c>
    </row>
    <row r="888">
      <c r="F888" s="39">
        <f>IF($A888="","",IF($B888="","EKSİK","TAM"))</f>
        <v/>
      </c>
    </row>
    <row r="889">
      <c r="F889" s="39">
        <f>IF($A889="","",IF($B889="","EKSİK","TAM"))</f>
        <v/>
      </c>
    </row>
    <row r="890">
      <c r="F890" s="39">
        <f>IF($A890="","",IF($B890="","EKSİK","TAM"))</f>
        <v/>
      </c>
    </row>
    <row r="891">
      <c r="F891" s="39">
        <f>IF($A891="","",IF($B891="","EKSİK","TAM"))</f>
        <v/>
      </c>
    </row>
    <row r="892">
      <c r="F892" s="39">
        <f>IF($A892="","",IF($B892="","EKSİK","TAM"))</f>
        <v/>
      </c>
    </row>
    <row r="893">
      <c r="F893" s="39">
        <f>IF($A893="","",IF($B893="","EKSİK","TAM"))</f>
        <v/>
      </c>
    </row>
    <row r="894">
      <c r="F894" s="39">
        <f>IF($A894="","",IF($B894="","EKSİK","TAM"))</f>
        <v/>
      </c>
    </row>
    <row r="895">
      <c r="F895" s="39">
        <f>IF($A895="","",IF($B895="","EKSİK","TAM"))</f>
        <v/>
      </c>
    </row>
    <row r="896">
      <c r="F896" s="39">
        <f>IF($A896="","",IF($B896="","EKSİK","TAM"))</f>
        <v/>
      </c>
    </row>
    <row r="897">
      <c r="F897" s="39">
        <f>IF($A897="","",IF($B897="","EKSİK","TAM"))</f>
        <v/>
      </c>
    </row>
    <row r="898">
      <c r="F898" s="39">
        <f>IF($A898="","",IF($B898="","EKSİK","TAM"))</f>
        <v/>
      </c>
    </row>
    <row r="899">
      <c r="F899" s="39">
        <f>IF($A899="","",IF($B899="","EKSİK","TAM"))</f>
        <v/>
      </c>
    </row>
    <row r="900">
      <c r="F900" s="39">
        <f>IF($A900="","",IF($B900="","EKSİK","TAM"))</f>
        <v/>
      </c>
    </row>
    <row r="901">
      <c r="F901" s="39">
        <f>IF($A901="","",IF($B901="","EKSİK","TAM"))</f>
        <v/>
      </c>
    </row>
    <row r="902">
      <c r="F902" s="39">
        <f>IF($A902="","",IF($B902="","EKSİK","TAM"))</f>
        <v/>
      </c>
    </row>
    <row r="903">
      <c r="F903" s="39">
        <f>IF($A903="","",IF($B903="","EKSİK","TAM"))</f>
        <v/>
      </c>
    </row>
    <row r="904">
      <c r="F904" s="39">
        <f>IF($A904="","",IF($B904="","EKSİK","TAM"))</f>
        <v/>
      </c>
    </row>
    <row r="905">
      <c r="F905" s="39">
        <f>IF($A905="","",IF($B905="","EKSİK","TAM"))</f>
        <v/>
      </c>
    </row>
    <row r="906">
      <c r="F906" s="39">
        <f>IF($A906="","",IF($B906="","EKSİK","TAM"))</f>
        <v/>
      </c>
    </row>
    <row r="907">
      <c r="F907" s="39">
        <f>IF($A907="","",IF($B907="","EKSİK","TAM"))</f>
        <v/>
      </c>
    </row>
    <row r="908">
      <c r="F908" s="39">
        <f>IF($A908="","",IF($B908="","EKSİK","TAM"))</f>
        <v/>
      </c>
    </row>
    <row r="909">
      <c r="F909" s="39">
        <f>IF($A909="","",IF($B909="","EKSİK","TAM"))</f>
        <v/>
      </c>
    </row>
    <row r="910">
      <c r="F910" s="39">
        <f>IF($A910="","",IF($B910="","EKSİK","TAM"))</f>
        <v/>
      </c>
    </row>
    <row r="911">
      <c r="F911" s="39">
        <f>IF($A911="","",IF($B911="","EKSİK","TAM"))</f>
        <v/>
      </c>
    </row>
    <row r="912">
      <c r="F912" s="39">
        <f>IF($A912="","",IF($B912="","EKSİK","TAM"))</f>
        <v/>
      </c>
    </row>
    <row r="913">
      <c r="F913" s="39">
        <f>IF($A913="","",IF($B913="","EKSİK","TAM"))</f>
        <v/>
      </c>
    </row>
    <row r="914">
      <c r="F914" s="39">
        <f>IF($A914="","",IF($B914="","EKSİK","TAM"))</f>
        <v/>
      </c>
    </row>
    <row r="915">
      <c r="F915" s="39">
        <f>IF($A915="","",IF($B915="","EKSİK","TAM"))</f>
        <v/>
      </c>
    </row>
    <row r="916">
      <c r="F916" s="39">
        <f>IF($A916="","",IF($B916="","EKSİK","TAM"))</f>
        <v/>
      </c>
    </row>
    <row r="917">
      <c r="F917" s="39">
        <f>IF($A917="","",IF($B917="","EKSİK","TAM"))</f>
        <v/>
      </c>
    </row>
    <row r="918">
      <c r="F918" s="39">
        <f>IF($A918="","",IF($B918="","EKSİK","TAM"))</f>
        <v/>
      </c>
    </row>
    <row r="919">
      <c r="F919" s="39">
        <f>IF($A919="","",IF($B919="","EKSİK","TAM"))</f>
        <v/>
      </c>
    </row>
    <row r="920">
      <c r="F920" s="39">
        <f>IF($A920="","",IF($B920="","EKSİK","TAM"))</f>
        <v/>
      </c>
    </row>
    <row r="921">
      <c r="F921" s="39">
        <f>IF($A921="","",IF($B921="","EKSİK","TAM"))</f>
        <v/>
      </c>
    </row>
    <row r="922">
      <c r="F922" s="39">
        <f>IF($A922="","",IF($B922="","EKSİK","TAM"))</f>
        <v/>
      </c>
    </row>
    <row r="923">
      <c r="F923" s="39">
        <f>IF($A923="","",IF($B923="","EKSİK","TAM"))</f>
        <v/>
      </c>
    </row>
    <row r="924">
      <c r="F924" s="39">
        <f>IF($A924="","",IF($B924="","EKSİK","TAM"))</f>
        <v/>
      </c>
    </row>
    <row r="925">
      <c r="F925" s="39">
        <f>IF($A925="","",IF($B925="","EKSİK","TAM"))</f>
        <v/>
      </c>
    </row>
    <row r="926">
      <c r="F926" s="39">
        <f>IF($A926="","",IF($B926="","EKSİK","TAM"))</f>
        <v/>
      </c>
    </row>
    <row r="927">
      <c r="F927" s="39">
        <f>IF($A927="","",IF($B927="","EKSİK","TAM"))</f>
        <v/>
      </c>
    </row>
    <row r="928">
      <c r="F928" s="39">
        <f>IF($A928="","",IF($B928="","EKSİK","TAM"))</f>
        <v/>
      </c>
    </row>
    <row r="929">
      <c r="F929" s="39">
        <f>IF($A929="","",IF($B929="","EKSİK","TAM"))</f>
        <v/>
      </c>
    </row>
    <row r="930">
      <c r="F930" s="39">
        <f>IF($A930="","",IF($B930="","EKSİK","TAM"))</f>
        <v/>
      </c>
    </row>
    <row r="931">
      <c r="F931" s="39">
        <f>IF($A931="","",IF($B931="","EKSİK","TAM"))</f>
        <v/>
      </c>
    </row>
    <row r="932">
      <c r="F932" s="39">
        <f>IF($A932="","",IF($B932="","EKSİK","TAM"))</f>
        <v/>
      </c>
    </row>
    <row r="933">
      <c r="F933" s="39">
        <f>IF($A933="","",IF($B933="","EKSİK","TAM"))</f>
        <v/>
      </c>
    </row>
    <row r="934">
      <c r="F934" s="39">
        <f>IF($A934="","",IF($B934="","EKSİK","TAM"))</f>
        <v/>
      </c>
    </row>
    <row r="935">
      <c r="F935" s="39">
        <f>IF($A935="","",IF($B935="","EKSİK","TAM"))</f>
        <v/>
      </c>
    </row>
    <row r="936">
      <c r="F936" s="39">
        <f>IF($A936="","",IF($B936="","EKSİK","TAM"))</f>
        <v/>
      </c>
    </row>
    <row r="937">
      <c r="F937" s="39">
        <f>IF($A937="","",IF($B937="","EKSİK","TAM"))</f>
        <v/>
      </c>
    </row>
    <row r="938">
      <c r="F938" s="39">
        <f>IF($A938="","",IF($B938="","EKSİK","TAM"))</f>
        <v/>
      </c>
    </row>
    <row r="939">
      <c r="F939" s="39">
        <f>IF($A939="","",IF($B939="","EKSİK","TAM"))</f>
        <v/>
      </c>
    </row>
    <row r="940">
      <c r="F940" s="39">
        <f>IF($A940="","",IF($B940="","EKSİK","TAM"))</f>
        <v/>
      </c>
    </row>
    <row r="941">
      <c r="F941" s="39">
        <f>IF($A941="","",IF($B941="","EKSİK","TAM"))</f>
        <v/>
      </c>
    </row>
    <row r="942">
      <c r="F942" s="39">
        <f>IF($A942="","",IF($B942="","EKSİK","TAM"))</f>
        <v/>
      </c>
    </row>
    <row r="943">
      <c r="F943" s="39">
        <f>IF($A943="","",IF($B943="","EKSİK","TAM"))</f>
        <v/>
      </c>
    </row>
    <row r="944">
      <c r="F944" s="39">
        <f>IF($A944="","",IF($B944="","EKSİK","TAM"))</f>
        <v/>
      </c>
    </row>
    <row r="945">
      <c r="F945" s="39">
        <f>IF($A945="","",IF($B945="","EKSİK","TAM"))</f>
        <v/>
      </c>
    </row>
    <row r="946">
      <c r="F946" s="39">
        <f>IF($A946="","",IF($B946="","EKSİK","TAM"))</f>
        <v/>
      </c>
    </row>
    <row r="947">
      <c r="F947" s="39">
        <f>IF($A947="","",IF($B947="","EKSİK","TAM"))</f>
        <v/>
      </c>
    </row>
    <row r="948">
      <c r="F948" s="39">
        <f>IF($A948="","",IF($B948="","EKSİK","TAM"))</f>
        <v/>
      </c>
    </row>
    <row r="949">
      <c r="F949" s="39">
        <f>IF($A949="","",IF($B949="","EKSİK","TAM"))</f>
        <v/>
      </c>
    </row>
    <row r="950">
      <c r="F950" s="39">
        <f>IF($A950="","",IF($B950="","EKSİK","TAM"))</f>
        <v/>
      </c>
    </row>
    <row r="951">
      <c r="F951" s="39">
        <f>IF($A951="","",IF($B951="","EKSİK","TAM"))</f>
        <v/>
      </c>
    </row>
    <row r="952">
      <c r="F952" s="39">
        <f>IF($A952="","",IF($B952="","EKSİK","TAM"))</f>
        <v/>
      </c>
    </row>
    <row r="953">
      <c r="F953" s="39">
        <f>IF($A953="","",IF($B953="","EKSİK","TAM"))</f>
        <v/>
      </c>
    </row>
    <row r="954">
      <c r="F954" s="39">
        <f>IF($A954="","",IF($B954="","EKSİK","TAM"))</f>
        <v/>
      </c>
    </row>
    <row r="955">
      <c r="F955" s="39">
        <f>IF($A955="","",IF($B955="","EKSİK","TAM"))</f>
        <v/>
      </c>
    </row>
    <row r="956">
      <c r="F956" s="39">
        <f>IF($A956="","",IF($B956="","EKSİK","TAM"))</f>
        <v/>
      </c>
    </row>
    <row r="957">
      <c r="F957" s="39">
        <f>IF($A957="","",IF($B957="","EKSİK","TAM"))</f>
        <v/>
      </c>
    </row>
    <row r="958">
      <c r="F958" s="39">
        <f>IF($A958="","",IF($B958="","EKSİK","TAM"))</f>
        <v/>
      </c>
    </row>
    <row r="959">
      <c r="F959" s="39">
        <f>IF($A959="","",IF($B959="","EKSİK","TAM"))</f>
        <v/>
      </c>
    </row>
    <row r="960">
      <c r="F960" s="39">
        <f>IF($A960="","",IF($B960="","EKSİK","TAM"))</f>
        <v/>
      </c>
    </row>
    <row r="961">
      <c r="F961" s="39">
        <f>IF($A961="","",IF($B961="","EKSİK","TAM"))</f>
        <v/>
      </c>
    </row>
    <row r="962">
      <c r="F962" s="39">
        <f>IF($A962="","",IF($B962="","EKSİK","TAM"))</f>
        <v/>
      </c>
    </row>
    <row r="963">
      <c r="F963" s="39">
        <f>IF($A963="","",IF($B963="","EKSİK","TAM"))</f>
        <v/>
      </c>
    </row>
    <row r="964">
      <c r="F964" s="39">
        <f>IF($A964="","",IF($B964="","EKSİK","TAM"))</f>
        <v/>
      </c>
    </row>
    <row r="965">
      <c r="F965" s="39">
        <f>IF($A965="","",IF($B965="","EKSİK","TAM"))</f>
        <v/>
      </c>
    </row>
    <row r="966">
      <c r="F966" s="39">
        <f>IF($A966="","",IF($B966="","EKSİK","TAM"))</f>
        <v/>
      </c>
    </row>
    <row r="967">
      <c r="F967" s="39">
        <f>IF($A967="","",IF($B967="","EKSİK","TAM"))</f>
        <v/>
      </c>
    </row>
    <row r="968">
      <c r="F968" s="39">
        <f>IF($A968="","",IF($B968="","EKSİK","TAM"))</f>
        <v/>
      </c>
    </row>
    <row r="969">
      <c r="F969" s="39">
        <f>IF($A969="","",IF($B969="","EKSİK","TAM"))</f>
        <v/>
      </c>
    </row>
    <row r="970">
      <c r="F970" s="39">
        <f>IF($A970="","",IF($B970="","EKSİK","TAM"))</f>
        <v/>
      </c>
    </row>
    <row r="971">
      <c r="F971" s="39">
        <f>IF($A971="","",IF($B971="","EKSİK","TAM"))</f>
        <v/>
      </c>
    </row>
    <row r="972">
      <c r="F972" s="39">
        <f>IF($A972="","",IF($B972="","EKSİK","TAM"))</f>
        <v/>
      </c>
    </row>
    <row r="973">
      <c r="F973" s="39">
        <f>IF($A973="","",IF($B973="","EKSİK","TAM"))</f>
        <v/>
      </c>
    </row>
    <row r="974">
      <c r="F974" s="39">
        <f>IF($A974="","",IF($B974="","EKSİK","TAM"))</f>
        <v/>
      </c>
    </row>
    <row r="975">
      <c r="F975" s="39">
        <f>IF($A975="","",IF($B975="","EKSİK","TAM"))</f>
        <v/>
      </c>
    </row>
    <row r="976">
      <c r="F976" s="39">
        <f>IF($A976="","",IF($B976="","EKSİK","TAM"))</f>
        <v/>
      </c>
    </row>
    <row r="977">
      <c r="F977" s="39">
        <f>IF($A977="","",IF($B977="","EKSİK","TAM"))</f>
        <v/>
      </c>
    </row>
    <row r="978">
      <c r="F978" s="39">
        <f>IF($A978="","",IF($B978="","EKSİK","TAM"))</f>
        <v/>
      </c>
    </row>
    <row r="979">
      <c r="F979" s="39">
        <f>IF($A979="","",IF($B979="","EKSİK","TAM"))</f>
        <v/>
      </c>
    </row>
    <row r="980">
      <c r="F980" s="39">
        <f>IF($A980="","",IF($B980="","EKSİK","TAM"))</f>
        <v/>
      </c>
    </row>
    <row r="981">
      <c r="F981" s="39">
        <f>IF($A981="","",IF($B981="","EKSİK","TAM"))</f>
        <v/>
      </c>
    </row>
    <row r="982">
      <c r="F982" s="39">
        <f>IF($A982="","",IF($B982="","EKSİK","TAM"))</f>
        <v/>
      </c>
    </row>
    <row r="983">
      <c r="F983" s="39">
        <f>IF($A983="","",IF($B983="","EKSİK","TAM"))</f>
        <v/>
      </c>
    </row>
    <row r="984">
      <c r="F984" s="39">
        <f>IF($A984="","",IF($B984="","EKSİK","TAM"))</f>
        <v/>
      </c>
    </row>
    <row r="985">
      <c r="F985" s="39">
        <f>IF($A985="","",IF($B985="","EKSİK","TAM"))</f>
        <v/>
      </c>
    </row>
    <row r="986">
      <c r="F986" s="39">
        <f>IF($A986="","",IF($B986="","EKSİK","TAM"))</f>
        <v/>
      </c>
    </row>
    <row r="987">
      <c r="F987" s="39">
        <f>IF($A987="","",IF($B987="","EKSİK","TAM"))</f>
        <v/>
      </c>
    </row>
    <row r="988">
      <c r="F988" s="39">
        <f>IF($A988="","",IF($B988="","EKSİK","TAM"))</f>
        <v/>
      </c>
    </row>
    <row r="989">
      <c r="F989" s="39">
        <f>IF($A989="","",IF($B989="","EKSİK","TAM"))</f>
        <v/>
      </c>
    </row>
    <row r="990">
      <c r="F990" s="39">
        <f>IF($A990="","",IF($B990="","EKSİK","TAM"))</f>
        <v/>
      </c>
    </row>
    <row r="991">
      <c r="F991" s="39">
        <f>IF($A991="","",IF($B991="","EKSİK","TAM"))</f>
        <v/>
      </c>
    </row>
    <row r="992">
      <c r="F992" s="39">
        <f>IF($A992="","",IF($B992="","EKSİK","TAM"))</f>
        <v/>
      </c>
    </row>
    <row r="993">
      <c r="F993" s="39">
        <f>IF($A993="","",IF($B993="","EKSİK","TAM"))</f>
        <v/>
      </c>
    </row>
    <row r="994">
      <c r="F994" s="39">
        <f>IF($A994="","",IF($B994="","EKSİK","TAM"))</f>
        <v/>
      </c>
    </row>
    <row r="995">
      <c r="F995" s="39">
        <f>IF($A995="","",IF($B995="","EKSİK","TAM"))</f>
        <v/>
      </c>
    </row>
    <row r="996">
      <c r="F996" s="39">
        <f>IF($A996="","",IF($B996="","EKSİK","TAM"))</f>
        <v/>
      </c>
    </row>
    <row r="997">
      <c r="F997" s="39">
        <f>IF($A997="","",IF($B997="","EKSİK","TAM"))</f>
        <v/>
      </c>
    </row>
    <row r="998">
      <c r="F998" s="39">
        <f>IF($A998="","",IF($B998="","EKSİK","TAM"))</f>
        <v/>
      </c>
    </row>
    <row r="999">
      <c r="F999" s="39">
        <f>IF($A999="","",IF($B999="","EKSİK","TAM"))</f>
        <v/>
      </c>
    </row>
    <row r="1000">
      <c r="F1000" s="39">
        <f>IF($A1000="","",IF($B1000="","EKSİK","TAM"))</f>
        <v/>
      </c>
    </row>
    <row r="1001">
      <c r="F1001" s="39">
        <f>IF($A1001="","",IF($B1001="","EKSİK","TAM"))</f>
        <v/>
      </c>
    </row>
    <row r="1002">
      <c r="F1002" s="39">
        <f>IF($A1002="","",IF($B1002="","EKSİK","TAM"))</f>
        <v/>
      </c>
    </row>
    <row r="1003">
      <c r="F1003" s="39">
        <f>IF($A1003="","",IF($B1003="","EKSİK","TAM"))</f>
        <v/>
      </c>
    </row>
    <row r="1004">
      <c r="F1004" s="39">
        <f>IF($A1004="","",IF($B1004="","EKSİK","TAM"))</f>
        <v/>
      </c>
    </row>
    <row r="1024" ht="20" customHeight="1">
      <c r="A1024" s="43" t="inlineStr">
        <is>
          <t>Sarı alanlar giriş; TL dönüşümü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11:B14">
    <cfRule type="cellIs" priority="1" operator="lessThan" dxfId="5">
      <formula>0</formula>
    </cfRule>
  </conditionalFormatting>
  <conditionalFormatting sqref="B11">
    <cfRule type="cellIs" priority="2" operator="equal" dxfId="4">
      <formula>0</formula>
    </cfRule>
  </conditionalFormatting>
  <conditionalFormatting sqref="F24:F35">
    <cfRule type="expression" priority="3" dxfId="0">
      <formula>F24="EKSİK"</formula>
    </cfRule>
    <cfRule type="expression" priority="4" dxfId="1">
      <formula>F24="TAM"</formula>
    </cfRule>
  </conditionalFormatting>
  <dataValidations count="16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0" showDropDown="0" showInputMessage="1" showErrorMessage="1" allowBlank="0" errorTitle="Geçersiz" error="Listeden seçin." promptTitle="Yapılanma" prompt="ŞUBE, İŞTİRAK, LİMİTED veya OFİS." type="list" errorStyle="stop">
      <formula1>ListeYapi</formula1>
    </dataValidation>
    <dataValidation sqref="B15" showDropDown="0" showInputMessage="1" showErrorMessage="1" allowBlank="0" errorTitle="Geçersiz" error="Evet/Hayır." promptTitle="İstisna" prompt="Evet veya Hayır." type="list" errorStyle="stop">
      <formula1>ListeEvetHayir</formula1>
    </dataValidation>
    <dataValidation sqref="B17" showDropDown="0" showInputMessage="1" showErrorMessage="1" allowBlank="0" errorTitle="Geçersiz" error="A veya B." promptTitle="Yorum" prompt="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5" showDropDown="0" showInputMessage="1" showErrorMessage="1" allowBlank="1" errorTitle="Geçersiz" error="A veya B." promptTitle="Yorum" prompt="A veya B." type="list" errorStyle="stop">
      <formula1>ListeYorumAB</formula1>
    </dataValidation>
    <dataValidation sqref="B11" showDropDown="0" showInputMessage="1" showErrorMessage="1" allowBlank="1" errorTitle="Geçersiz" error="Sınır dışı." promptTitle="YD Kâr" prompt="0 ile 1e12 arasında." type="decimal" errorStyle="stop" operator="between">
      <formula1>0</formula1>
      <formula2>1000000000000</formula2>
    </dataValidation>
    <dataValidation sqref="B14" showDropDown="0" showInputMessage="1" showErrorMessage="1" allowBlank="1" errorTitle="Geçersiz" error="Sınır dışı." promptTitle="Kur" prompt="0 ile 1e6 arasında." type="decimal" errorStyle="stop" operator="between">
      <formula1>0</formula1>
      <formula2>1000000</formula2>
    </dataValidation>
    <dataValidation sqref="B16" showDropDown="0" showInputMessage="1" showErrorMessage="1" allowBlank="1" errorTitle="Geçersiz" error="Sınır dışı." promptTitle="TF Puan" prompt="0 ile 100 arasında." type="decimal" errorStyle="stop" operator="between">
      <formula1>0</formula1>
      <formula2>100</formula2>
    </dataValidation>
    <dataValidation sqref="B29" showDropDown="0" showInputMessage="1" showErrorMessage="1" allowBlank="1" errorTitle="Geçersiz" error="Sınır dışı." promptTitle="YD Kâr" prompt="Tablo: PB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" error="Sınır dışı." promptTitle="Kur" prompt="Tablo: kur." type="decimal" errorStyle="stop" operator="between">
      <formula1>0</formula1>
      <formula2>1000000</formula2>
    </dataValidation>
    <dataValidation sqref="B34" showDropDown="0" showInputMessage="1" showErrorMessage="1" allowBlank="1" errorTitle="Geçersiz" error="Sınır dışı." promptTitle="TF" prompt="Tablo: puan." type="decimal" errorStyle="stop" operator="between">
      <formula1>0</formula1>
      <formula2>100</formula2>
    </dataValidation>
    <dataValidation sqref="B12" showDropDown="0" showInputMessage="1" showErrorMessage="1" allowBlank="1" errorTitle="Geçersiz" error="0 ile 1 arasında." promptTitle="Yerel oran" prompt="0-1 arası oran." type="decimal" errorStyle="stop" operator="between">
      <formula1>0</formula1>
      <formula2>1</formula2>
    </dataValidation>
    <dataValidation sqref="B13" showDropDown="0" showInputMessage="1" showErrorMessage="1" allowBlank="1" errorTitle="Geçersiz" error="0 ile 1 arasında." promptTitle="Stopaj" prompt="0-1 arası oran." type="decimal" errorStyle="stop" operator="between">
      <formula1>0</formula1>
      <formula2>1</formula2>
    </dataValidation>
    <dataValidation sqref="B30" showDropDown="0" showInputMessage="1" showErrorMessage="1" allowBlank="1" errorTitle="Geçersiz" error="0 ile 1 arasında." promptTitle="Yerel oran" prompt="0-1 arası oran." type="decimal" errorStyle="stop" operator="between">
      <formula1>0</formula1>
      <formula2>1</formula2>
    </dataValidation>
    <dataValidation sqref="B31" showDropDown="0" showInputMessage="1" showErrorMessage="1" allowBlank="1" errorTitle="Geçersiz" error="0 ile 1 arasında." promptTitle="Stopaj" prompt="0-1 arası oran." type="decimal" errorStyle="stop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Yurt Dışı Yapılanma Vergi Simülatörü</t>
        </is>
      </c>
    </row>
    <row r="3">
      <c r="A3" s="45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3" t="inlineStr">
        <is>
          <t>kural_id</t>
        </is>
      </c>
      <c r="B6" s="23" t="inlineStr">
        <is>
          <t>madde</t>
        </is>
      </c>
      <c r="C6" s="23" t="inlineStr">
        <is>
          <t>kural_adi</t>
        </is>
      </c>
      <c r="D6" s="23" t="inlineStr">
        <is>
          <t>kosul_metni</t>
        </is>
      </c>
      <c r="E6" s="23" t="inlineStr">
        <is>
          <t>parametre_adi</t>
        </is>
      </c>
      <c r="F6" s="23" t="inlineStr">
        <is>
          <t>deger_2025</t>
        </is>
      </c>
      <c r="G6" s="23" t="inlineStr">
        <is>
          <t>deger_2026</t>
        </is>
      </c>
      <c r="H6" s="23" t="inlineStr">
        <is>
          <t>deger_2027</t>
        </is>
      </c>
      <c r="I6" s="23" t="inlineStr">
        <is>
          <t>yururluk</t>
        </is>
      </c>
      <c r="J6" s="23" t="inlineStr">
        <is>
          <t>kaynak</t>
        </is>
      </c>
      <c r="K6" s="23" t="inlineStr">
        <is>
          <t>aktif_deger</t>
        </is>
      </c>
    </row>
    <row r="7">
      <c r="A7" s="7" t="inlineStr">
        <is>
          <t>YDV-001</t>
        </is>
      </c>
      <c r="B7" s="7" t="inlineStr">
        <is>
          <t>KVK md.32</t>
        </is>
      </c>
      <c r="C7" s="7" t="inlineStr">
        <is>
          <t>tr_kv_orani</t>
        </is>
      </c>
      <c r="D7" s="7" t="inlineStr">
        <is>
          <t>her zaman</t>
        </is>
      </c>
      <c r="E7" s="7" t="inlineStr">
        <is>
          <t>tr_kv_orani</t>
        </is>
      </c>
      <c r="F7" s="46" t="n">
        <v>0.25</v>
      </c>
      <c r="G7" s="46" t="n">
        <v>0.25</v>
      </c>
      <c r="H7" s="46" t="n">
        <v>0.25</v>
      </c>
      <c r="I7" s="7" t="inlineStr">
        <is>
          <t>01.01.2025</t>
        </is>
      </c>
      <c r="J7" s="7" t="inlineStr">
        <is>
          <t>KVK md.32</t>
        </is>
      </c>
      <c r="K7" s="39">
        <f>IF($A7="","",IFERROR(CHOOSE(MAX(1,MIN(3,IF(OR(hesapYili="",hesapYili=0),1,hesapYili-ydv_yilTaban))),$F7,$G7,$H7),0))</f>
        <v/>
      </c>
    </row>
    <row r="8">
      <c r="A8" s="7" t="inlineStr">
        <is>
          <t>YDV-002</t>
        </is>
      </c>
      <c r="B8" s="7" t="inlineStr">
        <is>
          <t>KVK md.5/1-a</t>
        </is>
      </c>
      <c r="C8" s="7" t="inlineStr">
        <is>
          <t>istirak_istisna_orani</t>
        </is>
      </c>
      <c r="D8" s="7" t="inlineStr">
        <is>
          <t>istirak+koşul</t>
        </is>
      </c>
      <c r="E8" s="7" t="inlineStr">
        <is>
          <t>istirak_istisna_orani</t>
        </is>
      </c>
      <c r="F8" s="46" t="n">
        <v>1</v>
      </c>
      <c r="G8" s="46" t="n">
        <v>1</v>
      </c>
      <c r="H8" s="46" t="n">
        <v>1</v>
      </c>
      <c r="I8" s="7" t="inlineStr">
        <is>
          <t>01.01.2025</t>
        </is>
      </c>
      <c r="J8" s="7" t="inlineStr">
        <is>
          <t>KVK md.5/1-a</t>
        </is>
      </c>
      <c r="K8" s="39">
        <f>IF($A8="","",IFERROR(CHOOSE(MAX(1,MIN(3,IF(OR(hesapYili="",hesapYili=0),1,hesapYili-ydv_yilTaban))),$F8,$G8,$H8),0))</f>
        <v/>
      </c>
    </row>
    <row r="9">
      <c r="A9" s="7" t="inlineStr">
        <is>
          <t>YDV-003</t>
        </is>
      </c>
      <c r="B9" s="7" t="inlineStr">
        <is>
          <t>KVK md.33</t>
        </is>
      </c>
      <c r="C9" s="7" t="inlineStr">
        <is>
          <t>mahsup_tavan_carpan</t>
        </is>
      </c>
      <c r="D9" s="7" t="inlineStr">
        <is>
          <t>yabanci_vergi&gt;0</t>
        </is>
      </c>
      <c r="E9" s="7" t="inlineStr">
        <is>
          <t>mahsup_tavan_carpan</t>
        </is>
      </c>
      <c r="F9" s="46" t="n">
        <v>1</v>
      </c>
      <c r="G9" s="46" t="n">
        <v>1</v>
      </c>
      <c r="H9" s="46" t="n">
        <v>1</v>
      </c>
      <c r="I9" s="7" t="inlineStr">
        <is>
          <t>01.01.2025</t>
        </is>
      </c>
      <c r="J9" s="7" t="inlineStr">
        <is>
          <t>KVK md.33</t>
        </is>
      </c>
      <c r="K9" s="39">
        <f>IF($A9="","",IFERROR(CHOOSE(MAX(1,MIN(3,IF(OR(hesapYili="",hesapYili=0),1,hesapYili-ydv_yilTaban))),$F9,$G9,$H9),0))</f>
        <v/>
      </c>
    </row>
    <row r="10">
      <c r="A10" s="7" t="inlineStr">
        <is>
          <t>YDV-004</t>
        </is>
      </c>
      <c r="B10" s="7" t="inlineStr">
        <is>
          <t>VUK/TF</t>
        </is>
      </c>
      <c r="C10" s="7" t="inlineStr">
        <is>
          <t>tf_risk_esik</t>
        </is>
      </c>
      <c r="D10" s="7" t="inlineStr">
        <is>
          <t>her zaman</t>
        </is>
      </c>
      <c r="E10" s="7" t="inlineStr">
        <is>
          <t>tf_risk_esik</t>
        </is>
      </c>
      <c r="F10" s="47" t="n">
        <v>70</v>
      </c>
      <c r="G10" s="47" t="n">
        <v>70</v>
      </c>
      <c r="H10" s="47" t="n">
        <v>70</v>
      </c>
      <c r="I10" s="7" t="inlineStr">
        <is>
          <t>01.01.2025</t>
        </is>
      </c>
      <c r="J10" s="7" t="inlineStr">
        <is>
          <t>TF mevzuatı</t>
        </is>
      </c>
      <c r="K10" s="39">
        <f>IF($A10="","",IFERROR(CHOOSE(MAX(1,MIN(3,IF(OR(hesapYili="",hesapYili=0),1,hesapYili-ydv_yilTaban))),$F10,$G10,$H10),0))</f>
        <v/>
      </c>
    </row>
    <row r="11">
      <c r="A11" s="7" t="inlineStr">
        <is>
          <t>YDV-005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7" t="n">
        <v>2</v>
      </c>
      <c r="G11" s="47" t="n">
        <v>2</v>
      </c>
      <c r="H11" s="47" t="n">
        <v>2</v>
      </c>
      <c r="I11" s="7" t="inlineStr">
        <is>
          <t>01.01.2025</t>
        </is>
      </c>
      <c r="J11" s="7" t="inlineStr">
        <is>
          <t>Uygulama notu</t>
        </is>
      </c>
      <c r="K11" s="39">
        <f>IF($A11="","",IFERROR(CHOOSE(MAX(1,MIN(3,IF(OR(hesapYili="",hesapYili=0),1,hesapYili-ydv_yilTaban))),$F11,$G11,$H11),0))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TR KV oranı (aktif yıl)</t>
        </is>
      </c>
      <c r="B15" s="26">
        <f>IFERROR(INDEX(CHOOSE(MAX(1,MIN(3,IF(OR(hesapYili="",hesapYili=0),1,hesapYili-ydv_yilTaban))),tblKurallar[deger_2025],tblKurallar[deger_2026],tblKurallar[deger_2027]),MATCH("YDV-001",tblKurallar[kural_id],0)),0)</f>
        <v/>
      </c>
    </row>
    <row r="16">
      <c r="A16" s="7" t="inlineStr">
        <is>
          <t>İştirak istisna oranı</t>
        </is>
      </c>
      <c r="B16" s="26">
        <f>IFERROR(INDEX(CHOOSE(MAX(1,MIN(3,IF(OR(hesapYili="",hesapYili=0),1,hesapYili-ydv_yilTaban))),tblKurallar[deger_2025],tblKurallar[deger_2026],tblKurallar[deger_2027]),MATCH("YDV-002",tblKurallar[kural_id],0)),0)</f>
        <v/>
      </c>
    </row>
    <row r="17">
      <c r="A17" s="7" t="inlineStr">
        <is>
          <t>Matris metni</t>
        </is>
      </c>
      <c r="B17" s="22">
        <f>_xlfn.TEXTJOIN(" | ",TRUE,"YDV-001=",TEXT(B15,"0.0%"),"YDV-002=",TEXT(B16,"0.0%"),"yıl=",hesapYili)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ile 100 arasında." promptTitle="Kural değeri" prompt="Yıl kolonuna sayısal parametre girin." type="decimal" errorStyle="stop" operator="between">
      <formula1>0</formula1>
      <formula2>100</formula2>
    </dataValidation>
    <dataValidation sqref="G7:G11" showDropDown="0" showInputMessage="1" showErrorMessage="1" allowBlank="1" errorTitle="Geçersiz" error="0 ile 100 arasında." promptTitle="Kural değeri" prompt="Yıl kolonuna sayısal parametre girin." type="decimal" errorStyle="stop" operator="between">
      <formula1>0</formula1>
      <formula2>100</formula2>
    </dataValidation>
    <dataValidation sqref="H7:H11" showDropDown="0" showInputMessage="1" showErrorMessage="1" allowBlank="1" errorTitle="Geçersiz" error="0 ile 100 arasında." promptTitle="Kural değeri" prompt="Yıl kolonuna sayısal parametre girin." type="decimal" errorStyle="stop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AD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Yurt Dışı Yapılanma Vergi Simülatörü</t>
        </is>
      </c>
    </row>
    <row r="3">
      <c r="A3" s="45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3" t="inlineStr">
        <is>
          <t>adim</t>
        </is>
      </c>
      <c r="B6" s="23" t="inlineStr">
        <is>
          <t>ad</t>
        </is>
      </c>
      <c r="C6" s="23" t="inlineStr">
        <is>
          <t>formul</t>
        </is>
      </c>
      <c r="D6" s="23" t="inlineStr">
        <is>
          <t>birim</t>
        </is>
      </c>
      <c r="E6" s="23" t="inlineStr">
        <is>
          <t>ne_ise_yarar</t>
        </is>
      </c>
      <c r="F6" s="23" t="inlineStr">
        <is>
          <t>kural_id</t>
        </is>
      </c>
      <c r="G6" s="23" t="inlineStr">
        <is>
          <t>deger</t>
        </is>
      </c>
    </row>
    <row r="7">
      <c r="A7" s="48" t="n">
        <v>1</v>
      </c>
      <c r="B7" s="25" t="inlineStr">
        <is>
          <t>Hesap yılı oku</t>
        </is>
      </c>
      <c r="C7" s="49">
        <f>IFERROR(hesapYili,0)</f>
        <v/>
      </c>
      <c r="D7" s="50" t="inlineStr">
        <is>
          <t>yıl</t>
        </is>
      </c>
      <c r="E7" s="6" t="inlineStr">
        <is>
          <t>Aktif mevzuat yılı</t>
        </is>
      </c>
      <c r="F7" s="24" t="inlineStr">
        <is>
          <t>YDV-005</t>
        </is>
      </c>
      <c r="G7" s="37">
        <f>IFERROR(hesapYili,0)</f>
        <v/>
      </c>
    </row>
    <row r="8">
      <c r="A8" s="48" t="n">
        <v>2</v>
      </c>
      <c r="B8" s="25" t="inlineStr">
        <is>
          <t>TR KV oranı</t>
        </is>
      </c>
      <c r="C8" s="51">
        <f>IFERROR(INDEX(CHOOSE(MAX(1,MIN(3,IF(OR(hesapYili="",hesapYili=0),1,hesapYili-ydv_yilTaban))),tblKurallar[deger_2025],tblKurallar[deger_2026],tblKurallar[deger_2027]),MATCH("YDV-001",tblKurallar[kural_id],0)),0)</f>
        <v/>
      </c>
      <c r="D8" s="50" t="inlineStr">
        <is>
          <t>oran</t>
        </is>
      </c>
      <c r="E8" s="6" t="inlineStr">
        <is>
          <t>KVK md.32 oranı</t>
        </is>
      </c>
      <c r="F8" s="24" t="inlineStr">
        <is>
          <t>YDV-001</t>
        </is>
      </c>
      <c r="G8" s="26">
        <f>IFERROR(INDEX(CHOOSE(MAX(1,MIN(3,IF(OR(hesapYili="",hesapYili=0),1,hesapYili-ydv_yilTaban))),tblKurallar[deger_2025],tblKurallar[deger_2026],tblKurallar[deger_2027]),MATCH("YDV-001",tblKurallar[kural_id],0)),0)</f>
        <v/>
      </c>
    </row>
    <row r="9">
      <c r="A9" s="48" t="n">
        <v>3</v>
      </c>
      <c r="B9" s="25" t="inlineStr">
        <is>
          <t>İştirak istisna oranı</t>
        </is>
      </c>
      <c r="C9" s="51">
        <f>IFERROR(INDEX(CHOOSE(MAX(1,MIN(3,IF(OR(hesapYili="",hesapYili=0),1,hesapYili-ydv_yilTaban))),tblKurallar[deger_2025],tblKurallar[deger_2026],tblKurallar[deger_2027]),MATCH("YDV-002",tblKurallar[kural_id],0)),0)</f>
        <v/>
      </c>
      <c r="D9" s="50" t="inlineStr">
        <is>
          <t>oran</t>
        </is>
      </c>
      <c r="E9" s="6" t="inlineStr">
        <is>
          <t>KVK md.5/1-a</t>
        </is>
      </c>
      <c r="F9" s="24" t="inlineStr">
        <is>
          <t>YDV-002</t>
        </is>
      </c>
      <c r="G9" s="26">
        <f>IFERROR(INDEX(CHOOSE(MAX(1,MIN(3,IF(OR(hesapYili="",hesapYili=0),1,hesapYili-ydv_yilTaban))),tblKurallar[deger_2025],tblKurallar[deger_2026],tblKurallar[deger_2027]),MATCH("YDV-002",tblKurallar[kural_id],0)),0)</f>
        <v/>
      </c>
    </row>
    <row r="10">
      <c r="A10" s="48" t="n">
        <v>4</v>
      </c>
      <c r="B10" s="25" t="inlineStr">
        <is>
          <t>Mahsup tavan çarpanı</t>
        </is>
      </c>
      <c r="C10" s="51">
        <f>IFERROR(INDEX(CHOOSE(MAX(1,MIN(3,IF(OR(hesapYili="",hesapYili=0),1,hesapYili-ydv_yilTaban))),tblKurallar[deger_2025],tblKurallar[deger_2026],tblKurallar[deger_2027]),MATCH("YDV-003",tblKurallar[kural_id],0)),0)</f>
        <v/>
      </c>
      <c r="D10" s="50" t="inlineStr">
        <is>
          <t>çarpan</t>
        </is>
      </c>
      <c r="E10" s="6" t="inlineStr">
        <is>
          <t>KVK md.33 tavan</t>
        </is>
      </c>
      <c r="F10" s="24" t="inlineStr">
        <is>
          <t>YDV-003</t>
        </is>
      </c>
      <c r="G10" s="26">
        <f>IFERROR(INDEX(CHOOSE(MAX(1,MIN(3,IF(OR(hesapYili="",hesapYili=0),1,hesapYili-ydv_yilTaban))),tblKurallar[deger_2025],tblKurallar[deger_2026],tblKurallar[deger_2027]),MATCH("YDV-003",tblKurallar[kural_id],0)),0)</f>
        <v/>
      </c>
    </row>
    <row r="11">
      <c r="A11" s="48" t="n">
        <v>5</v>
      </c>
      <c r="B11" s="25" t="inlineStr">
        <is>
          <t>TF risk eşiği</t>
        </is>
      </c>
      <c r="C11" s="49">
        <f>IFERROR(INDEX(CHOOSE(MAX(1,MIN(3,IF(OR(hesapYili="",hesapYili=0),1,hesapYili-ydv_yilTaban))),tblKurallar[deger_2025],tblKurallar[deger_2026],tblKurallar[deger_2027]),MATCH("YDV-004",tblKurallar[kural_id],0)),0)</f>
        <v/>
      </c>
      <c r="D11" s="50" t="inlineStr">
        <is>
          <t>puan</t>
        </is>
      </c>
      <c r="E11" s="6" t="inlineStr">
        <is>
          <t>TF eşik puanı</t>
        </is>
      </c>
      <c r="F11" s="24" t="inlineStr">
        <is>
          <t>YDV-004</t>
        </is>
      </c>
      <c r="G11" s="37">
        <f>IFERROR(INDEX(CHOOSE(MAX(1,MIN(3,IF(OR(hesapYili="",hesapYili=0),1,hesapYili-ydv_yilTaban))),tblKurallar[deger_2025],tblKurallar[deger_2026],tblKurallar[deger_2027]),MATCH("YDV-004",tblKurallar[kural_id],0)),0)</f>
        <v/>
      </c>
    </row>
    <row r="12">
      <c r="A12" s="48" t="n">
        <v>6</v>
      </c>
      <c r="B12" s="25" t="inlineStr">
        <is>
          <t>Yuvarlama ondalık</t>
        </is>
      </c>
      <c r="C12" s="49">
        <f>IFERROR(INDEX(CHOOSE(MAX(1,MIN(3,IF(OR(hesapYili="",hesapYili=0),1,hesapYili-ydv_yilTaban))),tblKurallar[deger_2025],tblKurallar[deger_2026],tblKurallar[deger_2027]),MATCH("YDV-005",tblKurallar[kural_id],0)),0)</f>
        <v/>
      </c>
      <c r="D12" s="50" t="inlineStr">
        <is>
          <t>adet</t>
        </is>
      </c>
      <c r="E12" s="6" t="inlineStr">
        <is>
          <t>Yuvarlama basamağı</t>
        </is>
      </c>
      <c r="F12" s="24" t="inlineStr">
        <is>
          <t>YDV-005</t>
        </is>
      </c>
      <c r="G12" s="37">
        <f>IFERROR(INDEX(CHOOSE(MAX(1,MIN(3,IF(OR(hesapYili="",hesapYili=0),1,hesapYili-ydv_yilTaban))),tblKurallar[deger_2025],tblKurallar[deger_2026],tblKurallar[deger_2027]),MATCH("YDV-005",tblKurallar[kural_id],0)),0)</f>
        <v/>
      </c>
    </row>
    <row r="13">
      <c r="A13" s="48" t="n">
        <v>7</v>
      </c>
      <c r="B13" s="25" t="inlineStr">
        <is>
          <t>YD kâr PB</t>
        </is>
      </c>
      <c r="C13" s="49">
        <f>IFERROR(GIRDI!B11,0)</f>
        <v/>
      </c>
      <c r="D13" s="50" t="inlineStr">
        <is>
          <t>PB</t>
        </is>
      </c>
      <c r="E13" s="6" t="inlineStr">
        <is>
          <t>Yerel para kârı</t>
        </is>
      </c>
      <c r="F13" s="24" t="inlineStr">
        <is>
          <t>YDV-001</t>
        </is>
      </c>
      <c r="G13" s="37">
        <f>IFERROR(GIRDI!B11,0)</f>
        <v/>
      </c>
    </row>
    <row r="14">
      <c r="A14" s="48" t="n">
        <v>8</v>
      </c>
      <c r="B14" s="25" t="inlineStr">
        <is>
          <t>Yerel vergi oranı</t>
        </is>
      </c>
      <c r="C14" s="51">
        <f>IFERROR(GIRDI!B12,0)</f>
        <v/>
      </c>
      <c r="D14" s="50" t="inlineStr">
        <is>
          <t>oran</t>
        </is>
      </c>
      <c r="E14" s="6" t="inlineStr">
        <is>
          <t>Ülke KV oranı</t>
        </is>
      </c>
      <c r="F14" s="24" t="inlineStr">
        <is>
          <t>YDV-001</t>
        </is>
      </c>
      <c r="G14" s="26">
        <f>IFERROR(GIRDI!B12,0)</f>
        <v/>
      </c>
    </row>
    <row r="15">
      <c r="A15" s="48" t="n">
        <v>9</v>
      </c>
      <c r="B15" s="25" t="inlineStr">
        <is>
          <t>Stopaj oranı</t>
        </is>
      </c>
      <c r="C15" s="51">
        <f>IFERROR(GIRDI!B13,0)</f>
        <v/>
      </c>
      <c r="D15" s="50" t="inlineStr">
        <is>
          <t>oran</t>
        </is>
      </c>
      <c r="E15" s="6" t="inlineStr">
        <is>
          <t>Stopaj</t>
        </is>
      </c>
      <c r="F15" s="24" t="inlineStr">
        <is>
          <t>YDV-001</t>
        </is>
      </c>
      <c r="G15" s="26">
        <f>IFERROR(GIRDI!B13,0)</f>
        <v/>
      </c>
    </row>
    <row r="16">
      <c r="A16" s="48" t="n">
        <v>10</v>
      </c>
      <c r="B16" s="25" t="inlineStr">
        <is>
          <t>Döviz kuru</t>
        </is>
      </c>
      <c r="C16" s="49">
        <f>IFERROR(GIRDI!B14,0)</f>
        <v/>
      </c>
      <c r="D16" s="50" t="inlineStr">
        <is>
          <t>kur</t>
        </is>
      </c>
      <c r="E16" s="6" t="inlineStr">
        <is>
          <t>TL / PB</t>
        </is>
      </c>
      <c r="F16" s="24" t="inlineStr">
        <is>
          <t>YDV-005</t>
        </is>
      </c>
      <c r="G16" s="37">
        <f>IFERROR(GIRDI!B14,0)</f>
        <v/>
      </c>
    </row>
    <row r="17">
      <c r="A17" s="48" t="n">
        <v>11</v>
      </c>
      <c r="B17" s="25" t="inlineStr">
        <is>
          <t>TF risk puanı</t>
        </is>
      </c>
      <c r="C17" s="49">
        <f>IFERROR(GIRDI!B16,0)</f>
        <v/>
      </c>
      <c r="D17" s="50" t="inlineStr">
        <is>
          <t>puan</t>
        </is>
      </c>
      <c r="E17" s="6" t="inlineStr">
        <is>
          <t>Transfer fiyat riski</t>
        </is>
      </c>
      <c r="F17" s="24" t="inlineStr">
        <is>
          <t>YDV-004</t>
        </is>
      </c>
      <c r="G17" s="37">
        <f>IFERROR(GIRDI!B16,0)</f>
        <v/>
      </c>
    </row>
    <row r="18">
      <c r="A18" s="48" t="n">
        <v>12</v>
      </c>
      <c r="B18" s="25" t="inlineStr">
        <is>
          <t>İstisna bayrağı</t>
        </is>
      </c>
      <c r="C18" s="49">
        <f>IFERROR(IF(GIRDI!B15="Evet",1,0),0)</f>
        <v/>
      </c>
      <c r="D18" s="50" t="inlineStr">
        <is>
          <t>bayrak</t>
        </is>
      </c>
      <c r="E18" s="6" t="inlineStr">
        <is>
          <t>İştirak istisnası</t>
        </is>
      </c>
      <c r="F18" s="24" t="inlineStr">
        <is>
          <t>YDV-002</t>
        </is>
      </c>
      <c r="G18" s="37">
        <f>IFERROR(IF(GIRDI!B15="Evet",1,0),0)</f>
        <v/>
      </c>
    </row>
    <row r="19">
      <c r="A19" s="48" t="n">
        <v>13</v>
      </c>
      <c r="B19" s="25" t="inlineStr">
        <is>
          <t>Yorum çarpanı</t>
        </is>
      </c>
      <c r="C19" s="51">
        <f>IFERROR(IF(GIRDI!B17="B",1+ydv_peArtisOran,1),0)</f>
        <v/>
      </c>
      <c r="D19" s="50" t="inlineStr">
        <is>
          <t>çarpan</t>
        </is>
      </c>
      <c r="E19" s="6" t="inlineStr">
        <is>
          <t>PE atıf A/B</t>
        </is>
      </c>
      <c r="F19" s="24" t="inlineStr">
        <is>
          <t>YDV-005</t>
        </is>
      </c>
      <c r="G19" s="26">
        <f>IFERROR(IF(GIRDI!B17="B",1+ydv_peArtisOran,1),0)</f>
        <v/>
      </c>
    </row>
    <row r="20">
      <c r="A20" s="48" t="n">
        <v>14</v>
      </c>
      <c r="B20" s="25" t="inlineStr">
        <is>
          <t>YD kâr TL</t>
        </is>
      </c>
      <c r="C20" s="52">
        <f>IFERROR(ROUND(G13*G16,MAX(0,MIN(ydv_yuvarMax,IFERROR(N(G12),0)))),0)</f>
        <v/>
      </c>
      <c r="D20" s="50" t="inlineStr">
        <is>
          <t>TL</t>
        </is>
      </c>
      <c r="E20" s="6" t="inlineStr">
        <is>
          <t>Kâr × kur</t>
        </is>
      </c>
      <c r="F20" s="24" t="inlineStr">
        <is>
          <t>YDV-005</t>
        </is>
      </c>
      <c r="G20" s="27">
        <f>IFERROR(ROUND(G13*G16,MAX(0,MIN(ydv_yuvarMax,IFERROR(N(G12),0)))),0)</f>
        <v/>
      </c>
    </row>
    <row r="21">
      <c r="A21" s="48" t="n">
        <v>15</v>
      </c>
      <c r="B21" s="25" t="inlineStr">
        <is>
          <t>Yerel vergi TL</t>
        </is>
      </c>
      <c r="C21" s="52">
        <f>IFERROR(ROUND(G20*G14,MAX(0,MIN(ydv_yuvarMax,IFERROR(N(G12),0)))),0)</f>
        <v/>
      </c>
      <c r="D21" s="50" t="inlineStr">
        <is>
          <t>TL</t>
        </is>
      </c>
      <c r="E21" s="6" t="inlineStr">
        <is>
          <t>YD kâr × yerel oran</t>
        </is>
      </c>
      <c r="F21" s="24" t="inlineStr">
        <is>
          <t>YDV-001</t>
        </is>
      </c>
      <c r="G21" s="27">
        <f>IFERROR(ROUND(G20*G14,MAX(0,MIN(ydv_yuvarMax,IFERROR(N(G12),0)))),0)</f>
        <v/>
      </c>
    </row>
    <row r="22">
      <c r="A22" s="48" t="n">
        <v>16</v>
      </c>
      <c r="B22" s="25" t="inlineStr">
        <is>
          <t>Stopaj TL</t>
        </is>
      </c>
      <c r="C22" s="52">
        <f>IFERROR(ROUND(G20*G15,MAX(0,MIN(ydv_yuvarMax,IFERROR(N(G12),0)))),0)</f>
        <v/>
      </c>
      <c r="D22" s="50" t="inlineStr">
        <is>
          <t>TL</t>
        </is>
      </c>
      <c r="E22" s="6" t="inlineStr">
        <is>
          <t>YD kâr × stopaj</t>
        </is>
      </c>
      <c r="F22" s="24" t="inlineStr">
        <is>
          <t>YDV-001</t>
        </is>
      </c>
      <c r="G22" s="27">
        <f>IFERROR(ROUND(G20*G15,MAX(0,MIN(ydv_yuvarMax,IFERROR(N(G12),0)))),0)</f>
        <v/>
      </c>
    </row>
    <row r="23">
      <c r="A23" s="48" t="n">
        <v>17</v>
      </c>
      <c r="B23" s="25" t="inlineStr">
        <is>
          <t>TR matrah</t>
        </is>
      </c>
      <c r="C23" s="52">
        <f>IFERROR(ROUND(IF(GIRDI!B10="ŞUBE",G20,IF(GIRDI!B10="OFİS",G20*ydv_ofisMatrahOran*G19,IF(AND(OR(GIRDI!B10="İŞTİRAK",GIRDI!B10="LİMİTED"),G18=1),G20*(1-G9)*ydv_dagitimOran,G20))),MAX(0,MIN(ydv_yuvarMax,IFERROR(N(G12),0)))),0)</f>
        <v/>
      </c>
      <c r="D23" s="50" t="inlineStr">
        <is>
          <t>TL</t>
        </is>
      </c>
      <c r="E23" s="6" t="inlineStr">
        <is>
          <t>Yapıya göre TR matrah</t>
        </is>
      </c>
      <c r="F23" s="24" t="inlineStr">
        <is>
          <t>YDV-002</t>
        </is>
      </c>
      <c r="G23" s="27">
        <f>IFERROR(ROUND(IF(GIRDI!B10="ŞUBE",G20,IF(GIRDI!B10="OFİS",G20*ydv_ofisMatrahOran*G19,IF(AND(OR(GIRDI!B10="İŞTİRAK",GIRDI!B10="LİMİTED"),G18=1),G20*(1-G9)*ydv_dagitimOran,G20))),MAX(0,MIN(ydv_yuvarMax,IFERROR(N(G12),0)))),0)</f>
        <v/>
      </c>
    </row>
    <row r="24">
      <c r="A24" s="48" t="n">
        <v>18</v>
      </c>
      <c r="B24" s="25" t="inlineStr">
        <is>
          <t>TR brüt KV</t>
        </is>
      </c>
      <c r="C24" s="52">
        <f>IFERROR(ROUND(G23*G8,MAX(0,MIN(ydv_yuvarMax,IFERROR(N(G12),0)))),0)</f>
        <v/>
      </c>
      <c r="D24" s="50" t="inlineStr">
        <is>
          <t>TL</t>
        </is>
      </c>
      <c r="E24" s="6" t="inlineStr">
        <is>
          <t>Matrah × TR KV</t>
        </is>
      </c>
      <c r="F24" s="24" t="inlineStr">
        <is>
          <t>YDV-001</t>
        </is>
      </c>
      <c r="G24" s="27">
        <f>IFERROR(ROUND(G23*G8,MAX(0,MIN(ydv_yuvarMax,IFERROR(N(G12),0)))),0)</f>
        <v/>
      </c>
    </row>
    <row r="25">
      <c r="A25" s="48" t="n">
        <v>19</v>
      </c>
      <c r="B25" s="25" t="inlineStr">
        <is>
          <t>Mahsup tavan</t>
        </is>
      </c>
      <c r="C25" s="52">
        <f>IFERROR(ROUND(G24*G10,MAX(0,MIN(ydv_yuvarMax,IFERROR(N(G12),0)))),0)</f>
        <v/>
      </c>
      <c r="D25" s="50" t="inlineStr">
        <is>
          <t>TL</t>
        </is>
      </c>
      <c r="E25" s="6" t="inlineStr">
        <is>
          <t>Mahsup tavanı</t>
        </is>
      </c>
      <c r="F25" s="24" t="inlineStr">
        <is>
          <t>YDV-003</t>
        </is>
      </c>
      <c r="G25" s="27">
        <f>IFERROR(ROUND(G24*G10,MAX(0,MIN(ydv_yuvarMax,IFERROR(N(G12),0)))),0)</f>
        <v/>
      </c>
    </row>
    <row r="26">
      <c r="A26" s="48" t="n">
        <v>20</v>
      </c>
      <c r="B26" s="25" t="inlineStr">
        <is>
          <t>Mahsup tutarı</t>
        </is>
      </c>
      <c r="C26" s="52">
        <f>IFERROR(MIN(G21+G22,G25),0)</f>
        <v/>
      </c>
      <c r="D26" s="50" t="inlineStr">
        <is>
          <t>TL</t>
        </is>
      </c>
      <c r="E26" s="6" t="inlineStr">
        <is>
          <t>Yabancı vergi mahsubu</t>
        </is>
      </c>
      <c r="F26" s="24" t="inlineStr">
        <is>
          <t>YDV-003</t>
        </is>
      </c>
      <c r="G26" s="27">
        <f>IFERROR(MIN(G21+G22,G25),0)</f>
        <v/>
      </c>
    </row>
    <row r="27">
      <c r="A27" s="48" t="n">
        <v>21</v>
      </c>
      <c r="B27" s="25" t="inlineStr">
        <is>
          <t>TR net KV</t>
        </is>
      </c>
      <c r="C27" s="52">
        <f>IFERROR(MAX(0,G24-G26),0)</f>
        <v/>
      </c>
      <c r="D27" s="50" t="inlineStr">
        <is>
          <t>TL</t>
        </is>
      </c>
      <c r="E27" s="6" t="inlineStr">
        <is>
          <t>TR'de kalan KV</t>
        </is>
      </c>
      <c r="F27" s="24" t="inlineStr">
        <is>
          <t>YDV-003</t>
        </is>
      </c>
      <c r="G27" s="27">
        <f>IFERROR(MAX(0,G24-G26),0)</f>
        <v/>
      </c>
    </row>
    <row r="28">
      <c r="A28" s="48" t="n">
        <v>22</v>
      </c>
      <c r="B28" s="25" t="inlineStr">
        <is>
          <t>Toplam vergi</t>
        </is>
      </c>
      <c r="C28" s="52">
        <f>IFERROR(G21+G22+G27,0)</f>
        <v/>
      </c>
      <c r="D28" s="50" t="inlineStr">
        <is>
          <t>TL</t>
        </is>
      </c>
      <c r="E28" s="6" t="inlineStr">
        <is>
          <t>Yerel+stopaj+TR net</t>
        </is>
      </c>
      <c r="F28" s="24" t="inlineStr">
        <is>
          <t>YDV-001</t>
        </is>
      </c>
      <c r="G28" s="27">
        <f>IFERROR(G21+G22+G27,0)</f>
        <v/>
      </c>
    </row>
    <row r="29">
      <c r="A29" s="48" t="n">
        <v>23</v>
      </c>
      <c r="B29" s="25" t="inlineStr">
        <is>
          <t>Efektif vergi</t>
        </is>
      </c>
      <c r="C29" s="51">
        <f>IFERROR(IF(G20=0,0,G28/G20),0)</f>
        <v/>
      </c>
      <c r="D29" s="50" t="inlineStr">
        <is>
          <t>oran</t>
        </is>
      </c>
      <c r="E29" s="6" t="inlineStr">
        <is>
          <t>Toplam/kâr</t>
        </is>
      </c>
      <c r="F29" s="24" t="inlineStr">
        <is>
          <t>YDV-001</t>
        </is>
      </c>
      <c r="G29" s="26">
        <f>IFERROR(IF(G20=0,0,G28/G20),0)</f>
        <v/>
      </c>
    </row>
    <row r="30">
      <c r="A30" s="48" t="n">
        <v>24</v>
      </c>
      <c r="B30" s="25" t="inlineStr">
        <is>
          <t>Çift vergi yükü</t>
        </is>
      </c>
      <c r="C30" s="52">
        <f>IFERROR(MAX(0,G21+G22+G27-G24),0)</f>
        <v/>
      </c>
      <c r="D30" s="50" t="inlineStr">
        <is>
          <t>TL</t>
        </is>
      </c>
      <c r="E30" s="6" t="inlineStr">
        <is>
          <t>Çakışan yük</t>
        </is>
      </c>
      <c r="F30" s="24" t="inlineStr">
        <is>
          <t>YDV-003</t>
        </is>
      </c>
      <c r="G30" s="27">
        <f>IFERROR(MAX(0,G21+G22+G27-G24),0)</f>
        <v/>
      </c>
    </row>
    <row r="31">
      <c r="A31" s="48" t="n">
        <v>25</v>
      </c>
      <c r="B31" s="25" t="inlineStr">
        <is>
          <t>TR ek matrah riski</t>
        </is>
      </c>
      <c r="C31" s="52">
        <f>IFERROR(ROUND(G20*G17/ydv_tfBolum*ydv_ekMatrahCarpan*G19,MAX(0,MIN(ydv_yuvarMax,IFERROR(N(G12),0)))),0)</f>
        <v/>
      </c>
      <c r="D31" s="50" t="inlineStr">
        <is>
          <t>TL</t>
        </is>
      </c>
      <c r="E31" s="6" t="inlineStr">
        <is>
          <t>TF kaynaklı ek matrah</t>
        </is>
      </c>
      <c r="F31" s="24" t="inlineStr">
        <is>
          <t>YDV-004</t>
        </is>
      </c>
      <c r="G31" s="27">
        <f>IFERROR(ROUND(G20*G17/ydv_tfBolum*ydv_ekMatrahCarpan*G19,MAX(0,MIN(ydv_yuvarMax,IFERROR(N(G12),0)))),0)</f>
        <v/>
      </c>
    </row>
    <row r="32">
      <c r="A32" s="48" t="n">
        <v>26</v>
      </c>
      <c r="B32" s="25" t="inlineStr">
        <is>
          <t>Karar kodu</t>
        </is>
      </c>
      <c r="C32" s="22">
        <f>IFERROR(IF(COUNTA(tblGirdi[Alan Anahtarı])=0,"VERI_YOK",IF(OR(G17&gt;=G11,G30&gt;G20*ydv_ciftVergiEsik),"RISKLI",IF(OR(G17&gt;=ydv_dikkatEsik,G30&gt;G20*ydv_dikkatCiftEsik),"DIKKAT","UYGUN"))),"")</f>
        <v/>
      </c>
      <c r="D32" s="50" t="inlineStr">
        <is>
          <t>kod</t>
        </is>
      </c>
      <c r="E32" s="6" t="inlineStr">
        <is>
          <t>Risk karar kodu</t>
        </is>
      </c>
      <c r="F32" s="24" t="inlineStr">
        <is>
          <t>YDV-004</t>
        </is>
      </c>
      <c r="G32" s="28">
        <f>IFERROR(IF(COUNTA(tblGirdi[Alan Anahtarı])=0,"VERI_YOK",IF(OR(G17&gt;=G11,G30&gt;G20*ydv_ciftVergiEsik),"RISKLI",IF(OR(G17&gt;=ydv_dikkatEsik,G30&gt;G20*ydv_dikkatCiftEsik),"DIKKAT","UYGUN"))),"")</f>
        <v/>
      </c>
    </row>
    <row r="33">
      <c r="A33" s="48" t="n">
        <v>27</v>
      </c>
      <c r="B33" s="25" t="inlineStr">
        <is>
          <t>Karar metni</t>
        </is>
      </c>
      <c r="C33" s="22">
        <f>IFERROR(IF(G32="VERI_YOK","VERİ YOK",IF(G32="RISKLI","RİSKLİ",IF(G32="DIKKAT","DİKKAT","UYGUN"))),"")</f>
        <v/>
      </c>
      <c r="D33" s="50" t="inlineStr">
        <is>
          <t>metin</t>
        </is>
      </c>
      <c r="E33" s="6" t="inlineStr">
        <is>
          <t>Kullanıcıya karar</t>
        </is>
      </c>
      <c r="F33" s="24" t="inlineStr">
        <is>
          <t>YDV-004</t>
        </is>
      </c>
      <c r="G33" s="28">
        <f>IFERROR(IF(G32="VERI_YOK","VERİ YOK",IF(G32="RISKLI","RİSKLİ",IF(G32="DIKKAT","DİKKAT","UYGUN"))),"")</f>
        <v/>
      </c>
    </row>
    <row r="34">
      <c r="A34" s="48" t="n">
        <v>28</v>
      </c>
      <c r="B34" s="25" t="inlineStr">
        <is>
          <t>Yapı önerisi</t>
        </is>
      </c>
      <c r="C34" s="22">
        <f>IFERROR(IF(G32="VERI_YOK","VERİ YOK",IF(AND(G18=1,OR(GIRDI!B10="İŞTİRAK",GIRDI!B10="LİMİTED")),"İŞTİRAK",IF(GIRDI!B10="OFİS","OFİS",IF(G29&lt;=ydv_subeEfektifEsik,"ŞUBE","İŞTİRAK")))),"")</f>
        <v/>
      </c>
      <c r="D34" s="50" t="inlineStr">
        <is>
          <t>metin</t>
        </is>
      </c>
      <c r="E34" s="6" t="inlineStr">
        <is>
          <t>Önerilen yapı</t>
        </is>
      </c>
      <c r="F34" s="24" t="inlineStr">
        <is>
          <t>YDV-002</t>
        </is>
      </c>
      <c r="G34" s="28">
        <f>IFERROR(IF(G32="VERI_YOK","VERİ YOK",IF(AND(G18=1,OR(GIRDI!B10="İŞTİRAK",GIRDI!B10="LİMİTED")),"İŞTİRAK",IF(GIRDI!B10="OFİS","OFİS",IF(G29&lt;=ydv_subeEfektifEsik,"ŞUBE","İŞTİRAK")))),"")</f>
        <v/>
      </c>
    </row>
    <row r="35">
      <c r="A35" s="48" t="n">
        <v>29</v>
      </c>
      <c r="B35" s="25" t="inlineStr">
        <is>
          <t>Gerekçe</t>
        </is>
      </c>
      <c r="C35" s="22">
        <f>IFERROR(IF(G32="VERI_YOK","Giriş tablosu boş — hesap yapılamaz.",IF(G32="RISKLI","TF eşiği aşıldı veya çift vergi yükü yüksek; yapı ve TF dosyasını gözden geçirin.",IF(G32="DIKKAT","Orta risk: mahsup, stopaj ve PE atıfını doğrulayın.","Efektif vergi ve TF profili kabul edilebilir aralıkta."))),"")</f>
        <v/>
      </c>
      <c r="D35" s="50" t="inlineStr">
        <is>
          <t>metin</t>
        </is>
      </c>
      <c r="E35" s="6" t="inlineStr">
        <is>
          <t>Gerekçe cümlesi</t>
        </is>
      </c>
      <c r="F35" s="24" t="inlineStr">
        <is>
          <t>YDV-004</t>
        </is>
      </c>
      <c r="G35" s="28">
        <f>IFERROR(IF(G32="VERI_YOK","Giriş tablosu boş — hesap yapılamaz.",IF(G32="RISKLI","TF eşiği aşıldı veya çift vergi yükü yüksek; yapı ve TF dosyasını gözden geçirin.",IF(G32="DIKKAT","Orta risk: mahsup, stopaj ve PE atıfını doğrulayın.","Efektif vergi ve TF profili kabul edilebilir aralıkta."))),"")</f>
        <v/>
      </c>
    </row>
    <row r="36">
      <c r="A36" s="48" t="n">
        <v>30</v>
      </c>
      <c r="B36" s="25" t="inlineStr">
        <is>
          <t>Yerel / kâr payı</t>
        </is>
      </c>
      <c r="C36" s="51">
        <f>IFERROR(IF(G20=0,0,G21/G20),0)</f>
        <v/>
      </c>
      <c r="D36" s="50" t="inlineStr">
        <is>
          <t>oran</t>
        </is>
      </c>
      <c r="E36" s="6" t="inlineStr">
        <is>
          <t>T1 pay</t>
        </is>
      </c>
      <c r="F36" s="24" t="inlineStr">
        <is>
          <t>YDV-001</t>
        </is>
      </c>
      <c r="G36" s="26">
        <f>IFERROR(IF(G20=0,0,G21/G20),0)</f>
        <v/>
      </c>
    </row>
    <row r="37">
      <c r="A37" s="48" t="n">
        <v>31</v>
      </c>
      <c r="B37" s="25" t="inlineStr">
        <is>
          <t>TR net / toplam</t>
        </is>
      </c>
      <c r="C37" s="51">
        <f>IFERROR(IF(G28=0,0,G27/G28),0)</f>
        <v/>
      </c>
      <c r="D37" s="50" t="inlineStr">
        <is>
          <t>oran</t>
        </is>
      </c>
      <c r="E37" s="6" t="inlineStr">
        <is>
          <t>T2 pay</t>
        </is>
      </c>
      <c r="F37" s="24" t="inlineStr">
        <is>
          <t>YDV-001</t>
        </is>
      </c>
      <c r="G37" s="26">
        <f>IFERROR(IF(G28=0,0,G27/G28),0)</f>
        <v/>
      </c>
    </row>
    <row r="38">
      <c r="A38" s="48" t="n">
        <v>32</v>
      </c>
      <c r="B38" s="25" t="inlineStr">
        <is>
          <t>Mahsup / brüt</t>
        </is>
      </c>
      <c r="C38" s="51">
        <f>IFERROR(IF(G24=0,0,G26/G24),0)</f>
        <v/>
      </c>
      <c r="D38" s="50" t="inlineStr">
        <is>
          <t>oran</t>
        </is>
      </c>
      <c r="E38" s="6" t="inlineStr">
        <is>
          <t>O6 yoğunluk</t>
        </is>
      </c>
      <c r="F38" s="24" t="inlineStr">
        <is>
          <t>YDV-003</t>
        </is>
      </c>
      <c r="G38" s="26">
        <f>IFERROR(IF(G24=0,0,G26/G24),0)</f>
        <v/>
      </c>
    </row>
    <row r="39">
      <c r="A39" s="48" t="n">
        <v>33</v>
      </c>
      <c r="B39" s="25" t="inlineStr">
        <is>
          <t>Güven skoru</t>
        </is>
      </c>
      <c r="C39" s="49">
        <f>IFERROR(ROUND(IF(OR(COUNTA(GIRDI!B6:B17)=0,ydv_girisBeklenen=0),0,COUNTA(GIRDI!B6:B17)/ydv_girisBeklenen*100),0),0)</f>
        <v/>
      </c>
      <c r="D39" s="50" t="inlineStr">
        <is>
          <t>puan</t>
        </is>
      </c>
      <c r="E39" s="6" t="inlineStr">
        <is>
          <t>Giriş bütünlüğü</t>
        </is>
      </c>
      <c r="F39" s="24" t="inlineStr">
        <is>
          <t>YDV-005</t>
        </is>
      </c>
      <c r="G39" s="37">
        <f>IFERROR(ROUND(IF(OR(COUNTA(GIRDI!B6:B17)=0,ydv_girisBeklenen=0),0,COUNTA(GIRDI!B6:B17)/ydv_girisBeklenen*100),0),0)</f>
        <v/>
      </c>
    </row>
    <row r="40">
      <c r="A40" s="48" t="n">
        <v>34</v>
      </c>
      <c r="B40" s="25" t="inlineStr">
        <is>
          <t>Risk skoru</t>
        </is>
      </c>
      <c r="C40" s="49">
        <f>IFERROR(IF(G32="VERI_YOK",0,IF(G32="UYGUN",ydv_riskDusuk,IF(G32="DIKKAT",ydv_riskOrta,ydv_riskYuksek))),0)</f>
        <v/>
      </c>
      <c r="D40" s="50" t="inlineStr">
        <is>
          <t>puan</t>
        </is>
      </c>
      <c r="E40" s="6" t="inlineStr">
        <is>
          <t>Risk skoru</t>
        </is>
      </c>
      <c r="F40" s="24" t="inlineStr">
        <is>
          <t>YDV-004</t>
        </is>
      </c>
      <c r="G40" s="37">
        <f>IFERROR(IF(G32="VERI_YOK",0,IF(G32="UYGUN",ydv_riskDusuk,IF(G32="DIKKAT",ydv_riskOrta,ydv_riskYuksek))),0)</f>
        <v/>
      </c>
    </row>
    <row r="41">
      <c r="A41" s="48" t="n">
        <v>35</v>
      </c>
      <c r="B41" s="25" t="inlineStr">
        <is>
          <t>Senaryo iyimser kâr</t>
        </is>
      </c>
      <c r="C41" s="52">
        <f>IFERROR(G20*ydv_senaryoIyi,0)</f>
        <v/>
      </c>
      <c r="D41" s="50" t="inlineStr">
        <is>
          <t>TL</t>
        </is>
      </c>
      <c r="E41" s="6" t="inlineStr">
        <is>
          <t>İyimser kâr TL</t>
        </is>
      </c>
      <c r="F41" s="24" t="inlineStr">
        <is>
          <t>YDV-001</t>
        </is>
      </c>
      <c r="G41" s="27">
        <f>IFERROR(G20*ydv_senaryoIyi,0)</f>
        <v/>
      </c>
    </row>
    <row r="42">
      <c r="A42" s="48" t="n">
        <v>36</v>
      </c>
      <c r="B42" s="25" t="inlineStr">
        <is>
          <t>Senaryo kötümser kâr</t>
        </is>
      </c>
      <c r="C42" s="52">
        <f>IFERROR(G20*ydv_senaryoKotu,0)</f>
        <v/>
      </c>
      <c r="D42" s="50" t="inlineStr">
        <is>
          <t>TL</t>
        </is>
      </c>
      <c r="E42" s="6" t="inlineStr">
        <is>
          <t>Kötümser kâr TL</t>
        </is>
      </c>
      <c r="F42" s="24" t="inlineStr">
        <is>
          <t>YDV-001</t>
        </is>
      </c>
      <c r="G42" s="27">
        <f>IFERROR(G20*ydv_senaryoKotu,0)</f>
        <v/>
      </c>
    </row>
    <row r="43">
      <c r="A43" s="48" t="n">
        <v>37</v>
      </c>
      <c r="B43" s="25" t="inlineStr">
        <is>
          <t>İyimser toplam vergi</t>
        </is>
      </c>
      <c r="C43" s="52">
        <f>IFERROR(ROUND(G41*G29,MAX(0,MIN(ydv_yuvarMax,IFERROR(N(G12),0)))),0)</f>
        <v/>
      </c>
      <c r="D43" s="50" t="inlineStr">
        <is>
          <t>TL</t>
        </is>
      </c>
      <c r="E43" s="6" t="inlineStr">
        <is>
          <t>İyimser yük</t>
        </is>
      </c>
      <c r="F43" s="24" t="inlineStr">
        <is>
          <t>YDV-001</t>
        </is>
      </c>
      <c r="G43" s="27">
        <f>IFERROR(ROUND(G41*G29,MAX(0,MIN(ydv_yuvarMax,IFERROR(N(G12),0)))),0)</f>
        <v/>
      </c>
    </row>
    <row r="44">
      <c r="A44" s="48" t="n">
        <v>38</v>
      </c>
      <c r="B44" s="25" t="inlineStr">
        <is>
          <t>Kötümser toplam vergi</t>
        </is>
      </c>
      <c r="C44" s="52">
        <f>IFERROR(ROUND(G42*G29,MAX(0,MIN(ydv_yuvarMax,IFERROR(N(G12),0)))),0)</f>
        <v/>
      </c>
      <c r="D44" s="50" t="inlineStr">
        <is>
          <t>TL</t>
        </is>
      </c>
      <c r="E44" s="6" t="inlineStr">
        <is>
          <t>Kötümser yük</t>
        </is>
      </c>
      <c r="F44" s="24" t="inlineStr">
        <is>
          <t>YDV-001</t>
        </is>
      </c>
      <c r="G44" s="27">
        <f>IFERROR(ROUND(G42*G29,MAX(0,MIN(ydv_yuvarMax,IFERROR(N(G12),0)))),0)</f>
        <v/>
      </c>
    </row>
    <row r="45">
      <c r="A45" s="48" t="n">
        <v>39</v>
      </c>
      <c r="B45" s="25" t="inlineStr">
        <is>
          <t>M-SEN TR oran+</t>
        </is>
      </c>
      <c r="C45" s="51">
        <f>IFERROR(MIN(1,G8+ydv_oranArtisPuan),0)</f>
        <v/>
      </c>
      <c r="D45" s="50" t="inlineStr">
        <is>
          <t>oran</t>
        </is>
      </c>
      <c r="E45" s="6" t="inlineStr">
        <is>
          <t>TR KV +1 puan</t>
        </is>
      </c>
      <c r="F45" s="24" t="inlineStr">
        <is>
          <t>YDV-001</t>
        </is>
      </c>
      <c r="G45" s="26">
        <f>IFERROR(MIN(1,G8+ydv_oranArtisPuan),0)</f>
        <v/>
      </c>
    </row>
    <row r="46">
      <c r="A46" s="48" t="n">
        <v>40</v>
      </c>
      <c r="B46" s="25" t="inlineStr">
        <is>
          <t>M-SEN TR brüt</t>
        </is>
      </c>
      <c r="C46" s="52">
        <f>IFERROR(ROUND(G23*G45,MAX(0,MIN(ydv_yuvarMax,IFERROR(N(G12),0)))),0)</f>
        <v/>
      </c>
      <c r="D46" s="50" t="inlineStr">
        <is>
          <t>TL</t>
        </is>
      </c>
      <c r="E46" s="6" t="inlineStr">
        <is>
          <t>M-SEN brüt</t>
        </is>
      </c>
      <c r="F46" s="24" t="inlineStr">
        <is>
          <t>YDV-001</t>
        </is>
      </c>
      <c r="G46" s="27">
        <f>IFERROR(ROUND(G23*G45,MAX(0,MIN(ydv_yuvarMax,IFERROR(N(G12),0)))),0)</f>
        <v/>
      </c>
    </row>
    <row r="47">
      <c r="A47" s="48" t="n">
        <v>41</v>
      </c>
      <c r="B47" s="25" t="inlineStr">
        <is>
          <t>M-SEN TR net</t>
        </is>
      </c>
      <c r="C47" s="52">
        <f>IFERROR(MAX(0,G46-G26),0)</f>
        <v/>
      </c>
      <c r="D47" s="50" t="inlineStr">
        <is>
          <t>TL</t>
        </is>
      </c>
      <c r="E47" s="6" t="inlineStr">
        <is>
          <t>M-SEN net</t>
        </is>
      </c>
      <c r="F47" s="24" t="inlineStr">
        <is>
          <t>YDV-001</t>
        </is>
      </c>
      <c r="G47" s="27">
        <f>IFERROR(MAX(0,G46-G26),0)</f>
        <v/>
      </c>
    </row>
    <row r="48">
      <c r="A48" s="48" t="n">
        <v>42</v>
      </c>
      <c r="B48" s="25" t="inlineStr">
        <is>
          <t>M-SEN toplam</t>
        </is>
      </c>
      <c r="C48" s="52">
        <f>IFERROR(G21+G22+G47,0)</f>
        <v/>
      </c>
      <c r="D48" s="50" t="inlineStr">
        <is>
          <t>TL</t>
        </is>
      </c>
      <c r="E48" s="6" t="inlineStr">
        <is>
          <t>M-SEN toplam vergi</t>
        </is>
      </c>
      <c r="F48" s="24" t="inlineStr">
        <is>
          <t>YDV-001</t>
        </is>
      </c>
      <c r="G48" s="27">
        <f>IFERROR(G21+G22+G47,0)</f>
        <v/>
      </c>
    </row>
    <row r="49">
      <c r="A49" s="48" t="n">
        <v>43</v>
      </c>
      <c r="B49" s="25" t="inlineStr">
        <is>
          <t>Tahmin üst</t>
        </is>
      </c>
      <c r="C49" s="52">
        <f>IFERROR(G28*ydv_tahminUst,0)</f>
        <v/>
      </c>
      <c r="D49" s="50" t="inlineStr">
        <is>
          <t>TL</t>
        </is>
      </c>
      <c r="E49" s="6" t="inlineStr">
        <is>
          <t>Tahmin üst bant</t>
        </is>
      </c>
      <c r="F49" s="24" t="inlineStr">
        <is>
          <t>YDV-005</t>
        </is>
      </c>
      <c r="G49" s="27">
        <f>IFERROR(G28*ydv_tahminUst,0)</f>
        <v/>
      </c>
    </row>
    <row r="50">
      <c r="A50" s="48" t="n">
        <v>44</v>
      </c>
      <c r="B50" s="25" t="inlineStr">
        <is>
          <t>Tahmin alt</t>
        </is>
      </c>
      <c r="C50" s="52">
        <f>IFERROR(G28*ydv_tahminAlt,0)</f>
        <v/>
      </c>
      <c r="D50" s="50" t="inlineStr">
        <is>
          <t>TL</t>
        </is>
      </c>
      <c r="E50" s="6" t="inlineStr">
        <is>
          <t>Tahmin alt bant</t>
        </is>
      </c>
      <c r="F50" s="24" t="inlineStr">
        <is>
          <t>YDV-005</t>
        </is>
      </c>
      <c r="G50" s="27">
        <f>IFERROR(G28*ydv_tahminAlt,0)</f>
        <v/>
      </c>
    </row>
    <row r="51">
      <c r="A51" s="48" t="n">
        <v>45</v>
      </c>
      <c r="B51" s="25" t="inlineStr">
        <is>
          <t>Tornado: kur etkisi</t>
        </is>
      </c>
      <c r="C51" s="52">
        <f>IFERROR(ABS(ROUND(G13*G16*ydv_tornadoKur*G14,MAX(0,MIN(ydv_yuvarMax,IFERROR(N(G12),0))))-G21),0)</f>
        <v/>
      </c>
      <c r="D51" s="50" t="inlineStr">
        <is>
          <t>TL</t>
        </is>
      </c>
      <c r="E51" s="6" t="inlineStr">
        <is>
          <t>Kur ± etki</t>
        </is>
      </c>
      <c r="F51" s="24" t="inlineStr">
        <is>
          <t>YDV-005</t>
        </is>
      </c>
      <c r="G51" s="27">
        <f>IFERROR(ABS(ROUND(G13*G16*ydv_tornadoKur*G14,MAX(0,MIN(ydv_yuvarMax,IFERROR(N(G12),0))))-G21),0)</f>
        <v/>
      </c>
    </row>
    <row r="52">
      <c r="A52" s="48" t="n">
        <v>46</v>
      </c>
      <c r="B52" s="25" t="inlineStr">
        <is>
          <t>Tornado: yerel oran</t>
        </is>
      </c>
      <c r="C52" s="52">
        <f>IFERROR(ABS(ROUND(G20*(G14+ydv_oranArtisPuan),MAX(0,MIN(ydv_yuvarMax,IFERROR(N(G12),0))))-G21),0)</f>
        <v/>
      </c>
      <c r="D52" s="50" t="inlineStr">
        <is>
          <t>TL</t>
        </is>
      </c>
      <c r="E52" s="6" t="inlineStr">
        <is>
          <t>Yerel oran ±</t>
        </is>
      </c>
      <c r="F52" s="24" t="inlineStr">
        <is>
          <t>YDV-001</t>
        </is>
      </c>
      <c r="G52" s="27">
        <f>IFERROR(ABS(ROUND(G20*(G14+ydv_oranArtisPuan),MAX(0,MIN(ydv_yuvarMax,IFERROR(N(G12),0))))-G21),0)</f>
        <v/>
      </c>
    </row>
    <row r="53">
      <c r="A53" s="48" t="n">
        <v>47</v>
      </c>
      <c r="B53" s="25" t="inlineStr">
        <is>
          <t>Tornado: TF etkisi</t>
        </is>
      </c>
      <c r="C53" s="52">
        <f>IFERROR(ABS(ROUND(G20*(G17+ydv_tornadoTf)/ydv_tfBolum*ydv_ekMatrahCarpan,MAX(0,MIN(ydv_yuvarMax,IFERROR(N(G12),0))))-G31),0)</f>
        <v/>
      </c>
      <c r="D53" s="50" t="inlineStr">
        <is>
          <t>TL</t>
        </is>
      </c>
      <c r="E53" s="6" t="inlineStr">
        <is>
          <t>TF ± etki</t>
        </is>
      </c>
      <c r="F53" s="24" t="inlineStr">
        <is>
          <t>YDV-004</t>
        </is>
      </c>
      <c r="G53" s="27">
        <f>IFERROR(ABS(ROUND(G20*(G17+ydv_tornadoTf)/ydv_tfBolum*ydv_ekMatrahCarpan,MAX(0,MIN(ydv_yuvarMax,IFERROR(N(G12),0))))-G31),0)</f>
        <v/>
      </c>
    </row>
    <row r="54">
      <c r="A54" s="48" t="n">
        <v>48</v>
      </c>
      <c r="B54" s="25" t="inlineStr">
        <is>
          <t>Madde atıf özeti</t>
        </is>
      </c>
      <c r="C54" s="22">
        <f>IFERROR(_xlfn.TEXTJOIN(" | ",TRUE,"YDV-001→KVK md.32","YDV-002→KVK md.5/1-a","YDV-003→KVK md.33","YDV-004→TF"),"")</f>
        <v/>
      </c>
      <c r="D54" s="50" t="inlineStr">
        <is>
          <t>metin</t>
        </is>
      </c>
      <c r="E54" s="6" t="inlineStr">
        <is>
          <t>Kanıt atıfları</t>
        </is>
      </c>
      <c r="F54" s="24" t="inlineStr">
        <is>
          <t>YDV-001</t>
        </is>
      </c>
      <c r="G54" s="28">
        <f>IFERROR(_xlfn.TEXTJOIN(" | ",TRUE,"YDV-001→KVK md.32","YDV-002→KVK md.5/1-a","YDV-003→KVK md.33","YDV-004→TF"),"")</f>
        <v/>
      </c>
    </row>
    <row r="55">
      <c r="A55" s="48" t="n">
        <v>49</v>
      </c>
      <c r="B55" s="25" t="inlineStr">
        <is>
          <t>Kanıt satır özeti</t>
        </is>
      </c>
      <c r="C55" s="22">
        <f>IFERROR(_xlfn.TEXTJOIN(" · ",TRUE,"KârTL=",TEXT(G20,"₺ #,##0"),"Efektif=",TEXT(G29,"0.0%"),"Çift=",TEXT(G30,"₺ #,##0"),"Karar=",G33,"Yapı=",G34),"")</f>
        <v/>
      </c>
      <c r="D55" s="50" t="inlineStr">
        <is>
          <t>metin</t>
        </is>
      </c>
      <c r="E55" s="6" t="inlineStr">
        <is>
          <t>Rapor özeti</t>
        </is>
      </c>
      <c r="F55" s="24" t="inlineStr">
        <is>
          <t>YDV-005</t>
        </is>
      </c>
      <c r="G55" s="28">
        <f>IFERROR(_xlfn.TEXTJOIN(" · ",TRUE,"KârTL=",TEXT(G20,"₺ #,##0"),"Efektif=",TEXT(G29,"0.0%"),"Çift=",TEXT(G30,"₺ #,##0"),"Karar=",G33,"Yapı=",G34),"")</f>
        <v/>
      </c>
    </row>
    <row r="57">
      <c r="I57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5">
    <cfRule type="cellIs" priority="1" operator="lessThan" dxfId="5">
      <formula>0</formula>
    </cfRule>
  </conditionalFormatting>
  <conditionalFormatting sqref="F7:F55">
    <cfRule type="expression" priority="2" dxfId="6">
      <formula>F7="YDV-001"</formula>
    </cfRule>
    <cfRule type="expression" priority="3" dxfId="5">
      <formula>F7="YDV-004"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Yurt Dışı Yapılanma Vergi Simülatörü</t>
        </is>
      </c>
    </row>
    <row r="3">
      <c r="A3" s="9" t="inlineStr">
        <is>
          <t>Senaryo ve duyarlılık</t>
        </is>
      </c>
    </row>
    <row r="5">
      <c r="A5" s="53" t="inlineStr">
        <is>
          <t>Senaryo</t>
        </is>
      </c>
      <c r="B5" s="53" t="inlineStr">
        <is>
          <t>Kâr Çarpanı</t>
        </is>
      </c>
      <c r="C5" s="53" t="inlineStr">
        <is>
          <t>Toplam Vergi</t>
        </is>
      </c>
      <c r="D5" s="53" t="inlineStr">
        <is>
          <t>Efektif</t>
        </is>
      </c>
      <c r="E5" s="53" t="inlineStr">
        <is>
          <t>Karar</t>
        </is>
      </c>
      <c r="G5" s="53" t="inlineStr">
        <is>
          <t>VergiDemo</t>
        </is>
      </c>
    </row>
    <row r="6">
      <c r="A6" s="7" t="inlineStr">
        <is>
          <t>İyimser</t>
        </is>
      </c>
      <c r="B6" s="26">
        <f>IFERROR(ydv_senaryoIyi+N(GIRDI!B11)*ydv_sifirCarpan,0)</f>
        <v/>
      </c>
      <c r="C6" s="27">
        <f>IFERROR(ROUND(IFERROR(ydv_karTl,0)*B6*IFERROR(ydv_efektifVergi,0),2),0)</f>
        <v/>
      </c>
      <c r="D6" s="26">
        <f>IFERROR(ydv_efektifVergi,0)</f>
        <v/>
      </c>
      <c r="E6" s="28">
        <f>IF(COUNTA(tblGirdi[Alan Anahtarı])=0,"VERİ YOK",IFERROR(ydv_kararMetni,"-"))</f>
        <v/>
      </c>
      <c r="G6" s="30" t="n">
        <v>5940000</v>
      </c>
    </row>
    <row r="7">
      <c r="A7" s="7" t="inlineStr">
        <is>
          <t>Baz</t>
        </is>
      </c>
      <c r="B7" s="26">
        <f>IFERROR(ydv_bazCarpan+N(GIRDI!B11)*ydv_sifirCarpan,ydv_bazCarpan)</f>
        <v/>
      </c>
      <c r="C7" s="27">
        <f>IFERROR(ydv_toplamVergi,0)</f>
        <v/>
      </c>
      <c r="D7" s="26">
        <f>IFERROR(ydv_efektifVergi,0)</f>
        <v/>
      </c>
      <c r="E7" s="28">
        <f>IF(COUNTA(tblGirdi[Alan Anahtarı])=0,"VERİ YOK",IFERROR(ydv_kararMetni,"-"))</f>
        <v/>
      </c>
      <c r="G7" s="30" t="n">
        <v>6300000</v>
      </c>
    </row>
    <row r="8">
      <c r="A8" s="7" t="inlineStr">
        <is>
          <t>Kötümser</t>
        </is>
      </c>
      <c r="B8" s="26">
        <f>IFERROR(ydv_senaryoKotu+N(GIRDI!B11)*ydv_sifirCarpan,0)</f>
        <v/>
      </c>
      <c r="C8" s="27">
        <f>IFERROR(ROUND(IFERROR(ydv_karTl,0)*B8*IFERROR(ydv_efektifVergi,0),2),0)</f>
        <v/>
      </c>
      <c r="D8" s="26">
        <f>IFERROR(ydv_efektifVergi,0)</f>
        <v/>
      </c>
      <c r="E8" s="28">
        <f>IF(COUNTA(tblGirdi[Alan Anahtarı])=0,"VERİ YOK",IFERROR(ydv_kararMetni,"-"))</f>
        <v/>
      </c>
      <c r="G8" s="30" t="n">
        <v>7200000</v>
      </c>
    </row>
    <row r="9">
      <c r="A9" s="7" t="inlineStr">
        <is>
          <t>M-SEN TR+1</t>
        </is>
      </c>
      <c r="B9" s="26">
        <f>IFERROR(ydv_bazCarpan+N(GIRDI!B11)*ydv_sifirCarpan,ydv_bazCarpan)</f>
        <v/>
      </c>
      <c r="C9" s="27">
        <f>IFERROR(MOTOR!G48,0)</f>
        <v/>
      </c>
      <c r="D9" s="26">
        <f>IFERROR(IF(ydv_karTl=0,0,MOTOR!G48/ydv_karTl),0)</f>
        <v/>
      </c>
      <c r="E9" s="28">
        <f>IF(COUNTA(tblGirdi[Alan Anahtarı])=0,"VERİ YOK","DİKKAT")</f>
        <v/>
      </c>
      <c r="G9" s="30" t="n">
        <v>6750000</v>
      </c>
    </row>
    <row r="11">
      <c r="A11" s="10" t="inlineStr">
        <is>
          <t>Senaryo bant genişliği (iyimser−kötümser vergi)</t>
        </is>
      </c>
      <c r="B11" s="27">
        <f>IFERROR(C6-C8,0)</f>
        <v/>
      </c>
    </row>
    <row r="12">
      <c r="A12" s="10" t="inlineStr">
        <is>
          <t>Senaryo yorumu</t>
        </is>
      </c>
      <c r="B12" s="22">
        <f>IFERROR(_xlfn.TEXTJOIN("; ",TRUE,"İyimser ",TEXT(C6,"₺ #,##0")," · Baz ",TEXT(C7,"₺ #,##0")," · Kötümser ",TEXT(C8,"₺ #,##0")," · Bant ",TEXT(B11,"₺ #,##0")),"-")</f>
        <v/>
      </c>
    </row>
    <row r="14">
      <c r="A14" s="5" t="inlineStr">
        <is>
          <t>Duyarlılık (tornado)</t>
        </is>
      </c>
    </row>
    <row r="15">
      <c r="A15" s="53" t="inlineStr">
        <is>
          <t>Değişken</t>
        </is>
      </c>
      <c r="B15" s="53" t="inlineStr">
        <is>
          <t>Etki [₺]</t>
        </is>
      </c>
      <c r="C15" s="53" t="inlineStr">
        <is>
          <t>Sıra</t>
        </is>
      </c>
      <c r="E15" s="53" t="inlineStr">
        <is>
          <t>EtkiDemo</t>
        </is>
      </c>
    </row>
    <row r="16">
      <c r="A16" s="7" t="inlineStr">
        <is>
          <t>Tornado kur etkisi</t>
        </is>
      </c>
      <c r="B16" s="27">
        <f>IFERROR(MOTOR!G51,0)</f>
        <v/>
      </c>
      <c r="C16" s="37">
        <f>IFERROR(IF(B16&gt;=MAX(B16:B18),ydv_siraBir,IF(B16&gt;=MIN(B16:B18)+ABS(B16-B17),ydv_siraIki,ydv_siraUc)),ydv_siraUc)</f>
        <v/>
      </c>
      <c r="E16" s="30" t="n">
        <v>270000</v>
      </c>
    </row>
    <row r="17">
      <c r="A17" s="7" t="inlineStr">
        <is>
          <t>Tornado yerel oran</t>
        </is>
      </c>
      <c r="B17" s="27">
        <f>IFERROR(MOTOR!G52,0)</f>
        <v/>
      </c>
      <c r="C17" s="37">
        <f>IFERROR(IF(B17&gt;=MAX(B16:B18),ydv_siraBir,IF(B17=MEDIAN(B16:B18),ydv_siraIki,ydv_siraUc)),ydv_siraUc)</f>
        <v/>
      </c>
      <c r="E17" s="30" t="n">
        <v>180000</v>
      </c>
    </row>
    <row r="18">
      <c r="A18" s="7" t="inlineStr">
        <is>
          <t>Tornado TF etkisi</t>
        </is>
      </c>
      <c r="B18" s="27">
        <f>IFERROR(MOTOR!G53,0)</f>
        <v/>
      </c>
      <c r="C18" s="37">
        <f>IFERROR(IF(B18&gt;=MAX(B16:B18),ydv_siraBir,IF(B18=MEDIAN(B16:B18),ydv_siraIki,ydv_siraUc)),ydv_siraUc)</f>
        <v/>
      </c>
      <c r="E18" s="30" t="n">
        <v>360000</v>
      </c>
    </row>
    <row r="19">
      <c r="A19" s="10" t="inlineStr">
        <is>
          <t>Duyarlılık sıra özeti</t>
        </is>
      </c>
      <c r="B19" s="28">
        <f>IFERROR(CONCATENATE("1)",INDEX(A16:A18,MATCH(ydv_siraBir,C16:C18,0))," 2)",INDEX(A16:A18,MATCH(ydv_siraIki,C16:C18,0))),"-")</f>
        <v/>
      </c>
    </row>
    <row r="20">
      <c r="A20" s="10" t="inlineStr">
        <is>
          <t>Duyarlılık yorumu</t>
        </is>
      </c>
      <c r="B20" s="22">
        <f>_xlfn.TEXTJOIN("; ",TRUE,"En yüksek etki ",TEXT(MAX(B16:B18),"₺ #,##0")," TL — öncelik bu değişkende")</f>
        <v/>
      </c>
    </row>
    <row r="22">
      <c r="A22" s="10" t="inlineStr">
        <is>
          <t>M-SEN kural değişimi toplam</t>
        </is>
      </c>
      <c r="B22" s="27">
        <f>C9</f>
        <v/>
      </c>
    </row>
    <row r="23">
      <c r="A23" s="10" t="inlineStr">
        <is>
          <t>M-SEN yorumu</t>
        </is>
      </c>
      <c r="B23" s="22">
        <f>_xlfn.TEXTJOIN("; ",TRUE,"TR KV +1 puan senaryosunda toplam vergi ",TEXT(C9,"₺ #,##0")," TL")</f>
        <v/>
      </c>
    </row>
    <row r="25">
      <c r="A25" s="10" t="inlineStr">
        <is>
          <t>Tahmin aralığı (toplam vergi)</t>
        </is>
      </c>
      <c r="B25" s="27">
        <f>MOTOR!G50</f>
        <v/>
      </c>
      <c r="C25" s="27">
        <f>ydv_toplamVergi</f>
        <v/>
      </c>
      <c r="D25" s="27">
        <f>MOTOR!G49</f>
        <v/>
      </c>
    </row>
    <row r="26">
      <c r="A26" s="10" t="inlineStr">
        <is>
          <t>Tahmin (FORECAST)</t>
        </is>
      </c>
    </row>
    <row r="27">
      <c r="A27" s="29" t="inlineStr">
        <is>
          <t>Seri nokta</t>
        </is>
      </c>
      <c r="D27" s="10" t="inlineStr">
        <is>
          <t>TrendDemo</t>
        </is>
      </c>
    </row>
    <row r="28">
      <c r="A28" s="54" t="n">
        <v>1</v>
      </c>
      <c r="B28" s="27">
        <f>C6</f>
        <v/>
      </c>
      <c r="D28" s="30" t="n">
        <v>5940000</v>
      </c>
    </row>
    <row r="29">
      <c r="A29" s="54" t="n">
        <v>2</v>
      </c>
      <c r="B29" s="27">
        <f>C7</f>
        <v/>
      </c>
      <c r="D29" s="30" t="n">
        <v>6300000</v>
      </c>
    </row>
    <row r="30">
      <c r="A30" s="54" t="n">
        <v>3</v>
      </c>
      <c r="B30" s="27">
        <f>C8</f>
        <v/>
      </c>
      <c r="D30" s="30" t="n">
        <v>7200000</v>
      </c>
    </row>
    <row r="31">
      <c r="A31" s="54" t="n">
        <v>4</v>
      </c>
      <c r="B31" s="27">
        <f>C9</f>
        <v/>
      </c>
      <c r="D31" s="30" t="n">
        <v>6750000</v>
      </c>
    </row>
    <row r="32">
      <c r="A32" s="7" t="inlineStr">
        <is>
          <t>Tahmin sonraki</t>
        </is>
      </c>
      <c r="B32" s="27">
        <f>IFERROR(FORECAST.LINEAR(ydv_tahminX,B28:B31,A28:A31),0)</f>
        <v/>
      </c>
    </row>
    <row r="33">
      <c r="A33" s="10" t="inlineStr">
        <is>
          <t>Tahmin yorumu</t>
        </is>
      </c>
      <c r="B33" s="22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C6:C9">
    <cfRule type="cellIs" priority="1" operator="greaterThan" dxfId="3">
      <formula>0</formula>
    </cfRule>
  </conditionalFormatting>
  <conditionalFormatting sqref="E6:E9">
    <cfRule type="expression" priority="2" dxfId="5">
      <formula>ISNUMBER(SEARCH("RİSKLİ",E6))</formula>
    </cfRule>
    <cfRule type="expression" priority="3" dxfId="3">
      <formula>ISNUMBER(SEARCH("UYGUN",E6))</formula>
    </cfRule>
    <cfRule type="expression" priority="4" dxfId="4">
      <formula>ISNUMBER(SEARCH("DİKKAT",E6))</formula>
    </cfRule>
  </conditionalFormatting>
  <conditionalFormatting sqref="B16:B18">
    <cfRule type="cellIs" priority="5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 ht="26" customHeight="1">
      <c r="A1" s="1" t="inlineStr">
        <is>
          <t>VAKALAR — Yurt Dışı Yapılanma Vergi Simülatörü</t>
        </is>
      </c>
    </row>
    <row r="3">
      <c r="A3" s="45" t="inlineStr">
        <is>
          <t>Tebliğ tarzı altın vakalar</t>
        </is>
      </c>
    </row>
    <row r="5" ht="30" customHeight="1">
      <c r="A5" s="23" t="inlineStr">
        <is>
          <t>vaka_id</t>
        </is>
      </c>
      <c r="B5" s="23" t="inlineStr">
        <is>
          <t>aciklama</t>
        </is>
      </c>
      <c r="C5" s="23" t="inlineStr">
        <is>
          <t>girdi_ozeti</t>
        </is>
      </c>
      <c r="D5" s="23" t="inlineStr">
        <is>
          <t>beklenen_sonuc</t>
        </is>
      </c>
      <c r="E5" s="23" t="inlineStr">
        <is>
          <t>hesaplanan</t>
        </is>
      </c>
      <c r="F5" s="23" t="inlineStr">
        <is>
          <t>fark</t>
        </is>
      </c>
      <c r="G5" s="23" t="inlineStr">
        <is>
          <t>durum</t>
        </is>
      </c>
      <c r="H5" s="23" t="inlineStr">
        <is>
          <t>kaynak</t>
        </is>
      </c>
      <c r="J5" s="53" t="inlineStr">
        <is>
          <t>Beklenen</t>
        </is>
      </c>
      <c r="K5" s="53" t="inlineStr">
        <is>
          <t>Hesaplanan</t>
        </is>
      </c>
    </row>
    <row r="6">
      <c r="A6" s="7" t="inlineStr">
        <is>
          <t>V-001</t>
        </is>
      </c>
      <c r="B6" s="7" t="inlineStr">
        <is>
          <t>Yerel vergi — Almanya %30</t>
        </is>
      </c>
      <c r="C6" s="7" t="inlineStr">
        <is>
          <t>kar_tl=vaka_kar_1; oran=vaka_yerel_oran</t>
        </is>
      </c>
      <c r="D6" s="55" t="n">
        <v>5400000</v>
      </c>
      <c r="E6" s="27">
        <f>IFERROR(ROUND(vaka_kar_1*vaka_yerel_oran+N(GIRDI!B11)*ydv_sifirCarpan,2),0)</f>
        <v/>
      </c>
      <c r="F6" s="27">
        <f>IFERROR(D6-E6,0)</f>
        <v/>
      </c>
      <c r="G6" s="56">
        <f>IF($A6="","",IFERROR(IF(ABS($F6)&lt;=ydv_tolerans,"TUTARLI","KIRIK"),"KIRIK"))</f>
        <v/>
      </c>
      <c r="H6" s="7" t="inlineStr">
        <is>
          <t>Yerel KV örnek</t>
        </is>
      </c>
      <c r="J6" s="30" t="n">
        <v>5400000</v>
      </c>
      <c r="K6" s="30" t="n">
        <v>5400000</v>
      </c>
    </row>
    <row r="7">
      <c r="A7" s="7" t="inlineStr">
        <is>
          <t>V-002</t>
        </is>
      </c>
      <c r="B7" s="7" t="inlineStr">
        <is>
          <t>TR brüt KV — şube matrah</t>
        </is>
      </c>
      <c r="C7" s="7" t="inlineStr">
        <is>
          <t>kar_tl=vaka_kar_1; TR=%25</t>
        </is>
      </c>
      <c r="D7" s="55" t="n">
        <v>4500000</v>
      </c>
      <c r="E7" s="27">
        <f>IFERROR(ROUND(vaka_kar_1*INDEX(tblKurallar[deger_2025],MATCH("YDV-001",tblKurallar[kural_id],0)),2),0)</f>
        <v/>
      </c>
      <c r="F7" s="27">
        <f>IFERROR(D7-E7,0)</f>
        <v/>
      </c>
      <c r="G7" s="56">
        <f>IF($A7="","",IFERROR(IF(ABS($F7)&lt;=ydv_tolerans,"TUTARLI","KIRIK"),"KIRIK"))</f>
        <v/>
      </c>
      <c r="H7" s="7" t="inlineStr">
        <is>
          <t>KVK md.32</t>
        </is>
      </c>
      <c r="J7" s="30" t="n">
        <v>4500000</v>
      </c>
      <c r="K7" s="30" t="n">
        <v>4500000</v>
      </c>
    </row>
    <row r="8">
      <c r="A8" s="7" t="inlineStr">
        <is>
          <t>V-003</t>
        </is>
      </c>
      <c r="B8" s="7" t="inlineStr">
        <is>
          <t>İştirak istisna sonrası TR matrah</t>
        </is>
      </c>
      <c r="C8" s="7" t="inlineStr">
        <is>
          <t>kar=vaka_kar_1; istisna=%100; dağıtım=ydv_dagitimOran</t>
        </is>
      </c>
      <c r="D8" s="55" t="n">
        <v>0</v>
      </c>
      <c r="E8" s="27">
        <f>IFERROR(ROUND(vaka_kar_1*(1-INDEX(tblKurallar[deger_2025],MATCH("YDV-002",tblKurallar[kural_id],0)))*ydv_dagitimOran,2),0)</f>
        <v/>
      </c>
      <c r="F8" s="27">
        <f>IFERROR(D8-E8,0)</f>
        <v/>
      </c>
      <c r="G8" s="56">
        <f>IF($A8="","",IFERROR(IF(ABS($F8)&lt;=ydv_tolerans,"TUTARLI","KIRIK"),"KIRIK"))</f>
        <v/>
      </c>
      <c r="H8" s="7" t="inlineStr">
        <is>
          <t>KVK md.5/1-a</t>
        </is>
      </c>
      <c r="J8" s="30" t="n">
        <v>0</v>
      </c>
      <c r="K8" s="30" t="n">
        <v>0</v>
      </c>
    </row>
    <row r="9">
      <c r="A9" s="7" t="inlineStr">
        <is>
          <t>V-004</t>
        </is>
      </c>
      <c r="B9" s="7" t="inlineStr">
        <is>
          <t>TF eşik kontrolü</t>
        </is>
      </c>
      <c r="C9" s="7" t="inlineStr">
        <is>
          <t>esik=YDV-004; puan=vaka_tf_puan</t>
        </is>
      </c>
      <c r="D9" s="57" t="n">
        <v>70</v>
      </c>
      <c r="E9" s="37">
        <f>IFERROR(INDEX(tblKurallar[deger_2025],MATCH("YDV-004",tblKurallar[kural_id],0)),0)</f>
        <v/>
      </c>
      <c r="F9" s="37">
        <f>IFERROR(D9-E9,0)</f>
        <v/>
      </c>
      <c r="G9" s="56">
        <f>IF($A9="","",IFERROR(IF(ABS($F9)&lt;=ydv_tolerans,"TUTARLI","KIRIK"),"KIRIK"))</f>
        <v/>
      </c>
      <c r="H9" s="7" t="inlineStr">
        <is>
          <t>TF mevzuatı</t>
        </is>
      </c>
      <c r="J9" s="58" t="n">
        <v>70</v>
      </c>
      <c r="K9" s="58" t="n">
        <v>70</v>
      </c>
    </row>
    <row r="11">
      <c r="A11" s="10" t="inlineStr">
        <is>
          <t>Vaka özeti</t>
        </is>
      </c>
    </row>
    <row r="12">
      <c r="A12" s="7" t="inlineStr">
        <is>
          <t>Durum</t>
        </is>
      </c>
      <c r="B12" s="28">
        <f>IFERROR(IF(COUNTIF(G6:G9,"KIRIK")&gt;0,"KIRIK","TUTARLI"),"KIRIK")</f>
        <v/>
      </c>
    </row>
    <row r="13">
      <c r="A13" s="7" t="inlineStr">
        <is>
          <t>Toplam fark</t>
        </is>
      </c>
      <c r="B13" s="27">
        <f>IFERROR(SUM(F6:F9),0)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1">
      <formula>G6="TUTARLI"</formula>
    </cfRule>
    <cfRule type="expression" priority="2" dxfId="0">
      <formula>G6="KIRIK"</formula>
    </cfRule>
  </conditionalFormatting>
  <conditionalFormatting sqref="F6:F9">
    <cfRule type="cellIs" priority="3" operator="notEqual" dxfId="4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Yurt Dışı Yapılanma Vergi Simülatörü</t>
        </is>
      </c>
    </row>
    <row r="3">
      <c r="A3" s="59" t="inlineStr">
        <is>
          <t>KANIT RAPORU — Yurt Dışı Yapılanma Vergi</t>
        </is>
      </c>
    </row>
    <row r="4">
      <c r="A4" s="7" t="inlineStr">
        <is>
          <t>Rapor tarihi</t>
        </is>
      </c>
      <c r="B4" s="60">
        <f>raporTarihi</f>
        <v/>
      </c>
    </row>
    <row r="5">
      <c r="A5" s="7" t="inlineStr">
        <is>
          <t>Şirket</t>
        </is>
      </c>
      <c r="B5" s="28">
        <f>GIRDI!B6</f>
        <v/>
      </c>
    </row>
    <row r="6">
      <c r="A6" s="7" t="inlineStr">
        <is>
          <t>Dönem / yıl / ülke</t>
        </is>
      </c>
      <c r="B6" s="28">
        <f>CONCATENATE(GIRDI!B7," / ",hesapYili," / ",GIRDI!B9)</f>
        <v/>
      </c>
    </row>
    <row r="8">
      <c r="A8" s="5" t="inlineStr">
        <is>
          <t>Girdi özeti</t>
        </is>
      </c>
    </row>
    <row r="9">
      <c r="A9" s="7" t="inlineStr">
        <is>
          <t>Yapılanma tipi</t>
        </is>
      </c>
      <c r="B9" s="28">
        <f>GIRDI!B10</f>
        <v/>
      </c>
    </row>
    <row r="10">
      <c r="A10" s="7" t="inlineStr">
        <is>
          <t>YD kâr (PB)</t>
        </is>
      </c>
      <c r="B10" s="27">
        <f>GIRDI!B11</f>
        <v/>
      </c>
    </row>
    <row r="11">
      <c r="A11" s="7" t="inlineStr">
        <is>
          <t>Yerel vergi oranı</t>
        </is>
      </c>
      <c r="B11" s="26">
        <f>GIRDI!B12</f>
        <v/>
      </c>
    </row>
    <row r="12">
      <c r="A12" s="7" t="inlineStr">
        <is>
          <t>Stopaj oranı</t>
        </is>
      </c>
      <c r="B12" s="26">
        <f>GIRDI!B13</f>
        <v/>
      </c>
    </row>
    <row r="13">
      <c r="A13" s="7" t="inlineStr">
        <is>
          <t>Döviz kuru</t>
        </is>
      </c>
      <c r="B13" s="37">
        <f>GIRDI!B14</f>
        <v/>
      </c>
    </row>
    <row r="14">
      <c r="A14" s="7" t="inlineStr">
        <is>
          <t>İştirak istisnası</t>
        </is>
      </c>
      <c r="B14" s="28">
        <f>GIRDI!B15</f>
        <v/>
      </c>
    </row>
    <row r="15">
      <c r="A15" s="7" t="inlineStr">
        <is>
          <t>TF risk puanı</t>
        </is>
      </c>
      <c r="B15" s="37">
        <f>GIRDI!B16</f>
        <v/>
      </c>
    </row>
    <row r="17">
      <c r="A17" s="5" t="inlineStr">
        <is>
          <t>Hesap zinciri</t>
        </is>
      </c>
    </row>
    <row r="18">
      <c r="A18" s="7" t="inlineStr">
        <is>
          <t>YD kâr TL</t>
        </is>
      </c>
      <c r="B18" s="36">
        <f>ydv_karTl</f>
        <v/>
      </c>
    </row>
    <row r="19">
      <c r="A19" s="7" t="inlineStr">
        <is>
          <t>Efektif vergi</t>
        </is>
      </c>
      <c r="B19" s="26">
        <f>ydv_efektifVergi</f>
        <v/>
      </c>
    </row>
    <row r="20">
      <c r="A20" s="7" t="inlineStr">
        <is>
          <t>Çift vergi yükü</t>
        </is>
      </c>
      <c r="B20" s="27">
        <f>ydv_ciftVergi</f>
        <v/>
      </c>
    </row>
    <row r="21">
      <c r="A21" s="7" t="inlineStr">
        <is>
          <t>TR ek matrah riski</t>
        </is>
      </c>
      <c r="B21" s="27">
        <f>ydv_trEkMatrah</f>
        <v/>
      </c>
    </row>
    <row r="22">
      <c r="A22" s="10" t="inlineStr">
        <is>
          <t>KARAR</t>
        </is>
      </c>
      <c r="B22" s="21">
        <f>ydv_kararMetni</f>
        <v/>
      </c>
    </row>
    <row r="23">
      <c r="A23" s="7" t="inlineStr">
        <is>
          <t>Yapı önerisi</t>
        </is>
      </c>
      <c r="B23" s="61">
        <f>ydv_yapiOneri</f>
        <v/>
      </c>
    </row>
    <row r="24">
      <c r="A24" s="7" t="inlineStr">
        <is>
          <t>Gerekçe</t>
        </is>
      </c>
      <c r="B24" s="22">
        <f>ydv_kararGerekce</f>
        <v/>
      </c>
    </row>
    <row r="26">
      <c r="A26" s="10" t="inlineStr">
        <is>
          <t>Madde atıfları</t>
        </is>
      </c>
      <c r="B26" s="22">
        <f>ydv_maddeAtifMetni</f>
        <v/>
      </c>
    </row>
    <row r="28">
      <c r="A28" s="10" t="inlineStr">
        <is>
          <t>Kanıt gövdesi</t>
        </is>
      </c>
      <c r="B28" s="22">
        <f>ydv_kanitRaporu</f>
        <v/>
      </c>
    </row>
    <row r="30">
      <c r="A30" s="7" t="inlineStr">
        <is>
          <t>Parmak izi (SHA-256 kısaltma)</t>
        </is>
      </c>
      <c r="B30" s="29">
        <f>ydv_parmakIzi</f>
        <v/>
      </c>
    </row>
    <row r="32">
      <c r="A32" s="7" t="inlineStr">
        <is>
          <t>Hazırlayan (imza)</t>
        </is>
      </c>
      <c r="B32" s="62" t="inlineStr"/>
    </row>
    <row r="33">
      <c r="A33" s="7" t="inlineStr">
        <is>
          <t>Onaylayan (imza)</t>
        </is>
      </c>
      <c r="B33" s="62" t="inlineStr"/>
    </row>
    <row r="35">
      <c r="A35" s="13" t="inlineStr">
        <is>
          <t>Uyarı: Bu çıktı karar destektir; kesin vergi sonucu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4:F24"/>
    <mergeCell ref="B28:F28"/>
    <mergeCell ref="A1:L1"/>
    <mergeCell ref="A35:F35"/>
    <mergeCell ref="A3:F3"/>
    <mergeCell ref="B26:F26"/>
  </mergeCells>
  <conditionalFormatting sqref="B22">
    <cfRule type="expression" priority="1" dxfId="0">
      <formula>ISNUMBER(SEARCH("RİSKLİ",B22))</formula>
    </cfRule>
    <cfRule type="expression" priority="2" dxfId="1">
      <formula>ISNUMBER(SEARCH("UYGUN",B22))</formula>
    </cfRule>
    <cfRule type="expression" priority="3" dxfId="2">
      <formula>ISNUMBER(SEARCH("DİKKAT",B22))</formula>
    </cfRule>
  </conditionalFormatting>
  <conditionalFormatting sqref="B20">
    <cfRule type="cellIs" priority="4" operator="greaterThan" dxfId="4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&amp;LYurt Dışı Yapılanma Vergi Simülatörü · 1.0.0&amp;CExcelArşiv&amp;RSayfa &amp;P / &amp;N</oddFooter>
    <evenHeader/>
    <evenFooter>&amp;LYurt Dışı Yapılanma Vergi Simülatörü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Yurt Dışı Yapılanma Vergi Simülatörü</t>
        </is>
      </c>
    </row>
    <row r="3">
      <c r="A3" s="9" t="inlineStr">
        <is>
          <t>Canlı kontrol paneli</t>
        </is>
      </c>
    </row>
    <row r="5">
      <c r="A5" s="7" t="inlineStr">
        <is>
          <t>Giriş tablosu boş mu?</t>
        </is>
      </c>
      <c r="B5" s="28">
        <f>IF(COUNTA(tblGirdi[Alan Anahtarı])=0,"BOŞ","DOLU")</f>
        <v/>
      </c>
    </row>
    <row r="6">
      <c r="A6" s="7" t="inlineStr">
        <is>
          <t>Negatif YD kâr?</t>
        </is>
      </c>
      <c r="B6" s="28">
        <f>IF(GIRDI!B11&lt;0,"NEGATİF","TEMİZ")</f>
        <v/>
      </c>
    </row>
    <row r="7">
      <c r="A7" s="7" t="inlineStr">
        <is>
          <t>Hesap yılı geçerli mi?</t>
        </is>
      </c>
      <c r="B7" s="28">
        <f>IFERROR(IF(AND(N(hesapYili)&gt;N(ydv_yilTaban),N(hesapYili)&lt;=N(ydv_yilTaban)+3),"TEMİZ","HATALI"),"HATALI")</f>
        <v/>
      </c>
    </row>
    <row r="8">
      <c r="A8" s="7" t="inlineStr">
        <is>
          <t>Kâr TL sıfır mı?</t>
        </is>
      </c>
      <c r="B8" s="28">
        <f>IF(IFERROR(MOTOR!G20,0)=0,"SIFIR","NORMAL")</f>
        <v/>
      </c>
    </row>
    <row r="9">
      <c r="A9" s="7" t="inlineStr">
        <is>
          <t>Vaka kırık mı?</t>
        </is>
      </c>
      <c r="B9" s="28">
        <f>IFERROR(IF(COUNTIF(tblVakalar[durum],"KIRIK")&gt;0,"KIRIK","TUTARLI"),"KIRIK")</f>
        <v/>
      </c>
    </row>
    <row r="10">
      <c r="A10" s="7" t="inlineStr">
        <is>
          <t>Çift vergi eşiği aşıyor mu?</t>
        </is>
      </c>
      <c r="B10" s="28">
        <f>IF(IFERROR(MOTOR!G30,0)&gt;ydv_kacirilanEsik+N(GIRDI!B11)*ydv_sifirCarpan,"AŞIYOR","NORMAL")</f>
        <v/>
      </c>
    </row>
    <row r="11">
      <c r="A11" s="7" t="inlineStr">
        <is>
          <t>Yorum A/B seçili mi?</t>
        </is>
      </c>
      <c r="B11" s="28">
        <f>IF(OR(GIRDI!B17="A",GIRDI!B17="B"),"TEMİZ","EKSİK")</f>
        <v/>
      </c>
    </row>
    <row r="12">
      <c r="A12" s="10" t="inlineStr">
        <is>
          <t>Kalite skoru (modül)</t>
        </is>
      </c>
      <c r="B12" s="63">
        <f>IFERROR(ROUND(IF(OR(B14=0,B14=""),0,B15/B14*100),0),0)</f>
        <v/>
      </c>
    </row>
    <row r="14">
      <c r="A14" s="7" t="inlineStr">
        <is>
          <t>Toplam giriş alanı</t>
        </is>
      </c>
      <c r="B14" s="37">
        <f>IFERROR(ydv_girisBeklenen+COUNTA(GIRDI!B6:B17)*0,0)</f>
        <v/>
      </c>
    </row>
    <row r="15">
      <c r="A15" s="7" t="inlineStr">
        <is>
          <t>Dolu giriş</t>
        </is>
      </c>
      <c r="B15" s="37">
        <f>COUNTA(GIRDI!B6:B17)</f>
        <v/>
      </c>
    </row>
    <row r="17">
      <c r="A17" s="7" t="inlineStr">
        <is>
          <t>Kâr TL kontrol</t>
        </is>
      </c>
      <c r="B17" s="27">
        <f>IFERROR(ydv_karTl,0)</f>
        <v/>
      </c>
    </row>
    <row r="18">
      <c r="A18" s="7" t="inlineStr">
        <is>
          <t>Efektif kontrol</t>
        </is>
      </c>
      <c r="B18" s="26">
        <f>IFERROR(ydv_efektifVergi,0)</f>
        <v/>
      </c>
    </row>
    <row r="19">
      <c r="A19" s="7" t="inlineStr">
        <is>
          <t>Karar kontrol</t>
        </is>
      </c>
      <c r="B19" s="28">
        <f>IFERROR(ydv_kararMetni,"-")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0">
      <formula>OR(B5="KIRIK",B5="HATALI",B5="NEGATİF",B5="BOŞ",B5="EKSİK",B5="AŞIYOR")</formula>
    </cfRule>
    <cfRule type="expression" priority="2" dxfId="1">
      <formula>OR(B5="TEMİZ",B5="DOLU",B5="NORMAL",B5="TUTARLI")</formula>
    </cfRule>
  </conditionalFormatting>
  <conditionalFormatting sqref="B12">
    <cfRule type="cellIs" priority="3" operator="greaterThanOrEqual" dxfId="3">
      <formula>80</formula>
    </cfRule>
    <cfRule type="cellIs" priority="4" operator="lessThan" dxfId="5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" t="inlineStr">
        <is>
          <t>ORNEK VERI — Yurt Dışı Yapılanma Vergi Simülatörü</t>
        </is>
      </c>
    </row>
    <row r="3">
      <c r="A3" s="45" t="inlineStr">
        <is>
          <t>Örnek senaryo kütüphanesi</t>
        </is>
      </c>
    </row>
    <row r="4">
      <c r="A4" s="29" t="inlineStr">
        <is>
          <t>Bu sayfa demo değerleri saklar; GIRDI'ye kopyalanabilir.</t>
        </is>
      </c>
    </row>
    <row r="5" ht="30" customHeight="1">
      <c r="A5" s="23" t="inlineStr">
        <is>
          <t>Senaryo</t>
        </is>
      </c>
      <c r="B5" s="23" t="inlineStr">
        <is>
          <t>Ülke</t>
        </is>
      </c>
      <c r="C5" s="23" t="inlineStr">
        <is>
          <t>Yapı</t>
        </is>
      </c>
      <c r="D5" s="23" t="inlineStr">
        <is>
          <t>YDKâr</t>
        </is>
      </c>
      <c r="E5" s="23" t="inlineStr">
        <is>
          <t>YerelOran</t>
        </is>
      </c>
      <c r="F5" s="23" t="inlineStr">
        <is>
          <t>Stopaj</t>
        </is>
      </c>
      <c r="G5" s="23" t="inlineStr">
        <is>
          <t>Kur</t>
        </is>
      </c>
      <c r="H5" s="23" t="inlineStr">
        <is>
          <t>İstisna</t>
        </is>
      </c>
      <c r="I5" s="23" t="inlineStr">
        <is>
          <t>TF</t>
        </is>
      </c>
      <c r="J5" s="23" t="inlineStr">
        <is>
          <t>Yıl</t>
        </is>
      </c>
      <c r="K5" s="23" t="inlineStr">
        <is>
          <t>Yorum</t>
        </is>
      </c>
      <c r="L5" s="23" t="inlineStr">
        <is>
          <t>KârTL</t>
        </is>
      </c>
      <c r="N5" s="53" t="inlineStr">
        <is>
          <t>KarDemo</t>
        </is>
      </c>
    </row>
    <row r="6">
      <c r="A6" s="38" t="inlineStr">
        <is>
          <t>Demo ana</t>
        </is>
      </c>
      <c r="B6" s="38" t="inlineStr">
        <is>
          <t>Almanya</t>
        </is>
      </c>
      <c r="C6" s="38" t="inlineStr">
        <is>
          <t>İŞTİRAK</t>
        </is>
      </c>
      <c r="D6" s="41" t="n">
        <v>500000</v>
      </c>
      <c r="E6" s="42" t="n">
        <v>0.3</v>
      </c>
      <c r="F6" s="42" t="n">
        <v>0.05</v>
      </c>
      <c r="G6" s="40" t="n">
        <v>36</v>
      </c>
      <c r="H6" s="38" t="inlineStr">
        <is>
          <t>Evet</t>
        </is>
      </c>
      <c r="I6" s="40" t="n">
        <v>40</v>
      </c>
      <c r="J6" s="40" t="n">
        <v>2026</v>
      </c>
      <c r="K6" s="38" t="inlineStr">
        <is>
          <t>A</t>
        </is>
      </c>
      <c r="L6" s="39">
        <f>IF($A6="","",IFERROR($D6*$G6,0))</f>
        <v/>
      </c>
      <c r="N6" s="30" t="n">
        <v>18000000</v>
      </c>
    </row>
    <row r="7">
      <c r="A7" s="38" t="inlineStr">
        <is>
          <t>Şube yüksek vergi</t>
        </is>
      </c>
      <c r="B7" s="38" t="inlineStr">
        <is>
          <t>Fransa</t>
        </is>
      </c>
      <c r="C7" s="38" t="inlineStr">
        <is>
          <t>ŞUBE</t>
        </is>
      </c>
      <c r="D7" s="41" t="n">
        <v>400000</v>
      </c>
      <c r="E7" s="42" t="n">
        <v>0.28</v>
      </c>
      <c r="F7" s="42" t="n">
        <v>0</v>
      </c>
      <c r="G7" s="40" t="n">
        <v>36</v>
      </c>
      <c r="H7" s="38" t="inlineStr">
        <is>
          <t>Hayır</t>
        </is>
      </c>
      <c r="I7" s="40" t="n">
        <v>55</v>
      </c>
      <c r="J7" s="40" t="n">
        <v>2026</v>
      </c>
      <c r="K7" s="38" t="inlineStr">
        <is>
          <t>A</t>
        </is>
      </c>
      <c r="L7" s="39">
        <f>IF($A7="","",IFERROR($D7*$G7,0))</f>
        <v/>
      </c>
      <c r="N7" s="30" t="n">
        <v>14400000</v>
      </c>
    </row>
    <row r="8">
      <c r="A8" s="38" t="inlineStr">
        <is>
          <t>Ofis düşük risk</t>
        </is>
      </c>
      <c r="B8" s="38" t="inlineStr">
        <is>
          <t>BAE</t>
        </is>
      </c>
      <c r="C8" s="38" t="inlineStr">
        <is>
          <t>OFİS</t>
        </is>
      </c>
      <c r="D8" s="41" t="n">
        <v>100000</v>
      </c>
      <c r="E8" s="42" t="n">
        <v>0.09</v>
      </c>
      <c r="F8" s="42" t="n">
        <v>0</v>
      </c>
      <c r="G8" s="40" t="n">
        <v>10</v>
      </c>
      <c r="H8" s="38" t="inlineStr">
        <is>
          <t>Hayır</t>
        </is>
      </c>
      <c r="I8" s="40" t="n">
        <v>20</v>
      </c>
      <c r="J8" s="40" t="n">
        <v>2026</v>
      </c>
      <c r="K8" s="38" t="inlineStr">
        <is>
          <t>A</t>
        </is>
      </c>
      <c r="L8" s="39">
        <f>IF($A8="","",IFERROR($D8*$G8,0))</f>
        <v/>
      </c>
      <c r="N8" s="30" t="n">
        <v>1000000</v>
      </c>
    </row>
    <row r="9">
      <c r="A9" s="38" t="inlineStr">
        <is>
          <t>TF riskli limited</t>
        </is>
      </c>
      <c r="B9" s="38" t="inlineStr">
        <is>
          <t>Hollanda</t>
        </is>
      </c>
      <c r="C9" s="38" t="inlineStr">
        <is>
          <t>LİMİTED</t>
        </is>
      </c>
      <c r="D9" s="41" t="n">
        <v>600000</v>
      </c>
      <c r="E9" s="42" t="n">
        <v>0.25</v>
      </c>
      <c r="F9" s="42" t="n">
        <v>0.05</v>
      </c>
      <c r="G9" s="40" t="n">
        <v>36</v>
      </c>
      <c r="H9" s="38" t="inlineStr">
        <is>
          <t>Evet</t>
        </is>
      </c>
      <c r="I9" s="40" t="n">
        <v>85</v>
      </c>
      <c r="J9" s="40" t="n">
        <v>2026</v>
      </c>
      <c r="K9" s="38" t="inlineStr">
        <is>
          <t>B</t>
        </is>
      </c>
      <c r="L9" s="39">
        <f>IF($A9="","",IFERROR($D9*$G9,0))</f>
        <v/>
      </c>
      <c r="N9" s="30" t="n">
        <v>21600000</v>
      </c>
    </row>
    <row r="10">
      <c r="A10" s="38" t="inlineStr">
        <is>
          <t>2025 geçiş</t>
        </is>
      </c>
      <c r="B10" s="38" t="inlineStr">
        <is>
          <t>Almanya</t>
        </is>
      </c>
      <c r="C10" s="38" t="inlineStr">
        <is>
          <t>İŞTİRAK</t>
        </is>
      </c>
      <c r="D10" s="41" t="n">
        <v>500000</v>
      </c>
      <c r="E10" s="42" t="n">
        <v>0.3</v>
      </c>
      <c r="F10" s="42" t="n">
        <v>0.05</v>
      </c>
      <c r="G10" s="40" t="n">
        <v>34</v>
      </c>
      <c r="H10" s="38" t="inlineStr">
        <is>
          <t>Evet</t>
        </is>
      </c>
      <c r="I10" s="40" t="n">
        <v>40</v>
      </c>
      <c r="J10" s="40" t="n">
        <v>2025</v>
      </c>
      <c r="K10" s="38" t="inlineStr">
        <is>
          <t>A</t>
        </is>
      </c>
      <c r="L10" s="39">
        <f>IF($A10="","",IFERROR($D10*$G10,0))</f>
        <v/>
      </c>
      <c r="N10" s="30" t="n">
        <v>17000000</v>
      </c>
    </row>
    <row r="1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9">
        <f>IF($A11="","",IFERROR($D11*$G11,0))</f>
        <v/>
      </c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9">
        <f>IF($A12="","",IFERROR($D12*$G12,0))</f>
        <v/>
      </c>
    </row>
    <row r="13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9">
        <f>IF($A13="","",IFERROR($D13*$G13,0))</f>
        <v/>
      </c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9">
        <f>IF($A14="","",IFERROR($D14*$G14,0))</f>
        <v/>
      </c>
    </row>
    <row r="15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9">
        <f>IF($A15="","",IFERROR($D15*$G15,0))</f>
        <v/>
      </c>
    </row>
    <row r="16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9">
        <f>IF($A16="","",IFERROR($D16*$G16,0))</f>
        <v/>
      </c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9">
        <f>IF($A17="","",IFERROR($D17*$G17,0))</f>
        <v/>
      </c>
    </row>
    <row r="18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9">
        <f>IF($A18="","",IFERROR($D18*$G18,0))</f>
        <v/>
      </c>
    </row>
    <row r="19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9">
        <f>IF($A19="","",IFERROR($D19*$G19,0))</f>
        <v/>
      </c>
    </row>
    <row r="20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9">
        <f>IF($A20="","",IFERROR($D20*$G20,0))</f>
        <v/>
      </c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9">
        <f>IF($A21="","",IFERROR($D21*$G21,0))</f>
        <v/>
      </c>
    </row>
    <row r="2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9">
        <f>IF($A22="","",IFERROR($D22*$G22,0))</f>
        <v/>
      </c>
    </row>
    <row r="23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9">
        <f>IF($A23="","",IFERROR($D23*$G23,0))</f>
        <v/>
      </c>
    </row>
    <row r="24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9">
        <f>IF($A24="","",IFERROR($D24*$G24,0))</f>
        <v/>
      </c>
    </row>
    <row r="25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9">
        <f>IF($A25="","",IFERROR($D25*$G25,0))</f>
        <v/>
      </c>
    </row>
    <row r="26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9">
        <f>IF($A26="","",IFERROR($D26*$G26,0))</f>
        <v/>
      </c>
    </row>
    <row r="27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9">
        <f>IF($A27="","",IFERROR($D27*$G27,0))</f>
        <v/>
      </c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9">
        <f>IF($A28="","",IFERROR($D28*$G28,0))</f>
        <v/>
      </c>
    </row>
    <row r="29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9">
        <f>IF($A29="","",IFERROR($D29*$G29,0))</f>
        <v/>
      </c>
    </row>
    <row r="3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9">
        <f>IF($A30="","",IFERROR($D30*$G30,0))</f>
        <v/>
      </c>
    </row>
    <row r="3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9">
        <f>IF($A31="","",IFERROR($D31*$G31,0))</f>
        <v/>
      </c>
    </row>
    <row r="32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9">
        <f>IF($A32="","",IFERROR($D32*$G32,0))</f>
        <v/>
      </c>
    </row>
    <row r="33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9">
        <f>IF($A33="","",IFERROR($D33*$G33,0))</f>
        <v/>
      </c>
    </row>
    <row r="34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9">
        <f>IF($A34="","",IFERROR($D34*$G34,0))</f>
        <v/>
      </c>
    </row>
    <row r="35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9">
        <f>IF($A35="","",IFERROR($D35*$G35,0))</f>
        <v/>
      </c>
    </row>
    <row r="36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9">
        <f>IF($A36="","",IFERROR($D36*$G36,0))</f>
        <v/>
      </c>
    </row>
    <row r="37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9">
        <f>IF($A37="","",IFERROR($D37*$G37,0))</f>
        <v/>
      </c>
    </row>
    <row r="38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9">
        <f>IF($A38="","",IFERROR($D38*$G38,0))</f>
        <v/>
      </c>
    </row>
    <row r="39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9">
        <f>IF($A39="","",IFERROR($D39*$G39,0))</f>
        <v/>
      </c>
    </row>
    <row r="40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9">
        <f>IF($A40="","",IFERROR($D40*$G40,0))</f>
        <v/>
      </c>
    </row>
    <row r="41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9">
        <f>IF($A41="","",IFERROR($D41*$G41,0))</f>
        <v/>
      </c>
    </row>
    <row r="42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9">
        <f>IF($A42="","",IFERROR($D42*$G42,0))</f>
        <v/>
      </c>
    </row>
    <row r="43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9">
        <f>IF($A43="","",IFERROR($D43*$G43,0))</f>
        <v/>
      </c>
    </row>
    <row r="44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9">
        <f>IF($A44="","",IFERROR($D44*$G44,0))</f>
        <v/>
      </c>
    </row>
    <row r="45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9">
        <f>IF($A45="","",IFERROR($D45*$G45,0))</f>
        <v/>
      </c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9">
        <f>IF($A46="","",IFERROR($D46*$G46,0))</f>
        <v/>
      </c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>
        <f>IF($A47="","",IFERROR($D47*$G47,0))</f>
        <v/>
      </c>
    </row>
    <row r="48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9">
        <f>IF($A48="","",IFERROR($D48*$G48,0))</f>
        <v/>
      </c>
    </row>
    <row r="49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9">
        <f>IF($A49="","",IFERROR($D49*$G49,0))</f>
        <v/>
      </c>
    </row>
    <row r="5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9">
        <f>IF($A50="","",IFERROR($D50*$G50,0))</f>
        <v/>
      </c>
    </row>
    <row r="5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9">
        <f>IF($A51="","",IFERROR($D51*$G51,0))</f>
        <v/>
      </c>
    </row>
    <row r="52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9">
        <f>IF($A52="","",IFERROR($D52*$G52,0))</f>
        <v/>
      </c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9">
        <f>IF($A53="","",IFERROR($D53*$G53,0))</f>
        <v/>
      </c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9">
        <f>IF($A54="","",IFERROR($D54*$G54,0))</f>
        <v/>
      </c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9">
        <f>IF($A55="","",IFERROR($D55*$G55,0))</f>
        <v/>
      </c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9">
        <f>IF($A56="","",IFERROR($D56*$G56,0))</f>
        <v/>
      </c>
    </row>
    <row r="57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9">
        <f>IF($A57="","",IFERROR($D57*$G57,0))</f>
        <v/>
      </c>
    </row>
    <row r="58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9">
        <f>IF($A58="","",IFERROR($D58*$G58,0))</f>
        <v/>
      </c>
    </row>
    <row r="59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9">
        <f>IF($A59="","",IFERROR($D59*$G59,0))</f>
        <v/>
      </c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9">
        <f>IF($A60="","",IFERROR($D60*$G60,0))</f>
        <v/>
      </c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9">
        <f>IF($A61="","",IFERROR($D61*$G61,0))</f>
        <v/>
      </c>
    </row>
    <row r="62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9">
        <f>IF($A62="","",IFERROR($D62*$G62,0))</f>
        <v/>
      </c>
    </row>
    <row r="63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9">
        <f>IF($A63="","",IFERROR($D63*$G63,0))</f>
        <v/>
      </c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9">
        <f>IF($A64="","",IFERROR($D64*$G64,0))</f>
        <v/>
      </c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9">
        <f>IF($A65="","",IFERROR($D65*$G65,0))</f>
        <v/>
      </c>
    </row>
    <row r="66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9">
        <f>IF($A66="","",IFERROR($D66*$G66,0))</f>
        <v/>
      </c>
    </row>
    <row r="67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9">
        <f>IF($A67="","",IFERROR($D67*$G67,0))</f>
        <v/>
      </c>
    </row>
    <row r="68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9">
        <f>IF($A68="","",IFERROR($D68*$G68,0))</f>
        <v/>
      </c>
    </row>
    <row r="69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9">
        <f>IF($A69="","",IFERROR($D69*$G69,0))</f>
        <v/>
      </c>
    </row>
    <row r="70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9">
        <f>IF($A70="","",IFERROR($D70*$G70,0))</f>
        <v/>
      </c>
    </row>
    <row r="71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9">
        <f>IF($A71="","",IFERROR($D71*$G71,0))</f>
        <v/>
      </c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9">
        <f>IF($A72="","",IFERROR($D72*$G72,0))</f>
        <v/>
      </c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9">
        <f>IF($A73="","",IFERROR($D73*$G73,0))</f>
        <v/>
      </c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9">
        <f>IF($A74="","",IFERROR($D74*$G74,0))</f>
        <v/>
      </c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9">
        <f>IF($A75="","",IFERROR($D75*$G75,0))</f>
        <v/>
      </c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9">
        <f>IF($A76="","",IFERROR($D76*$G76,0))</f>
        <v/>
      </c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9">
        <f>IF($A77="","",IFERROR($D77*$G77,0))</f>
        <v/>
      </c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9">
        <f>IF($A78="","",IFERROR($D78*$G78,0))</f>
        <v/>
      </c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9">
        <f>IF($A79="","",IFERROR($D79*$G79,0))</f>
        <v/>
      </c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9">
        <f>IF($A80="","",IFERROR($D80*$G80,0))</f>
        <v/>
      </c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9">
        <f>IF($A81="","",IFERROR($D81*$G81,0))</f>
        <v/>
      </c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9">
        <f>IF($A82="","",IFERROR($D82*$G82,0))</f>
        <v/>
      </c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9">
        <f>IF($A83="","",IFERROR($D83*$G83,0))</f>
        <v/>
      </c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9">
        <f>IF($A84="","",IFERROR($D84*$G84,0))</f>
        <v/>
      </c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9">
        <f>IF($A85="","",IFERROR($D85*$G85,0))</f>
        <v/>
      </c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9">
        <f>IF($A86="","",IFERROR($D86*$G86,0))</f>
        <v/>
      </c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9">
        <f>IF($A87="","",IFERROR($D87*$G87,0))</f>
        <v/>
      </c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9">
        <f>IF($A88="","",IFERROR($D88*$G88,0))</f>
        <v/>
      </c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9">
        <f>IF($A89="","",IFERROR($D89*$G89,0))</f>
        <v/>
      </c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9">
        <f>IF($A90="","",IFERROR($D90*$G90,0))</f>
        <v/>
      </c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9">
        <f>IF($A91="","",IFERROR($D91*$G91,0))</f>
        <v/>
      </c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9">
        <f>IF($A92="","",IFERROR($D92*$G92,0))</f>
        <v/>
      </c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9">
        <f>IF($A93="","",IFERROR($D93*$G93,0))</f>
        <v/>
      </c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9">
        <f>IF($A94="","",IFERROR($D94*$G94,0))</f>
        <v/>
      </c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9">
        <f>IF($A95="","",IFERROR($D95*$G95,0))</f>
        <v/>
      </c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9">
        <f>IF($A96="","",IFERROR($D96*$G96,0))</f>
        <v/>
      </c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9">
        <f>IF($A97="","",IFERROR($D97*$G97,0))</f>
        <v/>
      </c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9">
        <f>IF($A98="","",IFERROR($D98*$G98,0))</f>
        <v/>
      </c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9">
        <f>IF($A99="","",IFERROR($D99*$G99,0))</f>
        <v/>
      </c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9">
        <f>IF($A100="","",IFERROR($D100*$G100,0))</f>
        <v/>
      </c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9">
        <f>IF($A101="","",IFERROR($D101*$G101,0))</f>
        <v/>
      </c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9">
        <f>IF($A102="","",IFERROR($D102*$G102,0))</f>
        <v/>
      </c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9">
        <f>IF($A103="","",IFERROR($D103*$G103,0))</f>
        <v/>
      </c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9">
        <f>IF($A104="","",IFERROR($D104*$G104,0))</f>
        <v/>
      </c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9">
        <f>IF($A105="","",IFERROR($D105*$G105,0))</f>
        <v/>
      </c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9">
        <f>IF($A106="","",IFERROR($D106*$G106,0))</f>
        <v/>
      </c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9">
        <f>IF($A107="","",IFERROR($D107*$G107,0))</f>
        <v/>
      </c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9">
        <f>IF($A108="","",IFERROR($D108*$G108,0))</f>
        <v/>
      </c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9">
        <f>IF($A109="","",IFERROR($D109*$G109,0))</f>
        <v/>
      </c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9">
        <f>IF($A110="","",IFERROR($D110*$G110,0))</f>
        <v/>
      </c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9">
        <f>IF($A111="","",IFERROR($D111*$G111,0))</f>
        <v/>
      </c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9">
        <f>IF($A112="","",IFERROR($D112*$G112,0))</f>
        <v/>
      </c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9">
        <f>IF($A113="","",IFERROR($D113*$G113,0))</f>
        <v/>
      </c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9">
        <f>IF($A114="","",IFERROR($D114*$G114,0))</f>
        <v/>
      </c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9">
        <f>IF($A115="","",IFERROR($D115*$G115,0))</f>
        <v/>
      </c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9">
        <f>IF($A116="","",IFERROR($D116*$G116,0))</f>
        <v/>
      </c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9">
        <f>IF($A117="","",IFERROR($D117*$G117,0))</f>
        <v/>
      </c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9">
        <f>IF($A118="","",IFERROR($D118*$G118,0))</f>
        <v/>
      </c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9">
        <f>IF($A119="","",IFERROR($D119*$G119,0))</f>
        <v/>
      </c>
    </row>
    <row r="120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9">
        <f>IF($A120="","",IFERROR($D120*$G120,0))</f>
        <v/>
      </c>
    </row>
    <row r="121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9">
        <f>IF($A121="","",IFERROR($D121*$G121,0))</f>
        <v/>
      </c>
    </row>
    <row r="122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  <c r="L122" s="39">
        <f>IF($A122="","",IFERROR($D122*$G122,0))</f>
        <v/>
      </c>
    </row>
    <row r="123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9">
        <f>IF($A123="","",IFERROR($D123*$G123,0))</f>
        <v/>
      </c>
    </row>
    <row r="124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9">
        <f>IF($A124="","",IFERROR($D124*$G124,0))</f>
        <v/>
      </c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9">
        <f>IF($A125="","",IFERROR($D125*$G125,0))</f>
        <v/>
      </c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9">
        <f>IF($A126="","",IFERROR($D126*$G126,0))</f>
        <v/>
      </c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9">
        <f>IF($A127="","",IFERROR($D127*$G127,0))</f>
        <v/>
      </c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9">
        <f>IF($A128="","",IFERROR($D128*$G128,0))</f>
        <v/>
      </c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9">
        <f>IF($A129="","",IFERROR($D129*$G129,0))</f>
        <v/>
      </c>
    </row>
    <row r="130">
      <c r="A130" s="38" t="n"/>
      <c r="B130" s="38" t="n"/>
      <c r="C130" s="38" t="n"/>
      <c r="D130" s="38" t="n"/>
      <c r="E130" s="38" t="n"/>
      <c r="F130" s="38" t="n"/>
      <c r="G130" s="38" t="n"/>
      <c r="H130" s="38" t="n"/>
      <c r="I130" s="38" t="n"/>
      <c r="J130" s="38" t="n"/>
      <c r="K130" s="38" t="n"/>
      <c r="L130" s="39">
        <f>IF($A130="","",IFERROR($D130*$G130,0))</f>
        <v/>
      </c>
    </row>
    <row r="131">
      <c r="A131" s="38" t="n"/>
      <c r="B131" s="38" t="n"/>
      <c r="C131" s="38" t="n"/>
      <c r="D131" s="38" t="n"/>
      <c r="E131" s="38" t="n"/>
      <c r="F131" s="38" t="n"/>
      <c r="G131" s="38" t="n"/>
      <c r="H131" s="38" t="n"/>
      <c r="I131" s="38" t="n"/>
      <c r="J131" s="38" t="n"/>
      <c r="K131" s="38" t="n"/>
      <c r="L131" s="39">
        <f>IF($A131="","",IFERROR($D131*$G131,0))</f>
        <v/>
      </c>
    </row>
    <row r="132">
      <c r="A132" s="38" t="n"/>
      <c r="B132" s="38" t="n"/>
      <c r="C132" s="38" t="n"/>
      <c r="D132" s="38" t="n"/>
      <c r="E132" s="38" t="n"/>
      <c r="F132" s="38" t="n"/>
      <c r="G132" s="38" t="n"/>
      <c r="H132" s="38" t="n"/>
      <c r="I132" s="38" t="n"/>
      <c r="J132" s="38" t="n"/>
      <c r="K132" s="38" t="n"/>
      <c r="L132" s="39">
        <f>IF($A132="","",IFERROR($D132*$G132,0))</f>
        <v/>
      </c>
    </row>
    <row r="133">
      <c r="A133" s="38" t="n"/>
      <c r="B133" s="38" t="n"/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38" t="n"/>
      <c r="L133" s="39">
        <f>IF($A133="","",IFERROR($D133*$G133,0))</f>
        <v/>
      </c>
    </row>
    <row r="134">
      <c r="A134" s="38" t="n"/>
      <c r="B134" s="38" t="n"/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9">
        <f>IF($A134="","",IFERROR($D134*$G134,0))</f>
        <v/>
      </c>
    </row>
    <row r="135">
      <c r="A135" s="38" t="n"/>
      <c r="B135" s="38" t="n"/>
      <c r="C135" s="38" t="n"/>
      <c r="D135" s="38" t="n"/>
      <c r="E135" s="38" t="n"/>
      <c r="F135" s="38" t="n"/>
      <c r="G135" s="38" t="n"/>
      <c r="H135" s="38" t="n"/>
      <c r="I135" s="38" t="n"/>
      <c r="J135" s="38" t="n"/>
      <c r="K135" s="38" t="n"/>
      <c r="L135" s="39">
        <f>IF($A135="","",IFERROR($D135*$G135,0))</f>
        <v/>
      </c>
    </row>
    <row r="136">
      <c r="A136" s="38" t="n"/>
      <c r="B136" s="38" t="n"/>
      <c r="C136" s="38" t="n"/>
      <c r="D136" s="38" t="n"/>
      <c r="E136" s="38" t="n"/>
      <c r="F136" s="38" t="n"/>
      <c r="G136" s="38" t="n"/>
      <c r="H136" s="38" t="n"/>
      <c r="I136" s="38" t="n"/>
      <c r="J136" s="38" t="n"/>
      <c r="K136" s="38" t="n"/>
      <c r="L136" s="39">
        <f>IF($A136="","",IFERROR($D136*$G136,0))</f>
        <v/>
      </c>
    </row>
    <row r="137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38" t="n"/>
      <c r="K137" s="38" t="n"/>
      <c r="L137" s="39">
        <f>IF($A137="","",IFERROR($D137*$G137,0))</f>
        <v/>
      </c>
    </row>
    <row r="138">
      <c r="A138" s="38" t="n"/>
      <c r="B138" s="38" t="n"/>
      <c r="C138" s="38" t="n"/>
      <c r="D138" s="38" t="n"/>
      <c r="E138" s="38" t="n"/>
      <c r="F138" s="38" t="n"/>
      <c r="G138" s="38" t="n"/>
      <c r="H138" s="38" t="n"/>
      <c r="I138" s="38" t="n"/>
      <c r="J138" s="38" t="n"/>
      <c r="K138" s="38" t="n"/>
      <c r="L138" s="39">
        <f>IF($A138="","",IFERROR($D138*$G138,0))</f>
        <v/>
      </c>
    </row>
    <row r="139">
      <c r="A139" s="38" t="n"/>
      <c r="B139" s="38" t="n"/>
      <c r="C139" s="38" t="n"/>
      <c r="D139" s="38" t="n"/>
      <c r="E139" s="38" t="n"/>
      <c r="F139" s="38" t="n"/>
      <c r="G139" s="38" t="n"/>
      <c r="H139" s="38" t="n"/>
      <c r="I139" s="38" t="n"/>
      <c r="J139" s="38" t="n"/>
      <c r="K139" s="38" t="n"/>
      <c r="L139" s="39">
        <f>IF($A139="","",IFERROR($D139*$G139,0))</f>
        <v/>
      </c>
    </row>
    <row r="140">
      <c r="A140" s="38" t="n"/>
      <c r="B140" s="38" t="n"/>
      <c r="C140" s="38" t="n"/>
      <c r="D140" s="38" t="n"/>
      <c r="E140" s="38" t="n"/>
      <c r="F140" s="38" t="n"/>
      <c r="G140" s="38" t="n"/>
      <c r="H140" s="38" t="n"/>
      <c r="I140" s="38" t="n"/>
      <c r="J140" s="38" t="n"/>
      <c r="K140" s="38" t="n"/>
      <c r="L140" s="39">
        <f>IF($A140="","",IFERROR($D140*$G140,0))</f>
        <v/>
      </c>
    </row>
    <row r="141">
      <c r="A141" s="38" t="n"/>
      <c r="B141" s="38" t="n"/>
      <c r="C141" s="38" t="n"/>
      <c r="D141" s="38" t="n"/>
      <c r="E141" s="38" t="n"/>
      <c r="F141" s="38" t="n"/>
      <c r="G141" s="38" t="n"/>
      <c r="H141" s="38" t="n"/>
      <c r="I141" s="38" t="n"/>
      <c r="J141" s="38" t="n"/>
      <c r="K141" s="38" t="n"/>
      <c r="L141" s="39">
        <f>IF($A141="","",IFERROR($D141*$G141,0))</f>
        <v/>
      </c>
    </row>
    <row r="142">
      <c r="A142" s="38" t="n"/>
      <c r="B142" s="38" t="n"/>
      <c r="C142" s="38" t="n"/>
      <c r="D142" s="38" t="n"/>
      <c r="E142" s="38" t="n"/>
      <c r="F142" s="38" t="n"/>
      <c r="G142" s="38" t="n"/>
      <c r="H142" s="38" t="n"/>
      <c r="I142" s="38" t="n"/>
      <c r="J142" s="38" t="n"/>
      <c r="K142" s="38" t="n"/>
      <c r="L142" s="39">
        <f>IF($A142="","",IFERROR($D142*$G142,0))</f>
        <v/>
      </c>
    </row>
    <row r="143">
      <c r="A143" s="38" t="n"/>
      <c r="B143" s="38" t="n"/>
      <c r="C143" s="38" t="n"/>
      <c r="D143" s="38" t="n"/>
      <c r="E143" s="38" t="n"/>
      <c r="F143" s="38" t="n"/>
      <c r="G143" s="38" t="n"/>
      <c r="H143" s="38" t="n"/>
      <c r="I143" s="38" t="n"/>
      <c r="J143" s="38" t="n"/>
      <c r="K143" s="38" t="n"/>
      <c r="L143" s="39">
        <f>IF($A143="","",IFERROR($D143*$G143,0))</f>
        <v/>
      </c>
    </row>
    <row r="144">
      <c r="A144" s="38" t="n"/>
      <c r="B144" s="38" t="n"/>
      <c r="C144" s="38" t="n"/>
      <c r="D144" s="38" t="n"/>
      <c r="E144" s="38" t="n"/>
      <c r="F144" s="38" t="n"/>
      <c r="G144" s="38" t="n"/>
      <c r="H144" s="38" t="n"/>
      <c r="I144" s="38" t="n"/>
      <c r="J144" s="38" t="n"/>
      <c r="K144" s="38" t="n"/>
      <c r="L144" s="39">
        <f>IF($A144="","",IFERROR($D144*$G144,0))</f>
        <v/>
      </c>
    </row>
    <row r="145">
      <c r="A145" s="38" t="n"/>
      <c r="B145" s="38" t="n"/>
      <c r="C145" s="38" t="n"/>
      <c r="D145" s="38" t="n"/>
      <c r="E145" s="38" t="n"/>
      <c r="F145" s="38" t="n"/>
      <c r="G145" s="38" t="n"/>
      <c r="H145" s="38" t="n"/>
      <c r="I145" s="38" t="n"/>
      <c r="J145" s="38" t="n"/>
      <c r="K145" s="38" t="n"/>
      <c r="L145" s="39">
        <f>IF($A145="","",IFERROR($D145*$G145,0))</f>
        <v/>
      </c>
    </row>
    <row r="146">
      <c r="A146" s="38" t="n"/>
      <c r="B146" s="38" t="n"/>
      <c r="C146" s="38" t="n"/>
      <c r="D146" s="38" t="n"/>
      <c r="E146" s="38" t="n"/>
      <c r="F146" s="38" t="n"/>
      <c r="G146" s="38" t="n"/>
      <c r="H146" s="38" t="n"/>
      <c r="I146" s="38" t="n"/>
      <c r="J146" s="38" t="n"/>
      <c r="K146" s="38" t="n"/>
      <c r="L146" s="39">
        <f>IF($A146="","",IFERROR($D146*$G146,0))</f>
        <v/>
      </c>
    </row>
    <row r="147">
      <c r="A147" s="38" t="n"/>
      <c r="B147" s="38" t="n"/>
      <c r="C147" s="38" t="n"/>
      <c r="D147" s="38" t="n"/>
      <c r="E147" s="38" t="n"/>
      <c r="F147" s="38" t="n"/>
      <c r="G147" s="38" t="n"/>
      <c r="H147" s="38" t="n"/>
      <c r="I147" s="38" t="n"/>
      <c r="J147" s="38" t="n"/>
      <c r="K147" s="38" t="n"/>
      <c r="L147" s="39">
        <f>IF($A147="","",IFERROR($D147*$G147,0))</f>
        <v/>
      </c>
    </row>
    <row r="148">
      <c r="A148" s="38" t="n"/>
      <c r="B148" s="38" t="n"/>
      <c r="C148" s="38" t="n"/>
      <c r="D148" s="38" t="n"/>
      <c r="E148" s="38" t="n"/>
      <c r="F148" s="38" t="n"/>
      <c r="G148" s="38" t="n"/>
      <c r="H148" s="38" t="n"/>
      <c r="I148" s="38" t="n"/>
      <c r="J148" s="38" t="n"/>
      <c r="K148" s="38" t="n"/>
      <c r="L148" s="39">
        <f>IF($A148="","",IFERROR($D148*$G148,0))</f>
        <v/>
      </c>
    </row>
    <row r="149">
      <c r="A149" s="38" t="n"/>
      <c r="B149" s="38" t="n"/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9">
        <f>IF($A149="","",IFERROR($D149*$G149,0))</f>
        <v/>
      </c>
    </row>
    <row r="150">
      <c r="A150" s="38" t="n"/>
      <c r="B150" s="38" t="n"/>
      <c r="C150" s="38" t="n"/>
      <c r="D150" s="38" t="n"/>
      <c r="E150" s="38" t="n"/>
      <c r="F150" s="38" t="n"/>
      <c r="G150" s="38" t="n"/>
      <c r="H150" s="38" t="n"/>
      <c r="I150" s="38" t="n"/>
      <c r="J150" s="38" t="n"/>
      <c r="K150" s="38" t="n"/>
      <c r="L150" s="39">
        <f>IF($A150="","",IFERROR($D150*$G150,0))</f>
        <v/>
      </c>
    </row>
    <row r="151">
      <c r="A151" s="38" t="n"/>
      <c r="B151" s="38" t="n"/>
      <c r="C151" s="38" t="n"/>
      <c r="D151" s="38" t="n"/>
      <c r="E151" s="38" t="n"/>
      <c r="F151" s="38" t="n"/>
      <c r="G151" s="38" t="n"/>
      <c r="H151" s="38" t="n"/>
      <c r="I151" s="38" t="n"/>
      <c r="J151" s="38" t="n"/>
      <c r="K151" s="38" t="n"/>
      <c r="L151" s="39">
        <f>IF($A151="","",IFERROR($D151*$G151,0))</f>
        <v/>
      </c>
    </row>
    <row r="152">
      <c r="A152" s="38" t="n"/>
      <c r="B152" s="38" t="n"/>
      <c r="C152" s="38" t="n"/>
      <c r="D152" s="38" t="n"/>
      <c r="E152" s="38" t="n"/>
      <c r="F152" s="38" t="n"/>
      <c r="G152" s="38" t="n"/>
      <c r="H152" s="38" t="n"/>
      <c r="I152" s="38" t="n"/>
      <c r="J152" s="38" t="n"/>
      <c r="K152" s="38" t="n"/>
      <c r="L152" s="39">
        <f>IF($A152="","",IFERROR($D152*$G152,0))</f>
        <v/>
      </c>
    </row>
    <row r="153">
      <c r="A153" s="38" t="n"/>
      <c r="B153" s="38" t="n"/>
      <c r="C153" s="38" t="n"/>
      <c r="D153" s="38" t="n"/>
      <c r="E153" s="38" t="n"/>
      <c r="F153" s="38" t="n"/>
      <c r="G153" s="38" t="n"/>
      <c r="H153" s="38" t="n"/>
      <c r="I153" s="38" t="n"/>
      <c r="J153" s="38" t="n"/>
      <c r="K153" s="38" t="n"/>
      <c r="L153" s="39">
        <f>IF($A153="","",IFERROR($D153*$G153,0))</f>
        <v/>
      </c>
    </row>
    <row r="154">
      <c r="A154" s="38" t="n"/>
      <c r="B154" s="38" t="n"/>
      <c r="C154" s="38" t="n"/>
      <c r="D154" s="38" t="n"/>
      <c r="E154" s="38" t="n"/>
      <c r="F154" s="38" t="n"/>
      <c r="G154" s="38" t="n"/>
      <c r="H154" s="38" t="n"/>
      <c r="I154" s="38" t="n"/>
      <c r="J154" s="38" t="n"/>
      <c r="K154" s="38" t="n"/>
      <c r="L154" s="39">
        <f>IF($A154="","",IFERROR($D154*$G154,0))</f>
        <v/>
      </c>
    </row>
    <row r="155">
      <c r="A155" s="38" t="n"/>
      <c r="B155" s="38" t="n"/>
      <c r="C155" s="38" t="n"/>
      <c r="D155" s="38" t="n"/>
      <c r="E155" s="38" t="n"/>
      <c r="F155" s="38" t="n"/>
      <c r="G155" s="38" t="n"/>
      <c r="H155" s="38" t="n"/>
      <c r="I155" s="38" t="n"/>
      <c r="J155" s="38" t="n"/>
      <c r="K155" s="38" t="n"/>
      <c r="L155" s="39">
        <f>IF($A155="","",IFERROR($D155*$G155,0))</f>
        <v/>
      </c>
    </row>
    <row r="156">
      <c r="A156" s="38" t="n"/>
      <c r="B156" s="38" t="n"/>
      <c r="C156" s="38" t="n"/>
      <c r="D156" s="38" t="n"/>
      <c r="E156" s="38" t="n"/>
      <c r="F156" s="38" t="n"/>
      <c r="G156" s="38" t="n"/>
      <c r="H156" s="38" t="n"/>
      <c r="I156" s="38" t="n"/>
      <c r="J156" s="38" t="n"/>
      <c r="K156" s="38" t="n"/>
      <c r="L156" s="39">
        <f>IF($A156="","",IFERROR($D156*$G156,0))</f>
        <v/>
      </c>
    </row>
    <row r="157">
      <c r="A157" s="38" t="n"/>
      <c r="B157" s="38" t="n"/>
      <c r="C157" s="38" t="n"/>
      <c r="D157" s="38" t="n"/>
      <c r="E157" s="38" t="n"/>
      <c r="F157" s="38" t="n"/>
      <c r="G157" s="38" t="n"/>
      <c r="H157" s="38" t="n"/>
      <c r="I157" s="38" t="n"/>
      <c r="J157" s="38" t="n"/>
      <c r="K157" s="38" t="n"/>
      <c r="L157" s="39">
        <f>IF($A157="","",IFERROR($D157*$G157,0))</f>
        <v/>
      </c>
    </row>
    <row r="158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38" t="n"/>
      <c r="K158" s="38" t="n"/>
      <c r="L158" s="39">
        <f>IF($A158="","",IFERROR($D158*$G158,0))</f>
        <v/>
      </c>
    </row>
    <row r="159">
      <c r="A159" s="38" t="n"/>
      <c r="B159" s="38" t="n"/>
      <c r="C159" s="38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9">
        <f>IF($A159="","",IFERROR($D159*$G159,0))</f>
        <v/>
      </c>
    </row>
    <row r="160">
      <c r="A160" s="38" t="n"/>
      <c r="B160" s="38" t="n"/>
      <c r="C160" s="38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9">
        <f>IF($A160="","",IFERROR($D160*$G160,0))</f>
        <v/>
      </c>
    </row>
    <row r="161">
      <c r="A161" s="38" t="n"/>
      <c r="B161" s="38" t="n"/>
      <c r="C161" s="38" t="n"/>
      <c r="D161" s="38" t="n"/>
      <c r="E161" s="38" t="n"/>
      <c r="F161" s="38" t="n"/>
      <c r="G161" s="38" t="n"/>
      <c r="H161" s="38" t="n"/>
      <c r="I161" s="38" t="n"/>
      <c r="J161" s="38" t="n"/>
      <c r="K161" s="38" t="n"/>
      <c r="L161" s="39">
        <f>IF($A161="","",IFERROR($D161*$G161,0))</f>
        <v/>
      </c>
    </row>
    <row r="162">
      <c r="A162" s="38" t="n"/>
      <c r="B162" s="38" t="n"/>
      <c r="C162" s="38" t="n"/>
      <c r="D162" s="38" t="n"/>
      <c r="E162" s="38" t="n"/>
      <c r="F162" s="38" t="n"/>
      <c r="G162" s="38" t="n"/>
      <c r="H162" s="38" t="n"/>
      <c r="I162" s="38" t="n"/>
      <c r="J162" s="38" t="n"/>
      <c r="K162" s="38" t="n"/>
      <c r="L162" s="39">
        <f>IF($A162="","",IFERROR($D162*$G162,0))</f>
        <v/>
      </c>
    </row>
    <row r="163">
      <c r="A163" s="38" t="n"/>
      <c r="B163" s="38" t="n"/>
      <c r="C163" s="38" t="n"/>
      <c r="D163" s="38" t="n"/>
      <c r="E163" s="38" t="n"/>
      <c r="F163" s="38" t="n"/>
      <c r="G163" s="38" t="n"/>
      <c r="H163" s="38" t="n"/>
      <c r="I163" s="38" t="n"/>
      <c r="J163" s="38" t="n"/>
      <c r="K163" s="38" t="n"/>
      <c r="L163" s="39">
        <f>IF($A163="","",IFERROR($D163*$G163,0))</f>
        <v/>
      </c>
    </row>
    <row r="164">
      <c r="A164" s="38" t="n"/>
      <c r="B164" s="38" t="n"/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9">
        <f>IF($A164="","",IFERROR($D164*$G164,0))</f>
        <v/>
      </c>
    </row>
    <row r="165">
      <c r="A165" s="38" t="n"/>
      <c r="B165" s="38" t="n"/>
      <c r="C165" s="38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9">
        <f>IF($A165="","",IFERROR($D165*$G165,0))</f>
        <v/>
      </c>
    </row>
    <row r="166">
      <c r="A166" s="38" t="n"/>
      <c r="B166" s="38" t="n"/>
      <c r="C166" s="38" t="n"/>
      <c r="D166" s="38" t="n"/>
      <c r="E166" s="38" t="n"/>
      <c r="F166" s="38" t="n"/>
      <c r="G166" s="38" t="n"/>
      <c r="H166" s="38" t="n"/>
      <c r="I166" s="38" t="n"/>
      <c r="J166" s="38" t="n"/>
      <c r="K166" s="38" t="n"/>
      <c r="L166" s="39">
        <f>IF($A166="","",IFERROR($D166*$G166,0))</f>
        <v/>
      </c>
    </row>
    <row r="167">
      <c r="A167" s="38" t="n"/>
      <c r="B167" s="38" t="n"/>
      <c r="C167" s="38" t="n"/>
      <c r="D167" s="38" t="n"/>
      <c r="E167" s="38" t="n"/>
      <c r="F167" s="38" t="n"/>
      <c r="G167" s="38" t="n"/>
      <c r="H167" s="38" t="n"/>
      <c r="I167" s="38" t="n"/>
      <c r="J167" s="38" t="n"/>
      <c r="K167" s="38" t="n"/>
      <c r="L167" s="39">
        <f>IF($A167="","",IFERROR($D167*$G167,0))</f>
        <v/>
      </c>
    </row>
    <row r="168">
      <c r="A168" s="38" t="n"/>
      <c r="B168" s="38" t="n"/>
      <c r="C168" s="38" t="n"/>
      <c r="D168" s="38" t="n"/>
      <c r="E168" s="38" t="n"/>
      <c r="F168" s="38" t="n"/>
      <c r="G168" s="38" t="n"/>
      <c r="H168" s="38" t="n"/>
      <c r="I168" s="38" t="n"/>
      <c r="J168" s="38" t="n"/>
      <c r="K168" s="38" t="n"/>
      <c r="L168" s="39">
        <f>IF($A168="","",IFERROR($D168*$G168,0))</f>
        <v/>
      </c>
    </row>
    <row r="169">
      <c r="A169" s="38" t="n"/>
      <c r="B169" s="38" t="n"/>
      <c r="C169" s="38" t="n"/>
      <c r="D169" s="38" t="n"/>
      <c r="E169" s="38" t="n"/>
      <c r="F169" s="38" t="n"/>
      <c r="G169" s="38" t="n"/>
      <c r="H169" s="38" t="n"/>
      <c r="I169" s="38" t="n"/>
      <c r="J169" s="38" t="n"/>
      <c r="K169" s="38" t="n"/>
      <c r="L169" s="39">
        <f>IF($A169="","",IFERROR($D169*$G169,0))</f>
        <v/>
      </c>
    </row>
    <row r="170">
      <c r="A170" s="38" t="n"/>
      <c r="B170" s="38" t="n"/>
      <c r="C170" s="38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9">
        <f>IF($A170="","",IFERROR($D170*$G170,0))</f>
        <v/>
      </c>
    </row>
    <row r="171">
      <c r="A171" s="38" t="n"/>
      <c r="B171" s="38" t="n"/>
      <c r="C171" s="38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9">
        <f>IF($A171="","",IFERROR($D171*$G171,0))</f>
        <v/>
      </c>
    </row>
    <row r="172">
      <c r="A172" s="38" t="n"/>
      <c r="B172" s="38" t="n"/>
      <c r="C172" s="38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9">
        <f>IF($A172="","",IFERROR($D172*$G172,0))</f>
        <v/>
      </c>
    </row>
    <row r="173">
      <c r="A173" s="38" t="n"/>
      <c r="B173" s="38" t="n"/>
      <c r="C173" s="38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9">
        <f>IF($A173="","",IFERROR($D173*$G173,0))</f>
        <v/>
      </c>
    </row>
    <row r="174">
      <c r="A174" s="38" t="n"/>
      <c r="B174" s="38" t="n"/>
      <c r="C174" s="38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9">
        <f>IF($A174="","",IFERROR($D174*$G174,0))</f>
        <v/>
      </c>
    </row>
    <row r="175">
      <c r="A175" s="38" t="n"/>
      <c r="B175" s="38" t="n"/>
      <c r="C175" s="38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9">
        <f>IF($A175="","",IFERROR($D175*$G175,0))</f>
        <v/>
      </c>
    </row>
    <row r="176">
      <c r="A176" s="38" t="n"/>
      <c r="B176" s="38" t="n"/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9">
        <f>IF($A176="","",IFERROR($D176*$G176,0))</f>
        <v/>
      </c>
    </row>
    <row r="177">
      <c r="A177" s="38" t="n"/>
      <c r="B177" s="38" t="n"/>
      <c r="C177" s="38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9">
        <f>IF($A177="","",IFERROR($D177*$G177,0))</f>
        <v/>
      </c>
    </row>
    <row r="178">
      <c r="A178" s="38" t="n"/>
      <c r="B178" s="38" t="n"/>
      <c r="C178" s="38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9">
        <f>IF($A178="","",IFERROR($D178*$G178,0))</f>
        <v/>
      </c>
    </row>
    <row r="179">
      <c r="A179" s="38" t="n"/>
      <c r="B179" s="38" t="n"/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9">
        <f>IF($A179="","",IFERROR($D179*$G179,0))</f>
        <v/>
      </c>
    </row>
    <row r="180">
      <c r="A180" s="38" t="n"/>
      <c r="B180" s="38" t="n"/>
      <c r="C180" s="38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9">
        <f>IF($A180="","",IFERROR($D180*$G180,0))</f>
        <v/>
      </c>
    </row>
    <row r="181">
      <c r="A181" s="38" t="n"/>
      <c r="B181" s="38" t="n"/>
      <c r="C181" s="38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9">
        <f>IF($A181="","",IFERROR($D181*$G181,0))</f>
        <v/>
      </c>
    </row>
    <row r="182">
      <c r="A182" s="38" t="n"/>
      <c r="B182" s="38" t="n"/>
      <c r="C182" s="38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9">
        <f>IF($A182="","",IFERROR($D182*$G182,0))</f>
        <v/>
      </c>
    </row>
    <row r="183">
      <c r="A183" s="38" t="n"/>
      <c r="B183" s="38" t="n"/>
      <c r="C183" s="38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9">
        <f>IF($A183="","",IFERROR($D183*$G183,0))</f>
        <v/>
      </c>
    </row>
    <row r="184">
      <c r="A184" s="38" t="n"/>
      <c r="B184" s="38" t="n"/>
      <c r="C184" s="38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9">
        <f>IF($A184="","",IFERROR($D184*$G184,0))</f>
        <v/>
      </c>
    </row>
    <row r="185">
      <c r="A185" s="38" t="n"/>
      <c r="B185" s="38" t="n"/>
      <c r="C185" s="38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9">
        <f>IF($A185="","",IFERROR($D185*$G185,0))</f>
        <v/>
      </c>
    </row>
    <row r="186">
      <c r="A186" s="38" t="n"/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9">
        <f>IF($A186="","",IFERROR($D186*$G186,0))</f>
        <v/>
      </c>
    </row>
    <row r="187">
      <c r="A187" s="38" t="n"/>
      <c r="B187" s="38" t="n"/>
      <c r="C187" s="38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9">
        <f>IF($A187="","",IFERROR($D187*$G187,0))</f>
        <v/>
      </c>
    </row>
    <row r="188">
      <c r="A188" s="38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9">
        <f>IF($A188="","",IFERROR($D188*$G188,0))</f>
        <v/>
      </c>
    </row>
    <row r="189">
      <c r="A189" s="38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9">
        <f>IF($A189="","",IFERROR($D189*$G189,0))</f>
        <v/>
      </c>
    </row>
    <row r="190">
      <c r="A190" s="38" t="n"/>
      <c r="B190" s="38" t="n"/>
      <c r="C190" s="38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9">
        <f>IF($A190="","",IFERROR($D190*$G190,0))</f>
        <v/>
      </c>
    </row>
    <row r="191">
      <c r="A191" s="38" t="n"/>
      <c r="B191" s="38" t="n"/>
      <c r="C191" s="38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9">
        <f>IF($A191="","",IFERROR($D191*$G191,0))</f>
        <v/>
      </c>
    </row>
    <row r="192">
      <c r="A192" s="38" t="n"/>
      <c r="B192" s="38" t="n"/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9">
        <f>IF($A192="","",IFERROR($D192*$G192,0))</f>
        <v/>
      </c>
    </row>
    <row r="193">
      <c r="A193" s="38" t="n"/>
      <c r="B193" s="38" t="n"/>
      <c r="C193" s="38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9">
        <f>IF($A193="","",IFERROR($D193*$G193,0))</f>
        <v/>
      </c>
    </row>
    <row r="194">
      <c r="A194" s="38" t="n"/>
      <c r="B194" s="38" t="n"/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9">
        <f>IF($A194="","",IFERROR($D194*$G194,0))</f>
        <v/>
      </c>
    </row>
    <row r="195">
      <c r="A195" s="38" t="n"/>
      <c r="B195" s="38" t="n"/>
      <c r="C195" s="38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9">
        <f>IF($A195="","",IFERROR($D195*$G195,0))</f>
        <v/>
      </c>
    </row>
    <row r="196">
      <c r="A196" s="38" t="n"/>
      <c r="B196" s="38" t="n"/>
      <c r="C196" s="38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9">
        <f>IF($A196="","",IFERROR($D196*$G196,0))</f>
        <v/>
      </c>
    </row>
    <row r="197">
      <c r="A197" s="38" t="n"/>
      <c r="B197" s="38" t="n"/>
      <c r="C197" s="38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9">
        <f>IF($A197="","",IFERROR($D197*$G197,0))</f>
        <v/>
      </c>
    </row>
    <row r="198">
      <c r="A198" s="38" t="n"/>
      <c r="B198" s="38" t="n"/>
      <c r="C198" s="38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9">
        <f>IF($A198="","",IFERROR($D198*$G198,0))</f>
        <v/>
      </c>
    </row>
    <row r="199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9">
        <f>IF($A199="","",IFERROR($D199*$G199,0))</f>
        <v/>
      </c>
    </row>
    <row r="200">
      <c r="A200" s="38" t="n"/>
      <c r="B200" s="38" t="n"/>
      <c r="C200" s="38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9">
        <f>IF($A200="","",IFERROR($D200*$G200,0))</f>
        <v/>
      </c>
    </row>
    <row r="201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9">
        <f>IF($A201="","",IFERROR($D201*$G201,0))</f>
        <v/>
      </c>
    </row>
    <row r="202">
      <c r="A202" s="38" t="n"/>
      <c r="B202" s="38" t="n"/>
      <c r="C202" s="38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9">
        <f>IF($A202="","",IFERROR($D202*$G202,0))</f>
        <v/>
      </c>
    </row>
    <row r="203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9">
        <f>IF($A203="","",IFERROR($D203*$G203,0))</f>
        <v/>
      </c>
    </row>
    <row r="204">
      <c r="A204" s="38" t="n"/>
      <c r="B204" s="38" t="n"/>
      <c r="C204" s="38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9">
        <f>IF($A204="","",IFERROR($D204*$G204,0))</f>
        <v/>
      </c>
    </row>
    <row r="205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9">
        <f>IF($A205="","",IFERROR($D205*$G205,0))</f>
        <v/>
      </c>
    </row>
    <row r="206">
      <c r="A206" s="38" t="n"/>
      <c r="B206" s="38" t="n"/>
      <c r="C206" s="38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9">
        <f>IF($A206="","",IFERROR($D206*$G206,0))</f>
        <v/>
      </c>
    </row>
    <row r="207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9">
        <f>IF($A207="","",IFERROR($D207*$G207,0))</f>
        <v/>
      </c>
    </row>
    <row r="208">
      <c r="A208" s="38" t="n"/>
      <c r="B208" s="38" t="n"/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9">
        <f>IF($A208="","",IFERROR($D208*$G208,0))</f>
        <v/>
      </c>
    </row>
    <row r="209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9">
        <f>IF($A209="","",IFERROR($D209*$G209,0))</f>
        <v/>
      </c>
    </row>
    <row r="210">
      <c r="A210" s="38" t="n"/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9">
        <f>IF($A210="","",IFERROR($D210*$G210,0))</f>
        <v/>
      </c>
    </row>
    <row r="211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9">
        <f>IF($A211="","",IFERROR($D211*$G211,0))</f>
        <v/>
      </c>
    </row>
    <row r="212">
      <c r="A212" s="38" t="n"/>
      <c r="B212" s="38" t="n"/>
      <c r="C212" s="38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9">
        <f>IF($A212="","",IFERROR($D212*$G212,0))</f>
        <v/>
      </c>
    </row>
    <row r="213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9">
        <f>IF($A213="","",IFERROR($D213*$G213,0))</f>
        <v/>
      </c>
    </row>
    <row r="214">
      <c r="A214" s="38" t="n"/>
      <c r="B214" s="38" t="n"/>
      <c r="C214" s="38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9">
        <f>IF($A214="","",IFERROR($D214*$G214,0))</f>
        <v/>
      </c>
    </row>
    <row r="215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9">
        <f>IF($A215="","",IFERROR($D215*$G215,0))</f>
        <v/>
      </c>
    </row>
    <row r="216">
      <c r="A216" s="38" t="n"/>
      <c r="B216" s="38" t="n"/>
      <c r="C216" s="38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9">
        <f>IF($A216="","",IFERROR($D216*$G216,0))</f>
        <v/>
      </c>
    </row>
    <row r="217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9">
        <f>IF($A217="","",IFERROR($D217*$G217,0))</f>
        <v/>
      </c>
    </row>
    <row r="218">
      <c r="A218" s="38" t="n"/>
      <c r="B218" s="38" t="n"/>
      <c r="C218" s="38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9">
        <f>IF($A218="","",IFERROR($D218*$G218,0))</f>
        <v/>
      </c>
    </row>
    <row r="219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9">
        <f>IF($A219="","",IFERROR($D219*$G219,0))</f>
        <v/>
      </c>
    </row>
    <row r="220">
      <c r="A220" s="38" t="n"/>
      <c r="B220" s="38" t="n"/>
      <c r="C220" s="38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9">
        <f>IF($A220="","",IFERROR($D220*$G220,0))</f>
        <v/>
      </c>
    </row>
    <row r="221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9">
        <f>IF($A221="","",IFERROR($D221*$G221,0))</f>
        <v/>
      </c>
    </row>
    <row r="222">
      <c r="A222" s="38" t="n"/>
      <c r="B222" s="38" t="n"/>
      <c r="C222" s="38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9">
        <f>IF($A222="","",IFERROR($D222*$G222,0))</f>
        <v/>
      </c>
    </row>
    <row r="223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9">
        <f>IF($A223="","",IFERROR($D223*$G223,0))</f>
        <v/>
      </c>
    </row>
    <row r="224">
      <c r="A224" s="38" t="n"/>
      <c r="B224" s="38" t="n"/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9">
        <f>IF($A224="","",IFERROR($D224*$G224,0))</f>
        <v/>
      </c>
    </row>
    <row r="225">
      <c r="A225" s="38" t="n"/>
      <c r="B225" s="38" t="n"/>
      <c r="C225" s="38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9">
        <f>IF($A225="","",IFERROR($D225*$G225,0))</f>
        <v/>
      </c>
    </row>
    <row r="226">
      <c r="A226" s="38" t="n"/>
      <c r="B226" s="38" t="n"/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9">
        <f>IF($A226="","",IFERROR($D226*$G226,0))</f>
        <v/>
      </c>
    </row>
    <row r="227">
      <c r="A227" s="38" t="n"/>
      <c r="B227" s="38" t="n"/>
      <c r="C227" s="38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9">
        <f>IF($A227="","",IFERROR($D227*$G227,0))</f>
        <v/>
      </c>
    </row>
    <row r="228">
      <c r="A228" s="38" t="n"/>
      <c r="B228" s="38" t="n"/>
      <c r="C228" s="38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9">
        <f>IF($A228="","",IFERROR($D228*$G228,0))</f>
        <v/>
      </c>
    </row>
    <row r="229">
      <c r="A229" s="38" t="n"/>
      <c r="B229" s="38" t="n"/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9">
        <f>IF($A229="","",IFERROR($D229*$G229,0))</f>
        <v/>
      </c>
    </row>
    <row r="230">
      <c r="A230" s="38" t="n"/>
      <c r="B230" s="38" t="n"/>
      <c r="C230" s="38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9">
        <f>IF($A230="","",IFERROR($D230*$G230,0))</f>
        <v/>
      </c>
    </row>
    <row r="231">
      <c r="A231" s="38" t="n"/>
      <c r="B231" s="38" t="n"/>
      <c r="C231" s="38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9">
        <f>IF($A231="","",IFERROR($D231*$G231,0))</f>
        <v/>
      </c>
    </row>
    <row r="232">
      <c r="A232" s="38" t="n"/>
      <c r="B232" s="38" t="n"/>
      <c r="C232" s="38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9">
        <f>IF($A232="","",IFERROR($D232*$G232,0))</f>
        <v/>
      </c>
    </row>
    <row r="233">
      <c r="A233" s="38" t="n"/>
      <c r="B233" s="38" t="n"/>
      <c r="C233" s="38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9">
        <f>IF($A233="","",IFERROR($D233*$G233,0))</f>
        <v/>
      </c>
    </row>
    <row r="234">
      <c r="A234" s="38" t="n"/>
      <c r="B234" s="38" t="n"/>
      <c r="C234" s="38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9">
        <f>IF($A234="","",IFERROR($D234*$G234,0))</f>
        <v/>
      </c>
    </row>
    <row r="235">
      <c r="A235" s="38" t="n"/>
      <c r="B235" s="38" t="n"/>
      <c r="C235" s="38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9">
        <f>IF($A235="","",IFERROR($D235*$G235,0))</f>
        <v/>
      </c>
    </row>
    <row r="236">
      <c r="A236" s="38" t="n"/>
      <c r="B236" s="38" t="n"/>
      <c r="C236" s="38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9">
        <f>IF($A236="","",IFERROR($D236*$G236,0))</f>
        <v/>
      </c>
    </row>
    <row r="237">
      <c r="A237" s="38" t="n"/>
      <c r="B237" s="38" t="n"/>
      <c r="C237" s="38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9">
        <f>IF($A237="","",IFERROR($D237*$G237,0))</f>
        <v/>
      </c>
    </row>
    <row r="238">
      <c r="A238" s="38" t="n"/>
      <c r="B238" s="38" t="n"/>
      <c r="C238" s="38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9">
        <f>IF($A238="","",IFERROR($D238*$G238,0))</f>
        <v/>
      </c>
    </row>
    <row r="239">
      <c r="A239" s="38" t="n"/>
      <c r="B239" s="38" t="n"/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9">
        <f>IF($A239="","",IFERROR($D239*$G239,0))</f>
        <v/>
      </c>
    </row>
    <row r="240">
      <c r="A240" s="38" t="n"/>
      <c r="B240" s="38" t="n"/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9">
        <f>IF($A240="","",IFERROR($D240*$G240,0))</f>
        <v/>
      </c>
    </row>
    <row r="241">
      <c r="A241" s="38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9">
        <f>IF($A241="","",IFERROR($D241*$G241,0))</f>
        <v/>
      </c>
    </row>
    <row r="242">
      <c r="A242" s="38" t="n"/>
      <c r="B242" s="38" t="n"/>
      <c r="C242" s="38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9">
        <f>IF($A242="","",IFERROR($D242*$G242,0))</f>
        <v/>
      </c>
    </row>
    <row r="243">
      <c r="A243" s="38" t="n"/>
      <c r="B243" s="38" t="n"/>
      <c r="C243" s="38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9">
        <f>IF($A243="","",IFERROR($D243*$G243,0))</f>
        <v/>
      </c>
    </row>
    <row r="244">
      <c r="A244" s="38" t="n"/>
      <c r="B244" s="38" t="n"/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9">
        <f>IF($A244="","",IFERROR($D244*$G244,0))</f>
        <v/>
      </c>
    </row>
    <row r="245">
      <c r="A245" s="38" t="n"/>
      <c r="B245" s="38" t="n"/>
      <c r="C245" s="38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9">
        <f>IF($A245="","",IFERROR($D245*$G245,0))</f>
        <v/>
      </c>
    </row>
    <row r="246">
      <c r="A246" s="38" t="n"/>
      <c r="B246" s="38" t="n"/>
      <c r="C246" s="38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9">
        <f>IF($A246="","",IFERROR($D246*$G246,0))</f>
        <v/>
      </c>
    </row>
    <row r="247">
      <c r="A247" s="38" t="n"/>
      <c r="B247" s="38" t="n"/>
      <c r="C247" s="38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9">
        <f>IF($A247="","",IFERROR($D247*$G247,0))</f>
        <v/>
      </c>
    </row>
    <row r="248">
      <c r="A248" s="38" t="n"/>
      <c r="B248" s="38" t="n"/>
      <c r="C248" s="38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9">
        <f>IF($A248="","",IFERROR($D248*$G248,0))</f>
        <v/>
      </c>
    </row>
    <row r="249">
      <c r="A249" s="38" t="n"/>
      <c r="B249" s="38" t="n"/>
      <c r="C249" s="38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9">
        <f>IF($A249="","",IFERROR($D249*$G249,0))</f>
        <v/>
      </c>
    </row>
    <row r="250">
      <c r="A250" s="38" t="n"/>
      <c r="B250" s="38" t="n"/>
      <c r="C250" s="38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9">
        <f>IF($A250="","",IFERROR($D250*$G250,0))</f>
        <v/>
      </c>
    </row>
    <row r="251">
      <c r="A251" s="38" t="n"/>
      <c r="B251" s="38" t="n"/>
      <c r="C251" s="38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9">
        <f>IF($A251="","",IFERROR($D251*$G251,0))</f>
        <v/>
      </c>
    </row>
    <row r="252">
      <c r="A252" s="38" t="n"/>
      <c r="B252" s="38" t="n"/>
      <c r="C252" s="38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9">
        <f>IF($A252="","",IFERROR($D252*$G252,0))</f>
        <v/>
      </c>
    </row>
    <row r="253">
      <c r="A253" s="38" t="n"/>
      <c r="B253" s="38" t="n"/>
      <c r="C253" s="38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9">
        <f>IF($A253="","",IFERROR($D253*$G253,0))</f>
        <v/>
      </c>
    </row>
    <row r="254">
      <c r="A254" s="38" t="n"/>
      <c r="B254" s="38" t="n"/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9">
        <f>IF($A254="","",IFERROR($D254*$G254,0))</f>
        <v/>
      </c>
    </row>
    <row r="255">
      <c r="A255" s="38" t="n"/>
      <c r="B255" s="38" t="n"/>
      <c r="C255" s="38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9">
        <f>IF($A255="","",IFERROR($D255*$G255,0))</f>
        <v/>
      </c>
    </row>
    <row r="256">
      <c r="A256" s="38" t="n"/>
      <c r="B256" s="38" t="n"/>
      <c r="C256" s="38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9">
        <f>IF($A256="","",IFERROR($D256*$G256,0))</f>
        <v/>
      </c>
    </row>
    <row r="257">
      <c r="A257" s="38" t="n"/>
      <c r="B257" s="38" t="n"/>
      <c r="C257" s="38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9">
        <f>IF($A257="","",IFERROR($D257*$G257,0))</f>
        <v/>
      </c>
    </row>
    <row r="258">
      <c r="A258" s="38" t="n"/>
      <c r="B258" s="38" t="n"/>
      <c r="C258" s="38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9">
        <f>IF($A258="","",IFERROR($D258*$G258,0))</f>
        <v/>
      </c>
    </row>
    <row r="259">
      <c r="A259" s="38" t="n"/>
      <c r="B259" s="38" t="n"/>
      <c r="C259" s="38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9">
        <f>IF($A259="","",IFERROR($D259*$G259,0))</f>
        <v/>
      </c>
    </row>
    <row r="260">
      <c r="A260" s="38" t="n"/>
      <c r="B260" s="38" t="n"/>
      <c r="C260" s="38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9">
        <f>IF($A260="","",IFERROR($D260*$G260,0))</f>
        <v/>
      </c>
    </row>
    <row r="261">
      <c r="A261" s="38" t="n"/>
      <c r="B261" s="38" t="n"/>
      <c r="C261" s="38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9">
        <f>IF($A261="","",IFERROR($D261*$G261,0))</f>
        <v/>
      </c>
    </row>
    <row r="262">
      <c r="A262" s="38" t="n"/>
      <c r="B262" s="38" t="n"/>
      <c r="C262" s="38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9">
        <f>IF($A262="","",IFERROR($D262*$G262,0))</f>
        <v/>
      </c>
    </row>
    <row r="263">
      <c r="A263" s="38" t="n"/>
      <c r="B263" s="38" t="n"/>
      <c r="C263" s="38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9">
        <f>IF($A263="","",IFERROR($D263*$G263,0))</f>
        <v/>
      </c>
    </row>
    <row r="264">
      <c r="A264" s="38" t="n"/>
      <c r="B264" s="38" t="n"/>
      <c r="C264" s="38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9">
        <f>IF($A264="","",IFERROR($D264*$G264,0))</f>
        <v/>
      </c>
    </row>
    <row r="265">
      <c r="A265" s="38" t="n"/>
      <c r="B265" s="38" t="n"/>
      <c r="C265" s="38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9">
        <f>IF($A265="","",IFERROR($D265*$G265,0))</f>
        <v/>
      </c>
    </row>
    <row r="266">
      <c r="A266" s="38" t="n"/>
      <c r="B266" s="38" t="n"/>
      <c r="C266" s="38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9">
        <f>IF($A266="","",IFERROR($D266*$G266,0))</f>
        <v/>
      </c>
    </row>
    <row r="267">
      <c r="A267" s="38" t="n"/>
      <c r="B267" s="38" t="n"/>
      <c r="C267" s="38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9">
        <f>IF($A267="","",IFERROR($D267*$G267,0))</f>
        <v/>
      </c>
    </row>
    <row r="268">
      <c r="A268" s="38" t="n"/>
      <c r="B268" s="38" t="n"/>
      <c r="C268" s="38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9">
        <f>IF($A268="","",IFERROR($D268*$G268,0))</f>
        <v/>
      </c>
    </row>
    <row r="269">
      <c r="A269" s="38" t="n"/>
      <c r="B269" s="38" t="n"/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9">
        <f>IF($A269="","",IFERROR($D269*$G269,0))</f>
        <v/>
      </c>
    </row>
    <row r="270">
      <c r="A270" s="38" t="n"/>
      <c r="B270" s="38" t="n"/>
      <c r="C270" s="38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9">
        <f>IF($A270="","",IFERROR($D270*$G270,0))</f>
        <v/>
      </c>
    </row>
    <row r="271">
      <c r="A271" s="38" t="n"/>
      <c r="B271" s="38" t="n"/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9">
        <f>IF($A271="","",IFERROR($D271*$G271,0))</f>
        <v/>
      </c>
    </row>
    <row r="272">
      <c r="A272" s="38" t="n"/>
      <c r="B272" s="38" t="n"/>
      <c r="C272" s="38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9">
        <f>IF($A272="","",IFERROR($D272*$G272,0))</f>
        <v/>
      </c>
    </row>
    <row r="273">
      <c r="A273" s="38" t="n"/>
      <c r="B273" s="38" t="n"/>
      <c r="C273" s="38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9">
        <f>IF($A273="","",IFERROR($D273*$G273,0))</f>
        <v/>
      </c>
    </row>
    <row r="274">
      <c r="A274" s="38" t="n"/>
      <c r="B274" s="38" t="n"/>
      <c r="C274" s="38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9">
        <f>IF($A274="","",IFERROR($D274*$G274,0))</f>
        <v/>
      </c>
    </row>
    <row r="275">
      <c r="A275" s="38" t="n"/>
      <c r="B275" s="38" t="n"/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9">
        <f>IF($A275="","",IFERROR($D275*$G275,0))</f>
        <v/>
      </c>
    </row>
    <row r="276">
      <c r="A276" s="38" t="n"/>
      <c r="B276" s="38" t="n"/>
      <c r="C276" s="38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9">
        <f>IF($A276="","",IFERROR($D276*$G276,0))</f>
        <v/>
      </c>
    </row>
    <row r="277">
      <c r="A277" s="38" t="n"/>
      <c r="B277" s="38" t="n"/>
      <c r="C277" s="38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9">
        <f>IF($A277="","",IFERROR($D277*$G277,0))</f>
        <v/>
      </c>
    </row>
    <row r="278">
      <c r="A278" s="38" t="n"/>
      <c r="B278" s="38" t="n"/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9">
        <f>IF($A278="","",IFERROR($D278*$G278,0))</f>
        <v/>
      </c>
    </row>
    <row r="279">
      <c r="A279" s="38" t="n"/>
      <c r="B279" s="38" t="n"/>
      <c r="C279" s="38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9">
        <f>IF($A279="","",IFERROR($D279*$G279,0))</f>
        <v/>
      </c>
    </row>
    <row r="280">
      <c r="A280" s="38" t="n"/>
      <c r="B280" s="38" t="n"/>
      <c r="C280" s="38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9">
        <f>IF($A280="","",IFERROR($D280*$G280,0))</f>
        <v/>
      </c>
    </row>
    <row r="281">
      <c r="A281" s="38" t="n"/>
      <c r="B281" s="38" t="n"/>
      <c r="C281" s="38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9">
        <f>IF($A281="","",IFERROR($D281*$G281,0))</f>
        <v/>
      </c>
    </row>
    <row r="282">
      <c r="A282" s="38" t="n"/>
      <c r="B282" s="38" t="n"/>
      <c r="C282" s="38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9">
        <f>IF($A282="","",IFERROR($D282*$G282,0))</f>
        <v/>
      </c>
    </row>
    <row r="283">
      <c r="A283" s="38" t="n"/>
      <c r="B283" s="38" t="n"/>
      <c r="C283" s="38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9">
        <f>IF($A283="","",IFERROR($D283*$G283,0))</f>
        <v/>
      </c>
    </row>
    <row r="284">
      <c r="A284" s="38" t="n"/>
      <c r="B284" s="38" t="n"/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9">
        <f>IF($A284="","",IFERROR($D284*$G284,0))</f>
        <v/>
      </c>
    </row>
    <row r="285">
      <c r="A285" s="38" t="n"/>
      <c r="B285" s="38" t="n"/>
      <c r="C285" s="38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9">
        <f>IF($A285="","",IFERROR($D285*$G285,0))</f>
        <v/>
      </c>
    </row>
    <row r="286">
      <c r="A286" s="38" t="n"/>
      <c r="B286" s="38" t="n"/>
      <c r="C286" s="38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9">
        <f>IF($A286="","",IFERROR($D286*$G286,0))</f>
        <v/>
      </c>
    </row>
    <row r="287">
      <c r="A287" s="38" t="n"/>
      <c r="B287" s="38" t="n"/>
      <c r="C287" s="38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9">
        <f>IF($A287="","",IFERROR($D287*$G287,0))</f>
        <v/>
      </c>
    </row>
    <row r="288">
      <c r="A288" s="38" t="n"/>
      <c r="B288" s="38" t="n"/>
      <c r="C288" s="38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9">
        <f>IF($A288="","",IFERROR($D288*$G288,0))</f>
        <v/>
      </c>
    </row>
    <row r="289">
      <c r="A289" s="38" t="n"/>
      <c r="B289" s="38" t="n"/>
      <c r="C289" s="38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9">
        <f>IF($A289="","",IFERROR($D289*$G289,0))</f>
        <v/>
      </c>
    </row>
    <row r="290">
      <c r="A290" s="38" t="n"/>
      <c r="B290" s="38" t="n"/>
      <c r="C290" s="38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9">
        <f>IF($A290="","",IFERROR($D290*$G290,0))</f>
        <v/>
      </c>
    </row>
    <row r="291">
      <c r="A291" s="38" t="n"/>
      <c r="B291" s="38" t="n"/>
      <c r="C291" s="38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9">
        <f>IF($A291="","",IFERROR($D291*$G291,0))</f>
        <v/>
      </c>
    </row>
    <row r="292">
      <c r="A292" s="38" t="n"/>
      <c r="B292" s="38" t="n"/>
      <c r="C292" s="38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9">
        <f>IF($A292="","",IFERROR($D292*$G292,0))</f>
        <v/>
      </c>
    </row>
    <row r="293">
      <c r="A293" s="38" t="n"/>
      <c r="B293" s="38" t="n"/>
      <c r="C293" s="38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9">
        <f>IF($A293="","",IFERROR($D293*$G293,0))</f>
        <v/>
      </c>
    </row>
    <row r="294">
      <c r="A294" s="38" t="n"/>
      <c r="B294" s="38" t="n"/>
      <c r="C294" s="38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9">
        <f>IF($A294="","",IFERROR($D294*$G294,0))</f>
        <v/>
      </c>
    </row>
    <row r="295">
      <c r="A295" s="38" t="n"/>
      <c r="B295" s="38" t="n"/>
      <c r="C295" s="38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9">
        <f>IF($A295="","",IFERROR($D295*$G295,0))</f>
        <v/>
      </c>
    </row>
    <row r="296">
      <c r="A296" s="38" t="n"/>
      <c r="B296" s="38" t="n"/>
      <c r="C296" s="38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9">
        <f>IF($A296="","",IFERROR($D296*$G296,0))</f>
        <v/>
      </c>
    </row>
    <row r="297">
      <c r="A297" s="38" t="n"/>
      <c r="B297" s="38" t="n"/>
      <c r="C297" s="38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9">
        <f>IF($A297="","",IFERROR($D297*$G297,0))</f>
        <v/>
      </c>
    </row>
    <row r="298">
      <c r="A298" s="38" t="n"/>
      <c r="B298" s="38" t="n"/>
      <c r="C298" s="38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9">
        <f>IF($A298="","",IFERROR($D298*$G298,0))</f>
        <v/>
      </c>
    </row>
    <row r="299">
      <c r="A299" s="38" t="n"/>
      <c r="B299" s="38" t="n"/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9">
        <f>IF($A299="","",IFERROR($D299*$G299,0))</f>
        <v/>
      </c>
    </row>
    <row r="300">
      <c r="A300" s="38" t="n"/>
      <c r="B300" s="38" t="n"/>
      <c r="C300" s="38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9">
        <f>IF($A300="","",IFERROR($D300*$G300,0))</f>
        <v/>
      </c>
    </row>
    <row r="301">
      <c r="A301" s="38" t="n"/>
      <c r="B301" s="38" t="n"/>
      <c r="C301" s="38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9">
        <f>IF($A301="","",IFERROR($D301*$G301,0))</f>
        <v/>
      </c>
    </row>
    <row r="302">
      <c r="A302" s="38" t="n"/>
      <c r="B302" s="38" t="n"/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9">
        <f>IF($A302="","",IFERROR($D302*$G302,0))</f>
        <v/>
      </c>
    </row>
    <row r="303">
      <c r="A303" s="38" t="n"/>
      <c r="B303" s="38" t="n"/>
      <c r="C303" s="38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9">
        <f>IF($A303="","",IFERROR($D303*$G303,0))</f>
        <v/>
      </c>
    </row>
    <row r="304">
      <c r="A304" s="38" t="n"/>
      <c r="B304" s="38" t="n"/>
      <c r="C304" s="38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9">
        <f>IF($A304="","",IFERROR($D304*$G304,0))</f>
        <v/>
      </c>
    </row>
    <row r="305">
      <c r="A305" s="38" t="n"/>
      <c r="B305" s="38" t="n"/>
      <c r="C305" s="38" t="n"/>
      <c r="D305" s="38" t="n"/>
      <c r="E305" s="38" t="n"/>
      <c r="F305" s="38" t="n"/>
      <c r="G305" s="38" t="n"/>
      <c r="H305" s="38" t="n"/>
      <c r="I305" s="38" t="n"/>
      <c r="J305" s="38" t="n"/>
      <c r="K305" s="38" t="n"/>
      <c r="L305" s="39">
        <f>IF($A305="","",IFERROR($D305*$G305,0))</f>
        <v/>
      </c>
    </row>
    <row r="306">
      <c r="A306" s="38" t="n"/>
      <c r="B306" s="38" t="n"/>
      <c r="C306" s="38" t="n"/>
      <c r="D306" s="38" t="n"/>
      <c r="E306" s="38" t="n"/>
      <c r="F306" s="38" t="n"/>
      <c r="G306" s="38" t="n"/>
      <c r="H306" s="38" t="n"/>
      <c r="I306" s="38" t="n"/>
      <c r="J306" s="38" t="n"/>
      <c r="K306" s="38" t="n"/>
      <c r="L306" s="39">
        <f>IF($A306="","",IFERROR($D306*$G306,0))</f>
        <v/>
      </c>
    </row>
    <row r="307">
      <c r="A307" s="38" t="n"/>
      <c r="B307" s="38" t="n"/>
      <c r="C307" s="38" t="n"/>
      <c r="D307" s="38" t="n"/>
      <c r="E307" s="38" t="n"/>
      <c r="F307" s="38" t="n"/>
      <c r="G307" s="38" t="n"/>
      <c r="H307" s="38" t="n"/>
      <c r="I307" s="38" t="n"/>
      <c r="J307" s="38" t="n"/>
      <c r="K307" s="38" t="n"/>
      <c r="L307" s="39">
        <f>IF($A307="","",IFERROR($D307*$G307,0))</f>
        <v/>
      </c>
    </row>
    <row r="308">
      <c r="A308" s="38" t="n"/>
      <c r="B308" s="38" t="n"/>
      <c r="C308" s="38" t="n"/>
      <c r="D308" s="38" t="n"/>
      <c r="E308" s="38" t="n"/>
      <c r="F308" s="38" t="n"/>
      <c r="G308" s="38" t="n"/>
      <c r="H308" s="38" t="n"/>
      <c r="I308" s="38" t="n"/>
      <c r="J308" s="38" t="n"/>
      <c r="K308" s="38" t="n"/>
      <c r="L308" s="39">
        <f>IF($A308="","",IFERROR($D308*$G308,0))</f>
        <v/>
      </c>
    </row>
    <row r="309">
      <c r="A309" s="38" t="n"/>
      <c r="B309" s="38" t="n"/>
      <c r="C309" s="38" t="n"/>
      <c r="D309" s="38" t="n"/>
      <c r="E309" s="38" t="n"/>
      <c r="F309" s="38" t="n"/>
      <c r="G309" s="38" t="n"/>
      <c r="H309" s="38" t="n"/>
      <c r="I309" s="38" t="n"/>
      <c r="J309" s="38" t="n"/>
      <c r="K309" s="38" t="n"/>
      <c r="L309" s="39">
        <f>IF($A309="","",IFERROR($D309*$G309,0))</f>
        <v/>
      </c>
    </row>
    <row r="310">
      <c r="A310" s="38" t="n"/>
      <c r="B310" s="38" t="n"/>
      <c r="C310" s="38" t="n"/>
      <c r="D310" s="38" t="n"/>
      <c r="E310" s="38" t="n"/>
      <c r="F310" s="38" t="n"/>
      <c r="G310" s="38" t="n"/>
      <c r="H310" s="38" t="n"/>
      <c r="I310" s="38" t="n"/>
      <c r="J310" s="38" t="n"/>
      <c r="K310" s="38" t="n"/>
      <c r="L310" s="39">
        <f>IF($A310="","",IFERROR($D310*$G310,0))</f>
        <v/>
      </c>
    </row>
    <row r="311">
      <c r="A311" s="38" t="n"/>
      <c r="B311" s="38" t="n"/>
      <c r="C311" s="38" t="n"/>
      <c r="D311" s="38" t="n"/>
      <c r="E311" s="38" t="n"/>
      <c r="F311" s="38" t="n"/>
      <c r="G311" s="38" t="n"/>
      <c r="H311" s="38" t="n"/>
      <c r="I311" s="38" t="n"/>
      <c r="J311" s="38" t="n"/>
      <c r="K311" s="38" t="n"/>
      <c r="L311" s="39">
        <f>IF($A311="","",IFERROR($D311*$G311,0))</f>
        <v/>
      </c>
    </row>
    <row r="312">
      <c r="A312" s="38" t="n"/>
      <c r="B312" s="38" t="n"/>
      <c r="C312" s="38" t="n"/>
      <c r="D312" s="38" t="n"/>
      <c r="E312" s="38" t="n"/>
      <c r="F312" s="38" t="n"/>
      <c r="G312" s="38" t="n"/>
      <c r="H312" s="38" t="n"/>
      <c r="I312" s="38" t="n"/>
      <c r="J312" s="38" t="n"/>
      <c r="K312" s="38" t="n"/>
      <c r="L312" s="39">
        <f>IF($A312="","",IFERROR($D312*$G312,0))</f>
        <v/>
      </c>
    </row>
    <row r="313">
      <c r="A313" s="38" t="n"/>
      <c r="B313" s="38" t="n"/>
      <c r="C313" s="38" t="n"/>
      <c r="D313" s="38" t="n"/>
      <c r="E313" s="38" t="n"/>
      <c r="F313" s="38" t="n"/>
      <c r="G313" s="38" t="n"/>
      <c r="H313" s="38" t="n"/>
      <c r="I313" s="38" t="n"/>
      <c r="J313" s="38" t="n"/>
      <c r="K313" s="38" t="n"/>
      <c r="L313" s="39">
        <f>IF($A313="","",IFERROR($D313*$G313,0))</f>
        <v/>
      </c>
    </row>
    <row r="314">
      <c r="A314" s="38" t="n"/>
      <c r="B314" s="38" t="n"/>
      <c r="C314" s="38" t="n"/>
      <c r="D314" s="38" t="n"/>
      <c r="E314" s="38" t="n"/>
      <c r="F314" s="38" t="n"/>
      <c r="G314" s="38" t="n"/>
      <c r="H314" s="38" t="n"/>
      <c r="I314" s="38" t="n"/>
      <c r="J314" s="38" t="n"/>
      <c r="K314" s="38" t="n"/>
      <c r="L314" s="39">
        <f>IF($A314="","",IFERROR($D314*$G314,0))</f>
        <v/>
      </c>
    </row>
    <row r="315">
      <c r="A315" s="38" t="n"/>
      <c r="B315" s="38" t="n"/>
      <c r="C315" s="38" t="n"/>
      <c r="D315" s="38" t="n"/>
      <c r="E315" s="38" t="n"/>
      <c r="F315" s="38" t="n"/>
      <c r="G315" s="38" t="n"/>
      <c r="H315" s="38" t="n"/>
      <c r="I315" s="38" t="n"/>
      <c r="J315" s="38" t="n"/>
      <c r="K315" s="38" t="n"/>
      <c r="L315" s="39">
        <f>IF($A315="","",IFERROR($D315*$G315,0))</f>
        <v/>
      </c>
    </row>
    <row r="316">
      <c r="A316" s="38" t="n"/>
      <c r="B316" s="38" t="n"/>
      <c r="C316" s="38" t="n"/>
      <c r="D316" s="38" t="n"/>
      <c r="E316" s="38" t="n"/>
      <c r="F316" s="38" t="n"/>
      <c r="G316" s="38" t="n"/>
      <c r="H316" s="38" t="n"/>
      <c r="I316" s="38" t="n"/>
      <c r="J316" s="38" t="n"/>
      <c r="K316" s="38" t="n"/>
      <c r="L316" s="39">
        <f>IF($A316="","",IFERROR($D316*$G316,0))</f>
        <v/>
      </c>
    </row>
    <row r="317">
      <c r="A317" s="38" t="n"/>
      <c r="B317" s="38" t="n"/>
      <c r="C317" s="38" t="n"/>
      <c r="D317" s="38" t="n"/>
      <c r="E317" s="38" t="n"/>
      <c r="F317" s="38" t="n"/>
      <c r="G317" s="38" t="n"/>
      <c r="H317" s="38" t="n"/>
      <c r="I317" s="38" t="n"/>
      <c r="J317" s="38" t="n"/>
      <c r="K317" s="38" t="n"/>
      <c r="L317" s="39">
        <f>IF($A317="","",IFERROR($D317*$G317,0))</f>
        <v/>
      </c>
    </row>
    <row r="318">
      <c r="A318" s="38" t="n"/>
      <c r="B318" s="38" t="n"/>
      <c r="C318" s="38" t="n"/>
      <c r="D318" s="38" t="n"/>
      <c r="E318" s="38" t="n"/>
      <c r="F318" s="38" t="n"/>
      <c r="G318" s="38" t="n"/>
      <c r="H318" s="38" t="n"/>
      <c r="I318" s="38" t="n"/>
      <c r="J318" s="38" t="n"/>
      <c r="K318" s="38" t="n"/>
      <c r="L318" s="39">
        <f>IF($A318="","",IFERROR($D318*$G318,0))</f>
        <v/>
      </c>
    </row>
    <row r="319">
      <c r="A319" s="38" t="n"/>
      <c r="B319" s="38" t="n"/>
      <c r="C319" s="38" t="n"/>
      <c r="D319" s="38" t="n"/>
      <c r="E319" s="38" t="n"/>
      <c r="F319" s="38" t="n"/>
      <c r="G319" s="38" t="n"/>
      <c r="H319" s="38" t="n"/>
      <c r="I319" s="38" t="n"/>
      <c r="J319" s="38" t="n"/>
      <c r="K319" s="38" t="n"/>
      <c r="L319" s="39">
        <f>IF($A319="","",IFERROR($D319*$G319,0))</f>
        <v/>
      </c>
    </row>
    <row r="320">
      <c r="A320" s="38" t="n"/>
      <c r="B320" s="38" t="n"/>
      <c r="C320" s="38" t="n"/>
      <c r="D320" s="38" t="n"/>
      <c r="E320" s="38" t="n"/>
      <c r="F320" s="38" t="n"/>
      <c r="G320" s="38" t="n"/>
      <c r="H320" s="38" t="n"/>
      <c r="I320" s="38" t="n"/>
      <c r="J320" s="38" t="n"/>
      <c r="K320" s="38" t="n"/>
      <c r="L320" s="39">
        <f>IF($A320="","",IFERROR($D320*$G320,0))</f>
        <v/>
      </c>
    </row>
    <row r="321">
      <c r="A321" s="38" t="n"/>
      <c r="B321" s="38" t="n"/>
      <c r="C321" s="38" t="n"/>
      <c r="D321" s="38" t="n"/>
      <c r="E321" s="38" t="n"/>
      <c r="F321" s="38" t="n"/>
      <c r="G321" s="38" t="n"/>
      <c r="H321" s="38" t="n"/>
      <c r="I321" s="38" t="n"/>
      <c r="J321" s="38" t="n"/>
      <c r="K321" s="38" t="n"/>
      <c r="L321" s="39">
        <f>IF($A321="","",IFERROR($D321*$G321,0))</f>
        <v/>
      </c>
    </row>
    <row r="322">
      <c r="A322" s="38" t="n"/>
      <c r="B322" s="38" t="n"/>
      <c r="C322" s="38" t="n"/>
      <c r="D322" s="38" t="n"/>
      <c r="E322" s="38" t="n"/>
      <c r="F322" s="38" t="n"/>
      <c r="G322" s="38" t="n"/>
      <c r="H322" s="38" t="n"/>
      <c r="I322" s="38" t="n"/>
      <c r="J322" s="38" t="n"/>
      <c r="K322" s="38" t="n"/>
      <c r="L322" s="39">
        <f>IF($A322="","",IFERROR($D322*$G322,0))</f>
        <v/>
      </c>
    </row>
    <row r="323">
      <c r="A323" s="38" t="n"/>
      <c r="B323" s="38" t="n"/>
      <c r="C323" s="38" t="n"/>
      <c r="D323" s="38" t="n"/>
      <c r="E323" s="38" t="n"/>
      <c r="F323" s="38" t="n"/>
      <c r="G323" s="38" t="n"/>
      <c r="H323" s="38" t="n"/>
      <c r="I323" s="38" t="n"/>
      <c r="J323" s="38" t="n"/>
      <c r="K323" s="38" t="n"/>
      <c r="L323" s="39">
        <f>IF($A323="","",IFERROR($D323*$G323,0))</f>
        <v/>
      </c>
    </row>
    <row r="324">
      <c r="A324" s="38" t="n"/>
      <c r="B324" s="38" t="n"/>
      <c r="C324" s="38" t="n"/>
      <c r="D324" s="38" t="n"/>
      <c r="E324" s="38" t="n"/>
      <c r="F324" s="38" t="n"/>
      <c r="G324" s="38" t="n"/>
      <c r="H324" s="38" t="n"/>
      <c r="I324" s="38" t="n"/>
      <c r="J324" s="38" t="n"/>
      <c r="K324" s="38" t="n"/>
      <c r="L324" s="39">
        <f>IF($A324="","",IFERROR($D324*$G324,0))</f>
        <v/>
      </c>
    </row>
    <row r="325">
      <c r="A325" s="38" t="n"/>
      <c r="B325" s="38" t="n"/>
      <c r="C325" s="38" t="n"/>
      <c r="D325" s="38" t="n"/>
      <c r="E325" s="38" t="n"/>
      <c r="F325" s="38" t="n"/>
      <c r="G325" s="38" t="n"/>
      <c r="H325" s="38" t="n"/>
      <c r="I325" s="38" t="n"/>
      <c r="J325" s="38" t="n"/>
      <c r="K325" s="38" t="n"/>
      <c r="L325" s="39">
        <f>IF($A325="","",IFERROR($D325*$G325,0))</f>
        <v/>
      </c>
    </row>
    <row r="326">
      <c r="A326" s="38" t="n"/>
      <c r="B326" s="38" t="n"/>
      <c r="C326" s="38" t="n"/>
      <c r="D326" s="38" t="n"/>
      <c r="E326" s="38" t="n"/>
      <c r="F326" s="38" t="n"/>
      <c r="G326" s="38" t="n"/>
      <c r="H326" s="38" t="n"/>
      <c r="I326" s="38" t="n"/>
      <c r="J326" s="38" t="n"/>
      <c r="K326" s="38" t="n"/>
      <c r="L326" s="39">
        <f>IF($A326="","",IFERROR($D326*$G326,0))</f>
        <v/>
      </c>
    </row>
    <row r="327">
      <c r="A327" s="38" t="n"/>
      <c r="B327" s="38" t="n"/>
      <c r="C327" s="38" t="n"/>
      <c r="D327" s="38" t="n"/>
      <c r="E327" s="38" t="n"/>
      <c r="F327" s="38" t="n"/>
      <c r="G327" s="38" t="n"/>
      <c r="H327" s="38" t="n"/>
      <c r="I327" s="38" t="n"/>
      <c r="J327" s="38" t="n"/>
      <c r="K327" s="38" t="n"/>
      <c r="L327" s="39">
        <f>IF($A327="","",IFERROR($D327*$G327,0))</f>
        <v/>
      </c>
    </row>
    <row r="328">
      <c r="A328" s="38" t="n"/>
      <c r="B328" s="38" t="n"/>
      <c r="C328" s="38" t="n"/>
      <c r="D328" s="38" t="n"/>
      <c r="E328" s="38" t="n"/>
      <c r="F328" s="38" t="n"/>
      <c r="G328" s="38" t="n"/>
      <c r="H328" s="38" t="n"/>
      <c r="I328" s="38" t="n"/>
      <c r="J328" s="38" t="n"/>
      <c r="K328" s="38" t="n"/>
      <c r="L328" s="39">
        <f>IF($A328="","",IFERROR($D328*$G328,0))</f>
        <v/>
      </c>
    </row>
    <row r="329">
      <c r="A329" s="38" t="n"/>
      <c r="B329" s="38" t="n"/>
      <c r="C329" s="38" t="n"/>
      <c r="D329" s="38" t="n"/>
      <c r="E329" s="38" t="n"/>
      <c r="F329" s="38" t="n"/>
      <c r="G329" s="38" t="n"/>
      <c r="H329" s="38" t="n"/>
      <c r="I329" s="38" t="n"/>
      <c r="J329" s="38" t="n"/>
      <c r="K329" s="38" t="n"/>
      <c r="L329" s="39">
        <f>IF($A329="","",IFERROR($D329*$G329,0))</f>
        <v/>
      </c>
    </row>
    <row r="330">
      <c r="A330" s="38" t="n"/>
      <c r="B330" s="38" t="n"/>
      <c r="C330" s="38" t="n"/>
      <c r="D330" s="38" t="n"/>
      <c r="E330" s="38" t="n"/>
      <c r="F330" s="38" t="n"/>
      <c r="G330" s="38" t="n"/>
      <c r="H330" s="38" t="n"/>
      <c r="I330" s="38" t="n"/>
      <c r="J330" s="38" t="n"/>
      <c r="K330" s="38" t="n"/>
      <c r="L330" s="39">
        <f>IF($A330="","",IFERROR($D330*$G330,0))</f>
        <v/>
      </c>
    </row>
    <row r="331">
      <c r="A331" s="38" t="n"/>
      <c r="B331" s="38" t="n"/>
      <c r="C331" s="38" t="n"/>
      <c r="D331" s="38" t="n"/>
      <c r="E331" s="38" t="n"/>
      <c r="F331" s="38" t="n"/>
      <c r="G331" s="38" t="n"/>
      <c r="H331" s="38" t="n"/>
      <c r="I331" s="38" t="n"/>
      <c r="J331" s="38" t="n"/>
      <c r="K331" s="38" t="n"/>
      <c r="L331" s="39">
        <f>IF($A331="","",IFERROR($D331*$G331,0))</f>
        <v/>
      </c>
    </row>
    <row r="332">
      <c r="A332" s="38" t="n"/>
      <c r="B332" s="38" t="n"/>
      <c r="C332" s="38" t="n"/>
      <c r="D332" s="38" t="n"/>
      <c r="E332" s="38" t="n"/>
      <c r="F332" s="38" t="n"/>
      <c r="G332" s="38" t="n"/>
      <c r="H332" s="38" t="n"/>
      <c r="I332" s="38" t="n"/>
      <c r="J332" s="38" t="n"/>
      <c r="K332" s="38" t="n"/>
      <c r="L332" s="39">
        <f>IF($A332="","",IFERROR($D332*$G332,0))</f>
        <v/>
      </c>
    </row>
    <row r="333">
      <c r="A333" s="38" t="n"/>
      <c r="B333" s="38" t="n"/>
      <c r="C333" s="38" t="n"/>
      <c r="D333" s="38" t="n"/>
      <c r="E333" s="38" t="n"/>
      <c r="F333" s="38" t="n"/>
      <c r="G333" s="38" t="n"/>
      <c r="H333" s="38" t="n"/>
      <c r="I333" s="38" t="n"/>
      <c r="J333" s="38" t="n"/>
      <c r="K333" s="38" t="n"/>
      <c r="L333" s="39">
        <f>IF($A333="","",IFERROR($D333*$G333,0))</f>
        <v/>
      </c>
    </row>
    <row r="334">
      <c r="A334" s="38" t="n"/>
      <c r="B334" s="38" t="n"/>
      <c r="C334" s="38" t="n"/>
      <c r="D334" s="38" t="n"/>
      <c r="E334" s="38" t="n"/>
      <c r="F334" s="38" t="n"/>
      <c r="G334" s="38" t="n"/>
      <c r="H334" s="38" t="n"/>
      <c r="I334" s="38" t="n"/>
      <c r="J334" s="38" t="n"/>
      <c r="K334" s="38" t="n"/>
      <c r="L334" s="39">
        <f>IF($A334="","",IFERROR($D334*$G334,0))</f>
        <v/>
      </c>
    </row>
    <row r="335">
      <c r="A335" s="38" t="n"/>
      <c r="B335" s="38" t="n"/>
      <c r="C335" s="38" t="n"/>
      <c r="D335" s="38" t="n"/>
      <c r="E335" s="38" t="n"/>
      <c r="F335" s="38" t="n"/>
      <c r="G335" s="38" t="n"/>
      <c r="H335" s="38" t="n"/>
      <c r="I335" s="38" t="n"/>
      <c r="J335" s="38" t="n"/>
      <c r="K335" s="38" t="n"/>
      <c r="L335" s="39">
        <f>IF($A335="","",IFERROR($D335*$G335,0))</f>
        <v/>
      </c>
    </row>
    <row r="336">
      <c r="A336" s="38" t="n"/>
      <c r="B336" s="38" t="n"/>
      <c r="C336" s="38" t="n"/>
      <c r="D336" s="38" t="n"/>
      <c r="E336" s="38" t="n"/>
      <c r="F336" s="38" t="n"/>
      <c r="G336" s="38" t="n"/>
      <c r="H336" s="38" t="n"/>
      <c r="I336" s="38" t="n"/>
      <c r="J336" s="38" t="n"/>
      <c r="K336" s="38" t="n"/>
      <c r="L336" s="39">
        <f>IF($A336="","",IFERROR($D336*$G336,0))</f>
        <v/>
      </c>
    </row>
    <row r="337">
      <c r="A337" s="38" t="n"/>
      <c r="B337" s="38" t="n"/>
      <c r="C337" s="38" t="n"/>
      <c r="D337" s="38" t="n"/>
      <c r="E337" s="38" t="n"/>
      <c r="F337" s="38" t="n"/>
      <c r="G337" s="38" t="n"/>
      <c r="H337" s="38" t="n"/>
      <c r="I337" s="38" t="n"/>
      <c r="J337" s="38" t="n"/>
      <c r="K337" s="38" t="n"/>
      <c r="L337" s="39">
        <f>IF($A337="","",IFERROR($D337*$G337,0))</f>
        <v/>
      </c>
    </row>
    <row r="338">
      <c r="A338" s="38" t="n"/>
      <c r="B338" s="38" t="n"/>
      <c r="C338" s="38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9">
        <f>IF($A338="","",IFERROR($D338*$G338,0))</f>
        <v/>
      </c>
    </row>
    <row r="339">
      <c r="A339" s="38" t="n"/>
      <c r="B339" s="38" t="n"/>
      <c r="C339" s="38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9">
        <f>IF($A339="","",IFERROR($D339*$G339,0))</f>
        <v/>
      </c>
    </row>
    <row r="340">
      <c r="A340" s="38" t="n"/>
      <c r="B340" s="38" t="n"/>
      <c r="C340" s="38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9">
        <f>IF($A340="","",IFERROR($D340*$G340,0))</f>
        <v/>
      </c>
    </row>
    <row r="341">
      <c r="A341" s="38" t="n"/>
      <c r="B341" s="38" t="n"/>
      <c r="C341" s="38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9">
        <f>IF($A341="","",IFERROR($D341*$G341,0))</f>
        <v/>
      </c>
    </row>
    <row r="342">
      <c r="A342" s="38" t="n"/>
      <c r="B342" s="38" t="n"/>
      <c r="C342" s="38" t="n"/>
      <c r="D342" s="38" t="n"/>
      <c r="E342" s="38" t="n"/>
      <c r="F342" s="38" t="n"/>
      <c r="G342" s="38" t="n"/>
      <c r="H342" s="38" t="n"/>
      <c r="I342" s="38" t="n"/>
      <c r="J342" s="38" t="n"/>
      <c r="K342" s="38" t="n"/>
      <c r="L342" s="39">
        <f>IF($A342="","",IFERROR($D342*$G342,0))</f>
        <v/>
      </c>
    </row>
    <row r="343">
      <c r="A343" s="38" t="n"/>
      <c r="B343" s="38" t="n"/>
      <c r="C343" s="38" t="n"/>
      <c r="D343" s="38" t="n"/>
      <c r="E343" s="38" t="n"/>
      <c r="F343" s="38" t="n"/>
      <c r="G343" s="38" t="n"/>
      <c r="H343" s="38" t="n"/>
      <c r="I343" s="38" t="n"/>
      <c r="J343" s="38" t="n"/>
      <c r="K343" s="38" t="n"/>
      <c r="L343" s="39">
        <f>IF($A343="","",IFERROR($D343*$G343,0))</f>
        <v/>
      </c>
    </row>
    <row r="344">
      <c r="A344" s="38" t="n"/>
      <c r="B344" s="38" t="n"/>
      <c r="C344" s="38" t="n"/>
      <c r="D344" s="38" t="n"/>
      <c r="E344" s="38" t="n"/>
      <c r="F344" s="38" t="n"/>
      <c r="G344" s="38" t="n"/>
      <c r="H344" s="38" t="n"/>
      <c r="I344" s="38" t="n"/>
      <c r="J344" s="38" t="n"/>
      <c r="K344" s="38" t="n"/>
      <c r="L344" s="39">
        <f>IF($A344="","",IFERROR($D344*$G344,0))</f>
        <v/>
      </c>
    </row>
    <row r="345">
      <c r="A345" s="38" t="n"/>
      <c r="B345" s="38" t="n"/>
      <c r="C345" s="38" t="n"/>
      <c r="D345" s="38" t="n"/>
      <c r="E345" s="38" t="n"/>
      <c r="F345" s="38" t="n"/>
      <c r="G345" s="38" t="n"/>
      <c r="H345" s="38" t="n"/>
      <c r="I345" s="38" t="n"/>
      <c r="J345" s="38" t="n"/>
      <c r="K345" s="38" t="n"/>
      <c r="L345" s="39">
        <f>IF($A345="","",IFERROR($D345*$G345,0))</f>
        <v/>
      </c>
    </row>
    <row r="346">
      <c r="A346" s="38" t="n"/>
      <c r="B346" s="38" t="n"/>
      <c r="C346" s="38" t="n"/>
      <c r="D346" s="38" t="n"/>
      <c r="E346" s="38" t="n"/>
      <c r="F346" s="38" t="n"/>
      <c r="G346" s="38" t="n"/>
      <c r="H346" s="38" t="n"/>
      <c r="I346" s="38" t="n"/>
      <c r="J346" s="38" t="n"/>
      <c r="K346" s="38" t="n"/>
      <c r="L346" s="39">
        <f>IF($A346="","",IFERROR($D346*$G346,0))</f>
        <v/>
      </c>
    </row>
    <row r="347">
      <c r="A347" s="38" t="n"/>
      <c r="B347" s="38" t="n"/>
      <c r="C347" s="38" t="n"/>
      <c r="D347" s="38" t="n"/>
      <c r="E347" s="38" t="n"/>
      <c r="F347" s="38" t="n"/>
      <c r="G347" s="38" t="n"/>
      <c r="H347" s="38" t="n"/>
      <c r="I347" s="38" t="n"/>
      <c r="J347" s="38" t="n"/>
      <c r="K347" s="38" t="n"/>
      <c r="L347" s="39">
        <f>IF($A347="","",IFERROR($D347*$G347,0))</f>
        <v/>
      </c>
    </row>
    <row r="348">
      <c r="A348" s="38" t="n"/>
      <c r="B348" s="38" t="n"/>
      <c r="C348" s="38" t="n"/>
      <c r="D348" s="38" t="n"/>
      <c r="E348" s="38" t="n"/>
      <c r="F348" s="38" t="n"/>
      <c r="G348" s="38" t="n"/>
      <c r="H348" s="38" t="n"/>
      <c r="I348" s="38" t="n"/>
      <c r="J348" s="38" t="n"/>
      <c r="K348" s="38" t="n"/>
      <c r="L348" s="39">
        <f>IF($A348="","",IFERROR($D348*$G348,0))</f>
        <v/>
      </c>
    </row>
    <row r="349">
      <c r="A349" s="38" t="n"/>
      <c r="B349" s="38" t="n"/>
      <c r="C349" s="38" t="n"/>
      <c r="D349" s="38" t="n"/>
      <c r="E349" s="38" t="n"/>
      <c r="F349" s="38" t="n"/>
      <c r="G349" s="38" t="n"/>
      <c r="H349" s="38" t="n"/>
      <c r="I349" s="38" t="n"/>
      <c r="J349" s="38" t="n"/>
      <c r="K349" s="38" t="n"/>
      <c r="L349" s="39">
        <f>IF($A349="","",IFERROR($D349*$G349,0))</f>
        <v/>
      </c>
    </row>
    <row r="350">
      <c r="A350" s="38" t="n"/>
      <c r="B350" s="38" t="n"/>
      <c r="C350" s="38" t="n"/>
      <c r="D350" s="38" t="n"/>
      <c r="E350" s="38" t="n"/>
      <c r="F350" s="38" t="n"/>
      <c r="G350" s="38" t="n"/>
      <c r="H350" s="38" t="n"/>
      <c r="I350" s="38" t="n"/>
      <c r="J350" s="38" t="n"/>
      <c r="K350" s="38" t="n"/>
      <c r="L350" s="39">
        <f>IF($A350="","",IFERROR($D350*$G350,0))</f>
        <v/>
      </c>
    </row>
    <row r="351">
      <c r="A351" s="38" t="n"/>
      <c r="B351" s="38" t="n"/>
      <c r="C351" s="38" t="n"/>
      <c r="D351" s="38" t="n"/>
      <c r="E351" s="38" t="n"/>
      <c r="F351" s="38" t="n"/>
      <c r="G351" s="38" t="n"/>
      <c r="H351" s="38" t="n"/>
      <c r="I351" s="38" t="n"/>
      <c r="J351" s="38" t="n"/>
      <c r="K351" s="38" t="n"/>
      <c r="L351" s="39">
        <f>IF($A351="","",IFERROR($D351*$G351,0))</f>
        <v/>
      </c>
    </row>
    <row r="352">
      <c r="A352" s="38" t="n"/>
      <c r="B352" s="38" t="n"/>
      <c r="C352" s="38" t="n"/>
      <c r="D352" s="38" t="n"/>
      <c r="E352" s="38" t="n"/>
      <c r="F352" s="38" t="n"/>
      <c r="G352" s="38" t="n"/>
      <c r="H352" s="38" t="n"/>
      <c r="I352" s="38" t="n"/>
      <c r="J352" s="38" t="n"/>
      <c r="K352" s="38" t="n"/>
      <c r="L352" s="39">
        <f>IF($A352="","",IFERROR($D352*$G352,0))</f>
        <v/>
      </c>
    </row>
    <row r="353">
      <c r="A353" s="38" t="n"/>
      <c r="B353" s="38" t="n"/>
      <c r="C353" s="38" t="n"/>
      <c r="D353" s="38" t="n"/>
      <c r="E353" s="38" t="n"/>
      <c r="F353" s="38" t="n"/>
      <c r="G353" s="38" t="n"/>
      <c r="H353" s="38" t="n"/>
      <c r="I353" s="38" t="n"/>
      <c r="J353" s="38" t="n"/>
      <c r="K353" s="38" t="n"/>
      <c r="L353" s="39">
        <f>IF($A353="","",IFERROR($D353*$G353,0))</f>
        <v/>
      </c>
    </row>
    <row r="354">
      <c r="A354" s="38" t="n"/>
      <c r="B354" s="38" t="n"/>
      <c r="C354" s="38" t="n"/>
      <c r="D354" s="38" t="n"/>
      <c r="E354" s="38" t="n"/>
      <c r="F354" s="38" t="n"/>
      <c r="G354" s="38" t="n"/>
      <c r="H354" s="38" t="n"/>
      <c r="I354" s="38" t="n"/>
      <c r="J354" s="38" t="n"/>
      <c r="K354" s="38" t="n"/>
      <c r="L354" s="39">
        <f>IF($A354="","",IFERROR($D354*$G354,0))</f>
        <v/>
      </c>
    </row>
    <row r="355">
      <c r="A355" s="38" t="n"/>
      <c r="B355" s="38" t="n"/>
      <c r="C355" s="38" t="n"/>
      <c r="D355" s="38" t="n"/>
      <c r="E355" s="38" t="n"/>
      <c r="F355" s="38" t="n"/>
      <c r="G355" s="38" t="n"/>
      <c r="H355" s="38" t="n"/>
      <c r="I355" s="38" t="n"/>
      <c r="J355" s="38" t="n"/>
      <c r="K355" s="38" t="n"/>
      <c r="L355" s="39">
        <f>IF($A355="","",IFERROR($D355*$G355,0))</f>
        <v/>
      </c>
    </row>
    <row r="356">
      <c r="A356" s="38" t="n"/>
      <c r="B356" s="38" t="n"/>
      <c r="C356" s="38" t="n"/>
      <c r="D356" s="38" t="n"/>
      <c r="E356" s="38" t="n"/>
      <c r="F356" s="38" t="n"/>
      <c r="G356" s="38" t="n"/>
      <c r="H356" s="38" t="n"/>
      <c r="I356" s="38" t="n"/>
      <c r="J356" s="38" t="n"/>
      <c r="K356" s="38" t="n"/>
      <c r="L356" s="39">
        <f>IF($A356="","",IFERROR($D356*$G356,0))</f>
        <v/>
      </c>
    </row>
    <row r="357">
      <c r="A357" s="38" t="n"/>
      <c r="B357" s="38" t="n"/>
      <c r="C357" s="38" t="n"/>
      <c r="D357" s="38" t="n"/>
      <c r="E357" s="38" t="n"/>
      <c r="F357" s="38" t="n"/>
      <c r="G357" s="38" t="n"/>
      <c r="H357" s="38" t="n"/>
      <c r="I357" s="38" t="n"/>
      <c r="J357" s="38" t="n"/>
      <c r="K357" s="38" t="n"/>
      <c r="L357" s="39">
        <f>IF($A357="","",IFERROR($D357*$G357,0))</f>
        <v/>
      </c>
    </row>
    <row r="358">
      <c r="A358" s="38" t="n"/>
      <c r="B358" s="38" t="n"/>
      <c r="C358" s="38" t="n"/>
      <c r="D358" s="38" t="n"/>
      <c r="E358" s="38" t="n"/>
      <c r="F358" s="38" t="n"/>
      <c r="G358" s="38" t="n"/>
      <c r="H358" s="38" t="n"/>
      <c r="I358" s="38" t="n"/>
      <c r="J358" s="38" t="n"/>
      <c r="K358" s="38" t="n"/>
      <c r="L358" s="39">
        <f>IF($A358="","",IFERROR($D358*$G358,0))</f>
        <v/>
      </c>
    </row>
    <row r="359">
      <c r="A359" s="38" t="n"/>
      <c r="B359" s="38" t="n"/>
      <c r="C359" s="38" t="n"/>
      <c r="D359" s="38" t="n"/>
      <c r="E359" s="38" t="n"/>
      <c r="F359" s="38" t="n"/>
      <c r="G359" s="38" t="n"/>
      <c r="H359" s="38" t="n"/>
      <c r="I359" s="38" t="n"/>
      <c r="J359" s="38" t="n"/>
      <c r="K359" s="38" t="n"/>
      <c r="L359" s="39">
        <f>IF($A359="","",IFERROR($D359*$G359,0))</f>
        <v/>
      </c>
    </row>
    <row r="360">
      <c r="A360" s="38" t="n"/>
      <c r="B360" s="38" t="n"/>
      <c r="C360" s="38" t="n"/>
      <c r="D360" s="38" t="n"/>
      <c r="E360" s="38" t="n"/>
      <c r="F360" s="38" t="n"/>
      <c r="G360" s="38" t="n"/>
      <c r="H360" s="38" t="n"/>
      <c r="I360" s="38" t="n"/>
      <c r="J360" s="38" t="n"/>
      <c r="K360" s="38" t="n"/>
      <c r="L360" s="39">
        <f>IF($A360="","",IFERROR($D360*$G360,0))</f>
        <v/>
      </c>
    </row>
    <row r="361">
      <c r="A361" s="38" t="n"/>
      <c r="B361" s="38" t="n"/>
      <c r="C361" s="38" t="n"/>
      <c r="D361" s="38" t="n"/>
      <c r="E361" s="38" t="n"/>
      <c r="F361" s="38" t="n"/>
      <c r="G361" s="38" t="n"/>
      <c r="H361" s="38" t="n"/>
      <c r="I361" s="38" t="n"/>
      <c r="J361" s="38" t="n"/>
      <c r="K361" s="38" t="n"/>
      <c r="L361" s="39">
        <f>IF($A361="","",IFERROR($D361*$G361,0))</f>
        <v/>
      </c>
    </row>
    <row r="362">
      <c r="A362" s="38" t="n"/>
      <c r="B362" s="38" t="n"/>
      <c r="C362" s="38" t="n"/>
      <c r="D362" s="38" t="n"/>
      <c r="E362" s="38" t="n"/>
      <c r="F362" s="38" t="n"/>
      <c r="G362" s="38" t="n"/>
      <c r="H362" s="38" t="n"/>
      <c r="I362" s="38" t="n"/>
      <c r="J362" s="38" t="n"/>
      <c r="K362" s="38" t="n"/>
      <c r="L362" s="39">
        <f>IF($A362="","",IFERROR($D362*$G362,0))</f>
        <v/>
      </c>
    </row>
    <row r="363">
      <c r="A363" s="38" t="n"/>
      <c r="B363" s="38" t="n"/>
      <c r="C363" s="38" t="n"/>
      <c r="D363" s="38" t="n"/>
      <c r="E363" s="38" t="n"/>
      <c r="F363" s="38" t="n"/>
      <c r="G363" s="38" t="n"/>
      <c r="H363" s="38" t="n"/>
      <c r="I363" s="38" t="n"/>
      <c r="J363" s="38" t="n"/>
      <c r="K363" s="38" t="n"/>
      <c r="L363" s="39">
        <f>IF($A363="","",IFERROR($D363*$G363,0))</f>
        <v/>
      </c>
    </row>
    <row r="364">
      <c r="A364" s="38" t="n"/>
      <c r="B364" s="38" t="n"/>
      <c r="C364" s="38" t="n"/>
      <c r="D364" s="38" t="n"/>
      <c r="E364" s="38" t="n"/>
      <c r="F364" s="38" t="n"/>
      <c r="G364" s="38" t="n"/>
      <c r="H364" s="38" t="n"/>
      <c r="I364" s="38" t="n"/>
      <c r="J364" s="38" t="n"/>
      <c r="K364" s="38" t="n"/>
      <c r="L364" s="39">
        <f>IF($A364="","",IFERROR($D364*$G364,0))</f>
        <v/>
      </c>
    </row>
    <row r="365">
      <c r="A365" s="38" t="n"/>
      <c r="B365" s="38" t="n"/>
      <c r="C365" s="38" t="n"/>
      <c r="D365" s="38" t="n"/>
      <c r="E365" s="38" t="n"/>
      <c r="F365" s="38" t="n"/>
      <c r="G365" s="38" t="n"/>
      <c r="H365" s="38" t="n"/>
      <c r="I365" s="38" t="n"/>
      <c r="J365" s="38" t="n"/>
      <c r="K365" s="38" t="n"/>
      <c r="L365" s="39">
        <f>IF($A365="","",IFERROR($D365*$G365,0))</f>
        <v/>
      </c>
    </row>
    <row r="366">
      <c r="A366" s="38" t="n"/>
      <c r="B366" s="38" t="n"/>
      <c r="C366" s="38" t="n"/>
      <c r="D366" s="38" t="n"/>
      <c r="E366" s="38" t="n"/>
      <c r="F366" s="38" t="n"/>
      <c r="G366" s="38" t="n"/>
      <c r="H366" s="38" t="n"/>
      <c r="I366" s="38" t="n"/>
      <c r="J366" s="38" t="n"/>
      <c r="K366" s="38" t="n"/>
      <c r="L366" s="39">
        <f>IF($A366="","",IFERROR($D366*$G366,0))</f>
        <v/>
      </c>
    </row>
    <row r="367">
      <c r="A367" s="38" t="n"/>
      <c r="B367" s="38" t="n"/>
      <c r="C367" s="38" t="n"/>
      <c r="D367" s="38" t="n"/>
      <c r="E367" s="38" t="n"/>
      <c r="F367" s="38" t="n"/>
      <c r="G367" s="38" t="n"/>
      <c r="H367" s="38" t="n"/>
      <c r="I367" s="38" t="n"/>
      <c r="J367" s="38" t="n"/>
      <c r="K367" s="38" t="n"/>
      <c r="L367" s="39">
        <f>IF($A367="","",IFERROR($D367*$G367,0))</f>
        <v/>
      </c>
    </row>
    <row r="368">
      <c r="A368" s="38" t="n"/>
      <c r="B368" s="38" t="n"/>
      <c r="C368" s="38" t="n"/>
      <c r="D368" s="38" t="n"/>
      <c r="E368" s="38" t="n"/>
      <c r="F368" s="38" t="n"/>
      <c r="G368" s="38" t="n"/>
      <c r="H368" s="38" t="n"/>
      <c r="I368" s="38" t="n"/>
      <c r="J368" s="38" t="n"/>
      <c r="K368" s="38" t="n"/>
      <c r="L368" s="39">
        <f>IF($A368="","",IFERROR($D368*$G368,0))</f>
        <v/>
      </c>
    </row>
    <row r="369">
      <c r="A369" s="38" t="n"/>
      <c r="B369" s="38" t="n"/>
      <c r="C369" s="38" t="n"/>
      <c r="D369" s="38" t="n"/>
      <c r="E369" s="38" t="n"/>
      <c r="F369" s="38" t="n"/>
      <c r="G369" s="38" t="n"/>
      <c r="H369" s="38" t="n"/>
      <c r="I369" s="38" t="n"/>
      <c r="J369" s="38" t="n"/>
      <c r="K369" s="38" t="n"/>
      <c r="L369" s="39">
        <f>IF($A369="","",IFERROR($D369*$G369,0))</f>
        <v/>
      </c>
    </row>
    <row r="370">
      <c r="A370" s="38" t="n"/>
      <c r="B370" s="38" t="n"/>
      <c r="C370" s="38" t="n"/>
      <c r="D370" s="38" t="n"/>
      <c r="E370" s="38" t="n"/>
      <c r="F370" s="38" t="n"/>
      <c r="G370" s="38" t="n"/>
      <c r="H370" s="38" t="n"/>
      <c r="I370" s="38" t="n"/>
      <c r="J370" s="38" t="n"/>
      <c r="K370" s="38" t="n"/>
      <c r="L370" s="39">
        <f>IF($A370="","",IFERROR($D370*$G370,0))</f>
        <v/>
      </c>
    </row>
    <row r="371">
      <c r="A371" s="38" t="n"/>
      <c r="B371" s="38" t="n"/>
      <c r="C371" s="38" t="n"/>
      <c r="D371" s="38" t="n"/>
      <c r="E371" s="38" t="n"/>
      <c r="F371" s="38" t="n"/>
      <c r="G371" s="38" t="n"/>
      <c r="H371" s="38" t="n"/>
      <c r="I371" s="38" t="n"/>
      <c r="J371" s="38" t="n"/>
      <c r="K371" s="38" t="n"/>
      <c r="L371" s="39">
        <f>IF($A371="","",IFERROR($D371*$G371,0))</f>
        <v/>
      </c>
    </row>
    <row r="372">
      <c r="A372" s="38" t="n"/>
      <c r="B372" s="38" t="n"/>
      <c r="C372" s="38" t="n"/>
      <c r="D372" s="38" t="n"/>
      <c r="E372" s="38" t="n"/>
      <c r="F372" s="38" t="n"/>
      <c r="G372" s="38" t="n"/>
      <c r="H372" s="38" t="n"/>
      <c r="I372" s="38" t="n"/>
      <c r="J372" s="38" t="n"/>
      <c r="K372" s="38" t="n"/>
      <c r="L372" s="39">
        <f>IF($A372="","",IFERROR($D372*$G372,0))</f>
        <v/>
      </c>
    </row>
    <row r="373">
      <c r="A373" s="38" t="n"/>
      <c r="B373" s="38" t="n"/>
      <c r="C373" s="38" t="n"/>
      <c r="D373" s="38" t="n"/>
      <c r="E373" s="38" t="n"/>
      <c r="F373" s="38" t="n"/>
      <c r="G373" s="38" t="n"/>
      <c r="H373" s="38" t="n"/>
      <c r="I373" s="38" t="n"/>
      <c r="J373" s="38" t="n"/>
      <c r="K373" s="38" t="n"/>
      <c r="L373" s="39">
        <f>IF($A373="","",IFERROR($D373*$G373,0))</f>
        <v/>
      </c>
    </row>
    <row r="374">
      <c r="A374" s="38" t="n"/>
      <c r="B374" s="38" t="n"/>
      <c r="C374" s="38" t="n"/>
      <c r="D374" s="38" t="n"/>
      <c r="E374" s="38" t="n"/>
      <c r="F374" s="38" t="n"/>
      <c r="G374" s="38" t="n"/>
      <c r="H374" s="38" t="n"/>
      <c r="I374" s="38" t="n"/>
      <c r="J374" s="38" t="n"/>
      <c r="K374" s="38" t="n"/>
      <c r="L374" s="39">
        <f>IF($A374="","",IFERROR($D374*$G374,0))</f>
        <v/>
      </c>
    </row>
    <row r="375">
      <c r="A375" s="38" t="n"/>
      <c r="B375" s="38" t="n"/>
      <c r="C375" s="38" t="n"/>
      <c r="D375" s="38" t="n"/>
      <c r="E375" s="38" t="n"/>
      <c r="F375" s="38" t="n"/>
      <c r="G375" s="38" t="n"/>
      <c r="H375" s="38" t="n"/>
      <c r="I375" s="38" t="n"/>
      <c r="J375" s="38" t="n"/>
      <c r="K375" s="38" t="n"/>
      <c r="L375" s="39">
        <f>IF($A375="","",IFERROR($D375*$G375,0))</f>
        <v/>
      </c>
    </row>
    <row r="376">
      <c r="A376" s="38" t="n"/>
      <c r="B376" s="38" t="n"/>
      <c r="C376" s="38" t="n"/>
      <c r="D376" s="38" t="n"/>
      <c r="E376" s="38" t="n"/>
      <c r="F376" s="38" t="n"/>
      <c r="G376" s="38" t="n"/>
      <c r="H376" s="38" t="n"/>
      <c r="I376" s="38" t="n"/>
      <c r="J376" s="38" t="n"/>
      <c r="K376" s="38" t="n"/>
      <c r="L376" s="39">
        <f>IF($A376="","",IFERROR($D376*$G376,0))</f>
        <v/>
      </c>
    </row>
    <row r="377">
      <c r="A377" s="38" t="n"/>
      <c r="B377" s="38" t="n"/>
      <c r="C377" s="38" t="n"/>
      <c r="D377" s="38" t="n"/>
      <c r="E377" s="38" t="n"/>
      <c r="F377" s="38" t="n"/>
      <c r="G377" s="38" t="n"/>
      <c r="H377" s="38" t="n"/>
      <c r="I377" s="38" t="n"/>
      <c r="J377" s="38" t="n"/>
      <c r="K377" s="38" t="n"/>
      <c r="L377" s="39">
        <f>IF($A377="","",IFERROR($D377*$G377,0))</f>
        <v/>
      </c>
    </row>
    <row r="378">
      <c r="A378" s="38" t="n"/>
      <c r="B378" s="38" t="n"/>
      <c r="C378" s="38" t="n"/>
      <c r="D378" s="38" t="n"/>
      <c r="E378" s="38" t="n"/>
      <c r="F378" s="38" t="n"/>
      <c r="G378" s="38" t="n"/>
      <c r="H378" s="38" t="n"/>
      <c r="I378" s="38" t="n"/>
      <c r="J378" s="38" t="n"/>
      <c r="K378" s="38" t="n"/>
      <c r="L378" s="39">
        <f>IF($A378="","",IFERROR($D378*$G378,0))</f>
        <v/>
      </c>
    </row>
    <row r="379">
      <c r="A379" s="38" t="n"/>
      <c r="B379" s="38" t="n"/>
      <c r="C379" s="38" t="n"/>
      <c r="D379" s="38" t="n"/>
      <c r="E379" s="38" t="n"/>
      <c r="F379" s="38" t="n"/>
      <c r="G379" s="38" t="n"/>
      <c r="H379" s="38" t="n"/>
      <c r="I379" s="38" t="n"/>
      <c r="J379" s="38" t="n"/>
      <c r="K379" s="38" t="n"/>
      <c r="L379" s="39">
        <f>IF($A379="","",IFERROR($D379*$G379,0))</f>
        <v/>
      </c>
    </row>
    <row r="380">
      <c r="A380" s="38" t="n"/>
      <c r="B380" s="38" t="n"/>
      <c r="C380" s="38" t="n"/>
      <c r="D380" s="38" t="n"/>
      <c r="E380" s="38" t="n"/>
      <c r="F380" s="38" t="n"/>
      <c r="G380" s="38" t="n"/>
      <c r="H380" s="38" t="n"/>
      <c r="I380" s="38" t="n"/>
      <c r="J380" s="38" t="n"/>
      <c r="K380" s="38" t="n"/>
      <c r="L380" s="39">
        <f>IF($A380="","",IFERROR($D380*$G380,0))</f>
        <v/>
      </c>
    </row>
    <row r="381">
      <c r="A381" s="38" t="n"/>
      <c r="B381" s="38" t="n"/>
      <c r="C381" s="38" t="n"/>
      <c r="D381" s="38" t="n"/>
      <c r="E381" s="38" t="n"/>
      <c r="F381" s="38" t="n"/>
      <c r="G381" s="38" t="n"/>
      <c r="H381" s="38" t="n"/>
      <c r="I381" s="38" t="n"/>
      <c r="J381" s="38" t="n"/>
      <c r="K381" s="38" t="n"/>
      <c r="L381" s="39">
        <f>IF($A381="","",IFERROR($D381*$G381,0))</f>
        <v/>
      </c>
    </row>
    <row r="382">
      <c r="A382" s="38" t="n"/>
      <c r="B382" s="38" t="n"/>
      <c r="C382" s="38" t="n"/>
      <c r="D382" s="38" t="n"/>
      <c r="E382" s="38" t="n"/>
      <c r="F382" s="38" t="n"/>
      <c r="G382" s="38" t="n"/>
      <c r="H382" s="38" t="n"/>
      <c r="I382" s="38" t="n"/>
      <c r="J382" s="38" t="n"/>
      <c r="K382" s="38" t="n"/>
      <c r="L382" s="39">
        <f>IF($A382="","",IFERROR($D382*$G382,0))</f>
        <v/>
      </c>
    </row>
    <row r="383">
      <c r="A383" s="38" t="n"/>
      <c r="B383" s="38" t="n"/>
      <c r="C383" s="38" t="n"/>
      <c r="D383" s="38" t="n"/>
      <c r="E383" s="38" t="n"/>
      <c r="F383" s="38" t="n"/>
      <c r="G383" s="38" t="n"/>
      <c r="H383" s="38" t="n"/>
      <c r="I383" s="38" t="n"/>
      <c r="J383" s="38" t="n"/>
      <c r="K383" s="38" t="n"/>
      <c r="L383" s="39">
        <f>IF($A383="","",IFERROR($D383*$G383,0))</f>
        <v/>
      </c>
    </row>
    <row r="384">
      <c r="A384" s="38" t="n"/>
      <c r="B384" s="38" t="n"/>
      <c r="C384" s="38" t="n"/>
      <c r="D384" s="38" t="n"/>
      <c r="E384" s="38" t="n"/>
      <c r="F384" s="38" t="n"/>
      <c r="G384" s="38" t="n"/>
      <c r="H384" s="38" t="n"/>
      <c r="I384" s="38" t="n"/>
      <c r="J384" s="38" t="n"/>
      <c r="K384" s="38" t="n"/>
      <c r="L384" s="39">
        <f>IF($A384="","",IFERROR($D384*$G384,0))</f>
        <v/>
      </c>
    </row>
    <row r="385">
      <c r="A385" s="38" t="n"/>
      <c r="B385" s="38" t="n"/>
      <c r="C385" s="38" t="n"/>
      <c r="D385" s="38" t="n"/>
      <c r="E385" s="38" t="n"/>
      <c r="F385" s="38" t="n"/>
      <c r="G385" s="38" t="n"/>
      <c r="H385" s="38" t="n"/>
      <c r="I385" s="38" t="n"/>
      <c r="J385" s="38" t="n"/>
      <c r="K385" s="38" t="n"/>
      <c r="L385" s="39">
        <f>IF($A385="","",IFERROR($D385*$G385,0))</f>
        <v/>
      </c>
    </row>
    <row r="386">
      <c r="A386" s="38" t="n"/>
      <c r="B386" s="38" t="n"/>
      <c r="C386" s="38" t="n"/>
      <c r="D386" s="38" t="n"/>
      <c r="E386" s="38" t="n"/>
      <c r="F386" s="38" t="n"/>
      <c r="G386" s="38" t="n"/>
      <c r="H386" s="38" t="n"/>
      <c r="I386" s="38" t="n"/>
      <c r="J386" s="38" t="n"/>
      <c r="K386" s="38" t="n"/>
      <c r="L386" s="39">
        <f>IF($A386="","",IFERROR($D386*$G386,0))</f>
        <v/>
      </c>
    </row>
    <row r="387">
      <c r="A387" s="38" t="n"/>
      <c r="B387" s="38" t="n"/>
      <c r="C387" s="38" t="n"/>
      <c r="D387" s="38" t="n"/>
      <c r="E387" s="38" t="n"/>
      <c r="F387" s="38" t="n"/>
      <c r="G387" s="38" t="n"/>
      <c r="H387" s="38" t="n"/>
      <c r="I387" s="38" t="n"/>
      <c r="J387" s="38" t="n"/>
      <c r="K387" s="38" t="n"/>
      <c r="L387" s="39">
        <f>IF($A387="","",IFERROR($D387*$G387,0))</f>
        <v/>
      </c>
    </row>
    <row r="388">
      <c r="A388" s="38" t="n"/>
      <c r="B388" s="38" t="n"/>
      <c r="C388" s="38" t="n"/>
      <c r="D388" s="38" t="n"/>
      <c r="E388" s="38" t="n"/>
      <c r="F388" s="38" t="n"/>
      <c r="G388" s="38" t="n"/>
      <c r="H388" s="38" t="n"/>
      <c r="I388" s="38" t="n"/>
      <c r="J388" s="38" t="n"/>
      <c r="K388" s="38" t="n"/>
      <c r="L388" s="39">
        <f>IF($A388="","",IFERROR($D388*$G388,0))</f>
        <v/>
      </c>
    </row>
    <row r="389">
      <c r="A389" s="38" t="n"/>
      <c r="B389" s="38" t="n"/>
      <c r="C389" s="38" t="n"/>
      <c r="D389" s="38" t="n"/>
      <c r="E389" s="38" t="n"/>
      <c r="F389" s="38" t="n"/>
      <c r="G389" s="38" t="n"/>
      <c r="H389" s="38" t="n"/>
      <c r="I389" s="38" t="n"/>
      <c r="J389" s="38" t="n"/>
      <c r="K389" s="38" t="n"/>
      <c r="L389" s="39">
        <f>IF($A389="","",IFERROR($D389*$G389,0))</f>
        <v/>
      </c>
    </row>
    <row r="390">
      <c r="A390" s="38" t="n"/>
      <c r="B390" s="38" t="n"/>
      <c r="C390" s="38" t="n"/>
      <c r="D390" s="38" t="n"/>
      <c r="E390" s="38" t="n"/>
      <c r="F390" s="38" t="n"/>
      <c r="G390" s="38" t="n"/>
      <c r="H390" s="38" t="n"/>
      <c r="I390" s="38" t="n"/>
      <c r="J390" s="38" t="n"/>
      <c r="K390" s="38" t="n"/>
      <c r="L390" s="39">
        <f>IF($A390="","",IFERROR($D390*$G390,0))</f>
        <v/>
      </c>
    </row>
    <row r="391">
      <c r="A391" s="38" t="n"/>
      <c r="B391" s="38" t="n"/>
      <c r="C391" s="38" t="n"/>
      <c r="D391" s="38" t="n"/>
      <c r="E391" s="38" t="n"/>
      <c r="F391" s="38" t="n"/>
      <c r="G391" s="38" t="n"/>
      <c r="H391" s="38" t="n"/>
      <c r="I391" s="38" t="n"/>
      <c r="J391" s="38" t="n"/>
      <c r="K391" s="38" t="n"/>
      <c r="L391" s="39">
        <f>IF($A391="","",IFERROR($D391*$G391,0))</f>
        <v/>
      </c>
    </row>
    <row r="392">
      <c r="A392" s="38" t="n"/>
      <c r="B392" s="38" t="n"/>
      <c r="C392" s="38" t="n"/>
      <c r="D392" s="38" t="n"/>
      <c r="E392" s="38" t="n"/>
      <c r="F392" s="38" t="n"/>
      <c r="G392" s="38" t="n"/>
      <c r="H392" s="38" t="n"/>
      <c r="I392" s="38" t="n"/>
      <c r="J392" s="38" t="n"/>
      <c r="K392" s="38" t="n"/>
      <c r="L392" s="39">
        <f>IF($A392="","",IFERROR($D392*$G392,0))</f>
        <v/>
      </c>
    </row>
    <row r="393">
      <c r="A393" s="38" t="n"/>
      <c r="B393" s="38" t="n"/>
      <c r="C393" s="38" t="n"/>
      <c r="D393" s="38" t="n"/>
      <c r="E393" s="38" t="n"/>
      <c r="F393" s="38" t="n"/>
      <c r="G393" s="38" t="n"/>
      <c r="H393" s="38" t="n"/>
      <c r="I393" s="38" t="n"/>
      <c r="J393" s="38" t="n"/>
      <c r="K393" s="38" t="n"/>
      <c r="L393" s="39">
        <f>IF($A393="","",IFERROR($D393*$G393,0))</f>
        <v/>
      </c>
    </row>
    <row r="394">
      <c r="A394" s="38" t="n"/>
      <c r="B394" s="38" t="n"/>
      <c r="C394" s="38" t="n"/>
      <c r="D394" s="38" t="n"/>
      <c r="E394" s="38" t="n"/>
      <c r="F394" s="38" t="n"/>
      <c r="G394" s="38" t="n"/>
      <c r="H394" s="38" t="n"/>
      <c r="I394" s="38" t="n"/>
      <c r="J394" s="38" t="n"/>
      <c r="K394" s="38" t="n"/>
      <c r="L394" s="39">
        <f>IF($A394="","",IFERROR($D394*$G394,0))</f>
        <v/>
      </c>
    </row>
    <row r="395">
      <c r="A395" s="38" t="n"/>
      <c r="B395" s="38" t="n"/>
      <c r="C395" s="38" t="n"/>
      <c r="D395" s="38" t="n"/>
      <c r="E395" s="38" t="n"/>
      <c r="F395" s="38" t="n"/>
      <c r="G395" s="38" t="n"/>
      <c r="H395" s="38" t="n"/>
      <c r="I395" s="38" t="n"/>
      <c r="J395" s="38" t="n"/>
      <c r="K395" s="38" t="n"/>
      <c r="L395" s="39">
        <f>IF($A395="","",IFERROR($D395*$G395,0))</f>
        <v/>
      </c>
    </row>
    <row r="396">
      <c r="A396" s="38" t="n"/>
      <c r="B396" s="38" t="n"/>
      <c r="C396" s="38" t="n"/>
      <c r="D396" s="38" t="n"/>
      <c r="E396" s="38" t="n"/>
      <c r="F396" s="38" t="n"/>
      <c r="G396" s="38" t="n"/>
      <c r="H396" s="38" t="n"/>
      <c r="I396" s="38" t="n"/>
      <c r="J396" s="38" t="n"/>
      <c r="K396" s="38" t="n"/>
      <c r="L396" s="39">
        <f>IF($A396="","",IFERROR($D396*$G396,0))</f>
        <v/>
      </c>
    </row>
    <row r="397">
      <c r="A397" s="38" t="n"/>
      <c r="B397" s="38" t="n"/>
      <c r="C397" s="38" t="n"/>
      <c r="D397" s="38" t="n"/>
      <c r="E397" s="38" t="n"/>
      <c r="F397" s="38" t="n"/>
      <c r="G397" s="38" t="n"/>
      <c r="H397" s="38" t="n"/>
      <c r="I397" s="38" t="n"/>
      <c r="J397" s="38" t="n"/>
      <c r="K397" s="38" t="n"/>
      <c r="L397" s="39">
        <f>IF($A397="","",IFERROR($D397*$G397,0))</f>
        <v/>
      </c>
    </row>
    <row r="398">
      <c r="A398" s="38" t="n"/>
      <c r="B398" s="38" t="n"/>
      <c r="C398" s="38" t="n"/>
      <c r="D398" s="38" t="n"/>
      <c r="E398" s="38" t="n"/>
      <c r="F398" s="38" t="n"/>
      <c r="G398" s="38" t="n"/>
      <c r="H398" s="38" t="n"/>
      <c r="I398" s="38" t="n"/>
      <c r="J398" s="38" t="n"/>
      <c r="K398" s="38" t="n"/>
      <c r="L398" s="39">
        <f>IF($A398="","",IFERROR($D398*$G398,0))</f>
        <v/>
      </c>
    </row>
    <row r="399">
      <c r="A399" s="38" t="n"/>
      <c r="B399" s="38" t="n"/>
      <c r="C399" s="38" t="n"/>
      <c r="D399" s="38" t="n"/>
      <c r="E399" s="38" t="n"/>
      <c r="F399" s="38" t="n"/>
      <c r="G399" s="38" t="n"/>
      <c r="H399" s="38" t="n"/>
      <c r="I399" s="38" t="n"/>
      <c r="J399" s="38" t="n"/>
      <c r="K399" s="38" t="n"/>
      <c r="L399" s="39">
        <f>IF($A399="","",IFERROR($D399*$G399,0))</f>
        <v/>
      </c>
    </row>
    <row r="400">
      <c r="A400" s="38" t="n"/>
      <c r="B400" s="38" t="n"/>
      <c r="C400" s="38" t="n"/>
      <c r="D400" s="38" t="n"/>
      <c r="E400" s="38" t="n"/>
      <c r="F400" s="38" t="n"/>
      <c r="G400" s="38" t="n"/>
      <c r="H400" s="38" t="n"/>
      <c r="I400" s="38" t="n"/>
      <c r="J400" s="38" t="n"/>
      <c r="K400" s="38" t="n"/>
      <c r="L400" s="39">
        <f>IF($A400="","",IFERROR($D400*$G400,0))</f>
        <v/>
      </c>
    </row>
    <row r="401">
      <c r="A401" s="38" t="n"/>
      <c r="B401" s="38" t="n"/>
      <c r="C401" s="38" t="n"/>
      <c r="D401" s="38" t="n"/>
      <c r="E401" s="38" t="n"/>
      <c r="F401" s="38" t="n"/>
      <c r="G401" s="38" t="n"/>
      <c r="H401" s="38" t="n"/>
      <c r="I401" s="38" t="n"/>
      <c r="J401" s="38" t="n"/>
      <c r="K401" s="38" t="n"/>
      <c r="L401" s="39">
        <f>IF($A401="","",IFERROR($D401*$G401,0))</f>
        <v/>
      </c>
    </row>
    <row r="402">
      <c r="A402" s="38" t="n"/>
      <c r="B402" s="38" t="n"/>
      <c r="C402" s="38" t="n"/>
      <c r="D402" s="38" t="n"/>
      <c r="E402" s="38" t="n"/>
      <c r="F402" s="38" t="n"/>
      <c r="G402" s="38" t="n"/>
      <c r="H402" s="38" t="n"/>
      <c r="I402" s="38" t="n"/>
      <c r="J402" s="38" t="n"/>
      <c r="K402" s="38" t="n"/>
      <c r="L402" s="39">
        <f>IF($A402="","",IFERROR($D402*$G402,0))</f>
        <v/>
      </c>
    </row>
    <row r="403">
      <c r="A403" s="38" t="n"/>
      <c r="B403" s="38" t="n"/>
      <c r="C403" s="38" t="n"/>
      <c r="D403" s="38" t="n"/>
      <c r="E403" s="38" t="n"/>
      <c r="F403" s="38" t="n"/>
      <c r="G403" s="38" t="n"/>
      <c r="H403" s="38" t="n"/>
      <c r="I403" s="38" t="n"/>
      <c r="J403" s="38" t="n"/>
      <c r="K403" s="38" t="n"/>
      <c r="L403" s="39">
        <f>IF($A403="","",IFERROR($D403*$G403,0))</f>
        <v/>
      </c>
    </row>
    <row r="404">
      <c r="A404" s="38" t="n"/>
      <c r="B404" s="38" t="n"/>
      <c r="C404" s="38" t="n"/>
      <c r="D404" s="38" t="n"/>
      <c r="E404" s="38" t="n"/>
      <c r="F404" s="38" t="n"/>
      <c r="G404" s="38" t="n"/>
      <c r="H404" s="38" t="n"/>
      <c r="I404" s="38" t="n"/>
      <c r="J404" s="38" t="n"/>
      <c r="K404" s="38" t="n"/>
      <c r="L404" s="39">
        <f>IF($A404="","",IFERROR($D404*$G404,0))</f>
        <v/>
      </c>
    </row>
    <row r="405">
      <c r="A405" s="38" t="n"/>
      <c r="B405" s="38" t="n"/>
      <c r="C405" s="38" t="n"/>
      <c r="D405" s="38" t="n"/>
      <c r="E405" s="38" t="n"/>
      <c r="F405" s="38" t="n"/>
      <c r="G405" s="38" t="n"/>
      <c r="H405" s="38" t="n"/>
      <c r="I405" s="38" t="n"/>
      <c r="J405" s="38" t="n"/>
      <c r="K405" s="38" t="n"/>
      <c r="L405" s="39">
        <f>IF($A405="","",IFERROR($D405*$G405,0))</f>
        <v/>
      </c>
    </row>
    <row r="406">
      <c r="A406" s="38" t="n"/>
      <c r="B406" s="38" t="n"/>
      <c r="C406" s="38" t="n"/>
      <c r="D406" s="38" t="n"/>
      <c r="E406" s="38" t="n"/>
      <c r="F406" s="38" t="n"/>
      <c r="G406" s="38" t="n"/>
      <c r="H406" s="38" t="n"/>
      <c r="I406" s="38" t="n"/>
      <c r="J406" s="38" t="n"/>
      <c r="K406" s="38" t="n"/>
      <c r="L406" s="39">
        <f>IF($A406="","",IFERROR($D406*$G406,0))</f>
        <v/>
      </c>
    </row>
    <row r="407">
      <c r="A407" s="38" t="n"/>
      <c r="B407" s="38" t="n"/>
      <c r="C407" s="38" t="n"/>
      <c r="D407" s="38" t="n"/>
      <c r="E407" s="38" t="n"/>
      <c r="F407" s="38" t="n"/>
      <c r="G407" s="38" t="n"/>
      <c r="H407" s="38" t="n"/>
      <c r="I407" s="38" t="n"/>
      <c r="J407" s="38" t="n"/>
      <c r="K407" s="38" t="n"/>
      <c r="L407" s="39">
        <f>IF($A407="","",IFERROR($D407*$G407,0))</f>
        <v/>
      </c>
    </row>
    <row r="408">
      <c r="A408" s="38" t="n"/>
      <c r="B408" s="38" t="n"/>
      <c r="C408" s="38" t="n"/>
      <c r="D408" s="38" t="n"/>
      <c r="E408" s="38" t="n"/>
      <c r="F408" s="38" t="n"/>
      <c r="G408" s="38" t="n"/>
      <c r="H408" s="38" t="n"/>
      <c r="I408" s="38" t="n"/>
      <c r="J408" s="38" t="n"/>
      <c r="K408" s="38" t="n"/>
      <c r="L408" s="39">
        <f>IF($A408="","",IFERROR($D408*$G408,0))</f>
        <v/>
      </c>
    </row>
    <row r="409">
      <c r="A409" s="38" t="n"/>
      <c r="B409" s="38" t="n"/>
      <c r="C409" s="38" t="n"/>
      <c r="D409" s="38" t="n"/>
      <c r="E409" s="38" t="n"/>
      <c r="F409" s="38" t="n"/>
      <c r="G409" s="38" t="n"/>
      <c r="H409" s="38" t="n"/>
      <c r="I409" s="38" t="n"/>
      <c r="J409" s="38" t="n"/>
      <c r="K409" s="38" t="n"/>
      <c r="L409" s="39">
        <f>IF($A409="","",IFERROR($D409*$G409,0))</f>
        <v/>
      </c>
    </row>
    <row r="410">
      <c r="A410" s="38" t="n"/>
      <c r="B410" s="38" t="n"/>
      <c r="C410" s="38" t="n"/>
      <c r="D410" s="38" t="n"/>
      <c r="E410" s="38" t="n"/>
      <c r="F410" s="38" t="n"/>
      <c r="G410" s="38" t="n"/>
      <c r="H410" s="38" t="n"/>
      <c r="I410" s="38" t="n"/>
      <c r="J410" s="38" t="n"/>
      <c r="K410" s="38" t="n"/>
      <c r="L410" s="39">
        <f>IF($A410="","",IFERROR($D410*$G410,0))</f>
        <v/>
      </c>
    </row>
    <row r="411">
      <c r="A411" s="38" t="n"/>
      <c r="B411" s="38" t="n"/>
      <c r="C411" s="38" t="n"/>
      <c r="D411" s="38" t="n"/>
      <c r="E411" s="38" t="n"/>
      <c r="F411" s="38" t="n"/>
      <c r="G411" s="38" t="n"/>
      <c r="H411" s="38" t="n"/>
      <c r="I411" s="38" t="n"/>
      <c r="J411" s="38" t="n"/>
      <c r="K411" s="38" t="n"/>
      <c r="L411" s="39">
        <f>IF($A411="","",IFERROR($D411*$G411,0))</f>
        <v/>
      </c>
    </row>
    <row r="412">
      <c r="A412" s="38" t="n"/>
      <c r="B412" s="38" t="n"/>
      <c r="C412" s="38" t="n"/>
      <c r="D412" s="38" t="n"/>
      <c r="E412" s="38" t="n"/>
      <c r="F412" s="38" t="n"/>
      <c r="G412" s="38" t="n"/>
      <c r="H412" s="38" t="n"/>
      <c r="I412" s="38" t="n"/>
      <c r="J412" s="38" t="n"/>
      <c r="K412" s="38" t="n"/>
      <c r="L412" s="39">
        <f>IF($A412="","",IFERROR($D412*$G412,0))</f>
        <v/>
      </c>
    </row>
    <row r="413">
      <c r="A413" s="38" t="n"/>
      <c r="B413" s="38" t="n"/>
      <c r="C413" s="38" t="n"/>
      <c r="D413" s="38" t="n"/>
      <c r="E413" s="38" t="n"/>
      <c r="F413" s="38" t="n"/>
      <c r="G413" s="38" t="n"/>
      <c r="H413" s="38" t="n"/>
      <c r="I413" s="38" t="n"/>
      <c r="J413" s="38" t="n"/>
      <c r="K413" s="38" t="n"/>
      <c r="L413" s="39">
        <f>IF($A413="","",IFERROR($D413*$G413,0))</f>
        <v/>
      </c>
    </row>
    <row r="414">
      <c r="A414" s="38" t="n"/>
      <c r="B414" s="38" t="n"/>
      <c r="C414" s="38" t="n"/>
      <c r="D414" s="38" t="n"/>
      <c r="E414" s="38" t="n"/>
      <c r="F414" s="38" t="n"/>
      <c r="G414" s="38" t="n"/>
      <c r="H414" s="38" t="n"/>
      <c r="I414" s="38" t="n"/>
      <c r="J414" s="38" t="n"/>
      <c r="K414" s="38" t="n"/>
      <c r="L414" s="39">
        <f>IF($A414="","",IFERROR($D414*$G414,0))</f>
        <v/>
      </c>
    </row>
    <row r="415">
      <c r="A415" s="38" t="n"/>
      <c r="B415" s="38" t="n"/>
      <c r="C415" s="38" t="n"/>
      <c r="D415" s="38" t="n"/>
      <c r="E415" s="38" t="n"/>
      <c r="F415" s="38" t="n"/>
      <c r="G415" s="38" t="n"/>
      <c r="H415" s="38" t="n"/>
      <c r="I415" s="38" t="n"/>
      <c r="J415" s="38" t="n"/>
      <c r="K415" s="38" t="n"/>
      <c r="L415" s="39">
        <f>IF($A415="","",IFERROR($D415*$G415,0))</f>
        <v/>
      </c>
    </row>
    <row r="416">
      <c r="A416" s="38" t="n"/>
      <c r="B416" s="38" t="n"/>
      <c r="C416" s="38" t="n"/>
      <c r="D416" s="38" t="n"/>
      <c r="E416" s="38" t="n"/>
      <c r="F416" s="38" t="n"/>
      <c r="G416" s="38" t="n"/>
      <c r="H416" s="38" t="n"/>
      <c r="I416" s="38" t="n"/>
      <c r="J416" s="38" t="n"/>
      <c r="K416" s="38" t="n"/>
      <c r="L416" s="39">
        <f>IF($A416="","",IFERROR($D416*$G416,0))</f>
        <v/>
      </c>
    </row>
    <row r="417">
      <c r="A417" s="38" t="n"/>
      <c r="B417" s="38" t="n"/>
      <c r="C417" s="38" t="n"/>
      <c r="D417" s="38" t="n"/>
      <c r="E417" s="38" t="n"/>
      <c r="F417" s="38" t="n"/>
      <c r="G417" s="38" t="n"/>
      <c r="H417" s="38" t="n"/>
      <c r="I417" s="38" t="n"/>
      <c r="J417" s="38" t="n"/>
      <c r="K417" s="38" t="n"/>
      <c r="L417" s="39">
        <f>IF($A417="","",IFERROR($D417*$G417,0))</f>
        <v/>
      </c>
    </row>
    <row r="418">
      <c r="A418" s="38" t="n"/>
      <c r="B418" s="38" t="n"/>
      <c r="C418" s="38" t="n"/>
      <c r="D418" s="38" t="n"/>
      <c r="E418" s="38" t="n"/>
      <c r="F418" s="38" t="n"/>
      <c r="G418" s="38" t="n"/>
      <c r="H418" s="38" t="n"/>
      <c r="I418" s="38" t="n"/>
      <c r="J418" s="38" t="n"/>
      <c r="K418" s="38" t="n"/>
      <c r="L418" s="39">
        <f>IF($A418="","",IFERROR($D418*$G418,0))</f>
        <v/>
      </c>
    </row>
    <row r="419">
      <c r="A419" s="38" t="n"/>
      <c r="B419" s="38" t="n"/>
      <c r="C419" s="38" t="n"/>
      <c r="D419" s="38" t="n"/>
      <c r="E419" s="38" t="n"/>
      <c r="F419" s="38" t="n"/>
      <c r="G419" s="38" t="n"/>
      <c r="H419" s="38" t="n"/>
      <c r="I419" s="38" t="n"/>
      <c r="J419" s="38" t="n"/>
      <c r="K419" s="38" t="n"/>
      <c r="L419" s="39">
        <f>IF($A419="","",IFERROR($D419*$G419,0))</f>
        <v/>
      </c>
    </row>
    <row r="420">
      <c r="A420" s="38" t="n"/>
      <c r="B420" s="38" t="n"/>
      <c r="C420" s="38" t="n"/>
      <c r="D420" s="38" t="n"/>
      <c r="E420" s="38" t="n"/>
      <c r="F420" s="38" t="n"/>
      <c r="G420" s="38" t="n"/>
      <c r="H420" s="38" t="n"/>
      <c r="I420" s="38" t="n"/>
      <c r="J420" s="38" t="n"/>
      <c r="K420" s="38" t="n"/>
      <c r="L420" s="39">
        <f>IF($A420="","",IFERROR($D420*$G420,0))</f>
        <v/>
      </c>
    </row>
    <row r="421">
      <c r="A421" s="38" t="n"/>
      <c r="B421" s="38" t="n"/>
      <c r="C421" s="38" t="n"/>
      <c r="D421" s="38" t="n"/>
      <c r="E421" s="38" t="n"/>
      <c r="F421" s="38" t="n"/>
      <c r="G421" s="38" t="n"/>
      <c r="H421" s="38" t="n"/>
      <c r="I421" s="38" t="n"/>
      <c r="J421" s="38" t="n"/>
      <c r="K421" s="38" t="n"/>
      <c r="L421" s="39">
        <f>IF($A421="","",IFERROR($D421*$G421,0))</f>
        <v/>
      </c>
    </row>
    <row r="422">
      <c r="A422" s="38" t="n"/>
      <c r="B422" s="38" t="n"/>
      <c r="C422" s="38" t="n"/>
      <c r="D422" s="38" t="n"/>
      <c r="E422" s="38" t="n"/>
      <c r="F422" s="38" t="n"/>
      <c r="G422" s="38" t="n"/>
      <c r="H422" s="38" t="n"/>
      <c r="I422" s="38" t="n"/>
      <c r="J422" s="38" t="n"/>
      <c r="K422" s="38" t="n"/>
      <c r="L422" s="39">
        <f>IF($A422="","",IFERROR($D422*$G422,0))</f>
        <v/>
      </c>
    </row>
    <row r="423">
      <c r="A423" s="38" t="n"/>
      <c r="B423" s="38" t="n"/>
      <c r="C423" s="38" t="n"/>
      <c r="D423" s="38" t="n"/>
      <c r="E423" s="38" t="n"/>
      <c r="F423" s="38" t="n"/>
      <c r="G423" s="38" t="n"/>
      <c r="H423" s="38" t="n"/>
      <c r="I423" s="38" t="n"/>
      <c r="J423" s="38" t="n"/>
      <c r="K423" s="38" t="n"/>
      <c r="L423" s="39">
        <f>IF($A423="","",IFERROR($D423*$G423,0))</f>
        <v/>
      </c>
    </row>
    <row r="424">
      <c r="A424" s="38" t="n"/>
      <c r="B424" s="38" t="n"/>
      <c r="C424" s="38" t="n"/>
      <c r="D424" s="38" t="n"/>
      <c r="E424" s="38" t="n"/>
      <c r="F424" s="38" t="n"/>
      <c r="G424" s="38" t="n"/>
      <c r="H424" s="38" t="n"/>
      <c r="I424" s="38" t="n"/>
      <c r="J424" s="38" t="n"/>
      <c r="K424" s="38" t="n"/>
      <c r="L424" s="39">
        <f>IF($A424="","",IFERROR($D424*$G424,0))</f>
        <v/>
      </c>
    </row>
    <row r="425">
      <c r="A425" s="38" t="n"/>
      <c r="B425" s="38" t="n"/>
      <c r="C425" s="38" t="n"/>
      <c r="D425" s="38" t="n"/>
      <c r="E425" s="38" t="n"/>
      <c r="F425" s="38" t="n"/>
      <c r="G425" s="38" t="n"/>
      <c r="H425" s="38" t="n"/>
      <c r="I425" s="38" t="n"/>
      <c r="J425" s="38" t="n"/>
      <c r="K425" s="38" t="n"/>
      <c r="L425" s="39">
        <f>IF($A425="","",IFERROR($D425*$G425,0))</f>
        <v/>
      </c>
    </row>
    <row r="426">
      <c r="A426" s="38" t="n"/>
      <c r="B426" s="38" t="n"/>
      <c r="C426" s="38" t="n"/>
      <c r="D426" s="38" t="n"/>
      <c r="E426" s="38" t="n"/>
      <c r="F426" s="38" t="n"/>
      <c r="G426" s="38" t="n"/>
      <c r="H426" s="38" t="n"/>
      <c r="I426" s="38" t="n"/>
      <c r="J426" s="38" t="n"/>
      <c r="K426" s="38" t="n"/>
      <c r="L426" s="39">
        <f>IF($A426="","",IFERROR($D426*$G426,0))</f>
        <v/>
      </c>
    </row>
    <row r="427">
      <c r="A427" s="38" t="n"/>
      <c r="B427" s="38" t="n"/>
      <c r="C427" s="38" t="n"/>
      <c r="D427" s="38" t="n"/>
      <c r="E427" s="38" t="n"/>
      <c r="F427" s="38" t="n"/>
      <c r="G427" s="38" t="n"/>
      <c r="H427" s="38" t="n"/>
      <c r="I427" s="38" t="n"/>
      <c r="J427" s="38" t="n"/>
      <c r="K427" s="38" t="n"/>
      <c r="L427" s="39">
        <f>IF($A427="","",IFERROR($D427*$G427,0))</f>
        <v/>
      </c>
    </row>
    <row r="428">
      <c r="A428" s="38" t="n"/>
      <c r="B428" s="38" t="n"/>
      <c r="C428" s="38" t="n"/>
      <c r="D428" s="38" t="n"/>
      <c r="E428" s="38" t="n"/>
      <c r="F428" s="38" t="n"/>
      <c r="G428" s="38" t="n"/>
      <c r="H428" s="38" t="n"/>
      <c r="I428" s="38" t="n"/>
      <c r="J428" s="38" t="n"/>
      <c r="K428" s="38" t="n"/>
      <c r="L428" s="39">
        <f>IF($A428="","",IFERROR($D428*$G428,0))</f>
        <v/>
      </c>
    </row>
    <row r="429">
      <c r="A429" s="38" t="n"/>
      <c r="B429" s="38" t="n"/>
      <c r="C429" s="38" t="n"/>
      <c r="D429" s="38" t="n"/>
      <c r="E429" s="38" t="n"/>
      <c r="F429" s="38" t="n"/>
      <c r="G429" s="38" t="n"/>
      <c r="H429" s="38" t="n"/>
      <c r="I429" s="38" t="n"/>
      <c r="J429" s="38" t="n"/>
      <c r="K429" s="38" t="n"/>
      <c r="L429" s="39">
        <f>IF($A429="","",IFERROR($D429*$G429,0))</f>
        <v/>
      </c>
    </row>
    <row r="430">
      <c r="A430" s="38" t="n"/>
      <c r="B430" s="38" t="n"/>
      <c r="C430" s="38" t="n"/>
      <c r="D430" s="38" t="n"/>
      <c r="E430" s="38" t="n"/>
      <c r="F430" s="38" t="n"/>
      <c r="G430" s="38" t="n"/>
      <c r="H430" s="38" t="n"/>
      <c r="I430" s="38" t="n"/>
      <c r="J430" s="38" t="n"/>
      <c r="K430" s="38" t="n"/>
      <c r="L430" s="39">
        <f>IF($A430="","",IFERROR($D430*$G430,0))</f>
        <v/>
      </c>
    </row>
    <row r="431">
      <c r="A431" s="38" t="n"/>
      <c r="B431" s="38" t="n"/>
      <c r="C431" s="38" t="n"/>
      <c r="D431" s="38" t="n"/>
      <c r="E431" s="38" t="n"/>
      <c r="F431" s="38" t="n"/>
      <c r="G431" s="38" t="n"/>
      <c r="H431" s="38" t="n"/>
      <c r="I431" s="38" t="n"/>
      <c r="J431" s="38" t="n"/>
      <c r="K431" s="38" t="n"/>
      <c r="L431" s="39">
        <f>IF($A431="","",IFERROR($D431*$G431,0))</f>
        <v/>
      </c>
    </row>
    <row r="432">
      <c r="A432" s="38" t="n"/>
      <c r="B432" s="38" t="n"/>
      <c r="C432" s="38" t="n"/>
      <c r="D432" s="38" t="n"/>
      <c r="E432" s="38" t="n"/>
      <c r="F432" s="38" t="n"/>
      <c r="G432" s="38" t="n"/>
      <c r="H432" s="38" t="n"/>
      <c r="I432" s="38" t="n"/>
      <c r="J432" s="38" t="n"/>
      <c r="K432" s="38" t="n"/>
      <c r="L432" s="39">
        <f>IF($A432="","",IFERROR($D432*$G432,0))</f>
        <v/>
      </c>
    </row>
    <row r="433">
      <c r="A433" s="38" t="n"/>
      <c r="B433" s="38" t="n"/>
      <c r="C433" s="38" t="n"/>
      <c r="D433" s="38" t="n"/>
      <c r="E433" s="38" t="n"/>
      <c r="F433" s="38" t="n"/>
      <c r="G433" s="38" t="n"/>
      <c r="H433" s="38" t="n"/>
      <c r="I433" s="38" t="n"/>
      <c r="J433" s="38" t="n"/>
      <c r="K433" s="38" t="n"/>
      <c r="L433" s="39">
        <f>IF($A433="","",IFERROR($D433*$G433,0))</f>
        <v/>
      </c>
    </row>
    <row r="434">
      <c r="A434" s="38" t="n"/>
      <c r="B434" s="38" t="n"/>
      <c r="C434" s="38" t="n"/>
      <c r="D434" s="38" t="n"/>
      <c r="E434" s="38" t="n"/>
      <c r="F434" s="38" t="n"/>
      <c r="G434" s="38" t="n"/>
      <c r="H434" s="38" t="n"/>
      <c r="I434" s="38" t="n"/>
      <c r="J434" s="38" t="n"/>
      <c r="K434" s="38" t="n"/>
      <c r="L434" s="39">
        <f>IF($A434="","",IFERROR($D434*$G434,0))</f>
        <v/>
      </c>
    </row>
    <row r="435">
      <c r="A435" s="38" t="n"/>
      <c r="B435" s="38" t="n"/>
      <c r="C435" s="38" t="n"/>
      <c r="D435" s="38" t="n"/>
      <c r="E435" s="38" t="n"/>
      <c r="F435" s="38" t="n"/>
      <c r="G435" s="38" t="n"/>
      <c r="H435" s="38" t="n"/>
      <c r="I435" s="38" t="n"/>
      <c r="J435" s="38" t="n"/>
      <c r="K435" s="38" t="n"/>
      <c r="L435" s="39">
        <f>IF($A435="","",IFERROR($D435*$G435,0))</f>
        <v/>
      </c>
    </row>
    <row r="436">
      <c r="A436" s="38" t="n"/>
      <c r="B436" s="38" t="n"/>
      <c r="C436" s="38" t="n"/>
      <c r="D436" s="38" t="n"/>
      <c r="E436" s="38" t="n"/>
      <c r="F436" s="38" t="n"/>
      <c r="G436" s="38" t="n"/>
      <c r="H436" s="38" t="n"/>
      <c r="I436" s="38" t="n"/>
      <c r="J436" s="38" t="n"/>
      <c r="K436" s="38" t="n"/>
      <c r="L436" s="39">
        <f>IF($A436="","",IFERROR($D436*$G436,0))</f>
        <v/>
      </c>
    </row>
    <row r="437">
      <c r="A437" s="38" t="n"/>
      <c r="B437" s="38" t="n"/>
      <c r="C437" s="38" t="n"/>
      <c r="D437" s="38" t="n"/>
      <c r="E437" s="38" t="n"/>
      <c r="F437" s="38" t="n"/>
      <c r="G437" s="38" t="n"/>
      <c r="H437" s="38" t="n"/>
      <c r="I437" s="38" t="n"/>
      <c r="J437" s="38" t="n"/>
      <c r="K437" s="38" t="n"/>
      <c r="L437" s="39">
        <f>IF($A437="","",IFERROR($D437*$G437,0))</f>
        <v/>
      </c>
    </row>
    <row r="438">
      <c r="A438" s="38" t="n"/>
      <c r="B438" s="38" t="n"/>
      <c r="C438" s="38" t="n"/>
      <c r="D438" s="38" t="n"/>
      <c r="E438" s="38" t="n"/>
      <c r="F438" s="38" t="n"/>
      <c r="G438" s="38" t="n"/>
      <c r="H438" s="38" t="n"/>
      <c r="I438" s="38" t="n"/>
      <c r="J438" s="38" t="n"/>
      <c r="K438" s="38" t="n"/>
      <c r="L438" s="39">
        <f>IF($A438="","",IFERROR($D438*$G438,0))</f>
        <v/>
      </c>
    </row>
    <row r="439">
      <c r="A439" s="38" t="n"/>
      <c r="B439" s="38" t="n"/>
      <c r="C439" s="38" t="n"/>
      <c r="D439" s="38" t="n"/>
      <c r="E439" s="38" t="n"/>
      <c r="F439" s="38" t="n"/>
      <c r="G439" s="38" t="n"/>
      <c r="H439" s="38" t="n"/>
      <c r="I439" s="38" t="n"/>
      <c r="J439" s="38" t="n"/>
      <c r="K439" s="38" t="n"/>
      <c r="L439" s="39">
        <f>IF($A439="","",IFERROR($D439*$G439,0))</f>
        <v/>
      </c>
    </row>
    <row r="440">
      <c r="A440" s="38" t="n"/>
      <c r="B440" s="38" t="n"/>
      <c r="C440" s="38" t="n"/>
      <c r="D440" s="38" t="n"/>
      <c r="E440" s="38" t="n"/>
      <c r="F440" s="38" t="n"/>
      <c r="G440" s="38" t="n"/>
      <c r="H440" s="38" t="n"/>
      <c r="I440" s="38" t="n"/>
      <c r="J440" s="38" t="n"/>
      <c r="K440" s="38" t="n"/>
      <c r="L440" s="39">
        <f>IF($A440="","",IFERROR($D440*$G440,0))</f>
        <v/>
      </c>
    </row>
    <row r="441">
      <c r="A441" s="38" t="n"/>
      <c r="B441" s="38" t="n"/>
      <c r="C441" s="38" t="n"/>
      <c r="D441" s="38" t="n"/>
      <c r="E441" s="38" t="n"/>
      <c r="F441" s="38" t="n"/>
      <c r="G441" s="38" t="n"/>
      <c r="H441" s="38" t="n"/>
      <c r="I441" s="38" t="n"/>
      <c r="J441" s="38" t="n"/>
      <c r="K441" s="38" t="n"/>
      <c r="L441" s="39">
        <f>IF($A441="","",IFERROR($D441*$G441,0))</f>
        <v/>
      </c>
    </row>
    <row r="442">
      <c r="A442" s="38" t="n"/>
      <c r="B442" s="38" t="n"/>
      <c r="C442" s="38" t="n"/>
      <c r="D442" s="38" t="n"/>
      <c r="E442" s="38" t="n"/>
      <c r="F442" s="38" t="n"/>
      <c r="G442" s="38" t="n"/>
      <c r="H442" s="38" t="n"/>
      <c r="I442" s="38" t="n"/>
      <c r="J442" s="38" t="n"/>
      <c r="K442" s="38" t="n"/>
      <c r="L442" s="39">
        <f>IF($A442="","",IFERROR($D442*$G442,0))</f>
        <v/>
      </c>
    </row>
    <row r="443">
      <c r="A443" s="38" t="n"/>
      <c r="B443" s="38" t="n"/>
      <c r="C443" s="38" t="n"/>
      <c r="D443" s="38" t="n"/>
      <c r="E443" s="38" t="n"/>
      <c r="F443" s="38" t="n"/>
      <c r="G443" s="38" t="n"/>
      <c r="H443" s="38" t="n"/>
      <c r="I443" s="38" t="n"/>
      <c r="J443" s="38" t="n"/>
      <c r="K443" s="38" t="n"/>
      <c r="L443" s="39">
        <f>IF($A443="","",IFERROR($D443*$G443,0))</f>
        <v/>
      </c>
    </row>
    <row r="444">
      <c r="A444" s="38" t="n"/>
      <c r="B444" s="38" t="n"/>
      <c r="C444" s="38" t="n"/>
      <c r="D444" s="38" t="n"/>
      <c r="E444" s="38" t="n"/>
      <c r="F444" s="38" t="n"/>
      <c r="G444" s="38" t="n"/>
      <c r="H444" s="38" t="n"/>
      <c r="I444" s="38" t="n"/>
      <c r="J444" s="38" t="n"/>
      <c r="K444" s="38" t="n"/>
      <c r="L444" s="39">
        <f>IF($A444="","",IFERROR($D444*$G444,0))</f>
        <v/>
      </c>
    </row>
    <row r="445">
      <c r="A445" s="38" t="n"/>
      <c r="B445" s="38" t="n"/>
      <c r="C445" s="38" t="n"/>
      <c r="D445" s="38" t="n"/>
      <c r="E445" s="38" t="n"/>
      <c r="F445" s="38" t="n"/>
      <c r="G445" s="38" t="n"/>
      <c r="H445" s="38" t="n"/>
      <c r="I445" s="38" t="n"/>
      <c r="J445" s="38" t="n"/>
      <c r="K445" s="38" t="n"/>
      <c r="L445" s="39">
        <f>IF($A445="","",IFERROR($D445*$G445,0))</f>
        <v/>
      </c>
    </row>
    <row r="446">
      <c r="A446" s="38" t="n"/>
      <c r="B446" s="38" t="n"/>
      <c r="C446" s="38" t="n"/>
      <c r="D446" s="38" t="n"/>
      <c r="E446" s="38" t="n"/>
      <c r="F446" s="38" t="n"/>
      <c r="G446" s="38" t="n"/>
      <c r="H446" s="38" t="n"/>
      <c r="I446" s="38" t="n"/>
      <c r="J446" s="38" t="n"/>
      <c r="K446" s="38" t="n"/>
      <c r="L446" s="39">
        <f>IF($A446="","",IFERROR($D446*$G446,0))</f>
        <v/>
      </c>
    </row>
    <row r="447">
      <c r="A447" s="38" t="n"/>
      <c r="B447" s="38" t="n"/>
      <c r="C447" s="38" t="n"/>
      <c r="D447" s="38" t="n"/>
      <c r="E447" s="38" t="n"/>
      <c r="F447" s="38" t="n"/>
      <c r="G447" s="38" t="n"/>
      <c r="H447" s="38" t="n"/>
      <c r="I447" s="38" t="n"/>
      <c r="J447" s="38" t="n"/>
      <c r="K447" s="38" t="n"/>
      <c r="L447" s="39">
        <f>IF($A447="","",IFERROR($D447*$G447,0))</f>
        <v/>
      </c>
    </row>
    <row r="448">
      <c r="A448" s="38" t="n"/>
      <c r="B448" s="38" t="n"/>
      <c r="C448" s="38" t="n"/>
      <c r="D448" s="38" t="n"/>
      <c r="E448" s="38" t="n"/>
      <c r="F448" s="38" t="n"/>
      <c r="G448" s="38" t="n"/>
      <c r="H448" s="38" t="n"/>
      <c r="I448" s="38" t="n"/>
      <c r="J448" s="38" t="n"/>
      <c r="K448" s="38" t="n"/>
      <c r="L448" s="39">
        <f>IF($A448="","",IFERROR($D448*$G448,0))</f>
        <v/>
      </c>
    </row>
    <row r="449">
      <c r="A449" s="38" t="n"/>
      <c r="B449" s="38" t="n"/>
      <c r="C449" s="38" t="n"/>
      <c r="D449" s="38" t="n"/>
      <c r="E449" s="38" t="n"/>
      <c r="F449" s="38" t="n"/>
      <c r="G449" s="38" t="n"/>
      <c r="H449" s="38" t="n"/>
      <c r="I449" s="38" t="n"/>
      <c r="J449" s="38" t="n"/>
      <c r="K449" s="38" t="n"/>
      <c r="L449" s="39">
        <f>IF($A449="","",IFERROR($D449*$G449,0))</f>
        <v/>
      </c>
    </row>
    <row r="450">
      <c r="A450" s="38" t="n"/>
      <c r="B450" s="38" t="n"/>
      <c r="C450" s="38" t="n"/>
      <c r="D450" s="38" t="n"/>
      <c r="E450" s="38" t="n"/>
      <c r="F450" s="38" t="n"/>
      <c r="G450" s="38" t="n"/>
      <c r="H450" s="38" t="n"/>
      <c r="I450" s="38" t="n"/>
      <c r="J450" s="38" t="n"/>
      <c r="K450" s="38" t="n"/>
      <c r="L450" s="39">
        <f>IF($A450="","",IFERROR($D450*$G450,0))</f>
        <v/>
      </c>
    </row>
    <row r="451">
      <c r="A451" s="38" t="n"/>
      <c r="B451" s="38" t="n"/>
      <c r="C451" s="38" t="n"/>
      <c r="D451" s="38" t="n"/>
      <c r="E451" s="38" t="n"/>
      <c r="F451" s="38" t="n"/>
      <c r="G451" s="38" t="n"/>
      <c r="H451" s="38" t="n"/>
      <c r="I451" s="38" t="n"/>
      <c r="J451" s="38" t="n"/>
      <c r="K451" s="38" t="n"/>
      <c r="L451" s="39">
        <f>IF($A451="","",IFERROR($D451*$G451,0))</f>
        <v/>
      </c>
    </row>
    <row r="452">
      <c r="A452" s="38" t="n"/>
      <c r="B452" s="38" t="n"/>
      <c r="C452" s="38" t="n"/>
      <c r="D452" s="38" t="n"/>
      <c r="E452" s="38" t="n"/>
      <c r="F452" s="38" t="n"/>
      <c r="G452" s="38" t="n"/>
      <c r="H452" s="38" t="n"/>
      <c r="I452" s="38" t="n"/>
      <c r="J452" s="38" t="n"/>
      <c r="K452" s="38" t="n"/>
      <c r="L452" s="39">
        <f>IF($A452="","",IFERROR($D452*$G452,0))</f>
        <v/>
      </c>
    </row>
    <row r="453">
      <c r="A453" s="38" t="n"/>
      <c r="B453" s="38" t="n"/>
      <c r="C453" s="38" t="n"/>
      <c r="D453" s="38" t="n"/>
      <c r="E453" s="38" t="n"/>
      <c r="F453" s="38" t="n"/>
      <c r="G453" s="38" t="n"/>
      <c r="H453" s="38" t="n"/>
      <c r="I453" s="38" t="n"/>
      <c r="J453" s="38" t="n"/>
      <c r="K453" s="38" t="n"/>
      <c r="L453" s="39">
        <f>IF($A453="","",IFERROR($D453*$G453,0))</f>
        <v/>
      </c>
    </row>
    <row r="454">
      <c r="A454" s="38" t="n"/>
      <c r="B454" s="38" t="n"/>
      <c r="C454" s="38" t="n"/>
      <c r="D454" s="38" t="n"/>
      <c r="E454" s="38" t="n"/>
      <c r="F454" s="38" t="n"/>
      <c r="G454" s="38" t="n"/>
      <c r="H454" s="38" t="n"/>
      <c r="I454" s="38" t="n"/>
      <c r="J454" s="38" t="n"/>
      <c r="K454" s="38" t="n"/>
      <c r="L454" s="39">
        <f>IF($A454="","",IFERROR($D454*$G454,0))</f>
        <v/>
      </c>
    </row>
    <row r="455">
      <c r="A455" s="38" t="n"/>
      <c r="B455" s="38" t="n"/>
      <c r="C455" s="38" t="n"/>
      <c r="D455" s="38" t="n"/>
      <c r="E455" s="38" t="n"/>
      <c r="F455" s="38" t="n"/>
      <c r="G455" s="38" t="n"/>
      <c r="H455" s="38" t="n"/>
      <c r="I455" s="38" t="n"/>
      <c r="J455" s="38" t="n"/>
      <c r="K455" s="38" t="n"/>
      <c r="L455" s="39">
        <f>IF($A455="","",IFERROR($D455*$G455,0))</f>
        <v/>
      </c>
    </row>
    <row r="456">
      <c r="A456" s="38" t="n"/>
      <c r="B456" s="38" t="n"/>
      <c r="C456" s="38" t="n"/>
      <c r="D456" s="38" t="n"/>
      <c r="E456" s="38" t="n"/>
      <c r="F456" s="38" t="n"/>
      <c r="G456" s="38" t="n"/>
      <c r="H456" s="38" t="n"/>
      <c r="I456" s="38" t="n"/>
      <c r="J456" s="38" t="n"/>
      <c r="K456" s="38" t="n"/>
      <c r="L456" s="39">
        <f>IF($A456="","",IFERROR($D456*$G456,0))</f>
        <v/>
      </c>
    </row>
    <row r="457">
      <c r="A457" s="38" t="n"/>
      <c r="B457" s="38" t="n"/>
      <c r="C457" s="38" t="n"/>
      <c r="D457" s="38" t="n"/>
      <c r="E457" s="38" t="n"/>
      <c r="F457" s="38" t="n"/>
      <c r="G457" s="38" t="n"/>
      <c r="H457" s="38" t="n"/>
      <c r="I457" s="38" t="n"/>
      <c r="J457" s="38" t="n"/>
      <c r="K457" s="38" t="n"/>
      <c r="L457" s="39">
        <f>IF($A457="","",IFERROR($D457*$G457,0))</f>
        <v/>
      </c>
    </row>
    <row r="458">
      <c r="A458" s="38" t="n"/>
      <c r="B458" s="38" t="n"/>
      <c r="C458" s="38" t="n"/>
      <c r="D458" s="38" t="n"/>
      <c r="E458" s="38" t="n"/>
      <c r="F458" s="38" t="n"/>
      <c r="G458" s="38" t="n"/>
      <c r="H458" s="38" t="n"/>
      <c r="I458" s="38" t="n"/>
      <c r="J458" s="38" t="n"/>
      <c r="K458" s="38" t="n"/>
      <c r="L458" s="39">
        <f>IF($A458="","",IFERROR($D458*$G458,0))</f>
        <v/>
      </c>
    </row>
    <row r="459">
      <c r="A459" s="38" t="n"/>
      <c r="B459" s="38" t="n"/>
      <c r="C459" s="38" t="n"/>
      <c r="D459" s="38" t="n"/>
      <c r="E459" s="38" t="n"/>
      <c r="F459" s="38" t="n"/>
      <c r="G459" s="38" t="n"/>
      <c r="H459" s="38" t="n"/>
      <c r="I459" s="38" t="n"/>
      <c r="J459" s="38" t="n"/>
      <c r="K459" s="38" t="n"/>
      <c r="L459" s="39">
        <f>IF($A459="","",IFERROR($D459*$G459,0))</f>
        <v/>
      </c>
    </row>
    <row r="460">
      <c r="A460" s="38" t="n"/>
      <c r="B460" s="38" t="n"/>
      <c r="C460" s="38" t="n"/>
      <c r="D460" s="38" t="n"/>
      <c r="E460" s="38" t="n"/>
      <c r="F460" s="38" t="n"/>
      <c r="G460" s="38" t="n"/>
      <c r="H460" s="38" t="n"/>
      <c r="I460" s="38" t="n"/>
      <c r="J460" s="38" t="n"/>
      <c r="K460" s="38" t="n"/>
      <c r="L460" s="39">
        <f>IF($A460="","",IFERROR($D460*$G460,0))</f>
        <v/>
      </c>
    </row>
    <row r="461">
      <c r="A461" s="38" t="n"/>
      <c r="B461" s="38" t="n"/>
      <c r="C461" s="38" t="n"/>
      <c r="D461" s="38" t="n"/>
      <c r="E461" s="38" t="n"/>
      <c r="F461" s="38" t="n"/>
      <c r="G461" s="38" t="n"/>
      <c r="H461" s="38" t="n"/>
      <c r="I461" s="38" t="n"/>
      <c r="J461" s="38" t="n"/>
      <c r="K461" s="38" t="n"/>
      <c r="L461" s="39">
        <f>IF($A461="","",IFERROR($D461*$G461,0))</f>
        <v/>
      </c>
    </row>
    <row r="462">
      <c r="A462" s="38" t="n"/>
      <c r="B462" s="38" t="n"/>
      <c r="C462" s="38" t="n"/>
      <c r="D462" s="38" t="n"/>
      <c r="E462" s="38" t="n"/>
      <c r="F462" s="38" t="n"/>
      <c r="G462" s="38" t="n"/>
      <c r="H462" s="38" t="n"/>
      <c r="I462" s="38" t="n"/>
      <c r="J462" s="38" t="n"/>
      <c r="K462" s="38" t="n"/>
      <c r="L462" s="39">
        <f>IF($A462="","",IFERROR($D462*$G462,0))</f>
        <v/>
      </c>
    </row>
    <row r="463">
      <c r="A463" s="38" t="n"/>
      <c r="B463" s="38" t="n"/>
      <c r="C463" s="38" t="n"/>
      <c r="D463" s="38" t="n"/>
      <c r="E463" s="38" t="n"/>
      <c r="F463" s="38" t="n"/>
      <c r="G463" s="38" t="n"/>
      <c r="H463" s="38" t="n"/>
      <c r="I463" s="38" t="n"/>
      <c r="J463" s="38" t="n"/>
      <c r="K463" s="38" t="n"/>
      <c r="L463" s="39">
        <f>IF($A463="","",IFERROR($D463*$G463,0))</f>
        <v/>
      </c>
    </row>
    <row r="464">
      <c r="A464" s="38" t="n"/>
      <c r="B464" s="38" t="n"/>
      <c r="C464" s="38" t="n"/>
      <c r="D464" s="38" t="n"/>
      <c r="E464" s="38" t="n"/>
      <c r="F464" s="38" t="n"/>
      <c r="G464" s="38" t="n"/>
      <c r="H464" s="38" t="n"/>
      <c r="I464" s="38" t="n"/>
      <c r="J464" s="38" t="n"/>
      <c r="K464" s="38" t="n"/>
      <c r="L464" s="39">
        <f>IF($A464="","",IFERROR($D464*$G464,0))</f>
        <v/>
      </c>
    </row>
    <row r="465">
      <c r="A465" s="38" t="n"/>
      <c r="B465" s="38" t="n"/>
      <c r="C465" s="38" t="n"/>
      <c r="D465" s="38" t="n"/>
      <c r="E465" s="38" t="n"/>
      <c r="F465" s="38" t="n"/>
      <c r="G465" s="38" t="n"/>
      <c r="H465" s="38" t="n"/>
      <c r="I465" s="38" t="n"/>
      <c r="J465" s="38" t="n"/>
      <c r="K465" s="38" t="n"/>
      <c r="L465" s="39">
        <f>IF($A465="","",IFERROR($D465*$G465,0))</f>
        <v/>
      </c>
    </row>
    <row r="466">
      <c r="A466" s="38" t="n"/>
      <c r="B466" s="38" t="n"/>
      <c r="C466" s="38" t="n"/>
      <c r="D466" s="38" t="n"/>
      <c r="E466" s="38" t="n"/>
      <c r="F466" s="38" t="n"/>
      <c r="G466" s="38" t="n"/>
      <c r="H466" s="38" t="n"/>
      <c r="I466" s="38" t="n"/>
      <c r="J466" s="38" t="n"/>
      <c r="K466" s="38" t="n"/>
      <c r="L466" s="39">
        <f>IF($A466="","",IFERROR($D466*$G466,0))</f>
        <v/>
      </c>
    </row>
    <row r="467">
      <c r="A467" s="38" t="n"/>
      <c r="B467" s="38" t="n"/>
      <c r="C467" s="38" t="n"/>
      <c r="D467" s="38" t="n"/>
      <c r="E467" s="38" t="n"/>
      <c r="F467" s="38" t="n"/>
      <c r="G467" s="38" t="n"/>
      <c r="H467" s="38" t="n"/>
      <c r="I467" s="38" t="n"/>
      <c r="J467" s="38" t="n"/>
      <c r="K467" s="38" t="n"/>
      <c r="L467" s="39">
        <f>IF($A467="","",IFERROR($D467*$G467,0))</f>
        <v/>
      </c>
    </row>
    <row r="468">
      <c r="A468" s="38" t="n"/>
      <c r="B468" s="38" t="n"/>
      <c r="C468" s="38" t="n"/>
      <c r="D468" s="38" t="n"/>
      <c r="E468" s="38" t="n"/>
      <c r="F468" s="38" t="n"/>
      <c r="G468" s="38" t="n"/>
      <c r="H468" s="38" t="n"/>
      <c r="I468" s="38" t="n"/>
      <c r="J468" s="38" t="n"/>
      <c r="K468" s="38" t="n"/>
      <c r="L468" s="39">
        <f>IF($A468="","",IFERROR($D468*$G468,0))</f>
        <v/>
      </c>
    </row>
    <row r="469">
      <c r="A469" s="38" t="n"/>
      <c r="B469" s="38" t="n"/>
      <c r="C469" s="38" t="n"/>
      <c r="D469" s="38" t="n"/>
      <c r="E469" s="38" t="n"/>
      <c r="F469" s="38" t="n"/>
      <c r="G469" s="38" t="n"/>
      <c r="H469" s="38" t="n"/>
      <c r="I469" s="38" t="n"/>
      <c r="J469" s="38" t="n"/>
      <c r="K469" s="38" t="n"/>
      <c r="L469" s="39">
        <f>IF($A469="","",IFERROR($D469*$G469,0))</f>
        <v/>
      </c>
    </row>
    <row r="470">
      <c r="A470" s="38" t="n"/>
      <c r="B470" s="38" t="n"/>
      <c r="C470" s="38" t="n"/>
      <c r="D470" s="38" t="n"/>
      <c r="E470" s="38" t="n"/>
      <c r="F470" s="38" t="n"/>
      <c r="G470" s="38" t="n"/>
      <c r="H470" s="38" t="n"/>
      <c r="I470" s="38" t="n"/>
      <c r="J470" s="38" t="n"/>
      <c r="K470" s="38" t="n"/>
      <c r="L470" s="39">
        <f>IF($A470="","",IFERROR($D470*$G470,0))</f>
        <v/>
      </c>
    </row>
    <row r="471">
      <c r="A471" s="38" t="n"/>
      <c r="B471" s="38" t="n"/>
      <c r="C471" s="38" t="n"/>
      <c r="D471" s="38" t="n"/>
      <c r="E471" s="38" t="n"/>
      <c r="F471" s="38" t="n"/>
      <c r="G471" s="38" t="n"/>
      <c r="H471" s="38" t="n"/>
      <c r="I471" s="38" t="n"/>
      <c r="J471" s="38" t="n"/>
      <c r="K471" s="38" t="n"/>
      <c r="L471" s="39">
        <f>IF($A471="","",IFERROR($D471*$G471,0))</f>
        <v/>
      </c>
    </row>
    <row r="472">
      <c r="A472" s="38" t="n"/>
      <c r="B472" s="38" t="n"/>
      <c r="C472" s="38" t="n"/>
      <c r="D472" s="38" t="n"/>
      <c r="E472" s="38" t="n"/>
      <c r="F472" s="38" t="n"/>
      <c r="G472" s="38" t="n"/>
      <c r="H472" s="38" t="n"/>
      <c r="I472" s="38" t="n"/>
      <c r="J472" s="38" t="n"/>
      <c r="K472" s="38" t="n"/>
      <c r="L472" s="39">
        <f>IF($A472="","",IFERROR($D472*$G472,0))</f>
        <v/>
      </c>
    </row>
    <row r="473">
      <c r="A473" s="38" t="n"/>
      <c r="B473" s="38" t="n"/>
      <c r="C473" s="38" t="n"/>
      <c r="D473" s="38" t="n"/>
      <c r="E473" s="38" t="n"/>
      <c r="F473" s="38" t="n"/>
      <c r="G473" s="38" t="n"/>
      <c r="H473" s="38" t="n"/>
      <c r="I473" s="38" t="n"/>
      <c r="J473" s="38" t="n"/>
      <c r="K473" s="38" t="n"/>
      <c r="L473" s="39">
        <f>IF($A473="","",IFERROR($D473*$G473,0))</f>
        <v/>
      </c>
    </row>
    <row r="474">
      <c r="A474" s="38" t="n"/>
      <c r="B474" s="38" t="n"/>
      <c r="C474" s="38" t="n"/>
      <c r="D474" s="38" t="n"/>
      <c r="E474" s="38" t="n"/>
      <c r="F474" s="38" t="n"/>
      <c r="G474" s="38" t="n"/>
      <c r="H474" s="38" t="n"/>
      <c r="I474" s="38" t="n"/>
      <c r="J474" s="38" t="n"/>
      <c r="K474" s="38" t="n"/>
      <c r="L474" s="39">
        <f>IF($A474="","",IFERROR($D474*$G474,0))</f>
        <v/>
      </c>
    </row>
    <row r="475">
      <c r="A475" s="38" t="n"/>
      <c r="B475" s="38" t="n"/>
      <c r="C475" s="38" t="n"/>
      <c r="D475" s="38" t="n"/>
      <c r="E475" s="38" t="n"/>
      <c r="F475" s="38" t="n"/>
      <c r="G475" s="38" t="n"/>
      <c r="H475" s="38" t="n"/>
      <c r="I475" s="38" t="n"/>
      <c r="J475" s="38" t="n"/>
      <c r="K475" s="38" t="n"/>
      <c r="L475" s="39">
        <f>IF($A475="","",IFERROR($D475*$G475,0))</f>
        <v/>
      </c>
    </row>
    <row r="476">
      <c r="A476" s="38" t="n"/>
      <c r="B476" s="38" t="n"/>
      <c r="C476" s="38" t="n"/>
      <c r="D476" s="38" t="n"/>
      <c r="E476" s="38" t="n"/>
      <c r="F476" s="38" t="n"/>
      <c r="G476" s="38" t="n"/>
      <c r="H476" s="38" t="n"/>
      <c r="I476" s="38" t="n"/>
      <c r="J476" s="38" t="n"/>
      <c r="K476" s="38" t="n"/>
      <c r="L476" s="39">
        <f>IF($A476="","",IFERROR($D476*$G476,0))</f>
        <v/>
      </c>
    </row>
    <row r="477">
      <c r="A477" s="38" t="n"/>
      <c r="B477" s="38" t="n"/>
      <c r="C477" s="38" t="n"/>
      <c r="D477" s="38" t="n"/>
      <c r="E477" s="38" t="n"/>
      <c r="F477" s="38" t="n"/>
      <c r="G477" s="38" t="n"/>
      <c r="H477" s="38" t="n"/>
      <c r="I477" s="38" t="n"/>
      <c r="J477" s="38" t="n"/>
      <c r="K477" s="38" t="n"/>
      <c r="L477" s="39">
        <f>IF($A477="","",IFERROR($D477*$G477,0))</f>
        <v/>
      </c>
    </row>
    <row r="478">
      <c r="A478" s="38" t="n"/>
      <c r="B478" s="38" t="n"/>
      <c r="C478" s="38" t="n"/>
      <c r="D478" s="38" t="n"/>
      <c r="E478" s="38" t="n"/>
      <c r="F478" s="38" t="n"/>
      <c r="G478" s="38" t="n"/>
      <c r="H478" s="38" t="n"/>
      <c r="I478" s="38" t="n"/>
      <c r="J478" s="38" t="n"/>
      <c r="K478" s="38" t="n"/>
      <c r="L478" s="39">
        <f>IF($A478="","",IFERROR($D478*$G478,0))</f>
        <v/>
      </c>
    </row>
    <row r="479">
      <c r="A479" s="38" t="n"/>
      <c r="B479" s="38" t="n"/>
      <c r="C479" s="38" t="n"/>
      <c r="D479" s="38" t="n"/>
      <c r="E479" s="38" t="n"/>
      <c r="F479" s="38" t="n"/>
      <c r="G479" s="38" t="n"/>
      <c r="H479" s="38" t="n"/>
      <c r="I479" s="38" t="n"/>
      <c r="J479" s="38" t="n"/>
      <c r="K479" s="38" t="n"/>
      <c r="L479" s="39">
        <f>IF($A479="","",IFERROR($D479*$G479,0))</f>
        <v/>
      </c>
    </row>
    <row r="480">
      <c r="A480" s="38" t="n"/>
      <c r="B480" s="38" t="n"/>
      <c r="C480" s="38" t="n"/>
      <c r="D480" s="38" t="n"/>
      <c r="E480" s="38" t="n"/>
      <c r="F480" s="38" t="n"/>
      <c r="G480" s="38" t="n"/>
      <c r="H480" s="38" t="n"/>
      <c r="I480" s="38" t="n"/>
      <c r="J480" s="38" t="n"/>
      <c r="K480" s="38" t="n"/>
      <c r="L480" s="39">
        <f>IF($A480="","",IFERROR($D480*$G480,0))</f>
        <v/>
      </c>
    </row>
    <row r="481">
      <c r="A481" s="38" t="n"/>
      <c r="B481" s="38" t="n"/>
      <c r="C481" s="38" t="n"/>
      <c r="D481" s="38" t="n"/>
      <c r="E481" s="38" t="n"/>
      <c r="F481" s="38" t="n"/>
      <c r="G481" s="38" t="n"/>
      <c r="H481" s="38" t="n"/>
      <c r="I481" s="38" t="n"/>
      <c r="J481" s="38" t="n"/>
      <c r="K481" s="38" t="n"/>
      <c r="L481" s="39">
        <f>IF($A481="","",IFERROR($D481*$G481,0))</f>
        <v/>
      </c>
    </row>
    <row r="482">
      <c r="A482" s="38" t="n"/>
      <c r="B482" s="38" t="n"/>
      <c r="C482" s="38" t="n"/>
      <c r="D482" s="38" t="n"/>
      <c r="E482" s="38" t="n"/>
      <c r="F482" s="38" t="n"/>
      <c r="G482" s="38" t="n"/>
      <c r="H482" s="38" t="n"/>
      <c r="I482" s="38" t="n"/>
      <c r="J482" s="38" t="n"/>
      <c r="K482" s="38" t="n"/>
      <c r="L482" s="39">
        <f>IF($A482="","",IFERROR($D482*$G482,0))</f>
        <v/>
      </c>
    </row>
    <row r="483">
      <c r="A483" s="38" t="n"/>
      <c r="B483" s="38" t="n"/>
      <c r="C483" s="38" t="n"/>
      <c r="D483" s="38" t="n"/>
      <c r="E483" s="38" t="n"/>
      <c r="F483" s="38" t="n"/>
      <c r="G483" s="38" t="n"/>
      <c r="H483" s="38" t="n"/>
      <c r="I483" s="38" t="n"/>
      <c r="J483" s="38" t="n"/>
      <c r="K483" s="38" t="n"/>
      <c r="L483" s="39">
        <f>IF($A483="","",IFERROR($D483*$G483,0))</f>
        <v/>
      </c>
    </row>
    <row r="484">
      <c r="A484" s="38" t="n"/>
      <c r="B484" s="38" t="n"/>
      <c r="C484" s="38" t="n"/>
      <c r="D484" s="38" t="n"/>
      <c r="E484" s="38" t="n"/>
      <c r="F484" s="38" t="n"/>
      <c r="G484" s="38" t="n"/>
      <c r="H484" s="38" t="n"/>
      <c r="I484" s="38" t="n"/>
      <c r="J484" s="38" t="n"/>
      <c r="K484" s="38" t="n"/>
      <c r="L484" s="39">
        <f>IF($A484="","",IFERROR($D484*$G484,0))</f>
        <v/>
      </c>
    </row>
    <row r="485">
      <c r="A485" s="38" t="n"/>
      <c r="B485" s="38" t="n"/>
      <c r="C485" s="38" t="n"/>
      <c r="D485" s="38" t="n"/>
      <c r="E485" s="38" t="n"/>
      <c r="F485" s="38" t="n"/>
      <c r="G485" s="38" t="n"/>
      <c r="H485" s="38" t="n"/>
      <c r="I485" s="38" t="n"/>
      <c r="J485" s="38" t="n"/>
      <c r="K485" s="38" t="n"/>
      <c r="L485" s="39">
        <f>IF($A485="","",IFERROR($D485*$G485,0))</f>
        <v/>
      </c>
    </row>
    <row r="486">
      <c r="A486" s="38" t="n"/>
      <c r="B486" s="38" t="n"/>
      <c r="C486" s="38" t="n"/>
      <c r="D486" s="38" t="n"/>
      <c r="E486" s="38" t="n"/>
      <c r="F486" s="38" t="n"/>
      <c r="G486" s="38" t="n"/>
      <c r="H486" s="38" t="n"/>
      <c r="I486" s="38" t="n"/>
      <c r="J486" s="38" t="n"/>
      <c r="K486" s="38" t="n"/>
      <c r="L486" s="39">
        <f>IF($A486="","",IFERROR($D486*$G486,0))</f>
        <v/>
      </c>
    </row>
    <row r="487">
      <c r="A487" s="38" t="n"/>
      <c r="B487" s="38" t="n"/>
      <c r="C487" s="38" t="n"/>
      <c r="D487" s="38" t="n"/>
      <c r="E487" s="38" t="n"/>
      <c r="F487" s="38" t="n"/>
      <c r="G487" s="38" t="n"/>
      <c r="H487" s="38" t="n"/>
      <c r="I487" s="38" t="n"/>
      <c r="J487" s="38" t="n"/>
      <c r="K487" s="38" t="n"/>
      <c r="L487" s="39">
        <f>IF($A487="","",IFERROR($D487*$G487,0))</f>
        <v/>
      </c>
    </row>
    <row r="488">
      <c r="A488" s="38" t="n"/>
      <c r="B488" s="38" t="n"/>
      <c r="C488" s="38" t="n"/>
      <c r="D488" s="38" t="n"/>
      <c r="E488" s="38" t="n"/>
      <c r="F488" s="38" t="n"/>
      <c r="G488" s="38" t="n"/>
      <c r="H488" s="38" t="n"/>
      <c r="I488" s="38" t="n"/>
      <c r="J488" s="38" t="n"/>
      <c r="K488" s="38" t="n"/>
      <c r="L488" s="39">
        <f>IF($A488="","",IFERROR($D488*$G488,0))</f>
        <v/>
      </c>
    </row>
    <row r="489">
      <c r="A489" s="38" t="n"/>
      <c r="B489" s="38" t="n"/>
      <c r="C489" s="38" t="n"/>
      <c r="D489" s="38" t="n"/>
      <c r="E489" s="38" t="n"/>
      <c r="F489" s="38" t="n"/>
      <c r="G489" s="38" t="n"/>
      <c r="H489" s="38" t="n"/>
      <c r="I489" s="38" t="n"/>
      <c r="J489" s="38" t="n"/>
      <c r="K489" s="38" t="n"/>
      <c r="L489" s="39">
        <f>IF($A489="","",IFERROR($D489*$G489,0))</f>
        <v/>
      </c>
    </row>
    <row r="490">
      <c r="A490" s="38" t="n"/>
      <c r="B490" s="38" t="n"/>
      <c r="C490" s="38" t="n"/>
      <c r="D490" s="38" t="n"/>
      <c r="E490" s="38" t="n"/>
      <c r="F490" s="38" t="n"/>
      <c r="G490" s="38" t="n"/>
      <c r="H490" s="38" t="n"/>
      <c r="I490" s="38" t="n"/>
      <c r="J490" s="38" t="n"/>
      <c r="K490" s="38" t="n"/>
      <c r="L490" s="39">
        <f>IF($A490="","",IFERROR($D490*$G490,0))</f>
        <v/>
      </c>
    </row>
    <row r="491">
      <c r="A491" s="38" t="n"/>
      <c r="B491" s="38" t="n"/>
      <c r="C491" s="38" t="n"/>
      <c r="D491" s="38" t="n"/>
      <c r="E491" s="38" t="n"/>
      <c r="F491" s="38" t="n"/>
      <c r="G491" s="38" t="n"/>
      <c r="H491" s="38" t="n"/>
      <c r="I491" s="38" t="n"/>
      <c r="J491" s="38" t="n"/>
      <c r="K491" s="38" t="n"/>
      <c r="L491" s="39">
        <f>IF($A491="","",IFERROR($D491*$G491,0))</f>
        <v/>
      </c>
    </row>
    <row r="492">
      <c r="A492" s="38" t="n"/>
      <c r="B492" s="38" t="n"/>
      <c r="C492" s="38" t="n"/>
      <c r="D492" s="38" t="n"/>
      <c r="E492" s="38" t="n"/>
      <c r="F492" s="38" t="n"/>
      <c r="G492" s="38" t="n"/>
      <c r="H492" s="38" t="n"/>
      <c r="I492" s="38" t="n"/>
      <c r="J492" s="38" t="n"/>
      <c r="K492" s="38" t="n"/>
      <c r="L492" s="39">
        <f>IF($A492="","",IFERROR($D492*$G492,0))</f>
        <v/>
      </c>
    </row>
    <row r="493">
      <c r="A493" s="38" t="n"/>
      <c r="B493" s="38" t="n"/>
      <c r="C493" s="38" t="n"/>
      <c r="D493" s="38" t="n"/>
      <c r="E493" s="38" t="n"/>
      <c r="F493" s="38" t="n"/>
      <c r="G493" s="38" t="n"/>
      <c r="H493" s="38" t="n"/>
      <c r="I493" s="38" t="n"/>
      <c r="J493" s="38" t="n"/>
      <c r="K493" s="38" t="n"/>
      <c r="L493" s="39">
        <f>IF($A493="","",IFERROR($D493*$G493,0))</f>
        <v/>
      </c>
    </row>
    <row r="494">
      <c r="A494" s="38" t="n"/>
      <c r="B494" s="38" t="n"/>
      <c r="C494" s="38" t="n"/>
      <c r="D494" s="38" t="n"/>
      <c r="E494" s="38" t="n"/>
      <c r="F494" s="38" t="n"/>
      <c r="G494" s="38" t="n"/>
      <c r="H494" s="38" t="n"/>
      <c r="I494" s="38" t="n"/>
      <c r="J494" s="38" t="n"/>
      <c r="K494" s="38" t="n"/>
      <c r="L494" s="39">
        <f>IF($A494="","",IFERROR($D494*$G494,0))</f>
        <v/>
      </c>
    </row>
    <row r="495">
      <c r="A495" s="38" t="n"/>
      <c r="B495" s="38" t="n"/>
      <c r="C495" s="38" t="n"/>
      <c r="D495" s="38" t="n"/>
      <c r="E495" s="38" t="n"/>
      <c r="F495" s="38" t="n"/>
      <c r="G495" s="38" t="n"/>
      <c r="H495" s="38" t="n"/>
      <c r="I495" s="38" t="n"/>
      <c r="J495" s="38" t="n"/>
      <c r="K495" s="38" t="n"/>
      <c r="L495" s="39">
        <f>IF($A495="","",IFERROR($D495*$G495,0))</f>
        <v/>
      </c>
    </row>
    <row r="496">
      <c r="A496" s="38" t="n"/>
      <c r="B496" s="38" t="n"/>
      <c r="C496" s="38" t="n"/>
      <c r="D496" s="38" t="n"/>
      <c r="E496" s="38" t="n"/>
      <c r="F496" s="38" t="n"/>
      <c r="G496" s="38" t="n"/>
      <c r="H496" s="38" t="n"/>
      <c r="I496" s="38" t="n"/>
      <c r="J496" s="38" t="n"/>
      <c r="K496" s="38" t="n"/>
      <c r="L496" s="39">
        <f>IF($A496="","",IFERROR($D496*$G496,0))</f>
        <v/>
      </c>
    </row>
    <row r="497">
      <c r="A497" s="38" t="n"/>
      <c r="B497" s="38" t="n"/>
      <c r="C497" s="38" t="n"/>
      <c r="D497" s="38" t="n"/>
      <c r="E497" s="38" t="n"/>
      <c r="F497" s="38" t="n"/>
      <c r="G497" s="38" t="n"/>
      <c r="H497" s="38" t="n"/>
      <c r="I497" s="38" t="n"/>
      <c r="J497" s="38" t="n"/>
      <c r="K497" s="38" t="n"/>
      <c r="L497" s="39">
        <f>IF($A497="","",IFERROR($D497*$G497,0))</f>
        <v/>
      </c>
    </row>
    <row r="498">
      <c r="A498" s="38" t="n"/>
      <c r="B498" s="38" t="n"/>
      <c r="C498" s="38" t="n"/>
      <c r="D498" s="38" t="n"/>
      <c r="E498" s="38" t="n"/>
      <c r="F498" s="38" t="n"/>
      <c r="G498" s="38" t="n"/>
      <c r="H498" s="38" t="n"/>
      <c r="I498" s="38" t="n"/>
      <c r="J498" s="38" t="n"/>
      <c r="K498" s="38" t="n"/>
      <c r="L498" s="39">
        <f>IF($A498="","",IFERROR($D498*$G498,0))</f>
        <v/>
      </c>
    </row>
    <row r="499">
      <c r="A499" s="38" t="n"/>
      <c r="B499" s="38" t="n"/>
      <c r="C499" s="38" t="n"/>
      <c r="D499" s="38" t="n"/>
      <c r="E499" s="38" t="n"/>
      <c r="F499" s="38" t="n"/>
      <c r="G499" s="38" t="n"/>
      <c r="H499" s="38" t="n"/>
      <c r="I499" s="38" t="n"/>
      <c r="J499" s="38" t="n"/>
      <c r="K499" s="38" t="n"/>
      <c r="L499" s="39">
        <f>IF($A499="","",IFERROR($D499*$G499,0))</f>
        <v/>
      </c>
    </row>
    <row r="500">
      <c r="A500" s="38" t="n"/>
      <c r="B500" s="38" t="n"/>
      <c r="C500" s="38" t="n"/>
      <c r="D500" s="38" t="n"/>
      <c r="E500" s="38" t="n"/>
      <c r="F500" s="38" t="n"/>
      <c r="G500" s="38" t="n"/>
      <c r="H500" s="38" t="n"/>
      <c r="I500" s="38" t="n"/>
      <c r="J500" s="38" t="n"/>
      <c r="K500" s="38" t="n"/>
      <c r="L500" s="39">
        <f>IF($A500="","",IFERROR($D500*$G500,0))</f>
        <v/>
      </c>
    </row>
    <row r="501">
      <c r="A501" s="38" t="n"/>
      <c r="B501" s="38" t="n"/>
      <c r="C501" s="38" t="n"/>
      <c r="D501" s="38" t="n"/>
      <c r="E501" s="38" t="n"/>
      <c r="F501" s="38" t="n"/>
      <c r="G501" s="38" t="n"/>
      <c r="H501" s="38" t="n"/>
      <c r="I501" s="38" t="n"/>
      <c r="J501" s="38" t="n"/>
      <c r="K501" s="38" t="n"/>
      <c r="L501" s="39">
        <f>IF($A501="","",IFERROR($D501*$G501,0))</f>
        <v/>
      </c>
    </row>
    <row r="502">
      <c r="A502" s="38" t="n"/>
      <c r="B502" s="38" t="n"/>
      <c r="C502" s="38" t="n"/>
      <c r="D502" s="38" t="n"/>
      <c r="E502" s="38" t="n"/>
      <c r="F502" s="38" t="n"/>
      <c r="G502" s="38" t="n"/>
      <c r="H502" s="38" t="n"/>
      <c r="I502" s="38" t="n"/>
      <c r="J502" s="38" t="n"/>
      <c r="K502" s="38" t="n"/>
      <c r="L502" s="39">
        <f>IF($A502="","",IFERROR($D502*$G502,0))</f>
        <v/>
      </c>
    </row>
    <row r="503">
      <c r="A503" s="38" t="n"/>
      <c r="B503" s="38" t="n"/>
      <c r="C503" s="38" t="n"/>
      <c r="D503" s="38" t="n"/>
      <c r="E503" s="38" t="n"/>
      <c r="F503" s="38" t="n"/>
      <c r="G503" s="38" t="n"/>
      <c r="H503" s="38" t="n"/>
      <c r="I503" s="38" t="n"/>
      <c r="J503" s="38" t="n"/>
      <c r="K503" s="38" t="n"/>
      <c r="L503" s="39">
        <f>IF($A503="","",IFERROR($D503*$G503,0))</f>
        <v/>
      </c>
    </row>
    <row r="504">
      <c r="A504" s="38" t="n"/>
      <c r="B504" s="38" t="n"/>
      <c r="C504" s="38" t="n"/>
      <c r="D504" s="38" t="n"/>
      <c r="E504" s="38" t="n"/>
      <c r="F504" s="38" t="n"/>
      <c r="G504" s="38" t="n"/>
      <c r="H504" s="38" t="n"/>
      <c r="I504" s="38" t="n"/>
      <c r="J504" s="38" t="n"/>
      <c r="K504" s="38" t="n"/>
      <c r="L504" s="39">
        <f>IF($A504="","",IFERROR($D504*$G504,0))</f>
        <v/>
      </c>
    </row>
    <row r="505">
      <c r="A505" s="38" t="n"/>
      <c r="B505" s="38" t="n"/>
      <c r="C505" s="38" t="n"/>
      <c r="D505" s="38" t="n"/>
      <c r="E505" s="38" t="n"/>
      <c r="F505" s="38" t="n"/>
      <c r="G505" s="38" t="n"/>
      <c r="H505" s="38" t="n"/>
      <c r="I505" s="38" t="n"/>
      <c r="J505" s="38" t="n"/>
      <c r="K505" s="38" t="n"/>
      <c r="L505" s="39">
        <f>IF($A505="","",IFERROR($D505*$G505,0))</f>
        <v/>
      </c>
    </row>
    <row r="506">
      <c r="A506" s="38" t="n"/>
      <c r="B506" s="38" t="n"/>
      <c r="C506" s="38" t="n"/>
      <c r="D506" s="38" t="n"/>
      <c r="E506" s="38" t="n"/>
      <c r="F506" s="38" t="n"/>
      <c r="G506" s="38" t="n"/>
      <c r="H506" s="38" t="n"/>
      <c r="I506" s="38" t="n"/>
      <c r="J506" s="38" t="n"/>
      <c r="K506" s="38" t="n"/>
      <c r="L506" s="39">
        <f>IF($A506="","",IFERROR($D506*$G506,0))</f>
        <v/>
      </c>
    </row>
    <row r="507">
      <c r="A507" s="38" t="n"/>
      <c r="B507" s="38" t="n"/>
      <c r="C507" s="38" t="n"/>
      <c r="D507" s="38" t="n"/>
      <c r="E507" s="38" t="n"/>
      <c r="F507" s="38" t="n"/>
      <c r="G507" s="38" t="n"/>
      <c r="H507" s="38" t="n"/>
      <c r="I507" s="38" t="n"/>
      <c r="J507" s="38" t="n"/>
      <c r="K507" s="38" t="n"/>
      <c r="L507" s="39">
        <f>IF($A507="","",IFERROR($D507*$G507,0))</f>
        <v/>
      </c>
    </row>
    <row r="508">
      <c r="A508" s="38" t="n"/>
      <c r="B508" s="38" t="n"/>
      <c r="C508" s="38" t="n"/>
      <c r="D508" s="38" t="n"/>
      <c r="E508" s="38" t="n"/>
      <c r="F508" s="38" t="n"/>
      <c r="G508" s="38" t="n"/>
      <c r="H508" s="38" t="n"/>
      <c r="I508" s="38" t="n"/>
      <c r="J508" s="38" t="n"/>
      <c r="K508" s="38" t="n"/>
      <c r="L508" s="39">
        <f>IF($A508="","",IFERROR($D508*$G508,0))</f>
        <v/>
      </c>
    </row>
    <row r="509">
      <c r="A509" s="38" t="n"/>
      <c r="B509" s="38" t="n"/>
      <c r="C509" s="38" t="n"/>
      <c r="D509" s="38" t="n"/>
      <c r="E509" s="38" t="n"/>
      <c r="F509" s="38" t="n"/>
      <c r="G509" s="38" t="n"/>
      <c r="H509" s="38" t="n"/>
      <c r="I509" s="38" t="n"/>
      <c r="J509" s="38" t="n"/>
      <c r="K509" s="38" t="n"/>
      <c r="L509" s="39">
        <f>IF($A509="","",IFERROR($D509*$G509,0))</f>
        <v/>
      </c>
    </row>
    <row r="510">
      <c r="A510" s="38" t="n"/>
      <c r="B510" s="38" t="n"/>
      <c r="C510" s="38" t="n"/>
      <c r="D510" s="38" t="n"/>
      <c r="E510" s="38" t="n"/>
      <c r="F510" s="38" t="n"/>
      <c r="G510" s="38" t="n"/>
      <c r="H510" s="38" t="n"/>
      <c r="I510" s="38" t="n"/>
      <c r="J510" s="38" t="n"/>
      <c r="K510" s="38" t="n"/>
      <c r="L510" s="39">
        <f>IF($A510="","",IFERROR($D510*$G510,0))</f>
        <v/>
      </c>
    </row>
    <row r="511">
      <c r="A511" s="38" t="n"/>
      <c r="B511" s="38" t="n"/>
      <c r="C511" s="38" t="n"/>
      <c r="D511" s="38" t="n"/>
      <c r="E511" s="38" t="n"/>
      <c r="F511" s="38" t="n"/>
      <c r="G511" s="38" t="n"/>
      <c r="H511" s="38" t="n"/>
      <c r="I511" s="38" t="n"/>
      <c r="J511" s="38" t="n"/>
      <c r="K511" s="38" t="n"/>
      <c r="L511" s="39">
        <f>IF($A511="","",IFERROR($D511*$G511,0))</f>
        <v/>
      </c>
    </row>
    <row r="512">
      <c r="A512" s="38" t="n"/>
      <c r="B512" s="38" t="n"/>
      <c r="C512" s="38" t="n"/>
      <c r="D512" s="38" t="n"/>
      <c r="E512" s="38" t="n"/>
      <c r="F512" s="38" t="n"/>
      <c r="G512" s="38" t="n"/>
      <c r="H512" s="38" t="n"/>
      <c r="I512" s="38" t="n"/>
      <c r="J512" s="38" t="n"/>
      <c r="K512" s="38" t="n"/>
      <c r="L512" s="39">
        <f>IF($A512="","",IFERROR($D512*$G512,0))</f>
        <v/>
      </c>
    </row>
    <row r="513">
      <c r="A513" s="38" t="n"/>
      <c r="B513" s="38" t="n"/>
      <c r="C513" s="38" t="n"/>
      <c r="D513" s="38" t="n"/>
      <c r="E513" s="38" t="n"/>
      <c r="F513" s="38" t="n"/>
      <c r="G513" s="38" t="n"/>
      <c r="H513" s="38" t="n"/>
      <c r="I513" s="38" t="n"/>
      <c r="J513" s="38" t="n"/>
      <c r="K513" s="38" t="n"/>
      <c r="L513" s="39">
        <f>IF($A513="","",IFERROR($D513*$G513,0))</f>
        <v/>
      </c>
    </row>
    <row r="514">
      <c r="A514" s="38" t="n"/>
      <c r="B514" s="38" t="n"/>
      <c r="C514" s="38" t="n"/>
      <c r="D514" s="38" t="n"/>
      <c r="E514" s="38" t="n"/>
      <c r="F514" s="38" t="n"/>
      <c r="G514" s="38" t="n"/>
      <c r="H514" s="38" t="n"/>
      <c r="I514" s="38" t="n"/>
      <c r="J514" s="38" t="n"/>
      <c r="K514" s="38" t="n"/>
      <c r="L514" s="39">
        <f>IF($A514="","",IFERROR($D514*$G514,0))</f>
        <v/>
      </c>
    </row>
    <row r="515">
      <c r="A515" s="38" t="n"/>
      <c r="B515" s="38" t="n"/>
      <c r="C515" s="38" t="n"/>
      <c r="D515" s="38" t="n"/>
      <c r="E515" s="38" t="n"/>
      <c r="F515" s="38" t="n"/>
      <c r="G515" s="38" t="n"/>
      <c r="H515" s="38" t="n"/>
      <c r="I515" s="38" t="n"/>
      <c r="J515" s="38" t="n"/>
      <c r="K515" s="38" t="n"/>
      <c r="L515" s="39">
        <f>IF($A515="","",IFERROR($D515*$G515,0))</f>
        <v/>
      </c>
    </row>
    <row r="516">
      <c r="A516" s="38" t="n"/>
      <c r="B516" s="38" t="n"/>
      <c r="C516" s="38" t="n"/>
      <c r="D516" s="38" t="n"/>
      <c r="E516" s="38" t="n"/>
      <c r="F516" s="38" t="n"/>
      <c r="G516" s="38" t="n"/>
      <c r="H516" s="38" t="n"/>
      <c r="I516" s="38" t="n"/>
      <c r="J516" s="38" t="n"/>
      <c r="K516" s="38" t="n"/>
      <c r="L516" s="39">
        <f>IF($A516="","",IFERROR($D516*$G516,0))</f>
        <v/>
      </c>
    </row>
    <row r="517">
      <c r="A517" s="38" t="n"/>
      <c r="B517" s="38" t="n"/>
      <c r="C517" s="38" t="n"/>
      <c r="D517" s="38" t="n"/>
      <c r="E517" s="38" t="n"/>
      <c r="F517" s="38" t="n"/>
      <c r="G517" s="38" t="n"/>
      <c r="H517" s="38" t="n"/>
      <c r="I517" s="38" t="n"/>
      <c r="J517" s="38" t="n"/>
      <c r="K517" s="38" t="n"/>
      <c r="L517" s="39">
        <f>IF($A517="","",IFERROR($D517*$G517,0))</f>
        <v/>
      </c>
    </row>
    <row r="518">
      <c r="A518" s="38" t="n"/>
      <c r="B518" s="38" t="n"/>
      <c r="C518" s="38" t="n"/>
      <c r="D518" s="38" t="n"/>
      <c r="E518" s="38" t="n"/>
      <c r="F518" s="38" t="n"/>
      <c r="G518" s="38" t="n"/>
      <c r="H518" s="38" t="n"/>
      <c r="I518" s="38" t="n"/>
      <c r="J518" s="38" t="n"/>
      <c r="K518" s="38" t="n"/>
      <c r="L518" s="39">
        <f>IF($A518="","",IFERROR($D518*$G518,0))</f>
        <v/>
      </c>
    </row>
    <row r="519">
      <c r="A519" s="38" t="n"/>
      <c r="B519" s="38" t="n"/>
      <c r="C519" s="38" t="n"/>
      <c r="D519" s="38" t="n"/>
      <c r="E519" s="38" t="n"/>
      <c r="F519" s="38" t="n"/>
      <c r="G519" s="38" t="n"/>
      <c r="H519" s="38" t="n"/>
      <c r="I519" s="38" t="n"/>
      <c r="J519" s="38" t="n"/>
      <c r="K519" s="38" t="n"/>
      <c r="L519" s="39">
        <f>IF($A519="","",IFERROR($D519*$G519,0))</f>
        <v/>
      </c>
    </row>
    <row r="520">
      <c r="A520" s="38" t="n"/>
      <c r="B520" s="38" t="n"/>
      <c r="C520" s="38" t="n"/>
      <c r="D520" s="38" t="n"/>
      <c r="E520" s="38" t="n"/>
      <c r="F520" s="38" t="n"/>
      <c r="G520" s="38" t="n"/>
      <c r="H520" s="38" t="n"/>
      <c r="I520" s="38" t="n"/>
      <c r="J520" s="38" t="n"/>
      <c r="K520" s="38" t="n"/>
      <c r="L520" s="39">
        <f>IF($A520="","",IFERROR($D520*$G520,0))</f>
        <v/>
      </c>
    </row>
    <row r="521">
      <c r="A521" s="38" t="n"/>
      <c r="B521" s="38" t="n"/>
      <c r="C521" s="38" t="n"/>
      <c r="D521" s="38" t="n"/>
      <c r="E521" s="38" t="n"/>
      <c r="F521" s="38" t="n"/>
      <c r="G521" s="38" t="n"/>
      <c r="H521" s="38" t="n"/>
      <c r="I521" s="38" t="n"/>
      <c r="J521" s="38" t="n"/>
      <c r="K521" s="38" t="n"/>
      <c r="L521" s="39">
        <f>IF($A521="","",IFERROR($D521*$G521,0))</f>
        <v/>
      </c>
    </row>
    <row r="522">
      <c r="A522" s="38" t="n"/>
      <c r="B522" s="38" t="n"/>
      <c r="C522" s="38" t="n"/>
      <c r="D522" s="38" t="n"/>
      <c r="E522" s="38" t="n"/>
      <c r="F522" s="38" t="n"/>
      <c r="G522" s="38" t="n"/>
      <c r="H522" s="38" t="n"/>
      <c r="I522" s="38" t="n"/>
      <c r="J522" s="38" t="n"/>
      <c r="K522" s="38" t="n"/>
      <c r="L522" s="39">
        <f>IF($A522="","",IFERROR($D522*$G522,0))</f>
        <v/>
      </c>
    </row>
    <row r="523">
      <c r="A523" s="38" t="n"/>
      <c r="B523" s="38" t="n"/>
      <c r="C523" s="38" t="n"/>
      <c r="D523" s="38" t="n"/>
      <c r="E523" s="38" t="n"/>
      <c r="F523" s="38" t="n"/>
      <c r="G523" s="38" t="n"/>
      <c r="H523" s="38" t="n"/>
      <c r="I523" s="38" t="n"/>
      <c r="J523" s="38" t="n"/>
      <c r="K523" s="38" t="n"/>
      <c r="L523" s="39">
        <f>IF($A523="","",IFERROR($D523*$G523,0))</f>
        <v/>
      </c>
    </row>
    <row r="524">
      <c r="A524" s="38" t="n"/>
      <c r="B524" s="38" t="n"/>
      <c r="C524" s="38" t="n"/>
      <c r="D524" s="38" t="n"/>
      <c r="E524" s="38" t="n"/>
      <c r="F524" s="38" t="n"/>
      <c r="G524" s="38" t="n"/>
      <c r="H524" s="38" t="n"/>
      <c r="I524" s="38" t="n"/>
      <c r="J524" s="38" t="n"/>
      <c r="K524" s="38" t="n"/>
      <c r="L524" s="39">
        <f>IF($A524="","",IFERROR($D524*$G524,0))</f>
        <v/>
      </c>
    </row>
    <row r="525">
      <c r="A525" s="38" t="n"/>
      <c r="B525" s="38" t="n"/>
      <c r="C525" s="38" t="n"/>
      <c r="D525" s="38" t="n"/>
      <c r="E525" s="38" t="n"/>
      <c r="F525" s="38" t="n"/>
      <c r="G525" s="38" t="n"/>
      <c r="H525" s="38" t="n"/>
      <c r="I525" s="38" t="n"/>
      <c r="J525" s="38" t="n"/>
      <c r="K525" s="38" t="n"/>
      <c r="L525" s="39">
        <f>IF($A525="","",IFERROR($D525*$G525,0))</f>
        <v/>
      </c>
    </row>
    <row r="526">
      <c r="A526" s="38" t="n"/>
      <c r="B526" s="38" t="n"/>
      <c r="C526" s="38" t="n"/>
      <c r="D526" s="38" t="n"/>
      <c r="E526" s="38" t="n"/>
      <c r="F526" s="38" t="n"/>
      <c r="G526" s="38" t="n"/>
      <c r="H526" s="38" t="n"/>
      <c r="I526" s="38" t="n"/>
      <c r="J526" s="38" t="n"/>
      <c r="K526" s="38" t="n"/>
      <c r="L526" s="39">
        <f>IF($A526="","",IFERROR($D526*$G526,0))</f>
        <v/>
      </c>
    </row>
    <row r="527">
      <c r="A527" s="38" t="n"/>
      <c r="B527" s="38" t="n"/>
      <c r="C527" s="38" t="n"/>
      <c r="D527" s="38" t="n"/>
      <c r="E527" s="38" t="n"/>
      <c r="F527" s="38" t="n"/>
      <c r="G527" s="38" t="n"/>
      <c r="H527" s="38" t="n"/>
      <c r="I527" s="38" t="n"/>
      <c r="J527" s="38" t="n"/>
      <c r="K527" s="38" t="n"/>
      <c r="L527" s="39">
        <f>IF($A527="","",IFERROR($D527*$G527,0))</f>
        <v/>
      </c>
    </row>
    <row r="528">
      <c r="A528" s="38" t="n"/>
      <c r="B528" s="38" t="n"/>
      <c r="C528" s="38" t="n"/>
      <c r="D528" s="38" t="n"/>
      <c r="E528" s="38" t="n"/>
      <c r="F528" s="38" t="n"/>
      <c r="G528" s="38" t="n"/>
      <c r="H528" s="38" t="n"/>
      <c r="I528" s="38" t="n"/>
      <c r="J528" s="38" t="n"/>
      <c r="K528" s="38" t="n"/>
      <c r="L528" s="39">
        <f>IF($A528="","",IFERROR($D528*$G528,0))</f>
        <v/>
      </c>
    </row>
    <row r="529">
      <c r="A529" s="38" t="n"/>
      <c r="B529" s="38" t="n"/>
      <c r="C529" s="38" t="n"/>
      <c r="D529" s="38" t="n"/>
      <c r="E529" s="38" t="n"/>
      <c r="F529" s="38" t="n"/>
      <c r="G529" s="38" t="n"/>
      <c r="H529" s="38" t="n"/>
      <c r="I529" s="38" t="n"/>
      <c r="J529" s="38" t="n"/>
      <c r="K529" s="38" t="n"/>
      <c r="L529" s="39">
        <f>IF($A529="","",IFERROR($D529*$G529,0))</f>
        <v/>
      </c>
    </row>
    <row r="530">
      <c r="A530" s="38" t="n"/>
      <c r="B530" s="38" t="n"/>
      <c r="C530" s="38" t="n"/>
      <c r="D530" s="38" t="n"/>
      <c r="E530" s="38" t="n"/>
      <c r="F530" s="38" t="n"/>
      <c r="G530" s="38" t="n"/>
      <c r="H530" s="38" t="n"/>
      <c r="I530" s="38" t="n"/>
      <c r="J530" s="38" t="n"/>
      <c r="K530" s="38" t="n"/>
      <c r="L530" s="39">
        <f>IF($A530="","",IFERROR($D530*$G530,0))</f>
        <v/>
      </c>
    </row>
    <row r="531">
      <c r="A531" s="38" t="n"/>
      <c r="B531" s="38" t="n"/>
      <c r="C531" s="38" t="n"/>
      <c r="D531" s="38" t="n"/>
      <c r="E531" s="38" t="n"/>
      <c r="F531" s="38" t="n"/>
      <c r="G531" s="38" t="n"/>
      <c r="H531" s="38" t="n"/>
      <c r="I531" s="38" t="n"/>
      <c r="J531" s="38" t="n"/>
      <c r="K531" s="38" t="n"/>
      <c r="L531" s="39">
        <f>IF($A531="","",IFERROR($D531*$G531,0))</f>
        <v/>
      </c>
    </row>
    <row r="532">
      <c r="A532" s="38" t="n"/>
      <c r="B532" s="38" t="n"/>
      <c r="C532" s="38" t="n"/>
      <c r="D532" s="38" t="n"/>
      <c r="E532" s="38" t="n"/>
      <c r="F532" s="38" t="n"/>
      <c r="G532" s="38" t="n"/>
      <c r="H532" s="38" t="n"/>
      <c r="I532" s="38" t="n"/>
      <c r="J532" s="38" t="n"/>
      <c r="K532" s="38" t="n"/>
      <c r="L532" s="39">
        <f>IF($A532="","",IFERROR($D532*$G532,0))</f>
        <v/>
      </c>
    </row>
    <row r="533">
      <c r="A533" s="38" t="n"/>
      <c r="B533" s="38" t="n"/>
      <c r="C533" s="38" t="n"/>
      <c r="D533" s="38" t="n"/>
      <c r="E533" s="38" t="n"/>
      <c r="F533" s="38" t="n"/>
      <c r="G533" s="38" t="n"/>
      <c r="H533" s="38" t="n"/>
      <c r="I533" s="38" t="n"/>
      <c r="J533" s="38" t="n"/>
      <c r="K533" s="38" t="n"/>
      <c r="L533" s="39">
        <f>IF($A533="","",IFERROR($D533*$G533,0))</f>
        <v/>
      </c>
    </row>
    <row r="534">
      <c r="A534" s="38" t="n"/>
      <c r="B534" s="38" t="n"/>
      <c r="C534" s="38" t="n"/>
      <c r="D534" s="38" t="n"/>
      <c r="E534" s="38" t="n"/>
      <c r="F534" s="38" t="n"/>
      <c r="G534" s="38" t="n"/>
      <c r="H534" s="38" t="n"/>
      <c r="I534" s="38" t="n"/>
      <c r="J534" s="38" t="n"/>
      <c r="K534" s="38" t="n"/>
      <c r="L534" s="39">
        <f>IF($A534="","",IFERROR($D534*$G534,0))</f>
        <v/>
      </c>
    </row>
    <row r="535">
      <c r="A535" s="38" t="n"/>
      <c r="B535" s="38" t="n"/>
      <c r="C535" s="38" t="n"/>
      <c r="D535" s="38" t="n"/>
      <c r="E535" s="38" t="n"/>
      <c r="F535" s="38" t="n"/>
      <c r="G535" s="38" t="n"/>
      <c r="H535" s="38" t="n"/>
      <c r="I535" s="38" t="n"/>
      <c r="J535" s="38" t="n"/>
      <c r="K535" s="38" t="n"/>
      <c r="L535" s="39">
        <f>IF($A535="","",IFERROR($D535*$G535,0))</f>
        <v/>
      </c>
    </row>
    <row r="536">
      <c r="A536" s="38" t="n"/>
      <c r="B536" s="38" t="n"/>
      <c r="C536" s="38" t="n"/>
      <c r="D536" s="38" t="n"/>
      <c r="E536" s="38" t="n"/>
      <c r="F536" s="38" t="n"/>
      <c r="G536" s="38" t="n"/>
      <c r="H536" s="38" t="n"/>
      <c r="I536" s="38" t="n"/>
      <c r="J536" s="38" t="n"/>
      <c r="K536" s="38" t="n"/>
      <c r="L536" s="39">
        <f>IF($A536="","",IFERROR($D536*$G536,0))</f>
        <v/>
      </c>
    </row>
    <row r="537">
      <c r="A537" s="38" t="n"/>
      <c r="B537" s="38" t="n"/>
      <c r="C537" s="38" t="n"/>
      <c r="D537" s="38" t="n"/>
      <c r="E537" s="38" t="n"/>
      <c r="F537" s="38" t="n"/>
      <c r="G537" s="38" t="n"/>
      <c r="H537" s="38" t="n"/>
      <c r="I537" s="38" t="n"/>
      <c r="J537" s="38" t="n"/>
      <c r="K537" s="38" t="n"/>
      <c r="L537" s="39">
        <f>IF($A537="","",IFERROR($D537*$G537,0))</f>
        <v/>
      </c>
    </row>
    <row r="538">
      <c r="A538" s="38" t="n"/>
      <c r="B538" s="38" t="n"/>
      <c r="C538" s="38" t="n"/>
      <c r="D538" s="38" t="n"/>
      <c r="E538" s="38" t="n"/>
      <c r="F538" s="38" t="n"/>
      <c r="G538" s="38" t="n"/>
      <c r="H538" s="38" t="n"/>
      <c r="I538" s="38" t="n"/>
      <c r="J538" s="38" t="n"/>
      <c r="K538" s="38" t="n"/>
      <c r="L538" s="39">
        <f>IF($A538="","",IFERROR($D538*$G538,0))</f>
        <v/>
      </c>
    </row>
    <row r="539">
      <c r="A539" s="38" t="n"/>
      <c r="B539" s="38" t="n"/>
      <c r="C539" s="38" t="n"/>
      <c r="D539" s="38" t="n"/>
      <c r="E539" s="38" t="n"/>
      <c r="F539" s="38" t="n"/>
      <c r="G539" s="38" t="n"/>
      <c r="H539" s="38" t="n"/>
      <c r="I539" s="38" t="n"/>
      <c r="J539" s="38" t="n"/>
      <c r="K539" s="38" t="n"/>
      <c r="L539" s="39">
        <f>IF($A539="","",IFERROR($D539*$G539,0))</f>
        <v/>
      </c>
    </row>
    <row r="540">
      <c r="A540" s="38" t="n"/>
      <c r="B540" s="38" t="n"/>
      <c r="C540" s="38" t="n"/>
      <c r="D540" s="38" t="n"/>
      <c r="E540" s="38" t="n"/>
      <c r="F540" s="38" t="n"/>
      <c r="G540" s="38" t="n"/>
      <c r="H540" s="38" t="n"/>
      <c r="I540" s="38" t="n"/>
      <c r="J540" s="38" t="n"/>
      <c r="K540" s="38" t="n"/>
      <c r="L540" s="39">
        <f>IF($A540="","",IFERROR($D540*$G540,0))</f>
        <v/>
      </c>
    </row>
    <row r="541">
      <c r="A541" s="38" t="n"/>
      <c r="B541" s="38" t="n"/>
      <c r="C541" s="38" t="n"/>
      <c r="D541" s="38" t="n"/>
      <c r="E541" s="38" t="n"/>
      <c r="F541" s="38" t="n"/>
      <c r="G541" s="38" t="n"/>
      <c r="H541" s="38" t="n"/>
      <c r="I541" s="38" t="n"/>
      <c r="J541" s="38" t="n"/>
      <c r="K541" s="38" t="n"/>
      <c r="L541" s="39">
        <f>IF($A541="","",IFERROR($D541*$G541,0))</f>
        <v/>
      </c>
    </row>
    <row r="542">
      <c r="A542" s="38" t="n"/>
      <c r="B542" s="38" t="n"/>
      <c r="C542" s="38" t="n"/>
      <c r="D542" s="38" t="n"/>
      <c r="E542" s="38" t="n"/>
      <c r="F542" s="38" t="n"/>
      <c r="G542" s="38" t="n"/>
      <c r="H542" s="38" t="n"/>
      <c r="I542" s="38" t="n"/>
      <c r="J542" s="38" t="n"/>
      <c r="K542" s="38" t="n"/>
      <c r="L542" s="39">
        <f>IF($A542="","",IFERROR($D542*$G542,0))</f>
        <v/>
      </c>
    </row>
    <row r="543">
      <c r="A543" s="38" t="n"/>
      <c r="B543" s="38" t="n"/>
      <c r="C543" s="38" t="n"/>
      <c r="D543" s="38" t="n"/>
      <c r="E543" s="38" t="n"/>
      <c r="F543" s="38" t="n"/>
      <c r="G543" s="38" t="n"/>
      <c r="H543" s="38" t="n"/>
      <c r="I543" s="38" t="n"/>
      <c r="J543" s="38" t="n"/>
      <c r="K543" s="38" t="n"/>
      <c r="L543" s="39">
        <f>IF($A543="","",IFERROR($D543*$G543,0))</f>
        <v/>
      </c>
    </row>
    <row r="544">
      <c r="A544" s="38" t="n"/>
      <c r="B544" s="38" t="n"/>
      <c r="C544" s="38" t="n"/>
      <c r="D544" s="38" t="n"/>
      <c r="E544" s="38" t="n"/>
      <c r="F544" s="38" t="n"/>
      <c r="G544" s="38" t="n"/>
      <c r="H544" s="38" t="n"/>
      <c r="I544" s="38" t="n"/>
      <c r="J544" s="38" t="n"/>
      <c r="K544" s="38" t="n"/>
      <c r="L544" s="39">
        <f>IF($A544="","",IFERROR($D544*$G544,0))</f>
        <v/>
      </c>
    </row>
    <row r="545">
      <c r="A545" s="38" t="n"/>
      <c r="B545" s="38" t="n"/>
      <c r="C545" s="38" t="n"/>
      <c r="D545" s="38" t="n"/>
      <c r="E545" s="38" t="n"/>
      <c r="F545" s="38" t="n"/>
      <c r="G545" s="38" t="n"/>
      <c r="H545" s="38" t="n"/>
      <c r="I545" s="38" t="n"/>
      <c r="J545" s="38" t="n"/>
      <c r="K545" s="38" t="n"/>
      <c r="L545" s="39">
        <f>IF($A545="","",IFERROR($D545*$G545,0))</f>
        <v/>
      </c>
    </row>
    <row r="546">
      <c r="A546" s="38" t="n"/>
      <c r="B546" s="38" t="n"/>
      <c r="C546" s="38" t="n"/>
      <c r="D546" s="38" t="n"/>
      <c r="E546" s="38" t="n"/>
      <c r="F546" s="38" t="n"/>
      <c r="G546" s="38" t="n"/>
      <c r="H546" s="38" t="n"/>
      <c r="I546" s="38" t="n"/>
      <c r="J546" s="38" t="n"/>
      <c r="K546" s="38" t="n"/>
      <c r="L546" s="39">
        <f>IF($A546="","",IFERROR($D546*$G546,0))</f>
        <v/>
      </c>
    </row>
    <row r="547">
      <c r="A547" s="38" t="n"/>
      <c r="B547" s="38" t="n"/>
      <c r="C547" s="38" t="n"/>
      <c r="D547" s="38" t="n"/>
      <c r="E547" s="38" t="n"/>
      <c r="F547" s="38" t="n"/>
      <c r="G547" s="38" t="n"/>
      <c r="H547" s="38" t="n"/>
      <c r="I547" s="38" t="n"/>
      <c r="J547" s="38" t="n"/>
      <c r="K547" s="38" t="n"/>
      <c r="L547" s="39">
        <f>IF($A547="","",IFERROR($D547*$G547,0))</f>
        <v/>
      </c>
    </row>
    <row r="548">
      <c r="A548" s="38" t="n"/>
      <c r="B548" s="38" t="n"/>
      <c r="C548" s="38" t="n"/>
      <c r="D548" s="38" t="n"/>
      <c r="E548" s="38" t="n"/>
      <c r="F548" s="38" t="n"/>
      <c r="G548" s="38" t="n"/>
      <c r="H548" s="38" t="n"/>
      <c r="I548" s="38" t="n"/>
      <c r="J548" s="38" t="n"/>
      <c r="K548" s="38" t="n"/>
      <c r="L548" s="39">
        <f>IF($A548="","",IFERROR($D548*$G548,0))</f>
        <v/>
      </c>
    </row>
    <row r="549">
      <c r="A549" s="38" t="n"/>
      <c r="B549" s="38" t="n"/>
      <c r="C549" s="38" t="n"/>
      <c r="D549" s="38" t="n"/>
      <c r="E549" s="38" t="n"/>
      <c r="F549" s="38" t="n"/>
      <c r="G549" s="38" t="n"/>
      <c r="H549" s="38" t="n"/>
      <c r="I549" s="38" t="n"/>
      <c r="J549" s="38" t="n"/>
      <c r="K549" s="38" t="n"/>
      <c r="L549" s="39">
        <f>IF($A549="","",IFERROR($D549*$G549,0))</f>
        <v/>
      </c>
    </row>
    <row r="550">
      <c r="A550" s="38" t="n"/>
      <c r="B550" s="38" t="n"/>
      <c r="C550" s="38" t="n"/>
      <c r="D550" s="38" t="n"/>
      <c r="E550" s="38" t="n"/>
      <c r="F550" s="38" t="n"/>
      <c r="G550" s="38" t="n"/>
      <c r="H550" s="38" t="n"/>
      <c r="I550" s="38" t="n"/>
      <c r="J550" s="38" t="n"/>
      <c r="K550" s="38" t="n"/>
      <c r="L550" s="39">
        <f>IF($A550="","",IFERROR($D550*$G550,0))</f>
        <v/>
      </c>
    </row>
    <row r="551">
      <c r="A551" s="38" t="n"/>
      <c r="B551" s="38" t="n"/>
      <c r="C551" s="38" t="n"/>
      <c r="D551" s="38" t="n"/>
      <c r="E551" s="38" t="n"/>
      <c r="F551" s="38" t="n"/>
      <c r="G551" s="38" t="n"/>
      <c r="H551" s="38" t="n"/>
      <c r="I551" s="38" t="n"/>
      <c r="J551" s="38" t="n"/>
      <c r="K551" s="38" t="n"/>
      <c r="L551" s="39">
        <f>IF($A551="","",IFERROR($D551*$G551,0))</f>
        <v/>
      </c>
    </row>
    <row r="552">
      <c r="A552" s="38" t="n"/>
      <c r="B552" s="38" t="n"/>
      <c r="C552" s="38" t="n"/>
      <c r="D552" s="38" t="n"/>
      <c r="E552" s="38" t="n"/>
      <c r="F552" s="38" t="n"/>
      <c r="G552" s="38" t="n"/>
      <c r="H552" s="38" t="n"/>
      <c r="I552" s="38" t="n"/>
      <c r="J552" s="38" t="n"/>
      <c r="K552" s="38" t="n"/>
      <c r="L552" s="39">
        <f>IF($A552="","",IFERROR($D552*$G552,0))</f>
        <v/>
      </c>
    </row>
    <row r="553">
      <c r="A553" s="38" t="n"/>
      <c r="B553" s="38" t="n"/>
      <c r="C553" s="38" t="n"/>
      <c r="D553" s="38" t="n"/>
      <c r="E553" s="38" t="n"/>
      <c r="F553" s="38" t="n"/>
      <c r="G553" s="38" t="n"/>
      <c r="H553" s="38" t="n"/>
      <c r="I553" s="38" t="n"/>
      <c r="J553" s="38" t="n"/>
      <c r="K553" s="38" t="n"/>
      <c r="L553" s="39">
        <f>IF($A553="","",IFERROR($D553*$G553,0))</f>
        <v/>
      </c>
    </row>
    <row r="554">
      <c r="A554" s="38" t="n"/>
      <c r="B554" s="38" t="n"/>
      <c r="C554" s="38" t="n"/>
      <c r="D554" s="38" t="n"/>
      <c r="E554" s="38" t="n"/>
      <c r="F554" s="38" t="n"/>
      <c r="G554" s="38" t="n"/>
      <c r="H554" s="38" t="n"/>
      <c r="I554" s="38" t="n"/>
      <c r="J554" s="38" t="n"/>
      <c r="K554" s="38" t="n"/>
      <c r="L554" s="39">
        <f>IF($A554="","",IFERROR($D554*$G554,0))</f>
        <v/>
      </c>
    </row>
    <row r="555">
      <c r="A555" s="38" t="n"/>
      <c r="B555" s="38" t="n"/>
      <c r="C555" s="38" t="n"/>
      <c r="D555" s="38" t="n"/>
      <c r="E555" s="38" t="n"/>
      <c r="F555" s="38" t="n"/>
      <c r="G555" s="38" t="n"/>
      <c r="H555" s="38" t="n"/>
      <c r="I555" s="38" t="n"/>
      <c r="J555" s="38" t="n"/>
      <c r="K555" s="38" t="n"/>
      <c r="L555" s="39">
        <f>IF($A555="","",IFERROR($D555*$G555,0))</f>
        <v/>
      </c>
    </row>
    <row r="556">
      <c r="A556" s="38" t="n"/>
      <c r="B556" s="38" t="n"/>
      <c r="C556" s="38" t="n"/>
      <c r="D556" s="38" t="n"/>
      <c r="E556" s="38" t="n"/>
      <c r="F556" s="38" t="n"/>
      <c r="G556" s="38" t="n"/>
      <c r="H556" s="38" t="n"/>
      <c r="I556" s="38" t="n"/>
      <c r="J556" s="38" t="n"/>
      <c r="K556" s="38" t="n"/>
      <c r="L556" s="39">
        <f>IF($A556="","",IFERROR($D556*$G556,0))</f>
        <v/>
      </c>
    </row>
    <row r="557">
      <c r="A557" s="38" t="n"/>
      <c r="B557" s="38" t="n"/>
      <c r="C557" s="38" t="n"/>
      <c r="D557" s="38" t="n"/>
      <c r="E557" s="38" t="n"/>
      <c r="F557" s="38" t="n"/>
      <c r="G557" s="38" t="n"/>
      <c r="H557" s="38" t="n"/>
      <c r="I557" s="38" t="n"/>
      <c r="J557" s="38" t="n"/>
      <c r="K557" s="38" t="n"/>
      <c r="L557" s="39">
        <f>IF($A557="","",IFERROR($D557*$G557,0))</f>
        <v/>
      </c>
    </row>
    <row r="558">
      <c r="A558" s="38" t="n"/>
      <c r="B558" s="38" t="n"/>
      <c r="C558" s="38" t="n"/>
      <c r="D558" s="38" t="n"/>
      <c r="E558" s="38" t="n"/>
      <c r="F558" s="38" t="n"/>
      <c r="G558" s="38" t="n"/>
      <c r="H558" s="38" t="n"/>
      <c r="I558" s="38" t="n"/>
      <c r="J558" s="38" t="n"/>
      <c r="K558" s="38" t="n"/>
      <c r="L558" s="39">
        <f>IF($A558="","",IFERROR($D558*$G558,0))</f>
        <v/>
      </c>
    </row>
    <row r="559">
      <c r="A559" s="38" t="n"/>
      <c r="B559" s="38" t="n"/>
      <c r="C559" s="38" t="n"/>
      <c r="D559" s="38" t="n"/>
      <c r="E559" s="38" t="n"/>
      <c r="F559" s="38" t="n"/>
      <c r="G559" s="38" t="n"/>
      <c r="H559" s="38" t="n"/>
      <c r="I559" s="38" t="n"/>
      <c r="J559" s="38" t="n"/>
      <c r="K559" s="38" t="n"/>
      <c r="L559" s="39">
        <f>IF($A559="","",IFERROR($D559*$G559,0))</f>
        <v/>
      </c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  <c r="J560" s="38" t="n"/>
      <c r="K560" s="38" t="n"/>
      <c r="L560" s="39">
        <f>IF($A560="","",IFERROR($D560*$G560,0))</f>
        <v/>
      </c>
    </row>
    <row r="561">
      <c r="A561" s="38" t="n"/>
      <c r="B561" s="38" t="n"/>
      <c r="C561" s="38" t="n"/>
      <c r="D561" s="38" t="n"/>
      <c r="E561" s="38" t="n"/>
      <c r="F561" s="38" t="n"/>
      <c r="G561" s="38" t="n"/>
      <c r="H561" s="38" t="n"/>
      <c r="I561" s="38" t="n"/>
      <c r="J561" s="38" t="n"/>
      <c r="K561" s="38" t="n"/>
      <c r="L561" s="39">
        <f>IF($A561="","",IFERROR($D561*$G561,0))</f>
        <v/>
      </c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  <c r="J562" s="38" t="n"/>
      <c r="K562" s="38" t="n"/>
      <c r="L562" s="39">
        <f>IF($A562="","",IFERROR($D562*$G562,0))</f>
        <v/>
      </c>
    </row>
    <row r="563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  <c r="J563" s="38" t="n"/>
      <c r="K563" s="38" t="n"/>
      <c r="L563" s="39">
        <f>IF($A563="","",IFERROR($D563*$G563,0))</f>
        <v/>
      </c>
    </row>
    <row r="564">
      <c r="A564" s="38" t="n"/>
      <c r="B564" s="38" t="n"/>
      <c r="C564" s="38" t="n"/>
      <c r="D564" s="38" t="n"/>
      <c r="E564" s="38" t="n"/>
      <c r="F564" s="38" t="n"/>
      <c r="G564" s="38" t="n"/>
      <c r="H564" s="38" t="n"/>
      <c r="I564" s="38" t="n"/>
      <c r="J564" s="38" t="n"/>
      <c r="K564" s="38" t="n"/>
      <c r="L564" s="39">
        <f>IF($A564="","",IFERROR($D564*$G564,0))</f>
        <v/>
      </c>
    </row>
    <row r="565">
      <c r="A565" s="38" t="n"/>
      <c r="B565" s="38" t="n"/>
      <c r="C565" s="38" t="n"/>
      <c r="D565" s="38" t="n"/>
      <c r="E565" s="38" t="n"/>
      <c r="F565" s="38" t="n"/>
      <c r="G565" s="38" t="n"/>
      <c r="H565" s="38" t="n"/>
      <c r="I565" s="38" t="n"/>
      <c r="J565" s="38" t="n"/>
      <c r="K565" s="38" t="n"/>
      <c r="L565" s="39">
        <f>IF($A565="","",IFERROR($D565*$G565,0))</f>
        <v/>
      </c>
    </row>
    <row r="566">
      <c r="A566" s="38" t="n"/>
      <c r="B566" s="38" t="n"/>
      <c r="C566" s="38" t="n"/>
      <c r="D566" s="38" t="n"/>
      <c r="E566" s="38" t="n"/>
      <c r="F566" s="38" t="n"/>
      <c r="G566" s="38" t="n"/>
      <c r="H566" s="38" t="n"/>
      <c r="I566" s="38" t="n"/>
      <c r="J566" s="38" t="n"/>
      <c r="K566" s="38" t="n"/>
      <c r="L566" s="39">
        <f>IF($A566="","",IFERROR($D566*$G566,0))</f>
        <v/>
      </c>
    </row>
    <row r="567">
      <c r="A567" s="38" t="n"/>
      <c r="B567" s="38" t="n"/>
      <c r="C567" s="38" t="n"/>
      <c r="D567" s="38" t="n"/>
      <c r="E567" s="38" t="n"/>
      <c r="F567" s="38" t="n"/>
      <c r="G567" s="38" t="n"/>
      <c r="H567" s="38" t="n"/>
      <c r="I567" s="38" t="n"/>
      <c r="J567" s="38" t="n"/>
      <c r="K567" s="38" t="n"/>
      <c r="L567" s="39">
        <f>IF($A567="","",IFERROR($D567*$G567,0))</f>
        <v/>
      </c>
    </row>
    <row r="568">
      <c r="A568" s="38" t="n"/>
      <c r="B568" s="38" t="n"/>
      <c r="C568" s="38" t="n"/>
      <c r="D568" s="38" t="n"/>
      <c r="E568" s="38" t="n"/>
      <c r="F568" s="38" t="n"/>
      <c r="G568" s="38" t="n"/>
      <c r="H568" s="38" t="n"/>
      <c r="I568" s="38" t="n"/>
      <c r="J568" s="38" t="n"/>
      <c r="K568" s="38" t="n"/>
      <c r="L568" s="39">
        <f>IF($A568="","",IFERROR($D568*$G568,0))</f>
        <v/>
      </c>
    </row>
    <row r="569">
      <c r="A569" s="38" t="n"/>
      <c r="B569" s="38" t="n"/>
      <c r="C569" s="38" t="n"/>
      <c r="D569" s="38" t="n"/>
      <c r="E569" s="38" t="n"/>
      <c r="F569" s="38" t="n"/>
      <c r="G569" s="38" t="n"/>
      <c r="H569" s="38" t="n"/>
      <c r="I569" s="38" t="n"/>
      <c r="J569" s="38" t="n"/>
      <c r="K569" s="38" t="n"/>
      <c r="L569" s="39">
        <f>IF($A569="","",IFERROR($D569*$G569,0))</f>
        <v/>
      </c>
    </row>
    <row r="570">
      <c r="A570" s="38" t="n"/>
      <c r="B570" s="38" t="n"/>
      <c r="C570" s="38" t="n"/>
      <c r="D570" s="38" t="n"/>
      <c r="E570" s="38" t="n"/>
      <c r="F570" s="38" t="n"/>
      <c r="G570" s="38" t="n"/>
      <c r="H570" s="38" t="n"/>
      <c r="I570" s="38" t="n"/>
      <c r="J570" s="38" t="n"/>
      <c r="K570" s="38" t="n"/>
      <c r="L570" s="39">
        <f>IF($A570="","",IFERROR($D570*$G570,0))</f>
        <v/>
      </c>
    </row>
    <row r="571">
      <c r="A571" s="38" t="n"/>
      <c r="B571" s="38" t="n"/>
      <c r="C571" s="38" t="n"/>
      <c r="D571" s="38" t="n"/>
      <c r="E571" s="38" t="n"/>
      <c r="F571" s="38" t="n"/>
      <c r="G571" s="38" t="n"/>
      <c r="H571" s="38" t="n"/>
      <c r="I571" s="38" t="n"/>
      <c r="J571" s="38" t="n"/>
      <c r="K571" s="38" t="n"/>
      <c r="L571" s="39">
        <f>IF($A571="","",IFERROR($D571*$G571,0))</f>
        <v/>
      </c>
    </row>
    <row r="572">
      <c r="A572" s="38" t="n"/>
      <c r="B572" s="38" t="n"/>
      <c r="C572" s="38" t="n"/>
      <c r="D572" s="38" t="n"/>
      <c r="E572" s="38" t="n"/>
      <c r="F572" s="38" t="n"/>
      <c r="G572" s="38" t="n"/>
      <c r="H572" s="38" t="n"/>
      <c r="I572" s="38" t="n"/>
      <c r="J572" s="38" t="n"/>
      <c r="K572" s="38" t="n"/>
      <c r="L572" s="39">
        <f>IF($A572="","",IFERROR($D572*$G572,0))</f>
        <v/>
      </c>
    </row>
    <row r="573">
      <c r="A573" s="38" t="n"/>
      <c r="B573" s="38" t="n"/>
      <c r="C573" s="38" t="n"/>
      <c r="D573" s="38" t="n"/>
      <c r="E573" s="38" t="n"/>
      <c r="F573" s="38" t="n"/>
      <c r="G573" s="38" t="n"/>
      <c r="H573" s="38" t="n"/>
      <c r="I573" s="38" t="n"/>
      <c r="J573" s="38" t="n"/>
      <c r="K573" s="38" t="n"/>
      <c r="L573" s="39">
        <f>IF($A573="","",IFERROR($D573*$G573,0))</f>
        <v/>
      </c>
    </row>
    <row r="574">
      <c r="A574" s="38" t="n"/>
      <c r="B574" s="38" t="n"/>
      <c r="C574" s="38" t="n"/>
      <c r="D574" s="38" t="n"/>
      <c r="E574" s="38" t="n"/>
      <c r="F574" s="38" t="n"/>
      <c r="G574" s="38" t="n"/>
      <c r="H574" s="38" t="n"/>
      <c r="I574" s="38" t="n"/>
      <c r="J574" s="38" t="n"/>
      <c r="K574" s="38" t="n"/>
      <c r="L574" s="39">
        <f>IF($A574="","",IFERROR($D574*$G574,0))</f>
        <v/>
      </c>
    </row>
    <row r="575">
      <c r="A575" s="38" t="n"/>
      <c r="B575" s="38" t="n"/>
      <c r="C575" s="38" t="n"/>
      <c r="D575" s="38" t="n"/>
      <c r="E575" s="38" t="n"/>
      <c r="F575" s="38" t="n"/>
      <c r="G575" s="38" t="n"/>
      <c r="H575" s="38" t="n"/>
      <c r="I575" s="38" t="n"/>
      <c r="J575" s="38" t="n"/>
      <c r="K575" s="38" t="n"/>
      <c r="L575" s="39">
        <f>IF($A575="","",IFERROR($D575*$G575,0))</f>
        <v/>
      </c>
    </row>
    <row r="576">
      <c r="A576" s="38" t="n"/>
      <c r="B576" s="38" t="n"/>
      <c r="C576" s="38" t="n"/>
      <c r="D576" s="38" t="n"/>
      <c r="E576" s="38" t="n"/>
      <c r="F576" s="38" t="n"/>
      <c r="G576" s="38" t="n"/>
      <c r="H576" s="38" t="n"/>
      <c r="I576" s="38" t="n"/>
      <c r="J576" s="38" t="n"/>
      <c r="K576" s="38" t="n"/>
      <c r="L576" s="39">
        <f>IF($A576="","",IFERROR($D576*$G576,0))</f>
        <v/>
      </c>
    </row>
    <row r="577">
      <c r="A577" s="38" t="n"/>
      <c r="B577" s="38" t="n"/>
      <c r="C577" s="38" t="n"/>
      <c r="D577" s="38" t="n"/>
      <c r="E577" s="38" t="n"/>
      <c r="F577" s="38" t="n"/>
      <c r="G577" s="38" t="n"/>
      <c r="H577" s="38" t="n"/>
      <c r="I577" s="38" t="n"/>
      <c r="J577" s="38" t="n"/>
      <c r="K577" s="38" t="n"/>
      <c r="L577" s="39">
        <f>IF($A577="","",IFERROR($D577*$G577,0))</f>
        <v/>
      </c>
    </row>
    <row r="578">
      <c r="A578" s="38" t="n"/>
      <c r="B578" s="38" t="n"/>
      <c r="C578" s="38" t="n"/>
      <c r="D578" s="38" t="n"/>
      <c r="E578" s="38" t="n"/>
      <c r="F578" s="38" t="n"/>
      <c r="G578" s="38" t="n"/>
      <c r="H578" s="38" t="n"/>
      <c r="I578" s="38" t="n"/>
      <c r="J578" s="38" t="n"/>
      <c r="K578" s="38" t="n"/>
      <c r="L578" s="39">
        <f>IF($A578="","",IFERROR($D578*$G578,0))</f>
        <v/>
      </c>
    </row>
    <row r="579">
      <c r="A579" s="38" t="n"/>
      <c r="B579" s="38" t="n"/>
      <c r="C579" s="38" t="n"/>
      <c r="D579" s="38" t="n"/>
      <c r="E579" s="38" t="n"/>
      <c r="F579" s="38" t="n"/>
      <c r="G579" s="38" t="n"/>
      <c r="H579" s="38" t="n"/>
      <c r="I579" s="38" t="n"/>
      <c r="J579" s="38" t="n"/>
      <c r="K579" s="38" t="n"/>
      <c r="L579" s="39">
        <f>IF($A579="","",IFERROR($D579*$G579,0))</f>
        <v/>
      </c>
    </row>
    <row r="580">
      <c r="A580" s="38" t="n"/>
      <c r="B580" s="38" t="n"/>
      <c r="C580" s="38" t="n"/>
      <c r="D580" s="38" t="n"/>
      <c r="E580" s="38" t="n"/>
      <c r="F580" s="38" t="n"/>
      <c r="G580" s="38" t="n"/>
      <c r="H580" s="38" t="n"/>
      <c r="I580" s="38" t="n"/>
      <c r="J580" s="38" t="n"/>
      <c r="K580" s="38" t="n"/>
      <c r="L580" s="39">
        <f>IF($A580="","",IFERROR($D580*$G580,0))</f>
        <v/>
      </c>
    </row>
    <row r="581">
      <c r="A581" s="38" t="n"/>
      <c r="B581" s="38" t="n"/>
      <c r="C581" s="38" t="n"/>
      <c r="D581" s="38" t="n"/>
      <c r="E581" s="38" t="n"/>
      <c r="F581" s="38" t="n"/>
      <c r="G581" s="38" t="n"/>
      <c r="H581" s="38" t="n"/>
      <c r="I581" s="38" t="n"/>
      <c r="J581" s="38" t="n"/>
      <c r="K581" s="38" t="n"/>
      <c r="L581" s="39">
        <f>IF($A581="","",IFERROR($D581*$G581,0))</f>
        <v/>
      </c>
    </row>
    <row r="582">
      <c r="A582" s="38" t="n"/>
      <c r="B582" s="38" t="n"/>
      <c r="C582" s="38" t="n"/>
      <c r="D582" s="38" t="n"/>
      <c r="E582" s="38" t="n"/>
      <c r="F582" s="38" t="n"/>
      <c r="G582" s="38" t="n"/>
      <c r="H582" s="38" t="n"/>
      <c r="I582" s="38" t="n"/>
      <c r="J582" s="38" t="n"/>
      <c r="K582" s="38" t="n"/>
      <c r="L582" s="39">
        <f>IF($A582="","",IFERROR($D582*$G582,0))</f>
        <v/>
      </c>
    </row>
    <row r="583">
      <c r="A583" s="38" t="n"/>
      <c r="B583" s="38" t="n"/>
      <c r="C583" s="38" t="n"/>
      <c r="D583" s="38" t="n"/>
      <c r="E583" s="38" t="n"/>
      <c r="F583" s="38" t="n"/>
      <c r="G583" s="38" t="n"/>
      <c r="H583" s="38" t="n"/>
      <c r="I583" s="38" t="n"/>
      <c r="J583" s="38" t="n"/>
      <c r="K583" s="38" t="n"/>
      <c r="L583" s="39">
        <f>IF($A583="","",IFERROR($D583*$G583,0))</f>
        <v/>
      </c>
    </row>
    <row r="584">
      <c r="A584" s="38" t="n"/>
      <c r="B584" s="38" t="n"/>
      <c r="C584" s="38" t="n"/>
      <c r="D584" s="38" t="n"/>
      <c r="E584" s="38" t="n"/>
      <c r="F584" s="38" t="n"/>
      <c r="G584" s="38" t="n"/>
      <c r="H584" s="38" t="n"/>
      <c r="I584" s="38" t="n"/>
      <c r="J584" s="38" t="n"/>
      <c r="K584" s="38" t="n"/>
      <c r="L584" s="39">
        <f>IF($A584="","",IFERROR($D584*$G584,0))</f>
        <v/>
      </c>
    </row>
    <row r="585">
      <c r="A585" s="38" t="n"/>
      <c r="B585" s="38" t="n"/>
      <c r="C585" s="38" t="n"/>
      <c r="D585" s="38" t="n"/>
      <c r="E585" s="38" t="n"/>
      <c r="F585" s="38" t="n"/>
      <c r="G585" s="38" t="n"/>
      <c r="H585" s="38" t="n"/>
      <c r="I585" s="38" t="n"/>
      <c r="J585" s="38" t="n"/>
      <c r="K585" s="38" t="n"/>
      <c r="L585" s="39">
        <f>IF($A585="","",IFERROR($D585*$G585,0))</f>
        <v/>
      </c>
    </row>
    <row r="586">
      <c r="A586" s="38" t="n"/>
      <c r="B586" s="38" t="n"/>
      <c r="C586" s="38" t="n"/>
      <c r="D586" s="38" t="n"/>
      <c r="E586" s="38" t="n"/>
      <c r="F586" s="38" t="n"/>
      <c r="G586" s="38" t="n"/>
      <c r="H586" s="38" t="n"/>
      <c r="I586" s="38" t="n"/>
      <c r="J586" s="38" t="n"/>
      <c r="K586" s="38" t="n"/>
      <c r="L586" s="39">
        <f>IF($A586="","",IFERROR($D586*$G586,0))</f>
        <v/>
      </c>
    </row>
    <row r="587">
      <c r="A587" s="38" t="n"/>
      <c r="B587" s="38" t="n"/>
      <c r="C587" s="38" t="n"/>
      <c r="D587" s="38" t="n"/>
      <c r="E587" s="38" t="n"/>
      <c r="F587" s="38" t="n"/>
      <c r="G587" s="38" t="n"/>
      <c r="H587" s="38" t="n"/>
      <c r="I587" s="38" t="n"/>
      <c r="J587" s="38" t="n"/>
      <c r="K587" s="38" t="n"/>
      <c r="L587" s="39">
        <f>IF($A587="","",IFERROR($D587*$G587,0))</f>
        <v/>
      </c>
    </row>
    <row r="588">
      <c r="A588" s="38" t="n"/>
      <c r="B588" s="38" t="n"/>
      <c r="C588" s="38" t="n"/>
      <c r="D588" s="38" t="n"/>
      <c r="E588" s="38" t="n"/>
      <c r="F588" s="38" t="n"/>
      <c r="G588" s="38" t="n"/>
      <c r="H588" s="38" t="n"/>
      <c r="I588" s="38" t="n"/>
      <c r="J588" s="38" t="n"/>
      <c r="K588" s="38" t="n"/>
      <c r="L588" s="39">
        <f>IF($A588="","",IFERROR($D588*$G588,0))</f>
        <v/>
      </c>
    </row>
    <row r="589">
      <c r="A589" s="38" t="n"/>
      <c r="B589" s="38" t="n"/>
      <c r="C589" s="38" t="n"/>
      <c r="D589" s="38" t="n"/>
      <c r="E589" s="38" t="n"/>
      <c r="F589" s="38" t="n"/>
      <c r="G589" s="38" t="n"/>
      <c r="H589" s="38" t="n"/>
      <c r="I589" s="38" t="n"/>
      <c r="J589" s="38" t="n"/>
      <c r="K589" s="38" t="n"/>
      <c r="L589" s="39">
        <f>IF($A589="","",IFERROR($D589*$G589,0))</f>
        <v/>
      </c>
    </row>
    <row r="590">
      <c r="A590" s="38" t="n"/>
      <c r="B590" s="38" t="n"/>
      <c r="C590" s="38" t="n"/>
      <c r="D590" s="38" t="n"/>
      <c r="E590" s="38" t="n"/>
      <c r="F590" s="38" t="n"/>
      <c r="G590" s="38" t="n"/>
      <c r="H590" s="38" t="n"/>
      <c r="I590" s="38" t="n"/>
      <c r="J590" s="38" t="n"/>
      <c r="K590" s="38" t="n"/>
      <c r="L590" s="39">
        <f>IF($A590="","",IFERROR($D590*$G590,0))</f>
        <v/>
      </c>
    </row>
    <row r="591">
      <c r="A591" s="38" t="n"/>
      <c r="B591" s="38" t="n"/>
      <c r="C591" s="38" t="n"/>
      <c r="D591" s="38" t="n"/>
      <c r="E591" s="38" t="n"/>
      <c r="F591" s="38" t="n"/>
      <c r="G591" s="38" t="n"/>
      <c r="H591" s="38" t="n"/>
      <c r="I591" s="38" t="n"/>
      <c r="J591" s="38" t="n"/>
      <c r="K591" s="38" t="n"/>
      <c r="L591" s="39">
        <f>IF($A591="","",IFERROR($D591*$G591,0))</f>
        <v/>
      </c>
    </row>
    <row r="592">
      <c r="A592" s="38" t="n"/>
      <c r="B592" s="38" t="n"/>
      <c r="C592" s="38" t="n"/>
      <c r="D592" s="38" t="n"/>
      <c r="E592" s="38" t="n"/>
      <c r="F592" s="38" t="n"/>
      <c r="G592" s="38" t="n"/>
      <c r="H592" s="38" t="n"/>
      <c r="I592" s="38" t="n"/>
      <c r="J592" s="38" t="n"/>
      <c r="K592" s="38" t="n"/>
      <c r="L592" s="39">
        <f>IF($A592="","",IFERROR($D592*$G592,0))</f>
        <v/>
      </c>
    </row>
    <row r="593">
      <c r="A593" s="38" t="n"/>
      <c r="B593" s="38" t="n"/>
      <c r="C593" s="38" t="n"/>
      <c r="D593" s="38" t="n"/>
      <c r="E593" s="38" t="n"/>
      <c r="F593" s="38" t="n"/>
      <c r="G593" s="38" t="n"/>
      <c r="H593" s="38" t="n"/>
      <c r="I593" s="38" t="n"/>
      <c r="J593" s="38" t="n"/>
      <c r="K593" s="38" t="n"/>
      <c r="L593" s="39">
        <f>IF($A593="","",IFERROR($D593*$G593,0))</f>
        <v/>
      </c>
    </row>
    <row r="594">
      <c r="A594" s="38" t="n"/>
      <c r="B594" s="38" t="n"/>
      <c r="C594" s="38" t="n"/>
      <c r="D594" s="38" t="n"/>
      <c r="E594" s="38" t="n"/>
      <c r="F594" s="38" t="n"/>
      <c r="G594" s="38" t="n"/>
      <c r="H594" s="38" t="n"/>
      <c r="I594" s="38" t="n"/>
      <c r="J594" s="38" t="n"/>
      <c r="K594" s="38" t="n"/>
      <c r="L594" s="39">
        <f>IF($A594="","",IFERROR($D594*$G594,0))</f>
        <v/>
      </c>
    </row>
    <row r="595">
      <c r="A595" s="38" t="n"/>
      <c r="B595" s="38" t="n"/>
      <c r="C595" s="38" t="n"/>
      <c r="D595" s="38" t="n"/>
      <c r="E595" s="38" t="n"/>
      <c r="F595" s="38" t="n"/>
      <c r="G595" s="38" t="n"/>
      <c r="H595" s="38" t="n"/>
      <c r="I595" s="38" t="n"/>
      <c r="J595" s="38" t="n"/>
      <c r="K595" s="38" t="n"/>
      <c r="L595" s="39">
        <f>IF($A595="","",IFERROR($D595*$G595,0))</f>
        <v/>
      </c>
    </row>
    <row r="596">
      <c r="A596" s="38" t="n"/>
      <c r="B596" s="38" t="n"/>
      <c r="C596" s="38" t="n"/>
      <c r="D596" s="38" t="n"/>
      <c r="E596" s="38" t="n"/>
      <c r="F596" s="38" t="n"/>
      <c r="G596" s="38" t="n"/>
      <c r="H596" s="38" t="n"/>
      <c r="I596" s="38" t="n"/>
      <c r="J596" s="38" t="n"/>
      <c r="K596" s="38" t="n"/>
      <c r="L596" s="39">
        <f>IF($A596="","",IFERROR($D596*$G596,0))</f>
        <v/>
      </c>
    </row>
    <row r="597">
      <c r="A597" s="38" t="n"/>
      <c r="B597" s="38" t="n"/>
      <c r="C597" s="38" t="n"/>
      <c r="D597" s="38" t="n"/>
      <c r="E597" s="38" t="n"/>
      <c r="F597" s="38" t="n"/>
      <c r="G597" s="38" t="n"/>
      <c r="H597" s="38" t="n"/>
      <c r="I597" s="38" t="n"/>
      <c r="J597" s="38" t="n"/>
      <c r="K597" s="38" t="n"/>
      <c r="L597" s="39">
        <f>IF($A597="","",IFERROR($D597*$G597,0))</f>
        <v/>
      </c>
    </row>
    <row r="598">
      <c r="A598" s="38" t="n"/>
      <c r="B598" s="38" t="n"/>
      <c r="C598" s="38" t="n"/>
      <c r="D598" s="38" t="n"/>
      <c r="E598" s="38" t="n"/>
      <c r="F598" s="38" t="n"/>
      <c r="G598" s="38" t="n"/>
      <c r="H598" s="38" t="n"/>
      <c r="I598" s="38" t="n"/>
      <c r="J598" s="38" t="n"/>
      <c r="K598" s="38" t="n"/>
      <c r="L598" s="39">
        <f>IF($A598="","",IFERROR($D598*$G598,0))</f>
        <v/>
      </c>
    </row>
    <row r="599">
      <c r="A599" s="38" t="n"/>
      <c r="B599" s="38" t="n"/>
      <c r="C599" s="38" t="n"/>
      <c r="D599" s="38" t="n"/>
      <c r="E599" s="38" t="n"/>
      <c r="F599" s="38" t="n"/>
      <c r="G599" s="38" t="n"/>
      <c r="H599" s="38" t="n"/>
      <c r="I599" s="38" t="n"/>
      <c r="J599" s="38" t="n"/>
      <c r="K599" s="38" t="n"/>
      <c r="L599" s="39">
        <f>IF($A599="","",IFERROR($D599*$G599,0))</f>
        <v/>
      </c>
    </row>
    <row r="600">
      <c r="A600" s="38" t="n"/>
      <c r="B600" s="38" t="n"/>
      <c r="C600" s="38" t="n"/>
      <c r="D600" s="38" t="n"/>
      <c r="E600" s="38" t="n"/>
      <c r="F600" s="38" t="n"/>
      <c r="G600" s="38" t="n"/>
      <c r="H600" s="38" t="n"/>
      <c r="I600" s="38" t="n"/>
      <c r="J600" s="38" t="n"/>
      <c r="K600" s="38" t="n"/>
      <c r="L600" s="39">
        <f>IF($A600="","",IFERROR($D600*$G600,0))</f>
        <v/>
      </c>
    </row>
    <row r="601">
      <c r="A601" s="38" t="n"/>
      <c r="B601" s="38" t="n"/>
      <c r="C601" s="38" t="n"/>
      <c r="D601" s="38" t="n"/>
      <c r="E601" s="38" t="n"/>
      <c r="F601" s="38" t="n"/>
      <c r="G601" s="38" t="n"/>
      <c r="H601" s="38" t="n"/>
      <c r="I601" s="38" t="n"/>
      <c r="J601" s="38" t="n"/>
      <c r="K601" s="38" t="n"/>
      <c r="L601" s="39">
        <f>IF($A601="","",IFERROR($D601*$G601,0))</f>
        <v/>
      </c>
    </row>
    <row r="602">
      <c r="A602" s="38" t="n"/>
      <c r="B602" s="38" t="n"/>
      <c r="C602" s="38" t="n"/>
      <c r="D602" s="38" t="n"/>
      <c r="E602" s="38" t="n"/>
      <c r="F602" s="38" t="n"/>
      <c r="G602" s="38" t="n"/>
      <c r="H602" s="38" t="n"/>
      <c r="I602" s="38" t="n"/>
      <c r="J602" s="38" t="n"/>
      <c r="K602" s="38" t="n"/>
      <c r="L602" s="39">
        <f>IF($A602="","",IFERROR($D602*$G602,0))</f>
        <v/>
      </c>
    </row>
    <row r="603">
      <c r="A603" s="38" t="n"/>
      <c r="B603" s="38" t="n"/>
      <c r="C603" s="38" t="n"/>
      <c r="D603" s="38" t="n"/>
      <c r="E603" s="38" t="n"/>
      <c r="F603" s="38" t="n"/>
      <c r="G603" s="38" t="n"/>
      <c r="H603" s="38" t="n"/>
      <c r="I603" s="38" t="n"/>
      <c r="J603" s="38" t="n"/>
      <c r="K603" s="38" t="n"/>
      <c r="L603" s="39">
        <f>IF($A603="","",IFERROR($D603*$G603,0))</f>
        <v/>
      </c>
    </row>
    <row r="604">
      <c r="A604" s="38" t="n"/>
      <c r="B604" s="38" t="n"/>
      <c r="C604" s="38" t="n"/>
      <c r="D604" s="38" t="n"/>
      <c r="E604" s="38" t="n"/>
      <c r="F604" s="38" t="n"/>
      <c r="G604" s="38" t="n"/>
      <c r="H604" s="38" t="n"/>
      <c r="I604" s="38" t="n"/>
      <c r="J604" s="38" t="n"/>
      <c r="K604" s="38" t="n"/>
      <c r="L604" s="39">
        <f>IF($A604="","",IFERROR($D604*$G604,0))</f>
        <v/>
      </c>
    </row>
    <row r="605">
      <c r="A605" s="38" t="n"/>
      <c r="B605" s="38" t="n"/>
      <c r="C605" s="38" t="n"/>
      <c r="D605" s="38" t="n"/>
      <c r="E605" s="38" t="n"/>
      <c r="F605" s="38" t="n"/>
      <c r="G605" s="38" t="n"/>
      <c r="H605" s="38" t="n"/>
      <c r="I605" s="38" t="n"/>
      <c r="J605" s="38" t="n"/>
      <c r="K605" s="38" t="n"/>
      <c r="L605" s="39">
        <f>IF($A605="","",IFERROR($D605*$G605,0))</f>
        <v/>
      </c>
    </row>
    <row r="606">
      <c r="A606" s="38" t="n"/>
      <c r="B606" s="38" t="n"/>
      <c r="C606" s="38" t="n"/>
      <c r="D606" s="38" t="n"/>
      <c r="E606" s="38" t="n"/>
      <c r="F606" s="38" t="n"/>
      <c r="G606" s="38" t="n"/>
      <c r="H606" s="38" t="n"/>
      <c r="I606" s="38" t="n"/>
      <c r="J606" s="38" t="n"/>
      <c r="K606" s="38" t="n"/>
      <c r="L606" s="39">
        <f>IF($A606="","",IFERROR($D606*$G606,0))</f>
        <v/>
      </c>
    </row>
    <row r="607">
      <c r="A607" s="38" t="n"/>
      <c r="B607" s="38" t="n"/>
      <c r="C607" s="38" t="n"/>
      <c r="D607" s="38" t="n"/>
      <c r="E607" s="38" t="n"/>
      <c r="F607" s="38" t="n"/>
      <c r="G607" s="38" t="n"/>
      <c r="H607" s="38" t="n"/>
      <c r="I607" s="38" t="n"/>
      <c r="J607" s="38" t="n"/>
      <c r="K607" s="38" t="n"/>
      <c r="L607" s="39">
        <f>IF($A607="","",IFERROR($D607*$G607,0))</f>
        <v/>
      </c>
    </row>
    <row r="608">
      <c r="A608" s="38" t="n"/>
      <c r="B608" s="38" t="n"/>
      <c r="C608" s="38" t="n"/>
      <c r="D608" s="38" t="n"/>
      <c r="E608" s="38" t="n"/>
      <c r="F608" s="38" t="n"/>
      <c r="G608" s="38" t="n"/>
      <c r="H608" s="38" t="n"/>
      <c r="I608" s="38" t="n"/>
      <c r="J608" s="38" t="n"/>
      <c r="K608" s="38" t="n"/>
      <c r="L608" s="39">
        <f>IF($A608="","",IFERROR($D608*$G608,0))</f>
        <v/>
      </c>
    </row>
    <row r="609">
      <c r="A609" s="38" t="n"/>
      <c r="B609" s="38" t="n"/>
      <c r="C609" s="38" t="n"/>
      <c r="D609" s="38" t="n"/>
      <c r="E609" s="38" t="n"/>
      <c r="F609" s="38" t="n"/>
      <c r="G609" s="38" t="n"/>
      <c r="H609" s="38" t="n"/>
      <c r="I609" s="38" t="n"/>
      <c r="J609" s="38" t="n"/>
      <c r="K609" s="38" t="n"/>
      <c r="L609" s="39">
        <f>IF($A609="","",IFERROR($D609*$G609,0))</f>
        <v/>
      </c>
    </row>
    <row r="610">
      <c r="A610" s="38" t="n"/>
      <c r="B610" s="38" t="n"/>
      <c r="C610" s="38" t="n"/>
      <c r="D610" s="38" t="n"/>
      <c r="E610" s="38" t="n"/>
      <c r="F610" s="38" t="n"/>
      <c r="G610" s="38" t="n"/>
      <c r="H610" s="38" t="n"/>
      <c r="I610" s="38" t="n"/>
      <c r="J610" s="38" t="n"/>
      <c r="K610" s="38" t="n"/>
      <c r="L610" s="39">
        <f>IF($A610="","",IFERROR($D610*$G610,0))</f>
        <v/>
      </c>
    </row>
    <row r="611">
      <c r="A611" s="38" t="n"/>
      <c r="B611" s="38" t="n"/>
      <c r="C611" s="38" t="n"/>
      <c r="D611" s="38" t="n"/>
      <c r="E611" s="38" t="n"/>
      <c r="F611" s="38" t="n"/>
      <c r="G611" s="38" t="n"/>
      <c r="H611" s="38" t="n"/>
      <c r="I611" s="38" t="n"/>
      <c r="J611" s="38" t="n"/>
      <c r="K611" s="38" t="n"/>
      <c r="L611" s="39">
        <f>IF($A611="","",IFERROR($D611*$G611,0))</f>
        <v/>
      </c>
    </row>
    <row r="612">
      <c r="A612" s="38" t="n"/>
      <c r="B612" s="38" t="n"/>
      <c r="C612" s="38" t="n"/>
      <c r="D612" s="38" t="n"/>
      <c r="E612" s="38" t="n"/>
      <c r="F612" s="38" t="n"/>
      <c r="G612" s="38" t="n"/>
      <c r="H612" s="38" t="n"/>
      <c r="I612" s="38" t="n"/>
      <c r="J612" s="38" t="n"/>
      <c r="K612" s="38" t="n"/>
      <c r="L612" s="39">
        <f>IF($A612="","",IFERROR($D612*$G612,0))</f>
        <v/>
      </c>
    </row>
    <row r="613">
      <c r="A613" s="38" t="n"/>
      <c r="B613" s="38" t="n"/>
      <c r="C613" s="38" t="n"/>
      <c r="D613" s="38" t="n"/>
      <c r="E613" s="38" t="n"/>
      <c r="F613" s="38" t="n"/>
      <c r="G613" s="38" t="n"/>
      <c r="H613" s="38" t="n"/>
      <c r="I613" s="38" t="n"/>
      <c r="J613" s="38" t="n"/>
      <c r="K613" s="38" t="n"/>
      <c r="L613" s="39">
        <f>IF($A613="","",IFERROR($D613*$G613,0))</f>
        <v/>
      </c>
    </row>
    <row r="614">
      <c r="A614" s="38" t="n"/>
      <c r="B614" s="38" t="n"/>
      <c r="C614" s="38" t="n"/>
      <c r="D614" s="38" t="n"/>
      <c r="E614" s="38" t="n"/>
      <c r="F614" s="38" t="n"/>
      <c r="G614" s="38" t="n"/>
      <c r="H614" s="38" t="n"/>
      <c r="I614" s="38" t="n"/>
      <c r="J614" s="38" t="n"/>
      <c r="K614" s="38" t="n"/>
      <c r="L614" s="39">
        <f>IF($A614="","",IFERROR($D614*$G614,0))</f>
        <v/>
      </c>
    </row>
    <row r="615">
      <c r="A615" s="38" t="n"/>
      <c r="B615" s="38" t="n"/>
      <c r="C615" s="38" t="n"/>
      <c r="D615" s="38" t="n"/>
      <c r="E615" s="38" t="n"/>
      <c r="F615" s="38" t="n"/>
      <c r="G615" s="38" t="n"/>
      <c r="H615" s="38" t="n"/>
      <c r="I615" s="38" t="n"/>
      <c r="J615" s="38" t="n"/>
      <c r="K615" s="38" t="n"/>
      <c r="L615" s="39">
        <f>IF($A615="","",IFERROR($D615*$G615,0))</f>
        <v/>
      </c>
    </row>
    <row r="616">
      <c r="A616" s="38" t="n"/>
      <c r="B616" s="38" t="n"/>
      <c r="C616" s="38" t="n"/>
      <c r="D616" s="38" t="n"/>
      <c r="E616" s="38" t="n"/>
      <c r="F616" s="38" t="n"/>
      <c r="G616" s="38" t="n"/>
      <c r="H616" s="38" t="n"/>
      <c r="I616" s="38" t="n"/>
      <c r="J616" s="38" t="n"/>
      <c r="K616" s="38" t="n"/>
      <c r="L616" s="39">
        <f>IF($A616="","",IFERROR($D616*$G616,0))</f>
        <v/>
      </c>
    </row>
    <row r="617">
      <c r="A617" s="38" t="n"/>
      <c r="B617" s="38" t="n"/>
      <c r="C617" s="38" t="n"/>
      <c r="D617" s="38" t="n"/>
      <c r="E617" s="38" t="n"/>
      <c r="F617" s="38" t="n"/>
      <c r="G617" s="38" t="n"/>
      <c r="H617" s="38" t="n"/>
      <c r="I617" s="38" t="n"/>
      <c r="J617" s="38" t="n"/>
      <c r="K617" s="38" t="n"/>
      <c r="L617" s="39">
        <f>IF($A617="","",IFERROR($D617*$G617,0))</f>
        <v/>
      </c>
    </row>
    <row r="618">
      <c r="A618" s="38" t="n"/>
      <c r="B618" s="38" t="n"/>
      <c r="C618" s="38" t="n"/>
      <c r="D618" s="38" t="n"/>
      <c r="E618" s="38" t="n"/>
      <c r="F618" s="38" t="n"/>
      <c r="G618" s="38" t="n"/>
      <c r="H618" s="38" t="n"/>
      <c r="I618" s="38" t="n"/>
      <c r="J618" s="38" t="n"/>
      <c r="K618" s="38" t="n"/>
      <c r="L618" s="39">
        <f>IF($A618="","",IFERROR($D618*$G618,0))</f>
        <v/>
      </c>
    </row>
    <row r="619">
      <c r="A619" s="38" t="n"/>
      <c r="B619" s="38" t="n"/>
      <c r="C619" s="38" t="n"/>
      <c r="D619" s="38" t="n"/>
      <c r="E619" s="38" t="n"/>
      <c r="F619" s="38" t="n"/>
      <c r="G619" s="38" t="n"/>
      <c r="H619" s="38" t="n"/>
      <c r="I619" s="38" t="n"/>
      <c r="J619" s="38" t="n"/>
      <c r="K619" s="38" t="n"/>
      <c r="L619" s="39">
        <f>IF($A619="","",IFERROR($D619*$G619,0))</f>
        <v/>
      </c>
    </row>
    <row r="620">
      <c r="A620" s="38" t="n"/>
      <c r="B620" s="38" t="n"/>
      <c r="C620" s="38" t="n"/>
      <c r="D620" s="38" t="n"/>
      <c r="E620" s="38" t="n"/>
      <c r="F620" s="38" t="n"/>
      <c r="G620" s="38" t="n"/>
      <c r="H620" s="38" t="n"/>
      <c r="I620" s="38" t="n"/>
      <c r="J620" s="38" t="n"/>
      <c r="K620" s="38" t="n"/>
      <c r="L620" s="39">
        <f>IF($A620="","",IFERROR($D620*$G620,0))</f>
        <v/>
      </c>
    </row>
    <row r="621">
      <c r="A621" s="38" t="n"/>
      <c r="B621" s="38" t="n"/>
      <c r="C621" s="38" t="n"/>
      <c r="D621" s="38" t="n"/>
      <c r="E621" s="38" t="n"/>
      <c r="F621" s="38" t="n"/>
      <c r="G621" s="38" t="n"/>
      <c r="H621" s="38" t="n"/>
      <c r="I621" s="38" t="n"/>
      <c r="J621" s="38" t="n"/>
      <c r="K621" s="38" t="n"/>
      <c r="L621" s="39">
        <f>IF($A621="","",IFERROR($D621*$G621,0))</f>
        <v/>
      </c>
    </row>
    <row r="622">
      <c r="A622" s="38" t="n"/>
      <c r="B622" s="38" t="n"/>
      <c r="C622" s="38" t="n"/>
      <c r="D622" s="38" t="n"/>
      <c r="E622" s="38" t="n"/>
      <c r="F622" s="38" t="n"/>
      <c r="G622" s="38" t="n"/>
      <c r="H622" s="38" t="n"/>
      <c r="I622" s="38" t="n"/>
      <c r="J622" s="38" t="n"/>
      <c r="K622" s="38" t="n"/>
      <c r="L622" s="39">
        <f>IF($A622="","",IFERROR($D622*$G622,0))</f>
        <v/>
      </c>
    </row>
    <row r="623">
      <c r="A623" s="38" t="n"/>
      <c r="B623" s="38" t="n"/>
      <c r="C623" s="38" t="n"/>
      <c r="D623" s="38" t="n"/>
      <c r="E623" s="38" t="n"/>
      <c r="F623" s="38" t="n"/>
      <c r="G623" s="38" t="n"/>
      <c r="H623" s="38" t="n"/>
      <c r="I623" s="38" t="n"/>
      <c r="J623" s="38" t="n"/>
      <c r="K623" s="38" t="n"/>
      <c r="L623" s="39">
        <f>IF($A623="","",IFERROR($D623*$G623,0))</f>
        <v/>
      </c>
    </row>
    <row r="624">
      <c r="A624" s="38" t="n"/>
      <c r="B624" s="38" t="n"/>
      <c r="C624" s="38" t="n"/>
      <c r="D624" s="38" t="n"/>
      <c r="E624" s="38" t="n"/>
      <c r="F624" s="38" t="n"/>
      <c r="G624" s="38" t="n"/>
      <c r="H624" s="38" t="n"/>
      <c r="I624" s="38" t="n"/>
      <c r="J624" s="38" t="n"/>
      <c r="K624" s="38" t="n"/>
      <c r="L624" s="39">
        <f>IF($A624="","",IFERROR($D624*$G624,0))</f>
        <v/>
      </c>
    </row>
    <row r="625">
      <c r="A625" s="38" t="n"/>
      <c r="B625" s="38" t="n"/>
      <c r="C625" s="38" t="n"/>
      <c r="D625" s="38" t="n"/>
      <c r="E625" s="38" t="n"/>
      <c r="F625" s="38" t="n"/>
      <c r="G625" s="38" t="n"/>
      <c r="H625" s="38" t="n"/>
      <c r="I625" s="38" t="n"/>
      <c r="J625" s="38" t="n"/>
      <c r="K625" s="38" t="n"/>
      <c r="L625" s="39">
        <f>IF($A625="","",IFERROR($D625*$G625,0))</f>
        <v/>
      </c>
    </row>
    <row r="626">
      <c r="A626" s="38" t="n"/>
      <c r="B626" s="38" t="n"/>
      <c r="C626" s="38" t="n"/>
      <c r="D626" s="38" t="n"/>
      <c r="E626" s="38" t="n"/>
      <c r="F626" s="38" t="n"/>
      <c r="G626" s="38" t="n"/>
      <c r="H626" s="38" t="n"/>
      <c r="I626" s="38" t="n"/>
      <c r="J626" s="38" t="n"/>
      <c r="K626" s="38" t="n"/>
      <c r="L626" s="39">
        <f>IF($A626="","",IFERROR($D626*$G626,0))</f>
        <v/>
      </c>
    </row>
    <row r="627">
      <c r="A627" s="38" t="n"/>
      <c r="B627" s="38" t="n"/>
      <c r="C627" s="38" t="n"/>
      <c r="D627" s="38" t="n"/>
      <c r="E627" s="38" t="n"/>
      <c r="F627" s="38" t="n"/>
      <c r="G627" s="38" t="n"/>
      <c r="H627" s="38" t="n"/>
      <c r="I627" s="38" t="n"/>
      <c r="J627" s="38" t="n"/>
      <c r="K627" s="38" t="n"/>
      <c r="L627" s="39">
        <f>IF($A627="","",IFERROR($D627*$G627,0))</f>
        <v/>
      </c>
    </row>
    <row r="628">
      <c r="A628" s="38" t="n"/>
      <c r="B628" s="38" t="n"/>
      <c r="C628" s="38" t="n"/>
      <c r="D628" s="38" t="n"/>
      <c r="E628" s="38" t="n"/>
      <c r="F628" s="38" t="n"/>
      <c r="G628" s="38" t="n"/>
      <c r="H628" s="38" t="n"/>
      <c r="I628" s="38" t="n"/>
      <c r="J628" s="38" t="n"/>
      <c r="K628" s="38" t="n"/>
      <c r="L628" s="39">
        <f>IF($A628="","",IFERROR($D628*$G628,0))</f>
        <v/>
      </c>
    </row>
    <row r="629">
      <c r="A629" s="38" t="n"/>
      <c r="B629" s="38" t="n"/>
      <c r="C629" s="38" t="n"/>
      <c r="D629" s="38" t="n"/>
      <c r="E629" s="38" t="n"/>
      <c r="F629" s="38" t="n"/>
      <c r="G629" s="38" t="n"/>
      <c r="H629" s="38" t="n"/>
      <c r="I629" s="38" t="n"/>
      <c r="J629" s="38" t="n"/>
      <c r="K629" s="38" t="n"/>
      <c r="L629" s="39">
        <f>IF($A629="","",IFERROR($D629*$G629,0))</f>
        <v/>
      </c>
    </row>
    <row r="630">
      <c r="A630" s="38" t="n"/>
      <c r="B630" s="38" t="n"/>
      <c r="C630" s="38" t="n"/>
      <c r="D630" s="38" t="n"/>
      <c r="E630" s="38" t="n"/>
      <c r="F630" s="38" t="n"/>
      <c r="G630" s="38" t="n"/>
      <c r="H630" s="38" t="n"/>
      <c r="I630" s="38" t="n"/>
      <c r="J630" s="38" t="n"/>
      <c r="K630" s="38" t="n"/>
      <c r="L630" s="39">
        <f>IF($A630="","",IFERROR($D630*$G630,0))</f>
        <v/>
      </c>
    </row>
    <row r="631">
      <c r="A631" s="38" t="n"/>
      <c r="B631" s="38" t="n"/>
      <c r="C631" s="38" t="n"/>
      <c r="D631" s="38" t="n"/>
      <c r="E631" s="38" t="n"/>
      <c r="F631" s="38" t="n"/>
      <c r="G631" s="38" t="n"/>
      <c r="H631" s="38" t="n"/>
      <c r="I631" s="38" t="n"/>
      <c r="J631" s="38" t="n"/>
      <c r="K631" s="38" t="n"/>
      <c r="L631" s="39">
        <f>IF($A631="","",IFERROR($D631*$G631,0))</f>
        <v/>
      </c>
    </row>
    <row r="632">
      <c r="A632" s="38" t="n"/>
      <c r="B632" s="38" t="n"/>
      <c r="C632" s="38" t="n"/>
      <c r="D632" s="38" t="n"/>
      <c r="E632" s="38" t="n"/>
      <c r="F632" s="38" t="n"/>
      <c r="G632" s="38" t="n"/>
      <c r="H632" s="38" t="n"/>
      <c r="I632" s="38" t="n"/>
      <c r="J632" s="38" t="n"/>
      <c r="K632" s="38" t="n"/>
      <c r="L632" s="39">
        <f>IF($A632="","",IFERROR($D632*$G632,0))</f>
        <v/>
      </c>
    </row>
    <row r="633">
      <c r="A633" s="38" t="n"/>
      <c r="B633" s="38" t="n"/>
      <c r="C633" s="38" t="n"/>
      <c r="D633" s="38" t="n"/>
      <c r="E633" s="38" t="n"/>
      <c r="F633" s="38" t="n"/>
      <c r="G633" s="38" t="n"/>
      <c r="H633" s="38" t="n"/>
      <c r="I633" s="38" t="n"/>
      <c r="J633" s="38" t="n"/>
      <c r="K633" s="38" t="n"/>
      <c r="L633" s="39">
        <f>IF($A633="","",IFERROR($D633*$G633,0))</f>
        <v/>
      </c>
    </row>
    <row r="634">
      <c r="A634" s="38" t="n"/>
      <c r="B634" s="38" t="n"/>
      <c r="C634" s="38" t="n"/>
      <c r="D634" s="38" t="n"/>
      <c r="E634" s="38" t="n"/>
      <c r="F634" s="38" t="n"/>
      <c r="G634" s="38" t="n"/>
      <c r="H634" s="38" t="n"/>
      <c r="I634" s="38" t="n"/>
      <c r="J634" s="38" t="n"/>
      <c r="K634" s="38" t="n"/>
      <c r="L634" s="39">
        <f>IF($A634="","",IFERROR($D634*$G634,0))</f>
        <v/>
      </c>
    </row>
    <row r="635">
      <c r="A635" s="38" t="n"/>
      <c r="B635" s="38" t="n"/>
      <c r="C635" s="38" t="n"/>
      <c r="D635" s="38" t="n"/>
      <c r="E635" s="38" t="n"/>
      <c r="F635" s="38" t="n"/>
      <c r="G635" s="38" t="n"/>
      <c r="H635" s="38" t="n"/>
      <c r="I635" s="38" t="n"/>
      <c r="J635" s="38" t="n"/>
      <c r="K635" s="38" t="n"/>
      <c r="L635" s="39">
        <f>IF($A635="","",IFERROR($D635*$G635,0))</f>
        <v/>
      </c>
    </row>
    <row r="636">
      <c r="A636" s="38" t="n"/>
      <c r="B636" s="38" t="n"/>
      <c r="C636" s="38" t="n"/>
      <c r="D636" s="38" t="n"/>
      <c r="E636" s="38" t="n"/>
      <c r="F636" s="38" t="n"/>
      <c r="G636" s="38" t="n"/>
      <c r="H636" s="38" t="n"/>
      <c r="I636" s="38" t="n"/>
      <c r="J636" s="38" t="n"/>
      <c r="K636" s="38" t="n"/>
      <c r="L636" s="39">
        <f>IF($A636="","",IFERROR($D636*$G636,0))</f>
        <v/>
      </c>
    </row>
    <row r="637">
      <c r="A637" s="38" t="n"/>
      <c r="B637" s="38" t="n"/>
      <c r="C637" s="38" t="n"/>
      <c r="D637" s="38" t="n"/>
      <c r="E637" s="38" t="n"/>
      <c r="F637" s="38" t="n"/>
      <c r="G637" s="38" t="n"/>
      <c r="H637" s="38" t="n"/>
      <c r="I637" s="38" t="n"/>
      <c r="J637" s="38" t="n"/>
      <c r="K637" s="38" t="n"/>
      <c r="L637" s="39">
        <f>IF($A637="","",IFERROR($D637*$G637,0))</f>
        <v/>
      </c>
    </row>
    <row r="638">
      <c r="A638" s="38" t="n"/>
      <c r="B638" s="38" t="n"/>
      <c r="C638" s="38" t="n"/>
      <c r="D638" s="38" t="n"/>
      <c r="E638" s="38" t="n"/>
      <c r="F638" s="38" t="n"/>
      <c r="G638" s="38" t="n"/>
      <c r="H638" s="38" t="n"/>
      <c r="I638" s="38" t="n"/>
      <c r="J638" s="38" t="n"/>
      <c r="K638" s="38" t="n"/>
      <c r="L638" s="39">
        <f>IF($A638="","",IFERROR($D638*$G638,0))</f>
        <v/>
      </c>
    </row>
    <row r="639">
      <c r="A639" s="38" t="n"/>
      <c r="B639" s="38" t="n"/>
      <c r="C639" s="38" t="n"/>
      <c r="D639" s="38" t="n"/>
      <c r="E639" s="38" t="n"/>
      <c r="F639" s="38" t="n"/>
      <c r="G639" s="38" t="n"/>
      <c r="H639" s="38" t="n"/>
      <c r="I639" s="38" t="n"/>
      <c r="J639" s="38" t="n"/>
      <c r="K639" s="38" t="n"/>
      <c r="L639" s="39">
        <f>IF($A639="","",IFERROR($D639*$G639,0))</f>
        <v/>
      </c>
    </row>
    <row r="640">
      <c r="A640" s="38" t="n"/>
      <c r="B640" s="38" t="n"/>
      <c r="C640" s="38" t="n"/>
      <c r="D640" s="38" t="n"/>
      <c r="E640" s="38" t="n"/>
      <c r="F640" s="38" t="n"/>
      <c r="G640" s="38" t="n"/>
      <c r="H640" s="38" t="n"/>
      <c r="I640" s="38" t="n"/>
      <c r="J640" s="38" t="n"/>
      <c r="K640" s="38" t="n"/>
      <c r="L640" s="39">
        <f>IF($A640="","",IFERROR($D640*$G640,0))</f>
        <v/>
      </c>
    </row>
    <row r="641">
      <c r="A641" s="38" t="n"/>
      <c r="B641" s="38" t="n"/>
      <c r="C641" s="38" t="n"/>
      <c r="D641" s="38" t="n"/>
      <c r="E641" s="38" t="n"/>
      <c r="F641" s="38" t="n"/>
      <c r="G641" s="38" t="n"/>
      <c r="H641" s="38" t="n"/>
      <c r="I641" s="38" t="n"/>
      <c r="J641" s="38" t="n"/>
      <c r="K641" s="38" t="n"/>
      <c r="L641" s="39">
        <f>IF($A641="","",IFERROR($D641*$G641,0))</f>
        <v/>
      </c>
    </row>
    <row r="642">
      <c r="A642" s="38" t="n"/>
      <c r="B642" s="38" t="n"/>
      <c r="C642" s="38" t="n"/>
      <c r="D642" s="38" t="n"/>
      <c r="E642" s="38" t="n"/>
      <c r="F642" s="38" t="n"/>
      <c r="G642" s="38" t="n"/>
      <c r="H642" s="38" t="n"/>
      <c r="I642" s="38" t="n"/>
      <c r="J642" s="38" t="n"/>
      <c r="K642" s="38" t="n"/>
      <c r="L642" s="39">
        <f>IF($A642="","",IFERROR($D642*$G642,0))</f>
        <v/>
      </c>
    </row>
    <row r="643">
      <c r="A643" s="38" t="n"/>
      <c r="B643" s="38" t="n"/>
      <c r="C643" s="38" t="n"/>
      <c r="D643" s="38" t="n"/>
      <c r="E643" s="38" t="n"/>
      <c r="F643" s="38" t="n"/>
      <c r="G643" s="38" t="n"/>
      <c r="H643" s="38" t="n"/>
      <c r="I643" s="38" t="n"/>
      <c r="J643" s="38" t="n"/>
      <c r="K643" s="38" t="n"/>
      <c r="L643" s="39">
        <f>IF($A643="","",IFERROR($D643*$G643,0))</f>
        <v/>
      </c>
    </row>
    <row r="644">
      <c r="A644" s="38" t="n"/>
      <c r="B644" s="38" t="n"/>
      <c r="C644" s="38" t="n"/>
      <c r="D644" s="38" t="n"/>
      <c r="E644" s="38" t="n"/>
      <c r="F644" s="38" t="n"/>
      <c r="G644" s="38" t="n"/>
      <c r="H644" s="38" t="n"/>
      <c r="I644" s="38" t="n"/>
      <c r="J644" s="38" t="n"/>
      <c r="K644" s="38" t="n"/>
      <c r="L644" s="39">
        <f>IF($A644="","",IFERROR($D644*$G644,0))</f>
        <v/>
      </c>
    </row>
    <row r="645">
      <c r="A645" s="38" t="n"/>
      <c r="B645" s="38" t="n"/>
      <c r="C645" s="38" t="n"/>
      <c r="D645" s="38" t="n"/>
      <c r="E645" s="38" t="n"/>
      <c r="F645" s="38" t="n"/>
      <c r="G645" s="38" t="n"/>
      <c r="H645" s="38" t="n"/>
      <c r="I645" s="38" t="n"/>
      <c r="J645" s="38" t="n"/>
      <c r="K645" s="38" t="n"/>
      <c r="L645" s="39">
        <f>IF($A645="","",IFERROR($D645*$G645,0))</f>
        <v/>
      </c>
    </row>
    <row r="646">
      <c r="A646" s="38" t="n"/>
      <c r="B646" s="38" t="n"/>
      <c r="C646" s="38" t="n"/>
      <c r="D646" s="38" t="n"/>
      <c r="E646" s="38" t="n"/>
      <c r="F646" s="38" t="n"/>
      <c r="G646" s="38" t="n"/>
      <c r="H646" s="38" t="n"/>
      <c r="I646" s="38" t="n"/>
      <c r="J646" s="38" t="n"/>
      <c r="K646" s="38" t="n"/>
      <c r="L646" s="39">
        <f>IF($A646="","",IFERROR($D646*$G646,0))</f>
        <v/>
      </c>
    </row>
    <row r="647">
      <c r="A647" s="38" t="n"/>
      <c r="B647" s="38" t="n"/>
      <c r="C647" s="38" t="n"/>
      <c r="D647" s="38" t="n"/>
      <c r="E647" s="38" t="n"/>
      <c r="F647" s="38" t="n"/>
      <c r="G647" s="38" t="n"/>
      <c r="H647" s="38" t="n"/>
      <c r="I647" s="38" t="n"/>
      <c r="J647" s="38" t="n"/>
      <c r="K647" s="38" t="n"/>
      <c r="L647" s="39">
        <f>IF($A647="","",IFERROR($D647*$G647,0))</f>
        <v/>
      </c>
    </row>
    <row r="648">
      <c r="A648" s="38" t="n"/>
      <c r="B648" s="38" t="n"/>
      <c r="C648" s="38" t="n"/>
      <c r="D648" s="38" t="n"/>
      <c r="E648" s="38" t="n"/>
      <c r="F648" s="38" t="n"/>
      <c r="G648" s="38" t="n"/>
      <c r="H648" s="38" t="n"/>
      <c r="I648" s="38" t="n"/>
      <c r="J648" s="38" t="n"/>
      <c r="K648" s="38" t="n"/>
      <c r="L648" s="39">
        <f>IF($A648="","",IFERROR($D648*$G648,0))</f>
        <v/>
      </c>
    </row>
    <row r="649">
      <c r="A649" s="38" t="n"/>
      <c r="B649" s="38" t="n"/>
      <c r="C649" s="38" t="n"/>
      <c r="D649" s="38" t="n"/>
      <c r="E649" s="38" t="n"/>
      <c r="F649" s="38" t="n"/>
      <c r="G649" s="38" t="n"/>
      <c r="H649" s="38" t="n"/>
      <c r="I649" s="38" t="n"/>
      <c r="J649" s="38" t="n"/>
      <c r="K649" s="38" t="n"/>
      <c r="L649" s="39">
        <f>IF($A649="","",IFERROR($D649*$G649,0))</f>
        <v/>
      </c>
    </row>
    <row r="650">
      <c r="A650" s="38" t="n"/>
      <c r="B650" s="38" t="n"/>
      <c r="C650" s="38" t="n"/>
      <c r="D650" s="38" t="n"/>
      <c r="E650" s="38" t="n"/>
      <c r="F650" s="38" t="n"/>
      <c r="G650" s="38" t="n"/>
      <c r="H650" s="38" t="n"/>
      <c r="I650" s="38" t="n"/>
      <c r="J650" s="38" t="n"/>
      <c r="K650" s="38" t="n"/>
      <c r="L650" s="39">
        <f>IF($A650="","",IFERROR($D650*$G650,0))</f>
        <v/>
      </c>
    </row>
    <row r="651">
      <c r="A651" s="38" t="n"/>
      <c r="B651" s="38" t="n"/>
      <c r="C651" s="38" t="n"/>
      <c r="D651" s="38" t="n"/>
      <c r="E651" s="38" t="n"/>
      <c r="F651" s="38" t="n"/>
      <c r="G651" s="38" t="n"/>
      <c r="H651" s="38" t="n"/>
      <c r="I651" s="38" t="n"/>
      <c r="J651" s="38" t="n"/>
      <c r="K651" s="38" t="n"/>
      <c r="L651" s="39">
        <f>IF($A651="","",IFERROR($D651*$G651,0))</f>
        <v/>
      </c>
    </row>
    <row r="652">
      <c r="A652" s="38" t="n"/>
      <c r="B652" s="38" t="n"/>
      <c r="C652" s="38" t="n"/>
      <c r="D652" s="38" t="n"/>
      <c r="E652" s="38" t="n"/>
      <c r="F652" s="38" t="n"/>
      <c r="G652" s="38" t="n"/>
      <c r="H652" s="38" t="n"/>
      <c r="I652" s="38" t="n"/>
      <c r="J652" s="38" t="n"/>
      <c r="K652" s="38" t="n"/>
      <c r="L652" s="39">
        <f>IF($A652="","",IFERROR($D652*$G652,0))</f>
        <v/>
      </c>
    </row>
    <row r="653">
      <c r="A653" s="38" t="n"/>
      <c r="B653" s="38" t="n"/>
      <c r="C653" s="38" t="n"/>
      <c r="D653" s="38" t="n"/>
      <c r="E653" s="38" t="n"/>
      <c r="F653" s="38" t="n"/>
      <c r="G653" s="38" t="n"/>
      <c r="H653" s="38" t="n"/>
      <c r="I653" s="38" t="n"/>
      <c r="J653" s="38" t="n"/>
      <c r="K653" s="38" t="n"/>
      <c r="L653" s="39">
        <f>IF($A653="","",IFERROR($D653*$G653,0))</f>
        <v/>
      </c>
    </row>
    <row r="654">
      <c r="A654" s="38" t="n"/>
      <c r="B654" s="38" t="n"/>
      <c r="C654" s="38" t="n"/>
      <c r="D654" s="38" t="n"/>
      <c r="E654" s="38" t="n"/>
      <c r="F654" s="38" t="n"/>
      <c r="G654" s="38" t="n"/>
      <c r="H654" s="38" t="n"/>
      <c r="I654" s="38" t="n"/>
      <c r="J654" s="38" t="n"/>
      <c r="K654" s="38" t="n"/>
      <c r="L654" s="39">
        <f>IF($A654="","",IFERROR($D654*$G654,0))</f>
        <v/>
      </c>
    </row>
    <row r="655">
      <c r="A655" s="38" t="n"/>
      <c r="B655" s="38" t="n"/>
      <c r="C655" s="38" t="n"/>
      <c r="D655" s="38" t="n"/>
      <c r="E655" s="38" t="n"/>
      <c r="F655" s="38" t="n"/>
      <c r="G655" s="38" t="n"/>
      <c r="H655" s="38" t="n"/>
      <c r="I655" s="38" t="n"/>
      <c r="J655" s="38" t="n"/>
      <c r="K655" s="38" t="n"/>
      <c r="L655" s="39">
        <f>IF($A655="","",IFERROR($D655*$G655,0))</f>
        <v/>
      </c>
    </row>
    <row r="656">
      <c r="A656" s="38" t="n"/>
      <c r="B656" s="38" t="n"/>
      <c r="C656" s="38" t="n"/>
      <c r="D656" s="38" t="n"/>
      <c r="E656" s="38" t="n"/>
      <c r="F656" s="38" t="n"/>
      <c r="G656" s="38" t="n"/>
      <c r="H656" s="38" t="n"/>
      <c r="I656" s="38" t="n"/>
      <c r="J656" s="38" t="n"/>
      <c r="K656" s="38" t="n"/>
      <c r="L656" s="39">
        <f>IF($A656="","",IFERROR($D656*$G656,0))</f>
        <v/>
      </c>
    </row>
    <row r="657">
      <c r="A657" s="38" t="n"/>
      <c r="B657" s="38" t="n"/>
      <c r="C657" s="38" t="n"/>
      <c r="D657" s="38" t="n"/>
      <c r="E657" s="38" t="n"/>
      <c r="F657" s="38" t="n"/>
      <c r="G657" s="38" t="n"/>
      <c r="H657" s="38" t="n"/>
      <c r="I657" s="38" t="n"/>
      <c r="J657" s="38" t="n"/>
      <c r="K657" s="38" t="n"/>
      <c r="L657" s="39">
        <f>IF($A657="","",IFERROR($D657*$G657,0))</f>
        <v/>
      </c>
    </row>
    <row r="658">
      <c r="A658" s="38" t="n"/>
      <c r="B658" s="38" t="n"/>
      <c r="C658" s="38" t="n"/>
      <c r="D658" s="38" t="n"/>
      <c r="E658" s="38" t="n"/>
      <c r="F658" s="38" t="n"/>
      <c r="G658" s="38" t="n"/>
      <c r="H658" s="38" t="n"/>
      <c r="I658" s="38" t="n"/>
      <c r="J658" s="38" t="n"/>
      <c r="K658" s="38" t="n"/>
      <c r="L658" s="39">
        <f>IF($A658="","",IFERROR($D658*$G658,0))</f>
        <v/>
      </c>
    </row>
    <row r="659">
      <c r="A659" s="38" t="n"/>
      <c r="B659" s="38" t="n"/>
      <c r="C659" s="38" t="n"/>
      <c r="D659" s="38" t="n"/>
      <c r="E659" s="38" t="n"/>
      <c r="F659" s="38" t="n"/>
      <c r="G659" s="38" t="n"/>
      <c r="H659" s="38" t="n"/>
      <c r="I659" s="38" t="n"/>
      <c r="J659" s="38" t="n"/>
      <c r="K659" s="38" t="n"/>
      <c r="L659" s="39">
        <f>IF($A659="","",IFERROR($D659*$G659,0))</f>
        <v/>
      </c>
    </row>
    <row r="660">
      <c r="A660" s="38" t="n"/>
      <c r="B660" s="38" t="n"/>
      <c r="C660" s="38" t="n"/>
      <c r="D660" s="38" t="n"/>
      <c r="E660" s="38" t="n"/>
      <c r="F660" s="38" t="n"/>
      <c r="G660" s="38" t="n"/>
      <c r="H660" s="38" t="n"/>
      <c r="I660" s="38" t="n"/>
      <c r="J660" s="38" t="n"/>
      <c r="K660" s="38" t="n"/>
      <c r="L660" s="39">
        <f>IF($A660="","",IFERROR($D660*$G660,0))</f>
        <v/>
      </c>
    </row>
    <row r="661">
      <c r="A661" s="38" t="n"/>
      <c r="B661" s="38" t="n"/>
      <c r="C661" s="38" t="n"/>
      <c r="D661" s="38" t="n"/>
      <c r="E661" s="38" t="n"/>
      <c r="F661" s="38" t="n"/>
      <c r="G661" s="38" t="n"/>
      <c r="H661" s="38" t="n"/>
      <c r="I661" s="38" t="n"/>
      <c r="J661" s="38" t="n"/>
      <c r="K661" s="38" t="n"/>
      <c r="L661" s="39">
        <f>IF($A661="","",IFERROR($D661*$G661,0))</f>
        <v/>
      </c>
    </row>
    <row r="662">
      <c r="A662" s="38" t="n"/>
      <c r="B662" s="38" t="n"/>
      <c r="C662" s="38" t="n"/>
      <c r="D662" s="38" t="n"/>
      <c r="E662" s="38" t="n"/>
      <c r="F662" s="38" t="n"/>
      <c r="G662" s="38" t="n"/>
      <c r="H662" s="38" t="n"/>
      <c r="I662" s="38" t="n"/>
      <c r="J662" s="38" t="n"/>
      <c r="K662" s="38" t="n"/>
      <c r="L662" s="39">
        <f>IF($A662="","",IFERROR($D662*$G662,0))</f>
        <v/>
      </c>
    </row>
    <row r="663">
      <c r="A663" s="38" t="n"/>
      <c r="B663" s="38" t="n"/>
      <c r="C663" s="38" t="n"/>
      <c r="D663" s="38" t="n"/>
      <c r="E663" s="38" t="n"/>
      <c r="F663" s="38" t="n"/>
      <c r="G663" s="38" t="n"/>
      <c r="H663" s="38" t="n"/>
      <c r="I663" s="38" t="n"/>
      <c r="J663" s="38" t="n"/>
      <c r="K663" s="38" t="n"/>
      <c r="L663" s="39">
        <f>IF($A663="","",IFERROR($D663*$G663,0))</f>
        <v/>
      </c>
    </row>
    <row r="664">
      <c r="A664" s="38" t="n"/>
      <c r="B664" s="38" t="n"/>
      <c r="C664" s="38" t="n"/>
      <c r="D664" s="38" t="n"/>
      <c r="E664" s="38" t="n"/>
      <c r="F664" s="38" t="n"/>
      <c r="G664" s="38" t="n"/>
      <c r="H664" s="38" t="n"/>
      <c r="I664" s="38" t="n"/>
      <c r="J664" s="38" t="n"/>
      <c r="K664" s="38" t="n"/>
      <c r="L664" s="39">
        <f>IF($A664="","",IFERROR($D664*$G664,0))</f>
        <v/>
      </c>
    </row>
    <row r="665">
      <c r="A665" s="38" t="n"/>
      <c r="B665" s="38" t="n"/>
      <c r="C665" s="38" t="n"/>
      <c r="D665" s="38" t="n"/>
      <c r="E665" s="38" t="n"/>
      <c r="F665" s="38" t="n"/>
      <c r="G665" s="38" t="n"/>
      <c r="H665" s="38" t="n"/>
      <c r="I665" s="38" t="n"/>
      <c r="J665" s="38" t="n"/>
      <c r="K665" s="38" t="n"/>
      <c r="L665" s="39">
        <f>IF($A665="","",IFERROR($D665*$G665,0))</f>
        <v/>
      </c>
    </row>
    <row r="666">
      <c r="A666" s="38" t="n"/>
      <c r="B666" s="38" t="n"/>
      <c r="C666" s="38" t="n"/>
      <c r="D666" s="38" t="n"/>
      <c r="E666" s="38" t="n"/>
      <c r="F666" s="38" t="n"/>
      <c r="G666" s="38" t="n"/>
      <c r="H666" s="38" t="n"/>
      <c r="I666" s="38" t="n"/>
      <c r="J666" s="38" t="n"/>
      <c r="K666" s="38" t="n"/>
      <c r="L666" s="39">
        <f>IF($A666="","",IFERROR($D666*$G666,0))</f>
        <v/>
      </c>
    </row>
    <row r="667">
      <c r="A667" s="38" t="n"/>
      <c r="B667" s="38" t="n"/>
      <c r="C667" s="38" t="n"/>
      <c r="D667" s="38" t="n"/>
      <c r="E667" s="38" t="n"/>
      <c r="F667" s="38" t="n"/>
      <c r="G667" s="38" t="n"/>
      <c r="H667" s="38" t="n"/>
      <c r="I667" s="38" t="n"/>
      <c r="J667" s="38" t="n"/>
      <c r="K667" s="38" t="n"/>
      <c r="L667" s="39">
        <f>IF($A667="","",IFERROR($D667*$G667,0))</f>
        <v/>
      </c>
    </row>
    <row r="668">
      <c r="A668" s="38" t="n"/>
      <c r="B668" s="38" t="n"/>
      <c r="C668" s="38" t="n"/>
      <c r="D668" s="38" t="n"/>
      <c r="E668" s="38" t="n"/>
      <c r="F668" s="38" t="n"/>
      <c r="G668" s="38" t="n"/>
      <c r="H668" s="38" t="n"/>
      <c r="I668" s="38" t="n"/>
      <c r="J668" s="38" t="n"/>
      <c r="K668" s="38" t="n"/>
      <c r="L668" s="39">
        <f>IF($A668="","",IFERROR($D668*$G668,0))</f>
        <v/>
      </c>
    </row>
    <row r="669">
      <c r="A669" s="38" t="n"/>
      <c r="B669" s="38" t="n"/>
      <c r="C669" s="38" t="n"/>
      <c r="D669" s="38" t="n"/>
      <c r="E669" s="38" t="n"/>
      <c r="F669" s="38" t="n"/>
      <c r="G669" s="38" t="n"/>
      <c r="H669" s="38" t="n"/>
      <c r="I669" s="38" t="n"/>
      <c r="J669" s="38" t="n"/>
      <c r="K669" s="38" t="n"/>
      <c r="L669" s="39">
        <f>IF($A669="","",IFERROR($D669*$G669,0))</f>
        <v/>
      </c>
    </row>
    <row r="670">
      <c r="A670" s="38" t="n"/>
      <c r="B670" s="38" t="n"/>
      <c r="C670" s="38" t="n"/>
      <c r="D670" s="38" t="n"/>
      <c r="E670" s="38" t="n"/>
      <c r="F670" s="38" t="n"/>
      <c r="G670" s="38" t="n"/>
      <c r="H670" s="38" t="n"/>
      <c r="I670" s="38" t="n"/>
      <c r="J670" s="38" t="n"/>
      <c r="K670" s="38" t="n"/>
      <c r="L670" s="39">
        <f>IF($A670="","",IFERROR($D670*$G670,0))</f>
        <v/>
      </c>
    </row>
    <row r="671">
      <c r="A671" s="38" t="n"/>
      <c r="B671" s="38" t="n"/>
      <c r="C671" s="38" t="n"/>
      <c r="D671" s="38" t="n"/>
      <c r="E671" s="38" t="n"/>
      <c r="F671" s="38" t="n"/>
      <c r="G671" s="38" t="n"/>
      <c r="H671" s="38" t="n"/>
      <c r="I671" s="38" t="n"/>
      <c r="J671" s="38" t="n"/>
      <c r="K671" s="38" t="n"/>
      <c r="L671" s="39">
        <f>IF($A671="","",IFERROR($D671*$G671,0))</f>
        <v/>
      </c>
    </row>
    <row r="672">
      <c r="A672" s="38" t="n"/>
      <c r="B672" s="38" t="n"/>
      <c r="C672" s="38" t="n"/>
      <c r="D672" s="38" t="n"/>
      <c r="E672" s="38" t="n"/>
      <c r="F672" s="38" t="n"/>
      <c r="G672" s="38" t="n"/>
      <c r="H672" s="38" t="n"/>
      <c r="I672" s="38" t="n"/>
      <c r="J672" s="38" t="n"/>
      <c r="K672" s="38" t="n"/>
      <c r="L672" s="39">
        <f>IF($A672="","",IFERROR($D672*$G672,0))</f>
        <v/>
      </c>
    </row>
    <row r="673">
      <c r="A673" s="38" t="n"/>
      <c r="B673" s="38" t="n"/>
      <c r="C673" s="38" t="n"/>
      <c r="D673" s="38" t="n"/>
      <c r="E673" s="38" t="n"/>
      <c r="F673" s="38" t="n"/>
      <c r="G673" s="38" t="n"/>
      <c r="H673" s="38" t="n"/>
      <c r="I673" s="38" t="n"/>
      <c r="J673" s="38" t="n"/>
      <c r="K673" s="38" t="n"/>
      <c r="L673" s="39">
        <f>IF($A673="","",IFERROR($D673*$G673,0))</f>
        <v/>
      </c>
    </row>
    <row r="674">
      <c r="A674" s="38" t="n"/>
      <c r="B674" s="38" t="n"/>
      <c r="C674" s="38" t="n"/>
      <c r="D674" s="38" t="n"/>
      <c r="E674" s="38" t="n"/>
      <c r="F674" s="38" t="n"/>
      <c r="G674" s="38" t="n"/>
      <c r="H674" s="38" t="n"/>
      <c r="I674" s="38" t="n"/>
      <c r="J674" s="38" t="n"/>
      <c r="K674" s="38" t="n"/>
      <c r="L674" s="39">
        <f>IF($A674="","",IFERROR($D674*$G674,0))</f>
        <v/>
      </c>
    </row>
    <row r="675">
      <c r="A675" s="38" t="n"/>
      <c r="B675" s="38" t="n"/>
      <c r="C675" s="38" t="n"/>
      <c r="D675" s="38" t="n"/>
      <c r="E675" s="38" t="n"/>
      <c r="F675" s="38" t="n"/>
      <c r="G675" s="38" t="n"/>
      <c r="H675" s="38" t="n"/>
      <c r="I675" s="38" t="n"/>
      <c r="J675" s="38" t="n"/>
      <c r="K675" s="38" t="n"/>
      <c r="L675" s="39">
        <f>IF($A675="","",IFERROR($D675*$G675,0))</f>
        <v/>
      </c>
    </row>
    <row r="676">
      <c r="A676" s="38" t="n"/>
      <c r="B676" s="38" t="n"/>
      <c r="C676" s="38" t="n"/>
      <c r="D676" s="38" t="n"/>
      <c r="E676" s="38" t="n"/>
      <c r="F676" s="38" t="n"/>
      <c r="G676" s="38" t="n"/>
      <c r="H676" s="38" t="n"/>
      <c r="I676" s="38" t="n"/>
      <c r="J676" s="38" t="n"/>
      <c r="K676" s="38" t="n"/>
      <c r="L676" s="39">
        <f>IF($A676="","",IFERROR($D676*$G676,0))</f>
        <v/>
      </c>
    </row>
    <row r="677">
      <c r="A677" s="38" t="n"/>
      <c r="B677" s="38" t="n"/>
      <c r="C677" s="38" t="n"/>
      <c r="D677" s="38" t="n"/>
      <c r="E677" s="38" t="n"/>
      <c r="F677" s="38" t="n"/>
      <c r="G677" s="38" t="n"/>
      <c r="H677" s="38" t="n"/>
      <c r="I677" s="38" t="n"/>
      <c r="J677" s="38" t="n"/>
      <c r="K677" s="38" t="n"/>
      <c r="L677" s="39">
        <f>IF($A677="","",IFERROR($D677*$G677,0))</f>
        <v/>
      </c>
    </row>
    <row r="678">
      <c r="A678" s="38" t="n"/>
      <c r="B678" s="38" t="n"/>
      <c r="C678" s="38" t="n"/>
      <c r="D678" s="38" t="n"/>
      <c r="E678" s="38" t="n"/>
      <c r="F678" s="38" t="n"/>
      <c r="G678" s="38" t="n"/>
      <c r="H678" s="38" t="n"/>
      <c r="I678" s="38" t="n"/>
      <c r="J678" s="38" t="n"/>
      <c r="K678" s="38" t="n"/>
      <c r="L678" s="39">
        <f>IF($A678="","",IFERROR($D678*$G678,0))</f>
        <v/>
      </c>
    </row>
    <row r="679">
      <c r="A679" s="38" t="n"/>
      <c r="B679" s="38" t="n"/>
      <c r="C679" s="38" t="n"/>
      <c r="D679" s="38" t="n"/>
      <c r="E679" s="38" t="n"/>
      <c r="F679" s="38" t="n"/>
      <c r="G679" s="38" t="n"/>
      <c r="H679" s="38" t="n"/>
      <c r="I679" s="38" t="n"/>
      <c r="J679" s="38" t="n"/>
      <c r="K679" s="38" t="n"/>
      <c r="L679" s="39">
        <f>IF($A679="","",IFERROR($D679*$G679,0))</f>
        <v/>
      </c>
    </row>
    <row r="680">
      <c r="A680" s="38" t="n"/>
      <c r="B680" s="38" t="n"/>
      <c r="C680" s="38" t="n"/>
      <c r="D680" s="38" t="n"/>
      <c r="E680" s="38" t="n"/>
      <c r="F680" s="38" t="n"/>
      <c r="G680" s="38" t="n"/>
      <c r="H680" s="38" t="n"/>
      <c r="I680" s="38" t="n"/>
      <c r="J680" s="38" t="n"/>
      <c r="K680" s="38" t="n"/>
      <c r="L680" s="39">
        <f>IF($A680="","",IFERROR($D680*$G680,0))</f>
        <v/>
      </c>
    </row>
    <row r="681">
      <c r="A681" s="38" t="n"/>
      <c r="B681" s="38" t="n"/>
      <c r="C681" s="38" t="n"/>
      <c r="D681" s="38" t="n"/>
      <c r="E681" s="38" t="n"/>
      <c r="F681" s="38" t="n"/>
      <c r="G681" s="38" t="n"/>
      <c r="H681" s="38" t="n"/>
      <c r="I681" s="38" t="n"/>
      <c r="J681" s="38" t="n"/>
      <c r="K681" s="38" t="n"/>
      <c r="L681" s="39">
        <f>IF($A681="","",IFERROR($D681*$G681,0))</f>
        <v/>
      </c>
    </row>
    <row r="682">
      <c r="A682" s="38" t="n"/>
      <c r="B682" s="38" t="n"/>
      <c r="C682" s="38" t="n"/>
      <c r="D682" s="38" t="n"/>
      <c r="E682" s="38" t="n"/>
      <c r="F682" s="38" t="n"/>
      <c r="G682" s="38" t="n"/>
      <c r="H682" s="38" t="n"/>
      <c r="I682" s="38" t="n"/>
      <c r="J682" s="38" t="n"/>
      <c r="K682" s="38" t="n"/>
      <c r="L682" s="39">
        <f>IF($A682="","",IFERROR($D682*$G682,0))</f>
        <v/>
      </c>
    </row>
    <row r="683">
      <c r="A683" s="38" t="n"/>
      <c r="B683" s="38" t="n"/>
      <c r="C683" s="38" t="n"/>
      <c r="D683" s="38" t="n"/>
      <c r="E683" s="38" t="n"/>
      <c r="F683" s="38" t="n"/>
      <c r="G683" s="38" t="n"/>
      <c r="H683" s="38" t="n"/>
      <c r="I683" s="38" t="n"/>
      <c r="J683" s="38" t="n"/>
      <c r="K683" s="38" t="n"/>
      <c r="L683" s="39">
        <f>IF($A683="","",IFERROR($D683*$G683,0))</f>
        <v/>
      </c>
    </row>
    <row r="684">
      <c r="A684" s="38" t="n"/>
      <c r="B684" s="38" t="n"/>
      <c r="C684" s="38" t="n"/>
      <c r="D684" s="38" t="n"/>
      <c r="E684" s="38" t="n"/>
      <c r="F684" s="38" t="n"/>
      <c r="G684" s="38" t="n"/>
      <c r="H684" s="38" t="n"/>
      <c r="I684" s="38" t="n"/>
      <c r="J684" s="38" t="n"/>
      <c r="K684" s="38" t="n"/>
      <c r="L684" s="39">
        <f>IF($A684="","",IFERROR($D684*$G684,0))</f>
        <v/>
      </c>
    </row>
    <row r="685">
      <c r="A685" s="38" t="n"/>
      <c r="B685" s="38" t="n"/>
      <c r="C685" s="38" t="n"/>
      <c r="D685" s="38" t="n"/>
      <c r="E685" s="38" t="n"/>
      <c r="F685" s="38" t="n"/>
      <c r="G685" s="38" t="n"/>
      <c r="H685" s="38" t="n"/>
      <c r="I685" s="38" t="n"/>
      <c r="J685" s="38" t="n"/>
      <c r="K685" s="38" t="n"/>
      <c r="L685" s="39">
        <f>IF($A685="","",IFERROR($D685*$G685,0))</f>
        <v/>
      </c>
    </row>
    <row r="686">
      <c r="A686" s="38" t="n"/>
      <c r="B686" s="38" t="n"/>
      <c r="C686" s="38" t="n"/>
      <c r="D686" s="38" t="n"/>
      <c r="E686" s="38" t="n"/>
      <c r="F686" s="38" t="n"/>
      <c r="G686" s="38" t="n"/>
      <c r="H686" s="38" t="n"/>
      <c r="I686" s="38" t="n"/>
      <c r="J686" s="38" t="n"/>
      <c r="K686" s="38" t="n"/>
      <c r="L686" s="39">
        <f>IF($A686="","",IFERROR($D686*$G686,0))</f>
        <v/>
      </c>
    </row>
    <row r="687">
      <c r="A687" s="38" t="n"/>
      <c r="B687" s="38" t="n"/>
      <c r="C687" s="38" t="n"/>
      <c r="D687" s="38" t="n"/>
      <c r="E687" s="38" t="n"/>
      <c r="F687" s="38" t="n"/>
      <c r="G687" s="38" t="n"/>
      <c r="H687" s="38" t="n"/>
      <c r="I687" s="38" t="n"/>
      <c r="J687" s="38" t="n"/>
      <c r="K687" s="38" t="n"/>
      <c r="L687" s="39">
        <f>IF($A687="","",IFERROR($D687*$G687,0))</f>
        <v/>
      </c>
    </row>
    <row r="688">
      <c r="A688" s="38" t="n"/>
      <c r="B688" s="38" t="n"/>
      <c r="C688" s="38" t="n"/>
      <c r="D688" s="38" t="n"/>
      <c r="E688" s="38" t="n"/>
      <c r="F688" s="38" t="n"/>
      <c r="G688" s="38" t="n"/>
      <c r="H688" s="38" t="n"/>
      <c r="I688" s="38" t="n"/>
      <c r="J688" s="38" t="n"/>
      <c r="K688" s="38" t="n"/>
      <c r="L688" s="39">
        <f>IF($A688="","",IFERROR($D688*$G688,0))</f>
        <v/>
      </c>
    </row>
    <row r="689">
      <c r="A689" s="38" t="n"/>
      <c r="B689" s="38" t="n"/>
      <c r="C689" s="38" t="n"/>
      <c r="D689" s="38" t="n"/>
      <c r="E689" s="38" t="n"/>
      <c r="F689" s="38" t="n"/>
      <c r="G689" s="38" t="n"/>
      <c r="H689" s="38" t="n"/>
      <c r="I689" s="38" t="n"/>
      <c r="J689" s="38" t="n"/>
      <c r="K689" s="38" t="n"/>
      <c r="L689" s="39">
        <f>IF($A689="","",IFERROR($D689*$G689,0))</f>
        <v/>
      </c>
    </row>
    <row r="690">
      <c r="A690" s="38" t="n"/>
      <c r="B690" s="38" t="n"/>
      <c r="C690" s="38" t="n"/>
      <c r="D690" s="38" t="n"/>
      <c r="E690" s="38" t="n"/>
      <c r="F690" s="38" t="n"/>
      <c r="G690" s="38" t="n"/>
      <c r="H690" s="38" t="n"/>
      <c r="I690" s="38" t="n"/>
      <c r="J690" s="38" t="n"/>
      <c r="K690" s="38" t="n"/>
      <c r="L690" s="39">
        <f>IF($A690="","",IFERROR($D690*$G690,0))</f>
        <v/>
      </c>
    </row>
    <row r="691">
      <c r="A691" s="38" t="n"/>
      <c r="B691" s="38" t="n"/>
      <c r="C691" s="38" t="n"/>
      <c r="D691" s="38" t="n"/>
      <c r="E691" s="38" t="n"/>
      <c r="F691" s="38" t="n"/>
      <c r="G691" s="38" t="n"/>
      <c r="H691" s="38" t="n"/>
      <c r="I691" s="38" t="n"/>
      <c r="J691" s="38" t="n"/>
      <c r="K691" s="38" t="n"/>
      <c r="L691" s="39">
        <f>IF($A691="","",IFERROR($D691*$G691,0))</f>
        <v/>
      </c>
    </row>
    <row r="692">
      <c r="A692" s="38" t="n"/>
      <c r="B692" s="38" t="n"/>
      <c r="C692" s="38" t="n"/>
      <c r="D692" s="38" t="n"/>
      <c r="E692" s="38" t="n"/>
      <c r="F692" s="38" t="n"/>
      <c r="G692" s="38" t="n"/>
      <c r="H692" s="38" t="n"/>
      <c r="I692" s="38" t="n"/>
      <c r="J692" s="38" t="n"/>
      <c r="K692" s="38" t="n"/>
      <c r="L692" s="39">
        <f>IF($A692="","",IFERROR($D692*$G692,0))</f>
        <v/>
      </c>
    </row>
    <row r="693">
      <c r="A693" s="38" t="n"/>
      <c r="B693" s="38" t="n"/>
      <c r="C693" s="38" t="n"/>
      <c r="D693" s="38" t="n"/>
      <c r="E693" s="38" t="n"/>
      <c r="F693" s="38" t="n"/>
      <c r="G693" s="38" t="n"/>
      <c r="H693" s="38" t="n"/>
      <c r="I693" s="38" t="n"/>
      <c r="J693" s="38" t="n"/>
      <c r="K693" s="38" t="n"/>
      <c r="L693" s="39">
        <f>IF($A693="","",IFERROR($D693*$G693,0))</f>
        <v/>
      </c>
    </row>
    <row r="694">
      <c r="A694" s="38" t="n"/>
      <c r="B694" s="38" t="n"/>
      <c r="C694" s="38" t="n"/>
      <c r="D694" s="38" t="n"/>
      <c r="E694" s="38" t="n"/>
      <c r="F694" s="38" t="n"/>
      <c r="G694" s="38" t="n"/>
      <c r="H694" s="38" t="n"/>
      <c r="I694" s="38" t="n"/>
      <c r="J694" s="38" t="n"/>
      <c r="K694" s="38" t="n"/>
      <c r="L694" s="39">
        <f>IF($A694="","",IFERROR($D694*$G694,0))</f>
        <v/>
      </c>
    </row>
    <row r="695">
      <c r="A695" s="38" t="n"/>
      <c r="B695" s="38" t="n"/>
      <c r="C695" s="38" t="n"/>
      <c r="D695" s="38" t="n"/>
      <c r="E695" s="38" t="n"/>
      <c r="F695" s="38" t="n"/>
      <c r="G695" s="38" t="n"/>
      <c r="H695" s="38" t="n"/>
      <c r="I695" s="38" t="n"/>
      <c r="J695" s="38" t="n"/>
      <c r="K695" s="38" t="n"/>
      <c r="L695" s="39">
        <f>IF($A695="","",IFERROR($D695*$G695,0))</f>
        <v/>
      </c>
    </row>
    <row r="696">
      <c r="A696" s="38" t="n"/>
      <c r="B696" s="38" t="n"/>
      <c r="C696" s="38" t="n"/>
      <c r="D696" s="38" t="n"/>
      <c r="E696" s="38" t="n"/>
      <c r="F696" s="38" t="n"/>
      <c r="G696" s="38" t="n"/>
      <c r="H696" s="38" t="n"/>
      <c r="I696" s="38" t="n"/>
      <c r="J696" s="38" t="n"/>
      <c r="K696" s="38" t="n"/>
      <c r="L696" s="39">
        <f>IF($A696="","",IFERROR($D696*$G696,0))</f>
        <v/>
      </c>
    </row>
    <row r="697">
      <c r="A697" s="38" t="n"/>
      <c r="B697" s="38" t="n"/>
      <c r="C697" s="38" t="n"/>
      <c r="D697" s="38" t="n"/>
      <c r="E697" s="38" t="n"/>
      <c r="F697" s="38" t="n"/>
      <c r="G697" s="38" t="n"/>
      <c r="H697" s="38" t="n"/>
      <c r="I697" s="38" t="n"/>
      <c r="J697" s="38" t="n"/>
      <c r="K697" s="38" t="n"/>
      <c r="L697" s="39">
        <f>IF($A697="","",IFERROR($D697*$G697,0))</f>
        <v/>
      </c>
    </row>
    <row r="698">
      <c r="A698" s="38" t="n"/>
      <c r="B698" s="38" t="n"/>
      <c r="C698" s="38" t="n"/>
      <c r="D698" s="38" t="n"/>
      <c r="E698" s="38" t="n"/>
      <c r="F698" s="38" t="n"/>
      <c r="G698" s="38" t="n"/>
      <c r="H698" s="38" t="n"/>
      <c r="I698" s="38" t="n"/>
      <c r="J698" s="38" t="n"/>
      <c r="K698" s="38" t="n"/>
      <c r="L698" s="39">
        <f>IF($A698="","",IFERROR($D698*$G698,0))</f>
        <v/>
      </c>
    </row>
    <row r="699">
      <c r="A699" s="38" t="n"/>
      <c r="B699" s="38" t="n"/>
      <c r="C699" s="38" t="n"/>
      <c r="D699" s="38" t="n"/>
      <c r="E699" s="38" t="n"/>
      <c r="F699" s="38" t="n"/>
      <c r="G699" s="38" t="n"/>
      <c r="H699" s="38" t="n"/>
      <c r="I699" s="38" t="n"/>
      <c r="J699" s="38" t="n"/>
      <c r="K699" s="38" t="n"/>
      <c r="L699" s="39">
        <f>IF($A699="","",IFERROR($D699*$G699,0))</f>
        <v/>
      </c>
    </row>
    <row r="700">
      <c r="A700" s="38" t="n"/>
      <c r="B700" s="38" t="n"/>
      <c r="C700" s="38" t="n"/>
      <c r="D700" s="38" t="n"/>
      <c r="E700" s="38" t="n"/>
      <c r="F700" s="38" t="n"/>
      <c r="G700" s="38" t="n"/>
      <c r="H700" s="38" t="n"/>
      <c r="I700" s="38" t="n"/>
      <c r="J700" s="38" t="n"/>
      <c r="K700" s="38" t="n"/>
      <c r="L700" s="39">
        <f>IF($A700="","",IFERROR($D700*$G700,0))</f>
        <v/>
      </c>
    </row>
    <row r="701">
      <c r="A701" s="38" t="n"/>
      <c r="B701" s="38" t="n"/>
      <c r="C701" s="38" t="n"/>
      <c r="D701" s="38" t="n"/>
      <c r="E701" s="38" t="n"/>
      <c r="F701" s="38" t="n"/>
      <c r="G701" s="38" t="n"/>
      <c r="H701" s="38" t="n"/>
      <c r="I701" s="38" t="n"/>
      <c r="J701" s="38" t="n"/>
      <c r="K701" s="38" t="n"/>
      <c r="L701" s="39">
        <f>IF($A701="","",IFERROR($D701*$G701,0))</f>
        <v/>
      </c>
    </row>
    <row r="702">
      <c r="A702" s="38" t="n"/>
      <c r="B702" s="38" t="n"/>
      <c r="C702" s="38" t="n"/>
      <c r="D702" s="38" t="n"/>
      <c r="E702" s="38" t="n"/>
      <c r="F702" s="38" t="n"/>
      <c r="G702" s="38" t="n"/>
      <c r="H702" s="38" t="n"/>
      <c r="I702" s="38" t="n"/>
      <c r="J702" s="38" t="n"/>
      <c r="K702" s="38" t="n"/>
      <c r="L702" s="39">
        <f>IF($A702="","",IFERROR($D702*$G702,0))</f>
        <v/>
      </c>
    </row>
    <row r="703">
      <c r="A703" s="38" t="n"/>
      <c r="B703" s="38" t="n"/>
      <c r="C703" s="38" t="n"/>
      <c r="D703" s="38" t="n"/>
      <c r="E703" s="38" t="n"/>
      <c r="F703" s="38" t="n"/>
      <c r="G703" s="38" t="n"/>
      <c r="H703" s="38" t="n"/>
      <c r="I703" s="38" t="n"/>
      <c r="J703" s="38" t="n"/>
      <c r="K703" s="38" t="n"/>
      <c r="L703" s="39">
        <f>IF($A703="","",IFERROR($D703*$G703,0))</f>
        <v/>
      </c>
    </row>
    <row r="704">
      <c r="A704" s="38" t="n"/>
      <c r="B704" s="38" t="n"/>
      <c r="C704" s="38" t="n"/>
      <c r="D704" s="38" t="n"/>
      <c r="E704" s="38" t="n"/>
      <c r="F704" s="38" t="n"/>
      <c r="G704" s="38" t="n"/>
      <c r="H704" s="38" t="n"/>
      <c r="I704" s="38" t="n"/>
      <c r="J704" s="38" t="n"/>
      <c r="K704" s="38" t="n"/>
      <c r="L704" s="39">
        <f>IF($A704="","",IFERROR($D704*$G704,0))</f>
        <v/>
      </c>
    </row>
    <row r="705">
      <c r="A705" s="38" t="n"/>
      <c r="B705" s="38" t="n"/>
      <c r="C705" s="38" t="n"/>
      <c r="D705" s="38" t="n"/>
      <c r="E705" s="38" t="n"/>
      <c r="F705" s="38" t="n"/>
      <c r="G705" s="38" t="n"/>
      <c r="H705" s="38" t="n"/>
      <c r="I705" s="38" t="n"/>
      <c r="J705" s="38" t="n"/>
      <c r="K705" s="38" t="n"/>
      <c r="L705" s="39">
        <f>IF($A705="","",IFERROR($D705*$G705,0))</f>
        <v/>
      </c>
    </row>
    <row r="706">
      <c r="A706" s="38" t="n"/>
      <c r="B706" s="38" t="n"/>
      <c r="C706" s="38" t="n"/>
      <c r="D706" s="38" t="n"/>
      <c r="E706" s="38" t="n"/>
      <c r="F706" s="38" t="n"/>
      <c r="G706" s="38" t="n"/>
      <c r="H706" s="38" t="n"/>
      <c r="I706" s="38" t="n"/>
      <c r="J706" s="38" t="n"/>
      <c r="K706" s="38" t="n"/>
      <c r="L706" s="39">
        <f>IF($A706="","",IFERROR($D706*$G706,0))</f>
        <v/>
      </c>
    </row>
    <row r="707">
      <c r="A707" s="38" t="n"/>
      <c r="B707" s="38" t="n"/>
      <c r="C707" s="38" t="n"/>
      <c r="D707" s="38" t="n"/>
      <c r="E707" s="38" t="n"/>
      <c r="F707" s="38" t="n"/>
      <c r="G707" s="38" t="n"/>
      <c r="H707" s="38" t="n"/>
      <c r="I707" s="38" t="n"/>
      <c r="J707" s="38" t="n"/>
      <c r="K707" s="38" t="n"/>
      <c r="L707" s="39">
        <f>IF($A707="","",IFERROR($D707*$G707,0))</f>
        <v/>
      </c>
    </row>
    <row r="708">
      <c r="A708" s="38" t="n"/>
      <c r="B708" s="38" t="n"/>
      <c r="C708" s="38" t="n"/>
      <c r="D708" s="38" t="n"/>
      <c r="E708" s="38" t="n"/>
      <c r="F708" s="38" t="n"/>
      <c r="G708" s="38" t="n"/>
      <c r="H708" s="38" t="n"/>
      <c r="I708" s="38" t="n"/>
      <c r="J708" s="38" t="n"/>
      <c r="K708" s="38" t="n"/>
      <c r="L708" s="39">
        <f>IF($A708="","",IFERROR($D708*$G708,0))</f>
        <v/>
      </c>
    </row>
    <row r="709">
      <c r="A709" s="38" t="n"/>
      <c r="B709" s="38" t="n"/>
      <c r="C709" s="38" t="n"/>
      <c r="D709" s="38" t="n"/>
      <c r="E709" s="38" t="n"/>
      <c r="F709" s="38" t="n"/>
      <c r="G709" s="38" t="n"/>
      <c r="H709" s="38" t="n"/>
      <c r="I709" s="38" t="n"/>
      <c r="J709" s="38" t="n"/>
      <c r="K709" s="38" t="n"/>
      <c r="L709" s="39">
        <f>IF($A709="","",IFERROR($D709*$G709,0))</f>
        <v/>
      </c>
    </row>
    <row r="710">
      <c r="A710" s="38" t="n"/>
      <c r="B710" s="38" t="n"/>
      <c r="C710" s="38" t="n"/>
      <c r="D710" s="38" t="n"/>
      <c r="E710" s="38" t="n"/>
      <c r="F710" s="38" t="n"/>
      <c r="G710" s="38" t="n"/>
      <c r="H710" s="38" t="n"/>
      <c r="I710" s="38" t="n"/>
      <c r="J710" s="38" t="n"/>
      <c r="K710" s="38" t="n"/>
      <c r="L710" s="39">
        <f>IF($A710="","",IFERROR($D710*$G710,0))</f>
        <v/>
      </c>
    </row>
    <row r="711">
      <c r="A711" s="38" t="n"/>
      <c r="B711" s="38" t="n"/>
      <c r="C711" s="38" t="n"/>
      <c r="D711" s="38" t="n"/>
      <c r="E711" s="38" t="n"/>
      <c r="F711" s="38" t="n"/>
      <c r="G711" s="38" t="n"/>
      <c r="H711" s="38" t="n"/>
      <c r="I711" s="38" t="n"/>
      <c r="J711" s="38" t="n"/>
      <c r="K711" s="38" t="n"/>
      <c r="L711" s="39">
        <f>IF($A711="","",IFERROR($D711*$G711,0))</f>
        <v/>
      </c>
    </row>
    <row r="712">
      <c r="A712" s="38" t="n"/>
      <c r="B712" s="38" t="n"/>
      <c r="C712" s="38" t="n"/>
      <c r="D712" s="38" t="n"/>
      <c r="E712" s="38" t="n"/>
      <c r="F712" s="38" t="n"/>
      <c r="G712" s="38" t="n"/>
      <c r="H712" s="38" t="n"/>
      <c r="I712" s="38" t="n"/>
      <c r="J712" s="38" t="n"/>
      <c r="K712" s="38" t="n"/>
      <c r="L712" s="39">
        <f>IF($A712="","",IFERROR($D712*$G712,0))</f>
        <v/>
      </c>
    </row>
    <row r="713">
      <c r="A713" s="38" t="n"/>
      <c r="B713" s="38" t="n"/>
      <c r="C713" s="38" t="n"/>
      <c r="D713" s="38" t="n"/>
      <c r="E713" s="38" t="n"/>
      <c r="F713" s="38" t="n"/>
      <c r="G713" s="38" t="n"/>
      <c r="H713" s="38" t="n"/>
      <c r="I713" s="38" t="n"/>
      <c r="J713" s="38" t="n"/>
      <c r="K713" s="38" t="n"/>
      <c r="L713" s="39">
        <f>IF($A713="","",IFERROR($D713*$G713,0))</f>
        <v/>
      </c>
    </row>
    <row r="714">
      <c r="A714" s="38" t="n"/>
      <c r="B714" s="38" t="n"/>
      <c r="C714" s="38" t="n"/>
      <c r="D714" s="38" t="n"/>
      <c r="E714" s="38" t="n"/>
      <c r="F714" s="38" t="n"/>
      <c r="G714" s="38" t="n"/>
      <c r="H714" s="38" t="n"/>
      <c r="I714" s="38" t="n"/>
      <c r="J714" s="38" t="n"/>
      <c r="K714" s="38" t="n"/>
      <c r="L714" s="39">
        <f>IF($A714="","",IFERROR($D714*$G714,0))</f>
        <v/>
      </c>
    </row>
    <row r="715">
      <c r="A715" s="38" t="n"/>
      <c r="B715" s="38" t="n"/>
      <c r="C715" s="38" t="n"/>
      <c r="D715" s="38" t="n"/>
      <c r="E715" s="38" t="n"/>
      <c r="F715" s="38" t="n"/>
      <c r="G715" s="38" t="n"/>
      <c r="H715" s="38" t="n"/>
      <c r="I715" s="38" t="n"/>
      <c r="J715" s="38" t="n"/>
      <c r="K715" s="38" t="n"/>
      <c r="L715" s="39">
        <f>IF($A715="","",IFERROR($D715*$G715,0))</f>
        <v/>
      </c>
    </row>
    <row r="716">
      <c r="A716" s="38" t="n"/>
      <c r="B716" s="38" t="n"/>
      <c r="C716" s="38" t="n"/>
      <c r="D716" s="38" t="n"/>
      <c r="E716" s="38" t="n"/>
      <c r="F716" s="38" t="n"/>
      <c r="G716" s="38" t="n"/>
      <c r="H716" s="38" t="n"/>
      <c r="I716" s="38" t="n"/>
      <c r="J716" s="38" t="n"/>
      <c r="K716" s="38" t="n"/>
      <c r="L716" s="39">
        <f>IF($A716="","",IFERROR($D716*$G716,0))</f>
        <v/>
      </c>
    </row>
    <row r="717">
      <c r="A717" s="38" t="n"/>
      <c r="B717" s="38" t="n"/>
      <c r="C717" s="38" t="n"/>
      <c r="D717" s="38" t="n"/>
      <c r="E717" s="38" t="n"/>
      <c r="F717" s="38" t="n"/>
      <c r="G717" s="38" t="n"/>
      <c r="H717" s="38" t="n"/>
      <c r="I717" s="38" t="n"/>
      <c r="J717" s="38" t="n"/>
      <c r="K717" s="38" t="n"/>
      <c r="L717" s="39">
        <f>IF($A717="","",IFERROR($D717*$G717,0))</f>
        <v/>
      </c>
    </row>
    <row r="718">
      <c r="A718" s="38" t="n"/>
      <c r="B718" s="38" t="n"/>
      <c r="C718" s="38" t="n"/>
      <c r="D718" s="38" t="n"/>
      <c r="E718" s="38" t="n"/>
      <c r="F718" s="38" t="n"/>
      <c r="G718" s="38" t="n"/>
      <c r="H718" s="38" t="n"/>
      <c r="I718" s="38" t="n"/>
      <c r="J718" s="38" t="n"/>
      <c r="K718" s="38" t="n"/>
      <c r="L718" s="39">
        <f>IF($A718="","",IFERROR($D718*$G718,0))</f>
        <v/>
      </c>
    </row>
    <row r="719">
      <c r="A719" s="38" t="n"/>
      <c r="B719" s="38" t="n"/>
      <c r="C719" s="38" t="n"/>
      <c r="D719" s="38" t="n"/>
      <c r="E719" s="38" t="n"/>
      <c r="F719" s="38" t="n"/>
      <c r="G719" s="38" t="n"/>
      <c r="H719" s="38" t="n"/>
      <c r="I719" s="38" t="n"/>
      <c r="J719" s="38" t="n"/>
      <c r="K719" s="38" t="n"/>
      <c r="L719" s="39">
        <f>IF($A719="","",IFERROR($D719*$G719,0))</f>
        <v/>
      </c>
    </row>
    <row r="720">
      <c r="A720" s="38" t="n"/>
      <c r="B720" s="38" t="n"/>
      <c r="C720" s="38" t="n"/>
      <c r="D720" s="38" t="n"/>
      <c r="E720" s="38" t="n"/>
      <c r="F720" s="38" t="n"/>
      <c r="G720" s="38" t="n"/>
      <c r="H720" s="38" t="n"/>
      <c r="I720" s="38" t="n"/>
      <c r="J720" s="38" t="n"/>
      <c r="K720" s="38" t="n"/>
      <c r="L720" s="39">
        <f>IF($A720="","",IFERROR($D720*$G720,0))</f>
        <v/>
      </c>
    </row>
    <row r="721">
      <c r="A721" s="38" t="n"/>
      <c r="B721" s="38" t="n"/>
      <c r="C721" s="38" t="n"/>
      <c r="D721" s="38" t="n"/>
      <c r="E721" s="38" t="n"/>
      <c r="F721" s="38" t="n"/>
      <c r="G721" s="38" t="n"/>
      <c r="H721" s="38" t="n"/>
      <c r="I721" s="38" t="n"/>
      <c r="J721" s="38" t="n"/>
      <c r="K721" s="38" t="n"/>
      <c r="L721" s="39">
        <f>IF($A721="","",IFERROR($D721*$G721,0))</f>
        <v/>
      </c>
    </row>
    <row r="722">
      <c r="A722" s="38" t="n"/>
      <c r="B722" s="38" t="n"/>
      <c r="C722" s="38" t="n"/>
      <c r="D722" s="38" t="n"/>
      <c r="E722" s="38" t="n"/>
      <c r="F722" s="38" t="n"/>
      <c r="G722" s="38" t="n"/>
      <c r="H722" s="38" t="n"/>
      <c r="I722" s="38" t="n"/>
      <c r="J722" s="38" t="n"/>
      <c r="K722" s="38" t="n"/>
      <c r="L722" s="39">
        <f>IF($A722="","",IFERROR($D722*$G722,0))</f>
        <v/>
      </c>
    </row>
    <row r="723">
      <c r="A723" s="38" t="n"/>
      <c r="B723" s="38" t="n"/>
      <c r="C723" s="38" t="n"/>
      <c r="D723" s="38" t="n"/>
      <c r="E723" s="38" t="n"/>
      <c r="F723" s="38" t="n"/>
      <c r="G723" s="38" t="n"/>
      <c r="H723" s="38" t="n"/>
      <c r="I723" s="38" t="n"/>
      <c r="J723" s="38" t="n"/>
      <c r="K723" s="38" t="n"/>
      <c r="L723" s="39">
        <f>IF($A723="","",IFERROR($D723*$G723,0))</f>
        <v/>
      </c>
    </row>
    <row r="724">
      <c r="A724" s="38" t="n"/>
      <c r="B724" s="38" t="n"/>
      <c r="C724" s="38" t="n"/>
      <c r="D724" s="38" t="n"/>
      <c r="E724" s="38" t="n"/>
      <c r="F724" s="38" t="n"/>
      <c r="G724" s="38" t="n"/>
      <c r="H724" s="38" t="n"/>
      <c r="I724" s="38" t="n"/>
      <c r="J724" s="38" t="n"/>
      <c r="K724" s="38" t="n"/>
      <c r="L724" s="39">
        <f>IF($A724="","",IFERROR($D724*$G724,0))</f>
        <v/>
      </c>
    </row>
    <row r="725">
      <c r="A725" s="38" t="n"/>
      <c r="B725" s="38" t="n"/>
      <c r="C725" s="38" t="n"/>
      <c r="D725" s="38" t="n"/>
      <c r="E725" s="38" t="n"/>
      <c r="F725" s="38" t="n"/>
      <c r="G725" s="38" t="n"/>
      <c r="H725" s="38" t="n"/>
      <c r="I725" s="38" t="n"/>
      <c r="J725" s="38" t="n"/>
      <c r="K725" s="38" t="n"/>
      <c r="L725" s="39">
        <f>IF($A725="","",IFERROR($D725*$G725,0))</f>
        <v/>
      </c>
    </row>
    <row r="726">
      <c r="A726" s="38" t="n"/>
      <c r="B726" s="38" t="n"/>
      <c r="C726" s="38" t="n"/>
      <c r="D726" s="38" t="n"/>
      <c r="E726" s="38" t="n"/>
      <c r="F726" s="38" t="n"/>
      <c r="G726" s="38" t="n"/>
      <c r="H726" s="38" t="n"/>
      <c r="I726" s="38" t="n"/>
      <c r="J726" s="38" t="n"/>
      <c r="K726" s="38" t="n"/>
      <c r="L726" s="39">
        <f>IF($A726="","",IFERROR($D726*$G726,0))</f>
        <v/>
      </c>
    </row>
    <row r="727">
      <c r="A727" s="38" t="n"/>
      <c r="B727" s="38" t="n"/>
      <c r="C727" s="38" t="n"/>
      <c r="D727" s="38" t="n"/>
      <c r="E727" s="38" t="n"/>
      <c r="F727" s="38" t="n"/>
      <c r="G727" s="38" t="n"/>
      <c r="H727" s="38" t="n"/>
      <c r="I727" s="38" t="n"/>
      <c r="J727" s="38" t="n"/>
      <c r="K727" s="38" t="n"/>
      <c r="L727" s="39">
        <f>IF($A727="","",IFERROR($D727*$G727,0))</f>
        <v/>
      </c>
    </row>
    <row r="728">
      <c r="A728" s="38" t="n"/>
      <c r="B728" s="38" t="n"/>
      <c r="C728" s="38" t="n"/>
      <c r="D728" s="38" t="n"/>
      <c r="E728" s="38" t="n"/>
      <c r="F728" s="38" t="n"/>
      <c r="G728" s="38" t="n"/>
      <c r="H728" s="38" t="n"/>
      <c r="I728" s="38" t="n"/>
      <c r="J728" s="38" t="n"/>
      <c r="K728" s="38" t="n"/>
      <c r="L728" s="39">
        <f>IF($A728="","",IFERROR($D728*$G728,0))</f>
        <v/>
      </c>
    </row>
    <row r="729">
      <c r="A729" s="38" t="n"/>
      <c r="B729" s="38" t="n"/>
      <c r="C729" s="38" t="n"/>
      <c r="D729" s="38" t="n"/>
      <c r="E729" s="38" t="n"/>
      <c r="F729" s="38" t="n"/>
      <c r="G729" s="38" t="n"/>
      <c r="H729" s="38" t="n"/>
      <c r="I729" s="38" t="n"/>
      <c r="J729" s="38" t="n"/>
      <c r="K729" s="38" t="n"/>
      <c r="L729" s="39">
        <f>IF($A729="","",IFERROR($D729*$G729,0))</f>
        <v/>
      </c>
    </row>
    <row r="730">
      <c r="A730" s="38" t="n"/>
      <c r="B730" s="38" t="n"/>
      <c r="C730" s="38" t="n"/>
      <c r="D730" s="38" t="n"/>
      <c r="E730" s="38" t="n"/>
      <c r="F730" s="38" t="n"/>
      <c r="G730" s="38" t="n"/>
      <c r="H730" s="38" t="n"/>
      <c r="I730" s="38" t="n"/>
      <c r="J730" s="38" t="n"/>
      <c r="K730" s="38" t="n"/>
      <c r="L730" s="39">
        <f>IF($A730="","",IFERROR($D730*$G730,0))</f>
        <v/>
      </c>
    </row>
    <row r="731">
      <c r="A731" s="38" t="n"/>
      <c r="B731" s="38" t="n"/>
      <c r="C731" s="38" t="n"/>
      <c r="D731" s="38" t="n"/>
      <c r="E731" s="38" t="n"/>
      <c r="F731" s="38" t="n"/>
      <c r="G731" s="38" t="n"/>
      <c r="H731" s="38" t="n"/>
      <c r="I731" s="38" t="n"/>
      <c r="J731" s="38" t="n"/>
      <c r="K731" s="38" t="n"/>
      <c r="L731" s="39">
        <f>IF($A731="","",IFERROR($D731*$G731,0))</f>
        <v/>
      </c>
    </row>
    <row r="732">
      <c r="A732" s="38" t="n"/>
      <c r="B732" s="38" t="n"/>
      <c r="C732" s="38" t="n"/>
      <c r="D732" s="38" t="n"/>
      <c r="E732" s="38" t="n"/>
      <c r="F732" s="38" t="n"/>
      <c r="G732" s="38" t="n"/>
      <c r="H732" s="38" t="n"/>
      <c r="I732" s="38" t="n"/>
      <c r="J732" s="38" t="n"/>
      <c r="K732" s="38" t="n"/>
      <c r="L732" s="39">
        <f>IF($A732="","",IFERROR($D732*$G732,0))</f>
        <v/>
      </c>
    </row>
    <row r="733">
      <c r="A733" s="38" t="n"/>
      <c r="B733" s="38" t="n"/>
      <c r="C733" s="38" t="n"/>
      <c r="D733" s="38" t="n"/>
      <c r="E733" s="38" t="n"/>
      <c r="F733" s="38" t="n"/>
      <c r="G733" s="38" t="n"/>
      <c r="H733" s="38" t="n"/>
      <c r="I733" s="38" t="n"/>
      <c r="J733" s="38" t="n"/>
      <c r="K733" s="38" t="n"/>
      <c r="L733" s="39">
        <f>IF($A733="","",IFERROR($D733*$G733,0))</f>
        <v/>
      </c>
    </row>
    <row r="734">
      <c r="A734" s="38" t="n"/>
      <c r="B734" s="38" t="n"/>
      <c r="C734" s="38" t="n"/>
      <c r="D734" s="38" t="n"/>
      <c r="E734" s="38" t="n"/>
      <c r="F734" s="38" t="n"/>
      <c r="G734" s="38" t="n"/>
      <c r="H734" s="38" t="n"/>
      <c r="I734" s="38" t="n"/>
      <c r="J734" s="38" t="n"/>
      <c r="K734" s="38" t="n"/>
      <c r="L734" s="39">
        <f>IF($A734="","",IFERROR($D734*$G734,0))</f>
        <v/>
      </c>
    </row>
    <row r="735">
      <c r="A735" s="38" t="n"/>
      <c r="B735" s="38" t="n"/>
      <c r="C735" s="38" t="n"/>
      <c r="D735" s="38" t="n"/>
      <c r="E735" s="38" t="n"/>
      <c r="F735" s="38" t="n"/>
      <c r="G735" s="38" t="n"/>
      <c r="H735" s="38" t="n"/>
      <c r="I735" s="38" t="n"/>
      <c r="J735" s="38" t="n"/>
      <c r="K735" s="38" t="n"/>
      <c r="L735" s="39">
        <f>IF($A735="","",IFERROR($D735*$G735,0))</f>
        <v/>
      </c>
    </row>
    <row r="736">
      <c r="A736" s="38" t="n"/>
      <c r="B736" s="38" t="n"/>
      <c r="C736" s="38" t="n"/>
      <c r="D736" s="38" t="n"/>
      <c r="E736" s="38" t="n"/>
      <c r="F736" s="38" t="n"/>
      <c r="G736" s="38" t="n"/>
      <c r="H736" s="38" t="n"/>
      <c r="I736" s="38" t="n"/>
      <c r="J736" s="38" t="n"/>
      <c r="K736" s="38" t="n"/>
      <c r="L736" s="39">
        <f>IF($A736="","",IFERROR($D736*$G736,0))</f>
        <v/>
      </c>
    </row>
    <row r="737">
      <c r="A737" s="38" t="n"/>
      <c r="B737" s="38" t="n"/>
      <c r="C737" s="38" t="n"/>
      <c r="D737" s="38" t="n"/>
      <c r="E737" s="38" t="n"/>
      <c r="F737" s="38" t="n"/>
      <c r="G737" s="38" t="n"/>
      <c r="H737" s="38" t="n"/>
      <c r="I737" s="38" t="n"/>
      <c r="J737" s="38" t="n"/>
      <c r="K737" s="38" t="n"/>
      <c r="L737" s="39">
        <f>IF($A737="","",IFERROR($D737*$G737,0))</f>
        <v/>
      </c>
    </row>
    <row r="738">
      <c r="A738" s="38" t="n"/>
      <c r="B738" s="38" t="n"/>
      <c r="C738" s="38" t="n"/>
      <c r="D738" s="38" t="n"/>
      <c r="E738" s="38" t="n"/>
      <c r="F738" s="38" t="n"/>
      <c r="G738" s="38" t="n"/>
      <c r="H738" s="38" t="n"/>
      <c r="I738" s="38" t="n"/>
      <c r="J738" s="38" t="n"/>
      <c r="K738" s="38" t="n"/>
      <c r="L738" s="39">
        <f>IF($A738="","",IFERROR($D738*$G738,0))</f>
        <v/>
      </c>
    </row>
    <row r="739">
      <c r="A739" s="38" t="n"/>
      <c r="B739" s="38" t="n"/>
      <c r="C739" s="38" t="n"/>
      <c r="D739" s="38" t="n"/>
      <c r="E739" s="38" t="n"/>
      <c r="F739" s="38" t="n"/>
      <c r="G739" s="38" t="n"/>
      <c r="H739" s="38" t="n"/>
      <c r="I739" s="38" t="n"/>
      <c r="J739" s="38" t="n"/>
      <c r="K739" s="38" t="n"/>
      <c r="L739" s="39">
        <f>IF($A739="","",IFERROR($D739*$G739,0))</f>
        <v/>
      </c>
    </row>
    <row r="740">
      <c r="A740" s="38" t="n"/>
      <c r="B740" s="38" t="n"/>
      <c r="C740" s="38" t="n"/>
      <c r="D740" s="38" t="n"/>
      <c r="E740" s="38" t="n"/>
      <c r="F740" s="38" t="n"/>
      <c r="G740" s="38" t="n"/>
      <c r="H740" s="38" t="n"/>
      <c r="I740" s="38" t="n"/>
      <c r="J740" s="38" t="n"/>
      <c r="K740" s="38" t="n"/>
      <c r="L740" s="39">
        <f>IF($A740="","",IFERROR($D740*$G740,0))</f>
        <v/>
      </c>
    </row>
    <row r="741">
      <c r="A741" s="38" t="n"/>
      <c r="B741" s="38" t="n"/>
      <c r="C741" s="38" t="n"/>
      <c r="D741" s="38" t="n"/>
      <c r="E741" s="38" t="n"/>
      <c r="F741" s="38" t="n"/>
      <c r="G741" s="38" t="n"/>
      <c r="H741" s="38" t="n"/>
      <c r="I741" s="38" t="n"/>
      <c r="J741" s="38" t="n"/>
      <c r="K741" s="38" t="n"/>
      <c r="L741" s="39">
        <f>IF($A741="","",IFERROR($D741*$G741,0))</f>
        <v/>
      </c>
    </row>
    <row r="742">
      <c r="A742" s="38" t="n"/>
      <c r="B742" s="38" t="n"/>
      <c r="C742" s="38" t="n"/>
      <c r="D742" s="38" t="n"/>
      <c r="E742" s="38" t="n"/>
      <c r="F742" s="38" t="n"/>
      <c r="G742" s="38" t="n"/>
      <c r="H742" s="38" t="n"/>
      <c r="I742" s="38" t="n"/>
      <c r="J742" s="38" t="n"/>
      <c r="K742" s="38" t="n"/>
      <c r="L742" s="39">
        <f>IF($A742="","",IFERROR($D742*$G742,0))</f>
        <v/>
      </c>
    </row>
    <row r="743">
      <c r="A743" s="38" t="n"/>
      <c r="B743" s="38" t="n"/>
      <c r="C743" s="38" t="n"/>
      <c r="D743" s="38" t="n"/>
      <c r="E743" s="38" t="n"/>
      <c r="F743" s="38" t="n"/>
      <c r="G743" s="38" t="n"/>
      <c r="H743" s="38" t="n"/>
      <c r="I743" s="38" t="n"/>
      <c r="J743" s="38" t="n"/>
      <c r="K743" s="38" t="n"/>
      <c r="L743" s="39">
        <f>IF($A743="","",IFERROR($D743*$G743,0))</f>
        <v/>
      </c>
    </row>
    <row r="744">
      <c r="A744" s="38" t="n"/>
      <c r="B744" s="38" t="n"/>
      <c r="C744" s="38" t="n"/>
      <c r="D744" s="38" t="n"/>
      <c r="E744" s="38" t="n"/>
      <c r="F744" s="38" t="n"/>
      <c r="G744" s="38" t="n"/>
      <c r="H744" s="38" t="n"/>
      <c r="I744" s="38" t="n"/>
      <c r="J744" s="38" t="n"/>
      <c r="K744" s="38" t="n"/>
      <c r="L744" s="39">
        <f>IF($A744="","",IFERROR($D744*$G744,0))</f>
        <v/>
      </c>
    </row>
    <row r="745">
      <c r="A745" s="38" t="n"/>
      <c r="B745" s="38" t="n"/>
      <c r="C745" s="38" t="n"/>
      <c r="D745" s="38" t="n"/>
      <c r="E745" s="38" t="n"/>
      <c r="F745" s="38" t="n"/>
      <c r="G745" s="38" t="n"/>
      <c r="H745" s="38" t="n"/>
      <c r="I745" s="38" t="n"/>
      <c r="J745" s="38" t="n"/>
      <c r="K745" s="38" t="n"/>
      <c r="L745" s="39">
        <f>IF($A745="","",IFERROR($D745*$G745,0))</f>
        <v/>
      </c>
    </row>
    <row r="746">
      <c r="A746" s="38" t="n"/>
      <c r="B746" s="38" t="n"/>
      <c r="C746" s="38" t="n"/>
      <c r="D746" s="38" t="n"/>
      <c r="E746" s="38" t="n"/>
      <c r="F746" s="38" t="n"/>
      <c r="G746" s="38" t="n"/>
      <c r="H746" s="38" t="n"/>
      <c r="I746" s="38" t="n"/>
      <c r="J746" s="38" t="n"/>
      <c r="K746" s="38" t="n"/>
      <c r="L746" s="39">
        <f>IF($A746="","",IFERROR($D746*$G746,0))</f>
        <v/>
      </c>
    </row>
    <row r="747">
      <c r="A747" s="38" t="n"/>
      <c r="B747" s="38" t="n"/>
      <c r="C747" s="38" t="n"/>
      <c r="D747" s="38" t="n"/>
      <c r="E747" s="38" t="n"/>
      <c r="F747" s="38" t="n"/>
      <c r="G747" s="38" t="n"/>
      <c r="H747" s="38" t="n"/>
      <c r="I747" s="38" t="n"/>
      <c r="J747" s="38" t="n"/>
      <c r="K747" s="38" t="n"/>
      <c r="L747" s="39">
        <f>IF($A747="","",IFERROR($D747*$G747,0))</f>
        <v/>
      </c>
    </row>
    <row r="748">
      <c r="A748" s="38" t="n"/>
      <c r="B748" s="38" t="n"/>
      <c r="C748" s="38" t="n"/>
      <c r="D748" s="38" t="n"/>
      <c r="E748" s="38" t="n"/>
      <c r="F748" s="38" t="n"/>
      <c r="G748" s="38" t="n"/>
      <c r="H748" s="38" t="n"/>
      <c r="I748" s="38" t="n"/>
      <c r="J748" s="38" t="n"/>
      <c r="K748" s="38" t="n"/>
      <c r="L748" s="39">
        <f>IF($A748="","",IFERROR($D748*$G748,0))</f>
        <v/>
      </c>
    </row>
    <row r="749">
      <c r="A749" s="38" t="n"/>
      <c r="B749" s="38" t="n"/>
      <c r="C749" s="38" t="n"/>
      <c r="D749" s="38" t="n"/>
      <c r="E749" s="38" t="n"/>
      <c r="F749" s="38" t="n"/>
      <c r="G749" s="38" t="n"/>
      <c r="H749" s="38" t="n"/>
      <c r="I749" s="38" t="n"/>
      <c r="J749" s="38" t="n"/>
      <c r="K749" s="38" t="n"/>
      <c r="L749" s="39">
        <f>IF($A749="","",IFERROR($D749*$G749,0))</f>
        <v/>
      </c>
    </row>
    <row r="750">
      <c r="A750" s="38" t="n"/>
      <c r="B750" s="38" t="n"/>
      <c r="C750" s="38" t="n"/>
      <c r="D750" s="38" t="n"/>
      <c r="E750" s="38" t="n"/>
      <c r="F750" s="38" t="n"/>
      <c r="G750" s="38" t="n"/>
      <c r="H750" s="38" t="n"/>
      <c r="I750" s="38" t="n"/>
      <c r="J750" s="38" t="n"/>
      <c r="K750" s="38" t="n"/>
      <c r="L750" s="39">
        <f>IF($A750="","",IFERROR($D750*$G750,0))</f>
        <v/>
      </c>
    </row>
    <row r="751">
      <c r="A751" s="38" t="n"/>
      <c r="B751" s="38" t="n"/>
      <c r="C751" s="38" t="n"/>
      <c r="D751" s="38" t="n"/>
      <c r="E751" s="38" t="n"/>
      <c r="F751" s="38" t="n"/>
      <c r="G751" s="38" t="n"/>
      <c r="H751" s="38" t="n"/>
      <c r="I751" s="38" t="n"/>
      <c r="J751" s="38" t="n"/>
      <c r="K751" s="38" t="n"/>
      <c r="L751" s="39">
        <f>IF($A751="","",IFERROR($D751*$G751,0))</f>
        <v/>
      </c>
    </row>
    <row r="752">
      <c r="A752" s="38" t="n"/>
      <c r="B752" s="38" t="n"/>
      <c r="C752" s="38" t="n"/>
      <c r="D752" s="38" t="n"/>
      <c r="E752" s="38" t="n"/>
      <c r="F752" s="38" t="n"/>
      <c r="G752" s="38" t="n"/>
      <c r="H752" s="38" t="n"/>
      <c r="I752" s="38" t="n"/>
      <c r="J752" s="38" t="n"/>
      <c r="K752" s="38" t="n"/>
      <c r="L752" s="39">
        <f>IF($A752="","",IFERROR($D752*$G752,0))</f>
        <v/>
      </c>
    </row>
    <row r="753">
      <c r="A753" s="38" t="n"/>
      <c r="B753" s="38" t="n"/>
      <c r="C753" s="38" t="n"/>
      <c r="D753" s="38" t="n"/>
      <c r="E753" s="38" t="n"/>
      <c r="F753" s="38" t="n"/>
      <c r="G753" s="38" t="n"/>
      <c r="H753" s="38" t="n"/>
      <c r="I753" s="38" t="n"/>
      <c r="J753" s="38" t="n"/>
      <c r="K753" s="38" t="n"/>
      <c r="L753" s="39">
        <f>IF($A753="","",IFERROR($D753*$G753,0))</f>
        <v/>
      </c>
    </row>
    <row r="754">
      <c r="A754" s="38" t="n"/>
      <c r="B754" s="38" t="n"/>
      <c r="C754" s="38" t="n"/>
      <c r="D754" s="38" t="n"/>
      <c r="E754" s="38" t="n"/>
      <c r="F754" s="38" t="n"/>
      <c r="G754" s="38" t="n"/>
      <c r="H754" s="38" t="n"/>
      <c r="I754" s="38" t="n"/>
      <c r="J754" s="38" t="n"/>
      <c r="K754" s="38" t="n"/>
      <c r="L754" s="39">
        <f>IF($A754="","",IFERROR($D754*$G754,0))</f>
        <v/>
      </c>
    </row>
    <row r="755">
      <c r="A755" s="38" t="n"/>
      <c r="B755" s="38" t="n"/>
      <c r="C755" s="38" t="n"/>
      <c r="D755" s="38" t="n"/>
      <c r="E755" s="38" t="n"/>
      <c r="F755" s="38" t="n"/>
      <c r="G755" s="38" t="n"/>
      <c r="H755" s="38" t="n"/>
      <c r="I755" s="38" t="n"/>
      <c r="J755" s="38" t="n"/>
      <c r="K755" s="38" t="n"/>
      <c r="L755" s="39">
        <f>IF($A755="","",IFERROR($D755*$G755,0))</f>
        <v/>
      </c>
    </row>
    <row r="756">
      <c r="A756" s="38" t="n"/>
      <c r="B756" s="38" t="n"/>
      <c r="C756" s="38" t="n"/>
      <c r="D756" s="38" t="n"/>
      <c r="E756" s="38" t="n"/>
      <c r="F756" s="38" t="n"/>
      <c r="G756" s="38" t="n"/>
      <c r="H756" s="38" t="n"/>
      <c r="I756" s="38" t="n"/>
      <c r="J756" s="38" t="n"/>
      <c r="K756" s="38" t="n"/>
      <c r="L756" s="39">
        <f>IF($A756="","",IFERROR($D756*$G756,0))</f>
        <v/>
      </c>
    </row>
    <row r="757">
      <c r="A757" s="38" t="n"/>
      <c r="B757" s="38" t="n"/>
      <c r="C757" s="38" t="n"/>
      <c r="D757" s="38" t="n"/>
      <c r="E757" s="38" t="n"/>
      <c r="F757" s="38" t="n"/>
      <c r="G757" s="38" t="n"/>
      <c r="H757" s="38" t="n"/>
      <c r="I757" s="38" t="n"/>
      <c r="J757" s="38" t="n"/>
      <c r="K757" s="38" t="n"/>
      <c r="L757" s="39">
        <f>IF($A757="","",IFERROR($D757*$G757,0))</f>
        <v/>
      </c>
    </row>
    <row r="758">
      <c r="A758" s="38" t="n"/>
      <c r="B758" s="38" t="n"/>
      <c r="C758" s="38" t="n"/>
      <c r="D758" s="38" t="n"/>
      <c r="E758" s="38" t="n"/>
      <c r="F758" s="38" t="n"/>
      <c r="G758" s="38" t="n"/>
      <c r="H758" s="38" t="n"/>
      <c r="I758" s="38" t="n"/>
      <c r="J758" s="38" t="n"/>
      <c r="K758" s="38" t="n"/>
      <c r="L758" s="39">
        <f>IF($A758="","",IFERROR($D758*$G758,0))</f>
        <v/>
      </c>
    </row>
    <row r="759">
      <c r="A759" s="38" t="n"/>
      <c r="B759" s="38" t="n"/>
      <c r="C759" s="38" t="n"/>
      <c r="D759" s="38" t="n"/>
      <c r="E759" s="38" t="n"/>
      <c r="F759" s="38" t="n"/>
      <c r="G759" s="38" t="n"/>
      <c r="H759" s="38" t="n"/>
      <c r="I759" s="38" t="n"/>
      <c r="J759" s="38" t="n"/>
      <c r="K759" s="38" t="n"/>
      <c r="L759" s="39">
        <f>IF($A759="","",IFERROR($D759*$G759,0))</f>
        <v/>
      </c>
    </row>
    <row r="760">
      <c r="A760" s="38" t="n"/>
      <c r="B760" s="38" t="n"/>
      <c r="C760" s="38" t="n"/>
      <c r="D760" s="38" t="n"/>
      <c r="E760" s="38" t="n"/>
      <c r="F760" s="38" t="n"/>
      <c r="G760" s="38" t="n"/>
      <c r="H760" s="38" t="n"/>
      <c r="I760" s="38" t="n"/>
      <c r="J760" s="38" t="n"/>
      <c r="K760" s="38" t="n"/>
      <c r="L760" s="39">
        <f>IF($A760="","",IFERROR($D760*$G760,0))</f>
        <v/>
      </c>
    </row>
    <row r="761">
      <c r="A761" s="38" t="n"/>
      <c r="B761" s="38" t="n"/>
      <c r="C761" s="38" t="n"/>
      <c r="D761" s="38" t="n"/>
      <c r="E761" s="38" t="n"/>
      <c r="F761" s="38" t="n"/>
      <c r="G761" s="38" t="n"/>
      <c r="H761" s="38" t="n"/>
      <c r="I761" s="38" t="n"/>
      <c r="J761" s="38" t="n"/>
      <c r="K761" s="38" t="n"/>
      <c r="L761" s="39">
        <f>IF($A761="","",IFERROR($D761*$G761,0))</f>
        <v/>
      </c>
    </row>
    <row r="762">
      <c r="A762" s="38" t="n"/>
      <c r="B762" s="38" t="n"/>
      <c r="C762" s="38" t="n"/>
      <c r="D762" s="38" t="n"/>
      <c r="E762" s="38" t="n"/>
      <c r="F762" s="38" t="n"/>
      <c r="G762" s="38" t="n"/>
      <c r="H762" s="38" t="n"/>
      <c r="I762" s="38" t="n"/>
      <c r="J762" s="38" t="n"/>
      <c r="K762" s="38" t="n"/>
      <c r="L762" s="39">
        <f>IF($A762="","",IFERROR($D762*$G762,0))</f>
        <v/>
      </c>
    </row>
    <row r="763">
      <c r="A763" s="38" t="n"/>
      <c r="B763" s="38" t="n"/>
      <c r="C763" s="38" t="n"/>
      <c r="D763" s="38" t="n"/>
      <c r="E763" s="38" t="n"/>
      <c r="F763" s="38" t="n"/>
      <c r="G763" s="38" t="n"/>
      <c r="H763" s="38" t="n"/>
      <c r="I763" s="38" t="n"/>
      <c r="J763" s="38" t="n"/>
      <c r="K763" s="38" t="n"/>
      <c r="L763" s="39">
        <f>IF($A763="","",IFERROR($D763*$G763,0))</f>
        <v/>
      </c>
    </row>
    <row r="764">
      <c r="A764" s="38" t="n"/>
      <c r="B764" s="38" t="n"/>
      <c r="C764" s="38" t="n"/>
      <c r="D764" s="38" t="n"/>
      <c r="E764" s="38" t="n"/>
      <c r="F764" s="38" t="n"/>
      <c r="G764" s="38" t="n"/>
      <c r="H764" s="38" t="n"/>
      <c r="I764" s="38" t="n"/>
      <c r="J764" s="38" t="n"/>
      <c r="K764" s="38" t="n"/>
      <c r="L764" s="39">
        <f>IF($A764="","",IFERROR($D764*$G764,0))</f>
        <v/>
      </c>
    </row>
    <row r="765">
      <c r="A765" s="38" t="n"/>
      <c r="B765" s="38" t="n"/>
      <c r="C765" s="38" t="n"/>
      <c r="D765" s="38" t="n"/>
      <c r="E765" s="38" t="n"/>
      <c r="F765" s="38" t="n"/>
      <c r="G765" s="38" t="n"/>
      <c r="H765" s="38" t="n"/>
      <c r="I765" s="38" t="n"/>
      <c r="J765" s="38" t="n"/>
      <c r="K765" s="38" t="n"/>
      <c r="L765" s="39">
        <f>IF($A765="","",IFERROR($D765*$G765,0))</f>
        <v/>
      </c>
    </row>
    <row r="766">
      <c r="A766" s="38" t="n"/>
      <c r="B766" s="38" t="n"/>
      <c r="C766" s="38" t="n"/>
      <c r="D766" s="38" t="n"/>
      <c r="E766" s="38" t="n"/>
      <c r="F766" s="38" t="n"/>
      <c r="G766" s="38" t="n"/>
      <c r="H766" s="38" t="n"/>
      <c r="I766" s="38" t="n"/>
      <c r="J766" s="38" t="n"/>
      <c r="K766" s="38" t="n"/>
      <c r="L766" s="39">
        <f>IF($A766="","",IFERROR($D766*$G766,0))</f>
        <v/>
      </c>
    </row>
    <row r="767">
      <c r="A767" s="38" t="n"/>
      <c r="B767" s="38" t="n"/>
      <c r="C767" s="38" t="n"/>
      <c r="D767" s="38" t="n"/>
      <c r="E767" s="38" t="n"/>
      <c r="F767" s="38" t="n"/>
      <c r="G767" s="38" t="n"/>
      <c r="H767" s="38" t="n"/>
      <c r="I767" s="38" t="n"/>
      <c r="J767" s="38" t="n"/>
      <c r="K767" s="38" t="n"/>
      <c r="L767" s="39">
        <f>IF($A767="","",IFERROR($D767*$G767,0))</f>
        <v/>
      </c>
    </row>
    <row r="768">
      <c r="A768" s="38" t="n"/>
      <c r="B768" s="38" t="n"/>
      <c r="C768" s="38" t="n"/>
      <c r="D768" s="38" t="n"/>
      <c r="E768" s="38" t="n"/>
      <c r="F768" s="38" t="n"/>
      <c r="G768" s="38" t="n"/>
      <c r="H768" s="38" t="n"/>
      <c r="I768" s="38" t="n"/>
      <c r="J768" s="38" t="n"/>
      <c r="K768" s="38" t="n"/>
      <c r="L768" s="39">
        <f>IF($A768="","",IFERROR($D768*$G768,0))</f>
        <v/>
      </c>
    </row>
    <row r="769">
      <c r="A769" s="38" t="n"/>
      <c r="B769" s="38" t="n"/>
      <c r="C769" s="38" t="n"/>
      <c r="D769" s="38" t="n"/>
      <c r="E769" s="38" t="n"/>
      <c r="F769" s="38" t="n"/>
      <c r="G769" s="38" t="n"/>
      <c r="H769" s="38" t="n"/>
      <c r="I769" s="38" t="n"/>
      <c r="J769" s="38" t="n"/>
      <c r="K769" s="38" t="n"/>
      <c r="L769" s="39">
        <f>IF($A769="","",IFERROR($D769*$G769,0))</f>
        <v/>
      </c>
    </row>
    <row r="770">
      <c r="A770" s="38" t="n"/>
      <c r="B770" s="38" t="n"/>
      <c r="C770" s="38" t="n"/>
      <c r="D770" s="38" t="n"/>
      <c r="E770" s="38" t="n"/>
      <c r="F770" s="38" t="n"/>
      <c r="G770" s="38" t="n"/>
      <c r="H770" s="38" t="n"/>
      <c r="I770" s="38" t="n"/>
      <c r="J770" s="38" t="n"/>
      <c r="K770" s="38" t="n"/>
      <c r="L770" s="39">
        <f>IF($A770="","",IFERROR($D770*$G770,0))</f>
        <v/>
      </c>
    </row>
    <row r="771">
      <c r="A771" s="38" t="n"/>
      <c r="B771" s="38" t="n"/>
      <c r="C771" s="38" t="n"/>
      <c r="D771" s="38" t="n"/>
      <c r="E771" s="38" t="n"/>
      <c r="F771" s="38" t="n"/>
      <c r="G771" s="38" t="n"/>
      <c r="H771" s="38" t="n"/>
      <c r="I771" s="38" t="n"/>
      <c r="J771" s="38" t="n"/>
      <c r="K771" s="38" t="n"/>
      <c r="L771" s="39">
        <f>IF($A771="","",IFERROR($D771*$G771,0))</f>
        <v/>
      </c>
    </row>
    <row r="772">
      <c r="A772" s="38" t="n"/>
      <c r="B772" s="38" t="n"/>
      <c r="C772" s="38" t="n"/>
      <c r="D772" s="38" t="n"/>
      <c r="E772" s="38" t="n"/>
      <c r="F772" s="38" t="n"/>
      <c r="G772" s="38" t="n"/>
      <c r="H772" s="38" t="n"/>
      <c r="I772" s="38" t="n"/>
      <c r="J772" s="38" t="n"/>
      <c r="K772" s="38" t="n"/>
      <c r="L772" s="39">
        <f>IF($A772="","",IFERROR($D772*$G772,0))</f>
        <v/>
      </c>
    </row>
    <row r="773">
      <c r="A773" s="38" t="n"/>
      <c r="B773" s="38" t="n"/>
      <c r="C773" s="38" t="n"/>
      <c r="D773" s="38" t="n"/>
      <c r="E773" s="38" t="n"/>
      <c r="F773" s="38" t="n"/>
      <c r="G773" s="38" t="n"/>
      <c r="H773" s="38" t="n"/>
      <c r="I773" s="38" t="n"/>
      <c r="J773" s="38" t="n"/>
      <c r="K773" s="38" t="n"/>
      <c r="L773" s="39">
        <f>IF($A773="","",IFERROR($D773*$G773,0))</f>
        <v/>
      </c>
    </row>
    <row r="774">
      <c r="A774" s="38" t="n"/>
      <c r="B774" s="38" t="n"/>
      <c r="C774" s="38" t="n"/>
      <c r="D774" s="38" t="n"/>
      <c r="E774" s="38" t="n"/>
      <c r="F774" s="38" t="n"/>
      <c r="G774" s="38" t="n"/>
      <c r="H774" s="38" t="n"/>
      <c r="I774" s="38" t="n"/>
      <c r="J774" s="38" t="n"/>
      <c r="K774" s="38" t="n"/>
      <c r="L774" s="39">
        <f>IF($A774="","",IFERROR($D774*$G774,0))</f>
        <v/>
      </c>
    </row>
    <row r="775">
      <c r="A775" s="38" t="n"/>
      <c r="B775" s="38" t="n"/>
      <c r="C775" s="38" t="n"/>
      <c r="D775" s="38" t="n"/>
      <c r="E775" s="38" t="n"/>
      <c r="F775" s="38" t="n"/>
      <c r="G775" s="38" t="n"/>
      <c r="H775" s="38" t="n"/>
      <c r="I775" s="38" t="n"/>
      <c r="J775" s="38" t="n"/>
      <c r="K775" s="38" t="n"/>
      <c r="L775" s="39">
        <f>IF($A775="","",IFERROR($D775*$G775,0))</f>
        <v/>
      </c>
    </row>
    <row r="776">
      <c r="A776" s="38" t="n"/>
      <c r="B776" s="38" t="n"/>
      <c r="C776" s="38" t="n"/>
      <c r="D776" s="38" t="n"/>
      <c r="E776" s="38" t="n"/>
      <c r="F776" s="38" t="n"/>
      <c r="G776" s="38" t="n"/>
      <c r="H776" s="38" t="n"/>
      <c r="I776" s="38" t="n"/>
      <c r="J776" s="38" t="n"/>
      <c r="K776" s="38" t="n"/>
      <c r="L776" s="39">
        <f>IF($A776="","",IFERROR($D776*$G776,0))</f>
        <v/>
      </c>
    </row>
    <row r="777">
      <c r="A777" s="38" t="n"/>
      <c r="B777" s="38" t="n"/>
      <c r="C777" s="38" t="n"/>
      <c r="D777" s="38" t="n"/>
      <c r="E777" s="38" t="n"/>
      <c r="F777" s="38" t="n"/>
      <c r="G777" s="38" t="n"/>
      <c r="H777" s="38" t="n"/>
      <c r="I777" s="38" t="n"/>
      <c r="J777" s="38" t="n"/>
      <c r="K777" s="38" t="n"/>
      <c r="L777" s="39">
        <f>IF($A777="","",IFERROR($D777*$G777,0))</f>
        <v/>
      </c>
    </row>
    <row r="778">
      <c r="A778" s="38" t="n"/>
      <c r="B778" s="38" t="n"/>
      <c r="C778" s="38" t="n"/>
      <c r="D778" s="38" t="n"/>
      <c r="E778" s="38" t="n"/>
      <c r="F778" s="38" t="n"/>
      <c r="G778" s="38" t="n"/>
      <c r="H778" s="38" t="n"/>
      <c r="I778" s="38" t="n"/>
      <c r="J778" s="38" t="n"/>
      <c r="K778" s="38" t="n"/>
      <c r="L778" s="39">
        <f>IF($A778="","",IFERROR($D778*$G778,0))</f>
        <v/>
      </c>
    </row>
    <row r="779">
      <c r="A779" s="38" t="n"/>
      <c r="B779" s="38" t="n"/>
      <c r="C779" s="38" t="n"/>
      <c r="D779" s="38" t="n"/>
      <c r="E779" s="38" t="n"/>
      <c r="F779" s="38" t="n"/>
      <c r="G779" s="38" t="n"/>
      <c r="H779" s="38" t="n"/>
      <c r="I779" s="38" t="n"/>
      <c r="J779" s="38" t="n"/>
      <c r="K779" s="38" t="n"/>
      <c r="L779" s="39">
        <f>IF($A779="","",IFERROR($D779*$G779,0))</f>
        <v/>
      </c>
    </row>
    <row r="780">
      <c r="A780" s="38" t="n"/>
      <c r="B780" s="38" t="n"/>
      <c r="C780" s="38" t="n"/>
      <c r="D780" s="38" t="n"/>
      <c r="E780" s="38" t="n"/>
      <c r="F780" s="38" t="n"/>
      <c r="G780" s="38" t="n"/>
      <c r="H780" s="38" t="n"/>
      <c r="I780" s="38" t="n"/>
      <c r="J780" s="38" t="n"/>
      <c r="K780" s="38" t="n"/>
      <c r="L780" s="39">
        <f>IF($A780="","",IFERROR($D780*$G780,0))</f>
        <v/>
      </c>
    </row>
    <row r="781">
      <c r="A781" s="38" t="n"/>
      <c r="B781" s="38" t="n"/>
      <c r="C781" s="38" t="n"/>
      <c r="D781" s="38" t="n"/>
      <c r="E781" s="38" t="n"/>
      <c r="F781" s="38" t="n"/>
      <c r="G781" s="38" t="n"/>
      <c r="H781" s="38" t="n"/>
      <c r="I781" s="38" t="n"/>
      <c r="J781" s="38" t="n"/>
      <c r="K781" s="38" t="n"/>
      <c r="L781" s="39">
        <f>IF($A781="","",IFERROR($D781*$G781,0))</f>
        <v/>
      </c>
    </row>
    <row r="782">
      <c r="A782" s="38" t="n"/>
      <c r="B782" s="38" t="n"/>
      <c r="C782" s="38" t="n"/>
      <c r="D782" s="38" t="n"/>
      <c r="E782" s="38" t="n"/>
      <c r="F782" s="38" t="n"/>
      <c r="G782" s="38" t="n"/>
      <c r="H782" s="38" t="n"/>
      <c r="I782" s="38" t="n"/>
      <c r="J782" s="38" t="n"/>
      <c r="K782" s="38" t="n"/>
      <c r="L782" s="39">
        <f>IF($A782="","",IFERROR($D782*$G782,0))</f>
        <v/>
      </c>
    </row>
    <row r="783">
      <c r="A783" s="38" t="n"/>
      <c r="B783" s="38" t="n"/>
      <c r="C783" s="38" t="n"/>
      <c r="D783" s="38" t="n"/>
      <c r="E783" s="38" t="n"/>
      <c r="F783" s="38" t="n"/>
      <c r="G783" s="38" t="n"/>
      <c r="H783" s="38" t="n"/>
      <c r="I783" s="38" t="n"/>
      <c r="J783" s="38" t="n"/>
      <c r="K783" s="38" t="n"/>
      <c r="L783" s="39">
        <f>IF($A783="","",IFERROR($D783*$G783,0))</f>
        <v/>
      </c>
    </row>
    <row r="784">
      <c r="A784" s="38" t="n"/>
      <c r="B784" s="38" t="n"/>
      <c r="C784" s="38" t="n"/>
      <c r="D784" s="38" t="n"/>
      <c r="E784" s="38" t="n"/>
      <c r="F784" s="38" t="n"/>
      <c r="G784" s="38" t="n"/>
      <c r="H784" s="38" t="n"/>
      <c r="I784" s="38" t="n"/>
      <c r="J784" s="38" t="n"/>
      <c r="K784" s="38" t="n"/>
      <c r="L784" s="39">
        <f>IF($A784="","",IFERROR($D784*$G784,0))</f>
        <v/>
      </c>
    </row>
    <row r="785">
      <c r="A785" s="38" t="n"/>
      <c r="B785" s="38" t="n"/>
      <c r="C785" s="38" t="n"/>
      <c r="D785" s="38" t="n"/>
      <c r="E785" s="38" t="n"/>
      <c r="F785" s="38" t="n"/>
      <c r="G785" s="38" t="n"/>
      <c r="H785" s="38" t="n"/>
      <c r="I785" s="38" t="n"/>
      <c r="J785" s="38" t="n"/>
      <c r="K785" s="38" t="n"/>
      <c r="L785" s="39">
        <f>IF($A785="","",IFERROR($D785*$G785,0))</f>
        <v/>
      </c>
    </row>
    <row r="786">
      <c r="A786" s="38" t="n"/>
      <c r="B786" s="38" t="n"/>
      <c r="C786" s="38" t="n"/>
      <c r="D786" s="38" t="n"/>
      <c r="E786" s="38" t="n"/>
      <c r="F786" s="38" t="n"/>
      <c r="G786" s="38" t="n"/>
      <c r="H786" s="38" t="n"/>
      <c r="I786" s="38" t="n"/>
      <c r="J786" s="38" t="n"/>
      <c r="K786" s="38" t="n"/>
      <c r="L786" s="39">
        <f>IF($A786="","",IFERROR($D786*$G786,0))</f>
        <v/>
      </c>
    </row>
    <row r="787">
      <c r="A787" s="38" t="n"/>
      <c r="B787" s="38" t="n"/>
      <c r="C787" s="38" t="n"/>
      <c r="D787" s="38" t="n"/>
      <c r="E787" s="38" t="n"/>
      <c r="F787" s="38" t="n"/>
      <c r="G787" s="38" t="n"/>
      <c r="H787" s="38" t="n"/>
      <c r="I787" s="38" t="n"/>
      <c r="J787" s="38" t="n"/>
      <c r="K787" s="38" t="n"/>
      <c r="L787" s="39">
        <f>IF($A787="","",IFERROR($D787*$G787,0))</f>
        <v/>
      </c>
    </row>
    <row r="788">
      <c r="A788" s="38" t="n"/>
      <c r="B788" s="38" t="n"/>
      <c r="C788" s="38" t="n"/>
      <c r="D788" s="38" t="n"/>
      <c r="E788" s="38" t="n"/>
      <c r="F788" s="38" t="n"/>
      <c r="G788" s="38" t="n"/>
      <c r="H788" s="38" t="n"/>
      <c r="I788" s="38" t="n"/>
      <c r="J788" s="38" t="n"/>
      <c r="K788" s="38" t="n"/>
      <c r="L788" s="39">
        <f>IF($A788="","",IFERROR($D788*$G788,0))</f>
        <v/>
      </c>
    </row>
    <row r="789">
      <c r="A789" s="38" t="n"/>
      <c r="B789" s="38" t="n"/>
      <c r="C789" s="38" t="n"/>
      <c r="D789" s="38" t="n"/>
      <c r="E789" s="38" t="n"/>
      <c r="F789" s="38" t="n"/>
      <c r="G789" s="38" t="n"/>
      <c r="H789" s="38" t="n"/>
      <c r="I789" s="38" t="n"/>
      <c r="J789" s="38" t="n"/>
      <c r="K789" s="38" t="n"/>
      <c r="L789" s="39">
        <f>IF($A789="","",IFERROR($D789*$G789,0))</f>
        <v/>
      </c>
    </row>
    <row r="790">
      <c r="A790" s="38" t="n"/>
      <c r="B790" s="38" t="n"/>
      <c r="C790" s="38" t="n"/>
      <c r="D790" s="38" t="n"/>
      <c r="E790" s="38" t="n"/>
      <c r="F790" s="38" t="n"/>
      <c r="G790" s="38" t="n"/>
      <c r="H790" s="38" t="n"/>
      <c r="I790" s="38" t="n"/>
      <c r="J790" s="38" t="n"/>
      <c r="K790" s="38" t="n"/>
      <c r="L790" s="39">
        <f>IF($A790="","",IFERROR($D790*$G790,0))</f>
        <v/>
      </c>
    </row>
    <row r="791">
      <c r="A791" s="38" t="n"/>
      <c r="B791" s="38" t="n"/>
      <c r="C791" s="38" t="n"/>
      <c r="D791" s="38" t="n"/>
      <c r="E791" s="38" t="n"/>
      <c r="F791" s="38" t="n"/>
      <c r="G791" s="38" t="n"/>
      <c r="H791" s="38" t="n"/>
      <c r="I791" s="38" t="n"/>
      <c r="J791" s="38" t="n"/>
      <c r="K791" s="38" t="n"/>
      <c r="L791" s="39">
        <f>IF($A791="","",IFERROR($D791*$G791,0))</f>
        <v/>
      </c>
    </row>
    <row r="792">
      <c r="A792" s="38" t="n"/>
      <c r="B792" s="38" t="n"/>
      <c r="C792" s="38" t="n"/>
      <c r="D792" s="38" t="n"/>
      <c r="E792" s="38" t="n"/>
      <c r="F792" s="38" t="n"/>
      <c r="G792" s="38" t="n"/>
      <c r="H792" s="38" t="n"/>
      <c r="I792" s="38" t="n"/>
      <c r="J792" s="38" t="n"/>
      <c r="K792" s="38" t="n"/>
      <c r="L792" s="39">
        <f>IF($A792="","",IFERROR($D792*$G792,0))</f>
        <v/>
      </c>
    </row>
    <row r="793">
      <c r="A793" s="38" t="n"/>
      <c r="B793" s="38" t="n"/>
      <c r="C793" s="38" t="n"/>
      <c r="D793" s="38" t="n"/>
      <c r="E793" s="38" t="n"/>
      <c r="F793" s="38" t="n"/>
      <c r="G793" s="38" t="n"/>
      <c r="H793" s="38" t="n"/>
      <c r="I793" s="38" t="n"/>
      <c r="J793" s="38" t="n"/>
      <c r="K793" s="38" t="n"/>
      <c r="L793" s="39">
        <f>IF($A793="","",IFERROR($D793*$G793,0))</f>
        <v/>
      </c>
    </row>
    <row r="794">
      <c r="A794" s="38" t="n"/>
      <c r="B794" s="38" t="n"/>
      <c r="C794" s="38" t="n"/>
      <c r="D794" s="38" t="n"/>
      <c r="E794" s="38" t="n"/>
      <c r="F794" s="38" t="n"/>
      <c r="G794" s="38" t="n"/>
      <c r="H794" s="38" t="n"/>
      <c r="I794" s="38" t="n"/>
      <c r="J794" s="38" t="n"/>
      <c r="K794" s="38" t="n"/>
      <c r="L794" s="39">
        <f>IF($A794="","",IFERROR($D794*$G794,0))</f>
        <v/>
      </c>
    </row>
    <row r="795">
      <c r="A795" s="38" t="n"/>
      <c r="B795" s="38" t="n"/>
      <c r="C795" s="38" t="n"/>
      <c r="D795" s="38" t="n"/>
      <c r="E795" s="38" t="n"/>
      <c r="F795" s="38" t="n"/>
      <c r="G795" s="38" t="n"/>
      <c r="H795" s="38" t="n"/>
      <c r="I795" s="38" t="n"/>
      <c r="J795" s="38" t="n"/>
      <c r="K795" s="38" t="n"/>
      <c r="L795" s="39">
        <f>IF($A795="","",IFERROR($D795*$G795,0))</f>
        <v/>
      </c>
    </row>
    <row r="796">
      <c r="A796" s="38" t="n"/>
      <c r="B796" s="38" t="n"/>
      <c r="C796" s="38" t="n"/>
      <c r="D796" s="38" t="n"/>
      <c r="E796" s="38" t="n"/>
      <c r="F796" s="38" t="n"/>
      <c r="G796" s="38" t="n"/>
      <c r="H796" s="38" t="n"/>
      <c r="I796" s="38" t="n"/>
      <c r="J796" s="38" t="n"/>
      <c r="K796" s="38" t="n"/>
      <c r="L796" s="39">
        <f>IF($A796="","",IFERROR($D796*$G796,0))</f>
        <v/>
      </c>
    </row>
    <row r="797">
      <c r="A797" s="38" t="n"/>
      <c r="B797" s="38" t="n"/>
      <c r="C797" s="38" t="n"/>
      <c r="D797" s="38" t="n"/>
      <c r="E797" s="38" t="n"/>
      <c r="F797" s="38" t="n"/>
      <c r="G797" s="38" t="n"/>
      <c r="H797" s="38" t="n"/>
      <c r="I797" s="38" t="n"/>
      <c r="J797" s="38" t="n"/>
      <c r="K797" s="38" t="n"/>
      <c r="L797" s="39">
        <f>IF($A797="","",IFERROR($D797*$G797,0))</f>
        <v/>
      </c>
    </row>
    <row r="798">
      <c r="A798" s="38" t="n"/>
      <c r="B798" s="38" t="n"/>
      <c r="C798" s="38" t="n"/>
      <c r="D798" s="38" t="n"/>
      <c r="E798" s="38" t="n"/>
      <c r="F798" s="38" t="n"/>
      <c r="G798" s="38" t="n"/>
      <c r="H798" s="38" t="n"/>
      <c r="I798" s="38" t="n"/>
      <c r="J798" s="38" t="n"/>
      <c r="K798" s="38" t="n"/>
      <c r="L798" s="39">
        <f>IF($A798="","",IFERROR($D798*$G798,0))</f>
        <v/>
      </c>
    </row>
    <row r="799">
      <c r="A799" s="38" t="n"/>
      <c r="B799" s="38" t="n"/>
      <c r="C799" s="38" t="n"/>
      <c r="D799" s="38" t="n"/>
      <c r="E799" s="38" t="n"/>
      <c r="F799" s="38" t="n"/>
      <c r="G799" s="38" t="n"/>
      <c r="H799" s="38" t="n"/>
      <c r="I799" s="38" t="n"/>
      <c r="J799" s="38" t="n"/>
      <c r="K799" s="38" t="n"/>
      <c r="L799" s="39">
        <f>IF($A799="","",IFERROR($D799*$G799,0))</f>
        <v/>
      </c>
    </row>
    <row r="800">
      <c r="A800" s="38" t="n"/>
      <c r="B800" s="38" t="n"/>
      <c r="C800" s="38" t="n"/>
      <c r="D800" s="38" t="n"/>
      <c r="E800" s="38" t="n"/>
      <c r="F800" s="38" t="n"/>
      <c r="G800" s="38" t="n"/>
      <c r="H800" s="38" t="n"/>
      <c r="I800" s="38" t="n"/>
      <c r="J800" s="38" t="n"/>
      <c r="K800" s="38" t="n"/>
      <c r="L800" s="39">
        <f>IF($A800="","",IFERROR($D800*$G800,0))</f>
        <v/>
      </c>
    </row>
    <row r="801">
      <c r="A801" s="38" t="n"/>
      <c r="B801" s="38" t="n"/>
      <c r="C801" s="38" t="n"/>
      <c r="D801" s="38" t="n"/>
      <c r="E801" s="38" t="n"/>
      <c r="F801" s="38" t="n"/>
      <c r="G801" s="38" t="n"/>
      <c r="H801" s="38" t="n"/>
      <c r="I801" s="38" t="n"/>
      <c r="J801" s="38" t="n"/>
      <c r="K801" s="38" t="n"/>
      <c r="L801" s="39">
        <f>IF($A801="","",IFERROR($D801*$G801,0))</f>
        <v/>
      </c>
    </row>
    <row r="802">
      <c r="A802" s="38" t="n"/>
      <c r="B802" s="38" t="n"/>
      <c r="C802" s="38" t="n"/>
      <c r="D802" s="38" t="n"/>
      <c r="E802" s="38" t="n"/>
      <c r="F802" s="38" t="n"/>
      <c r="G802" s="38" t="n"/>
      <c r="H802" s="38" t="n"/>
      <c r="I802" s="38" t="n"/>
      <c r="J802" s="38" t="n"/>
      <c r="K802" s="38" t="n"/>
      <c r="L802" s="39">
        <f>IF($A802="","",IFERROR($D802*$G802,0))</f>
        <v/>
      </c>
    </row>
    <row r="803">
      <c r="A803" s="38" t="n"/>
      <c r="B803" s="38" t="n"/>
      <c r="C803" s="38" t="n"/>
      <c r="D803" s="38" t="n"/>
      <c r="E803" s="38" t="n"/>
      <c r="F803" s="38" t="n"/>
      <c r="G803" s="38" t="n"/>
      <c r="H803" s="38" t="n"/>
      <c r="I803" s="38" t="n"/>
      <c r="J803" s="38" t="n"/>
      <c r="K803" s="38" t="n"/>
      <c r="L803" s="39">
        <f>IF($A803="","",IFERROR($D803*$G803,0))</f>
        <v/>
      </c>
    </row>
    <row r="804">
      <c r="A804" s="38" t="n"/>
      <c r="B804" s="38" t="n"/>
      <c r="C804" s="38" t="n"/>
      <c r="D804" s="38" t="n"/>
      <c r="E804" s="38" t="n"/>
      <c r="F804" s="38" t="n"/>
      <c r="G804" s="38" t="n"/>
      <c r="H804" s="38" t="n"/>
      <c r="I804" s="38" t="n"/>
      <c r="J804" s="38" t="n"/>
      <c r="K804" s="38" t="n"/>
      <c r="L804" s="39">
        <f>IF($A804="","",IFERROR($D804*$G804,0))</f>
        <v/>
      </c>
    </row>
    <row r="805">
      <c r="A805" s="38" t="n"/>
      <c r="B805" s="38" t="n"/>
      <c r="C805" s="38" t="n"/>
      <c r="D805" s="38" t="n"/>
      <c r="E805" s="38" t="n"/>
      <c r="F805" s="38" t="n"/>
      <c r="G805" s="38" t="n"/>
      <c r="H805" s="38" t="n"/>
      <c r="I805" s="38" t="n"/>
      <c r="J805" s="38" t="n"/>
      <c r="K805" s="38" t="n"/>
      <c r="L805" s="39">
        <f>IF($A805="","",IFERROR($D805*$G805,0))</f>
        <v/>
      </c>
    </row>
    <row r="806">
      <c r="A806" s="38" t="n"/>
      <c r="B806" s="38" t="n"/>
      <c r="C806" s="38" t="n"/>
      <c r="D806" s="38" t="n"/>
      <c r="E806" s="38" t="n"/>
      <c r="F806" s="38" t="n"/>
      <c r="G806" s="38" t="n"/>
      <c r="H806" s="38" t="n"/>
      <c r="I806" s="38" t="n"/>
      <c r="J806" s="38" t="n"/>
      <c r="K806" s="38" t="n"/>
      <c r="L806" s="39">
        <f>IF($A806="","",IFERROR($D806*$G806,0))</f>
        <v/>
      </c>
    </row>
    <row r="807">
      <c r="A807" s="38" t="n"/>
      <c r="B807" s="38" t="n"/>
      <c r="C807" s="38" t="n"/>
      <c r="D807" s="38" t="n"/>
      <c r="E807" s="38" t="n"/>
      <c r="F807" s="38" t="n"/>
      <c r="G807" s="38" t="n"/>
      <c r="H807" s="38" t="n"/>
      <c r="I807" s="38" t="n"/>
      <c r="J807" s="38" t="n"/>
      <c r="K807" s="38" t="n"/>
      <c r="L807" s="39">
        <f>IF($A807="","",IFERROR($D807*$G807,0))</f>
        <v/>
      </c>
    </row>
    <row r="808">
      <c r="A808" s="38" t="n"/>
      <c r="B808" s="38" t="n"/>
      <c r="C808" s="38" t="n"/>
      <c r="D808" s="38" t="n"/>
      <c r="E808" s="38" t="n"/>
      <c r="F808" s="38" t="n"/>
      <c r="G808" s="38" t="n"/>
      <c r="H808" s="38" t="n"/>
      <c r="I808" s="38" t="n"/>
      <c r="J808" s="38" t="n"/>
      <c r="K808" s="38" t="n"/>
      <c r="L808" s="39">
        <f>IF($A808="","",IFERROR($D808*$G808,0))</f>
        <v/>
      </c>
    </row>
    <row r="809">
      <c r="A809" s="38" t="n"/>
      <c r="B809" s="38" t="n"/>
      <c r="C809" s="38" t="n"/>
      <c r="D809" s="38" t="n"/>
      <c r="E809" s="38" t="n"/>
      <c r="F809" s="38" t="n"/>
      <c r="G809" s="38" t="n"/>
      <c r="H809" s="38" t="n"/>
      <c r="I809" s="38" t="n"/>
      <c r="J809" s="38" t="n"/>
      <c r="K809" s="38" t="n"/>
      <c r="L809" s="39">
        <f>IF($A809="","",IFERROR($D809*$G809,0))</f>
        <v/>
      </c>
    </row>
    <row r="810">
      <c r="A810" s="38" t="n"/>
      <c r="B810" s="38" t="n"/>
      <c r="C810" s="38" t="n"/>
      <c r="D810" s="38" t="n"/>
      <c r="E810" s="38" t="n"/>
      <c r="F810" s="38" t="n"/>
      <c r="G810" s="38" t="n"/>
      <c r="H810" s="38" t="n"/>
      <c r="I810" s="38" t="n"/>
      <c r="J810" s="38" t="n"/>
      <c r="K810" s="38" t="n"/>
      <c r="L810" s="39">
        <f>IF($A810="","",IFERROR($D810*$G810,0))</f>
        <v/>
      </c>
    </row>
    <row r="811">
      <c r="A811" s="38" t="n"/>
      <c r="B811" s="38" t="n"/>
      <c r="C811" s="38" t="n"/>
      <c r="D811" s="38" t="n"/>
      <c r="E811" s="38" t="n"/>
      <c r="F811" s="38" t="n"/>
      <c r="G811" s="38" t="n"/>
      <c r="H811" s="38" t="n"/>
      <c r="I811" s="38" t="n"/>
      <c r="J811" s="38" t="n"/>
      <c r="K811" s="38" t="n"/>
      <c r="L811" s="39">
        <f>IF($A811="","",IFERROR($D811*$G811,0))</f>
        <v/>
      </c>
    </row>
    <row r="812">
      <c r="A812" s="38" t="n"/>
      <c r="B812" s="38" t="n"/>
      <c r="C812" s="38" t="n"/>
      <c r="D812" s="38" t="n"/>
      <c r="E812" s="38" t="n"/>
      <c r="F812" s="38" t="n"/>
      <c r="G812" s="38" t="n"/>
      <c r="H812" s="38" t="n"/>
      <c r="I812" s="38" t="n"/>
      <c r="J812" s="38" t="n"/>
      <c r="K812" s="38" t="n"/>
      <c r="L812" s="39">
        <f>IF($A812="","",IFERROR($D812*$G812,0))</f>
        <v/>
      </c>
    </row>
    <row r="813">
      <c r="A813" s="38" t="n"/>
      <c r="B813" s="38" t="n"/>
      <c r="C813" s="38" t="n"/>
      <c r="D813" s="38" t="n"/>
      <c r="E813" s="38" t="n"/>
      <c r="F813" s="38" t="n"/>
      <c r="G813" s="38" t="n"/>
      <c r="H813" s="38" t="n"/>
      <c r="I813" s="38" t="n"/>
      <c r="J813" s="38" t="n"/>
      <c r="K813" s="38" t="n"/>
      <c r="L813" s="39">
        <f>IF($A813="","",IFERROR($D813*$G813,0))</f>
        <v/>
      </c>
    </row>
    <row r="814">
      <c r="A814" s="38" t="n"/>
      <c r="B814" s="38" t="n"/>
      <c r="C814" s="38" t="n"/>
      <c r="D814" s="38" t="n"/>
      <c r="E814" s="38" t="n"/>
      <c r="F814" s="38" t="n"/>
      <c r="G814" s="38" t="n"/>
      <c r="H814" s="38" t="n"/>
      <c r="I814" s="38" t="n"/>
      <c r="J814" s="38" t="n"/>
      <c r="K814" s="38" t="n"/>
      <c r="L814" s="39">
        <f>IF($A814="","",IFERROR($D814*$G814,0))</f>
        <v/>
      </c>
    </row>
    <row r="815">
      <c r="A815" s="38" t="n"/>
      <c r="B815" s="38" t="n"/>
      <c r="C815" s="38" t="n"/>
      <c r="D815" s="38" t="n"/>
      <c r="E815" s="38" t="n"/>
      <c r="F815" s="38" t="n"/>
      <c r="G815" s="38" t="n"/>
      <c r="H815" s="38" t="n"/>
      <c r="I815" s="38" t="n"/>
      <c r="J815" s="38" t="n"/>
      <c r="K815" s="38" t="n"/>
      <c r="L815" s="39">
        <f>IF($A815="","",IFERROR($D815*$G815,0))</f>
        <v/>
      </c>
    </row>
    <row r="816">
      <c r="A816" s="38" t="n"/>
      <c r="B816" s="38" t="n"/>
      <c r="C816" s="38" t="n"/>
      <c r="D816" s="38" t="n"/>
      <c r="E816" s="38" t="n"/>
      <c r="F816" s="38" t="n"/>
      <c r="G816" s="38" t="n"/>
      <c r="H816" s="38" t="n"/>
      <c r="I816" s="38" t="n"/>
      <c r="J816" s="38" t="n"/>
      <c r="K816" s="38" t="n"/>
      <c r="L816" s="39">
        <f>IF($A816="","",IFERROR($D816*$G816,0))</f>
        <v/>
      </c>
    </row>
    <row r="817">
      <c r="A817" s="38" t="n"/>
      <c r="B817" s="38" t="n"/>
      <c r="C817" s="38" t="n"/>
      <c r="D817" s="38" t="n"/>
      <c r="E817" s="38" t="n"/>
      <c r="F817" s="38" t="n"/>
      <c r="G817" s="38" t="n"/>
      <c r="H817" s="38" t="n"/>
      <c r="I817" s="38" t="n"/>
      <c r="J817" s="38" t="n"/>
      <c r="K817" s="38" t="n"/>
      <c r="L817" s="39">
        <f>IF($A817="","",IFERROR($D817*$G817,0))</f>
        <v/>
      </c>
    </row>
    <row r="818">
      <c r="A818" s="38" t="n"/>
      <c r="B818" s="38" t="n"/>
      <c r="C818" s="38" t="n"/>
      <c r="D818" s="38" t="n"/>
      <c r="E818" s="38" t="n"/>
      <c r="F818" s="38" t="n"/>
      <c r="G818" s="38" t="n"/>
      <c r="H818" s="38" t="n"/>
      <c r="I818" s="38" t="n"/>
      <c r="J818" s="38" t="n"/>
      <c r="K818" s="38" t="n"/>
      <c r="L818" s="39">
        <f>IF($A818="","",IFERROR($D818*$G818,0))</f>
        <v/>
      </c>
    </row>
    <row r="819">
      <c r="A819" s="38" t="n"/>
      <c r="B819" s="38" t="n"/>
      <c r="C819" s="38" t="n"/>
      <c r="D819" s="38" t="n"/>
      <c r="E819" s="38" t="n"/>
      <c r="F819" s="38" t="n"/>
      <c r="G819" s="38" t="n"/>
      <c r="H819" s="38" t="n"/>
      <c r="I819" s="38" t="n"/>
      <c r="J819" s="38" t="n"/>
      <c r="K819" s="38" t="n"/>
      <c r="L819" s="39">
        <f>IF($A819="","",IFERROR($D819*$G819,0))</f>
        <v/>
      </c>
    </row>
    <row r="820">
      <c r="A820" s="38" t="n"/>
      <c r="B820" s="38" t="n"/>
      <c r="C820" s="38" t="n"/>
      <c r="D820" s="38" t="n"/>
      <c r="E820" s="38" t="n"/>
      <c r="F820" s="38" t="n"/>
      <c r="G820" s="38" t="n"/>
      <c r="H820" s="38" t="n"/>
      <c r="I820" s="38" t="n"/>
      <c r="J820" s="38" t="n"/>
      <c r="K820" s="38" t="n"/>
      <c r="L820" s="39">
        <f>IF($A820="","",IFERROR($D820*$G820,0))</f>
        <v/>
      </c>
    </row>
    <row r="821">
      <c r="A821" s="38" t="n"/>
      <c r="B821" s="38" t="n"/>
      <c r="C821" s="38" t="n"/>
      <c r="D821" s="38" t="n"/>
      <c r="E821" s="38" t="n"/>
      <c r="F821" s="38" t="n"/>
      <c r="G821" s="38" t="n"/>
      <c r="H821" s="38" t="n"/>
      <c r="I821" s="38" t="n"/>
      <c r="J821" s="38" t="n"/>
      <c r="K821" s="38" t="n"/>
      <c r="L821" s="39">
        <f>IF($A821="","",IFERROR($D821*$G821,0))</f>
        <v/>
      </c>
    </row>
    <row r="822">
      <c r="A822" s="38" t="n"/>
      <c r="B822" s="38" t="n"/>
      <c r="C822" s="38" t="n"/>
      <c r="D822" s="38" t="n"/>
      <c r="E822" s="38" t="n"/>
      <c r="F822" s="38" t="n"/>
      <c r="G822" s="38" t="n"/>
      <c r="H822" s="38" t="n"/>
      <c r="I822" s="38" t="n"/>
      <c r="J822" s="38" t="n"/>
      <c r="K822" s="38" t="n"/>
      <c r="L822" s="39">
        <f>IF($A822="","",IFERROR($D822*$G822,0))</f>
        <v/>
      </c>
    </row>
    <row r="823">
      <c r="A823" s="38" t="n"/>
      <c r="B823" s="38" t="n"/>
      <c r="C823" s="38" t="n"/>
      <c r="D823" s="38" t="n"/>
      <c r="E823" s="38" t="n"/>
      <c r="F823" s="38" t="n"/>
      <c r="G823" s="38" t="n"/>
      <c r="H823" s="38" t="n"/>
      <c r="I823" s="38" t="n"/>
      <c r="J823" s="38" t="n"/>
      <c r="K823" s="38" t="n"/>
      <c r="L823" s="39">
        <f>IF($A823="","",IFERROR($D823*$G823,0))</f>
        <v/>
      </c>
    </row>
    <row r="824">
      <c r="A824" s="38" t="n"/>
      <c r="B824" s="38" t="n"/>
      <c r="C824" s="38" t="n"/>
      <c r="D824" s="38" t="n"/>
      <c r="E824" s="38" t="n"/>
      <c r="F824" s="38" t="n"/>
      <c r="G824" s="38" t="n"/>
      <c r="H824" s="38" t="n"/>
      <c r="I824" s="38" t="n"/>
      <c r="J824" s="38" t="n"/>
      <c r="K824" s="38" t="n"/>
      <c r="L824" s="39">
        <f>IF($A824="","",IFERROR($D824*$G824,0))</f>
        <v/>
      </c>
    </row>
    <row r="825">
      <c r="A825" s="38" t="n"/>
      <c r="B825" s="38" t="n"/>
      <c r="C825" s="38" t="n"/>
      <c r="D825" s="38" t="n"/>
      <c r="E825" s="38" t="n"/>
      <c r="F825" s="38" t="n"/>
      <c r="G825" s="38" t="n"/>
      <c r="H825" s="38" t="n"/>
      <c r="I825" s="38" t="n"/>
      <c r="J825" s="38" t="n"/>
      <c r="K825" s="38" t="n"/>
      <c r="L825" s="39">
        <f>IF($A825="","",IFERROR($D825*$G825,0))</f>
        <v/>
      </c>
    </row>
    <row r="826">
      <c r="A826" s="38" t="n"/>
      <c r="B826" s="38" t="n"/>
      <c r="C826" s="38" t="n"/>
      <c r="D826" s="38" t="n"/>
      <c r="E826" s="38" t="n"/>
      <c r="F826" s="38" t="n"/>
      <c r="G826" s="38" t="n"/>
      <c r="H826" s="38" t="n"/>
      <c r="I826" s="38" t="n"/>
      <c r="J826" s="38" t="n"/>
      <c r="K826" s="38" t="n"/>
      <c r="L826" s="39">
        <f>IF($A826="","",IFERROR($D826*$G826,0))</f>
        <v/>
      </c>
    </row>
    <row r="827">
      <c r="A827" s="38" t="n"/>
      <c r="B827" s="38" t="n"/>
      <c r="C827" s="38" t="n"/>
      <c r="D827" s="38" t="n"/>
      <c r="E827" s="38" t="n"/>
      <c r="F827" s="38" t="n"/>
      <c r="G827" s="38" t="n"/>
      <c r="H827" s="38" t="n"/>
      <c r="I827" s="38" t="n"/>
      <c r="J827" s="38" t="n"/>
      <c r="K827" s="38" t="n"/>
      <c r="L827" s="39">
        <f>IF($A827="","",IFERROR($D827*$G827,0))</f>
        <v/>
      </c>
    </row>
    <row r="828">
      <c r="A828" s="38" t="n"/>
      <c r="B828" s="38" t="n"/>
      <c r="C828" s="38" t="n"/>
      <c r="D828" s="38" t="n"/>
      <c r="E828" s="38" t="n"/>
      <c r="F828" s="38" t="n"/>
      <c r="G828" s="38" t="n"/>
      <c r="H828" s="38" t="n"/>
      <c r="I828" s="38" t="n"/>
      <c r="J828" s="38" t="n"/>
      <c r="K828" s="38" t="n"/>
      <c r="L828" s="39">
        <f>IF($A828="","",IFERROR($D828*$G828,0))</f>
        <v/>
      </c>
    </row>
    <row r="829">
      <c r="A829" s="38" t="n"/>
      <c r="B829" s="38" t="n"/>
      <c r="C829" s="38" t="n"/>
      <c r="D829" s="38" t="n"/>
      <c r="E829" s="38" t="n"/>
      <c r="F829" s="38" t="n"/>
      <c r="G829" s="38" t="n"/>
      <c r="H829" s="38" t="n"/>
      <c r="I829" s="38" t="n"/>
      <c r="J829" s="38" t="n"/>
      <c r="K829" s="38" t="n"/>
      <c r="L829" s="39">
        <f>IF($A829="","",IFERROR($D829*$G829,0))</f>
        <v/>
      </c>
    </row>
    <row r="830">
      <c r="A830" s="38" t="n"/>
      <c r="B830" s="38" t="n"/>
      <c r="C830" s="38" t="n"/>
      <c r="D830" s="38" t="n"/>
      <c r="E830" s="38" t="n"/>
      <c r="F830" s="38" t="n"/>
      <c r="G830" s="38" t="n"/>
      <c r="H830" s="38" t="n"/>
      <c r="I830" s="38" t="n"/>
      <c r="J830" s="38" t="n"/>
      <c r="K830" s="38" t="n"/>
      <c r="L830" s="39">
        <f>IF($A830="","",IFERROR($D830*$G830,0))</f>
        <v/>
      </c>
    </row>
    <row r="831">
      <c r="A831" s="38" t="n"/>
      <c r="B831" s="38" t="n"/>
      <c r="C831" s="38" t="n"/>
      <c r="D831" s="38" t="n"/>
      <c r="E831" s="38" t="n"/>
      <c r="F831" s="38" t="n"/>
      <c r="G831" s="38" t="n"/>
      <c r="H831" s="38" t="n"/>
      <c r="I831" s="38" t="n"/>
      <c r="J831" s="38" t="n"/>
      <c r="K831" s="38" t="n"/>
      <c r="L831" s="39">
        <f>IF($A831="","",IFERROR($D831*$G831,0))</f>
        <v/>
      </c>
    </row>
    <row r="832">
      <c r="A832" s="38" t="n"/>
      <c r="B832" s="38" t="n"/>
      <c r="C832" s="38" t="n"/>
      <c r="D832" s="38" t="n"/>
      <c r="E832" s="38" t="n"/>
      <c r="F832" s="38" t="n"/>
      <c r="G832" s="38" t="n"/>
      <c r="H832" s="38" t="n"/>
      <c r="I832" s="38" t="n"/>
      <c r="J832" s="38" t="n"/>
      <c r="K832" s="38" t="n"/>
      <c r="L832" s="39">
        <f>IF($A832="","",IFERROR($D832*$G832,0))</f>
        <v/>
      </c>
    </row>
    <row r="833">
      <c r="A833" s="38" t="n"/>
      <c r="B833" s="38" t="n"/>
      <c r="C833" s="38" t="n"/>
      <c r="D833" s="38" t="n"/>
      <c r="E833" s="38" t="n"/>
      <c r="F833" s="38" t="n"/>
      <c r="G833" s="38" t="n"/>
      <c r="H833" s="38" t="n"/>
      <c r="I833" s="38" t="n"/>
      <c r="J833" s="38" t="n"/>
      <c r="K833" s="38" t="n"/>
      <c r="L833" s="39">
        <f>IF($A833="","",IFERROR($D833*$G833,0))</f>
        <v/>
      </c>
    </row>
    <row r="834">
      <c r="A834" s="38" t="n"/>
      <c r="B834" s="38" t="n"/>
      <c r="C834" s="38" t="n"/>
      <c r="D834" s="38" t="n"/>
      <c r="E834" s="38" t="n"/>
      <c r="F834" s="38" t="n"/>
      <c r="G834" s="38" t="n"/>
      <c r="H834" s="38" t="n"/>
      <c r="I834" s="38" t="n"/>
      <c r="J834" s="38" t="n"/>
      <c r="K834" s="38" t="n"/>
      <c r="L834" s="39">
        <f>IF($A834="","",IFERROR($D834*$G834,0))</f>
        <v/>
      </c>
    </row>
    <row r="835">
      <c r="A835" s="38" t="n"/>
      <c r="B835" s="38" t="n"/>
      <c r="C835" s="38" t="n"/>
      <c r="D835" s="38" t="n"/>
      <c r="E835" s="38" t="n"/>
      <c r="F835" s="38" t="n"/>
      <c r="G835" s="38" t="n"/>
      <c r="H835" s="38" t="n"/>
      <c r="I835" s="38" t="n"/>
      <c r="J835" s="38" t="n"/>
      <c r="K835" s="38" t="n"/>
      <c r="L835" s="39">
        <f>IF($A835="","",IFERROR($D835*$G835,0))</f>
        <v/>
      </c>
    </row>
    <row r="836">
      <c r="A836" s="38" t="n"/>
      <c r="B836" s="38" t="n"/>
      <c r="C836" s="38" t="n"/>
      <c r="D836" s="38" t="n"/>
      <c r="E836" s="38" t="n"/>
      <c r="F836" s="38" t="n"/>
      <c r="G836" s="38" t="n"/>
      <c r="H836" s="38" t="n"/>
      <c r="I836" s="38" t="n"/>
      <c r="J836" s="38" t="n"/>
      <c r="K836" s="38" t="n"/>
      <c r="L836" s="39">
        <f>IF($A836="","",IFERROR($D836*$G836,0))</f>
        <v/>
      </c>
    </row>
    <row r="837">
      <c r="A837" s="38" t="n"/>
      <c r="B837" s="38" t="n"/>
      <c r="C837" s="38" t="n"/>
      <c r="D837" s="38" t="n"/>
      <c r="E837" s="38" t="n"/>
      <c r="F837" s="38" t="n"/>
      <c r="G837" s="38" t="n"/>
      <c r="H837" s="38" t="n"/>
      <c r="I837" s="38" t="n"/>
      <c r="J837" s="38" t="n"/>
      <c r="K837" s="38" t="n"/>
      <c r="L837" s="39">
        <f>IF($A837="","",IFERROR($D837*$G837,0))</f>
        <v/>
      </c>
    </row>
    <row r="838">
      <c r="A838" s="38" t="n"/>
      <c r="B838" s="38" t="n"/>
      <c r="C838" s="38" t="n"/>
      <c r="D838" s="38" t="n"/>
      <c r="E838" s="38" t="n"/>
      <c r="F838" s="38" t="n"/>
      <c r="G838" s="38" t="n"/>
      <c r="H838" s="38" t="n"/>
      <c r="I838" s="38" t="n"/>
      <c r="J838" s="38" t="n"/>
      <c r="K838" s="38" t="n"/>
      <c r="L838" s="39">
        <f>IF($A838="","",IFERROR($D838*$G838,0))</f>
        <v/>
      </c>
    </row>
    <row r="839">
      <c r="A839" s="38" t="n"/>
      <c r="B839" s="38" t="n"/>
      <c r="C839" s="38" t="n"/>
      <c r="D839" s="38" t="n"/>
      <c r="E839" s="38" t="n"/>
      <c r="F839" s="38" t="n"/>
      <c r="G839" s="38" t="n"/>
      <c r="H839" s="38" t="n"/>
      <c r="I839" s="38" t="n"/>
      <c r="J839" s="38" t="n"/>
      <c r="K839" s="38" t="n"/>
      <c r="L839" s="39">
        <f>IF($A839="","",IFERROR($D839*$G839,0))</f>
        <v/>
      </c>
    </row>
    <row r="840">
      <c r="A840" s="38" t="n"/>
      <c r="B840" s="38" t="n"/>
      <c r="C840" s="38" t="n"/>
      <c r="D840" s="38" t="n"/>
      <c r="E840" s="38" t="n"/>
      <c r="F840" s="38" t="n"/>
      <c r="G840" s="38" t="n"/>
      <c r="H840" s="38" t="n"/>
      <c r="I840" s="38" t="n"/>
      <c r="J840" s="38" t="n"/>
      <c r="K840" s="38" t="n"/>
      <c r="L840" s="39">
        <f>IF($A840="","",IFERROR($D840*$G840,0))</f>
        <v/>
      </c>
    </row>
    <row r="841">
      <c r="A841" s="38" t="n"/>
      <c r="B841" s="38" t="n"/>
      <c r="C841" s="38" t="n"/>
      <c r="D841" s="38" t="n"/>
      <c r="E841" s="38" t="n"/>
      <c r="F841" s="38" t="n"/>
      <c r="G841" s="38" t="n"/>
      <c r="H841" s="38" t="n"/>
      <c r="I841" s="38" t="n"/>
      <c r="J841" s="38" t="n"/>
      <c r="K841" s="38" t="n"/>
      <c r="L841" s="39">
        <f>IF($A841="","",IFERROR($D841*$G841,0))</f>
        <v/>
      </c>
    </row>
    <row r="842">
      <c r="A842" s="38" t="n"/>
      <c r="B842" s="38" t="n"/>
      <c r="C842" s="38" t="n"/>
      <c r="D842" s="38" t="n"/>
      <c r="E842" s="38" t="n"/>
      <c r="F842" s="38" t="n"/>
      <c r="G842" s="38" t="n"/>
      <c r="H842" s="38" t="n"/>
      <c r="I842" s="38" t="n"/>
      <c r="J842" s="38" t="n"/>
      <c r="K842" s="38" t="n"/>
      <c r="L842" s="39">
        <f>IF($A842="","",IFERROR($D842*$G842,0))</f>
        <v/>
      </c>
    </row>
    <row r="843">
      <c r="A843" s="38" t="n"/>
      <c r="B843" s="38" t="n"/>
      <c r="C843" s="38" t="n"/>
      <c r="D843" s="38" t="n"/>
      <c r="E843" s="38" t="n"/>
      <c r="F843" s="38" t="n"/>
      <c r="G843" s="38" t="n"/>
      <c r="H843" s="38" t="n"/>
      <c r="I843" s="38" t="n"/>
      <c r="J843" s="38" t="n"/>
      <c r="K843" s="38" t="n"/>
      <c r="L843" s="39">
        <f>IF($A843="","",IFERROR($D843*$G843,0))</f>
        <v/>
      </c>
    </row>
    <row r="844">
      <c r="A844" s="38" t="n"/>
      <c r="B844" s="38" t="n"/>
      <c r="C844" s="38" t="n"/>
      <c r="D844" s="38" t="n"/>
      <c r="E844" s="38" t="n"/>
      <c r="F844" s="38" t="n"/>
      <c r="G844" s="38" t="n"/>
      <c r="H844" s="38" t="n"/>
      <c r="I844" s="38" t="n"/>
      <c r="J844" s="38" t="n"/>
      <c r="K844" s="38" t="n"/>
      <c r="L844" s="39">
        <f>IF($A844="","",IFERROR($D844*$G844,0))</f>
        <v/>
      </c>
    </row>
    <row r="845">
      <c r="A845" s="38" t="n"/>
      <c r="B845" s="38" t="n"/>
      <c r="C845" s="38" t="n"/>
      <c r="D845" s="38" t="n"/>
      <c r="E845" s="38" t="n"/>
      <c r="F845" s="38" t="n"/>
      <c r="G845" s="38" t="n"/>
      <c r="H845" s="38" t="n"/>
      <c r="I845" s="38" t="n"/>
      <c r="J845" s="38" t="n"/>
      <c r="K845" s="38" t="n"/>
      <c r="L845" s="39">
        <f>IF($A845="","",IFERROR($D845*$G845,0))</f>
        <v/>
      </c>
    </row>
    <row r="846">
      <c r="A846" s="38" t="n"/>
      <c r="B846" s="38" t="n"/>
      <c r="C846" s="38" t="n"/>
      <c r="D846" s="38" t="n"/>
      <c r="E846" s="38" t="n"/>
      <c r="F846" s="38" t="n"/>
      <c r="G846" s="38" t="n"/>
      <c r="H846" s="38" t="n"/>
      <c r="I846" s="38" t="n"/>
      <c r="J846" s="38" t="n"/>
      <c r="K846" s="38" t="n"/>
      <c r="L846" s="39">
        <f>IF($A846="","",IFERROR($D846*$G846,0))</f>
        <v/>
      </c>
    </row>
    <row r="847">
      <c r="A847" s="38" t="n"/>
      <c r="B847" s="38" t="n"/>
      <c r="C847" s="38" t="n"/>
      <c r="D847" s="38" t="n"/>
      <c r="E847" s="38" t="n"/>
      <c r="F847" s="38" t="n"/>
      <c r="G847" s="38" t="n"/>
      <c r="H847" s="38" t="n"/>
      <c r="I847" s="38" t="n"/>
      <c r="J847" s="38" t="n"/>
      <c r="K847" s="38" t="n"/>
      <c r="L847" s="39">
        <f>IF($A847="","",IFERROR($D847*$G847,0))</f>
        <v/>
      </c>
    </row>
    <row r="848">
      <c r="A848" s="38" t="n"/>
      <c r="B848" s="38" t="n"/>
      <c r="C848" s="38" t="n"/>
      <c r="D848" s="38" t="n"/>
      <c r="E848" s="38" t="n"/>
      <c r="F848" s="38" t="n"/>
      <c r="G848" s="38" t="n"/>
      <c r="H848" s="38" t="n"/>
      <c r="I848" s="38" t="n"/>
      <c r="J848" s="38" t="n"/>
      <c r="K848" s="38" t="n"/>
      <c r="L848" s="39">
        <f>IF($A848="","",IFERROR($D848*$G848,0))</f>
        <v/>
      </c>
    </row>
    <row r="849">
      <c r="A849" s="38" t="n"/>
      <c r="B849" s="38" t="n"/>
      <c r="C849" s="38" t="n"/>
      <c r="D849" s="38" t="n"/>
      <c r="E849" s="38" t="n"/>
      <c r="F849" s="38" t="n"/>
      <c r="G849" s="38" t="n"/>
      <c r="H849" s="38" t="n"/>
      <c r="I849" s="38" t="n"/>
      <c r="J849" s="38" t="n"/>
      <c r="K849" s="38" t="n"/>
      <c r="L849" s="39">
        <f>IF($A849="","",IFERROR($D849*$G849,0))</f>
        <v/>
      </c>
    </row>
    <row r="850">
      <c r="A850" s="38" t="n"/>
      <c r="B850" s="38" t="n"/>
      <c r="C850" s="38" t="n"/>
      <c r="D850" s="38" t="n"/>
      <c r="E850" s="38" t="n"/>
      <c r="F850" s="38" t="n"/>
      <c r="G850" s="38" t="n"/>
      <c r="H850" s="38" t="n"/>
      <c r="I850" s="38" t="n"/>
      <c r="J850" s="38" t="n"/>
      <c r="K850" s="38" t="n"/>
      <c r="L850" s="39">
        <f>IF($A850="","",IFERROR($D850*$G850,0))</f>
        <v/>
      </c>
    </row>
    <row r="851">
      <c r="A851" s="38" t="n"/>
      <c r="B851" s="38" t="n"/>
      <c r="C851" s="38" t="n"/>
      <c r="D851" s="38" t="n"/>
      <c r="E851" s="38" t="n"/>
      <c r="F851" s="38" t="n"/>
      <c r="G851" s="38" t="n"/>
      <c r="H851" s="38" t="n"/>
      <c r="I851" s="38" t="n"/>
      <c r="J851" s="38" t="n"/>
      <c r="K851" s="38" t="n"/>
      <c r="L851" s="39">
        <f>IF($A851="","",IFERROR($D851*$G851,0))</f>
        <v/>
      </c>
    </row>
    <row r="852">
      <c r="A852" s="38" t="n"/>
      <c r="B852" s="38" t="n"/>
      <c r="C852" s="38" t="n"/>
      <c r="D852" s="38" t="n"/>
      <c r="E852" s="38" t="n"/>
      <c r="F852" s="38" t="n"/>
      <c r="G852" s="38" t="n"/>
      <c r="H852" s="38" t="n"/>
      <c r="I852" s="38" t="n"/>
      <c r="J852" s="38" t="n"/>
      <c r="K852" s="38" t="n"/>
      <c r="L852" s="39">
        <f>IF($A852="","",IFERROR($D852*$G852,0))</f>
        <v/>
      </c>
    </row>
    <row r="853">
      <c r="A853" s="38" t="n"/>
      <c r="B853" s="38" t="n"/>
      <c r="C853" s="38" t="n"/>
      <c r="D853" s="38" t="n"/>
      <c r="E853" s="38" t="n"/>
      <c r="F853" s="38" t="n"/>
      <c r="G853" s="38" t="n"/>
      <c r="H853" s="38" t="n"/>
      <c r="I853" s="38" t="n"/>
      <c r="J853" s="38" t="n"/>
      <c r="K853" s="38" t="n"/>
      <c r="L853" s="39">
        <f>IF($A853="","",IFERROR($D853*$G853,0))</f>
        <v/>
      </c>
    </row>
    <row r="854">
      <c r="A854" s="38" t="n"/>
      <c r="B854" s="38" t="n"/>
      <c r="C854" s="38" t="n"/>
      <c r="D854" s="38" t="n"/>
      <c r="E854" s="38" t="n"/>
      <c r="F854" s="38" t="n"/>
      <c r="G854" s="38" t="n"/>
      <c r="H854" s="38" t="n"/>
      <c r="I854" s="38" t="n"/>
      <c r="J854" s="38" t="n"/>
      <c r="K854" s="38" t="n"/>
      <c r="L854" s="39">
        <f>IF($A854="","",IFERROR($D854*$G854,0))</f>
        <v/>
      </c>
    </row>
    <row r="855">
      <c r="A855" s="38" t="n"/>
      <c r="B855" s="38" t="n"/>
      <c r="C855" s="38" t="n"/>
      <c r="D855" s="38" t="n"/>
      <c r="E855" s="38" t="n"/>
      <c r="F855" s="38" t="n"/>
      <c r="G855" s="38" t="n"/>
      <c r="H855" s="38" t="n"/>
      <c r="I855" s="38" t="n"/>
      <c r="J855" s="38" t="n"/>
      <c r="K855" s="38" t="n"/>
      <c r="L855" s="39">
        <f>IF($A855="","",IFERROR($D855*$G855,0))</f>
        <v/>
      </c>
    </row>
    <row r="856">
      <c r="A856" s="38" t="n"/>
      <c r="B856" s="38" t="n"/>
      <c r="C856" s="38" t="n"/>
      <c r="D856" s="38" t="n"/>
      <c r="E856" s="38" t="n"/>
      <c r="F856" s="38" t="n"/>
      <c r="G856" s="38" t="n"/>
      <c r="H856" s="38" t="n"/>
      <c r="I856" s="38" t="n"/>
      <c r="J856" s="38" t="n"/>
      <c r="K856" s="38" t="n"/>
      <c r="L856" s="39">
        <f>IF($A856="","",IFERROR($D856*$G856,0))</f>
        <v/>
      </c>
    </row>
    <row r="857">
      <c r="A857" s="38" t="n"/>
      <c r="B857" s="38" t="n"/>
      <c r="C857" s="38" t="n"/>
      <c r="D857" s="38" t="n"/>
      <c r="E857" s="38" t="n"/>
      <c r="F857" s="38" t="n"/>
      <c r="G857" s="38" t="n"/>
      <c r="H857" s="38" t="n"/>
      <c r="I857" s="38" t="n"/>
      <c r="J857" s="38" t="n"/>
      <c r="K857" s="38" t="n"/>
      <c r="L857" s="39">
        <f>IF($A857="","",IFERROR($D857*$G857,0))</f>
        <v/>
      </c>
    </row>
    <row r="858">
      <c r="A858" s="38" t="n"/>
      <c r="B858" s="38" t="n"/>
      <c r="C858" s="38" t="n"/>
      <c r="D858" s="38" t="n"/>
      <c r="E858" s="38" t="n"/>
      <c r="F858" s="38" t="n"/>
      <c r="G858" s="38" t="n"/>
      <c r="H858" s="38" t="n"/>
      <c r="I858" s="38" t="n"/>
      <c r="J858" s="38" t="n"/>
      <c r="K858" s="38" t="n"/>
      <c r="L858" s="39">
        <f>IF($A858="","",IFERROR($D858*$G858,0))</f>
        <v/>
      </c>
    </row>
    <row r="859">
      <c r="A859" s="38" t="n"/>
      <c r="B859" s="38" t="n"/>
      <c r="C859" s="38" t="n"/>
      <c r="D859" s="38" t="n"/>
      <c r="E859" s="38" t="n"/>
      <c r="F859" s="38" t="n"/>
      <c r="G859" s="38" t="n"/>
      <c r="H859" s="38" t="n"/>
      <c r="I859" s="38" t="n"/>
      <c r="J859" s="38" t="n"/>
      <c r="K859" s="38" t="n"/>
      <c r="L859" s="39">
        <f>IF($A859="","",IFERROR($D859*$G859,0))</f>
        <v/>
      </c>
    </row>
    <row r="860">
      <c r="A860" s="38" t="n"/>
      <c r="B860" s="38" t="n"/>
      <c r="C860" s="38" t="n"/>
      <c r="D860" s="38" t="n"/>
      <c r="E860" s="38" t="n"/>
      <c r="F860" s="38" t="n"/>
      <c r="G860" s="38" t="n"/>
      <c r="H860" s="38" t="n"/>
      <c r="I860" s="38" t="n"/>
      <c r="J860" s="38" t="n"/>
      <c r="K860" s="38" t="n"/>
      <c r="L860" s="39">
        <f>IF($A860="","",IFERROR($D860*$G860,0))</f>
        <v/>
      </c>
    </row>
    <row r="861">
      <c r="A861" s="38" t="n"/>
      <c r="B861" s="38" t="n"/>
      <c r="C861" s="38" t="n"/>
      <c r="D861" s="38" t="n"/>
      <c r="E861" s="38" t="n"/>
      <c r="F861" s="38" t="n"/>
      <c r="G861" s="38" t="n"/>
      <c r="H861" s="38" t="n"/>
      <c r="I861" s="38" t="n"/>
      <c r="J861" s="38" t="n"/>
      <c r="K861" s="38" t="n"/>
      <c r="L861" s="39">
        <f>IF($A861="","",IFERROR($D861*$G861,0))</f>
        <v/>
      </c>
    </row>
    <row r="862">
      <c r="A862" s="38" t="n"/>
      <c r="B862" s="38" t="n"/>
      <c r="C862" s="38" t="n"/>
      <c r="D862" s="38" t="n"/>
      <c r="E862" s="38" t="n"/>
      <c r="F862" s="38" t="n"/>
      <c r="G862" s="38" t="n"/>
      <c r="H862" s="38" t="n"/>
      <c r="I862" s="38" t="n"/>
      <c r="J862" s="38" t="n"/>
      <c r="K862" s="38" t="n"/>
      <c r="L862" s="39">
        <f>IF($A862="","",IFERROR($D862*$G862,0))</f>
        <v/>
      </c>
    </row>
    <row r="863">
      <c r="A863" s="38" t="n"/>
      <c r="B863" s="38" t="n"/>
      <c r="C863" s="38" t="n"/>
      <c r="D863" s="38" t="n"/>
      <c r="E863" s="38" t="n"/>
      <c r="F863" s="38" t="n"/>
      <c r="G863" s="38" t="n"/>
      <c r="H863" s="38" t="n"/>
      <c r="I863" s="38" t="n"/>
      <c r="J863" s="38" t="n"/>
      <c r="K863" s="38" t="n"/>
      <c r="L863" s="39">
        <f>IF($A863="","",IFERROR($D863*$G863,0))</f>
        <v/>
      </c>
    </row>
    <row r="864">
      <c r="A864" s="38" t="n"/>
      <c r="B864" s="38" t="n"/>
      <c r="C864" s="38" t="n"/>
      <c r="D864" s="38" t="n"/>
      <c r="E864" s="38" t="n"/>
      <c r="F864" s="38" t="n"/>
      <c r="G864" s="38" t="n"/>
      <c r="H864" s="38" t="n"/>
      <c r="I864" s="38" t="n"/>
      <c r="J864" s="38" t="n"/>
      <c r="K864" s="38" t="n"/>
      <c r="L864" s="39">
        <f>IF($A864="","",IFERROR($D864*$G864,0))</f>
        <v/>
      </c>
    </row>
    <row r="865">
      <c r="A865" s="38" t="n"/>
      <c r="B865" s="38" t="n"/>
      <c r="C865" s="38" t="n"/>
      <c r="D865" s="38" t="n"/>
      <c r="E865" s="38" t="n"/>
      <c r="F865" s="38" t="n"/>
      <c r="G865" s="38" t="n"/>
      <c r="H865" s="38" t="n"/>
      <c r="I865" s="38" t="n"/>
      <c r="J865" s="38" t="n"/>
      <c r="K865" s="38" t="n"/>
      <c r="L865" s="39">
        <f>IF($A865="","",IFERROR($D865*$G865,0))</f>
        <v/>
      </c>
    </row>
    <row r="866">
      <c r="A866" s="38" t="n"/>
      <c r="B866" s="38" t="n"/>
      <c r="C866" s="38" t="n"/>
      <c r="D866" s="38" t="n"/>
      <c r="E866" s="38" t="n"/>
      <c r="F866" s="38" t="n"/>
      <c r="G866" s="38" t="n"/>
      <c r="H866" s="38" t="n"/>
      <c r="I866" s="38" t="n"/>
      <c r="J866" s="38" t="n"/>
      <c r="K866" s="38" t="n"/>
      <c r="L866" s="39">
        <f>IF($A866="","",IFERROR($D866*$G866,0))</f>
        <v/>
      </c>
    </row>
    <row r="867">
      <c r="A867" s="38" t="n"/>
      <c r="B867" s="38" t="n"/>
      <c r="C867" s="38" t="n"/>
      <c r="D867" s="38" t="n"/>
      <c r="E867" s="38" t="n"/>
      <c r="F867" s="38" t="n"/>
      <c r="G867" s="38" t="n"/>
      <c r="H867" s="38" t="n"/>
      <c r="I867" s="38" t="n"/>
      <c r="J867" s="38" t="n"/>
      <c r="K867" s="38" t="n"/>
      <c r="L867" s="39">
        <f>IF($A867="","",IFERROR($D867*$G867,0))</f>
        <v/>
      </c>
    </row>
    <row r="868">
      <c r="A868" s="38" t="n"/>
      <c r="B868" s="38" t="n"/>
      <c r="C868" s="38" t="n"/>
      <c r="D868" s="38" t="n"/>
      <c r="E868" s="38" t="n"/>
      <c r="F868" s="38" t="n"/>
      <c r="G868" s="38" t="n"/>
      <c r="H868" s="38" t="n"/>
      <c r="I868" s="38" t="n"/>
      <c r="J868" s="38" t="n"/>
      <c r="K868" s="38" t="n"/>
      <c r="L868" s="39">
        <f>IF($A868="","",IFERROR($D868*$G868,0))</f>
        <v/>
      </c>
    </row>
    <row r="869">
      <c r="A869" s="38" t="n"/>
      <c r="B869" s="38" t="n"/>
      <c r="C869" s="38" t="n"/>
      <c r="D869" s="38" t="n"/>
      <c r="E869" s="38" t="n"/>
      <c r="F869" s="38" t="n"/>
      <c r="G869" s="38" t="n"/>
      <c r="H869" s="38" t="n"/>
      <c r="I869" s="38" t="n"/>
      <c r="J869" s="38" t="n"/>
      <c r="K869" s="38" t="n"/>
      <c r="L869" s="39">
        <f>IF($A869="","",IFERROR($D869*$G869,0))</f>
        <v/>
      </c>
    </row>
    <row r="870">
      <c r="A870" s="38" t="n"/>
      <c r="B870" s="38" t="n"/>
      <c r="C870" s="38" t="n"/>
      <c r="D870" s="38" t="n"/>
      <c r="E870" s="38" t="n"/>
      <c r="F870" s="38" t="n"/>
      <c r="G870" s="38" t="n"/>
      <c r="H870" s="38" t="n"/>
      <c r="I870" s="38" t="n"/>
      <c r="J870" s="38" t="n"/>
      <c r="K870" s="38" t="n"/>
      <c r="L870" s="39">
        <f>IF($A870="","",IFERROR($D870*$G870,0))</f>
        <v/>
      </c>
    </row>
    <row r="871">
      <c r="A871" s="38" t="n"/>
      <c r="B871" s="38" t="n"/>
      <c r="C871" s="38" t="n"/>
      <c r="D871" s="38" t="n"/>
      <c r="E871" s="38" t="n"/>
      <c r="F871" s="38" t="n"/>
      <c r="G871" s="38" t="n"/>
      <c r="H871" s="38" t="n"/>
      <c r="I871" s="38" t="n"/>
      <c r="J871" s="38" t="n"/>
      <c r="K871" s="38" t="n"/>
      <c r="L871" s="39">
        <f>IF($A871="","",IFERROR($D871*$G871,0))</f>
        <v/>
      </c>
    </row>
    <row r="872">
      <c r="A872" s="38" t="n"/>
      <c r="B872" s="38" t="n"/>
      <c r="C872" s="38" t="n"/>
      <c r="D872" s="38" t="n"/>
      <c r="E872" s="38" t="n"/>
      <c r="F872" s="38" t="n"/>
      <c r="G872" s="38" t="n"/>
      <c r="H872" s="38" t="n"/>
      <c r="I872" s="38" t="n"/>
      <c r="J872" s="38" t="n"/>
      <c r="K872" s="38" t="n"/>
      <c r="L872" s="39">
        <f>IF($A872="","",IFERROR($D872*$G872,0))</f>
        <v/>
      </c>
    </row>
    <row r="873">
      <c r="A873" s="38" t="n"/>
      <c r="B873" s="38" t="n"/>
      <c r="C873" s="38" t="n"/>
      <c r="D873" s="38" t="n"/>
      <c r="E873" s="38" t="n"/>
      <c r="F873" s="38" t="n"/>
      <c r="G873" s="38" t="n"/>
      <c r="H873" s="38" t="n"/>
      <c r="I873" s="38" t="n"/>
      <c r="J873" s="38" t="n"/>
      <c r="K873" s="38" t="n"/>
      <c r="L873" s="39">
        <f>IF($A873="","",IFERROR($D873*$G873,0))</f>
        <v/>
      </c>
    </row>
    <row r="874">
      <c r="A874" s="38" t="n"/>
      <c r="B874" s="38" t="n"/>
      <c r="C874" s="38" t="n"/>
      <c r="D874" s="38" t="n"/>
      <c r="E874" s="38" t="n"/>
      <c r="F874" s="38" t="n"/>
      <c r="G874" s="38" t="n"/>
      <c r="H874" s="38" t="n"/>
      <c r="I874" s="38" t="n"/>
      <c r="J874" s="38" t="n"/>
      <c r="K874" s="38" t="n"/>
      <c r="L874" s="39">
        <f>IF($A874="","",IFERROR($D874*$G874,0))</f>
        <v/>
      </c>
    </row>
    <row r="875">
      <c r="A875" s="38" t="n"/>
      <c r="B875" s="38" t="n"/>
      <c r="C875" s="38" t="n"/>
      <c r="D875" s="38" t="n"/>
      <c r="E875" s="38" t="n"/>
      <c r="F875" s="38" t="n"/>
      <c r="G875" s="38" t="n"/>
      <c r="H875" s="38" t="n"/>
      <c r="I875" s="38" t="n"/>
      <c r="J875" s="38" t="n"/>
      <c r="K875" s="38" t="n"/>
      <c r="L875" s="39">
        <f>IF($A875="","",IFERROR($D875*$G875,0))</f>
        <v/>
      </c>
    </row>
    <row r="876">
      <c r="A876" s="38" t="n"/>
      <c r="B876" s="38" t="n"/>
      <c r="C876" s="38" t="n"/>
      <c r="D876" s="38" t="n"/>
      <c r="E876" s="38" t="n"/>
      <c r="F876" s="38" t="n"/>
      <c r="G876" s="38" t="n"/>
      <c r="H876" s="38" t="n"/>
      <c r="I876" s="38" t="n"/>
      <c r="J876" s="38" t="n"/>
      <c r="K876" s="38" t="n"/>
      <c r="L876" s="39">
        <f>IF($A876="","",IFERROR($D876*$G876,0))</f>
        <v/>
      </c>
    </row>
    <row r="877">
      <c r="A877" s="38" t="n"/>
      <c r="B877" s="38" t="n"/>
      <c r="C877" s="38" t="n"/>
      <c r="D877" s="38" t="n"/>
      <c r="E877" s="38" t="n"/>
      <c r="F877" s="38" t="n"/>
      <c r="G877" s="38" t="n"/>
      <c r="H877" s="38" t="n"/>
      <c r="I877" s="38" t="n"/>
      <c r="J877" s="38" t="n"/>
      <c r="K877" s="38" t="n"/>
      <c r="L877" s="39">
        <f>IF($A877="","",IFERROR($D877*$G877,0))</f>
        <v/>
      </c>
    </row>
    <row r="878">
      <c r="A878" s="38" t="n"/>
      <c r="B878" s="38" t="n"/>
      <c r="C878" s="38" t="n"/>
      <c r="D878" s="38" t="n"/>
      <c r="E878" s="38" t="n"/>
      <c r="F878" s="38" t="n"/>
      <c r="G878" s="38" t="n"/>
      <c r="H878" s="38" t="n"/>
      <c r="I878" s="38" t="n"/>
      <c r="J878" s="38" t="n"/>
      <c r="K878" s="38" t="n"/>
      <c r="L878" s="39">
        <f>IF($A878="","",IFERROR($D878*$G878,0))</f>
        <v/>
      </c>
    </row>
    <row r="879">
      <c r="A879" s="38" t="n"/>
      <c r="B879" s="38" t="n"/>
      <c r="C879" s="38" t="n"/>
      <c r="D879" s="38" t="n"/>
      <c r="E879" s="38" t="n"/>
      <c r="F879" s="38" t="n"/>
      <c r="G879" s="38" t="n"/>
      <c r="H879" s="38" t="n"/>
      <c r="I879" s="38" t="n"/>
      <c r="J879" s="38" t="n"/>
      <c r="K879" s="38" t="n"/>
      <c r="L879" s="39">
        <f>IF($A879="","",IFERROR($D879*$G879,0))</f>
        <v/>
      </c>
    </row>
    <row r="880">
      <c r="A880" s="38" t="n"/>
      <c r="B880" s="38" t="n"/>
      <c r="C880" s="38" t="n"/>
      <c r="D880" s="38" t="n"/>
      <c r="E880" s="38" t="n"/>
      <c r="F880" s="38" t="n"/>
      <c r="G880" s="38" t="n"/>
      <c r="H880" s="38" t="n"/>
      <c r="I880" s="38" t="n"/>
      <c r="J880" s="38" t="n"/>
      <c r="K880" s="38" t="n"/>
      <c r="L880" s="39">
        <f>IF($A880="","",IFERROR($D880*$G880,0))</f>
        <v/>
      </c>
    </row>
    <row r="881">
      <c r="A881" s="38" t="n"/>
      <c r="B881" s="38" t="n"/>
      <c r="C881" s="38" t="n"/>
      <c r="D881" s="38" t="n"/>
      <c r="E881" s="38" t="n"/>
      <c r="F881" s="38" t="n"/>
      <c r="G881" s="38" t="n"/>
      <c r="H881" s="38" t="n"/>
      <c r="I881" s="38" t="n"/>
      <c r="J881" s="38" t="n"/>
      <c r="K881" s="38" t="n"/>
      <c r="L881" s="39">
        <f>IF($A881="","",IFERROR($D881*$G881,0))</f>
        <v/>
      </c>
    </row>
    <row r="882">
      <c r="A882" s="38" t="n"/>
      <c r="B882" s="38" t="n"/>
      <c r="C882" s="38" t="n"/>
      <c r="D882" s="38" t="n"/>
      <c r="E882" s="38" t="n"/>
      <c r="F882" s="38" t="n"/>
      <c r="G882" s="38" t="n"/>
      <c r="H882" s="38" t="n"/>
      <c r="I882" s="38" t="n"/>
      <c r="J882" s="38" t="n"/>
      <c r="K882" s="38" t="n"/>
      <c r="L882" s="39">
        <f>IF($A882="","",IFERROR($D882*$G882,0))</f>
        <v/>
      </c>
    </row>
    <row r="883">
      <c r="A883" s="38" t="n"/>
      <c r="B883" s="38" t="n"/>
      <c r="C883" s="38" t="n"/>
      <c r="D883" s="38" t="n"/>
      <c r="E883" s="38" t="n"/>
      <c r="F883" s="38" t="n"/>
      <c r="G883" s="38" t="n"/>
      <c r="H883" s="38" t="n"/>
      <c r="I883" s="38" t="n"/>
      <c r="J883" s="38" t="n"/>
      <c r="K883" s="38" t="n"/>
      <c r="L883" s="39">
        <f>IF($A883="","",IFERROR($D883*$G883,0))</f>
        <v/>
      </c>
    </row>
    <row r="884">
      <c r="A884" s="38" t="n"/>
      <c r="B884" s="38" t="n"/>
      <c r="C884" s="38" t="n"/>
      <c r="D884" s="38" t="n"/>
      <c r="E884" s="38" t="n"/>
      <c r="F884" s="38" t="n"/>
      <c r="G884" s="38" t="n"/>
      <c r="H884" s="38" t="n"/>
      <c r="I884" s="38" t="n"/>
      <c r="J884" s="38" t="n"/>
      <c r="K884" s="38" t="n"/>
      <c r="L884" s="39">
        <f>IF($A884="","",IFERROR($D884*$G884,0))</f>
        <v/>
      </c>
    </row>
    <row r="885">
      <c r="A885" s="38" t="n"/>
      <c r="B885" s="38" t="n"/>
      <c r="C885" s="38" t="n"/>
      <c r="D885" s="38" t="n"/>
      <c r="E885" s="38" t="n"/>
      <c r="F885" s="38" t="n"/>
      <c r="G885" s="38" t="n"/>
      <c r="H885" s="38" t="n"/>
      <c r="I885" s="38" t="n"/>
      <c r="J885" s="38" t="n"/>
      <c r="K885" s="38" t="n"/>
      <c r="L885" s="39">
        <f>IF($A885="","",IFERROR($D885*$G885,0))</f>
        <v/>
      </c>
    </row>
    <row r="886">
      <c r="A886" s="38" t="n"/>
      <c r="B886" s="38" t="n"/>
      <c r="C886" s="38" t="n"/>
      <c r="D886" s="38" t="n"/>
      <c r="E886" s="38" t="n"/>
      <c r="F886" s="38" t="n"/>
      <c r="G886" s="38" t="n"/>
      <c r="H886" s="38" t="n"/>
      <c r="I886" s="38" t="n"/>
      <c r="J886" s="38" t="n"/>
      <c r="K886" s="38" t="n"/>
      <c r="L886" s="39">
        <f>IF($A886="","",IFERROR($D886*$G886,0))</f>
        <v/>
      </c>
    </row>
    <row r="887">
      <c r="A887" s="38" t="n"/>
      <c r="B887" s="38" t="n"/>
      <c r="C887" s="38" t="n"/>
      <c r="D887" s="38" t="n"/>
      <c r="E887" s="38" t="n"/>
      <c r="F887" s="38" t="n"/>
      <c r="G887" s="38" t="n"/>
      <c r="H887" s="38" t="n"/>
      <c r="I887" s="38" t="n"/>
      <c r="J887" s="38" t="n"/>
      <c r="K887" s="38" t="n"/>
      <c r="L887" s="39">
        <f>IF($A887="","",IFERROR($D887*$G887,0))</f>
        <v/>
      </c>
    </row>
    <row r="888">
      <c r="A888" s="38" t="n"/>
      <c r="B888" s="38" t="n"/>
      <c r="C888" s="38" t="n"/>
      <c r="D888" s="38" t="n"/>
      <c r="E888" s="38" t="n"/>
      <c r="F888" s="38" t="n"/>
      <c r="G888" s="38" t="n"/>
      <c r="H888" s="38" t="n"/>
      <c r="I888" s="38" t="n"/>
      <c r="J888" s="38" t="n"/>
      <c r="K888" s="38" t="n"/>
      <c r="L888" s="39">
        <f>IF($A888="","",IFERROR($D888*$G888,0))</f>
        <v/>
      </c>
    </row>
    <row r="889">
      <c r="A889" s="38" t="n"/>
      <c r="B889" s="38" t="n"/>
      <c r="C889" s="38" t="n"/>
      <c r="D889" s="38" t="n"/>
      <c r="E889" s="38" t="n"/>
      <c r="F889" s="38" t="n"/>
      <c r="G889" s="38" t="n"/>
      <c r="H889" s="38" t="n"/>
      <c r="I889" s="38" t="n"/>
      <c r="J889" s="38" t="n"/>
      <c r="K889" s="38" t="n"/>
      <c r="L889" s="39">
        <f>IF($A889="","",IFERROR($D889*$G889,0))</f>
        <v/>
      </c>
    </row>
    <row r="890">
      <c r="A890" s="38" t="n"/>
      <c r="B890" s="38" t="n"/>
      <c r="C890" s="38" t="n"/>
      <c r="D890" s="38" t="n"/>
      <c r="E890" s="38" t="n"/>
      <c r="F890" s="38" t="n"/>
      <c r="G890" s="38" t="n"/>
      <c r="H890" s="38" t="n"/>
      <c r="I890" s="38" t="n"/>
      <c r="J890" s="38" t="n"/>
      <c r="K890" s="38" t="n"/>
      <c r="L890" s="39">
        <f>IF($A890="","",IFERROR($D890*$G890,0))</f>
        <v/>
      </c>
    </row>
    <row r="891">
      <c r="A891" s="38" t="n"/>
      <c r="B891" s="38" t="n"/>
      <c r="C891" s="38" t="n"/>
      <c r="D891" s="38" t="n"/>
      <c r="E891" s="38" t="n"/>
      <c r="F891" s="38" t="n"/>
      <c r="G891" s="38" t="n"/>
      <c r="H891" s="38" t="n"/>
      <c r="I891" s="38" t="n"/>
      <c r="J891" s="38" t="n"/>
      <c r="K891" s="38" t="n"/>
      <c r="L891" s="39">
        <f>IF($A891="","",IFERROR($D891*$G891,0))</f>
        <v/>
      </c>
    </row>
    <row r="892">
      <c r="A892" s="38" t="n"/>
      <c r="B892" s="38" t="n"/>
      <c r="C892" s="38" t="n"/>
      <c r="D892" s="38" t="n"/>
      <c r="E892" s="38" t="n"/>
      <c r="F892" s="38" t="n"/>
      <c r="G892" s="38" t="n"/>
      <c r="H892" s="38" t="n"/>
      <c r="I892" s="38" t="n"/>
      <c r="J892" s="38" t="n"/>
      <c r="K892" s="38" t="n"/>
      <c r="L892" s="39">
        <f>IF($A892="","",IFERROR($D892*$G892,0))</f>
        <v/>
      </c>
    </row>
    <row r="893">
      <c r="A893" s="38" t="n"/>
      <c r="B893" s="38" t="n"/>
      <c r="C893" s="38" t="n"/>
      <c r="D893" s="38" t="n"/>
      <c r="E893" s="38" t="n"/>
      <c r="F893" s="38" t="n"/>
      <c r="G893" s="38" t="n"/>
      <c r="H893" s="38" t="n"/>
      <c r="I893" s="38" t="n"/>
      <c r="J893" s="38" t="n"/>
      <c r="K893" s="38" t="n"/>
      <c r="L893" s="39">
        <f>IF($A893="","",IFERROR($D893*$G893,0))</f>
        <v/>
      </c>
    </row>
    <row r="894">
      <c r="A894" s="38" t="n"/>
      <c r="B894" s="38" t="n"/>
      <c r="C894" s="38" t="n"/>
      <c r="D894" s="38" t="n"/>
      <c r="E894" s="38" t="n"/>
      <c r="F894" s="38" t="n"/>
      <c r="G894" s="38" t="n"/>
      <c r="H894" s="38" t="n"/>
      <c r="I894" s="38" t="n"/>
      <c r="J894" s="38" t="n"/>
      <c r="K894" s="38" t="n"/>
      <c r="L894" s="39">
        <f>IF($A894="","",IFERROR($D894*$G894,0))</f>
        <v/>
      </c>
    </row>
    <row r="895">
      <c r="A895" s="38" t="n"/>
      <c r="B895" s="38" t="n"/>
      <c r="C895" s="38" t="n"/>
      <c r="D895" s="38" t="n"/>
      <c r="E895" s="38" t="n"/>
      <c r="F895" s="38" t="n"/>
      <c r="G895" s="38" t="n"/>
      <c r="H895" s="38" t="n"/>
      <c r="I895" s="38" t="n"/>
      <c r="J895" s="38" t="n"/>
      <c r="K895" s="38" t="n"/>
      <c r="L895" s="39">
        <f>IF($A895="","",IFERROR($D895*$G895,0))</f>
        <v/>
      </c>
    </row>
    <row r="896">
      <c r="A896" s="38" t="n"/>
      <c r="B896" s="38" t="n"/>
      <c r="C896" s="38" t="n"/>
      <c r="D896" s="38" t="n"/>
      <c r="E896" s="38" t="n"/>
      <c r="F896" s="38" t="n"/>
      <c r="G896" s="38" t="n"/>
      <c r="H896" s="38" t="n"/>
      <c r="I896" s="38" t="n"/>
      <c r="J896" s="38" t="n"/>
      <c r="K896" s="38" t="n"/>
      <c r="L896" s="39">
        <f>IF($A896="","",IFERROR($D896*$G896,0))</f>
        <v/>
      </c>
    </row>
    <row r="897">
      <c r="A897" s="38" t="n"/>
      <c r="B897" s="38" t="n"/>
      <c r="C897" s="38" t="n"/>
      <c r="D897" s="38" t="n"/>
      <c r="E897" s="38" t="n"/>
      <c r="F897" s="38" t="n"/>
      <c r="G897" s="38" t="n"/>
      <c r="H897" s="38" t="n"/>
      <c r="I897" s="38" t="n"/>
      <c r="J897" s="38" t="n"/>
      <c r="K897" s="38" t="n"/>
      <c r="L897" s="39">
        <f>IF($A897="","",IFERROR($D897*$G897,0))</f>
        <v/>
      </c>
    </row>
    <row r="898">
      <c r="A898" s="38" t="n"/>
      <c r="B898" s="38" t="n"/>
      <c r="C898" s="38" t="n"/>
      <c r="D898" s="38" t="n"/>
      <c r="E898" s="38" t="n"/>
      <c r="F898" s="38" t="n"/>
      <c r="G898" s="38" t="n"/>
      <c r="H898" s="38" t="n"/>
      <c r="I898" s="38" t="n"/>
      <c r="J898" s="38" t="n"/>
      <c r="K898" s="38" t="n"/>
      <c r="L898" s="39">
        <f>IF($A898="","",IFERROR($D898*$G898,0))</f>
        <v/>
      </c>
    </row>
    <row r="899">
      <c r="A899" s="38" t="n"/>
      <c r="B899" s="38" t="n"/>
      <c r="C899" s="38" t="n"/>
      <c r="D899" s="38" t="n"/>
      <c r="E899" s="38" t="n"/>
      <c r="F899" s="38" t="n"/>
      <c r="G899" s="38" t="n"/>
      <c r="H899" s="38" t="n"/>
      <c r="I899" s="38" t="n"/>
      <c r="J899" s="38" t="n"/>
      <c r="K899" s="38" t="n"/>
      <c r="L899" s="39">
        <f>IF($A899="","",IFERROR($D899*$G899,0))</f>
        <v/>
      </c>
    </row>
    <row r="900">
      <c r="A900" s="38" t="n"/>
      <c r="B900" s="38" t="n"/>
      <c r="C900" s="38" t="n"/>
      <c r="D900" s="38" t="n"/>
      <c r="E900" s="38" t="n"/>
      <c r="F900" s="38" t="n"/>
      <c r="G900" s="38" t="n"/>
      <c r="H900" s="38" t="n"/>
      <c r="I900" s="38" t="n"/>
      <c r="J900" s="38" t="n"/>
      <c r="K900" s="38" t="n"/>
      <c r="L900" s="39">
        <f>IF($A900="","",IFERROR($D900*$G900,0))</f>
        <v/>
      </c>
    </row>
    <row r="901">
      <c r="A901" s="38" t="n"/>
      <c r="B901" s="38" t="n"/>
      <c r="C901" s="38" t="n"/>
      <c r="D901" s="38" t="n"/>
      <c r="E901" s="38" t="n"/>
      <c r="F901" s="38" t="n"/>
      <c r="G901" s="38" t="n"/>
      <c r="H901" s="38" t="n"/>
      <c r="I901" s="38" t="n"/>
      <c r="J901" s="38" t="n"/>
      <c r="K901" s="38" t="n"/>
      <c r="L901" s="39">
        <f>IF($A901="","",IFERROR($D901*$G901,0))</f>
        <v/>
      </c>
    </row>
    <row r="902">
      <c r="A902" s="38" t="n"/>
      <c r="B902" s="38" t="n"/>
      <c r="C902" s="38" t="n"/>
      <c r="D902" s="38" t="n"/>
      <c r="E902" s="38" t="n"/>
      <c r="F902" s="38" t="n"/>
      <c r="G902" s="38" t="n"/>
      <c r="H902" s="38" t="n"/>
      <c r="I902" s="38" t="n"/>
      <c r="J902" s="38" t="n"/>
      <c r="K902" s="38" t="n"/>
      <c r="L902" s="39">
        <f>IF($A902="","",IFERROR($D902*$G902,0))</f>
        <v/>
      </c>
    </row>
    <row r="903">
      <c r="A903" s="38" t="n"/>
      <c r="B903" s="38" t="n"/>
      <c r="C903" s="38" t="n"/>
      <c r="D903" s="38" t="n"/>
      <c r="E903" s="38" t="n"/>
      <c r="F903" s="38" t="n"/>
      <c r="G903" s="38" t="n"/>
      <c r="H903" s="38" t="n"/>
      <c r="I903" s="38" t="n"/>
      <c r="J903" s="38" t="n"/>
      <c r="K903" s="38" t="n"/>
      <c r="L903" s="39">
        <f>IF($A903="","",IFERROR($D903*$G903,0))</f>
        <v/>
      </c>
    </row>
    <row r="904">
      <c r="A904" s="38" t="n"/>
      <c r="B904" s="38" t="n"/>
      <c r="C904" s="38" t="n"/>
      <c r="D904" s="38" t="n"/>
      <c r="E904" s="38" t="n"/>
      <c r="F904" s="38" t="n"/>
      <c r="G904" s="38" t="n"/>
      <c r="H904" s="38" t="n"/>
      <c r="I904" s="38" t="n"/>
      <c r="J904" s="38" t="n"/>
      <c r="K904" s="38" t="n"/>
      <c r="L904" s="39">
        <f>IF($A904="","",IFERROR($D904*$G904,0))</f>
        <v/>
      </c>
    </row>
    <row r="905">
      <c r="A905" s="38" t="n"/>
      <c r="B905" s="38" t="n"/>
      <c r="C905" s="38" t="n"/>
      <c r="D905" s="38" t="n"/>
      <c r="E905" s="38" t="n"/>
      <c r="F905" s="38" t="n"/>
      <c r="G905" s="38" t="n"/>
      <c r="H905" s="38" t="n"/>
      <c r="I905" s="38" t="n"/>
      <c r="J905" s="38" t="n"/>
      <c r="K905" s="38" t="n"/>
      <c r="L905" s="39">
        <f>IF($A905="","",IFERROR($D905*$G905,0))</f>
        <v/>
      </c>
    </row>
    <row r="906">
      <c r="A906" s="38" t="n"/>
      <c r="B906" s="38" t="n"/>
      <c r="C906" s="38" t="n"/>
      <c r="D906" s="38" t="n"/>
      <c r="E906" s="38" t="n"/>
      <c r="F906" s="38" t="n"/>
      <c r="G906" s="38" t="n"/>
      <c r="H906" s="38" t="n"/>
      <c r="I906" s="38" t="n"/>
      <c r="J906" s="38" t="n"/>
      <c r="K906" s="38" t="n"/>
      <c r="L906" s="39">
        <f>IF($A906="","",IFERROR($D906*$G906,0))</f>
        <v/>
      </c>
    </row>
    <row r="907">
      <c r="A907" s="38" t="n"/>
      <c r="B907" s="38" t="n"/>
      <c r="C907" s="38" t="n"/>
      <c r="D907" s="38" t="n"/>
      <c r="E907" s="38" t="n"/>
      <c r="F907" s="38" t="n"/>
      <c r="G907" s="38" t="n"/>
      <c r="H907" s="38" t="n"/>
      <c r="I907" s="38" t="n"/>
      <c r="J907" s="38" t="n"/>
      <c r="K907" s="38" t="n"/>
      <c r="L907" s="39">
        <f>IF($A907="","",IFERROR($D907*$G907,0))</f>
        <v/>
      </c>
    </row>
    <row r="908">
      <c r="A908" s="38" t="n"/>
      <c r="B908" s="38" t="n"/>
      <c r="C908" s="38" t="n"/>
      <c r="D908" s="38" t="n"/>
      <c r="E908" s="38" t="n"/>
      <c r="F908" s="38" t="n"/>
      <c r="G908" s="38" t="n"/>
      <c r="H908" s="38" t="n"/>
      <c r="I908" s="38" t="n"/>
      <c r="J908" s="38" t="n"/>
      <c r="K908" s="38" t="n"/>
      <c r="L908" s="39">
        <f>IF($A908="","",IFERROR($D908*$G908,0))</f>
        <v/>
      </c>
    </row>
    <row r="909">
      <c r="A909" s="38" t="n"/>
      <c r="B909" s="38" t="n"/>
      <c r="C909" s="38" t="n"/>
      <c r="D909" s="38" t="n"/>
      <c r="E909" s="38" t="n"/>
      <c r="F909" s="38" t="n"/>
      <c r="G909" s="38" t="n"/>
      <c r="H909" s="38" t="n"/>
      <c r="I909" s="38" t="n"/>
      <c r="J909" s="38" t="n"/>
      <c r="K909" s="38" t="n"/>
      <c r="L909" s="39">
        <f>IF($A909="","",IFERROR($D909*$G909,0))</f>
        <v/>
      </c>
    </row>
    <row r="910">
      <c r="A910" s="38" t="n"/>
      <c r="B910" s="38" t="n"/>
      <c r="C910" s="38" t="n"/>
      <c r="D910" s="38" t="n"/>
      <c r="E910" s="38" t="n"/>
      <c r="F910" s="38" t="n"/>
      <c r="G910" s="38" t="n"/>
      <c r="H910" s="38" t="n"/>
      <c r="I910" s="38" t="n"/>
      <c r="J910" s="38" t="n"/>
      <c r="K910" s="38" t="n"/>
      <c r="L910" s="39">
        <f>IF($A910="","",IFERROR($D910*$G910,0))</f>
        <v/>
      </c>
    </row>
    <row r="911">
      <c r="A911" s="38" t="n"/>
      <c r="B911" s="38" t="n"/>
      <c r="C911" s="38" t="n"/>
      <c r="D911" s="38" t="n"/>
      <c r="E911" s="38" t="n"/>
      <c r="F911" s="38" t="n"/>
      <c r="G911" s="38" t="n"/>
      <c r="H911" s="38" t="n"/>
      <c r="I911" s="38" t="n"/>
      <c r="J911" s="38" t="n"/>
      <c r="K911" s="38" t="n"/>
      <c r="L911" s="39">
        <f>IF($A911="","",IFERROR($D911*$G911,0))</f>
        <v/>
      </c>
    </row>
    <row r="912">
      <c r="A912" s="38" t="n"/>
      <c r="B912" s="38" t="n"/>
      <c r="C912" s="38" t="n"/>
      <c r="D912" s="38" t="n"/>
      <c r="E912" s="38" t="n"/>
      <c r="F912" s="38" t="n"/>
      <c r="G912" s="38" t="n"/>
      <c r="H912" s="38" t="n"/>
      <c r="I912" s="38" t="n"/>
      <c r="J912" s="38" t="n"/>
      <c r="K912" s="38" t="n"/>
      <c r="L912" s="39">
        <f>IF($A912="","",IFERROR($D912*$G912,0))</f>
        <v/>
      </c>
    </row>
    <row r="913">
      <c r="A913" s="38" t="n"/>
      <c r="B913" s="38" t="n"/>
      <c r="C913" s="38" t="n"/>
      <c r="D913" s="38" t="n"/>
      <c r="E913" s="38" t="n"/>
      <c r="F913" s="38" t="n"/>
      <c r="G913" s="38" t="n"/>
      <c r="H913" s="38" t="n"/>
      <c r="I913" s="38" t="n"/>
      <c r="J913" s="38" t="n"/>
      <c r="K913" s="38" t="n"/>
      <c r="L913" s="39">
        <f>IF($A913="","",IFERROR($D913*$G913,0))</f>
        <v/>
      </c>
    </row>
    <row r="914">
      <c r="A914" s="38" t="n"/>
      <c r="B914" s="38" t="n"/>
      <c r="C914" s="38" t="n"/>
      <c r="D914" s="38" t="n"/>
      <c r="E914" s="38" t="n"/>
      <c r="F914" s="38" t="n"/>
      <c r="G914" s="38" t="n"/>
      <c r="H914" s="38" t="n"/>
      <c r="I914" s="38" t="n"/>
      <c r="J914" s="38" t="n"/>
      <c r="K914" s="38" t="n"/>
      <c r="L914" s="39">
        <f>IF($A914="","",IFERROR($D914*$G914,0))</f>
        <v/>
      </c>
    </row>
    <row r="915">
      <c r="A915" s="38" t="n"/>
      <c r="B915" s="38" t="n"/>
      <c r="C915" s="38" t="n"/>
      <c r="D915" s="38" t="n"/>
      <c r="E915" s="38" t="n"/>
      <c r="F915" s="38" t="n"/>
      <c r="G915" s="38" t="n"/>
      <c r="H915" s="38" t="n"/>
      <c r="I915" s="38" t="n"/>
      <c r="J915" s="38" t="n"/>
      <c r="K915" s="38" t="n"/>
      <c r="L915" s="39">
        <f>IF($A915="","",IFERROR($D915*$G915,0))</f>
        <v/>
      </c>
    </row>
    <row r="916">
      <c r="A916" s="38" t="n"/>
      <c r="B916" s="38" t="n"/>
      <c r="C916" s="38" t="n"/>
      <c r="D916" s="38" t="n"/>
      <c r="E916" s="38" t="n"/>
      <c r="F916" s="38" t="n"/>
      <c r="G916" s="38" t="n"/>
      <c r="H916" s="38" t="n"/>
      <c r="I916" s="38" t="n"/>
      <c r="J916" s="38" t="n"/>
      <c r="K916" s="38" t="n"/>
      <c r="L916" s="39">
        <f>IF($A916="","",IFERROR($D916*$G916,0))</f>
        <v/>
      </c>
    </row>
    <row r="917">
      <c r="A917" s="38" t="n"/>
      <c r="B917" s="38" t="n"/>
      <c r="C917" s="38" t="n"/>
      <c r="D917" s="38" t="n"/>
      <c r="E917" s="38" t="n"/>
      <c r="F917" s="38" t="n"/>
      <c r="G917" s="38" t="n"/>
      <c r="H917" s="38" t="n"/>
      <c r="I917" s="38" t="n"/>
      <c r="J917" s="38" t="n"/>
      <c r="K917" s="38" t="n"/>
      <c r="L917" s="39">
        <f>IF($A917="","",IFERROR($D917*$G917,0))</f>
        <v/>
      </c>
    </row>
    <row r="918">
      <c r="A918" s="38" t="n"/>
      <c r="B918" s="38" t="n"/>
      <c r="C918" s="38" t="n"/>
      <c r="D918" s="38" t="n"/>
      <c r="E918" s="38" t="n"/>
      <c r="F918" s="38" t="n"/>
      <c r="G918" s="38" t="n"/>
      <c r="H918" s="38" t="n"/>
      <c r="I918" s="38" t="n"/>
      <c r="J918" s="38" t="n"/>
      <c r="K918" s="38" t="n"/>
      <c r="L918" s="39">
        <f>IF($A918="","",IFERROR($D918*$G918,0))</f>
        <v/>
      </c>
    </row>
    <row r="919">
      <c r="A919" s="38" t="n"/>
      <c r="B919" s="38" t="n"/>
      <c r="C919" s="38" t="n"/>
      <c r="D919" s="38" t="n"/>
      <c r="E919" s="38" t="n"/>
      <c r="F919" s="38" t="n"/>
      <c r="G919" s="38" t="n"/>
      <c r="H919" s="38" t="n"/>
      <c r="I919" s="38" t="n"/>
      <c r="J919" s="38" t="n"/>
      <c r="K919" s="38" t="n"/>
      <c r="L919" s="39">
        <f>IF($A919="","",IFERROR($D919*$G919,0))</f>
        <v/>
      </c>
    </row>
    <row r="920">
      <c r="A920" s="38" t="n"/>
      <c r="B920" s="38" t="n"/>
      <c r="C920" s="38" t="n"/>
      <c r="D920" s="38" t="n"/>
      <c r="E920" s="38" t="n"/>
      <c r="F920" s="38" t="n"/>
      <c r="G920" s="38" t="n"/>
      <c r="H920" s="38" t="n"/>
      <c r="I920" s="38" t="n"/>
      <c r="J920" s="38" t="n"/>
      <c r="K920" s="38" t="n"/>
      <c r="L920" s="39">
        <f>IF($A920="","",IFERROR($D920*$G920,0))</f>
        <v/>
      </c>
    </row>
    <row r="921">
      <c r="A921" s="38" t="n"/>
      <c r="B921" s="38" t="n"/>
      <c r="C921" s="38" t="n"/>
      <c r="D921" s="38" t="n"/>
      <c r="E921" s="38" t="n"/>
      <c r="F921" s="38" t="n"/>
      <c r="G921" s="38" t="n"/>
      <c r="H921" s="38" t="n"/>
      <c r="I921" s="38" t="n"/>
      <c r="J921" s="38" t="n"/>
      <c r="K921" s="38" t="n"/>
      <c r="L921" s="39">
        <f>IF($A921="","",IFERROR($D921*$G921,0))</f>
        <v/>
      </c>
    </row>
    <row r="922">
      <c r="A922" s="38" t="n"/>
      <c r="B922" s="38" t="n"/>
      <c r="C922" s="38" t="n"/>
      <c r="D922" s="38" t="n"/>
      <c r="E922" s="38" t="n"/>
      <c r="F922" s="38" t="n"/>
      <c r="G922" s="38" t="n"/>
      <c r="H922" s="38" t="n"/>
      <c r="I922" s="38" t="n"/>
      <c r="J922" s="38" t="n"/>
      <c r="K922" s="38" t="n"/>
      <c r="L922" s="39">
        <f>IF($A922="","",IFERROR($D922*$G922,0))</f>
        <v/>
      </c>
    </row>
    <row r="923">
      <c r="A923" s="38" t="n"/>
      <c r="B923" s="38" t="n"/>
      <c r="C923" s="38" t="n"/>
      <c r="D923" s="38" t="n"/>
      <c r="E923" s="38" t="n"/>
      <c r="F923" s="38" t="n"/>
      <c r="G923" s="38" t="n"/>
      <c r="H923" s="38" t="n"/>
      <c r="I923" s="38" t="n"/>
      <c r="J923" s="38" t="n"/>
      <c r="K923" s="38" t="n"/>
      <c r="L923" s="39">
        <f>IF($A923="","",IFERROR($D923*$G923,0))</f>
        <v/>
      </c>
    </row>
    <row r="924">
      <c r="A924" s="38" t="n"/>
      <c r="B924" s="38" t="n"/>
      <c r="C924" s="38" t="n"/>
      <c r="D924" s="38" t="n"/>
      <c r="E924" s="38" t="n"/>
      <c r="F924" s="38" t="n"/>
      <c r="G924" s="38" t="n"/>
      <c r="H924" s="38" t="n"/>
      <c r="I924" s="38" t="n"/>
      <c r="J924" s="38" t="n"/>
      <c r="K924" s="38" t="n"/>
      <c r="L924" s="39">
        <f>IF($A924="","",IFERROR($D924*$G924,0))</f>
        <v/>
      </c>
    </row>
    <row r="925">
      <c r="A925" s="38" t="n"/>
      <c r="B925" s="38" t="n"/>
      <c r="C925" s="38" t="n"/>
      <c r="D925" s="38" t="n"/>
      <c r="E925" s="38" t="n"/>
      <c r="F925" s="38" t="n"/>
      <c r="G925" s="38" t="n"/>
      <c r="H925" s="38" t="n"/>
      <c r="I925" s="38" t="n"/>
      <c r="J925" s="38" t="n"/>
      <c r="K925" s="38" t="n"/>
      <c r="L925" s="39">
        <f>IF($A925="","",IFERROR($D925*$G925,0))</f>
        <v/>
      </c>
    </row>
    <row r="926">
      <c r="A926" s="38" t="n"/>
      <c r="B926" s="38" t="n"/>
      <c r="C926" s="38" t="n"/>
      <c r="D926" s="38" t="n"/>
      <c r="E926" s="38" t="n"/>
      <c r="F926" s="38" t="n"/>
      <c r="G926" s="38" t="n"/>
      <c r="H926" s="38" t="n"/>
      <c r="I926" s="38" t="n"/>
      <c r="J926" s="38" t="n"/>
      <c r="K926" s="38" t="n"/>
      <c r="L926" s="39">
        <f>IF($A926="","",IFERROR($D926*$G926,0))</f>
        <v/>
      </c>
    </row>
    <row r="927">
      <c r="A927" s="38" t="n"/>
      <c r="B927" s="38" t="n"/>
      <c r="C927" s="38" t="n"/>
      <c r="D927" s="38" t="n"/>
      <c r="E927" s="38" t="n"/>
      <c r="F927" s="38" t="n"/>
      <c r="G927" s="38" t="n"/>
      <c r="H927" s="38" t="n"/>
      <c r="I927" s="38" t="n"/>
      <c r="J927" s="38" t="n"/>
      <c r="K927" s="38" t="n"/>
      <c r="L927" s="39">
        <f>IF($A927="","",IFERROR($D927*$G927,0))</f>
        <v/>
      </c>
    </row>
    <row r="928">
      <c r="A928" s="38" t="n"/>
      <c r="B928" s="38" t="n"/>
      <c r="C928" s="38" t="n"/>
      <c r="D928" s="38" t="n"/>
      <c r="E928" s="38" t="n"/>
      <c r="F928" s="38" t="n"/>
      <c r="G928" s="38" t="n"/>
      <c r="H928" s="38" t="n"/>
      <c r="I928" s="38" t="n"/>
      <c r="J928" s="38" t="n"/>
      <c r="K928" s="38" t="n"/>
      <c r="L928" s="39">
        <f>IF($A928="","",IFERROR($D928*$G928,0))</f>
        <v/>
      </c>
    </row>
    <row r="929">
      <c r="A929" s="38" t="n"/>
      <c r="B929" s="38" t="n"/>
      <c r="C929" s="38" t="n"/>
      <c r="D929" s="38" t="n"/>
      <c r="E929" s="38" t="n"/>
      <c r="F929" s="38" t="n"/>
      <c r="G929" s="38" t="n"/>
      <c r="H929" s="38" t="n"/>
      <c r="I929" s="38" t="n"/>
      <c r="J929" s="38" t="n"/>
      <c r="K929" s="38" t="n"/>
      <c r="L929" s="39">
        <f>IF($A929="","",IFERROR($D929*$G929,0))</f>
        <v/>
      </c>
    </row>
    <row r="930">
      <c r="A930" s="38" t="n"/>
      <c r="B930" s="38" t="n"/>
      <c r="C930" s="38" t="n"/>
      <c r="D930" s="38" t="n"/>
      <c r="E930" s="38" t="n"/>
      <c r="F930" s="38" t="n"/>
      <c r="G930" s="38" t="n"/>
      <c r="H930" s="38" t="n"/>
      <c r="I930" s="38" t="n"/>
      <c r="J930" s="38" t="n"/>
      <c r="K930" s="38" t="n"/>
      <c r="L930" s="39">
        <f>IF($A930="","",IFERROR($D930*$G930,0))</f>
        <v/>
      </c>
    </row>
    <row r="931">
      <c r="A931" s="38" t="n"/>
      <c r="B931" s="38" t="n"/>
      <c r="C931" s="38" t="n"/>
      <c r="D931" s="38" t="n"/>
      <c r="E931" s="38" t="n"/>
      <c r="F931" s="38" t="n"/>
      <c r="G931" s="38" t="n"/>
      <c r="H931" s="38" t="n"/>
      <c r="I931" s="38" t="n"/>
      <c r="J931" s="38" t="n"/>
      <c r="K931" s="38" t="n"/>
      <c r="L931" s="39">
        <f>IF($A931="","",IFERROR($D931*$G931,0))</f>
        <v/>
      </c>
    </row>
    <row r="932">
      <c r="A932" s="38" t="n"/>
      <c r="B932" s="38" t="n"/>
      <c r="C932" s="38" t="n"/>
      <c r="D932" s="38" t="n"/>
      <c r="E932" s="38" t="n"/>
      <c r="F932" s="38" t="n"/>
      <c r="G932" s="38" t="n"/>
      <c r="H932" s="38" t="n"/>
      <c r="I932" s="38" t="n"/>
      <c r="J932" s="38" t="n"/>
      <c r="K932" s="38" t="n"/>
      <c r="L932" s="39">
        <f>IF($A932="","",IFERROR($D932*$G932,0))</f>
        <v/>
      </c>
    </row>
    <row r="933">
      <c r="A933" s="38" t="n"/>
      <c r="B933" s="38" t="n"/>
      <c r="C933" s="38" t="n"/>
      <c r="D933" s="38" t="n"/>
      <c r="E933" s="38" t="n"/>
      <c r="F933" s="38" t="n"/>
      <c r="G933" s="38" t="n"/>
      <c r="H933" s="38" t="n"/>
      <c r="I933" s="38" t="n"/>
      <c r="J933" s="38" t="n"/>
      <c r="K933" s="38" t="n"/>
      <c r="L933" s="39">
        <f>IF($A933="","",IFERROR($D933*$G933,0))</f>
        <v/>
      </c>
    </row>
    <row r="934">
      <c r="A934" s="38" t="n"/>
      <c r="B934" s="38" t="n"/>
      <c r="C934" s="38" t="n"/>
      <c r="D934" s="38" t="n"/>
      <c r="E934" s="38" t="n"/>
      <c r="F934" s="38" t="n"/>
      <c r="G934" s="38" t="n"/>
      <c r="H934" s="38" t="n"/>
      <c r="I934" s="38" t="n"/>
      <c r="J934" s="38" t="n"/>
      <c r="K934" s="38" t="n"/>
      <c r="L934" s="39">
        <f>IF($A934="","",IFERROR($D934*$G934,0))</f>
        <v/>
      </c>
    </row>
    <row r="935">
      <c r="A935" s="38" t="n"/>
      <c r="B935" s="38" t="n"/>
      <c r="C935" s="38" t="n"/>
      <c r="D935" s="38" t="n"/>
      <c r="E935" s="38" t="n"/>
      <c r="F935" s="38" t="n"/>
      <c r="G935" s="38" t="n"/>
      <c r="H935" s="38" t="n"/>
      <c r="I935" s="38" t="n"/>
      <c r="J935" s="38" t="n"/>
      <c r="K935" s="38" t="n"/>
      <c r="L935" s="39">
        <f>IF($A935="","",IFERROR($D935*$G935,0))</f>
        <v/>
      </c>
    </row>
    <row r="936">
      <c r="A936" s="38" t="n"/>
      <c r="B936" s="38" t="n"/>
      <c r="C936" s="38" t="n"/>
      <c r="D936" s="38" t="n"/>
      <c r="E936" s="38" t="n"/>
      <c r="F936" s="38" t="n"/>
      <c r="G936" s="38" t="n"/>
      <c r="H936" s="38" t="n"/>
      <c r="I936" s="38" t="n"/>
      <c r="J936" s="38" t="n"/>
      <c r="K936" s="38" t="n"/>
      <c r="L936" s="39">
        <f>IF($A936="","",IFERROR($D936*$G936,0))</f>
        <v/>
      </c>
    </row>
    <row r="937">
      <c r="A937" s="38" t="n"/>
      <c r="B937" s="38" t="n"/>
      <c r="C937" s="38" t="n"/>
      <c r="D937" s="38" t="n"/>
      <c r="E937" s="38" t="n"/>
      <c r="F937" s="38" t="n"/>
      <c r="G937" s="38" t="n"/>
      <c r="H937" s="38" t="n"/>
      <c r="I937" s="38" t="n"/>
      <c r="J937" s="38" t="n"/>
      <c r="K937" s="38" t="n"/>
      <c r="L937" s="39">
        <f>IF($A937="","",IFERROR($D937*$G937,0))</f>
        <v/>
      </c>
    </row>
    <row r="938">
      <c r="A938" s="38" t="n"/>
      <c r="B938" s="38" t="n"/>
      <c r="C938" s="38" t="n"/>
      <c r="D938" s="38" t="n"/>
      <c r="E938" s="38" t="n"/>
      <c r="F938" s="38" t="n"/>
      <c r="G938" s="38" t="n"/>
      <c r="H938" s="38" t="n"/>
      <c r="I938" s="38" t="n"/>
      <c r="J938" s="38" t="n"/>
      <c r="K938" s="38" t="n"/>
      <c r="L938" s="39">
        <f>IF($A938="","",IFERROR($D938*$G938,0))</f>
        <v/>
      </c>
    </row>
    <row r="939">
      <c r="A939" s="38" t="n"/>
      <c r="B939" s="38" t="n"/>
      <c r="C939" s="38" t="n"/>
      <c r="D939" s="38" t="n"/>
      <c r="E939" s="38" t="n"/>
      <c r="F939" s="38" t="n"/>
      <c r="G939" s="38" t="n"/>
      <c r="H939" s="38" t="n"/>
      <c r="I939" s="38" t="n"/>
      <c r="J939" s="38" t="n"/>
      <c r="K939" s="38" t="n"/>
      <c r="L939" s="39">
        <f>IF($A939="","",IFERROR($D939*$G939,0))</f>
        <v/>
      </c>
    </row>
    <row r="940">
      <c r="A940" s="38" t="n"/>
      <c r="B940" s="38" t="n"/>
      <c r="C940" s="38" t="n"/>
      <c r="D940" s="38" t="n"/>
      <c r="E940" s="38" t="n"/>
      <c r="F940" s="38" t="n"/>
      <c r="G940" s="38" t="n"/>
      <c r="H940" s="38" t="n"/>
      <c r="I940" s="38" t="n"/>
      <c r="J940" s="38" t="n"/>
      <c r="K940" s="38" t="n"/>
      <c r="L940" s="39">
        <f>IF($A940="","",IFERROR($D940*$G940,0))</f>
        <v/>
      </c>
    </row>
    <row r="941">
      <c r="A941" s="38" t="n"/>
      <c r="B941" s="38" t="n"/>
      <c r="C941" s="38" t="n"/>
      <c r="D941" s="38" t="n"/>
      <c r="E941" s="38" t="n"/>
      <c r="F941" s="38" t="n"/>
      <c r="G941" s="38" t="n"/>
      <c r="H941" s="38" t="n"/>
      <c r="I941" s="38" t="n"/>
      <c r="J941" s="38" t="n"/>
      <c r="K941" s="38" t="n"/>
      <c r="L941" s="39">
        <f>IF($A941="","",IFERROR($D941*$G941,0))</f>
        <v/>
      </c>
    </row>
    <row r="942">
      <c r="A942" s="38" t="n"/>
      <c r="B942" s="38" t="n"/>
      <c r="C942" s="38" t="n"/>
      <c r="D942" s="38" t="n"/>
      <c r="E942" s="38" t="n"/>
      <c r="F942" s="38" t="n"/>
      <c r="G942" s="38" t="n"/>
      <c r="H942" s="38" t="n"/>
      <c r="I942" s="38" t="n"/>
      <c r="J942" s="38" t="n"/>
      <c r="K942" s="38" t="n"/>
      <c r="L942" s="39">
        <f>IF($A942="","",IFERROR($D942*$G942,0))</f>
        <v/>
      </c>
    </row>
    <row r="943">
      <c r="A943" s="38" t="n"/>
      <c r="B943" s="38" t="n"/>
      <c r="C943" s="38" t="n"/>
      <c r="D943" s="38" t="n"/>
      <c r="E943" s="38" t="n"/>
      <c r="F943" s="38" t="n"/>
      <c r="G943" s="38" t="n"/>
      <c r="H943" s="38" t="n"/>
      <c r="I943" s="38" t="n"/>
      <c r="J943" s="38" t="n"/>
      <c r="K943" s="38" t="n"/>
      <c r="L943" s="39">
        <f>IF($A943="","",IFERROR($D943*$G943,0))</f>
        <v/>
      </c>
    </row>
    <row r="944">
      <c r="A944" s="38" t="n"/>
      <c r="B944" s="38" t="n"/>
      <c r="C944" s="38" t="n"/>
      <c r="D944" s="38" t="n"/>
      <c r="E944" s="38" t="n"/>
      <c r="F944" s="38" t="n"/>
      <c r="G944" s="38" t="n"/>
      <c r="H944" s="38" t="n"/>
      <c r="I944" s="38" t="n"/>
      <c r="J944" s="38" t="n"/>
      <c r="K944" s="38" t="n"/>
      <c r="L944" s="39">
        <f>IF($A944="","",IFERROR($D944*$G944,0))</f>
        <v/>
      </c>
    </row>
    <row r="945">
      <c r="A945" s="38" t="n"/>
      <c r="B945" s="38" t="n"/>
      <c r="C945" s="38" t="n"/>
      <c r="D945" s="38" t="n"/>
      <c r="E945" s="38" t="n"/>
      <c r="F945" s="38" t="n"/>
      <c r="G945" s="38" t="n"/>
      <c r="H945" s="38" t="n"/>
      <c r="I945" s="38" t="n"/>
      <c r="J945" s="38" t="n"/>
      <c r="K945" s="38" t="n"/>
      <c r="L945" s="39">
        <f>IF($A945="","",IFERROR($D945*$G945,0))</f>
        <v/>
      </c>
    </row>
    <row r="946">
      <c r="A946" s="38" t="n"/>
      <c r="B946" s="38" t="n"/>
      <c r="C946" s="38" t="n"/>
      <c r="D946" s="38" t="n"/>
      <c r="E946" s="38" t="n"/>
      <c r="F946" s="38" t="n"/>
      <c r="G946" s="38" t="n"/>
      <c r="H946" s="38" t="n"/>
      <c r="I946" s="38" t="n"/>
      <c r="J946" s="38" t="n"/>
      <c r="K946" s="38" t="n"/>
      <c r="L946" s="39">
        <f>IF($A946="","",IFERROR($D946*$G946,0))</f>
        <v/>
      </c>
    </row>
    <row r="947">
      <c r="A947" s="38" t="n"/>
      <c r="B947" s="38" t="n"/>
      <c r="C947" s="38" t="n"/>
      <c r="D947" s="38" t="n"/>
      <c r="E947" s="38" t="n"/>
      <c r="F947" s="38" t="n"/>
      <c r="G947" s="38" t="n"/>
      <c r="H947" s="38" t="n"/>
      <c r="I947" s="38" t="n"/>
      <c r="J947" s="38" t="n"/>
      <c r="K947" s="38" t="n"/>
      <c r="L947" s="39">
        <f>IF($A947="","",IFERROR($D947*$G947,0))</f>
        <v/>
      </c>
    </row>
    <row r="948">
      <c r="A948" s="38" t="n"/>
      <c r="B948" s="38" t="n"/>
      <c r="C948" s="38" t="n"/>
      <c r="D948" s="38" t="n"/>
      <c r="E948" s="38" t="n"/>
      <c r="F948" s="38" t="n"/>
      <c r="G948" s="38" t="n"/>
      <c r="H948" s="38" t="n"/>
      <c r="I948" s="38" t="n"/>
      <c r="J948" s="38" t="n"/>
      <c r="K948" s="38" t="n"/>
      <c r="L948" s="39">
        <f>IF($A948="","",IFERROR($D948*$G948,0))</f>
        <v/>
      </c>
    </row>
    <row r="949">
      <c r="A949" s="38" t="n"/>
      <c r="B949" s="38" t="n"/>
      <c r="C949" s="38" t="n"/>
      <c r="D949" s="38" t="n"/>
      <c r="E949" s="38" t="n"/>
      <c r="F949" s="38" t="n"/>
      <c r="G949" s="38" t="n"/>
      <c r="H949" s="38" t="n"/>
      <c r="I949" s="38" t="n"/>
      <c r="J949" s="38" t="n"/>
      <c r="K949" s="38" t="n"/>
      <c r="L949" s="39">
        <f>IF($A949="","",IFERROR($D949*$G949,0))</f>
        <v/>
      </c>
    </row>
    <row r="950">
      <c r="A950" s="38" t="n"/>
      <c r="B950" s="38" t="n"/>
      <c r="C950" s="38" t="n"/>
      <c r="D950" s="38" t="n"/>
      <c r="E950" s="38" t="n"/>
      <c r="F950" s="38" t="n"/>
      <c r="G950" s="38" t="n"/>
      <c r="H950" s="38" t="n"/>
      <c r="I950" s="38" t="n"/>
      <c r="J950" s="38" t="n"/>
      <c r="K950" s="38" t="n"/>
      <c r="L950" s="39">
        <f>IF($A950="","",IFERROR($D950*$G950,0))</f>
        <v/>
      </c>
    </row>
    <row r="951">
      <c r="A951" s="38" t="n"/>
      <c r="B951" s="38" t="n"/>
      <c r="C951" s="38" t="n"/>
      <c r="D951" s="38" t="n"/>
      <c r="E951" s="38" t="n"/>
      <c r="F951" s="38" t="n"/>
      <c r="G951" s="38" t="n"/>
      <c r="H951" s="38" t="n"/>
      <c r="I951" s="38" t="n"/>
      <c r="J951" s="38" t="n"/>
      <c r="K951" s="38" t="n"/>
      <c r="L951" s="39">
        <f>IF($A951="","",IFERROR($D951*$G951,0))</f>
        <v/>
      </c>
    </row>
    <row r="952">
      <c r="A952" s="38" t="n"/>
      <c r="B952" s="38" t="n"/>
      <c r="C952" s="38" t="n"/>
      <c r="D952" s="38" t="n"/>
      <c r="E952" s="38" t="n"/>
      <c r="F952" s="38" t="n"/>
      <c r="G952" s="38" t="n"/>
      <c r="H952" s="38" t="n"/>
      <c r="I952" s="38" t="n"/>
      <c r="J952" s="38" t="n"/>
      <c r="K952" s="38" t="n"/>
      <c r="L952" s="39">
        <f>IF($A952="","",IFERROR($D952*$G952,0))</f>
        <v/>
      </c>
    </row>
    <row r="953">
      <c r="A953" s="38" t="n"/>
      <c r="B953" s="38" t="n"/>
      <c r="C953" s="38" t="n"/>
      <c r="D953" s="38" t="n"/>
      <c r="E953" s="38" t="n"/>
      <c r="F953" s="38" t="n"/>
      <c r="G953" s="38" t="n"/>
      <c r="H953" s="38" t="n"/>
      <c r="I953" s="38" t="n"/>
      <c r="J953" s="38" t="n"/>
      <c r="K953" s="38" t="n"/>
      <c r="L953" s="39">
        <f>IF($A953="","",IFERROR($D953*$G953,0))</f>
        <v/>
      </c>
    </row>
    <row r="954">
      <c r="A954" s="38" t="n"/>
      <c r="B954" s="38" t="n"/>
      <c r="C954" s="38" t="n"/>
      <c r="D954" s="38" t="n"/>
      <c r="E954" s="38" t="n"/>
      <c r="F954" s="38" t="n"/>
      <c r="G954" s="38" t="n"/>
      <c r="H954" s="38" t="n"/>
      <c r="I954" s="38" t="n"/>
      <c r="J954" s="38" t="n"/>
      <c r="K954" s="38" t="n"/>
      <c r="L954" s="39">
        <f>IF($A954="","",IFERROR($D954*$G954,0))</f>
        <v/>
      </c>
    </row>
    <row r="955">
      <c r="A955" s="38" t="n"/>
      <c r="B955" s="38" t="n"/>
      <c r="C955" s="38" t="n"/>
      <c r="D955" s="38" t="n"/>
      <c r="E955" s="38" t="n"/>
      <c r="F955" s="38" t="n"/>
      <c r="G955" s="38" t="n"/>
      <c r="H955" s="38" t="n"/>
      <c r="I955" s="38" t="n"/>
      <c r="J955" s="38" t="n"/>
      <c r="K955" s="38" t="n"/>
      <c r="L955" s="39">
        <f>IF($A955="","",IFERROR($D955*$G955,0))</f>
        <v/>
      </c>
    </row>
    <row r="956">
      <c r="A956" s="38" t="n"/>
      <c r="B956" s="38" t="n"/>
      <c r="C956" s="38" t="n"/>
      <c r="D956" s="38" t="n"/>
      <c r="E956" s="38" t="n"/>
      <c r="F956" s="38" t="n"/>
      <c r="G956" s="38" t="n"/>
      <c r="H956" s="38" t="n"/>
      <c r="I956" s="38" t="n"/>
      <c r="J956" s="38" t="n"/>
      <c r="K956" s="38" t="n"/>
      <c r="L956" s="39">
        <f>IF($A956="","",IFERROR($D956*$G956,0))</f>
        <v/>
      </c>
    </row>
    <row r="957">
      <c r="A957" s="38" t="n"/>
      <c r="B957" s="38" t="n"/>
      <c r="C957" s="38" t="n"/>
      <c r="D957" s="38" t="n"/>
      <c r="E957" s="38" t="n"/>
      <c r="F957" s="38" t="n"/>
      <c r="G957" s="38" t="n"/>
      <c r="H957" s="38" t="n"/>
      <c r="I957" s="38" t="n"/>
      <c r="J957" s="38" t="n"/>
      <c r="K957" s="38" t="n"/>
      <c r="L957" s="39">
        <f>IF($A957="","",IFERROR($D957*$G957,0))</f>
        <v/>
      </c>
    </row>
    <row r="958">
      <c r="A958" s="38" t="n"/>
      <c r="B958" s="38" t="n"/>
      <c r="C958" s="38" t="n"/>
      <c r="D958" s="38" t="n"/>
      <c r="E958" s="38" t="n"/>
      <c r="F958" s="38" t="n"/>
      <c r="G958" s="38" t="n"/>
      <c r="H958" s="38" t="n"/>
      <c r="I958" s="38" t="n"/>
      <c r="J958" s="38" t="n"/>
      <c r="K958" s="38" t="n"/>
      <c r="L958" s="39">
        <f>IF($A958="","",IFERROR($D958*$G958,0))</f>
        <v/>
      </c>
    </row>
    <row r="959">
      <c r="A959" s="38" t="n"/>
      <c r="B959" s="38" t="n"/>
      <c r="C959" s="38" t="n"/>
      <c r="D959" s="38" t="n"/>
      <c r="E959" s="38" t="n"/>
      <c r="F959" s="38" t="n"/>
      <c r="G959" s="38" t="n"/>
      <c r="H959" s="38" t="n"/>
      <c r="I959" s="38" t="n"/>
      <c r="J959" s="38" t="n"/>
      <c r="K959" s="38" t="n"/>
      <c r="L959" s="39">
        <f>IF($A959="","",IFERROR($D959*$G959,0))</f>
        <v/>
      </c>
    </row>
    <row r="960">
      <c r="A960" s="38" t="n"/>
      <c r="B960" s="38" t="n"/>
      <c r="C960" s="38" t="n"/>
      <c r="D960" s="38" t="n"/>
      <c r="E960" s="38" t="n"/>
      <c r="F960" s="38" t="n"/>
      <c r="G960" s="38" t="n"/>
      <c r="H960" s="38" t="n"/>
      <c r="I960" s="38" t="n"/>
      <c r="J960" s="38" t="n"/>
      <c r="K960" s="38" t="n"/>
      <c r="L960" s="39">
        <f>IF($A960="","",IFERROR($D960*$G960,0))</f>
        <v/>
      </c>
    </row>
    <row r="961">
      <c r="A961" s="38" t="n"/>
      <c r="B961" s="38" t="n"/>
      <c r="C961" s="38" t="n"/>
      <c r="D961" s="38" t="n"/>
      <c r="E961" s="38" t="n"/>
      <c r="F961" s="38" t="n"/>
      <c r="G961" s="38" t="n"/>
      <c r="H961" s="38" t="n"/>
      <c r="I961" s="38" t="n"/>
      <c r="J961" s="38" t="n"/>
      <c r="K961" s="38" t="n"/>
      <c r="L961" s="39">
        <f>IF($A961="","",IFERROR($D961*$G961,0))</f>
        <v/>
      </c>
    </row>
    <row r="962">
      <c r="A962" s="38" t="n"/>
      <c r="B962" s="38" t="n"/>
      <c r="C962" s="38" t="n"/>
      <c r="D962" s="38" t="n"/>
      <c r="E962" s="38" t="n"/>
      <c r="F962" s="38" t="n"/>
      <c r="G962" s="38" t="n"/>
      <c r="H962" s="38" t="n"/>
      <c r="I962" s="38" t="n"/>
      <c r="J962" s="38" t="n"/>
      <c r="K962" s="38" t="n"/>
      <c r="L962" s="39">
        <f>IF($A962="","",IFERROR($D962*$G962,0))</f>
        <v/>
      </c>
    </row>
    <row r="963">
      <c r="A963" s="38" t="n"/>
      <c r="B963" s="38" t="n"/>
      <c r="C963" s="38" t="n"/>
      <c r="D963" s="38" t="n"/>
      <c r="E963" s="38" t="n"/>
      <c r="F963" s="38" t="n"/>
      <c r="G963" s="38" t="n"/>
      <c r="H963" s="38" t="n"/>
      <c r="I963" s="38" t="n"/>
      <c r="J963" s="38" t="n"/>
      <c r="K963" s="38" t="n"/>
      <c r="L963" s="39">
        <f>IF($A963="","",IFERROR($D963*$G963,0))</f>
        <v/>
      </c>
    </row>
    <row r="964">
      <c r="A964" s="38" t="n"/>
      <c r="B964" s="38" t="n"/>
      <c r="C964" s="38" t="n"/>
      <c r="D964" s="38" t="n"/>
      <c r="E964" s="38" t="n"/>
      <c r="F964" s="38" t="n"/>
      <c r="G964" s="38" t="n"/>
      <c r="H964" s="38" t="n"/>
      <c r="I964" s="38" t="n"/>
      <c r="J964" s="38" t="n"/>
      <c r="K964" s="38" t="n"/>
      <c r="L964" s="39">
        <f>IF($A964="","",IFERROR($D964*$G964,0))</f>
        <v/>
      </c>
    </row>
    <row r="965">
      <c r="A965" s="38" t="n"/>
      <c r="B965" s="38" t="n"/>
      <c r="C965" s="38" t="n"/>
      <c r="D965" s="38" t="n"/>
      <c r="E965" s="38" t="n"/>
      <c r="F965" s="38" t="n"/>
      <c r="G965" s="38" t="n"/>
      <c r="H965" s="38" t="n"/>
      <c r="I965" s="38" t="n"/>
      <c r="J965" s="38" t="n"/>
      <c r="K965" s="38" t="n"/>
      <c r="L965" s="39">
        <f>IF($A965="","",IFERROR($D965*$G965,0))</f>
        <v/>
      </c>
    </row>
    <row r="966">
      <c r="A966" s="38" t="n"/>
      <c r="B966" s="38" t="n"/>
      <c r="C966" s="38" t="n"/>
      <c r="D966" s="38" t="n"/>
      <c r="E966" s="38" t="n"/>
      <c r="F966" s="38" t="n"/>
      <c r="G966" s="38" t="n"/>
      <c r="H966" s="38" t="n"/>
      <c r="I966" s="38" t="n"/>
      <c r="J966" s="38" t="n"/>
      <c r="K966" s="38" t="n"/>
      <c r="L966" s="39">
        <f>IF($A966="","",IFERROR($D966*$G966,0))</f>
        <v/>
      </c>
    </row>
    <row r="967">
      <c r="A967" s="38" t="n"/>
      <c r="B967" s="38" t="n"/>
      <c r="C967" s="38" t="n"/>
      <c r="D967" s="38" t="n"/>
      <c r="E967" s="38" t="n"/>
      <c r="F967" s="38" t="n"/>
      <c r="G967" s="38" t="n"/>
      <c r="H967" s="38" t="n"/>
      <c r="I967" s="38" t="n"/>
      <c r="J967" s="38" t="n"/>
      <c r="K967" s="38" t="n"/>
      <c r="L967" s="39">
        <f>IF($A967="","",IFERROR($D967*$G967,0))</f>
        <v/>
      </c>
    </row>
    <row r="968">
      <c r="A968" s="38" t="n"/>
      <c r="B968" s="38" t="n"/>
      <c r="C968" s="38" t="n"/>
      <c r="D968" s="38" t="n"/>
      <c r="E968" s="38" t="n"/>
      <c r="F968" s="38" t="n"/>
      <c r="G968" s="38" t="n"/>
      <c r="H968" s="38" t="n"/>
      <c r="I968" s="38" t="n"/>
      <c r="J968" s="38" t="n"/>
      <c r="K968" s="38" t="n"/>
      <c r="L968" s="39">
        <f>IF($A968="","",IFERROR($D968*$G968,0))</f>
        <v/>
      </c>
    </row>
    <row r="969">
      <c r="A969" s="38" t="n"/>
      <c r="B969" s="38" t="n"/>
      <c r="C969" s="38" t="n"/>
      <c r="D969" s="38" t="n"/>
      <c r="E969" s="38" t="n"/>
      <c r="F969" s="38" t="n"/>
      <c r="G969" s="38" t="n"/>
      <c r="H969" s="38" t="n"/>
      <c r="I969" s="38" t="n"/>
      <c r="J969" s="38" t="n"/>
      <c r="K969" s="38" t="n"/>
      <c r="L969" s="39">
        <f>IF($A969="","",IFERROR($D969*$G969,0))</f>
        <v/>
      </c>
    </row>
    <row r="970">
      <c r="A970" s="38" t="n"/>
      <c r="B970" s="38" t="n"/>
      <c r="C970" s="38" t="n"/>
      <c r="D970" s="38" t="n"/>
      <c r="E970" s="38" t="n"/>
      <c r="F970" s="38" t="n"/>
      <c r="G970" s="38" t="n"/>
      <c r="H970" s="38" t="n"/>
      <c r="I970" s="38" t="n"/>
      <c r="J970" s="38" t="n"/>
      <c r="K970" s="38" t="n"/>
      <c r="L970" s="39">
        <f>IF($A970="","",IFERROR($D970*$G970,0))</f>
        <v/>
      </c>
    </row>
    <row r="971">
      <c r="A971" s="38" t="n"/>
      <c r="B971" s="38" t="n"/>
      <c r="C971" s="38" t="n"/>
      <c r="D971" s="38" t="n"/>
      <c r="E971" s="38" t="n"/>
      <c r="F971" s="38" t="n"/>
      <c r="G971" s="38" t="n"/>
      <c r="H971" s="38" t="n"/>
      <c r="I971" s="38" t="n"/>
      <c r="J971" s="38" t="n"/>
      <c r="K971" s="38" t="n"/>
      <c r="L971" s="39">
        <f>IF($A971="","",IFERROR($D971*$G971,0))</f>
        <v/>
      </c>
    </row>
    <row r="972">
      <c r="A972" s="38" t="n"/>
      <c r="B972" s="38" t="n"/>
      <c r="C972" s="38" t="n"/>
      <c r="D972" s="38" t="n"/>
      <c r="E972" s="38" t="n"/>
      <c r="F972" s="38" t="n"/>
      <c r="G972" s="38" t="n"/>
      <c r="H972" s="38" t="n"/>
      <c r="I972" s="38" t="n"/>
      <c r="J972" s="38" t="n"/>
      <c r="K972" s="38" t="n"/>
      <c r="L972" s="39">
        <f>IF($A972="","",IFERROR($D972*$G972,0))</f>
        <v/>
      </c>
    </row>
    <row r="973">
      <c r="A973" s="38" t="n"/>
      <c r="B973" s="38" t="n"/>
      <c r="C973" s="38" t="n"/>
      <c r="D973" s="38" t="n"/>
      <c r="E973" s="38" t="n"/>
      <c r="F973" s="38" t="n"/>
      <c r="G973" s="38" t="n"/>
      <c r="H973" s="38" t="n"/>
      <c r="I973" s="38" t="n"/>
      <c r="J973" s="38" t="n"/>
      <c r="K973" s="38" t="n"/>
      <c r="L973" s="39">
        <f>IF($A973="","",IFERROR($D973*$G973,0))</f>
        <v/>
      </c>
    </row>
    <row r="974">
      <c r="A974" s="38" t="n"/>
      <c r="B974" s="38" t="n"/>
      <c r="C974" s="38" t="n"/>
      <c r="D974" s="38" t="n"/>
      <c r="E974" s="38" t="n"/>
      <c r="F974" s="38" t="n"/>
      <c r="G974" s="38" t="n"/>
      <c r="H974" s="38" t="n"/>
      <c r="I974" s="38" t="n"/>
      <c r="J974" s="38" t="n"/>
      <c r="K974" s="38" t="n"/>
      <c r="L974" s="39">
        <f>IF($A974="","",IFERROR($D974*$G974,0))</f>
        <v/>
      </c>
    </row>
    <row r="975">
      <c r="A975" s="38" t="n"/>
      <c r="B975" s="38" t="n"/>
      <c r="C975" s="38" t="n"/>
      <c r="D975" s="38" t="n"/>
      <c r="E975" s="38" t="n"/>
      <c r="F975" s="38" t="n"/>
      <c r="G975" s="38" t="n"/>
      <c r="H975" s="38" t="n"/>
      <c r="I975" s="38" t="n"/>
      <c r="J975" s="38" t="n"/>
      <c r="K975" s="38" t="n"/>
      <c r="L975" s="39">
        <f>IF($A975="","",IFERROR($D975*$G975,0))</f>
        <v/>
      </c>
    </row>
    <row r="976">
      <c r="A976" s="38" t="n"/>
      <c r="B976" s="38" t="n"/>
      <c r="C976" s="38" t="n"/>
      <c r="D976" s="38" t="n"/>
      <c r="E976" s="38" t="n"/>
      <c r="F976" s="38" t="n"/>
      <c r="G976" s="38" t="n"/>
      <c r="H976" s="38" t="n"/>
      <c r="I976" s="38" t="n"/>
      <c r="J976" s="38" t="n"/>
      <c r="K976" s="38" t="n"/>
      <c r="L976" s="39">
        <f>IF($A976="","",IFERROR($D976*$G976,0))</f>
        <v/>
      </c>
    </row>
    <row r="977">
      <c r="A977" s="38" t="n"/>
      <c r="B977" s="38" t="n"/>
      <c r="C977" s="38" t="n"/>
      <c r="D977" s="38" t="n"/>
      <c r="E977" s="38" t="n"/>
      <c r="F977" s="38" t="n"/>
      <c r="G977" s="38" t="n"/>
      <c r="H977" s="38" t="n"/>
      <c r="I977" s="38" t="n"/>
      <c r="J977" s="38" t="n"/>
      <c r="K977" s="38" t="n"/>
      <c r="L977" s="39">
        <f>IF($A977="","",IFERROR($D977*$G977,0))</f>
        <v/>
      </c>
    </row>
    <row r="978">
      <c r="A978" s="38" t="n"/>
      <c r="B978" s="38" t="n"/>
      <c r="C978" s="38" t="n"/>
      <c r="D978" s="38" t="n"/>
      <c r="E978" s="38" t="n"/>
      <c r="F978" s="38" t="n"/>
      <c r="G978" s="38" t="n"/>
      <c r="H978" s="38" t="n"/>
      <c r="I978" s="38" t="n"/>
      <c r="J978" s="38" t="n"/>
      <c r="K978" s="38" t="n"/>
      <c r="L978" s="39">
        <f>IF($A978="","",IFERROR($D978*$G978,0))</f>
        <v/>
      </c>
    </row>
    <row r="979">
      <c r="A979" s="38" t="n"/>
      <c r="B979" s="38" t="n"/>
      <c r="C979" s="38" t="n"/>
      <c r="D979" s="38" t="n"/>
      <c r="E979" s="38" t="n"/>
      <c r="F979" s="38" t="n"/>
      <c r="G979" s="38" t="n"/>
      <c r="H979" s="38" t="n"/>
      <c r="I979" s="38" t="n"/>
      <c r="J979" s="38" t="n"/>
      <c r="K979" s="38" t="n"/>
      <c r="L979" s="39">
        <f>IF($A979="","",IFERROR($D979*$G979,0))</f>
        <v/>
      </c>
    </row>
    <row r="980">
      <c r="A980" s="38" t="n"/>
      <c r="B980" s="38" t="n"/>
      <c r="C980" s="38" t="n"/>
      <c r="D980" s="38" t="n"/>
      <c r="E980" s="38" t="n"/>
      <c r="F980" s="38" t="n"/>
      <c r="G980" s="38" t="n"/>
      <c r="H980" s="38" t="n"/>
      <c r="I980" s="38" t="n"/>
      <c r="J980" s="38" t="n"/>
      <c r="K980" s="38" t="n"/>
      <c r="L980" s="39">
        <f>IF($A980="","",IFERROR($D980*$G980,0))</f>
        <v/>
      </c>
    </row>
    <row r="981">
      <c r="A981" s="38" t="n"/>
      <c r="B981" s="38" t="n"/>
      <c r="C981" s="38" t="n"/>
      <c r="D981" s="38" t="n"/>
      <c r="E981" s="38" t="n"/>
      <c r="F981" s="38" t="n"/>
      <c r="G981" s="38" t="n"/>
      <c r="H981" s="38" t="n"/>
      <c r="I981" s="38" t="n"/>
      <c r="J981" s="38" t="n"/>
      <c r="K981" s="38" t="n"/>
      <c r="L981" s="39">
        <f>IF($A981="","",IFERROR($D981*$G981,0))</f>
        <v/>
      </c>
    </row>
    <row r="982">
      <c r="A982" s="38" t="n"/>
      <c r="B982" s="38" t="n"/>
      <c r="C982" s="38" t="n"/>
      <c r="D982" s="38" t="n"/>
      <c r="E982" s="38" t="n"/>
      <c r="F982" s="38" t="n"/>
      <c r="G982" s="38" t="n"/>
      <c r="H982" s="38" t="n"/>
      <c r="I982" s="38" t="n"/>
      <c r="J982" s="38" t="n"/>
      <c r="K982" s="38" t="n"/>
      <c r="L982" s="39">
        <f>IF($A982="","",IFERROR($D982*$G982,0))</f>
        <v/>
      </c>
    </row>
    <row r="983">
      <c r="A983" s="38" t="n"/>
      <c r="B983" s="38" t="n"/>
      <c r="C983" s="38" t="n"/>
      <c r="D983" s="38" t="n"/>
      <c r="E983" s="38" t="n"/>
      <c r="F983" s="38" t="n"/>
      <c r="G983" s="38" t="n"/>
      <c r="H983" s="38" t="n"/>
      <c r="I983" s="38" t="n"/>
      <c r="J983" s="38" t="n"/>
      <c r="K983" s="38" t="n"/>
      <c r="L983" s="39">
        <f>IF($A983="","",IFERROR($D983*$G983,0))</f>
        <v/>
      </c>
    </row>
    <row r="984">
      <c r="A984" s="38" t="n"/>
      <c r="B984" s="38" t="n"/>
      <c r="C984" s="38" t="n"/>
      <c r="D984" s="38" t="n"/>
      <c r="E984" s="38" t="n"/>
      <c r="F984" s="38" t="n"/>
      <c r="G984" s="38" t="n"/>
      <c r="H984" s="38" t="n"/>
      <c r="I984" s="38" t="n"/>
      <c r="J984" s="38" t="n"/>
      <c r="K984" s="38" t="n"/>
      <c r="L984" s="39">
        <f>IF($A984="","",IFERROR($D984*$G984,0))</f>
        <v/>
      </c>
    </row>
    <row r="985">
      <c r="A985" s="38" t="n"/>
      <c r="B985" s="38" t="n"/>
      <c r="C985" s="38" t="n"/>
      <c r="D985" s="38" t="n"/>
      <c r="E985" s="38" t="n"/>
      <c r="F985" s="38" t="n"/>
      <c r="G985" s="38" t="n"/>
      <c r="H985" s="38" t="n"/>
      <c r="I985" s="38" t="n"/>
      <c r="J985" s="38" t="n"/>
      <c r="K985" s="38" t="n"/>
      <c r="L985" s="39">
        <f>IF($A985="","",IFERROR($D985*$G985,0))</f>
        <v/>
      </c>
    </row>
    <row r="986">
      <c r="A986" s="38" t="n"/>
      <c r="B986" s="38" t="n"/>
      <c r="C986" s="38" t="n"/>
      <c r="D986" s="38" t="n"/>
      <c r="E986" s="38" t="n"/>
      <c r="F986" s="38" t="n"/>
      <c r="G986" s="38" t="n"/>
      <c r="H986" s="38" t="n"/>
      <c r="I986" s="38" t="n"/>
      <c r="J986" s="38" t="n"/>
      <c r="K986" s="38" t="n"/>
      <c r="L986" s="39">
        <f>IF($A986="","",IFERROR($D986*$G986,0))</f>
        <v/>
      </c>
    </row>
    <row r="987">
      <c r="A987" s="38" t="n"/>
      <c r="B987" s="38" t="n"/>
      <c r="C987" s="38" t="n"/>
      <c r="D987" s="38" t="n"/>
      <c r="E987" s="38" t="n"/>
      <c r="F987" s="38" t="n"/>
      <c r="G987" s="38" t="n"/>
      <c r="H987" s="38" t="n"/>
      <c r="I987" s="38" t="n"/>
      <c r="J987" s="38" t="n"/>
      <c r="K987" s="38" t="n"/>
      <c r="L987" s="39">
        <f>IF($A987="","",IFERROR($D987*$G987,0))</f>
        <v/>
      </c>
    </row>
    <row r="988">
      <c r="A988" s="38" t="n"/>
      <c r="B988" s="38" t="n"/>
      <c r="C988" s="38" t="n"/>
      <c r="D988" s="38" t="n"/>
      <c r="E988" s="38" t="n"/>
      <c r="F988" s="38" t="n"/>
      <c r="G988" s="38" t="n"/>
      <c r="H988" s="38" t="n"/>
      <c r="I988" s="38" t="n"/>
      <c r="J988" s="38" t="n"/>
      <c r="K988" s="38" t="n"/>
      <c r="L988" s="39">
        <f>IF($A988="","",IFERROR($D988*$G988,0))</f>
        <v/>
      </c>
    </row>
    <row r="989">
      <c r="A989" s="38" t="n"/>
      <c r="B989" s="38" t="n"/>
      <c r="C989" s="38" t="n"/>
      <c r="D989" s="38" t="n"/>
      <c r="E989" s="38" t="n"/>
      <c r="F989" s="38" t="n"/>
      <c r="G989" s="38" t="n"/>
      <c r="H989" s="38" t="n"/>
      <c r="I989" s="38" t="n"/>
      <c r="J989" s="38" t="n"/>
      <c r="K989" s="38" t="n"/>
      <c r="L989" s="39">
        <f>IF($A989="","",IFERROR($D989*$G989,0))</f>
        <v/>
      </c>
    </row>
    <row r="990">
      <c r="A990" s="38" t="n"/>
      <c r="B990" s="38" t="n"/>
      <c r="C990" s="38" t="n"/>
      <c r="D990" s="38" t="n"/>
      <c r="E990" s="38" t="n"/>
      <c r="F990" s="38" t="n"/>
      <c r="G990" s="38" t="n"/>
      <c r="H990" s="38" t="n"/>
      <c r="I990" s="38" t="n"/>
      <c r="J990" s="38" t="n"/>
      <c r="K990" s="38" t="n"/>
      <c r="L990" s="39">
        <f>IF($A990="","",IFERROR($D990*$G990,0))</f>
        <v/>
      </c>
    </row>
    <row r="991">
      <c r="A991" s="38" t="n"/>
      <c r="B991" s="38" t="n"/>
      <c r="C991" s="38" t="n"/>
      <c r="D991" s="38" t="n"/>
      <c r="E991" s="38" t="n"/>
      <c r="F991" s="38" t="n"/>
      <c r="G991" s="38" t="n"/>
      <c r="H991" s="38" t="n"/>
      <c r="I991" s="38" t="n"/>
      <c r="J991" s="38" t="n"/>
      <c r="K991" s="38" t="n"/>
      <c r="L991" s="39">
        <f>IF($A991="","",IFERROR($D991*$G991,0))</f>
        <v/>
      </c>
    </row>
    <row r="992">
      <c r="A992" s="38" t="n"/>
      <c r="B992" s="38" t="n"/>
      <c r="C992" s="38" t="n"/>
      <c r="D992" s="38" t="n"/>
      <c r="E992" s="38" t="n"/>
      <c r="F992" s="38" t="n"/>
      <c r="G992" s="38" t="n"/>
      <c r="H992" s="38" t="n"/>
      <c r="I992" s="38" t="n"/>
      <c r="J992" s="38" t="n"/>
      <c r="K992" s="38" t="n"/>
      <c r="L992" s="39">
        <f>IF($A992="","",IFERROR($D992*$G992,0))</f>
        <v/>
      </c>
    </row>
    <row r="993">
      <c r="A993" s="38" t="n"/>
      <c r="B993" s="38" t="n"/>
      <c r="C993" s="38" t="n"/>
      <c r="D993" s="38" t="n"/>
      <c r="E993" s="38" t="n"/>
      <c r="F993" s="38" t="n"/>
      <c r="G993" s="38" t="n"/>
      <c r="H993" s="38" t="n"/>
      <c r="I993" s="38" t="n"/>
      <c r="J993" s="38" t="n"/>
      <c r="K993" s="38" t="n"/>
      <c r="L993" s="39">
        <f>IF($A993="","",IFERROR($D993*$G993,0))</f>
        <v/>
      </c>
    </row>
    <row r="994">
      <c r="A994" s="38" t="n"/>
      <c r="B994" s="38" t="n"/>
      <c r="C994" s="38" t="n"/>
      <c r="D994" s="38" t="n"/>
      <c r="E994" s="38" t="n"/>
      <c r="F994" s="38" t="n"/>
      <c r="G994" s="38" t="n"/>
      <c r="H994" s="38" t="n"/>
      <c r="I994" s="38" t="n"/>
      <c r="J994" s="38" t="n"/>
      <c r="K994" s="38" t="n"/>
      <c r="L994" s="39">
        <f>IF($A994="","",IFERROR($D994*$G994,0))</f>
        <v/>
      </c>
    </row>
    <row r="995">
      <c r="A995" s="38" t="n"/>
      <c r="B995" s="38" t="n"/>
      <c r="C995" s="38" t="n"/>
      <c r="D995" s="38" t="n"/>
      <c r="E995" s="38" t="n"/>
      <c r="F995" s="38" t="n"/>
      <c r="G995" s="38" t="n"/>
      <c r="H995" s="38" t="n"/>
      <c r="I995" s="38" t="n"/>
      <c r="J995" s="38" t="n"/>
      <c r="K995" s="38" t="n"/>
      <c r="L995" s="39">
        <f>IF($A995="","",IFERROR($D995*$G995,0))</f>
        <v/>
      </c>
    </row>
    <row r="996">
      <c r="A996" s="38" t="n"/>
      <c r="B996" s="38" t="n"/>
      <c r="C996" s="38" t="n"/>
      <c r="D996" s="38" t="n"/>
      <c r="E996" s="38" t="n"/>
      <c r="F996" s="38" t="n"/>
      <c r="G996" s="38" t="n"/>
      <c r="H996" s="38" t="n"/>
      <c r="I996" s="38" t="n"/>
      <c r="J996" s="38" t="n"/>
      <c r="K996" s="38" t="n"/>
      <c r="L996" s="39">
        <f>IF($A996="","",IFERROR($D996*$G996,0))</f>
        <v/>
      </c>
    </row>
    <row r="997">
      <c r="A997" s="38" t="n"/>
      <c r="B997" s="38" t="n"/>
      <c r="C997" s="38" t="n"/>
      <c r="D997" s="38" t="n"/>
      <c r="E997" s="38" t="n"/>
      <c r="F997" s="38" t="n"/>
      <c r="G997" s="38" t="n"/>
      <c r="H997" s="38" t="n"/>
      <c r="I997" s="38" t="n"/>
      <c r="J997" s="38" t="n"/>
      <c r="K997" s="38" t="n"/>
      <c r="L997" s="39">
        <f>IF($A997="","",IFERROR($D997*$G997,0))</f>
        <v/>
      </c>
    </row>
    <row r="998">
      <c r="A998" s="38" t="n"/>
      <c r="B998" s="38" t="n"/>
      <c r="C998" s="38" t="n"/>
      <c r="D998" s="38" t="n"/>
      <c r="E998" s="38" t="n"/>
      <c r="F998" s="38" t="n"/>
      <c r="G998" s="38" t="n"/>
      <c r="H998" s="38" t="n"/>
      <c r="I998" s="38" t="n"/>
      <c r="J998" s="38" t="n"/>
      <c r="K998" s="38" t="n"/>
      <c r="L998" s="39">
        <f>IF($A998="","",IFERROR($D998*$G998,0))</f>
        <v/>
      </c>
    </row>
    <row r="999">
      <c r="A999" s="38" t="n"/>
      <c r="B999" s="38" t="n"/>
      <c r="C999" s="38" t="n"/>
      <c r="D999" s="38" t="n"/>
      <c r="E999" s="38" t="n"/>
      <c r="F999" s="38" t="n"/>
      <c r="G999" s="38" t="n"/>
      <c r="H999" s="38" t="n"/>
      <c r="I999" s="38" t="n"/>
      <c r="J999" s="38" t="n"/>
      <c r="K999" s="38" t="n"/>
      <c r="L999" s="39">
        <f>IF($A999="","",IFERROR($D999*$G999,0))</f>
        <v/>
      </c>
    </row>
    <row r="1000">
      <c r="A1000" s="38" t="n"/>
      <c r="B1000" s="38" t="n"/>
      <c r="C1000" s="38" t="n"/>
      <c r="D1000" s="38" t="n"/>
      <c r="E1000" s="38" t="n"/>
      <c r="F1000" s="38" t="n"/>
      <c r="G1000" s="38" t="n"/>
      <c r="H1000" s="38" t="n"/>
      <c r="I1000" s="38" t="n"/>
      <c r="J1000" s="38" t="n"/>
      <c r="K1000" s="38" t="n"/>
      <c r="L1000" s="39">
        <f>IF($A1000="","",IFERROR($D1000*$G1000,0))</f>
        <v/>
      </c>
    </row>
    <row r="1001">
      <c r="A1001" s="38" t="n"/>
      <c r="B1001" s="38" t="n"/>
      <c r="C1001" s="38" t="n"/>
      <c r="D1001" s="38" t="n"/>
      <c r="E1001" s="38" t="n"/>
      <c r="F1001" s="38" t="n"/>
      <c r="G1001" s="38" t="n"/>
      <c r="H1001" s="38" t="n"/>
      <c r="I1001" s="38" t="n"/>
      <c r="J1001" s="38" t="n"/>
      <c r="K1001" s="38" t="n"/>
      <c r="L1001" s="39">
        <f>IF($A1001="","",IFERROR($D1001*$G1001,0))</f>
        <v/>
      </c>
    </row>
    <row r="1002">
      <c r="A1002" s="38" t="n"/>
      <c r="B1002" s="38" t="n"/>
      <c r="C1002" s="38" t="n"/>
      <c r="D1002" s="38" t="n"/>
      <c r="E1002" s="38" t="n"/>
      <c r="F1002" s="38" t="n"/>
      <c r="G1002" s="38" t="n"/>
      <c r="H1002" s="38" t="n"/>
      <c r="I1002" s="38" t="n"/>
      <c r="J1002" s="38" t="n"/>
      <c r="K1002" s="38" t="n"/>
      <c r="L1002" s="39">
        <f>IF($A1002="","",IFERROR($D1002*$G1002,0))</f>
        <v/>
      </c>
    </row>
    <row r="1003">
      <c r="A1003" s="38" t="n"/>
      <c r="B1003" s="38" t="n"/>
      <c r="C1003" s="38" t="n"/>
      <c r="D1003" s="38" t="n"/>
      <c r="E1003" s="38" t="n"/>
      <c r="F1003" s="38" t="n"/>
      <c r="G1003" s="38" t="n"/>
      <c r="H1003" s="38" t="n"/>
      <c r="I1003" s="38" t="n"/>
      <c r="J1003" s="38" t="n"/>
      <c r="K1003" s="38" t="n"/>
      <c r="L1003" s="39">
        <f>IF($A1003="","",IFERROR($D1003*$G1003,0))</f>
        <v/>
      </c>
    </row>
    <row r="1004">
      <c r="A1004" s="38" t="n"/>
      <c r="B1004" s="38" t="n"/>
      <c r="C1004" s="38" t="n"/>
      <c r="D1004" s="38" t="n"/>
      <c r="E1004" s="38" t="n"/>
      <c r="F1004" s="38" t="n"/>
      <c r="G1004" s="38" t="n"/>
      <c r="H1004" s="38" t="n"/>
      <c r="I1004" s="38" t="n"/>
      <c r="J1004" s="38" t="n"/>
      <c r="K1004" s="38" t="n"/>
      <c r="L1004" s="39">
        <f>IF($A1004="","",IFERROR($D1004*$G1004,0))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AD1"/>
  </mergeCells>
  <conditionalFormatting sqref="D6:D20">
    <cfRule type="cellIs" priority="1" operator="lessThan" dxfId="5">
      <formula>0</formula>
    </cfRule>
  </conditionalFormatting>
  <conditionalFormatting sqref="E6:E20">
    <cfRule type="cellIs" priority="2" operator="lessThan" dxfId="5">
      <formula>0</formula>
    </cfRule>
  </conditionalFormatting>
  <conditionalFormatting sqref="F6:F20">
    <cfRule type="cellIs" priority="3" operator="lessThan" dxfId="5">
      <formula>0</formula>
    </cfRule>
  </conditionalFormatting>
  <conditionalFormatting sqref="G6:G20">
    <cfRule type="cellIs" priority="4" operator="lessThan" dxfId="5">
      <formula>0</formula>
    </cfRule>
  </conditionalFormatting>
  <conditionalFormatting sqref="I6:I20">
    <cfRule type="cellIs" priority="5" operator="lessThan" dxfId="5">
      <formula>0</formula>
    </cfRule>
  </conditionalFormatting>
  <conditionalFormatting sqref="L6:L20">
    <cfRule type="cellIs" priority="6" operator="lessThan" dxfId="5">
      <formula>0</formula>
    </cfRule>
    <cfRule type="cellIs" priority="7" operator="greaterThan" dxfId="4">
      <formula>0</formula>
    </cfRule>
  </conditionalFormatting>
  <dataValidations count="5">
    <dataValidation sqref="D6:D1004" showDropDown="0" showInputMessage="1" showErrorMessage="1" allowBlank="1" errorTitle="Geçersiz" error="Sınır dışı değer." promptTitle="YDKâr" prompt="YDKâr değerini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" error="Sınır dışı değer." promptTitle="Kur" prompt="Kur değerini girin." type="decimal" errorStyle="stop" operator="between">
      <formula1>0</formula1>
      <formula2>1000000000000</formula2>
    </dataValidation>
    <dataValidation sqref="I6:I1004" showDropDown="0" showInputMessage="1" showErrorMessage="1" allowBlank="1" errorTitle="Geçersiz" error="Sınır dışı değer." promptTitle="TF" prompt="TF değerini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-1." promptTitle="Yerel" prompt="0-1 oran." type="decimal" errorStyle="stop" operator="between">
      <formula1>0</formula1>
      <formula2>1</formula2>
    </dataValidation>
    <dataValidation sqref="F6:F1004" showDropDown="0" showInputMessage="1" showErrorMessage="1" allowBlank="1" errorTitle="Geçersiz" error="0-1." promptTitle="Stopaj" prompt="0-1 oran." type="decimal" errorStyle="stop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595959"/>
    <outlinePr summaryBelow="1" summaryRight="1"/>
    <pageSetUpPr/>
  </sheetPr>
  <dimension ref="A1:T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  <col width="14" customWidth="1" min="7" max="7"/>
  </cols>
  <sheetData>
    <row r="1" ht="26" customHeight="1">
      <c r="A1" s="1" t="inlineStr">
        <is>
          <t>LISTELER — Yurt Dışı Yapılanma Vergi Simülatörü</t>
        </is>
      </c>
    </row>
    <row r="3">
      <c r="A3" s="10" t="inlineStr">
        <is>
          <t>Doğrulama listeleri</t>
        </is>
      </c>
    </row>
    <row r="5">
      <c r="A5" s="53" t="inlineStr">
        <is>
          <t>Yıllar</t>
        </is>
      </c>
      <c r="C5" s="53" t="inlineStr">
        <is>
          <t>Yorum A/B</t>
        </is>
      </c>
      <c r="E5" s="53" t="inlineStr">
        <is>
          <t>Evet/Hayır</t>
        </is>
      </c>
      <c r="G5" s="53" t="inlineStr">
        <is>
          <t>Yapılanma</t>
        </is>
      </c>
    </row>
    <row r="6">
      <c r="A6" s="64" t="n">
        <v>2025</v>
      </c>
      <c r="C6" s="62" t="inlineStr">
        <is>
          <t>A</t>
        </is>
      </c>
      <c r="E6" s="62" t="inlineStr">
        <is>
          <t>Evet</t>
        </is>
      </c>
      <c r="G6" s="62" t="inlineStr">
        <is>
          <t>ŞUBE</t>
        </is>
      </c>
    </row>
    <row r="7">
      <c r="A7" s="64" t="n">
        <v>2026</v>
      </c>
      <c r="C7" s="62" t="inlineStr">
        <is>
          <t>B</t>
        </is>
      </c>
      <c r="E7" s="62" t="inlineStr">
        <is>
          <t>Hayır</t>
        </is>
      </c>
      <c r="G7" s="62" t="inlineStr">
        <is>
          <t>İŞTİRAK</t>
        </is>
      </c>
    </row>
    <row r="8">
      <c r="A8" s="64" t="n">
        <v>2027</v>
      </c>
      <c r="G8" s="62" t="inlineStr">
        <is>
          <t>LİMİTED</t>
        </is>
      </c>
    </row>
    <row r="9">
      <c r="G9" s="62" t="inlineStr">
        <is>
          <t>OFİS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AD4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6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Yurt Dışı Yapılanma Vergi Simülatörü</t>
        </is>
      </c>
    </row>
    <row r="3">
      <c r="A3" s="9" t="inlineStr">
        <is>
          <t>Parametreler (tek kaynak)</t>
        </is>
      </c>
    </row>
    <row r="5" ht="30" customHeight="1">
      <c r="A5" s="23" t="inlineStr">
        <is>
          <t>anahtar</t>
        </is>
      </c>
      <c r="B5" s="23" t="inlineStr">
        <is>
          <t>deger</t>
        </is>
      </c>
      <c r="C5" s="23" t="inlineStr">
        <is>
          <t>birim</t>
        </is>
      </c>
      <c r="D5" s="23" t="inlineStr">
        <is>
          <t>aciklama</t>
        </is>
      </c>
      <c r="E5" s="23" t="inlineStr">
        <is>
          <t>kaynak</t>
        </is>
      </c>
      <c r="F5" s="23" t="inlineStr">
        <is>
          <t>yururluk_tarihi</t>
        </is>
      </c>
      <c r="G5" s="23" t="inlineStr">
        <is>
          <t>dogrulama_tarihi</t>
        </is>
      </c>
      <c r="H5" s="23" t="inlineStr">
        <is>
          <t>kontrol</t>
        </is>
      </c>
    </row>
    <row r="6">
      <c r="A6" s="7" t="inlineStr">
        <is>
          <t>hesapYili</t>
        </is>
      </c>
      <c r="B6" s="47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5">
        <f>IF(A6="","",IF(B6="","EKSİK","TAM"))</f>
        <v/>
      </c>
    </row>
    <row r="7">
      <c r="A7" s="7" t="inlineStr">
        <is>
          <t>raporTarihi</t>
        </is>
      </c>
      <c r="B7" s="66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5">
        <f>IF(A7="","",IF(B7="","EKSİK","TAM"))</f>
        <v/>
      </c>
    </row>
    <row r="8">
      <c r="A8" s="7" t="inlineStr">
        <is>
          <t>ydv_tolerans</t>
        </is>
      </c>
      <c r="B8" s="67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5">
        <f>IF(A8="","",IF(B8="","EKSİK","TAM"))</f>
        <v/>
      </c>
    </row>
    <row r="9">
      <c r="A9" s="7" t="inlineStr">
        <is>
          <t>ydv_kacirilanEsik</t>
        </is>
      </c>
      <c r="B9" s="67" t="n">
        <v>500000</v>
      </c>
      <c r="C9" s="7" t="inlineStr">
        <is>
          <t>TL</t>
        </is>
      </c>
      <c r="D9" s="7" t="inlineStr">
        <is>
          <t>Çift vergi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5">
        <f>IF(A9="","",IF(B9="","EKSİK","TAM"))</f>
        <v/>
      </c>
    </row>
    <row r="10">
      <c r="A10" s="7" t="inlineStr">
        <is>
          <t>ydv_senaryoIyi</t>
        </is>
      </c>
      <c r="B10" s="46" t="n">
        <v>0.9</v>
      </c>
      <c r="C10" s="7" t="inlineStr">
        <is>
          <t>çarpan</t>
        </is>
      </c>
      <c r="D10" s="7" t="inlineStr">
        <is>
          <t>İyimser kâr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5">
        <f>IF(A10="","",IF(B10="","EKSİK","TAM"))</f>
        <v/>
      </c>
    </row>
    <row r="11">
      <c r="A11" s="7" t="inlineStr">
        <is>
          <t>ydv_senaryoKotu</t>
        </is>
      </c>
      <c r="B11" s="46" t="n">
        <v>1.15</v>
      </c>
      <c r="C11" s="7" t="inlineStr">
        <is>
          <t>çarpan</t>
        </is>
      </c>
      <c r="D11" s="7" t="inlineStr">
        <is>
          <t>Kötümser kâr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5">
        <f>IF(A11="","",IF(B11="","EKSİK","TAM"))</f>
        <v/>
      </c>
    </row>
    <row r="12">
      <c r="A12" s="7" t="inlineStr">
        <is>
          <t>ydv_oranArtisPuan</t>
        </is>
      </c>
      <c r="B12" s="46" t="n">
        <v>0.01</v>
      </c>
      <c r="C12" s="7" t="inlineStr">
        <is>
          <t>oran</t>
        </is>
      </c>
      <c r="D12" s="7" t="inlineStr">
        <is>
          <t>M-SEN sabit +1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5">
        <f>IF(A12="","",IF(B12="","EKSİK","TAM"))</f>
        <v/>
      </c>
    </row>
    <row r="13">
      <c r="A13" s="7" t="inlineStr">
        <is>
          <t>ydv_tahminAlt</t>
        </is>
      </c>
      <c r="B13" s="46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5">
        <f>IF(A13="","",IF(B13="","EKSİK","TAM"))</f>
        <v/>
      </c>
    </row>
    <row r="14">
      <c r="A14" s="7" t="inlineStr">
        <is>
          <t>ydv_tahminUst</t>
        </is>
      </c>
      <c r="B14" s="46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5">
        <f>IF(A14="","",IF(B14="","EKSİK","TAM"))</f>
        <v/>
      </c>
    </row>
    <row r="15">
      <c r="A15" s="7" t="inlineStr">
        <is>
          <t>ydv_tornadoKur</t>
        </is>
      </c>
      <c r="B15" s="46" t="n">
        <v>1.05</v>
      </c>
      <c r="C15" s="7" t="inlineStr">
        <is>
          <t>çarpan</t>
        </is>
      </c>
      <c r="D15" s="7" t="inlineStr">
        <is>
          <t>Tornado kur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5">
        <f>IF(A15="","",IF(B15="","EKSİK","TAM"))</f>
        <v/>
      </c>
    </row>
    <row r="16">
      <c r="A16" s="7" t="inlineStr">
        <is>
          <t>ydv_tornadoTf</t>
        </is>
      </c>
      <c r="B16" s="47" t="n">
        <v>10</v>
      </c>
      <c r="C16" s="7" t="inlineStr">
        <is>
          <t>puan</t>
        </is>
      </c>
      <c r="D16" s="7" t="inlineStr">
        <is>
          <t>Tornado TF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5">
        <f>IF(A16="","",IF(B16="","EKSİK","TAM"))</f>
        <v/>
      </c>
    </row>
    <row r="17">
      <c r="A17" s="7" t="inlineStr">
        <is>
          <t>ydv_peArtisOran</t>
        </is>
      </c>
      <c r="B17" s="46" t="n">
        <v>0.1</v>
      </c>
      <c r="C17" s="7" t="inlineStr">
        <is>
          <t>oran</t>
        </is>
      </c>
      <c r="D17" s="7" t="inlineStr">
        <is>
          <t>Yorum B PE +%10</t>
        </is>
      </c>
      <c r="E17" s="7" t="inlineStr">
        <is>
          <t>PE atıf modeli</t>
        </is>
      </c>
      <c r="F17" s="7" t="inlineStr">
        <is>
          <t>01.01.2025</t>
        </is>
      </c>
      <c r="G17" s="7" t="inlineStr">
        <is>
          <t>11.08.2026</t>
        </is>
      </c>
      <c r="H17" s="65">
        <f>IF(A17="","",IF(B17="","EKSİK","TAM"))</f>
        <v/>
      </c>
    </row>
    <row r="18">
      <c r="A18" s="7" t="inlineStr">
        <is>
          <t>ydv_yuzdelikOran</t>
        </is>
      </c>
      <c r="B18" s="46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65">
        <f>IF(A18="","",IF(B18="","EKSİK","TAM"))</f>
        <v/>
      </c>
    </row>
    <row r="19">
      <c r="A19" s="7" t="inlineStr">
        <is>
          <t>ydv_parmakIzi</t>
        </is>
      </c>
      <c r="B19" s="68" t="inlineStr">
        <is>
          <t>3df93af9ca63ea19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65">
        <f>IF(A19="","",IF(B19="","EKSİK","TAM"))</f>
        <v/>
      </c>
    </row>
    <row r="20">
      <c r="A20" s="7" t="inlineStr">
        <is>
          <t>dosya_surumu</t>
        </is>
      </c>
      <c r="B20" s="68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65">
        <f>IF(A20="","",IF(B20="","EKSİK","TAM"))</f>
        <v/>
      </c>
    </row>
    <row r="21">
      <c r="A21" s="7" t="inlineStr">
        <is>
          <t>ydv_girisBeklenen</t>
        </is>
      </c>
      <c r="B21" s="47" t="n">
        <v>12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65">
        <f>IF(A21="","",IF(B21="","EKSİK","TAM"))</f>
        <v/>
      </c>
    </row>
    <row r="22">
      <c r="A22" s="7" t="inlineStr">
        <is>
          <t>ydv_riskDusuk</t>
        </is>
      </c>
      <c r="B22" s="47" t="n">
        <v>15</v>
      </c>
      <c r="C22" s="7" t="inlineStr">
        <is>
          <t>puan</t>
        </is>
      </c>
      <c r="D22" s="7" t="inlineStr">
        <is>
          <t>UYGUN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65">
        <f>IF(A22="","",IF(B22="","EKSİK","TAM"))</f>
        <v/>
      </c>
    </row>
    <row r="23">
      <c r="A23" s="7" t="inlineStr">
        <is>
          <t>ydv_riskOrta</t>
        </is>
      </c>
      <c r="B23" s="47" t="n">
        <v>55</v>
      </c>
      <c r="C23" s="7" t="inlineStr">
        <is>
          <t>puan</t>
        </is>
      </c>
      <c r="D23" s="7" t="inlineStr">
        <is>
          <t>DİKKAT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5">
        <f>IF(A23="","",IF(B23="","EKSİK","TAM"))</f>
        <v/>
      </c>
    </row>
    <row r="24">
      <c r="A24" s="7" t="inlineStr">
        <is>
          <t>ydv_riskYuksek</t>
        </is>
      </c>
      <c r="B24" s="47" t="n">
        <v>85</v>
      </c>
      <c r="C24" s="7" t="inlineStr">
        <is>
          <t>puan</t>
        </is>
      </c>
      <c r="D24" s="7" t="inlineStr">
        <is>
          <t>RİSKLİ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5">
        <f>IF(A24="","",IF(B24="","EKSİK","TAM"))</f>
        <v/>
      </c>
    </row>
    <row r="25">
      <c r="A25" s="7" t="inlineStr">
        <is>
          <t>ydv_yilTaban</t>
        </is>
      </c>
      <c r="B25" s="47" t="n">
        <v>2024</v>
      </c>
      <c r="C25" s="7" t="inlineStr">
        <is>
          <t>yıl</t>
        </is>
      </c>
      <c r="D25" s="7" t="inlineStr">
        <is>
          <t>CHOOSE yıl tabanı</t>
        </is>
      </c>
      <c r="E25" s="7" t="inlineStr">
        <is>
          <t>Ürün mimarisi</t>
        </is>
      </c>
      <c r="F25" s="7" t="inlineStr">
        <is>
          <t>01.01.2025</t>
        </is>
      </c>
      <c r="G25" s="7" t="inlineStr">
        <is>
          <t>11.08.2026</t>
        </is>
      </c>
      <c r="H25" s="65">
        <f>IF(A25="","",IF(B25="","EKSİK","TAM"))</f>
        <v/>
      </c>
    </row>
    <row r="26">
      <c r="A26" s="7" t="inlineStr">
        <is>
          <t>ydv_yuvarMax</t>
        </is>
      </c>
      <c r="B26" s="47" t="n">
        <v>10</v>
      </c>
      <c r="C26" s="7" t="inlineStr">
        <is>
          <t>adet</t>
        </is>
      </c>
      <c r="D26" s="7" t="inlineStr">
        <is>
          <t>ROUND basamak tavanı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5">
        <f>IF(A26="","",IF(B26="","EKSİK","TAM"))</f>
        <v/>
      </c>
    </row>
    <row r="27">
      <c r="A27" s="7" t="inlineStr">
        <is>
          <t>ydv_bazCarpan</t>
        </is>
      </c>
      <c r="B27" s="46" t="n">
        <v>1</v>
      </c>
      <c r="C27" s="7" t="inlineStr">
        <is>
          <t>çarpan</t>
        </is>
      </c>
      <c r="D27" s="7" t="inlineStr">
        <is>
          <t>Baz senaryo çarpanı</t>
        </is>
      </c>
      <c r="E27" s="7" t="inlineStr">
        <is>
          <t>Model varsayımı</t>
        </is>
      </c>
      <c r="F27" s="7" t="inlineStr">
        <is>
          <t>01.01.2025</t>
        </is>
      </c>
      <c r="G27" s="7" t="inlineStr">
        <is>
          <t>11.08.2026</t>
        </is>
      </c>
      <c r="H27" s="65">
        <f>IF(A27="","",IF(B27="","EKSİK","TAM"))</f>
        <v/>
      </c>
    </row>
    <row r="28">
      <c r="A28" s="7" t="inlineStr">
        <is>
          <t>ydv_sifirCarpan</t>
        </is>
      </c>
      <c r="B28" s="46" t="n">
        <v>0</v>
      </c>
      <c r="C28" s="7" t="inlineStr">
        <is>
          <t>çarpan</t>
        </is>
      </c>
      <c r="D28" s="7" t="inlineStr">
        <is>
          <t>Nötr çarpan (sıfır)</t>
        </is>
      </c>
      <c r="E28" s="7" t="inlineStr">
        <is>
          <t>Model varsayımı</t>
        </is>
      </c>
      <c r="F28" s="7" t="inlineStr">
        <is>
          <t>01.01.2025</t>
        </is>
      </c>
      <c r="G28" s="7" t="inlineStr">
        <is>
          <t>11.08.2026</t>
        </is>
      </c>
      <c r="H28" s="65">
        <f>IF(A28="","",IF(B28="","EKSİK","TAM"))</f>
        <v/>
      </c>
    </row>
    <row r="29">
      <c r="A29" s="7" t="inlineStr">
        <is>
          <t>ydv_siraBir</t>
        </is>
      </c>
      <c r="B29" s="47" t="n">
        <v>1</v>
      </c>
      <c r="C29" s="7" t="inlineStr">
        <is>
          <t>adet</t>
        </is>
      </c>
      <c r="D29" s="7" t="inlineStr">
        <is>
          <t>Tornado sıra 1</t>
        </is>
      </c>
      <c r="E29" s="7" t="inlineStr">
        <is>
          <t>Ürün mimarisi</t>
        </is>
      </c>
      <c r="F29" s="7" t="inlineStr">
        <is>
          <t>01.01.2025</t>
        </is>
      </c>
      <c r="G29" s="7" t="inlineStr">
        <is>
          <t>11.08.2026</t>
        </is>
      </c>
      <c r="H29" s="65">
        <f>IF(A29="","",IF(B29="","EKSİK","TAM"))</f>
        <v/>
      </c>
    </row>
    <row r="30">
      <c r="A30" s="7" t="inlineStr">
        <is>
          <t>ydv_siraIki</t>
        </is>
      </c>
      <c r="B30" s="47" t="n">
        <v>2</v>
      </c>
      <c r="C30" s="7" t="inlineStr">
        <is>
          <t>adet</t>
        </is>
      </c>
      <c r="D30" s="7" t="inlineStr">
        <is>
          <t>Tornado sıra 2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65">
        <f>IF(A30="","",IF(B30="","EKSİK","TAM"))</f>
        <v/>
      </c>
    </row>
    <row r="31">
      <c r="A31" s="7" t="inlineStr">
        <is>
          <t>ydv_siraUc</t>
        </is>
      </c>
      <c r="B31" s="47" t="n">
        <v>3</v>
      </c>
      <c r="C31" s="7" t="inlineStr">
        <is>
          <t>adet</t>
        </is>
      </c>
      <c r="D31" s="7" t="inlineStr">
        <is>
          <t>Tornado sıra 3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5">
        <f>IF(A31="","",IF(B31="","EKSİK","TAM"))</f>
        <v/>
      </c>
    </row>
    <row r="32">
      <c r="A32" s="7" t="inlineStr">
        <is>
          <t>ydv_tahminX</t>
        </is>
      </c>
      <c r="B32" s="47" t="n">
        <v>5</v>
      </c>
      <c r="C32" s="7" t="inlineStr">
        <is>
          <t>adet</t>
        </is>
      </c>
      <c r="D32" s="7" t="inlineStr">
        <is>
          <t>FORECAST X noktası</t>
        </is>
      </c>
      <c r="E32" s="7" t="inlineStr">
        <is>
          <t>Model varsayımı</t>
        </is>
      </c>
      <c r="F32" s="7" t="inlineStr">
        <is>
          <t>01.01.2025</t>
        </is>
      </c>
      <c r="G32" s="7" t="inlineStr">
        <is>
          <t>11.08.2026</t>
        </is>
      </c>
      <c r="H32" s="65">
        <f>IF(A32="","",IF(B32="","EKSİK","TAM"))</f>
        <v/>
      </c>
    </row>
    <row r="33">
      <c r="A33" s="7" t="inlineStr">
        <is>
          <t>ydv_ofisMatrahOran</t>
        </is>
      </c>
      <c r="B33" s="46" t="n">
        <v>0.15</v>
      </c>
      <c r="C33" s="7" t="inlineStr">
        <is>
          <t>oran</t>
        </is>
      </c>
      <c r="D33" s="7" t="inlineStr">
        <is>
          <t>Ofis TR matrah payı</t>
        </is>
      </c>
      <c r="E33" s="7" t="inlineStr">
        <is>
          <t>PE modeli</t>
        </is>
      </c>
      <c r="F33" s="7" t="inlineStr">
        <is>
          <t>01.01.2025</t>
        </is>
      </c>
      <c r="G33" s="7" t="inlineStr">
        <is>
          <t>11.08.2026</t>
        </is>
      </c>
      <c r="H33" s="65">
        <f>IF(A33="","",IF(B33="","EKSİK","TAM"))</f>
        <v/>
      </c>
    </row>
    <row r="34">
      <c r="A34" s="7" t="inlineStr">
        <is>
          <t>ydv_dagitimOran</t>
        </is>
      </c>
      <c r="B34" s="46" t="n">
        <v>0</v>
      </c>
      <c r="C34" s="7" t="inlineStr">
        <is>
          <t>oran</t>
        </is>
      </c>
      <c r="D34" s="7" t="inlineStr">
        <is>
          <t>İstisna sonrası dağıtım payı</t>
        </is>
      </c>
      <c r="E34" s="7" t="inlineStr">
        <is>
          <t>KVK md.5</t>
        </is>
      </c>
      <c r="F34" s="7" t="inlineStr">
        <is>
          <t>01.01.2025</t>
        </is>
      </c>
      <c r="G34" s="7" t="inlineStr">
        <is>
          <t>11.08.2026</t>
        </is>
      </c>
      <c r="H34" s="65">
        <f>IF(A34="","",IF(B34="","EKSİK","TAM"))</f>
        <v/>
      </c>
    </row>
    <row r="35">
      <c r="A35" s="7" t="inlineStr">
        <is>
          <t>ydv_tfBolum</t>
        </is>
      </c>
      <c r="B35" s="47" t="n">
        <v>100</v>
      </c>
      <c r="C35" s="7" t="inlineStr">
        <is>
          <t>adet</t>
        </is>
      </c>
      <c r="D35" s="7" t="inlineStr">
        <is>
          <t>TF puan böleni</t>
        </is>
      </c>
      <c r="E35" s="7" t="inlineStr">
        <is>
          <t>Model</t>
        </is>
      </c>
      <c r="F35" s="7" t="inlineStr">
        <is>
          <t>01.01.2025</t>
        </is>
      </c>
      <c r="G35" s="7" t="inlineStr">
        <is>
          <t>11.08.2026</t>
        </is>
      </c>
      <c r="H35" s="65">
        <f>IF(A35="","",IF(B35="","EKSİK","TAM"))</f>
        <v/>
      </c>
    </row>
    <row r="36">
      <c r="A36" s="7" t="inlineStr">
        <is>
          <t>ydv_ekMatrahCarpan</t>
        </is>
      </c>
      <c r="B36" s="46" t="n">
        <v>0.25</v>
      </c>
      <c r="C36" s="7" t="inlineStr">
        <is>
          <t>oran</t>
        </is>
      </c>
      <c r="D36" s="7" t="inlineStr">
        <is>
          <t>TF ek matrah çarpanı</t>
        </is>
      </c>
      <c r="E36" s="7" t="inlineStr">
        <is>
          <t>Model</t>
        </is>
      </c>
      <c r="F36" s="7" t="inlineStr">
        <is>
          <t>01.01.2025</t>
        </is>
      </c>
      <c r="G36" s="7" t="inlineStr">
        <is>
          <t>11.08.2026</t>
        </is>
      </c>
      <c r="H36" s="65">
        <f>IF(A36="","",IF(B36="","EKSİK","TAM"))</f>
        <v/>
      </c>
    </row>
    <row r="37">
      <c r="A37" s="7" t="inlineStr">
        <is>
          <t>ydv_ciftVergiEsik</t>
        </is>
      </c>
      <c r="B37" s="46" t="n">
        <v>0.2</v>
      </c>
      <c r="C37" s="7" t="inlineStr">
        <is>
          <t>oran</t>
        </is>
      </c>
      <c r="D37" s="7" t="inlineStr">
        <is>
          <t>RİSKLİ çift vergi / kâr</t>
        </is>
      </c>
      <c r="E37" s="7" t="inlineStr">
        <is>
          <t>İç politika</t>
        </is>
      </c>
      <c r="F37" s="7" t="inlineStr">
        <is>
          <t>01.01.2025</t>
        </is>
      </c>
      <c r="G37" s="7" t="inlineStr">
        <is>
          <t>11.08.2026</t>
        </is>
      </c>
      <c r="H37" s="65">
        <f>IF(A37="","",IF(B37="","EKSİK","TAM"))</f>
        <v/>
      </c>
    </row>
    <row r="38">
      <c r="A38" s="7" t="inlineStr">
        <is>
          <t>ydv_dikkatEsik</t>
        </is>
      </c>
      <c r="B38" s="47" t="n">
        <v>50</v>
      </c>
      <c r="C38" s="7" t="inlineStr">
        <is>
          <t>puan</t>
        </is>
      </c>
      <c r="D38" s="7" t="inlineStr">
        <is>
          <t>DİKKAT TF eşiği</t>
        </is>
      </c>
      <c r="E38" s="7" t="inlineStr">
        <is>
          <t>İç politika</t>
        </is>
      </c>
      <c r="F38" s="7" t="inlineStr">
        <is>
          <t>01.01.2025</t>
        </is>
      </c>
      <c r="G38" s="7" t="inlineStr">
        <is>
          <t>11.08.2026</t>
        </is>
      </c>
      <c r="H38" s="65">
        <f>IF(A38="","",IF(B38="","EKSİK","TAM"))</f>
        <v/>
      </c>
    </row>
    <row r="39">
      <c r="A39" s="7" t="inlineStr">
        <is>
          <t>ydv_dikkatCiftEsik</t>
        </is>
      </c>
      <c r="B39" s="46" t="n">
        <v>0.1</v>
      </c>
      <c r="C39" s="7" t="inlineStr">
        <is>
          <t>oran</t>
        </is>
      </c>
      <c r="D39" s="7" t="inlineStr">
        <is>
          <t>DİKKAT çift vergi / kâr</t>
        </is>
      </c>
      <c r="E39" s="7" t="inlineStr">
        <is>
          <t>İç politika</t>
        </is>
      </c>
      <c r="F39" s="7" t="inlineStr">
        <is>
          <t>01.01.2025</t>
        </is>
      </c>
      <c r="G39" s="7" t="inlineStr">
        <is>
          <t>11.08.2026</t>
        </is>
      </c>
      <c r="H39" s="65">
        <f>IF(A39="","",IF(B39="","EKSİK","TAM"))</f>
        <v/>
      </c>
    </row>
    <row r="40">
      <c r="A40" s="7" t="inlineStr">
        <is>
          <t>ydv_subeEfektifEsik</t>
        </is>
      </c>
      <c r="B40" s="46" t="n">
        <v>0.28</v>
      </c>
      <c r="C40" s="7" t="inlineStr">
        <is>
          <t>oran</t>
        </is>
      </c>
      <c r="D40" s="7" t="inlineStr">
        <is>
          <t>Şube önerisi efektif tavan</t>
        </is>
      </c>
      <c r="E40" s="7" t="inlineStr">
        <is>
          <t>Model</t>
        </is>
      </c>
      <c r="F40" s="7" t="inlineStr">
        <is>
          <t>01.01.2025</t>
        </is>
      </c>
      <c r="G40" s="7" t="inlineStr">
        <is>
          <t>11.08.2026</t>
        </is>
      </c>
      <c r="H40" s="65">
        <f>IF(A40="","",IF(B40="","EKSİK","TAM"))</f>
        <v/>
      </c>
    </row>
    <row r="41">
      <c r="A41" s="7" t="inlineStr">
        <is>
          <t>vaka_kar_1</t>
        </is>
      </c>
      <c r="B41" s="67" t="n">
        <v>18000000</v>
      </c>
      <c r="C41" s="7" t="inlineStr">
        <is>
          <t>TL</t>
        </is>
      </c>
      <c r="D41" s="7" t="inlineStr">
        <is>
          <t>Vaka1/2/3 kâr TL</t>
        </is>
      </c>
      <c r="E41" s="7" t="inlineStr">
        <is>
          <t>Tebliğ örneği</t>
        </is>
      </c>
      <c r="F41" s="7" t="inlineStr">
        <is>
          <t>01.01.2025</t>
        </is>
      </c>
      <c r="G41" s="7" t="inlineStr">
        <is>
          <t>11.08.2026</t>
        </is>
      </c>
      <c r="H41" s="65">
        <f>IF(A41="","",IF(B41="","EKSİK","TAM"))</f>
        <v/>
      </c>
    </row>
    <row r="42">
      <c r="A42" s="7" t="inlineStr">
        <is>
          <t>vaka_yerel_oran</t>
        </is>
      </c>
      <c r="B42" s="46" t="n">
        <v>0.3</v>
      </c>
      <c r="C42" s="7" t="inlineStr">
        <is>
          <t>oran</t>
        </is>
      </c>
      <c r="D42" s="7" t="inlineStr">
        <is>
          <t>Vaka1 yerel oran</t>
        </is>
      </c>
      <c r="E42" s="7" t="inlineStr">
        <is>
          <t>Tebliğ örneği</t>
        </is>
      </c>
      <c r="F42" s="7" t="inlineStr">
        <is>
          <t>01.01.2025</t>
        </is>
      </c>
      <c r="G42" s="7" t="inlineStr">
        <is>
          <t>11.08.2026</t>
        </is>
      </c>
      <c r="H42" s="65">
        <f>IF(A42="","",IF(B42="","EKSİK","TAM"))</f>
        <v/>
      </c>
    </row>
    <row r="43">
      <c r="A43" s="7" t="inlineStr">
        <is>
          <t>vaka_tf_puan</t>
        </is>
      </c>
      <c r="B43" s="47" t="n">
        <v>70</v>
      </c>
      <c r="C43" s="7" t="inlineStr">
        <is>
          <t>puan</t>
        </is>
      </c>
      <c r="D43" s="7" t="inlineStr">
        <is>
          <t>Vaka4 TF eşik beklenen</t>
        </is>
      </c>
      <c r="E43" s="7" t="inlineStr">
        <is>
          <t>Tebliğ örneği</t>
        </is>
      </c>
      <c r="F43" s="7" t="inlineStr">
        <is>
          <t>01.01.2025</t>
        </is>
      </c>
      <c r="G43" s="7" t="inlineStr">
        <is>
          <t>11.08.2026</t>
        </is>
      </c>
      <c r="H43" s="65">
        <f>IF(A43="","",IF(B43="","EKSİK","TAM"))</f>
        <v/>
      </c>
    </row>
    <row r="45">
      <c r="B45" s="69" t="inlineStr">
        <is>
          <t>Parametre satırları yukarıda; ad tanımları B kolonuna bağlı.</t>
        </is>
      </c>
    </row>
    <row r="47">
      <c r="B47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4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Eşik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AD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KILAVUZ — Yurt Dışı Yapılanma Vergi Simülatörü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UYGUN — TF ve çift vergi yükü düşük; mevcut yapı sürdürülebilir.</t>
        </is>
      </c>
    </row>
    <row r="7">
      <c r="A7" s="6" t="inlineStr">
        <is>
          <t>• DİKKAT — orta risk; mahsup, stopaj ve PE atıfını doğrulayın.</t>
        </is>
      </c>
    </row>
    <row r="8">
      <c r="A8" s="6" t="inlineStr">
        <is>
          <t>• RİSKLİ — TF eşiği aşıldı veya çift vergi yüksek; yapıyı yeniden değerlendirin.</t>
        </is>
      </c>
    </row>
    <row r="9">
      <c r="A9" s="6" t="inlineStr">
        <is>
          <t>• Yapı önerisi — İŞTİRAK / ŞUBE / OFİS / VERİ YOK (risk + efektif vergiye göre).</t>
        </is>
      </c>
    </row>
    <row r="11">
      <c r="A11" s="70" t="inlineStr">
        <is>
          <t>Belirsizlik beyanları (M05)</t>
        </is>
      </c>
    </row>
    <row r="12">
      <c r="A12" s="12" t="inlineStr">
        <is>
          <t>Bu nokta mevzuatta tartışmalıdır; dosya yorum A ve yorum B sonucunu yan yana gösterir: pe_atif_yorumu</t>
        </is>
      </c>
    </row>
    <row r="14">
      <c r="A14" s="10" t="inlineStr">
        <is>
          <t>Yorum A</t>
        </is>
      </c>
      <c r="B14" s="6" t="inlineStr">
        <is>
          <t>PE atıfı ve ofis matrah payı girdideki oranlarla aynen uygulanır. İştirak istisnası işaretliyse TR matrahı dağıtım payına iner.</t>
        </is>
      </c>
    </row>
    <row r="15">
      <c r="A15" s="10" t="inlineStr">
        <is>
          <t>Yorum B</t>
        </is>
      </c>
      <c r="B15" s="6" t="inlineStr">
        <is>
          <t>Yorum B, PE / ofis atıfını +%10 sıkılaştırır (daha yüksek TR matrah ve ek risk). Dosya her iki yorumun etkisini MOTOR'da üretir.</t>
        </is>
      </c>
    </row>
    <row r="17">
      <c r="A17" s="10" t="inlineStr">
        <is>
          <t>Kullanım sırası</t>
        </is>
      </c>
    </row>
    <row r="18">
      <c r="A18" s="6" t="inlineStr">
        <is>
          <t>GIRDI → KURALLAR (gerekirse) → MOTOR → SENARYO → VAKALAR → PANO → KANIT_RAPORU → AYARLAR.</t>
        </is>
      </c>
    </row>
    <row r="20">
      <c r="A20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T5"/>
    <mergeCell ref="B15:J15"/>
    <mergeCell ref="A8:T8"/>
    <mergeCell ref="A6:T6"/>
    <mergeCell ref="A9:T9"/>
    <mergeCell ref="A12:T12"/>
    <mergeCell ref="A18:J18"/>
    <mergeCell ref="B14:J14"/>
    <mergeCell ref="A7:T7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2026-08-11T10:20:57Z</dcterms:created>
  <dcterms:modified xmlns:dcterms="http://purl.org/dc/terms/" xmlns:xsi="http://www.w3.org/2001/XMLSchema-instance" xsi:type="dcterms:W3CDTF">2026-09-25T14:56:04Z</dcterms:modified>
</cp:coreProperties>
</file>