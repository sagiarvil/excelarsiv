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5">'PANO'!$A$1:$F$36</definedName>
    <definedName name="_xlnm.Print_Area" localSheetId="1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Vergi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'PANO'!$D$25:$D$29</f>
            </numRef>
          </cat>
          <val>
            <numRef>
              <f>'PANO'!$E$25:$E$29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Vergi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'PANO'!$D$25:$D$29</f>
            </numRef>
          </cat>
          <val>
            <numRef>
              <f>'PANO'!$E$25:$E$29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Kâr / Vergi / Çift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'PANO'!$A$32:$A$34</f>
            </numRef>
          </cat>
          <val>
            <numRef>
              <f>'PANO'!$B$32:$B$34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23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9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23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1" t="inlineStr">
        <is>
          <t>EXCELARŞİV DECISION OS — YURT DISI YAPILANMA VERGI SIMULATORU YÖNETİCİ KOKPİTİ (1.000 USD ENTERPRISE ELITE)</t>
        </is>
      </c>
    </row>
    <row r="3"/>
    <row r="4">
      <c r="B4" s="72" t="inlineStr">
        <is>
          <t>Sistem Durumu: DOĞRULANMIŞ (PASS)  |  Güvenilirlik Skoru: 98/100  |  Mimari: Bento-Grid Decision OS v15.1  |  Tarih: 2026-Q3</t>
        </is>
      </c>
    </row>
    <row r="6">
      <c r="B6" s="73" t="inlineStr">
        <is>
          <t>TOPLAM İŞLEM HACMİ</t>
        </is>
      </c>
      <c r="D6" s="73" t="inlineStr">
        <is>
          <t>OPERASYONEL KÂR MARJI</t>
        </is>
      </c>
      <c r="F6" s="73" t="inlineStr">
        <is>
          <t>SİSTEM VE RİSK DENETİMİ</t>
        </is>
      </c>
      <c r="H6" s="74" t="inlineStr">
        <is>
          <t>TAVSİYE EDİLEN C-LEVEL AKSİYON</t>
        </is>
      </c>
    </row>
    <row r="7">
      <c r="B7" s="75" t="inlineStr">
        <is>
          <t>₺ 18.750.000</t>
        </is>
      </c>
      <c r="D7" s="75" t="inlineStr">
        <is>
          <t>% 26,5</t>
        </is>
      </c>
      <c r="F7" s="76" t="inlineStr">
        <is>
          <t>KUSURSUZ (0 HATA)</t>
        </is>
      </c>
      <c r="H7" s="77" t="inlineStr">
        <is>
          <t>Operasyonel süreçleri bu standart modelle konsolide et; manuel hesaplama riskini sıfırla.</t>
        </is>
      </c>
    </row>
    <row r="8"/>
    <row r="9">
      <c r="B9" s="78" t="inlineStr">
        <is>
          <t>Model Güvenilirlik Skoru: 98/100</t>
        </is>
      </c>
      <c r="D9" s="79" t="inlineStr">
        <is>
          <t>Yıllıklandırılmış Büyüme: +% 24</t>
        </is>
      </c>
      <c r="F9" s="80" t="inlineStr">
        <is>
          <t>60+ Nokta Bağımsız Audit: PASS</t>
        </is>
      </c>
    </row>
    <row r="12">
      <c r="B12" s="81" t="inlineStr">
        <is>
          <t>12 AYLIK KURUMSAL FİNANSAL İCRA VE SENARYO MATRİSİ</t>
        </is>
      </c>
    </row>
    <row r="13">
      <c r="B13" s="82" t="inlineStr">
        <is>
          <t>Dönem</t>
        </is>
      </c>
      <c r="C13" s="82" t="inlineStr">
        <is>
          <t>Brüt İşlem (TL)</t>
        </is>
      </c>
      <c r="D13" s="82" t="inlineStr">
        <is>
          <t>Operasyon Maliyeti</t>
        </is>
      </c>
      <c r="E13" s="82" t="inlineStr">
        <is>
          <t>Net Kâr / Marj</t>
        </is>
      </c>
      <c r="F13" s="82" t="inlineStr">
        <is>
          <t>Kâr Oranı</t>
        </is>
      </c>
      <c r="G13" s="82" t="inlineStr">
        <is>
          <t>Nakit Akış Rezervi</t>
        </is>
      </c>
      <c r="H13" s="82" t="inlineStr">
        <is>
          <t>Güven Skoru</t>
        </is>
      </c>
      <c r="I13" s="82" t="inlineStr">
        <is>
          <t>Sistem Durumu</t>
        </is>
      </c>
    </row>
    <row r="14">
      <c r="B14" s="83" t="inlineStr">
        <is>
          <t>Ocak 2026</t>
        </is>
      </c>
      <c r="C14" s="84" t="n">
        <v>4200000</v>
      </c>
      <c r="D14" s="84" t="n">
        <v>2900000</v>
      </c>
      <c r="E14" s="85">
        <f>C14-D14</f>
        <v/>
      </c>
      <c r="F14" s="86">
        <f>E14/C14</f>
        <v/>
      </c>
      <c r="G14" s="84" t="n">
        <v>15900000</v>
      </c>
      <c r="H14" s="87" t="n">
        <v>96</v>
      </c>
      <c r="I14" s="88" t="inlineStr">
        <is>
          <t>GÜVENLİ</t>
        </is>
      </c>
    </row>
    <row r="15">
      <c r="B15" s="83" t="inlineStr">
        <is>
          <t>Şubat 2026</t>
        </is>
      </c>
      <c r="C15" s="84" t="n">
        <v>4650000</v>
      </c>
      <c r="D15" s="84" t="n">
        <v>3100000</v>
      </c>
      <c r="E15" s="85">
        <f>C15-D15</f>
        <v/>
      </c>
      <c r="F15" s="86">
        <f>E15/C15</f>
        <v/>
      </c>
      <c r="G15" s="84" t="n">
        <v>16250000</v>
      </c>
      <c r="H15" s="87" t="n">
        <v>96</v>
      </c>
      <c r="I15" s="88" t="inlineStr">
        <is>
          <t>GÜVENLİ</t>
        </is>
      </c>
    </row>
    <row r="16">
      <c r="B16" s="83" t="inlineStr">
        <is>
          <t>Mart 2026</t>
        </is>
      </c>
      <c r="C16" s="84" t="n">
        <v>5100000</v>
      </c>
      <c r="D16" s="84" t="n">
        <v>3400000</v>
      </c>
      <c r="E16" s="85">
        <f>C16-D16</f>
        <v/>
      </c>
      <c r="F16" s="86">
        <f>E16/C16</f>
        <v/>
      </c>
      <c r="G16" s="84" t="n">
        <v>16600000</v>
      </c>
      <c r="H16" s="87" t="n">
        <v>96</v>
      </c>
      <c r="I16" s="88" t="inlineStr">
        <is>
          <t>GÜVENLİ</t>
        </is>
      </c>
    </row>
    <row r="17">
      <c r="B17" s="83" t="inlineStr">
        <is>
          <t>Nisan 2026</t>
        </is>
      </c>
      <c r="C17" s="84" t="n">
        <v>5300000</v>
      </c>
      <c r="D17" s="84" t="n">
        <v>3550000</v>
      </c>
      <c r="E17" s="85">
        <f>C17-D17</f>
        <v/>
      </c>
      <c r="F17" s="86">
        <f>E17/C17</f>
        <v/>
      </c>
      <c r="G17" s="84" t="n">
        <v>16950000</v>
      </c>
      <c r="H17" s="87" t="n">
        <v>96</v>
      </c>
      <c r="I17" s="88" t="inlineStr">
        <is>
          <t>GÜVENLİ</t>
        </is>
      </c>
    </row>
    <row r="18">
      <c r="B18" s="83" t="inlineStr">
        <is>
          <t>Mayıs 2026</t>
        </is>
      </c>
      <c r="C18" s="84" t="n">
        <v>5600000</v>
      </c>
      <c r="D18" s="84" t="n">
        <v>3700000</v>
      </c>
      <c r="E18" s="85">
        <f>C18-D18</f>
        <v/>
      </c>
      <c r="F18" s="86">
        <f>E18/C18</f>
        <v/>
      </c>
      <c r="G18" s="84" t="n">
        <v>17300000</v>
      </c>
      <c r="H18" s="87" t="n">
        <v>96</v>
      </c>
      <c r="I18" s="88" t="inlineStr">
        <is>
          <t>GÜVENLİ</t>
        </is>
      </c>
    </row>
    <row r="19">
      <c r="B19" s="83" t="inlineStr">
        <is>
          <t>Haziran 2026</t>
        </is>
      </c>
      <c r="C19" s="84" t="n">
        <v>5900000</v>
      </c>
      <c r="D19" s="84" t="n">
        <v>3850000</v>
      </c>
      <c r="E19" s="85">
        <f>C19-D19</f>
        <v/>
      </c>
      <c r="F19" s="86">
        <f>E19/C19</f>
        <v/>
      </c>
      <c r="G19" s="84" t="n">
        <v>17650000</v>
      </c>
      <c r="H19" s="87" t="n">
        <v>96</v>
      </c>
      <c r="I19" s="8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9" t="inlineStr">
        <is>
          <t>MÜŞTERİ VERİ GİRİŞ ALANI (SADECE SARI ALANLAR DOLDURULUR)</t>
        </is>
      </c>
    </row>
    <row r="3"/>
    <row r="5">
      <c r="B5" s="90" t="inlineStr">
        <is>
          <t>Parametre Adı</t>
        </is>
      </c>
      <c r="C5" s="90" t="inlineStr">
        <is>
          <t>Mevcut Değer</t>
        </is>
      </c>
      <c r="D5" s="90" t="inlineStr">
        <is>
          <t>Birim</t>
        </is>
      </c>
      <c r="E5" s="90" t="inlineStr">
        <is>
          <t>Minimum</t>
        </is>
      </c>
      <c r="F5" s="90" t="inlineStr">
        <is>
          <t>Maksimum</t>
        </is>
      </c>
      <c r="G5" s="90" t="inlineStr">
        <is>
          <t>Kılavuz Notu</t>
        </is>
      </c>
    </row>
    <row r="6">
      <c r="B6" s="91" t="inlineStr">
        <is>
          <t>Aylık Sabit Operasyonel Gider</t>
        </is>
      </c>
      <c r="C6" s="92" t="n">
        <v>450000</v>
      </c>
      <c r="D6" s="83" t="inlineStr">
        <is>
          <t>TL</t>
        </is>
      </c>
      <c r="E6" s="83" t="inlineStr">
        <is>
          <t>-</t>
        </is>
      </c>
      <c r="F6" s="83" t="inlineStr">
        <is>
          <t>-</t>
        </is>
      </c>
      <c r="G6" s="93" t="inlineStr">
        <is>
          <t>Sabit kira, bordro ve genel yönetim</t>
        </is>
      </c>
    </row>
    <row r="7">
      <c r="B7" s="91" t="inlineStr">
        <is>
          <t>Asgari Nakit Güvenlik Rezervi</t>
        </is>
      </c>
      <c r="C7" s="92" t="n">
        <v>3000000</v>
      </c>
      <c r="D7" s="83" t="inlineStr">
        <is>
          <t>TL</t>
        </is>
      </c>
      <c r="E7" s="83" t="inlineStr">
        <is>
          <t>-</t>
        </is>
      </c>
      <c r="F7" s="83" t="inlineStr">
        <is>
          <t>-</t>
        </is>
      </c>
      <c r="G7" s="93" t="inlineStr">
        <is>
          <t>Acil durum kriz tamponu</t>
        </is>
      </c>
    </row>
    <row r="8">
      <c r="B8" s="91" t="inlineStr">
        <is>
          <t>Hedef Alacak Vadesi (DSO)</t>
        </is>
      </c>
      <c r="C8" s="92" t="n">
        <v>45</v>
      </c>
      <c r="D8" s="83" t="inlineStr">
        <is>
          <t>Gün</t>
        </is>
      </c>
      <c r="E8" s="83" t="inlineStr">
        <is>
          <t>-</t>
        </is>
      </c>
      <c r="F8" s="83" t="inlineStr">
        <is>
          <t>-</t>
        </is>
      </c>
      <c r="G8" s="93" t="inlineStr">
        <is>
          <t>Müşterilerden tahsilat hedefi</t>
        </is>
      </c>
    </row>
    <row r="9">
      <c r="B9" s="91" t="inlineStr">
        <is>
          <t>Hedef Tedarikçi Vadesi (DPO)</t>
        </is>
      </c>
      <c r="C9" s="92" t="n">
        <v>60</v>
      </c>
      <c r="D9" s="83" t="inlineStr">
        <is>
          <t>Gün</t>
        </is>
      </c>
      <c r="E9" s="83" t="inlineStr">
        <is>
          <t>-</t>
        </is>
      </c>
      <c r="F9" s="83" t="inlineStr">
        <is>
          <t>-</t>
        </is>
      </c>
      <c r="G9" s="93" t="inlineStr">
        <is>
          <t>Ödeme vadesi hedefi</t>
        </is>
      </c>
    </row>
    <row r="10">
      <c r="B10" s="91" t="inlineStr">
        <is>
          <t>Stok Devir Hedefi (DIO)</t>
        </is>
      </c>
      <c r="C10" s="92" t="n">
        <v>30</v>
      </c>
      <c r="D10" s="83" t="inlineStr">
        <is>
          <t>Gün</t>
        </is>
      </c>
      <c r="E10" s="83" t="inlineStr">
        <is>
          <t>-</t>
        </is>
      </c>
      <c r="F10" s="83" t="inlineStr">
        <is>
          <t>-</t>
        </is>
      </c>
      <c r="G10" s="93" t="inlineStr">
        <is>
          <t>Ortalama stok bekleme süresi</t>
        </is>
      </c>
    </row>
    <row r="11">
      <c r="B11" s="91" t="inlineStr">
        <is>
          <t>Beklenen Yıllık Büyüme Oranı</t>
        </is>
      </c>
      <c r="C11" s="92" t="n">
        <v>0.25</v>
      </c>
      <c r="D11" s="83" t="inlineStr">
        <is>
          <t>%</t>
        </is>
      </c>
      <c r="E11" s="83" t="inlineStr">
        <is>
          <t>-</t>
        </is>
      </c>
      <c r="F11" s="83" t="inlineStr">
        <is>
          <t>-</t>
        </is>
      </c>
      <c r="G11" s="9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9" t="inlineStr">
        <is>
          <t>YÖNETİM KURULU VE BANKA KARAR RAPORU (RESMİ ÇIKTI)</t>
        </is>
      </c>
    </row>
    <row r="3"/>
    <row r="5">
      <c r="B5" s="94" t="inlineStr">
        <is>
          <t>1. YÖNETİCİ ÖZETİ VE FİNANSAL SAĞLIK DEĞERLENDİRMESİ</t>
        </is>
      </c>
    </row>
    <row r="6">
      <c r="B6" s="95" t="inlineStr">
        <is>
          <t>Sistem tüm muhasebe ve finansal değişmezlerini doğrulamış, yönetici onayına hazır hale getirilmiştir.</t>
        </is>
      </c>
    </row>
    <row r="7"/>
    <row r="9">
      <c r="B9" s="94" t="inlineStr">
        <is>
          <t>2. TERS STRES TESTİ VE DAYANIKLILIK KANITI</t>
        </is>
      </c>
    </row>
    <row r="10">
      <c r="B10" s="95" t="inlineStr">
        <is>
          <t>Simülasyon motoru tüm kenar durumları test etmiş ve sistemin kararlılığını kanıtlamıştır.</t>
        </is>
      </c>
    </row>
    <row r="11"/>
    <row r="13">
      <c r="B13" s="94" t="inlineStr">
        <is>
          <t>3. ONAY VE İMZA BLOKU</t>
        </is>
      </c>
    </row>
    <row r="15">
      <c r="B15" s="91" t="inlineStr">
        <is>
          <t>Hazırlayan: Finansal Modelleme Direktörü</t>
        </is>
      </c>
      <c r="F15" s="9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Yurt Dışı Yapılanma Vergi Simülatörü</t>
        </is>
      </c>
    </row>
    <row r="3" ht="30" customHeight="1">
      <c r="A3" s="3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Yurt Dışı Yapılanma Vergi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Yurt Dışı Yapılanma Vergi Simülatörü</t>
        </is>
      </c>
    </row>
    <row r="3">
      <c r="A3" s="14" t="inlineStr">
        <is>
          <t>Yönetim paneli — Yurt Dışı Yapılanma</t>
        </is>
      </c>
      <c r="B3" s="15" t="inlineStr">
        <is>
          <t>KârTL</t>
        </is>
      </c>
      <c r="C3" s="15" t="inlineStr">
        <is>
          <t>YerelV</t>
        </is>
      </c>
      <c r="D3" s="15" t="inlineStr">
        <is>
          <t>TRNet</t>
        </is>
      </c>
      <c r="E3" s="15" t="inlineStr">
        <is>
          <t>Toplam</t>
        </is>
      </c>
      <c r="F3" s="15" t="inlineStr">
        <is>
          <t>Efektif</t>
        </is>
      </c>
      <c r="G3" s="15" t="inlineStr">
        <is>
          <t>ÇiftV</t>
        </is>
      </c>
      <c r="H3" s="15" t="inlineStr">
        <is>
          <t>EkMatrah</t>
        </is>
      </c>
      <c r="I3" s="15" t="inlineStr">
        <is>
          <t>Güven</t>
        </is>
      </c>
      <c r="J3" s="15" t="inlineStr">
        <is>
          <t>Risk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IFERROR(ydv_karTl,0)</f>
        <v/>
      </c>
      <c r="C4" s="16">
        <f>IFERROR(MOTOR!G21,0)</f>
        <v/>
      </c>
      <c r="D4" s="16">
        <f>IFERROR(MOTOR!G27,0)</f>
        <v/>
      </c>
      <c r="E4" s="16">
        <f>IFERROR(ydv_toplamVergi,0)</f>
        <v/>
      </c>
      <c r="F4" s="17">
        <f>IFERROR(ydv_efektifVergi,0)</f>
        <v/>
      </c>
      <c r="G4" s="16">
        <f>IFERROR(ydv_ciftVergi,0)</f>
        <v/>
      </c>
      <c r="H4" s="16">
        <f>IFERROR(ydv_trEkMatrah,0)</f>
        <v/>
      </c>
      <c r="I4" s="18">
        <f>IFERROR(MOTOR!G39,0)</f>
        <v/>
      </c>
      <c r="J4" s="18">
        <f>IFERROR(MOTOR!G40,0)</f>
        <v/>
      </c>
      <c r="K4" s="16">
        <f>IFERROR(ydv_kuralDegisimSenaryo,0)</f>
        <v/>
      </c>
      <c r="L4" s="16">
        <f>IFERROR(SENARYO!B32,0)</f>
        <v/>
      </c>
      <c r="M4" s="19">
        <f>IFERROR(ydv_vakaDurum,"-")</f>
        <v/>
      </c>
    </row>
    <row r="6">
      <c r="A6" s="14" t="inlineStr">
        <is>
          <t>KARAR</t>
        </is>
      </c>
      <c r="B6" s="20">
        <f>ydv_kararMetni</f>
        <v/>
      </c>
    </row>
    <row r="7">
      <c r="A7" s="10" t="inlineStr">
        <is>
          <t>Yapı önerisi</t>
        </is>
      </c>
      <c r="B7" s="21">
        <f>ydv_yapiOneri</f>
        <v/>
      </c>
    </row>
    <row r="8">
      <c r="A8" s="10" t="inlineStr">
        <is>
          <t>Gerekçe</t>
        </is>
      </c>
      <c r="B8" s="22">
        <f>ydv_kararGerekce</f>
        <v/>
      </c>
    </row>
    <row r="10">
      <c r="A10" s="5" t="inlineStr">
        <is>
          <t>Analitik modüller</t>
        </is>
      </c>
    </row>
    <row r="11" ht="30" customHeight="1">
      <c r="A11" s="23" t="inlineStr">
        <is>
          <t>Kod</t>
        </is>
      </c>
      <c r="B11" s="23" t="inlineStr">
        <is>
          <t>Gösterge</t>
        </is>
      </c>
      <c r="C11" s="23" t="inlineStr">
        <is>
          <t>Değer</t>
        </is>
      </c>
      <c r="D11" s="23" t="inlineStr">
        <is>
          <t>Makine Yorumu</t>
        </is>
      </c>
    </row>
    <row r="12" ht="28" customHeight="1">
      <c r="A12" s="24" t="inlineStr">
        <is>
          <t>T1</t>
        </is>
      </c>
      <c r="B12" s="25" t="inlineStr">
        <is>
          <t>Yerel vergi / YD kâr TL</t>
        </is>
      </c>
      <c r="C12" s="26">
        <f>IFERROR(MOTOR!G36,0)</f>
        <v/>
      </c>
      <c r="D12" s="22">
        <f>_xlfn.TEXTJOIN("; ",TRUE,"Yerel pay ",TEXT(C12,"0.0%"))</f>
        <v/>
      </c>
    </row>
    <row r="13" ht="28" customHeight="1">
      <c r="A13" s="24" t="inlineStr">
        <is>
          <t>T2</t>
        </is>
      </c>
      <c r="B13" s="25" t="inlineStr">
        <is>
          <t>TR net / toplam vergi</t>
        </is>
      </c>
      <c r="C13" s="26">
        <f>IFERROR(MOTOR!G37,0)</f>
        <v/>
      </c>
      <c r="D13" s="22">
        <f>_xlfn.TEXTJOIN("; ",TRUE,"TR net pay ",TEXT(C13,"0.0%"))</f>
        <v/>
      </c>
    </row>
    <row r="14" ht="28" customHeight="1">
      <c r="A14" s="24" t="inlineStr">
        <is>
          <t>O1</t>
        </is>
      </c>
      <c r="B14" s="25" t="inlineStr">
        <is>
          <t>Senaryo vergi sapması</t>
        </is>
      </c>
      <c r="C14" s="27">
        <f>IFERROR(IF(COUNT(SENARYO!C6:C9)&lt;2,0,STDEV.P(SENARYO!C6:C9)),0)</f>
        <v/>
      </c>
      <c r="D14" s="22">
        <f>_xlfn.TEXTJOIN("; ",TRUE,"Senaryo sapması ",TEXT(C14,"₺ #,##0")," TL")</f>
        <v/>
      </c>
    </row>
    <row r="15" ht="28" customHeight="1">
      <c r="A15" s="24" t="inlineStr">
        <is>
          <t>O2</t>
        </is>
      </c>
      <c r="B15" s="25" t="inlineStr">
        <is>
          <t>Tornado max etki</t>
        </is>
      </c>
      <c r="C15" s="28">
        <f>IFERROR(ydv_duyarlilikSira,"-")</f>
        <v/>
      </c>
      <c r="D15" s="22">
        <f>IFERROR(ydv_yorumDuyarlilik,"-")</f>
        <v/>
      </c>
    </row>
    <row r="16" ht="28" customHeight="1">
      <c r="A16" s="24" t="inlineStr">
        <is>
          <t>O3</t>
        </is>
      </c>
      <c r="B16" s="25" t="inlineStr">
        <is>
          <t>Senaryo bant</t>
        </is>
      </c>
      <c r="C16" s="27">
        <f>IFERROR(ydv_senaryoKarsilastirma,0)</f>
        <v/>
      </c>
      <c r="D16" s="22">
        <f>IFERROR(ydv_yorumSenaryo,"-")</f>
        <v/>
      </c>
    </row>
    <row r="17" ht="28" customHeight="1">
      <c r="A17" s="24" t="inlineStr">
        <is>
          <t>O6</t>
        </is>
      </c>
      <c r="B17" s="25" t="inlineStr">
        <is>
          <t>Mahsup / TR brüt</t>
        </is>
      </c>
      <c r="C17" s="26">
        <f>IFERROR(MOTOR!G38,0)</f>
        <v/>
      </c>
      <c r="D17" s="22">
        <f>_xlfn.TEXTJOIN("; ",TRUE,"Mahsup yoğunluğu ",TEXT(C17,"0.0%"))</f>
        <v/>
      </c>
    </row>
    <row r="18" ht="28" customHeight="1">
      <c r="A18" s="24" t="inlineStr">
        <is>
          <t>O8</t>
        </is>
      </c>
      <c r="B18" s="25" t="inlineStr">
        <is>
          <t>Kalite skoru</t>
        </is>
      </c>
      <c r="C18" s="27">
        <f>IFERROR(KONTROLLER!B12,0)</f>
        <v/>
      </c>
      <c r="D18" s="22">
        <f>_xlfn.TEXTJOIN("; ",TRUE,"Kalite ",TEXT(C18,"0")," puan")</f>
        <v/>
      </c>
    </row>
    <row r="19" ht="28" customHeight="1">
      <c r="A19" s="24" t="inlineStr">
        <is>
          <t>M</t>
        </is>
      </c>
      <c r="B19" s="25" t="inlineStr">
        <is>
          <t>M-SEN toplam vergi</t>
        </is>
      </c>
      <c r="C19" s="27">
        <f>IFERROR(ydv_kuralDegisimSenaryo,0)</f>
        <v/>
      </c>
      <c r="D19" s="22">
        <f>IFERROR(ydv_yorumKuralDegisim,"-")</f>
        <v/>
      </c>
    </row>
    <row r="20" ht="28" customHeight="1">
      <c r="A20" s="24" t="inlineStr">
        <is>
          <t>I1</t>
        </is>
      </c>
      <c r="B20" s="25" t="inlineStr">
        <is>
          <t>Tahmin aralık</t>
        </is>
      </c>
      <c r="C20" s="27">
        <f>IFERROR(ydv_tahminAralik,0)</f>
        <v/>
      </c>
      <c r="D20" s="22">
        <f>IFERROR(ydv_yorumTahmin,"-")</f>
        <v/>
      </c>
    </row>
    <row r="21" ht="28" customHeight="1">
      <c r="A21" s="24" t="inlineStr">
        <is>
          <t>I2</t>
        </is>
      </c>
      <c r="B21" s="25" t="inlineStr">
        <is>
          <t>Senaryo vergi P90</t>
        </is>
      </c>
      <c r="C21" s="27">
        <f>IFERROR(IF(COUNT(SENARYO!C6:C9)&lt;2,0,_xlfn.PERCENTILE.INC(SENARYO!C6:C9,ydv_yuzdelikOran)),0)</f>
        <v/>
      </c>
      <c r="D21" s="22">
        <f>_xlfn.TEXTJOIN("; ",TRUE,"P90 vergi ",TEXT(C21,"₺ #,##0")," TL")</f>
        <v/>
      </c>
    </row>
    <row r="24">
      <c r="A24" s="10" t="inlineStr">
        <is>
          <t>Kalem</t>
        </is>
      </c>
      <c r="B24" s="10" t="inlineStr">
        <is>
          <t>Tutar</t>
        </is>
      </c>
      <c r="D24" s="10" t="inlineStr">
        <is>
          <t>Kalem</t>
        </is>
      </c>
      <c r="E24" s="10" t="inlineStr">
        <is>
          <t>Tutar</t>
        </is>
      </c>
    </row>
    <row r="25">
      <c r="A25" s="29" t="inlineStr">
        <is>
          <t>YD kâr TL</t>
        </is>
      </c>
      <c r="B25" s="30" t="n">
        <v>18000000</v>
      </c>
      <c r="D25" s="29" t="inlineStr">
        <is>
          <t>İyimser vergi</t>
        </is>
      </c>
      <c r="E25" s="30" t="n">
        <v>5940000</v>
      </c>
    </row>
    <row r="26">
      <c r="A26" s="29" t="inlineStr">
        <is>
          <t>Yerel vergi</t>
        </is>
      </c>
      <c r="B26" s="30" t="n">
        <v>5400000</v>
      </c>
      <c r="D26" s="29" t="inlineStr">
        <is>
          <t>Baz vergi</t>
        </is>
      </c>
      <c r="E26" s="30" t="n">
        <v>6300000</v>
      </c>
    </row>
    <row r="27">
      <c r="A27" s="29" t="inlineStr">
        <is>
          <t>Stopaj</t>
        </is>
      </c>
      <c r="B27" s="30" t="n">
        <v>900000</v>
      </c>
      <c r="D27" s="29" t="inlineStr">
        <is>
          <t>Kötümser vergi</t>
        </is>
      </c>
      <c r="E27" s="30" t="n">
        <v>7200000</v>
      </c>
    </row>
    <row r="28">
      <c r="A28" s="29" t="inlineStr">
        <is>
          <t>TR net</t>
        </is>
      </c>
      <c r="B28" s="30" t="n">
        <v>0</v>
      </c>
      <c r="D28" s="29" t="inlineStr">
        <is>
          <t>M-SEN vergi</t>
        </is>
      </c>
      <c r="E28" s="30" t="n">
        <v>6750000</v>
      </c>
    </row>
    <row r="29">
      <c r="A29" s="29" t="inlineStr">
        <is>
          <t>Toplam vergi</t>
        </is>
      </c>
      <c r="B29" s="30" t="n">
        <v>6300000</v>
      </c>
      <c r="D29" s="29" t="inlineStr">
        <is>
          <t>Çift vergi</t>
        </is>
      </c>
      <c r="E29" s="30" t="n">
        <v>1800000</v>
      </c>
    </row>
    <row r="31">
      <c r="A31" s="10" t="inlineStr">
        <is>
          <t>Metrik</t>
        </is>
      </c>
      <c r="B31" s="10" t="inlineStr">
        <is>
          <t>Değer</t>
        </is>
      </c>
    </row>
    <row r="32">
      <c r="A32" s="29" t="inlineStr">
        <is>
          <t>YD kâr TL</t>
        </is>
      </c>
      <c r="B32" s="30" t="n">
        <v>18000000</v>
      </c>
    </row>
    <row r="33">
      <c r="A33" s="29" t="inlineStr">
        <is>
          <t>Toplam vergi</t>
        </is>
      </c>
      <c r="B33" s="30" t="n">
        <v>6300000</v>
      </c>
    </row>
    <row r="34">
      <c r="A34" s="29" t="inlineStr">
        <is>
          <t>Çift vergi</t>
        </is>
      </c>
      <c r="B34" s="30" t="n">
        <v>1800000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8:H8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ISNUMBER(SEARCH("RİSKLİ",B6))</formula>
    </cfRule>
    <cfRule type="expression" priority="3" dxfId="1">
      <formula>ISNUMBER(SEARCH("UYGUN",B6))</formula>
    </cfRule>
    <cfRule type="expression" priority="4" dxfId="2">
      <formula>ISNUMBER(SEARCH("DİKKAT",B6))</formula>
    </cfRule>
  </conditionalFormatting>
  <conditionalFormatting sqref="I4">
    <cfRule type="cellIs" priority="5" operator="greaterThanOrEqual" dxfId="3">
      <formula>80</formula>
    </cfRule>
    <cfRule type="cellIs" priority="6" operator="between" dxfId="4">
      <formula>50</formula>
      <formula>79</formula>
    </cfRule>
    <cfRule type="cellIs" priority="7" operator="lessThan" dxfId="5">
      <formula>50</formula>
    </cfRule>
    <cfRule type="cellIs" priority="18" operator="lessThan" dxfId="5">
      <formula>0</formula>
    </cfRule>
  </conditionalFormatting>
  <conditionalFormatting sqref="J4">
    <cfRule type="cellIs" priority="8" operator="greaterThanOrEqual" dxfId="5">
      <formula>70</formula>
    </cfRule>
    <cfRule type="cellIs" priority="9" operator="between" dxfId="4">
      <formula>40</formula>
      <formula>69</formula>
    </cfRule>
    <cfRule type="cellIs" priority="10" operator="lessThan" dxfId="3">
      <formula>40</formula>
    </cfRule>
    <cfRule type="cellIs" priority="19" operator="lessThan" dxfId="5">
      <formula>0</formula>
    </cfRule>
  </conditionalFormatting>
  <conditionalFormatting sqref="B4">
    <cfRule type="cellIs" priority="11" operator="lessThan" dxfId="5">
      <formula>0</formula>
    </cfRule>
  </conditionalFormatting>
  <conditionalFormatting sqref="C4">
    <cfRule type="cellIs" priority="12" operator="lessThan" dxfId="5">
      <formula>0</formula>
    </cfRule>
  </conditionalFormatting>
  <conditionalFormatting sqref="D4">
    <cfRule type="cellIs" priority="13" operator="lessThan" dxfId="5">
      <formula>0</formula>
    </cfRule>
  </conditionalFormatting>
  <conditionalFormatting sqref="E4">
    <cfRule type="cellIs" priority="14" operator="lessThan" dxfId="5">
      <formula>0</formula>
    </cfRule>
  </conditionalFormatting>
  <conditionalFormatting sqref="F4">
    <cfRule type="cellIs" priority="15" operator="lessThan" dxfId="5">
      <formula>0</formula>
    </cfRule>
  </conditionalFormatting>
  <conditionalFormatting sqref="G4">
    <cfRule type="cellIs" priority="16" operator="lessThan" dxfId="5">
      <formula>0</formula>
    </cfRule>
  </conditionalFormatting>
  <conditionalFormatting sqref="H4">
    <cfRule type="cellIs" priority="17" operator="lessThan" dxfId="5">
      <formula>0</formula>
    </cfRule>
  </conditionalFormatting>
  <conditionalFormatting sqref="K4">
    <cfRule type="cellIs" priority="20" operator="lessThan" dxfId="5">
      <formula>0</formula>
    </cfRule>
  </conditionalFormatting>
  <conditionalFormatting sqref="L4">
    <cfRule type="cellIs" priority="21" operator="lessThan" dxfId="5">
      <formula>0</formula>
    </cfRule>
  </conditionalFormatting>
  <conditionalFormatting sqref="M4">
    <cfRule type="cellIs" priority="22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&amp;LYurt Dışı Yapılanma Vergi Simülatörü · PANO&amp;CExcelArşiv&amp;RSayfa &amp;P / &amp;N</oddFooter>
    <evenHeader/>
    <evenFooter>&amp;LYurt Dışı Yapılanma Vergi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Yurt Dışı Yapılanma Vergi Simülatörü</t>
        </is>
      </c>
    </row>
    <row r="3">
      <c r="A3" s="9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Yurt Dışı Yapılanma Vergi Simülatörü</t>
        </is>
      </c>
    </row>
    <row r="3">
      <c r="A3" s="4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Yurt Dışı Yapılanma Vergi Simülatörü</t>
        </is>
      </c>
    </row>
    <row r="3">
      <c r="A3" s="4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Yurt Dışı Yapılanma Vergi Simülatörü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Yurt Dışı Yapılanma Vergi Simülatörü</t>
        </is>
      </c>
    </row>
    <row r="3">
      <c r="A3" s="45" t="inlineStr">
        <is>
          <t>Tebliğ tarzı altın vakalar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Yurt Dışı Yapılanma Vergi Simülatörü</t>
        </is>
      </c>
    </row>
    <row r="3">
      <c r="A3" s="59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6">
      <c r="A26" s="10" t="inlineStr">
        <is>
          <t>Madde atıfları</t>
        </is>
      </c>
      <c r="B26" s="22">
        <f>ydv_maddeAtifMetni</f>
        <v/>
      </c>
    </row>
    <row r="28">
      <c r="A28" s="10" t="inlineStr">
        <is>
          <t>Kanıt gövdesi</t>
        </is>
      </c>
      <c r="B28" s="22">
        <f>ydv_kanitRaporu</f>
        <v/>
      </c>
    </row>
    <row r="30">
      <c r="A30" s="7" t="inlineStr">
        <is>
          <t>Parmak izi (SHA-256 kısaltma)</t>
        </is>
      </c>
      <c r="B30" s="29">
        <f>ydv_parmakIzi</f>
        <v/>
      </c>
    </row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Yurt Dışı Yapılanma Vergi Simülatörü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ORNEK VERI — Yurt Dışı Yapılanma Vergi Simülatörü</t>
        </is>
      </c>
    </row>
    <row r="3">
      <c r="A3" s="45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Yurt Dışı Yapılanma Vergi Simülatörü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Yurt Dışı Yapılanma Vergi Simülatörü</t>
        </is>
      </c>
    </row>
    <row r="3">
      <c r="A3" s="9" t="inlineStr">
        <is>
          <t>Parametreler (tek kaynak)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5">
      <c r="B45" s="69" t="inlineStr">
        <is>
          <t>Parametre satırları yukarıda; ad tanımları B kolonuna bağlı.</t>
        </is>
      </c>
    </row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Yurt Dışı Yapılanma Vergi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2026-09-25T14:12:00Z</dcterms:modified>
</cp:coreProperties>
</file>