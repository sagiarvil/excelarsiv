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KOKPIT" sheetId="1" state="visible" r:id="rId1"/>
    <sheet xmlns:r="http://schemas.openxmlformats.org/officeDocument/2006/relationships" name="02_GIRDI" sheetId="2" state="visible" r:id="rId2"/>
    <sheet xmlns:r="http://schemas.openxmlformats.org/officeDocument/2006/relationships" name="03_KARAR_RAPORU" sheetId="3" state="visible" r:id="rId3"/>
    <sheet xmlns:r="http://schemas.openxmlformats.org/officeDocument/2006/relationships" name="99_DEEP_ENGINE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Aptos"/>
      <b val="1"/>
      <color rgb="00FFFFFF"/>
      <sz val="14"/>
    </font>
    <font>
      <name val="Aptos"/>
      <i val="1"/>
      <color rgb="0064748B"/>
      <sz val="10"/>
    </font>
    <font>
      <name val="Aptos"/>
      <b val="1"/>
      <color rgb="0064748B"/>
      <sz val="9"/>
    </font>
    <font>
      <name val="Aptos"/>
      <b val="1"/>
      <color rgb="000F172A"/>
      <sz val="18"/>
    </font>
    <font>
      <name val="Aptos"/>
      <color rgb="0064748B"/>
      <sz val="8"/>
    </font>
    <font>
      <name val="Aptos"/>
      <b val="1"/>
      <color rgb="0010B981"/>
      <sz val="8"/>
    </font>
    <font>
      <name val="Aptos"/>
      <b val="1"/>
      <color rgb="0010B981"/>
      <sz val="16"/>
    </font>
    <font>
      <name val="Aptos"/>
      <b val="1"/>
      <color rgb="002563EB"/>
      <sz val="8"/>
    </font>
    <font>
      <name val="Aptos"/>
      <b val="1"/>
      <color rgb="00991B1B"/>
      <sz val="9"/>
    </font>
    <font>
      <name val="Aptos"/>
      <b val="1"/>
      <color rgb="000F172A"/>
      <sz val="11"/>
    </font>
    <font>
      <name val="Aptos"/>
      <b val="1"/>
      <color rgb="00FFFFFF"/>
      <sz val="9"/>
    </font>
    <font>
      <name val="Aptos"/>
      <sz val="9"/>
    </font>
    <font>
      <name val="Aptos"/>
      <b val="1"/>
      <color rgb="000F172A"/>
      <sz val="12"/>
    </font>
    <font>
      <name val="Aptos"/>
      <b val="1"/>
      <color rgb="001E3A8A"/>
      <sz val="9"/>
    </font>
    <font>
      <name val="Aptos"/>
      <b val="1"/>
      <color rgb="000F172A"/>
      <sz val="13"/>
    </font>
    <font>
      <name val="Aptos"/>
      <b val="1"/>
      <color rgb="000F172A"/>
      <sz val="10"/>
    </font>
    <font>
      <name val="Aptos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medium">
        <color rgb="002563EB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7" fillId="0" borderId="2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 wrapText="1"/>
    </xf>
    <xf numFmtId="0" fontId="5" fillId="0" borderId="2" pivotButton="0" quotePrefix="0" xfId="0"/>
    <xf numFmtId="0" fontId="6" fillId="0" borderId="2" pivotButton="0" quotePrefix="0" xfId="0"/>
    <xf numFmtId="0" fontId="8" fillId="0" borderId="2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/>
    </xf>
    <xf numFmtId="3" fontId="12" fillId="0" borderId="2" applyAlignment="1" pivotButton="0" quotePrefix="0" xfId="0">
      <alignment horizontal="right"/>
    </xf>
    <xf numFmtId="164" fontId="12" fillId="0" borderId="2" applyAlignment="1" pivotButton="0" quotePrefix="0" xfId="0">
      <alignment horizontal="center"/>
    </xf>
    <xf numFmtId="0" fontId="13" fillId="0" borderId="0" pivotButton="0" quotePrefix="0" xfId="0"/>
    <xf numFmtId="0" fontId="11" fillId="2" borderId="0" pivotButton="0" quotePrefix="0" xfId="0"/>
    <xf numFmtId="0" fontId="12" fillId="0" borderId="2" pivotButton="0" quotePrefix="0" xfId="0"/>
    <xf numFmtId="3" fontId="14" fillId="4" borderId="2" pivotButton="0" quotePrefix="0" xfId="0"/>
    <xf numFmtId="0" fontId="14" fillId="4" borderId="2" pivotButton="0" quotePrefix="0" xfId="0"/>
    <xf numFmtId="164" fontId="14" fillId="4" borderId="2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2">
      <c r="B2" s="1" t="inlineStr">
        <is>
          <t>EXCELARŞİV DECISION OS — YÖNETİCİ KARAR KOKPİTİ (1.000 USD ENTERPRISE ELITE)</t>
        </is>
      </c>
    </row>
    <row r="3"/>
    <row r="4">
      <c r="B4" s="2" t="inlineStr">
        <is>
          <t>Sistem Durumu: DOĞRULANMIŞ | Güvenilirlik Skoru: 96/100 | Son Hesaplama: 2026-Q3</t>
        </is>
      </c>
    </row>
    <row r="6">
      <c r="B6" s="3" t="inlineStr">
        <is>
          <t>LİKİDİTE &amp; SERBEST NAKİT</t>
        </is>
      </c>
      <c r="C6" s="4" t="n"/>
      <c r="D6" s="3" t="inlineStr">
        <is>
          <t>OPERASYONEL NET MARJ</t>
        </is>
      </c>
      <c r="E6" s="4" t="n"/>
      <c r="F6" s="3" t="inlineStr">
        <is>
          <t>ERKEN UYARI RİSK RADARI</t>
        </is>
      </c>
      <c r="G6" s="4" t="n"/>
      <c r="H6" s="3" t="inlineStr">
        <is>
          <t>TAVSİYE EDİLEN C-LEVEL AKSİYON</t>
        </is>
      </c>
      <c r="I6" s="4" t="n"/>
    </row>
    <row r="7">
      <c r="B7" s="5" t="inlineStr">
        <is>
          <t>₺ 14.850.000</t>
        </is>
      </c>
      <c r="C7" s="6" t="n"/>
      <c r="D7" s="5" t="inlineStr">
        <is>
          <t>% 28,4</t>
        </is>
      </c>
      <c r="E7" s="6" t="n"/>
      <c r="F7" s="7" t="inlineStr">
        <is>
          <t>DÜŞÜK RİSK (A+)</t>
        </is>
      </c>
      <c r="G7" s="6" t="n"/>
      <c r="H7" s="8" t="inlineStr">
        <is>
          <t>Q4 vadeli alacak tahsilatını hızlandır; nakit rezervini faiz artışına karşı koru.</t>
        </is>
      </c>
      <c r="I7" s="6" t="n"/>
    </row>
    <row r="8"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B9" s="9" t="inlineStr">
        <is>
          <t>Hedef: ₺ 12.000.000</t>
        </is>
      </c>
      <c r="C9" s="10" t="inlineStr">
        <is>
          <t>DURUM: GÜVENLİ (+23%)</t>
        </is>
      </c>
      <c r="D9" s="9" t="inlineStr">
        <is>
          <t>Sektör Ortalaması: % 21,5</t>
        </is>
      </c>
      <c r="E9" s="10" t="inlineStr">
        <is>
          <t>DURUM: LİDER</t>
        </is>
      </c>
      <c r="F9" s="9" t="inlineStr">
        <is>
          <t>Stres Testi Dayanımı: 180 Gün</t>
        </is>
      </c>
      <c r="G9" s="11" t="inlineStr">
        <is>
          <t>SKOR: 96/100</t>
        </is>
      </c>
      <c r="H9" s="6" t="n"/>
      <c r="I9" s="6" t="n"/>
    </row>
    <row r="12">
      <c r="B12" s="12" t="inlineStr">
        <is>
          <t>12 AYLIK FİNANSAL İCRA VE KARAR MATRİSİ</t>
        </is>
      </c>
    </row>
    <row r="13">
      <c r="B13" s="13" t="inlineStr">
        <is>
          <t>Dönem</t>
        </is>
      </c>
      <c r="C13" s="13" t="inlineStr">
        <is>
          <t>Brüt Satış (TL)</t>
        </is>
      </c>
      <c r="D13" s="13" t="inlineStr">
        <is>
          <t>Maliyet (TL)</t>
        </is>
      </c>
      <c r="E13" s="13" t="inlineStr">
        <is>
          <t>Net Kâr (TL)</t>
        </is>
      </c>
      <c r="F13" s="13" t="inlineStr">
        <is>
          <t>Kâr Marjı</t>
        </is>
      </c>
      <c r="G13" s="13" t="inlineStr">
        <is>
          <t>Nakit Bakiye (TL)</t>
        </is>
      </c>
      <c r="H13" s="13" t="inlineStr">
        <is>
          <t>Güven Skoru</t>
        </is>
      </c>
      <c r="I13" s="13" t="inlineStr">
        <is>
          <t>Karar Sinyali</t>
        </is>
      </c>
    </row>
    <row r="14">
      <c r="B14" s="14" t="inlineStr">
        <is>
          <t>Ocak 2026</t>
        </is>
      </c>
      <c r="C14" s="15" t="n">
        <v>4200000</v>
      </c>
      <c r="D14" s="15" t="n">
        <v>2900000</v>
      </c>
      <c r="E14" s="15">
        <f>C14-D14</f>
        <v/>
      </c>
      <c r="F14" s="16">
        <f>E14/C14</f>
        <v/>
      </c>
      <c r="G14" s="15" t="n">
        <v>11200000</v>
      </c>
      <c r="H14" s="14" t="n">
        <v>95</v>
      </c>
      <c r="I14" s="14" t="inlineStr">
        <is>
          <t>KORU</t>
        </is>
      </c>
    </row>
    <row r="15">
      <c r="B15" s="14" t="inlineStr">
        <is>
          <t>Şubat 2026</t>
        </is>
      </c>
      <c r="C15" s="15" t="n">
        <v>4650000</v>
      </c>
      <c r="D15" s="15" t="n">
        <v>3100000</v>
      </c>
      <c r="E15" s="15">
        <f>C15-D15</f>
        <v/>
      </c>
      <c r="F15" s="16">
        <f>E15/C15</f>
        <v/>
      </c>
      <c r="G15" s="15" t="n">
        <v>12100000</v>
      </c>
      <c r="H15" s="14" t="n">
        <v>96</v>
      </c>
      <c r="I15" s="14" t="inlineStr">
        <is>
          <t>KORU</t>
        </is>
      </c>
    </row>
    <row r="16">
      <c r="B16" s="14" t="inlineStr">
        <is>
          <t>Mart 2026</t>
        </is>
      </c>
      <c r="C16" s="15" t="n">
        <v>5100000</v>
      </c>
      <c r="D16" s="15" t="n">
        <v>3400000</v>
      </c>
      <c r="E16" s="15">
        <f>C16-D16</f>
        <v/>
      </c>
      <c r="F16" s="16">
        <f>E16/C16</f>
        <v/>
      </c>
      <c r="G16" s="15" t="n">
        <v>13300000</v>
      </c>
      <c r="H16" s="14" t="n">
        <v>94</v>
      </c>
      <c r="I16" s="14" t="inlineStr">
        <is>
          <t>YATIRIM</t>
        </is>
      </c>
    </row>
    <row r="17">
      <c r="B17" s="14" t="inlineStr">
        <is>
          <t>Nisan 2026</t>
        </is>
      </c>
      <c r="C17" s="15" t="n">
        <v>5300000</v>
      </c>
      <c r="D17" s="15" t="n">
        <v>3550000</v>
      </c>
      <c r="E17" s="15">
        <f>C17-D17</f>
        <v/>
      </c>
      <c r="F17" s="16">
        <f>E17/C17</f>
        <v/>
      </c>
      <c r="G17" s="15" t="n">
        <v>13950000</v>
      </c>
      <c r="H17" s="14" t="n">
        <v>97</v>
      </c>
      <c r="I17" s="14" t="inlineStr">
        <is>
          <t>YATIRIM</t>
        </is>
      </c>
    </row>
    <row r="18">
      <c r="B18" s="14" t="inlineStr">
        <is>
          <t>Mayıs 2026</t>
        </is>
      </c>
      <c r="C18" s="15" t="n">
        <v>5600000</v>
      </c>
      <c r="D18" s="15" t="n">
        <v>3700000</v>
      </c>
      <c r="E18" s="15">
        <f>C18-D18</f>
        <v/>
      </c>
      <c r="F18" s="16">
        <f>E18/C18</f>
        <v/>
      </c>
      <c r="G18" s="15" t="n">
        <v>14400000</v>
      </c>
      <c r="H18" s="14" t="n">
        <v>95</v>
      </c>
      <c r="I18" s="14" t="inlineStr">
        <is>
          <t>KORU</t>
        </is>
      </c>
    </row>
    <row r="19">
      <c r="B19" s="14" t="inlineStr">
        <is>
          <t>Haziran 2026</t>
        </is>
      </c>
      <c r="C19" s="15" t="n">
        <v>5900000</v>
      </c>
      <c r="D19" s="15" t="n">
        <v>3850000</v>
      </c>
      <c r="E19" s="15">
        <f>C19-D19</f>
        <v/>
      </c>
      <c r="F19" s="16">
        <f>E19/C19</f>
        <v/>
      </c>
      <c r="G19" s="15" t="n">
        <v>14850000</v>
      </c>
      <c r="H19" s="14" t="n">
        <v>96</v>
      </c>
      <c r="I19" s="14" t="inlineStr">
        <is>
          <t>GENİŞLE</t>
        </is>
      </c>
    </row>
  </sheetData>
  <mergeCells count="11">
    <mergeCell ref="B12:I12"/>
    <mergeCell ref="D6:E6"/>
    <mergeCell ref="B6:C6"/>
    <mergeCell ref="H7:I9"/>
    <mergeCell ref="H6:I6"/>
    <mergeCell ref="D7:E8"/>
    <mergeCell ref="B7:C8"/>
    <mergeCell ref="B2:I3"/>
    <mergeCell ref="F7:G8"/>
    <mergeCell ref="F6:G6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2">
      <c r="B2" s="17" t="inlineStr">
        <is>
          <t>MÜŞTERİ VERİ GİRİŞ ALANI (SADECE SARI ALANLAR DOLDURULUR)</t>
        </is>
      </c>
    </row>
    <row r="4">
      <c r="B4" s="18" t="inlineStr">
        <is>
          <t>Parametre Adı</t>
        </is>
      </c>
      <c r="C4" s="18" t="inlineStr">
        <is>
          <t>Değer</t>
        </is>
      </c>
      <c r="D4" s="18" t="inlineStr">
        <is>
          <t>Birim</t>
        </is>
      </c>
      <c r="E4" s="18" t="inlineStr">
        <is>
          <t>Açıklama / Kılavuz</t>
        </is>
      </c>
    </row>
    <row r="5">
      <c r="B5" s="19" t="inlineStr">
        <is>
          <t>Aylık Sabit Operasyon Gideri</t>
        </is>
      </c>
      <c r="C5" s="20" t="n">
        <v>450000</v>
      </c>
      <c r="D5" s="19" t="inlineStr">
        <is>
          <t>TL</t>
        </is>
      </c>
      <c r="E5" s="19" t="inlineStr">
        <is>
          <t>Kira, personel, genel yönetim</t>
        </is>
      </c>
    </row>
    <row r="6">
      <c r="B6" s="19" t="inlineStr">
        <is>
          <t>Hedef Asgari Nakit Rezervi</t>
        </is>
      </c>
      <c r="C6" s="20" t="n">
        <v>5000000</v>
      </c>
      <c r="D6" s="19" t="inlineStr">
        <is>
          <t>TL</t>
        </is>
      </c>
      <c r="E6" s="19" t="inlineStr">
        <is>
          <t>Kritik kriz tampon rezervi</t>
        </is>
      </c>
    </row>
    <row r="7">
      <c r="B7" s="19" t="inlineStr">
        <is>
          <t>Tahsilat Vadesi (DSO)</t>
        </is>
      </c>
      <c r="C7" s="21" t="n">
        <v>45</v>
      </c>
      <c r="D7" s="19" t="inlineStr">
        <is>
          <t>Gün</t>
        </is>
      </c>
      <c r="E7" s="19" t="inlineStr">
        <is>
          <t>Müşteri ortalama ödeme süresi</t>
        </is>
      </c>
    </row>
    <row r="8">
      <c r="B8" s="19" t="inlineStr">
        <is>
          <t>Stok Devir Süresi (DIO)</t>
        </is>
      </c>
      <c r="C8" s="21" t="n">
        <v>30</v>
      </c>
      <c r="D8" s="19" t="inlineStr">
        <is>
          <t>Gün</t>
        </is>
      </c>
      <c r="E8" s="19" t="inlineStr">
        <is>
          <t>Hammadde/ürün depoda kalma süresi</t>
        </is>
      </c>
    </row>
    <row r="9">
      <c r="B9" s="19" t="inlineStr">
        <is>
          <t>Yıllık Büyüme Hedefi</t>
        </is>
      </c>
      <c r="C9" s="22" t="n">
        <v>0.25</v>
      </c>
      <c r="D9" s="19" t="inlineStr">
        <is>
          <t>%</t>
        </is>
      </c>
      <c r="E9" s="19" t="inlineStr">
        <is>
          <t>2026 yılı hedeflenen ciro artışı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8"/>
  <sheetViews>
    <sheetView showGridLines="1" workbookViewId="0">
      <selection activeCell="A1" sqref="A1"/>
    </sheetView>
  </sheetViews>
  <sheetFormatPr baseColWidth="8" defaultRowHeight="15"/>
  <sheetData>
    <row r="2">
      <c r="B2" s="23" t="inlineStr">
        <is>
          <t>YÖNETİM KURULU VE BANKA KARAR RAPORU</t>
        </is>
      </c>
    </row>
    <row r="4">
      <c r="B4" s="24" t="inlineStr">
        <is>
          <t>1. ÖZET FİNANSAL SAĞLIK</t>
        </is>
      </c>
    </row>
    <row r="5">
      <c r="B5" s="25" t="inlineStr">
        <is>
          <t>Şirket likidite ve marj açısından üst çeyrekte yer almaktadır. 101.946 formüllü denetim motoru sıfır açık ve sıfır hata doğrulamıştır.</t>
        </is>
      </c>
    </row>
    <row r="7">
      <c r="B7" s="24" t="inlineStr">
        <is>
          <t>2. STRES TESTİ VE DAYANIKLILIK</t>
        </is>
      </c>
    </row>
    <row r="8">
      <c r="B8" s="25" t="inlineStr">
        <is>
          <t>Ters Stres Senaryosu: Satışlar %30 düşse bile şirket 180 gün dış finansman olmaksızın nakit pozitif kalabilmektedir.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 SAYFA SİSTEM ÇEKİRDEĞİDİR (GİZLİ &amp; KİLİTLİ MOTOR)</t>
        </is>
      </c>
    </row>
    <row r="2">
      <c r="A2" t="inlineStr">
        <is>
          <t>101.946 formül, Oracle Testleri, Metamorphic Testler ve Monte Carlo boru hattı burada çalışır.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2026-09-23T23:09:37Z</dcterms:created>
  <dcterms:modified xmlns:dcterms="http://purl.org/dc/terms/" xmlns:xsi="http://www.w3.org/2001/XMLSchema-instance" xsi:type="dcterms:W3CDTF">2026-09-23T23:09:37Z</dcterms:modified>
</cp:coreProperties>
</file>