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dada284a4245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APAK" sheetId="1" r:id="R0ea11697de1443f9"/>
    <x:sheet xmlns:r="http://schemas.openxmlformats.org/officeDocument/2006/relationships" name="HIZLI_BASLANGIC" sheetId="2" r:id="R82398678f2e34631"/>
    <x:sheet xmlns:r="http://schemas.openxmlformats.org/officeDocument/2006/relationships" name="AYARLAR" sheetId="3" r:id="R2bf2852b19a64fbb"/>
    <x:sheet xmlns:r="http://schemas.openxmlformats.org/officeDocument/2006/relationships" name="LOGO_HAREKET_GIRIS" sheetId="4" r:id="R19f91ebb5abf49b3"/>
    <x:sheet xmlns:r="http://schemas.openxmlformats.org/officeDocument/2006/relationships" name="NORMALIZE" sheetId="5" r:id="R31006e44d3e64312"/>
    <x:sheet xmlns:r="http://schemas.openxmlformats.org/officeDocument/2006/relationships" name="YASLANDIRMA" sheetId="6" r:id="Rc8dc722fd7684df0"/>
    <x:sheet xmlns:r="http://schemas.openxmlformats.org/officeDocument/2006/relationships" name="CARI_OZET" sheetId="7" r:id="R9f7d6c53064b4d7b"/>
    <x:sheet xmlns:r="http://schemas.openxmlformats.org/officeDocument/2006/relationships" name="TAHSILAT_13H" sheetId="8" r:id="R2847d9348cae4a29"/>
    <x:sheet xmlns:r="http://schemas.openxmlformats.org/officeDocument/2006/relationships" name="VUK323_ON_ELEK" sheetId="9" r:id="R50522427dca040a9"/>
    <x:sheet xmlns:r="http://schemas.openxmlformats.org/officeDocument/2006/relationships" name="AKSIYON_KUYRUGU" sheetId="10" r:id="R30dd3b44af0f45ad"/>
    <x:sheet xmlns:r="http://schemas.openxmlformats.org/officeDocument/2006/relationships" name="PANO" sheetId="11" r:id="Ra6eeaf7a64454619"/>
    <x:sheet xmlns:r="http://schemas.openxmlformats.org/officeDocument/2006/relationships" name="KONTROLLER" sheetId="12" r:id="R6edec87dde7e4439"/>
    <x:sheet xmlns:r="http://schemas.openxmlformats.org/officeDocument/2006/relationships" name="KILAVUZ" sheetId="13" r:id="R303343374e394f0a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.mm.yyyy"/>
    <x:numFmt numFmtId="201" formatCode="0.00%"/>
    <x:numFmt numFmtId="202" formatCode="#,##0.00 &quot;₺&quot;"/>
    <x:numFmt numFmtId="203" formatCode="#,##0.00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8776E"/>
      <x:name val="Carlito"/>
    </x:font>
    <x:font>
      <x:b/>
      <x:sz val="13"/>
      <x:color rgb="FFA61B1B"/>
      <x:name val="Carlito"/>
    </x:font>
    <x:font>
      <x:b/>
      <x:sz val="11"/>
      <x:color rgb="FF123A2A"/>
      <x:name val="Carlito"/>
    </x:font>
    <x:font>
      <x:b/>
      <x:sz val="11"/>
      <x:color rgb="FF0B7440"/>
      <x:name val="Carlito"/>
    </x:font>
    <x:font>
      <x:b/>
      <x:sz val="11"/>
      <x:color rgb="FFFFFFFF"/>
      <x:name val="Carlito"/>
    </x:font>
    <x:font>
      <x:b/>
      <x:sz val="11"/>
      <x:color rgb="FF705400"/>
      <x:name val="Carlito"/>
    </x:font>
    <x:font>
      <x:sz val="11"/>
      <x:color rgb="FF123A2A"/>
      <x:name val="Carlito"/>
    </x:font>
    <x:font>
      <x:b/>
      <x:sz val="12"/>
      <x:color rgb="FFA61B1B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A2A"/>
      </x:patternFill>
    </x:fill>
    <x:fill>
      <x:patternFill patternType="solid">
        <x:fgColor rgb="FFF4F8F5"/>
      </x:patternFill>
    </x:fill>
    <x:fill>
      <x:patternFill patternType="solid">
        <x:fgColor rgb="FFFDE8E7"/>
      </x:patternFill>
    </x:fill>
    <x:fill>
      <x:patternFill patternType="solid">
        <x:fgColor rgb="FFDFF2E6"/>
      </x:patternFill>
    </x:fill>
    <x:fill>
      <x:patternFill patternType="solid">
        <x:fgColor rgb="FF0B7440"/>
      </x:patternFill>
    </x:fill>
    <x:fill>
      <x:patternFill patternType="solid">
        <x:fgColor rgb="FFFFF2CC"/>
      </x:patternFill>
    </x:fill>
    <x:fill>
      <x:patternFill patternType="solid">
        <x:fgColor rgb="FFE8F0F7"/>
      </x:patternFill>
    </x:fill>
  </x:fills>
  <x:borders count="2"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/>
    <x:xf numFmtId="0" fontId="7" fillId="7" borderId="1" xfId="0" applyNumberFormat="1" applyFont="1" applyFill="1" applyBorder="1"/>
    <x:xf numFmtId="0" fontId="7" fillId="7" borderId="1" xfId="0" applyNumberFormat="1" applyFont="1" applyFill="1" applyBorder="1" applyAlignment="1">
      <x:alignment wrapText="1"/>
    </x:xf>
    <x:xf numFmtId="0" fontId="7" fillId="7" borderId="1" xfId="0" applyNumberFormat="1" applyFont="1" applyFill="1" applyBorder="1" applyAlignment="1">
      <x:alignment vertical="center" wrapText="1"/>
    </x:xf>
    <x:xf numFmtId="200" fontId="0" fillId="7" borderId="0" xfId="0" applyNumberFormat="1" applyFont="1" applyFill="1" applyBorder="1"/>
    <x:xf numFmtId="200" fontId="0" fillId="7" borderId="1" xfId="0" applyNumberFormat="1" applyFont="1" applyFill="1" applyBorder="1"/>
    <x:xf numFmtId="201" fontId="0" fillId="7" borderId="0" xfId="0" applyNumberFormat="1" applyFont="1" applyFill="1" applyBorder="1"/>
    <x:xf numFmtId="201" fontId="0" fillId="7" borderId="1" xfId="0" applyNumberFormat="1" applyFont="1" applyFill="1" applyBorder="1"/>
    <x:xf numFmtId="202" fontId="0" fillId="7" borderId="0" xfId="0" applyNumberFormat="1" applyFont="1" applyFill="1" applyBorder="1"/>
    <x:xf numFmtId="202" fontId="0" fillId="7" borderId="1" xfId="0" applyNumberFormat="1" applyFont="1" applyFill="1" applyBorder="1"/>
    <x:xf numFmtId="200" fontId="0" fillId="7" borderId="0" xfId="0" applyNumberFormat="1" applyFont="1" applyFill="1" applyBorder="1" applyAlignment="1">
      <x:alignment wrapText="1"/>
    </x:xf>
    <x:xf numFmtId="201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202" fontId="0" fillId="7" borderId="0" xfId="0" applyNumberFormat="1" applyFont="1" applyFill="1" applyBorder="1" applyAlignment="1">
      <x:alignment wrapText="1"/>
    </x:xf>
    <x:xf numFmtId="200" fontId="0" fillId="7" borderId="1" xfId="0" applyNumberFormat="1" applyFont="1" applyFill="1" applyBorder="1" applyAlignment="1">
      <x:alignment wrapText="1"/>
    </x:xf>
    <x:xf numFmtId="201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202" fontId="0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/>
    <x:xf numFmtId="0" fontId="8" fillId="8" borderId="1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center" wrapText="1"/>
    </x:xf>
    <x:xf numFmtId="203" fontId="0" fillId="7" borderId="0" xfId="0" applyNumberFormat="1" applyFont="1" applyFill="1" applyBorder="1"/>
    <x:xf numFmtId="203" fontId="0" fillId="7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4" fillId="3" borderId="0" xfId="0" applyNumberFormat="1" applyFont="1" applyFill="1" applyBorder="1"/>
    <x:xf numFmtId="202" fontId="4" fillId="3" borderId="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horizontal="center" wrapText="1"/>
    </x:xf>
    <x:xf numFmtId="0" fontId="9" fillId="4" borderId="0" xfId="0" applyNumberFormat="1" applyFont="1" applyFill="1" applyBorder="1" applyAlignment="1">
      <x:alignment horizontal="center" vertical="center" wrapText="1"/>
    </x:xf>
    <x:xf numFmtId="0" fontId="9" fillId="4" borderId="1" xfId="0" applyNumberFormat="1" applyFont="1" applyFill="1" applyBorder="1"/>
    <x:xf numFmtId="0" fontId="9" fillId="4" borderId="1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horizontal="center" wrapText="1"/>
    </x:xf>
    <x:xf numFmtId="0" fontId="9" fillId="4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7c608771bf4e39" /><Relationship Type="http://schemas.openxmlformats.org/officeDocument/2006/relationships/theme" Target="/xl/theme/theme1.xml" Id="Re1fde7ff6f8b4ea3" /><Relationship Type="http://schemas.openxmlformats.org/officeDocument/2006/relationships/sheetMetadata" Target="/xl/metadata1.xml" Id="Re40365c3ad3b48b0" /><Relationship Type="http://schemas.openxmlformats.org/officeDocument/2006/relationships/sharedStrings" Target="/xl/sharedStrings.xml" Id="R90a19d459ff5436e" /><Relationship Type="http://schemas.openxmlformats.org/officeDocument/2006/relationships/worksheet" Target="/xl/worksheets/sheet1.xml" Id="R0ea11697de1443f9" /><Relationship Type="http://schemas.openxmlformats.org/officeDocument/2006/relationships/worksheet" Target="/xl/worksheets/sheet2.xml" Id="R82398678f2e34631" /><Relationship Type="http://schemas.openxmlformats.org/officeDocument/2006/relationships/worksheet" Target="/xl/worksheets/sheet3.xml" Id="R2bf2852b19a64fbb" /><Relationship Type="http://schemas.openxmlformats.org/officeDocument/2006/relationships/worksheet" Target="/xl/worksheets/sheet4.xml" Id="R19f91ebb5abf49b3" /><Relationship Type="http://schemas.openxmlformats.org/officeDocument/2006/relationships/worksheet" Target="/xl/worksheets/sheet5.xml" Id="R31006e44d3e64312" /><Relationship Type="http://schemas.openxmlformats.org/officeDocument/2006/relationships/worksheet" Target="/xl/worksheets/sheet6.xml" Id="Rc8dc722fd7684df0" /><Relationship Type="http://schemas.openxmlformats.org/officeDocument/2006/relationships/worksheet" Target="/xl/worksheets/sheet7.xml" Id="R9f7d6c53064b4d7b" /><Relationship Type="http://schemas.openxmlformats.org/officeDocument/2006/relationships/worksheet" Target="/xl/worksheets/sheet8.xml" Id="R2847d9348cae4a29" /><Relationship Type="http://schemas.openxmlformats.org/officeDocument/2006/relationships/worksheet" Target="/xl/worksheets/sheet9.xml" Id="R50522427dca040a9" /><Relationship Type="http://schemas.openxmlformats.org/officeDocument/2006/relationships/worksheet" Target="/xl/worksheets/sheet10.xml" Id="R30dd3b44af0f45ad" /><Relationship Type="http://schemas.openxmlformats.org/officeDocument/2006/relationships/worksheet" Target="/xl/worksheets/sheet11.xml" Id="Ra6eeaf7a64454619" /><Relationship Type="http://schemas.openxmlformats.org/officeDocument/2006/relationships/worksheet" Target="/xl/worksheets/sheet12.xml" Id="R6edec87dde7e4439" /><Relationship Type="http://schemas.openxmlformats.org/officeDocument/2006/relationships/worksheet" Target="/xl/worksheets/sheet13.xml" Id="R303343374e394f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f79b4bfb1ac4c2e" /><Relationship Type="http://schemas.openxmlformats.org/officeDocument/2006/relationships/chart" Target="/xl/drawings/charts/chart2.xml" Id="Ref4ba410993d438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Açık Alacak Yaş Dağılımı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AÇIK TL</c:v>
          </c:tx>
          <c:cat>
            <c:strRef>
              <c:f>'PANO'!$A$13:$A$19</c:f>
              <c:strCache>
                <c:ptCount val="0"/>
              </c:strCache>
            </c:strRef>
          </c:cat>
          <c:val>
            <c:numRef>
              <c:f>'PANO'!$B$13:$B$19</c:f>
              <c:numCache>
                <c:formatCode>#,##0.00 "₺"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13 Haftalık Tahsilat Planı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TAHSİLAT</c:v>
          </c:tx>
          <c:marker>
            <c:symbol val="none"/>
          </c:marker>
          <c:cat>
            <c:strRef>
              <c:f>'PANO'!$D$13:$D$25</c:f>
              <c:strCache>
                <c:ptCount val="0"/>
              </c:strCache>
            </c:strRef>
          </c:cat>
          <c:val>
            <c:numRef>
              <c:f>'PANO'!$E$13:$E$25</c:f>
              <c:numCache>
                <c:formatCode>#,##0.00 "₺"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79b4bfb1ac4c2e"/>
        </a:graphicData>
      </a:graphic>
    </xdr:graphicFrame>
    <xdr:clientData/>
  </xdr:twoCellAnchor>
  <xdr:twoCellAnchor>
    <xdr:from>
      <xdr:col>6</xdr:col>
      <xdr:colOff>0</xdr:colOff>
      <xdr:row>16</xdr:row>
      <xdr:rowOff>0</xdr:rowOff>
    </xdr:from>
    <xdr:to>
      <xdr:col>14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4ba410993d438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1.xml" Id="Rdc3d67c3f85844a5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0" hidden="0" customWidth="1"/>
  </x:cols>
  <x:sheetData>
    <x:row r="1" ht="32" customHeight="1">
      <x:c r="A1" s="4" t="str">
        <x:v>LOGO SQL CARİ YAŞLANDIRMA &amp; TAHSİLAT KARAR MOTORU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8" customHeight="1">
      <x:c r="A2" s="10" t="str">
        <x:v>Logo / SQL cari hareket çıktısını açık kalem, yaşlandırma ve tahsilat kararına dönüştüren Windows Excel sistemi.</x:v>
      </x:c>
      <x:c r="B2" s="10"/>
      <x:c r="C2" s="10"/>
      <x:c r="D2" s="10"/>
      <x:c r="E2" s="10"/>
      <x:c r="F2" s="10"/>
      <x:c r="G2" s="10"/>
      <x:c r="H2" s="10"/>
      <x:c r="I2" s="10"/>
      <x:c r="J2" s="10"/>
    </x:row>
    <x:row r="4">
      <x:c r="A4" s="18" t="str">
        <x:v>WINDOWS’A ÖZELDİR — macOS / Excel for Mac desteklenmez. Mac kullanıyorsanız bu ürünü satın almayın.</x:v>
      </x:c>
      <x:c r="B4" s="18"/>
      <x:c r="C4" s="18"/>
      <x:c r="D4" s="18"/>
      <x:c r="E4" s="18"/>
      <x:c r="F4" s="18"/>
      <x:c r="G4" s="18"/>
      <x:c r="H4" s="18"/>
      <x:c r="I4" s="18"/>
      <x:c r="J4" s="18"/>
    </x:row>
    <x:row r="5">
      <x:c r="A5" s="18"/>
      <x:c r="B5" s="18"/>
      <x:c r="C5" s="18"/>
      <x:c r="D5" s="18"/>
      <x:c r="E5" s="18"/>
      <x:c r="F5" s="18"/>
      <x:c r="G5" s="18"/>
      <x:c r="H5" s="18"/>
      <x:c r="I5" s="18"/>
      <x:c r="J5" s="18"/>
    </x:row>
    <x:row r="7">
      <x:c r="A7" s="24" t="str">
        <x:v>Sürüm</x:v>
      </x:c>
      <x:c r="B7" s="26" t="str">
        <x:v>1.0.0</x:v>
      </x:c>
    </x:row>
    <x:row r="8">
      <x:c r="A8" s="24" t="str">
        <x:v>Dosya tipi</x:v>
      </x:c>
      <x:c r="B8" s="26" t="str">
        <x:v>XLSX · makrosuz</x:v>
      </x:c>
    </x:row>
    <x:row r="9">
      <x:c r="A9" s="24" t="str">
        <x:v>Platform</x:v>
      </x:c>
      <x:c r="B9" s="26" t="str">
        <x:v>Windows · Microsoft 365 Excel Desktop</x:v>
      </x:c>
    </x:row>
    <x:row r="10">
      <x:c r="A10" s="24" t="str">
        <x:v>Veri kapasitesi</x:v>
      </x:c>
      <x:c r="B10" s="26" t="str">
        <x:v>5,000 hareket satırı</x:v>
      </x:c>
    </x:row>
    <x:row r="11">
      <x:c r="A11" s="24" t="str">
        <x:v>Veri kaynağı</x:v>
      </x:c>
      <x:c r="B11" s="26" t="str">
        <x:v>Logo/SQL cari hareket export</x:v>
      </x:c>
    </x:row>
    <x:row r="12">
      <x:c r="A12" s="24" t="str">
        <x:v>Motor</x:v>
      </x:c>
      <x:c r="B12" s="26" t="str">
        <x:v>FIFO açık kalem + yaşlandırma + 13 hafta</x:v>
      </x:c>
    </x:row>
    <x:row r="13">
      <x:c r="A13" s="24" t="str">
        <x:v>Logo'ya yazma</x:v>
      </x:c>
      <x:c r="B13" s="26" t="str">
        <x:v>YOK — export verisini işler</x:v>
      </x:c>
    </x:row>
    <x:row r="14">
      <x:c r="A14" s="24" t="str">
        <x:v>Mac uyumu</x:v>
      </x:c>
      <x:c r="B14" s="26" t="str">
        <x:v>YOK / desteklenmez</x:v>
      </x:c>
    </x:row>
    <x:row r="16" ht="28" customHeight="1">
      <x:c r="A16" s="30" t="str">
        <x:v>1 → LOGO_HAREKET_GIRIS   2 → AYARLAR   3 → KONTROLLER   4 → PANO / AKSIYON_KUYRUGU</x:v>
      </x:c>
      <x:c r="B16" s="30"/>
      <x:c r="C16" s="30"/>
      <x:c r="D16" s="30"/>
      <x:c r="E16" s="30"/>
      <x:c r="F16" s="30"/>
      <x:c r="G16" s="30"/>
      <x:c r="H16" s="30"/>
      <x:c r="I16" s="30"/>
      <x:c r="J16" s="30"/>
    </x:row>
  </x:sheetData>
  <x:mergeCells>
    <x:mergeCell ref="A1:J1"/>
    <x:mergeCell ref="A2:J2"/>
    <x:mergeCell ref="A4:J5"/>
    <x:mergeCell ref="A16:J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8" hidden="0" customWidth="1"/>
    <x:col min="3" max="3" width="44" hidden="0" customWidth="1"/>
  </x:cols>
  <x:sheetData>
    <x:row r="1" ht="32" customHeight="1">
      <x:c r="A1" s="4" t="str">
        <x:v>60 SANİYEDE BAŞLAYIN</x:v>
      </x:c>
      <x:c r="B1" s="4"/>
      <x:c r="C1" s="4"/>
      <x:c r="D1" s="4"/>
      <x:c r="E1" s="4"/>
      <x:c r="F1" s="4"/>
      <x:c r="G1" s="4"/>
      <x:c r="H1" s="4"/>
    </x:row>
    <x:row r="2" ht="28" customHeight="1">
      <x:c r="A2" s="10" t="str">
        <x:v>Dosya SQL Server'a bağlanmaz ve Logo'ya veri yazmaz. Export'u standart kolonlara yapıştırır, analizi Excel içinde üretir.</x:v>
      </x:c>
      <x:c r="B2" s="10"/>
      <x:c r="C2" s="10"/>
      <x:c r="D2" s="10"/>
      <x:c r="E2" s="10"/>
      <x:c r="F2" s="10"/>
      <x:c r="G2" s="10"/>
      <x:c r="H2" s="10"/>
    </x:row>
    <x:row r="4">
      <x:c r="A4" s="38" t="str">
        <x:v>ADIM</x:v>
      </x:c>
      <x:c r="B4" s="38" t="str">
        <x:v>YAPILACAK</x:v>
      </x:c>
      <x:c r="C4" s="38" t="str">
        <x:v>KABUL KRİTERİ</x:v>
      </x:c>
    </x:row>
    <x:row r="5">
      <x:c r="A5" s="26" t="str">
        <x:v>1</x:v>
      </x:c>
      <x:c r="B5" s="26" t="str">
        <x:v>Logo/SQL cari hareket export alın</x:v>
      </x:c>
      <x:c r="C5" s="26" t="str">
        <x:v>Cari kodu, işlem/vade tarihi, borç ve alacak alanları mevcut</x:v>
      </x:c>
    </x:row>
    <x:row r="6">
      <x:c r="A6" s="26" t="str">
        <x:v>2</x:v>
      </x:c>
      <x:c r="B6" s="26" t="str">
        <x:v>LOGO_HAREKET_GIRIS'e yalnızca değerleri yapıştırın</x:v>
      </x:c>
      <x:c r="C6" s="26" t="str">
        <x:v>Başlıklar korunmuş; tarih ve tutarlar gerçek tipte</x:v>
      </x:c>
    </x:row>
    <x:row r="7">
      <x:c r="A7" s="26" t="str">
        <x:v>3</x:v>
      </x:c>
      <x:c r="B7" s="26" t="str">
        <x:v>AYARLAR'da rapor tarihi ve oranları kontrol edin</x:v>
      </x:c>
      <x:c r="C7" s="26" t="str">
        <x:v>Kesim tarihi doğru</x:v>
      </x:c>
    </x:row>
    <x:row r="8">
      <x:c r="A8" s="26" t="str">
        <x:v>4</x:v>
      </x:c>
      <x:c r="B8" s="26" t="str">
        <x:v>KONTROLLER'i okuyun</x:v>
      </x:c>
      <x:c r="C8" s="26" t="str">
        <x:v>KALDI varsa raporu karar amaçlı kullanmayın</x:v>
      </x:c>
    </x:row>
    <x:row r="9">
      <x:c r="A9" s="26" t="str">
        <x:v>5</x:v>
      </x:c>
      <x:c r="B9" s="26" t="str">
        <x:v>PANO ve AKSIYON_KUYRUGU'nu kullanın</x:v>
      </x:c>
      <x:c r="C9" s="26" t="str">
        <x:v>Açık bakiye ve yaşlandırma mutabık</x:v>
      </x:c>
    </x:row>
    <x:row r="11">
      <x:c r="A11" s="47" t="str">
        <x:v>FIFO varsayımı: exportta gerçek kapama/eşleştirme bilgisi yoksa tahsilatlar aynı cari içindeki en eski borca dağıtılır. Bu yönetimsel açık-kalem yaklaşımıdır; muhasebe fişi veya hukuki kesinlik değildir.</x:v>
      </x:c>
      <x:c r="B11" s="47"/>
      <x:c r="C11" s="47"/>
      <x:c r="D11" s="47"/>
      <x:c r="E11" s="47"/>
      <x:c r="F11" s="47"/>
      <x:c r="G11" s="47"/>
      <x:c r="H11" s="47"/>
    </x:row>
    <x:row r="12">
      <x:c r="A12" s="47"/>
      <x:c r="B12" s="47"/>
      <x:c r="C12" s="47"/>
      <x:c r="D12" s="47"/>
      <x:c r="E12" s="47"/>
      <x:c r="F12" s="47"/>
      <x:c r="G12" s="47"/>
      <x:c r="H12" s="47"/>
    </x:row>
    <x:row r="13">
      <x:c r="A13" s="47"/>
      <x:c r="B13" s="47"/>
      <x:c r="C13" s="47"/>
      <x:c r="D13" s="47"/>
      <x:c r="E13" s="47"/>
      <x:c r="F13" s="47"/>
      <x:c r="G13" s="47"/>
      <x:c r="H13" s="47"/>
    </x:row>
  </x:sheetData>
  <x:mergeCells>
    <x:mergeCell ref="A1:H1"/>
    <x:mergeCell ref="A2:H2"/>
    <x:mergeCell ref="A11:H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0" hidden="0" customWidth="1"/>
    <x:col min="3" max="3" width="26" hidden="0" customWidth="1"/>
    <x:col min="4" max="4" width="48" hidden="0" customWidth="1"/>
  </x:cols>
  <x:sheetData>
    <x:row r="1" ht="32" customHeight="1">
      <x:c r="A1" s="4" t="str">
        <x:v>AYARLAR &amp; EŞİKLER</x:v>
      </x:c>
      <x:c r="B1" s="4"/>
      <x:c r="C1" s="4"/>
      <x:c r="D1" s="4"/>
      <x:c r="E1" s="4"/>
      <x:c r="F1" s="4"/>
      <x:c r="G1" s="4"/>
      <x:c r="H1" s="4"/>
    </x:row>
    <x:row r="2" ht="28" customHeight="1">
      <x:c r="A2" s="10" t="str">
        <x:v>Sarı hücreler kullanıcı girdisidir; kritik eşikler burada görünür.</x:v>
      </x:c>
      <x:c r="B2" s="10"/>
      <x:c r="C2" s="10"/>
      <x:c r="D2" s="10"/>
      <x:c r="E2" s="10"/>
      <x:c r="F2" s="10"/>
      <x:c r="G2" s="10"/>
      <x:c r="H2" s="10"/>
    </x:row>
    <x:row r="4">
      <x:c r="A4" s="38" t="str">
        <x:v>PARAMETRE</x:v>
      </x:c>
      <x:c r="B4" s="38" t="str">
        <x:v>DEĞER</x:v>
      </x:c>
      <x:c r="C4" s="38" t="str">
        <x:v>BİRİM / AÇIKLAMA</x:v>
      </x:c>
      <x:c r="D4" s="38" t="str">
        <x:v>KULLANIM</x:v>
      </x:c>
    </x:row>
    <x:row r="5">
      <x:c r="A5" s="26" t="str">
        <x:v>Rapor tarihi</x:v>
      </x:c>
      <x:c r="B5" s="58" t="n">
        <x:f>TODAY()</x:f>
        <x:v>46252</x:v>
      </x:c>
      <x:c r="C5" s="26" t="str">
        <x:v>Tarih · varsayılan bugün</x:v>
      </x:c>
      <x:c r="D5" s="26" t="str">
        <x:v>İlk açılışta dinamik motoru yeniden hesaplatır; isterseniz kesim tarihini sabit tarih olarak yazın</x:v>
      </x:c>
    </x:row>
    <x:row r="6">
      <x:c r="A6" s="26" t="str">
        <x:v>Yıllık finansman maliyeti</x:v>
      </x:c>
      <x:c r="B6" s="59" t="n">
        <x:v>0.42</x:v>
      </x:c>
      <x:c r="C6" s="26" t="str">
        <x:v>%</x:v>
      </x:c>
      <x:c r="D6" s="26" t="str">
        <x:v>Yönetimsel gecikme maliyeti</x:v>
      </x:c>
    </x:row>
    <x:row r="7">
      <x:c r="A7" s="26" t="str">
        <x:v>Yüksek risk gecikme eşiği</x:v>
      </x:c>
      <x:c r="B7" s="60" t="n">
        <x:v>90</x:v>
      </x:c>
      <x:c r="C7" s="26" t="str">
        <x:v>gün</x:v>
      </x:c>
      <x:c r="D7" s="26" t="str">
        <x:v>Risk sınıfı</x:v>
      </x:c>
    </x:row>
    <x:row r="8">
      <x:c r="A8" s="26" t="str">
        <x:v>Kritik açık bakiye eşiği</x:v>
      </x:c>
      <x:c r="B8" s="61" t="n">
        <x:v>250000</x:v>
      </x:c>
      <x:c r="C8" s="26" t="str">
        <x:v>TL</x:v>
      </x:c>
      <x:c r="D8" s="26" t="str">
        <x:v>Risk sınıfı</x:v>
      </x:c>
    </x:row>
    <x:row r="9">
      <x:c r="A9" s="26" t="str">
        <x:v>Planlama ek gecikme</x:v>
      </x:c>
      <x:c r="B9" s="60" t="n">
        <x:v>14</x:v>
      </x:c>
      <x:c r="C9" s="26" t="str">
        <x:v>gün</x:v>
      </x:c>
      <x:c r="D9" s="26" t="str">
        <x:v>13 haftalık plan</x:v>
      </x:c>
    </x:row>
    <x:row r="10">
      <x:c r="A10" s="26" t="str">
        <x:v>VUK 323 küçük alacak sınırı</x:v>
      </x:c>
      <x:c r="B10" s="61" t="n">
        <x:v>25000</x:v>
      </x:c>
      <x:c r="C10" s="26" t="str">
        <x:v>TL · güncellenebilir</x:v>
      </x:c>
      <x:c r="D10" s="26" t="str">
        <x:v>Ön eleme parametresi</x:v>
      </x:c>
    </x:row>
    <x:row r="11">
      <x:c r="A11" s="26" t="str">
        <x:v>Maksimum hareket satırı</x:v>
      </x:c>
      <x:c r="B11" s="26" t="n">
        <x:v>5000</x:v>
      </x:c>
      <x:c r="C11" s="26" t="str">
        <x:v>satır</x:v>
      </x:c>
      <x:c r="D11" s="26" t="str">
        <x:v>Dinamik motor üst sınırı</x:v>
      </x:c>
    </x:row>
    <x:row r="13">
      <x:c r="A13" s="69" t="str">
        <x:v>VUK 323 modülü yalnızca ön eleme üretir. Güncel mevzuat, olayın hukuki durumu ve belgeler SMMM/YMM tarafından doğrulanmadan vergi kaydı oluşturulmaz.</x:v>
      </x:c>
      <x:c r="B13" s="69"/>
      <x:c r="C13" s="69"/>
      <x:c r="D13" s="69"/>
      <x:c r="E13" s="69"/>
      <x:c r="F13" s="69"/>
      <x:c r="G13" s="69"/>
      <x:c r="H13" s="69"/>
    </x:row>
    <x:row r="14">
      <x:c r="A14" s="69"/>
      <x:c r="B14" s="69"/>
      <x:c r="C14" s="69"/>
      <x:c r="D14" s="69"/>
      <x:c r="E14" s="69"/>
      <x:c r="F14" s="69"/>
      <x:c r="G14" s="69"/>
      <x:c r="H14" s="69"/>
    </x:row>
    <x:row r="15">
      <x:c r="A15" s="69"/>
      <x:c r="B15" s="69"/>
      <x:c r="C15" s="69"/>
      <x:c r="D15" s="69"/>
      <x:c r="E15" s="69"/>
      <x:c r="F15" s="69"/>
      <x:c r="G15" s="69"/>
      <x:c r="H15" s="69"/>
    </x:row>
    <x:row r="16">
      <x:c r="A16" s="69"/>
      <x:c r="B16" s="69"/>
      <x:c r="C16" s="69"/>
      <x:c r="D16" s="69"/>
      <x:c r="E16" s="69"/>
      <x:c r="F16" s="69"/>
      <x:c r="G16" s="69"/>
      <x:c r="H16" s="69"/>
    </x:row>
  </x:sheetData>
  <x:mergeCells>
    <x:mergeCell ref="A1:H1"/>
    <x:mergeCell ref="A2:H2"/>
    <x:mergeCell ref="A13:H1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28" hidden="0" customWidth="1"/>
    <x:col min="4" max="4" width="14" hidden="0" customWidth="1"/>
    <x:col min="5" max="5" width="14" hidden="0" customWidth="1"/>
    <x:col min="6" max="6" width="18" hidden="0" customWidth="1"/>
    <x:col min="7" max="7" width="18" hidden="0" customWidth="1"/>
    <x:col min="8" max="8" width="16" hidden="0" customWidth="1"/>
    <x:col min="9" max="9" width="16" hidden="0" customWidth="1"/>
    <x:col min="10" max="10" width="12" hidden="0" customWidth="1"/>
    <x:col min="11" max="11" width="14" hidden="0" customWidth="1"/>
    <x:col min="12" max="12" width="14" hidden="0" customWidth="1"/>
    <x:col min="13" max="13" width="30" hidden="0" customWidth="1"/>
  </x:cols>
  <x:sheetData>
    <x:row r="1" ht="32" customHeight="1">
      <x:c r="A1" s="4" t="str">
        <x:v>LOGO / SQL CARİ HAREKET GİRİŞİ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8" customHeight="1">
      <x:c r="A2" s="10" t="str">
        <x:v>Logo/SQL export'unu A5:M5004 alanına yalnızca değer olarak yapıştırın. Cari Kodu → İşlem Tarihi → Sıra No sırasını koruyun.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</x:row>
    <x:row r="4">
      <x:c r="A4" s="38" t="str">
        <x:v>Sıra No</x:v>
      </x:c>
      <x:c r="B4" s="38" t="str">
        <x:v>Cari Kodu</x:v>
      </x:c>
      <x:c r="C4" s="38" t="str">
        <x:v>Cari Ünvanı</x:v>
      </x:c>
      <x:c r="D4" s="38" t="str">
        <x:v>İşlem Tarihi</x:v>
      </x:c>
      <x:c r="E4" s="38" t="str">
        <x:v>Vade Tarihi</x:v>
      </x:c>
      <x:c r="F4" s="38" t="str">
        <x:v>Belge No</x:v>
      </x:c>
      <x:c r="G4" s="38" t="str">
        <x:v>İşlem Türü</x:v>
      </x:c>
      <x:c r="H4" s="38" t="str">
        <x:v>Borç TL</x:v>
      </x:c>
      <x:c r="I4" s="38" t="str">
        <x:v>Alacak TL</x:v>
      </x:c>
      <x:c r="J4" s="38" t="str">
        <x:v>Para Birimi</x:v>
      </x:c>
      <x:c r="K4" s="38" t="str">
        <x:v>Döviz Tutarı</x:v>
      </x:c>
      <x:c r="L4" s="38" t="str">
        <x:v>İşlem Kuru</x:v>
      </x:c>
      <x:c r="M4" s="38" t="str">
        <x:v>Açıklama</x:v>
      </x:c>
    </x:row>
    <x:row r="5">
      <x:c r="A5" s="44" t="n">
        <x:v>1</x:v>
      </x:c>
      <x:c r="B5" s="44" t="str">
        <x:v>120.01.001</x:v>
      </x:c>
      <x:c r="C5" s="44" t="str">
        <x:v>Atlas Yapı A.Ş.</x:v>
      </x:c>
      <x:c r="D5" s="52" t="n">
        <x:v>46115</x:v>
      </x:c>
      <x:c r="E5" s="52" t="n">
        <x:v>46145</x:v>
      </x:c>
      <x:c r="F5" s="44" t="str">
        <x:v>SF-1001</x:v>
      </x:c>
      <x:c r="G5" s="44" t="str">
        <x:v>Satış Faturası</x:v>
      </x:c>
      <x:c r="H5" s="56" t="n">
        <x:v>320000</x:v>
      </x:c>
      <x:c r="I5" s="56" t="n">
        <x:v>0</x:v>
      </x:c>
      <x:c r="J5" s="44" t="str">
        <x:v>TRY</x:v>
      </x:c>
      <x:c r="K5" s="74" t="n">
        <x:v>0</x:v>
      </x:c>
      <x:c r="L5" s="74" t="n">
        <x:v>1</x:v>
      </x:c>
      <x:c r="M5" s="44" t="str">
        <x:v>Nisan satışı</x:v>
      </x:c>
    </x:row>
    <x:row r="6">
      <x:c r="A6" s="44" t="n">
        <x:v>2</x:v>
      </x:c>
      <x:c r="B6" s="44" t="str">
        <x:v>120.01.001</x:v>
      </x:c>
      <x:c r="C6" s="44" t="str">
        <x:v>Atlas Yapı A.Ş.</x:v>
      </x:c>
      <x:c r="D6" s="52" t="n">
        <x:v>46160</x:v>
      </x:c>
      <x:c r="E6" s="52" t="n">
        <x:v>46160</x:v>
      </x:c>
      <x:c r="F6" s="44" t="str">
        <x:v>TH-201</x:v>
      </x:c>
      <x:c r="G6" s="44" t="str">
        <x:v>Tahsilat</x:v>
      </x:c>
      <x:c r="H6" s="56" t="n">
        <x:v>0</x:v>
      </x:c>
      <x:c r="I6" s="56" t="n">
        <x:v>120000</x:v>
      </x:c>
      <x:c r="J6" s="44" t="str">
        <x:v>TRY</x:v>
      </x:c>
      <x:c r="K6" s="74" t="n">
        <x:v>0</x:v>
      </x:c>
      <x:c r="L6" s="74" t="n">
        <x:v>1</x:v>
      </x:c>
      <x:c r="M6" s="44" t="str">
        <x:v>Havale</x:v>
      </x:c>
    </x:row>
    <x:row r="7">
      <x:c r="A7" s="44" t="n">
        <x:v>3</x:v>
      </x:c>
      <x:c r="B7" s="44" t="str">
        <x:v>120.01.001</x:v>
      </x:c>
      <x:c r="C7" s="44" t="str">
        <x:v>Atlas Yapı A.Ş.</x:v>
      </x:c>
      <x:c r="D7" s="52" t="n">
        <x:v>46185</x:v>
      </x:c>
      <x:c r="E7" s="52" t="n">
        <x:v>46215</x:v>
      </x:c>
      <x:c r="F7" s="44" t="str">
        <x:v>SF-1128</x:v>
      </x:c>
      <x:c r="G7" s="44" t="str">
        <x:v>Satış Faturası</x:v>
      </x:c>
      <x:c r="H7" s="56" t="n">
        <x:v>185000</x:v>
      </x:c>
      <x:c r="I7" s="56" t="n">
        <x:v>0</x:v>
      </x:c>
      <x:c r="J7" s="44" t="str">
        <x:v>TRY</x:v>
      </x:c>
      <x:c r="K7" s="74" t="n">
        <x:v>0</x:v>
      </x:c>
      <x:c r="L7" s="74" t="n">
        <x:v>1</x:v>
      </x:c>
      <x:c r="M7" s="44" t="str">
        <x:v>Haziran satışı</x:v>
      </x:c>
    </x:row>
    <x:row r="8">
      <x:c r="A8" s="44" t="n">
        <x:v>4</x:v>
      </x:c>
      <x:c r="B8" s="44" t="str">
        <x:v>120.01.001</x:v>
      </x:c>
      <x:c r="C8" s="44" t="str">
        <x:v>Atlas Yapı A.Ş.</x:v>
      </x:c>
      <x:c r="D8" s="52" t="n">
        <x:v>46223</x:v>
      </x:c>
      <x:c r="E8" s="52" t="n">
        <x:v>46223</x:v>
      </x:c>
      <x:c r="F8" s="44" t="str">
        <x:v>TH-274</x:v>
      </x:c>
      <x:c r="G8" s="44" t="str">
        <x:v>Tahsilat</x:v>
      </x:c>
      <x:c r="H8" s="56" t="n">
        <x:v>0</x:v>
      </x:c>
      <x:c r="I8" s="56" t="n">
        <x:v>75000</x:v>
      </x:c>
      <x:c r="J8" s="44" t="str">
        <x:v>TRY</x:v>
      </x:c>
      <x:c r="K8" s="74" t="n">
        <x:v>0</x:v>
      </x:c>
      <x:c r="L8" s="74" t="n">
        <x:v>1</x:v>
      </x:c>
      <x:c r="M8" s="44" t="str">
        <x:v>Kısmi tahsilat</x:v>
      </x:c>
    </x:row>
    <x:row r="9">
      <x:c r="A9" s="44" t="n">
        <x:v>5</x:v>
      </x:c>
      <x:c r="B9" s="44" t="str">
        <x:v>120.01.002</x:v>
      </x:c>
      <x:c r="C9" s="44" t="str">
        <x:v>Bora Lojistik Ltd.</x:v>
      </x:c>
      <x:c r="D9" s="52" t="n">
        <x:v>46096</x:v>
      </x:c>
      <x:c r="E9" s="52" t="n">
        <x:v>46126</x:v>
      </x:c>
      <x:c r="F9" s="44" t="str">
        <x:v>SF-944</x:v>
      </x:c>
      <x:c r="G9" s="44" t="str">
        <x:v>Satış Faturası</x:v>
      </x:c>
      <x:c r="H9" s="56" t="n">
        <x:v>210000</x:v>
      </x:c>
      <x:c r="I9" s="56" t="n">
        <x:v>0</x:v>
      </x:c>
      <x:c r="J9" s="44" t="str">
        <x:v>TRY</x:v>
      </x:c>
      <x:c r="K9" s="74" t="n">
        <x:v>0</x:v>
      </x:c>
      <x:c r="L9" s="74" t="n">
        <x:v>1</x:v>
      </x:c>
      <x:c r="M9" s="44" t="str">
        <x:v>Mart satışı</x:v>
      </x:c>
    </x:row>
    <x:row r="10">
      <x:c r="A10" s="44" t="n">
        <x:v>6</x:v>
      </x:c>
      <x:c r="B10" s="44" t="str">
        <x:v>120.01.002</x:v>
      </x:c>
      <x:c r="C10" s="44" t="str">
        <x:v>Bora Lojistik Ltd.</x:v>
      </x:c>
      <x:c r="D10" s="52" t="n">
        <x:v>46147</x:v>
      </x:c>
      <x:c r="E10" s="52" t="n">
        <x:v>46147</x:v>
      </x:c>
      <x:c r="F10" s="44" t="str">
        <x:v>TH-221</x:v>
      </x:c>
      <x:c r="G10" s="44" t="str">
        <x:v>Tahsilat</x:v>
      </x:c>
      <x:c r="H10" s="56" t="n">
        <x:v>0</x:v>
      </x:c>
      <x:c r="I10" s="56" t="n">
        <x:v>80000</x:v>
      </x:c>
      <x:c r="J10" s="44" t="str">
        <x:v>TRY</x:v>
      </x:c>
      <x:c r="K10" s="74" t="n">
        <x:v>0</x:v>
      </x:c>
      <x:c r="L10" s="74" t="n">
        <x:v>1</x:v>
      </x:c>
      <x:c r="M10" s="44" t="str">
        <x:v>Havale</x:v>
      </x:c>
    </x:row>
    <x:row r="11">
      <x:c r="A11" s="44" t="n">
        <x:v>7</x:v>
      </x:c>
      <x:c r="B11" s="44" t="str">
        <x:v>120.01.003</x:v>
      </x:c>
      <x:c r="C11" s="44" t="str">
        <x:v>Cem Gıda Sanayi</x:v>
      </x:c>
      <x:c r="D11" s="52" t="n">
        <x:v>46204</x:v>
      </x:c>
      <x:c r="E11" s="52" t="n">
        <x:v>46234</x:v>
      </x:c>
      <x:c r="F11" s="44" t="str">
        <x:v>SF-1302</x:v>
      </x:c>
      <x:c r="G11" s="44" t="str">
        <x:v>Satış Faturası</x:v>
      </x:c>
      <x:c r="H11" s="56" t="n">
        <x:v>145000</x:v>
      </x:c>
      <x:c r="I11" s="56" t="n">
        <x:v>0</x:v>
      </x:c>
      <x:c r="J11" s="44" t="str">
        <x:v>TRY</x:v>
      </x:c>
      <x:c r="K11" s="74" t="n">
        <x:v>0</x:v>
      </x:c>
      <x:c r="L11" s="74" t="n">
        <x:v>1</x:v>
      </x:c>
      <x:c r="M11" s="44" t="str">
        <x:v>Temmuz satışı</x:v>
      </x:c>
    </x:row>
    <x:row r="12">
      <x:c r="A12" s="44" t="n">
        <x:v>8</x:v>
      </x:c>
      <x:c r="B12" s="44" t="str">
        <x:v>120.01.004</x:v>
      </x:c>
      <x:c r="C12" s="44" t="str">
        <x:v>Delta Dış Ticaret</x:v>
      </x:c>
      <x:c r="D12" s="52" t="n">
        <x:v>46143</x:v>
      </x:c>
      <x:c r="E12" s="52" t="n">
        <x:v>46174</x:v>
      </x:c>
      <x:c r="F12" s="44" t="str">
        <x:v>SF-USD-44</x:v>
      </x:c>
      <x:c r="G12" s="44" t="str">
        <x:v>Satış Faturası</x:v>
      </x:c>
      <x:c r="H12" s="56" t="n">
        <x:v>402000</x:v>
      </x:c>
      <x:c r="I12" s="56" t="n">
        <x:v>0</x:v>
      </x:c>
      <x:c r="J12" s="44" t="str">
        <x:v>USD</x:v>
      </x:c>
      <x:c r="K12" s="74" t="n">
        <x:v>12000</x:v>
      </x:c>
      <x:c r="L12" s="74" t="n">
        <x:v>33.5</x:v>
      </x:c>
      <x:c r="M12" s="44" t="str">
        <x:v>USD satış</x:v>
      </x:c>
    </x:row>
    <x:row r="13">
      <x:c r="A13" s="44" t="n">
        <x:v>9</x:v>
      </x:c>
      <x:c r="B13" s="44" t="str">
        <x:v>120.01.004</x:v>
      </x:c>
      <x:c r="C13" s="44" t="str">
        <x:v>Delta Dış Ticaret</x:v>
      </x:c>
      <x:c r="D13" s="52" t="n">
        <x:v>46188</x:v>
      </x:c>
      <x:c r="E13" s="52" t="n">
        <x:v>46188</x:v>
      </x:c>
      <x:c r="F13" s="44" t="str">
        <x:v>TH-USD-12</x:v>
      </x:c>
      <x:c r="G13" s="44" t="str">
        <x:v>Tahsilat</x:v>
      </x:c>
      <x:c r="H13" s="56" t="n">
        <x:v>0</x:v>
      </x:c>
      <x:c r="I13" s="56" t="n">
        <x:v>167500</x:v>
      </x:c>
      <x:c r="J13" s="44" t="str">
        <x:v>USD</x:v>
      </x:c>
      <x:c r="K13" s="74" t="n">
        <x:v>5000</x:v>
      </x:c>
      <x:c r="L13" s="74" t="n">
        <x:v>33.5</x:v>
      </x:c>
      <x:c r="M13" s="44" t="str">
        <x:v>USD tahsilat</x:v>
      </x:c>
    </x:row>
    <x:row r="14">
      <x:c r="A14" s="44" t="n">
        <x:v>10</x:v>
      </x:c>
      <x:c r="B14" s="44" t="str">
        <x:v>120.01.005</x:v>
      </x:c>
      <x:c r="C14" s="44" t="str">
        <x:v>Eksen Makine A.Ş.</x:v>
      </x:c>
      <x:c r="D14" s="52" t="n">
        <x:v>46239</x:v>
      </x:c>
      <x:c r="E14" s="52" t="n">
        <x:v>46269</x:v>
      </x:c>
      <x:c r="F14" s="44" t="str">
        <x:v>SF-1408</x:v>
      </x:c>
      <x:c r="G14" s="44" t="str">
        <x:v>Satış Faturası</x:v>
      </x:c>
      <x:c r="H14" s="56" t="n">
        <x:v>420000</x:v>
      </x:c>
      <x:c r="I14" s="56" t="n">
        <x:v>0</x:v>
      </x:c>
      <x:c r="J14" s="44" t="str">
        <x:v>TRY</x:v>
      </x:c>
      <x:c r="K14" s="74" t="n">
        <x:v>0</x:v>
      </x:c>
      <x:c r="L14" s="74" t="n">
        <x:v>1</x:v>
      </x:c>
      <x:c r="M14" s="44" t="str">
        <x:v>Henüz vadesi gelmedi</x:v>
      </x:c>
    </x:row>
    <x:row r="15">
      <x:c r="A15" s="44"/>
      <x:c r="B15" s="44"/>
      <x:c r="C15" s="44"/>
      <x:c r="D15" s="52"/>
      <x:c r="E15" s="52"/>
      <x:c r="F15" s="44"/>
      <x:c r="G15" s="44"/>
      <x:c r="H15" s="56"/>
      <x:c r="I15" s="56"/>
      <x:c r="J15" s="44"/>
      <x:c r="K15" s="74"/>
      <x:c r="L15" s="74"/>
      <x:c r="M15" s="44"/>
    </x:row>
    <x:row r="16">
      <x:c r="A16" s="44"/>
      <x:c r="B16" s="44"/>
      <x:c r="C16" s="44"/>
      <x:c r="D16" s="52"/>
      <x:c r="E16" s="52"/>
      <x:c r="F16" s="44"/>
      <x:c r="G16" s="44"/>
      <x:c r="H16" s="56"/>
      <x:c r="I16" s="56"/>
      <x:c r="J16" s="44"/>
      <x:c r="K16" s="74"/>
      <x:c r="L16" s="74"/>
      <x:c r="M16" s="44"/>
    </x:row>
    <x:row r="17">
      <x:c r="A17" s="44"/>
      <x:c r="B17" s="44"/>
      <x:c r="C17" s="44"/>
      <x:c r="D17" s="52"/>
      <x:c r="E17" s="52"/>
      <x:c r="F17" s="44"/>
      <x:c r="G17" s="44"/>
      <x:c r="H17" s="56"/>
      <x:c r="I17" s="56"/>
      <x:c r="J17" s="44"/>
      <x:c r="K17" s="74"/>
      <x:c r="L17" s="74"/>
      <x:c r="M17" s="44"/>
    </x:row>
    <x:row r="18">
      <x:c r="A18" s="44"/>
      <x:c r="B18" s="44"/>
      <x:c r="C18" s="44"/>
      <x:c r="D18" s="52"/>
      <x:c r="E18" s="52"/>
      <x:c r="F18" s="44"/>
      <x:c r="G18" s="44"/>
      <x:c r="H18" s="56"/>
      <x:c r="I18" s="56"/>
      <x:c r="J18" s="44"/>
      <x:c r="K18" s="74"/>
      <x:c r="L18" s="74"/>
      <x:c r="M18" s="44"/>
    </x:row>
    <x:row r="19">
      <x:c r="A19" s="44"/>
      <x:c r="B19" s="44"/>
      <x:c r="C19" s="44"/>
      <x:c r="D19" s="52"/>
      <x:c r="E19" s="52"/>
      <x:c r="F19" s="44"/>
      <x:c r="G19" s="44"/>
      <x:c r="H19" s="56"/>
      <x:c r="I19" s="56"/>
      <x:c r="J19" s="44"/>
      <x:c r="K19" s="74"/>
      <x:c r="L19" s="74"/>
      <x:c r="M19" s="44"/>
    </x:row>
    <x:row r="20">
      <x:c r="A20" s="44"/>
      <x:c r="B20" s="44"/>
      <x:c r="C20" s="44"/>
      <x:c r="D20" s="52"/>
      <x:c r="E20" s="52"/>
      <x:c r="F20" s="44"/>
      <x:c r="G20" s="44"/>
      <x:c r="H20" s="56"/>
      <x:c r="I20" s="56"/>
      <x:c r="J20" s="44"/>
      <x:c r="K20" s="74"/>
      <x:c r="L20" s="74"/>
      <x:c r="M20" s="44"/>
    </x:row>
    <x:row r="21">
      <x:c r="A21" s="44"/>
      <x:c r="B21" s="44"/>
      <x:c r="C21" s="44"/>
      <x:c r="D21" s="52"/>
      <x:c r="E21" s="52"/>
      <x:c r="F21" s="44"/>
      <x:c r="G21" s="44"/>
      <x:c r="H21" s="56"/>
      <x:c r="I21" s="56"/>
      <x:c r="J21" s="44"/>
      <x:c r="K21" s="74"/>
      <x:c r="L21" s="74"/>
      <x:c r="M21" s="44"/>
    </x:row>
    <x:row r="22">
      <x:c r="A22" s="44"/>
      <x:c r="B22" s="44"/>
      <x:c r="C22" s="44"/>
      <x:c r="D22" s="52"/>
      <x:c r="E22" s="52"/>
      <x:c r="F22" s="44"/>
      <x:c r="G22" s="44"/>
      <x:c r="H22" s="56"/>
      <x:c r="I22" s="56"/>
      <x:c r="J22" s="44"/>
      <x:c r="K22" s="74"/>
      <x:c r="L22" s="74"/>
      <x:c r="M22" s="44"/>
    </x:row>
    <x:row r="23">
      <x:c r="A23" s="44"/>
      <x:c r="B23" s="44"/>
      <x:c r="C23" s="44"/>
      <x:c r="D23" s="52"/>
      <x:c r="E23" s="52"/>
      <x:c r="F23" s="44"/>
      <x:c r="G23" s="44"/>
      <x:c r="H23" s="56"/>
      <x:c r="I23" s="56"/>
      <x:c r="J23" s="44"/>
      <x:c r="K23" s="74"/>
      <x:c r="L23" s="74"/>
      <x:c r="M23" s="44"/>
    </x:row>
    <x:row r="24">
      <x:c r="A24" s="44"/>
      <x:c r="B24" s="44"/>
      <x:c r="C24" s="44"/>
      <x:c r="D24" s="52"/>
      <x:c r="E24" s="52"/>
      <x:c r="F24" s="44"/>
      <x:c r="G24" s="44"/>
      <x:c r="H24" s="56"/>
      <x:c r="I24" s="56"/>
      <x:c r="J24" s="44"/>
      <x:c r="K24" s="74"/>
      <x:c r="L24" s="74"/>
      <x:c r="M24" s="44"/>
    </x:row>
    <x:row r="25">
      <x:c r="A25" s="44"/>
      <x:c r="B25" s="44"/>
      <x:c r="C25" s="44"/>
      <x:c r="D25" s="52"/>
      <x:c r="E25" s="52"/>
      <x:c r="F25" s="44"/>
      <x:c r="G25" s="44"/>
      <x:c r="H25" s="56"/>
      <x:c r="I25" s="56"/>
      <x:c r="J25" s="44"/>
      <x:c r="K25" s="74"/>
      <x:c r="L25" s="74"/>
      <x:c r="M25" s="44"/>
    </x:row>
    <x:row r="26">
      <x:c r="A26" s="44"/>
      <x:c r="B26" s="44"/>
      <x:c r="C26" s="44"/>
      <x:c r="D26" s="52"/>
      <x:c r="E26" s="52"/>
      <x:c r="F26" s="44"/>
      <x:c r="G26" s="44"/>
      <x:c r="H26" s="56"/>
      <x:c r="I26" s="56"/>
      <x:c r="J26" s="44"/>
      <x:c r="K26" s="74"/>
      <x:c r="L26" s="74"/>
      <x:c r="M26" s="44"/>
    </x:row>
    <x:row r="27">
      <x:c r="A27" s="44"/>
      <x:c r="B27" s="44"/>
      <x:c r="C27" s="44"/>
      <x:c r="D27" s="52"/>
      <x:c r="E27" s="52"/>
      <x:c r="F27" s="44"/>
      <x:c r="G27" s="44"/>
      <x:c r="H27" s="56"/>
      <x:c r="I27" s="56"/>
      <x:c r="J27" s="44"/>
      <x:c r="K27" s="74"/>
      <x:c r="L27" s="74"/>
      <x:c r="M27" s="44"/>
    </x:row>
    <x:row r="28">
      <x:c r="A28" s="44"/>
      <x:c r="B28" s="44"/>
      <x:c r="C28" s="44"/>
      <x:c r="D28" s="52"/>
      <x:c r="E28" s="52"/>
      <x:c r="F28" s="44"/>
      <x:c r="G28" s="44"/>
      <x:c r="H28" s="56"/>
      <x:c r="I28" s="56"/>
      <x:c r="J28" s="44"/>
      <x:c r="K28" s="74"/>
      <x:c r="L28" s="74"/>
      <x:c r="M28" s="44"/>
    </x:row>
    <x:row r="29">
      <x:c r="A29" s="44"/>
      <x:c r="B29" s="44"/>
      <x:c r="C29" s="44"/>
      <x:c r="D29" s="52"/>
      <x:c r="E29" s="52"/>
      <x:c r="F29" s="44"/>
      <x:c r="G29" s="44"/>
      <x:c r="H29" s="56"/>
      <x:c r="I29" s="56"/>
      <x:c r="J29" s="44"/>
      <x:c r="K29" s="74"/>
      <x:c r="L29" s="74"/>
      <x:c r="M29" s="44"/>
    </x:row>
    <x:row r="30">
      <x:c r="A30" s="44"/>
      <x:c r="B30" s="44"/>
      <x:c r="C30" s="44"/>
      <x:c r="D30" s="52"/>
      <x:c r="E30" s="52"/>
      <x:c r="F30" s="44"/>
      <x:c r="G30" s="44"/>
      <x:c r="H30" s="56"/>
      <x:c r="I30" s="56"/>
      <x:c r="J30" s="44"/>
      <x:c r="K30" s="74"/>
      <x:c r="L30" s="74"/>
      <x:c r="M30" s="44"/>
    </x:row>
    <x:row r="31">
      <x:c r="A31" s="44"/>
      <x:c r="B31" s="44"/>
      <x:c r="C31" s="44"/>
      <x:c r="D31" s="52"/>
      <x:c r="E31" s="52"/>
      <x:c r="F31" s="44"/>
      <x:c r="G31" s="44"/>
      <x:c r="H31" s="56"/>
      <x:c r="I31" s="56"/>
      <x:c r="J31" s="44"/>
      <x:c r="K31" s="74"/>
      <x:c r="L31" s="74"/>
      <x:c r="M31" s="44"/>
    </x:row>
    <x:row r="32">
      <x:c r="A32" s="44"/>
      <x:c r="B32" s="44"/>
      <x:c r="C32" s="44"/>
      <x:c r="D32" s="52"/>
      <x:c r="E32" s="52"/>
      <x:c r="F32" s="44"/>
      <x:c r="G32" s="44"/>
      <x:c r="H32" s="56"/>
      <x:c r="I32" s="56"/>
      <x:c r="J32" s="44"/>
      <x:c r="K32" s="74"/>
      <x:c r="L32" s="74"/>
      <x:c r="M32" s="44"/>
    </x:row>
    <x:row r="33">
      <x:c r="A33" s="44"/>
      <x:c r="B33" s="44"/>
      <x:c r="C33" s="44"/>
      <x:c r="D33" s="52"/>
      <x:c r="E33" s="52"/>
      <x:c r="F33" s="44"/>
      <x:c r="G33" s="44"/>
      <x:c r="H33" s="56"/>
      <x:c r="I33" s="56"/>
      <x:c r="J33" s="44"/>
      <x:c r="K33" s="74"/>
      <x:c r="L33" s="74"/>
      <x:c r="M33" s="44"/>
    </x:row>
    <x:row r="34">
      <x:c r="A34" s="44"/>
      <x:c r="B34" s="44"/>
      <x:c r="C34" s="44"/>
      <x:c r="D34" s="52"/>
      <x:c r="E34" s="52"/>
      <x:c r="F34" s="44"/>
      <x:c r="G34" s="44"/>
      <x:c r="H34" s="56"/>
      <x:c r="I34" s="56"/>
      <x:c r="J34" s="44"/>
      <x:c r="K34" s="74"/>
      <x:c r="L34" s="74"/>
      <x:c r="M34" s="44"/>
    </x:row>
    <x:row r="35">
      <x:c r="A35" s="44"/>
      <x:c r="B35" s="44"/>
      <x:c r="C35" s="44"/>
      <x:c r="D35" s="52"/>
      <x:c r="E35" s="52"/>
      <x:c r="F35" s="44"/>
      <x:c r="G35" s="44"/>
      <x:c r="H35" s="56"/>
      <x:c r="I35" s="56"/>
      <x:c r="J35" s="44"/>
      <x:c r="K35" s="74"/>
      <x:c r="L35" s="74"/>
      <x:c r="M35" s="44"/>
    </x:row>
    <x:row r="36">
      <x:c r="A36" s="44"/>
      <x:c r="B36" s="44"/>
      <x:c r="C36" s="44"/>
      <x:c r="D36" s="52"/>
      <x:c r="E36" s="52"/>
      <x:c r="F36" s="44"/>
      <x:c r="G36" s="44"/>
      <x:c r="H36" s="56"/>
      <x:c r="I36" s="56"/>
      <x:c r="J36" s="44"/>
      <x:c r="K36" s="74"/>
      <x:c r="L36" s="74"/>
      <x:c r="M36" s="44"/>
    </x:row>
    <x:row r="37">
      <x:c r="A37" s="44"/>
      <x:c r="B37" s="44"/>
      <x:c r="C37" s="44"/>
      <x:c r="D37" s="52"/>
      <x:c r="E37" s="52"/>
      <x:c r="F37" s="44"/>
      <x:c r="G37" s="44"/>
      <x:c r="H37" s="56"/>
      <x:c r="I37" s="56"/>
      <x:c r="J37" s="44"/>
      <x:c r="K37" s="74"/>
      <x:c r="L37" s="74"/>
      <x:c r="M37" s="44"/>
    </x:row>
    <x:row r="38">
      <x:c r="A38" s="44"/>
      <x:c r="B38" s="44"/>
      <x:c r="C38" s="44"/>
      <x:c r="D38" s="52"/>
      <x:c r="E38" s="52"/>
      <x:c r="F38" s="44"/>
      <x:c r="G38" s="44"/>
      <x:c r="H38" s="56"/>
      <x:c r="I38" s="56"/>
      <x:c r="J38" s="44"/>
      <x:c r="K38" s="74"/>
      <x:c r="L38" s="74"/>
      <x:c r="M38" s="44"/>
    </x:row>
    <x:row r="39">
      <x:c r="A39" s="44"/>
      <x:c r="B39" s="44"/>
      <x:c r="C39" s="44"/>
      <x:c r="D39" s="52"/>
      <x:c r="E39" s="52"/>
      <x:c r="F39" s="44"/>
      <x:c r="G39" s="44"/>
      <x:c r="H39" s="56"/>
      <x:c r="I39" s="56"/>
      <x:c r="J39" s="44"/>
      <x:c r="K39" s="74"/>
      <x:c r="L39" s="74"/>
      <x:c r="M39" s="44"/>
    </x:row>
    <x:row r="40">
      <x:c r="A40" s="44"/>
      <x:c r="B40" s="44"/>
      <x:c r="C40" s="44"/>
      <x:c r="D40" s="52"/>
      <x:c r="E40" s="52"/>
      <x:c r="F40" s="44"/>
      <x:c r="G40" s="44"/>
      <x:c r="H40" s="56"/>
      <x:c r="I40" s="56"/>
      <x:c r="J40" s="44"/>
      <x:c r="K40" s="74"/>
      <x:c r="L40" s="74"/>
      <x:c r="M40" s="44"/>
    </x:row>
    <x:row r="41">
      <x:c r="A41" s="44"/>
      <x:c r="B41" s="44"/>
      <x:c r="C41" s="44"/>
      <x:c r="D41" s="52"/>
      <x:c r="E41" s="52"/>
      <x:c r="F41" s="44"/>
      <x:c r="G41" s="44"/>
      <x:c r="H41" s="56"/>
      <x:c r="I41" s="56"/>
      <x:c r="J41" s="44"/>
      <x:c r="K41" s="74"/>
      <x:c r="L41" s="74"/>
      <x:c r="M41" s="44"/>
    </x:row>
    <x:row r="42">
      <x:c r="A42" s="44"/>
      <x:c r="B42" s="44"/>
      <x:c r="C42" s="44"/>
      <x:c r="D42" s="52"/>
      <x:c r="E42" s="52"/>
      <x:c r="F42" s="44"/>
      <x:c r="G42" s="44"/>
      <x:c r="H42" s="56"/>
      <x:c r="I42" s="56"/>
      <x:c r="J42" s="44"/>
      <x:c r="K42" s="74"/>
      <x:c r="L42" s="74"/>
      <x:c r="M42" s="44"/>
    </x:row>
    <x:row r="43">
      <x:c r="A43" s="44"/>
      <x:c r="B43" s="44"/>
      <x:c r="C43" s="44"/>
      <x:c r="D43" s="52"/>
      <x:c r="E43" s="52"/>
      <x:c r="F43" s="44"/>
      <x:c r="G43" s="44"/>
      <x:c r="H43" s="56"/>
      <x:c r="I43" s="56"/>
      <x:c r="J43" s="44"/>
      <x:c r="K43" s="74"/>
      <x:c r="L43" s="74"/>
      <x:c r="M43" s="44"/>
    </x:row>
    <x:row r="44">
      <x:c r="A44" s="44"/>
      <x:c r="B44" s="44"/>
      <x:c r="C44" s="44"/>
      <x:c r="D44" s="52"/>
      <x:c r="E44" s="52"/>
      <x:c r="F44" s="44"/>
      <x:c r="G44" s="44"/>
      <x:c r="H44" s="56"/>
      <x:c r="I44" s="56"/>
      <x:c r="J44" s="44"/>
      <x:c r="K44" s="74"/>
      <x:c r="L44" s="74"/>
      <x:c r="M44" s="44"/>
    </x:row>
    <x:row r="45">
      <x:c r="A45" s="44"/>
      <x:c r="B45" s="44"/>
      <x:c r="C45" s="44"/>
      <x:c r="D45" s="52"/>
      <x:c r="E45" s="52"/>
      <x:c r="F45" s="44"/>
      <x:c r="G45" s="44"/>
      <x:c r="H45" s="56"/>
      <x:c r="I45" s="56"/>
      <x:c r="J45" s="44"/>
      <x:c r="K45" s="74"/>
      <x:c r="L45" s="74"/>
      <x:c r="M45" s="44"/>
    </x:row>
    <x:row r="46">
      <x:c r="A46" s="44"/>
      <x:c r="B46" s="44"/>
      <x:c r="C46" s="44"/>
      <x:c r="D46" s="52"/>
      <x:c r="E46" s="52"/>
      <x:c r="F46" s="44"/>
      <x:c r="G46" s="44"/>
      <x:c r="H46" s="56"/>
      <x:c r="I46" s="56"/>
      <x:c r="J46" s="44"/>
      <x:c r="K46" s="74"/>
      <x:c r="L46" s="74"/>
      <x:c r="M46" s="44"/>
    </x:row>
    <x:row r="47">
      <x:c r="A47" s="44"/>
      <x:c r="B47" s="44"/>
      <x:c r="C47" s="44"/>
      <x:c r="D47" s="52"/>
      <x:c r="E47" s="52"/>
      <x:c r="F47" s="44"/>
      <x:c r="G47" s="44"/>
      <x:c r="H47" s="56"/>
      <x:c r="I47" s="56"/>
      <x:c r="J47" s="44"/>
      <x:c r="K47" s="74"/>
      <x:c r="L47" s="74"/>
      <x:c r="M47" s="44"/>
    </x:row>
    <x:row r="48">
      <x:c r="A48" s="44"/>
      <x:c r="B48" s="44"/>
      <x:c r="C48" s="44"/>
      <x:c r="D48" s="52"/>
      <x:c r="E48" s="52"/>
      <x:c r="F48" s="44"/>
      <x:c r="G48" s="44"/>
      <x:c r="H48" s="56"/>
      <x:c r="I48" s="56"/>
      <x:c r="J48" s="44"/>
      <x:c r="K48" s="74"/>
      <x:c r="L48" s="74"/>
      <x:c r="M48" s="44"/>
    </x:row>
    <x:row r="49">
      <x:c r="A49" s="44"/>
      <x:c r="B49" s="44"/>
      <x:c r="C49" s="44"/>
      <x:c r="D49" s="52"/>
      <x:c r="E49" s="52"/>
      <x:c r="F49" s="44"/>
      <x:c r="G49" s="44"/>
      <x:c r="H49" s="56"/>
      <x:c r="I49" s="56"/>
      <x:c r="J49" s="44"/>
      <x:c r="K49" s="74"/>
      <x:c r="L49" s="74"/>
      <x:c r="M49" s="44"/>
    </x:row>
    <x:row r="50">
      <x:c r="A50" s="44"/>
      <x:c r="B50" s="44"/>
      <x:c r="C50" s="44"/>
      <x:c r="D50" s="52"/>
      <x:c r="E50" s="52"/>
      <x:c r="F50" s="44"/>
      <x:c r="G50" s="44"/>
      <x:c r="H50" s="56"/>
      <x:c r="I50" s="56"/>
      <x:c r="J50" s="44"/>
      <x:c r="K50" s="74"/>
      <x:c r="L50" s="74"/>
      <x:c r="M50" s="44"/>
    </x:row>
    <x:row r="51">
      <x:c r="A51" s="44"/>
      <x:c r="B51" s="44"/>
      <x:c r="C51" s="44"/>
      <x:c r="D51" s="52"/>
      <x:c r="E51" s="52"/>
      <x:c r="F51" s="44"/>
      <x:c r="G51" s="44"/>
      <x:c r="H51" s="56"/>
      <x:c r="I51" s="56"/>
      <x:c r="J51" s="44"/>
      <x:c r="K51" s="74"/>
      <x:c r="L51" s="74"/>
      <x:c r="M51" s="44"/>
    </x:row>
    <x:row r="52">
      <x:c r="A52" s="44"/>
      <x:c r="B52" s="44"/>
      <x:c r="C52" s="44"/>
      <x:c r="D52" s="52"/>
      <x:c r="E52" s="52"/>
      <x:c r="F52" s="44"/>
      <x:c r="G52" s="44"/>
      <x:c r="H52" s="56"/>
      <x:c r="I52" s="56"/>
      <x:c r="J52" s="44"/>
      <x:c r="K52" s="74"/>
      <x:c r="L52" s="74"/>
      <x:c r="M52" s="44"/>
    </x:row>
    <x:row r="53">
      <x:c r="A53" s="44"/>
      <x:c r="B53" s="44"/>
      <x:c r="C53" s="44"/>
      <x:c r="D53" s="52"/>
      <x:c r="E53" s="52"/>
      <x:c r="F53" s="44"/>
      <x:c r="G53" s="44"/>
      <x:c r="H53" s="56"/>
      <x:c r="I53" s="56"/>
      <x:c r="J53" s="44"/>
      <x:c r="K53" s="74"/>
      <x:c r="L53" s="74"/>
      <x:c r="M53" s="44"/>
    </x:row>
    <x:row r="54">
      <x:c r="A54" s="44"/>
      <x:c r="B54" s="44"/>
      <x:c r="C54" s="44"/>
      <x:c r="D54" s="52"/>
      <x:c r="E54" s="52"/>
      <x:c r="F54" s="44"/>
      <x:c r="G54" s="44"/>
      <x:c r="H54" s="56"/>
      <x:c r="I54" s="56"/>
      <x:c r="J54" s="44"/>
      <x:c r="K54" s="74"/>
      <x:c r="L54" s="74"/>
      <x:c r="M54" s="44"/>
    </x:row>
    <x:row r="55">
      <x:c r="A55" s="44"/>
      <x:c r="B55" s="44"/>
      <x:c r="C55" s="44"/>
      <x:c r="D55" s="52"/>
      <x:c r="E55" s="52"/>
      <x:c r="F55" s="44"/>
      <x:c r="G55" s="44"/>
      <x:c r="H55" s="56"/>
      <x:c r="I55" s="56"/>
      <x:c r="J55" s="44"/>
      <x:c r="K55" s="74"/>
      <x:c r="L55" s="74"/>
      <x:c r="M55" s="44"/>
    </x:row>
    <x:row r="56">
      <x:c r="A56" s="44"/>
      <x:c r="B56" s="44"/>
      <x:c r="C56" s="44"/>
      <x:c r="D56" s="52"/>
      <x:c r="E56" s="52"/>
      <x:c r="F56" s="44"/>
      <x:c r="G56" s="44"/>
      <x:c r="H56" s="56"/>
      <x:c r="I56" s="56"/>
      <x:c r="J56" s="44"/>
      <x:c r="K56" s="74"/>
      <x:c r="L56" s="74"/>
      <x:c r="M56" s="44"/>
    </x:row>
    <x:row r="57">
      <x:c r="A57" s="44"/>
      <x:c r="B57" s="44"/>
      <x:c r="C57" s="44"/>
      <x:c r="D57" s="52"/>
      <x:c r="E57" s="52"/>
      <x:c r="F57" s="44"/>
      <x:c r="G57" s="44"/>
      <x:c r="H57" s="56"/>
      <x:c r="I57" s="56"/>
      <x:c r="J57" s="44"/>
      <x:c r="K57" s="74"/>
      <x:c r="L57" s="74"/>
      <x:c r="M57" s="44"/>
    </x:row>
    <x:row r="58">
      <x:c r="A58" s="44"/>
      <x:c r="B58" s="44"/>
      <x:c r="C58" s="44"/>
      <x:c r="D58" s="52"/>
      <x:c r="E58" s="52"/>
      <x:c r="F58" s="44"/>
      <x:c r="G58" s="44"/>
      <x:c r="H58" s="56"/>
      <x:c r="I58" s="56"/>
      <x:c r="J58" s="44"/>
      <x:c r="K58" s="74"/>
      <x:c r="L58" s="74"/>
      <x:c r="M58" s="44"/>
    </x:row>
    <x:row r="59">
      <x:c r="A59" s="44"/>
      <x:c r="B59" s="44"/>
      <x:c r="C59" s="44"/>
      <x:c r="D59" s="52"/>
      <x:c r="E59" s="52"/>
      <x:c r="F59" s="44"/>
      <x:c r="G59" s="44"/>
      <x:c r="H59" s="56"/>
      <x:c r="I59" s="56"/>
      <x:c r="J59" s="44"/>
      <x:c r="K59" s="74"/>
      <x:c r="L59" s="74"/>
      <x:c r="M59" s="44"/>
    </x:row>
    <x:row r="60">
      <x:c r="A60" s="44"/>
      <x:c r="B60" s="44"/>
      <x:c r="C60" s="44"/>
      <x:c r="D60" s="52"/>
      <x:c r="E60" s="52"/>
      <x:c r="F60" s="44"/>
      <x:c r="G60" s="44"/>
      <x:c r="H60" s="56"/>
      <x:c r="I60" s="56"/>
      <x:c r="J60" s="44"/>
      <x:c r="K60" s="74"/>
      <x:c r="L60" s="74"/>
      <x:c r="M60" s="44"/>
    </x:row>
    <x:row r="61">
      <x:c r="A61" s="44"/>
      <x:c r="B61" s="44"/>
      <x:c r="C61" s="44"/>
      <x:c r="D61" s="52"/>
      <x:c r="E61" s="52"/>
      <x:c r="F61" s="44"/>
      <x:c r="G61" s="44"/>
      <x:c r="H61" s="56"/>
      <x:c r="I61" s="56"/>
      <x:c r="J61" s="44"/>
      <x:c r="K61" s="74"/>
      <x:c r="L61" s="74"/>
      <x:c r="M61" s="44"/>
    </x:row>
    <x:row r="62">
      <x:c r="A62" s="44"/>
      <x:c r="B62" s="44"/>
      <x:c r="C62" s="44"/>
      <x:c r="D62" s="52"/>
      <x:c r="E62" s="52"/>
      <x:c r="F62" s="44"/>
      <x:c r="G62" s="44"/>
      <x:c r="H62" s="56"/>
      <x:c r="I62" s="56"/>
      <x:c r="J62" s="44"/>
      <x:c r="K62" s="74"/>
      <x:c r="L62" s="74"/>
      <x:c r="M62" s="44"/>
    </x:row>
    <x:row r="63">
      <x:c r="A63" s="44"/>
      <x:c r="B63" s="44"/>
      <x:c r="C63" s="44"/>
      <x:c r="D63" s="52"/>
      <x:c r="E63" s="52"/>
      <x:c r="F63" s="44"/>
      <x:c r="G63" s="44"/>
      <x:c r="H63" s="56"/>
      <x:c r="I63" s="56"/>
      <x:c r="J63" s="44"/>
      <x:c r="K63" s="74"/>
      <x:c r="L63" s="74"/>
      <x:c r="M63" s="44"/>
    </x:row>
    <x:row r="64">
      <x:c r="A64" s="44"/>
      <x:c r="B64" s="44"/>
      <x:c r="C64" s="44"/>
      <x:c r="D64" s="52"/>
      <x:c r="E64" s="52"/>
      <x:c r="F64" s="44"/>
      <x:c r="G64" s="44"/>
      <x:c r="H64" s="56"/>
      <x:c r="I64" s="56"/>
      <x:c r="J64" s="44"/>
      <x:c r="K64" s="74"/>
      <x:c r="L64" s="74"/>
      <x:c r="M64" s="44"/>
    </x:row>
    <x:row r="65">
      <x:c r="A65" s="44"/>
      <x:c r="B65" s="44"/>
      <x:c r="C65" s="44"/>
      <x:c r="D65" s="52"/>
      <x:c r="E65" s="52"/>
      <x:c r="F65" s="44"/>
      <x:c r="G65" s="44"/>
      <x:c r="H65" s="56"/>
      <x:c r="I65" s="56"/>
      <x:c r="J65" s="44"/>
      <x:c r="K65" s="74"/>
      <x:c r="L65" s="74"/>
      <x:c r="M65" s="44"/>
    </x:row>
    <x:row r="66">
      <x:c r="A66" s="44"/>
      <x:c r="B66" s="44"/>
      <x:c r="C66" s="44"/>
      <x:c r="D66" s="52"/>
      <x:c r="E66" s="52"/>
      <x:c r="F66" s="44"/>
      <x:c r="G66" s="44"/>
      <x:c r="H66" s="56"/>
      <x:c r="I66" s="56"/>
      <x:c r="J66" s="44"/>
      <x:c r="K66" s="74"/>
      <x:c r="L66" s="74"/>
      <x:c r="M66" s="44"/>
    </x:row>
    <x:row r="67">
      <x:c r="A67" s="44"/>
      <x:c r="B67" s="44"/>
      <x:c r="C67" s="44"/>
      <x:c r="D67" s="52"/>
      <x:c r="E67" s="52"/>
      <x:c r="F67" s="44"/>
      <x:c r="G67" s="44"/>
      <x:c r="H67" s="56"/>
      <x:c r="I67" s="56"/>
      <x:c r="J67" s="44"/>
      <x:c r="K67" s="74"/>
      <x:c r="L67" s="74"/>
      <x:c r="M67" s="44"/>
    </x:row>
    <x:row r="68">
      <x:c r="A68" s="44"/>
      <x:c r="B68" s="44"/>
      <x:c r="C68" s="44"/>
      <x:c r="D68" s="52"/>
      <x:c r="E68" s="52"/>
      <x:c r="F68" s="44"/>
      <x:c r="G68" s="44"/>
      <x:c r="H68" s="56"/>
      <x:c r="I68" s="56"/>
      <x:c r="J68" s="44"/>
      <x:c r="K68" s="74"/>
      <x:c r="L68" s="74"/>
      <x:c r="M68" s="44"/>
    </x:row>
    <x:row r="69">
      <x:c r="A69" s="44"/>
      <x:c r="B69" s="44"/>
      <x:c r="C69" s="44"/>
      <x:c r="D69" s="52"/>
      <x:c r="E69" s="52"/>
      <x:c r="F69" s="44"/>
      <x:c r="G69" s="44"/>
      <x:c r="H69" s="56"/>
      <x:c r="I69" s="56"/>
      <x:c r="J69" s="44"/>
      <x:c r="K69" s="74"/>
      <x:c r="L69" s="74"/>
      <x:c r="M69" s="44"/>
    </x:row>
    <x:row r="70">
      <x:c r="A70" s="44"/>
      <x:c r="B70" s="44"/>
      <x:c r="C70" s="44"/>
      <x:c r="D70" s="52"/>
      <x:c r="E70" s="52"/>
      <x:c r="F70" s="44"/>
      <x:c r="G70" s="44"/>
      <x:c r="H70" s="56"/>
      <x:c r="I70" s="56"/>
      <x:c r="J70" s="44"/>
      <x:c r="K70" s="74"/>
      <x:c r="L70" s="74"/>
      <x:c r="M70" s="44"/>
    </x:row>
    <x:row r="71">
      <x:c r="A71" s="44"/>
      <x:c r="B71" s="44"/>
      <x:c r="C71" s="44"/>
      <x:c r="D71" s="52"/>
      <x:c r="E71" s="52"/>
      <x:c r="F71" s="44"/>
      <x:c r="G71" s="44"/>
      <x:c r="H71" s="56"/>
      <x:c r="I71" s="56"/>
      <x:c r="J71" s="44"/>
      <x:c r="K71" s="74"/>
      <x:c r="L71" s="74"/>
      <x:c r="M71" s="44"/>
    </x:row>
    <x:row r="72">
      <x:c r="A72" s="44"/>
      <x:c r="B72" s="44"/>
      <x:c r="C72" s="44"/>
      <x:c r="D72" s="52"/>
      <x:c r="E72" s="52"/>
      <x:c r="F72" s="44"/>
      <x:c r="G72" s="44"/>
      <x:c r="H72" s="56"/>
      <x:c r="I72" s="56"/>
      <x:c r="J72" s="44"/>
      <x:c r="K72" s="74"/>
      <x:c r="L72" s="74"/>
      <x:c r="M72" s="44"/>
    </x:row>
    <x:row r="73">
      <x:c r="A73" s="44"/>
      <x:c r="B73" s="44"/>
      <x:c r="C73" s="44"/>
      <x:c r="D73" s="52"/>
      <x:c r="E73" s="52"/>
      <x:c r="F73" s="44"/>
      <x:c r="G73" s="44"/>
      <x:c r="H73" s="56"/>
      <x:c r="I73" s="56"/>
      <x:c r="J73" s="44"/>
      <x:c r="K73" s="74"/>
      <x:c r="L73" s="74"/>
      <x:c r="M73" s="44"/>
    </x:row>
    <x:row r="74">
      <x:c r="A74" s="44"/>
      <x:c r="B74" s="44"/>
      <x:c r="C74" s="44"/>
      <x:c r="D74" s="52"/>
      <x:c r="E74" s="52"/>
      <x:c r="F74" s="44"/>
      <x:c r="G74" s="44"/>
      <x:c r="H74" s="56"/>
      <x:c r="I74" s="56"/>
      <x:c r="J74" s="44"/>
      <x:c r="K74" s="74"/>
      <x:c r="L74" s="74"/>
      <x:c r="M74" s="44"/>
    </x:row>
    <x:row r="75">
      <x:c r="A75" s="44"/>
      <x:c r="B75" s="44"/>
      <x:c r="C75" s="44"/>
      <x:c r="D75" s="52"/>
      <x:c r="E75" s="52"/>
      <x:c r="F75" s="44"/>
      <x:c r="G75" s="44"/>
      <x:c r="H75" s="56"/>
      <x:c r="I75" s="56"/>
      <x:c r="J75" s="44"/>
      <x:c r="K75" s="74"/>
      <x:c r="L75" s="74"/>
      <x:c r="M75" s="44"/>
    </x:row>
    <x:row r="76">
      <x:c r="A76" s="44"/>
      <x:c r="B76" s="44"/>
      <x:c r="C76" s="44"/>
      <x:c r="D76" s="52"/>
      <x:c r="E76" s="52"/>
      <x:c r="F76" s="44"/>
      <x:c r="G76" s="44"/>
      <x:c r="H76" s="56"/>
      <x:c r="I76" s="56"/>
      <x:c r="J76" s="44"/>
      <x:c r="K76" s="74"/>
      <x:c r="L76" s="74"/>
      <x:c r="M76" s="44"/>
    </x:row>
    <x:row r="77">
      <x:c r="A77" s="44"/>
      <x:c r="B77" s="44"/>
      <x:c r="C77" s="44"/>
      <x:c r="D77" s="52"/>
      <x:c r="E77" s="52"/>
      <x:c r="F77" s="44"/>
      <x:c r="G77" s="44"/>
      <x:c r="H77" s="56"/>
      <x:c r="I77" s="56"/>
      <x:c r="J77" s="44"/>
      <x:c r="K77" s="74"/>
      <x:c r="L77" s="74"/>
      <x:c r="M77" s="44"/>
    </x:row>
    <x:row r="78">
      <x:c r="A78" s="44"/>
      <x:c r="B78" s="44"/>
      <x:c r="C78" s="44"/>
      <x:c r="D78" s="52"/>
      <x:c r="E78" s="52"/>
      <x:c r="F78" s="44"/>
      <x:c r="G78" s="44"/>
      <x:c r="H78" s="56"/>
      <x:c r="I78" s="56"/>
      <x:c r="J78" s="44"/>
      <x:c r="K78" s="74"/>
      <x:c r="L78" s="74"/>
      <x:c r="M78" s="44"/>
    </x:row>
    <x:row r="79">
      <x:c r="A79" s="44"/>
      <x:c r="B79" s="44"/>
      <x:c r="C79" s="44"/>
      <x:c r="D79" s="52"/>
      <x:c r="E79" s="52"/>
      <x:c r="F79" s="44"/>
      <x:c r="G79" s="44"/>
      <x:c r="H79" s="56"/>
      <x:c r="I79" s="56"/>
      <x:c r="J79" s="44"/>
      <x:c r="K79" s="74"/>
      <x:c r="L79" s="74"/>
      <x:c r="M79" s="44"/>
    </x:row>
    <x:row r="80">
      <x:c r="A80" s="44"/>
      <x:c r="B80" s="44"/>
      <x:c r="C80" s="44"/>
      <x:c r="D80" s="52"/>
      <x:c r="E80" s="52"/>
      <x:c r="F80" s="44"/>
      <x:c r="G80" s="44"/>
      <x:c r="H80" s="56"/>
      <x:c r="I80" s="56"/>
      <x:c r="J80" s="44"/>
      <x:c r="K80" s="74"/>
      <x:c r="L80" s="74"/>
      <x:c r="M80" s="44"/>
    </x:row>
    <x:row r="81">
      <x:c r="A81" s="44"/>
      <x:c r="B81" s="44"/>
      <x:c r="C81" s="44"/>
      <x:c r="D81" s="52"/>
      <x:c r="E81" s="52"/>
      <x:c r="F81" s="44"/>
      <x:c r="G81" s="44"/>
      <x:c r="H81" s="56"/>
      <x:c r="I81" s="56"/>
      <x:c r="J81" s="44"/>
      <x:c r="K81" s="74"/>
      <x:c r="L81" s="74"/>
      <x:c r="M81" s="44"/>
    </x:row>
    <x:row r="82">
      <x:c r="A82" s="44"/>
      <x:c r="B82" s="44"/>
      <x:c r="C82" s="44"/>
      <x:c r="D82" s="52"/>
      <x:c r="E82" s="52"/>
      <x:c r="F82" s="44"/>
      <x:c r="G82" s="44"/>
      <x:c r="H82" s="56"/>
      <x:c r="I82" s="56"/>
      <x:c r="J82" s="44"/>
      <x:c r="K82" s="74"/>
      <x:c r="L82" s="74"/>
      <x:c r="M82" s="44"/>
    </x:row>
    <x:row r="83">
      <x:c r="A83" s="44"/>
      <x:c r="B83" s="44"/>
      <x:c r="C83" s="44"/>
      <x:c r="D83" s="52"/>
      <x:c r="E83" s="52"/>
      <x:c r="F83" s="44"/>
      <x:c r="G83" s="44"/>
      <x:c r="H83" s="56"/>
      <x:c r="I83" s="56"/>
      <x:c r="J83" s="44"/>
      <x:c r="K83" s="74"/>
      <x:c r="L83" s="74"/>
      <x:c r="M83" s="44"/>
    </x:row>
    <x:row r="84">
      <x:c r="A84" s="44"/>
      <x:c r="B84" s="44"/>
      <x:c r="C84" s="44"/>
      <x:c r="D84" s="52"/>
      <x:c r="E84" s="52"/>
      <x:c r="F84" s="44"/>
      <x:c r="G84" s="44"/>
      <x:c r="H84" s="56"/>
      <x:c r="I84" s="56"/>
      <x:c r="J84" s="44"/>
      <x:c r="K84" s="74"/>
      <x:c r="L84" s="74"/>
      <x:c r="M84" s="44"/>
    </x:row>
    <x:row r="85">
      <x:c r="A85" s="44"/>
      <x:c r="B85" s="44"/>
      <x:c r="C85" s="44"/>
      <x:c r="D85" s="52"/>
      <x:c r="E85" s="52"/>
      <x:c r="F85" s="44"/>
      <x:c r="G85" s="44"/>
      <x:c r="H85" s="56"/>
      <x:c r="I85" s="56"/>
      <x:c r="J85" s="44"/>
      <x:c r="K85" s="74"/>
      <x:c r="L85" s="74"/>
      <x:c r="M85" s="44"/>
    </x:row>
    <x:row r="86">
      <x:c r="A86" s="44"/>
      <x:c r="B86" s="44"/>
      <x:c r="C86" s="44"/>
      <x:c r="D86" s="52"/>
      <x:c r="E86" s="52"/>
      <x:c r="F86" s="44"/>
      <x:c r="G86" s="44"/>
      <x:c r="H86" s="56"/>
      <x:c r="I86" s="56"/>
      <x:c r="J86" s="44"/>
      <x:c r="K86" s="74"/>
      <x:c r="L86" s="74"/>
      <x:c r="M86" s="44"/>
    </x:row>
    <x:row r="87">
      <x:c r="A87" s="44"/>
      <x:c r="B87" s="44"/>
      <x:c r="C87" s="44"/>
      <x:c r="D87" s="52"/>
      <x:c r="E87" s="52"/>
      <x:c r="F87" s="44"/>
      <x:c r="G87" s="44"/>
      <x:c r="H87" s="56"/>
      <x:c r="I87" s="56"/>
      <x:c r="J87" s="44"/>
      <x:c r="K87" s="74"/>
      <x:c r="L87" s="74"/>
      <x:c r="M87" s="44"/>
    </x:row>
    <x:row r="88">
      <x:c r="A88" s="44"/>
      <x:c r="B88" s="44"/>
      <x:c r="C88" s="44"/>
      <x:c r="D88" s="52"/>
      <x:c r="E88" s="52"/>
      <x:c r="F88" s="44"/>
      <x:c r="G88" s="44"/>
      <x:c r="H88" s="56"/>
      <x:c r="I88" s="56"/>
      <x:c r="J88" s="44"/>
      <x:c r="K88" s="74"/>
      <x:c r="L88" s="74"/>
      <x:c r="M88" s="44"/>
    </x:row>
    <x:row r="89">
      <x:c r="A89" s="44"/>
      <x:c r="B89" s="44"/>
      <x:c r="C89" s="44"/>
      <x:c r="D89" s="52"/>
      <x:c r="E89" s="52"/>
      <x:c r="F89" s="44"/>
      <x:c r="G89" s="44"/>
      <x:c r="H89" s="56"/>
      <x:c r="I89" s="56"/>
      <x:c r="J89" s="44"/>
      <x:c r="K89" s="74"/>
      <x:c r="L89" s="74"/>
      <x:c r="M89" s="44"/>
    </x:row>
    <x:row r="90">
      <x:c r="A90" s="44"/>
      <x:c r="B90" s="44"/>
      <x:c r="C90" s="44"/>
      <x:c r="D90" s="52"/>
      <x:c r="E90" s="52"/>
      <x:c r="F90" s="44"/>
      <x:c r="G90" s="44"/>
      <x:c r="H90" s="56"/>
      <x:c r="I90" s="56"/>
      <x:c r="J90" s="44"/>
      <x:c r="K90" s="74"/>
      <x:c r="L90" s="74"/>
      <x:c r="M90" s="44"/>
    </x:row>
    <x:row r="91">
      <x:c r="A91" s="44"/>
      <x:c r="B91" s="44"/>
      <x:c r="C91" s="44"/>
      <x:c r="D91" s="52"/>
      <x:c r="E91" s="52"/>
      <x:c r="F91" s="44"/>
      <x:c r="G91" s="44"/>
      <x:c r="H91" s="56"/>
      <x:c r="I91" s="56"/>
      <x:c r="J91" s="44"/>
      <x:c r="K91" s="74"/>
      <x:c r="L91" s="74"/>
      <x:c r="M91" s="44"/>
    </x:row>
    <x:row r="92">
      <x:c r="A92" s="44"/>
      <x:c r="B92" s="44"/>
      <x:c r="C92" s="44"/>
      <x:c r="D92" s="52"/>
      <x:c r="E92" s="52"/>
      <x:c r="F92" s="44"/>
      <x:c r="G92" s="44"/>
      <x:c r="H92" s="56"/>
      <x:c r="I92" s="56"/>
      <x:c r="J92" s="44"/>
      <x:c r="K92" s="74"/>
      <x:c r="L92" s="74"/>
      <x:c r="M92" s="44"/>
    </x:row>
    <x:row r="93">
      <x:c r="A93" s="44"/>
      <x:c r="B93" s="44"/>
      <x:c r="C93" s="44"/>
      <x:c r="D93" s="52"/>
      <x:c r="E93" s="52"/>
      <x:c r="F93" s="44"/>
      <x:c r="G93" s="44"/>
      <x:c r="H93" s="56"/>
      <x:c r="I93" s="56"/>
      <x:c r="J93" s="44"/>
      <x:c r="K93" s="74"/>
      <x:c r="L93" s="74"/>
      <x:c r="M93" s="44"/>
    </x:row>
    <x:row r="94">
      <x:c r="A94" s="44"/>
      <x:c r="B94" s="44"/>
      <x:c r="C94" s="44"/>
      <x:c r="D94" s="52"/>
      <x:c r="E94" s="52"/>
      <x:c r="F94" s="44"/>
      <x:c r="G94" s="44"/>
      <x:c r="H94" s="56"/>
      <x:c r="I94" s="56"/>
      <x:c r="J94" s="44"/>
      <x:c r="K94" s="74"/>
      <x:c r="L94" s="74"/>
      <x:c r="M94" s="44"/>
    </x:row>
    <x:row r="95">
      <x:c r="A95" s="44"/>
      <x:c r="B95" s="44"/>
      <x:c r="C95" s="44"/>
      <x:c r="D95" s="52"/>
      <x:c r="E95" s="52"/>
      <x:c r="F95" s="44"/>
      <x:c r="G95" s="44"/>
      <x:c r="H95" s="56"/>
      <x:c r="I95" s="56"/>
      <x:c r="J95" s="44"/>
      <x:c r="K95" s="74"/>
      <x:c r="L95" s="74"/>
      <x:c r="M95" s="44"/>
    </x:row>
    <x:row r="96">
      <x:c r="A96" s="44"/>
      <x:c r="B96" s="44"/>
      <x:c r="C96" s="44"/>
      <x:c r="D96" s="52"/>
      <x:c r="E96" s="52"/>
      <x:c r="F96" s="44"/>
      <x:c r="G96" s="44"/>
      <x:c r="H96" s="56"/>
      <x:c r="I96" s="56"/>
      <x:c r="J96" s="44"/>
      <x:c r="K96" s="74"/>
      <x:c r="L96" s="74"/>
      <x:c r="M96" s="44"/>
    </x:row>
    <x:row r="97">
      <x:c r="A97" s="44"/>
      <x:c r="B97" s="44"/>
      <x:c r="C97" s="44"/>
      <x:c r="D97" s="52"/>
      <x:c r="E97" s="52"/>
      <x:c r="F97" s="44"/>
      <x:c r="G97" s="44"/>
      <x:c r="H97" s="56"/>
      <x:c r="I97" s="56"/>
      <x:c r="J97" s="44"/>
      <x:c r="K97" s="74"/>
      <x:c r="L97" s="74"/>
      <x:c r="M97" s="44"/>
    </x:row>
    <x:row r="98">
      <x:c r="A98" s="44"/>
      <x:c r="B98" s="44"/>
      <x:c r="C98" s="44"/>
      <x:c r="D98" s="52"/>
      <x:c r="E98" s="52"/>
      <x:c r="F98" s="44"/>
      <x:c r="G98" s="44"/>
      <x:c r="H98" s="56"/>
      <x:c r="I98" s="56"/>
      <x:c r="J98" s="44"/>
      <x:c r="K98" s="74"/>
      <x:c r="L98" s="74"/>
      <x:c r="M98" s="44"/>
    </x:row>
    <x:row r="99">
      <x:c r="A99" s="44"/>
      <x:c r="B99" s="44"/>
      <x:c r="C99" s="44"/>
      <x:c r="D99" s="52"/>
      <x:c r="E99" s="52"/>
      <x:c r="F99" s="44"/>
      <x:c r="G99" s="44"/>
      <x:c r="H99" s="56"/>
      <x:c r="I99" s="56"/>
      <x:c r="J99" s="44"/>
      <x:c r="K99" s="74"/>
      <x:c r="L99" s="74"/>
      <x:c r="M99" s="44"/>
    </x:row>
    <x:row r="100">
      <x:c r="A100" s="44"/>
      <x:c r="B100" s="44"/>
      <x:c r="C100" s="44"/>
      <x:c r="D100" s="52"/>
      <x:c r="E100" s="52"/>
      <x:c r="F100" s="44"/>
      <x:c r="G100" s="44"/>
      <x:c r="H100" s="56"/>
      <x:c r="I100" s="56"/>
      <x:c r="J100" s="44"/>
      <x:c r="K100" s="74"/>
      <x:c r="L100" s="74"/>
      <x:c r="M100" s="44"/>
    </x:row>
    <x:row r="101">
      <x:c r="A101" s="44"/>
      <x:c r="B101" s="44"/>
      <x:c r="C101" s="44"/>
      <x:c r="D101" s="52"/>
      <x:c r="E101" s="52"/>
      <x:c r="F101" s="44"/>
      <x:c r="G101" s="44"/>
      <x:c r="H101" s="56"/>
      <x:c r="I101" s="56"/>
      <x:c r="J101" s="44"/>
      <x:c r="K101" s="74"/>
      <x:c r="L101" s="74"/>
      <x:c r="M101" s="44"/>
    </x:row>
    <x:row r="102">
      <x:c r="A102" s="44"/>
      <x:c r="B102" s="44"/>
      <x:c r="C102" s="44"/>
      <x:c r="D102" s="52"/>
      <x:c r="E102" s="52"/>
      <x:c r="F102" s="44"/>
      <x:c r="G102" s="44"/>
      <x:c r="H102" s="56"/>
      <x:c r="I102" s="56"/>
      <x:c r="J102" s="44"/>
      <x:c r="K102" s="74"/>
      <x:c r="L102" s="74"/>
      <x:c r="M102" s="44"/>
    </x:row>
    <x:row r="103">
      <x:c r="A103" s="44"/>
      <x:c r="B103" s="44"/>
      <x:c r="C103" s="44"/>
      <x:c r="D103" s="52"/>
      <x:c r="E103" s="52"/>
      <x:c r="F103" s="44"/>
      <x:c r="G103" s="44"/>
      <x:c r="H103" s="56"/>
      <x:c r="I103" s="56"/>
      <x:c r="J103" s="44"/>
      <x:c r="K103" s="74"/>
      <x:c r="L103" s="74"/>
      <x:c r="M103" s="44"/>
    </x:row>
    <x:row r="104">
      <x:c r="A104" s="44"/>
      <x:c r="B104" s="44"/>
      <x:c r="C104" s="44"/>
      <x:c r="D104" s="52"/>
      <x:c r="E104" s="52"/>
      <x:c r="F104" s="44"/>
      <x:c r="G104" s="44"/>
      <x:c r="H104" s="56"/>
      <x:c r="I104" s="56"/>
      <x:c r="J104" s="44"/>
      <x:c r="K104" s="74"/>
      <x:c r="L104" s="74"/>
      <x:c r="M104" s="44"/>
    </x:row>
    <x:row r="105">
      <x:c r="A105" s="44"/>
      <x:c r="B105" s="44"/>
      <x:c r="C105" s="44"/>
      <x:c r="D105" s="52"/>
      <x:c r="E105" s="52"/>
      <x:c r="F105" s="44"/>
      <x:c r="G105" s="44"/>
      <x:c r="H105" s="56"/>
      <x:c r="I105" s="56"/>
      <x:c r="J105" s="44"/>
      <x:c r="K105" s="74"/>
      <x:c r="L105" s="74"/>
      <x:c r="M105" s="44"/>
    </x:row>
    <x:row r="106">
      <x:c r="A106" s="44"/>
      <x:c r="B106" s="44"/>
      <x:c r="C106" s="44"/>
      <x:c r="D106" s="52"/>
      <x:c r="E106" s="52"/>
      <x:c r="F106" s="44"/>
      <x:c r="G106" s="44"/>
      <x:c r="H106" s="56"/>
      <x:c r="I106" s="56"/>
      <x:c r="J106" s="44"/>
      <x:c r="K106" s="74"/>
      <x:c r="L106" s="74"/>
      <x:c r="M106" s="44"/>
    </x:row>
    <x:row r="107">
      <x:c r="A107" s="44"/>
      <x:c r="B107" s="44"/>
      <x:c r="C107" s="44"/>
      <x:c r="D107" s="52"/>
      <x:c r="E107" s="52"/>
      <x:c r="F107" s="44"/>
      <x:c r="G107" s="44"/>
      <x:c r="H107" s="56"/>
      <x:c r="I107" s="56"/>
      <x:c r="J107" s="44"/>
      <x:c r="K107" s="74"/>
      <x:c r="L107" s="74"/>
      <x:c r="M107" s="44"/>
    </x:row>
    <x:row r="108">
      <x:c r="A108" s="44"/>
      <x:c r="B108" s="44"/>
      <x:c r="C108" s="44"/>
      <x:c r="D108" s="52"/>
      <x:c r="E108" s="52"/>
      <x:c r="F108" s="44"/>
      <x:c r="G108" s="44"/>
      <x:c r="H108" s="56"/>
      <x:c r="I108" s="56"/>
      <x:c r="J108" s="44"/>
      <x:c r="K108" s="74"/>
      <x:c r="L108" s="74"/>
      <x:c r="M108" s="44"/>
    </x:row>
    <x:row r="109">
      <x:c r="A109" s="44"/>
      <x:c r="B109" s="44"/>
      <x:c r="C109" s="44"/>
      <x:c r="D109" s="52"/>
      <x:c r="E109" s="52"/>
      <x:c r="F109" s="44"/>
      <x:c r="G109" s="44"/>
      <x:c r="H109" s="56"/>
      <x:c r="I109" s="56"/>
      <x:c r="J109" s="44"/>
      <x:c r="K109" s="74"/>
      <x:c r="L109" s="74"/>
      <x:c r="M109" s="44"/>
    </x:row>
    <x:row r="110">
      <x:c r="A110" s="44"/>
      <x:c r="B110" s="44"/>
      <x:c r="C110" s="44"/>
      <x:c r="D110" s="52"/>
      <x:c r="E110" s="52"/>
      <x:c r="F110" s="44"/>
      <x:c r="G110" s="44"/>
      <x:c r="H110" s="56"/>
      <x:c r="I110" s="56"/>
      <x:c r="J110" s="44"/>
      <x:c r="K110" s="74"/>
      <x:c r="L110" s="74"/>
      <x:c r="M110" s="44"/>
    </x:row>
    <x:row r="111">
      <x:c r="A111" s="44"/>
      <x:c r="B111" s="44"/>
      <x:c r="C111" s="44"/>
      <x:c r="D111" s="52"/>
      <x:c r="E111" s="52"/>
      <x:c r="F111" s="44"/>
      <x:c r="G111" s="44"/>
      <x:c r="H111" s="56"/>
      <x:c r="I111" s="56"/>
      <x:c r="J111" s="44"/>
      <x:c r="K111" s="74"/>
      <x:c r="L111" s="74"/>
      <x:c r="M111" s="44"/>
    </x:row>
    <x:row r="112">
      <x:c r="A112" s="44"/>
      <x:c r="B112" s="44"/>
      <x:c r="C112" s="44"/>
      <x:c r="D112" s="52"/>
      <x:c r="E112" s="52"/>
      <x:c r="F112" s="44"/>
      <x:c r="G112" s="44"/>
      <x:c r="H112" s="56"/>
      <x:c r="I112" s="56"/>
      <x:c r="J112" s="44"/>
      <x:c r="K112" s="74"/>
      <x:c r="L112" s="74"/>
      <x:c r="M112" s="44"/>
    </x:row>
    <x:row r="113">
      <x:c r="A113" s="44"/>
      <x:c r="B113" s="44"/>
      <x:c r="C113" s="44"/>
      <x:c r="D113" s="52"/>
      <x:c r="E113" s="52"/>
      <x:c r="F113" s="44"/>
      <x:c r="G113" s="44"/>
      <x:c r="H113" s="56"/>
      <x:c r="I113" s="56"/>
      <x:c r="J113" s="44"/>
      <x:c r="K113" s="74"/>
      <x:c r="L113" s="74"/>
      <x:c r="M113" s="44"/>
    </x:row>
    <x:row r="114">
      <x:c r="A114" s="44"/>
      <x:c r="B114" s="44"/>
      <x:c r="C114" s="44"/>
      <x:c r="D114" s="52"/>
      <x:c r="E114" s="52"/>
      <x:c r="F114" s="44"/>
      <x:c r="G114" s="44"/>
      <x:c r="H114" s="56"/>
      <x:c r="I114" s="56"/>
      <x:c r="J114" s="44"/>
      <x:c r="K114" s="74"/>
      <x:c r="L114" s="74"/>
      <x:c r="M114" s="44"/>
    </x:row>
    <x:row r="115">
      <x:c r="A115" s="44"/>
      <x:c r="B115" s="44"/>
      <x:c r="C115" s="44"/>
      <x:c r="D115" s="52"/>
      <x:c r="E115" s="52"/>
      <x:c r="F115" s="44"/>
      <x:c r="G115" s="44"/>
      <x:c r="H115" s="56"/>
      <x:c r="I115" s="56"/>
      <x:c r="J115" s="44"/>
      <x:c r="K115" s="74"/>
      <x:c r="L115" s="74"/>
      <x:c r="M115" s="44"/>
    </x:row>
    <x:row r="116">
      <x:c r="A116" s="44"/>
      <x:c r="B116" s="44"/>
      <x:c r="C116" s="44"/>
      <x:c r="D116" s="52"/>
      <x:c r="E116" s="52"/>
      <x:c r="F116" s="44"/>
      <x:c r="G116" s="44"/>
      <x:c r="H116" s="56"/>
      <x:c r="I116" s="56"/>
      <x:c r="J116" s="44"/>
      <x:c r="K116" s="74"/>
      <x:c r="L116" s="74"/>
      <x:c r="M116" s="44"/>
    </x:row>
    <x:row r="117">
      <x:c r="A117" s="44"/>
      <x:c r="B117" s="44"/>
      <x:c r="C117" s="44"/>
      <x:c r="D117" s="52"/>
      <x:c r="E117" s="52"/>
      <x:c r="F117" s="44"/>
      <x:c r="G117" s="44"/>
      <x:c r="H117" s="56"/>
      <x:c r="I117" s="56"/>
      <x:c r="J117" s="44"/>
      <x:c r="K117" s="74"/>
      <x:c r="L117" s="74"/>
      <x:c r="M117" s="44"/>
    </x:row>
    <x:row r="118">
      <x:c r="A118" s="44"/>
      <x:c r="B118" s="44"/>
      <x:c r="C118" s="44"/>
      <x:c r="D118" s="52"/>
      <x:c r="E118" s="52"/>
      <x:c r="F118" s="44"/>
      <x:c r="G118" s="44"/>
      <x:c r="H118" s="56"/>
      <x:c r="I118" s="56"/>
      <x:c r="J118" s="44"/>
      <x:c r="K118" s="74"/>
      <x:c r="L118" s="74"/>
      <x:c r="M118" s="44"/>
    </x:row>
    <x:row r="119">
      <x:c r="A119" s="44"/>
      <x:c r="B119" s="44"/>
      <x:c r="C119" s="44"/>
      <x:c r="D119" s="52"/>
      <x:c r="E119" s="52"/>
      <x:c r="F119" s="44"/>
      <x:c r="G119" s="44"/>
      <x:c r="H119" s="56"/>
      <x:c r="I119" s="56"/>
      <x:c r="J119" s="44"/>
      <x:c r="K119" s="74"/>
      <x:c r="L119" s="74"/>
      <x:c r="M119" s="44"/>
    </x:row>
    <x:row r="120">
      <x:c r="A120" s="44"/>
      <x:c r="B120" s="44"/>
      <x:c r="C120" s="44"/>
      <x:c r="D120" s="52"/>
      <x:c r="E120" s="52"/>
      <x:c r="F120" s="44"/>
      <x:c r="G120" s="44"/>
      <x:c r="H120" s="56"/>
      <x:c r="I120" s="56"/>
      <x:c r="J120" s="44"/>
      <x:c r="K120" s="74"/>
      <x:c r="L120" s="74"/>
      <x:c r="M120" s="44"/>
    </x:row>
    <x:row r="121">
      <x:c r="A121" s="44"/>
      <x:c r="B121" s="44"/>
      <x:c r="C121" s="44"/>
      <x:c r="D121" s="52"/>
      <x:c r="E121" s="52"/>
      <x:c r="F121" s="44"/>
      <x:c r="G121" s="44"/>
      <x:c r="H121" s="56"/>
      <x:c r="I121" s="56"/>
      <x:c r="J121" s="44"/>
      <x:c r="K121" s="74"/>
      <x:c r="L121" s="74"/>
      <x:c r="M121" s="44"/>
    </x:row>
    <x:row r="122">
      <x:c r="A122" s="44"/>
      <x:c r="B122" s="44"/>
      <x:c r="C122" s="44"/>
      <x:c r="D122" s="52"/>
      <x:c r="E122" s="52"/>
      <x:c r="F122" s="44"/>
      <x:c r="G122" s="44"/>
      <x:c r="H122" s="56"/>
      <x:c r="I122" s="56"/>
      <x:c r="J122" s="44"/>
      <x:c r="K122" s="74"/>
      <x:c r="L122" s="74"/>
      <x:c r="M122" s="44"/>
    </x:row>
    <x:row r="123">
      <x:c r="A123" s="44"/>
      <x:c r="B123" s="44"/>
      <x:c r="C123" s="44"/>
      <x:c r="D123" s="52"/>
      <x:c r="E123" s="52"/>
      <x:c r="F123" s="44"/>
      <x:c r="G123" s="44"/>
      <x:c r="H123" s="56"/>
      <x:c r="I123" s="56"/>
      <x:c r="J123" s="44"/>
      <x:c r="K123" s="74"/>
      <x:c r="L123" s="74"/>
      <x:c r="M123" s="44"/>
    </x:row>
    <x:row r="124">
      <x:c r="A124" s="44"/>
      <x:c r="B124" s="44"/>
      <x:c r="C124" s="44"/>
      <x:c r="D124" s="52"/>
      <x:c r="E124" s="52"/>
      <x:c r="F124" s="44"/>
      <x:c r="G124" s="44"/>
      <x:c r="H124" s="56"/>
      <x:c r="I124" s="56"/>
      <x:c r="J124" s="44"/>
      <x:c r="K124" s="74"/>
      <x:c r="L124" s="74"/>
      <x:c r="M124" s="44"/>
    </x:row>
    <x:row r="125">
      <x:c r="A125" s="44"/>
      <x:c r="B125" s="44"/>
      <x:c r="C125" s="44"/>
      <x:c r="D125" s="52"/>
      <x:c r="E125" s="52"/>
      <x:c r="F125" s="44"/>
      <x:c r="G125" s="44"/>
      <x:c r="H125" s="56"/>
      <x:c r="I125" s="56"/>
      <x:c r="J125" s="44"/>
      <x:c r="K125" s="74"/>
      <x:c r="L125" s="74"/>
      <x:c r="M125" s="44"/>
    </x:row>
    <x:row r="126">
      <x:c r="A126" s="44"/>
      <x:c r="B126" s="44"/>
      <x:c r="C126" s="44"/>
      <x:c r="D126" s="52"/>
      <x:c r="E126" s="52"/>
      <x:c r="F126" s="44"/>
      <x:c r="G126" s="44"/>
      <x:c r="H126" s="56"/>
      <x:c r="I126" s="56"/>
      <x:c r="J126" s="44"/>
      <x:c r="K126" s="74"/>
      <x:c r="L126" s="74"/>
      <x:c r="M126" s="44"/>
    </x:row>
    <x:row r="127">
      <x:c r="A127" s="44"/>
      <x:c r="B127" s="44"/>
      <x:c r="C127" s="44"/>
      <x:c r="D127" s="52"/>
      <x:c r="E127" s="52"/>
      <x:c r="F127" s="44"/>
      <x:c r="G127" s="44"/>
      <x:c r="H127" s="56"/>
      <x:c r="I127" s="56"/>
      <x:c r="J127" s="44"/>
      <x:c r="K127" s="74"/>
      <x:c r="L127" s="74"/>
      <x:c r="M127" s="44"/>
    </x:row>
    <x:row r="128">
      <x:c r="A128" s="44"/>
      <x:c r="B128" s="44"/>
      <x:c r="C128" s="44"/>
      <x:c r="D128" s="52"/>
      <x:c r="E128" s="52"/>
      <x:c r="F128" s="44"/>
      <x:c r="G128" s="44"/>
      <x:c r="H128" s="56"/>
      <x:c r="I128" s="56"/>
      <x:c r="J128" s="44"/>
      <x:c r="K128" s="74"/>
      <x:c r="L128" s="74"/>
      <x:c r="M128" s="44"/>
    </x:row>
    <x:row r="129">
      <x:c r="A129" s="44"/>
      <x:c r="B129" s="44"/>
      <x:c r="C129" s="44"/>
      <x:c r="D129" s="52"/>
      <x:c r="E129" s="52"/>
      <x:c r="F129" s="44"/>
      <x:c r="G129" s="44"/>
      <x:c r="H129" s="56"/>
      <x:c r="I129" s="56"/>
      <x:c r="J129" s="44"/>
      <x:c r="K129" s="74"/>
      <x:c r="L129" s="74"/>
      <x:c r="M129" s="44"/>
    </x:row>
    <x:row r="130">
      <x:c r="A130" s="44"/>
      <x:c r="B130" s="44"/>
      <x:c r="C130" s="44"/>
      <x:c r="D130" s="52"/>
      <x:c r="E130" s="52"/>
      <x:c r="F130" s="44"/>
      <x:c r="G130" s="44"/>
      <x:c r="H130" s="56"/>
      <x:c r="I130" s="56"/>
      <x:c r="J130" s="44"/>
      <x:c r="K130" s="74"/>
      <x:c r="L130" s="74"/>
      <x:c r="M130" s="44"/>
    </x:row>
    <x:row r="131">
      <x:c r="A131" s="44"/>
      <x:c r="B131" s="44"/>
      <x:c r="C131" s="44"/>
      <x:c r="D131" s="52"/>
      <x:c r="E131" s="52"/>
      <x:c r="F131" s="44"/>
      <x:c r="G131" s="44"/>
      <x:c r="H131" s="56"/>
      <x:c r="I131" s="56"/>
      <x:c r="J131" s="44"/>
      <x:c r="K131" s="74"/>
      <x:c r="L131" s="74"/>
      <x:c r="M131" s="44"/>
    </x:row>
    <x:row r="132">
      <x:c r="A132" s="44"/>
      <x:c r="B132" s="44"/>
      <x:c r="C132" s="44"/>
      <x:c r="D132" s="52"/>
      <x:c r="E132" s="52"/>
      <x:c r="F132" s="44"/>
      <x:c r="G132" s="44"/>
      <x:c r="H132" s="56"/>
      <x:c r="I132" s="56"/>
      <x:c r="J132" s="44"/>
      <x:c r="K132" s="74"/>
      <x:c r="L132" s="74"/>
      <x:c r="M132" s="44"/>
    </x:row>
    <x:row r="133">
      <x:c r="A133" s="44"/>
      <x:c r="B133" s="44"/>
      <x:c r="C133" s="44"/>
      <x:c r="D133" s="52"/>
      <x:c r="E133" s="52"/>
      <x:c r="F133" s="44"/>
      <x:c r="G133" s="44"/>
      <x:c r="H133" s="56"/>
      <x:c r="I133" s="56"/>
      <x:c r="J133" s="44"/>
      <x:c r="K133" s="74"/>
      <x:c r="L133" s="74"/>
      <x:c r="M133" s="44"/>
    </x:row>
    <x:row r="134">
      <x:c r="A134" s="44"/>
      <x:c r="B134" s="44"/>
      <x:c r="C134" s="44"/>
      <x:c r="D134" s="52"/>
      <x:c r="E134" s="52"/>
      <x:c r="F134" s="44"/>
      <x:c r="G134" s="44"/>
      <x:c r="H134" s="56"/>
      <x:c r="I134" s="56"/>
      <x:c r="J134" s="44"/>
      <x:c r="K134" s="74"/>
      <x:c r="L134" s="74"/>
      <x:c r="M134" s="44"/>
    </x:row>
    <x:row r="135">
      <x:c r="A135" s="44"/>
      <x:c r="B135" s="44"/>
      <x:c r="C135" s="44"/>
      <x:c r="D135" s="52"/>
      <x:c r="E135" s="52"/>
      <x:c r="F135" s="44"/>
      <x:c r="G135" s="44"/>
      <x:c r="H135" s="56"/>
      <x:c r="I135" s="56"/>
      <x:c r="J135" s="44"/>
      <x:c r="K135" s="74"/>
      <x:c r="L135" s="74"/>
      <x:c r="M135" s="44"/>
    </x:row>
    <x:row r="136">
      <x:c r="A136" s="44"/>
      <x:c r="B136" s="44"/>
      <x:c r="C136" s="44"/>
      <x:c r="D136" s="52"/>
      <x:c r="E136" s="52"/>
      <x:c r="F136" s="44"/>
      <x:c r="G136" s="44"/>
      <x:c r="H136" s="56"/>
      <x:c r="I136" s="56"/>
      <x:c r="J136" s="44"/>
      <x:c r="K136" s="74"/>
      <x:c r="L136" s="74"/>
      <x:c r="M136" s="44"/>
    </x:row>
    <x:row r="137">
      <x:c r="A137" s="44"/>
      <x:c r="B137" s="44"/>
      <x:c r="C137" s="44"/>
      <x:c r="D137" s="52"/>
      <x:c r="E137" s="52"/>
      <x:c r="F137" s="44"/>
      <x:c r="G137" s="44"/>
      <x:c r="H137" s="56"/>
      <x:c r="I137" s="56"/>
      <x:c r="J137" s="44"/>
      <x:c r="K137" s="74"/>
      <x:c r="L137" s="74"/>
      <x:c r="M137" s="44"/>
    </x:row>
    <x:row r="138">
      <x:c r="A138" s="44"/>
      <x:c r="B138" s="44"/>
      <x:c r="C138" s="44"/>
      <x:c r="D138" s="52"/>
      <x:c r="E138" s="52"/>
      <x:c r="F138" s="44"/>
      <x:c r="G138" s="44"/>
      <x:c r="H138" s="56"/>
      <x:c r="I138" s="56"/>
      <x:c r="J138" s="44"/>
      <x:c r="K138" s="74"/>
      <x:c r="L138" s="74"/>
      <x:c r="M138" s="44"/>
    </x:row>
    <x:row r="139">
      <x:c r="A139" s="44"/>
      <x:c r="B139" s="44"/>
      <x:c r="C139" s="44"/>
      <x:c r="D139" s="52"/>
      <x:c r="E139" s="52"/>
      <x:c r="F139" s="44"/>
      <x:c r="G139" s="44"/>
      <x:c r="H139" s="56"/>
      <x:c r="I139" s="56"/>
      <x:c r="J139" s="44"/>
      <x:c r="K139" s="74"/>
      <x:c r="L139" s="74"/>
      <x:c r="M139" s="44"/>
    </x:row>
    <x:row r="140">
      <x:c r="A140" s="44"/>
      <x:c r="B140" s="44"/>
      <x:c r="C140" s="44"/>
      <x:c r="D140" s="52"/>
      <x:c r="E140" s="52"/>
      <x:c r="F140" s="44"/>
      <x:c r="G140" s="44"/>
      <x:c r="H140" s="56"/>
      <x:c r="I140" s="56"/>
      <x:c r="J140" s="44"/>
      <x:c r="K140" s="74"/>
      <x:c r="L140" s="74"/>
      <x:c r="M140" s="44"/>
    </x:row>
    <x:row r="141">
      <x:c r="A141" s="44"/>
      <x:c r="B141" s="44"/>
      <x:c r="C141" s="44"/>
      <x:c r="D141" s="52"/>
      <x:c r="E141" s="52"/>
      <x:c r="F141" s="44"/>
      <x:c r="G141" s="44"/>
      <x:c r="H141" s="56"/>
      <x:c r="I141" s="56"/>
      <x:c r="J141" s="44"/>
      <x:c r="K141" s="74"/>
      <x:c r="L141" s="74"/>
      <x:c r="M141" s="44"/>
    </x:row>
    <x:row r="142">
      <x:c r="A142" s="44"/>
      <x:c r="B142" s="44"/>
      <x:c r="C142" s="44"/>
      <x:c r="D142" s="52"/>
      <x:c r="E142" s="52"/>
      <x:c r="F142" s="44"/>
      <x:c r="G142" s="44"/>
      <x:c r="H142" s="56"/>
      <x:c r="I142" s="56"/>
      <x:c r="J142" s="44"/>
      <x:c r="K142" s="74"/>
      <x:c r="L142" s="74"/>
      <x:c r="M142" s="44"/>
    </x:row>
    <x:row r="143">
      <x:c r="A143" s="44"/>
      <x:c r="B143" s="44"/>
      <x:c r="C143" s="44"/>
      <x:c r="D143" s="52"/>
      <x:c r="E143" s="52"/>
      <x:c r="F143" s="44"/>
      <x:c r="G143" s="44"/>
      <x:c r="H143" s="56"/>
      <x:c r="I143" s="56"/>
      <x:c r="J143" s="44"/>
      <x:c r="K143" s="74"/>
      <x:c r="L143" s="74"/>
      <x:c r="M143" s="44"/>
    </x:row>
    <x:row r="144">
      <x:c r="A144" s="44"/>
      <x:c r="B144" s="44"/>
      <x:c r="C144" s="44"/>
      <x:c r="D144" s="52"/>
      <x:c r="E144" s="52"/>
      <x:c r="F144" s="44"/>
      <x:c r="G144" s="44"/>
      <x:c r="H144" s="56"/>
      <x:c r="I144" s="56"/>
      <x:c r="J144" s="44"/>
      <x:c r="K144" s="74"/>
      <x:c r="L144" s="74"/>
      <x:c r="M144" s="44"/>
    </x:row>
    <x:row r="145">
      <x:c r="A145" s="44"/>
      <x:c r="B145" s="44"/>
      <x:c r="C145" s="44"/>
      <x:c r="D145" s="52"/>
      <x:c r="E145" s="52"/>
      <x:c r="F145" s="44"/>
      <x:c r="G145" s="44"/>
      <x:c r="H145" s="56"/>
      <x:c r="I145" s="56"/>
      <x:c r="J145" s="44"/>
      <x:c r="K145" s="74"/>
      <x:c r="L145" s="74"/>
      <x:c r="M145" s="44"/>
    </x:row>
    <x:row r="146">
      <x:c r="A146" s="44"/>
      <x:c r="B146" s="44"/>
      <x:c r="C146" s="44"/>
      <x:c r="D146" s="52"/>
      <x:c r="E146" s="52"/>
      <x:c r="F146" s="44"/>
      <x:c r="G146" s="44"/>
      <x:c r="H146" s="56"/>
      <x:c r="I146" s="56"/>
      <x:c r="J146" s="44"/>
      <x:c r="K146" s="74"/>
      <x:c r="L146" s="74"/>
      <x:c r="M146" s="44"/>
    </x:row>
    <x:row r="147">
      <x:c r="A147" s="44"/>
      <x:c r="B147" s="44"/>
      <x:c r="C147" s="44"/>
      <x:c r="D147" s="52"/>
      <x:c r="E147" s="52"/>
      <x:c r="F147" s="44"/>
      <x:c r="G147" s="44"/>
      <x:c r="H147" s="56"/>
      <x:c r="I147" s="56"/>
      <x:c r="J147" s="44"/>
      <x:c r="K147" s="74"/>
      <x:c r="L147" s="74"/>
      <x:c r="M147" s="44"/>
    </x:row>
    <x:row r="148">
      <x:c r="A148" s="44"/>
      <x:c r="B148" s="44"/>
      <x:c r="C148" s="44"/>
      <x:c r="D148" s="52"/>
      <x:c r="E148" s="52"/>
      <x:c r="F148" s="44"/>
      <x:c r="G148" s="44"/>
      <x:c r="H148" s="56"/>
      <x:c r="I148" s="56"/>
      <x:c r="J148" s="44"/>
      <x:c r="K148" s="74"/>
      <x:c r="L148" s="74"/>
      <x:c r="M148" s="44"/>
    </x:row>
    <x:row r="149">
      <x:c r="A149" s="44"/>
      <x:c r="B149" s="44"/>
      <x:c r="C149" s="44"/>
      <x:c r="D149" s="52"/>
      <x:c r="E149" s="52"/>
      <x:c r="F149" s="44"/>
      <x:c r="G149" s="44"/>
      <x:c r="H149" s="56"/>
      <x:c r="I149" s="56"/>
      <x:c r="J149" s="44"/>
      <x:c r="K149" s="74"/>
      <x:c r="L149" s="74"/>
      <x:c r="M149" s="44"/>
    </x:row>
    <x:row r="150">
      <x:c r="A150" s="44"/>
      <x:c r="B150" s="44"/>
      <x:c r="C150" s="44"/>
      <x:c r="D150" s="52"/>
      <x:c r="E150" s="52"/>
      <x:c r="F150" s="44"/>
      <x:c r="G150" s="44"/>
      <x:c r="H150" s="56"/>
      <x:c r="I150" s="56"/>
      <x:c r="J150" s="44"/>
      <x:c r="K150" s="74"/>
      <x:c r="L150" s="74"/>
      <x:c r="M150" s="44"/>
    </x:row>
    <x:row r="151">
      <x:c r="A151" s="44"/>
      <x:c r="B151" s="44"/>
      <x:c r="C151" s="44"/>
      <x:c r="D151" s="52"/>
      <x:c r="E151" s="52"/>
      <x:c r="F151" s="44"/>
      <x:c r="G151" s="44"/>
      <x:c r="H151" s="56"/>
      <x:c r="I151" s="56"/>
      <x:c r="J151" s="44"/>
      <x:c r="K151" s="74"/>
      <x:c r="L151" s="74"/>
      <x:c r="M151" s="44"/>
    </x:row>
    <x:row r="152">
      <x:c r="A152" s="44"/>
      <x:c r="B152" s="44"/>
      <x:c r="C152" s="44"/>
      <x:c r="D152" s="52"/>
      <x:c r="E152" s="52"/>
      <x:c r="F152" s="44"/>
      <x:c r="G152" s="44"/>
      <x:c r="H152" s="56"/>
      <x:c r="I152" s="56"/>
      <x:c r="J152" s="44"/>
      <x:c r="K152" s="74"/>
      <x:c r="L152" s="74"/>
      <x:c r="M152" s="44"/>
    </x:row>
    <x:row r="153">
      <x:c r="A153" s="44"/>
      <x:c r="B153" s="44"/>
      <x:c r="C153" s="44"/>
      <x:c r="D153" s="52"/>
      <x:c r="E153" s="52"/>
      <x:c r="F153" s="44"/>
      <x:c r="G153" s="44"/>
      <x:c r="H153" s="56"/>
      <x:c r="I153" s="56"/>
      <x:c r="J153" s="44"/>
      <x:c r="K153" s="74"/>
      <x:c r="L153" s="74"/>
      <x:c r="M153" s="44"/>
    </x:row>
    <x:row r="154">
      <x:c r="A154" s="44"/>
      <x:c r="B154" s="44"/>
      <x:c r="C154" s="44"/>
      <x:c r="D154" s="52"/>
      <x:c r="E154" s="52"/>
      <x:c r="F154" s="44"/>
      <x:c r="G154" s="44"/>
      <x:c r="H154" s="56"/>
      <x:c r="I154" s="56"/>
      <x:c r="J154" s="44"/>
      <x:c r="K154" s="74"/>
      <x:c r="L154" s="74"/>
      <x:c r="M154" s="44"/>
    </x:row>
    <x:row r="155">
      <x:c r="A155" s="44"/>
      <x:c r="B155" s="44"/>
      <x:c r="C155" s="44"/>
      <x:c r="D155" s="52"/>
      <x:c r="E155" s="52"/>
      <x:c r="F155" s="44"/>
      <x:c r="G155" s="44"/>
      <x:c r="H155" s="56"/>
      <x:c r="I155" s="56"/>
      <x:c r="J155" s="44"/>
      <x:c r="K155" s="74"/>
      <x:c r="L155" s="74"/>
      <x:c r="M155" s="44"/>
    </x:row>
    <x:row r="156">
      <x:c r="A156" s="44"/>
      <x:c r="B156" s="44"/>
      <x:c r="C156" s="44"/>
      <x:c r="D156" s="52"/>
      <x:c r="E156" s="52"/>
      <x:c r="F156" s="44"/>
      <x:c r="G156" s="44"/>
      <x:c r="H156" s="56"/>
      <x:c r="I156" s="56"/>
      <x:c r="J156" s="44"/>
      <x:c r="K156" s="74"/>
      <x:c r="L156" s="74"/>
      <x:c r="M156" s="44"/>
    </x:row>
    <x:row r="157">
      <x:c r="A157" s="44"/>
      <x:c r="B157" s="44"/>
      <x:c r="C157" s="44"/>
      <x:c r="D157" s="52"/>
      <x:c r="E157" s="52"/>
      <x:c r="F157" s="44"/>
      <x:c r="G157" s="44"/>
      <x:c r="H157" s="56"/>
      <x:c r="I157" s="56"/>
      <x:c r="J157" s="44"/>
      <x:c r="K157" s="74"/>
      <x:c r="L157" s="74"/>
      <x:c r="M157" s="44"/>
    </x:row>
    <x:row r="158">
      <x:c r="A158" s="44"/>
      <x:c r="B158" s="44"/>
      <x:c r="C158" s="44"/>
      <x:c r="D158" s="52"/>
      <x:c r="E158" s="52"/>
      <x:c r="F158" s="44"/>
      <x:c r="G158" s="44"/>
      <x:c r="H158" s="56"/>
      <x:c r="I158" s="56"/>
      <x:c r="J158" s="44"/>
      <x:c r="K158" s="74"/>
      <x:c r="L158" s="74"/>
      <x:c r="M158" s="44"/>
    </x:row>
    <x:row r="159">
      <x:c r="A159" s="44"/>
      <x:c r="B159" s="44"/>
      <x:c r="C159" s="44"/>
      <x:c r="D159" s="52"/>
      <x:c r="E159" s="52"/>
      <x:c r="F159" s="44"/>
      <x:c r="G159" s="44"/>
      <x:c r="H159" s="56"/>
      <x:c r="I159" s="56"/>
      <x:c r="J159" s="44"/>
      <x:c r="K159" s="74"/>
      <x:c r="L159" s="74"/>
      <x:c r="M159" s="44"/>
    </x:row>
    <x:row r="160">
      <x:c r="A160" s="44"/>
      <x:c r="B160" s="44"/>
      <x:c r="C160" s="44"/>
      <x:c r="D160" s="52"/>
      <x:c r="E160" s="52"/>
      <x:c r="F160" s="44"/>
      <x:c r="G160" s="44"/>
      <x:c r="H160" s="56"/>
      <x:c r="I160" s="56"/>
      <x:c r="J160" s="44"/>
      <x:c r="K160" s="74"/>
      <x:c r="L160" s="74"/>
      <x:c r="M160" s="44"/>
    </x:row>
    <x:row r="161">
      <x:c r="A161" s="44"/>
      <x:c r="B161" s="44"/>
      <x:c r="C161" s="44"/>
      <x:c r="D161" s="52"/>
      <x:c r="E161" s="52"/>
      <x:c r="F161" s="44"/>
      <x:c r="G161" s="44"/>
      <x:c r="H161" s="56"/>
      <x:c r="I161" s="56"/>
      <x:c r="J161" s="44"/>
      <x:c r="K161" s="74"/>
      <x:c r="L161" s="74"/>
      <x:c r="M161" s="44"/>
    </x:row>
    <x:row r="162">
      <x:c r="A162" s="44"/>
      <x:c r="B162" s="44"/>
      <x:c r="C162" s="44"/>
      <x:c r="D162" s="52"/>
      <x:c r="E162" s="52"/>
      <x:c r="F162" s="44"/>
      <x:c r="G162" s="44"/>
      <x:c r="H162" s="56"/>
      <x:c r="I162" s="56"/>
      <x:c r="J162" s="44"/>
      <x:c r="K162" s="74"/>
      <x:c r="L162" s="74"/>
      <x:c r="M162" s="44"/>
    </x:row>
    <x:row r="163">
      <x:c r="A163" s="44"/>
      <x:c r="B163" s="44"/>
      <x:c r="C163" s="44"/>
      <x:c r="D163" s="52"/>
      <x:c r="E163" s="52"/>
      <x:c r="F163" s="44"/>
      <x:c r="G163" s="44"/>
      <x:c r="H163" s="56"/>
      <x:c r="I163" s="56"/>
      <x:c r="J163" s="44"/>
      <x:c r="K163" s="74"/>
      <x:c r="L163" s="74"/>
      <x:c r="M163" s="44"/>
    </x:row>
    <x:row r="164">
      <x:c r="A164" s="44"/>
      <x:c r="B164" s="44"/>
      <x:c r="C164" s="44"/>
      <x:c r="D164" s="52"/>
      <x:c r="E164" s="52"/>
      <x:c r="F164" s="44"/>
      <x:c r="G164" s="44"/>
      <x:c r="H164" s="56"/>
      <x:c r="I164" s="56"/>
      <x:c r="J164" s="44"/>
      <x:c r="K164" s="74"/>
      <x:c r="L164" s="74"/>
      <x:c r="M164" s="44"/>
    </x:row>
    <x:row r="165">
      <x:c r="A165" s="44"/>
      <x:c r="B165" s="44"/>
      <x:c r="C165" s="44"/>
      <x:c r="D165" s="52"/>
      <x:c r="E165" s="52"/>
      <x:c r="F165" s="44"/>
      <x:c r="G165" s="44"/>
      <x:c r="H165" s="56"/>
      <x:c r="I165" s="56"/>
      <x:c r="J165" s="44"/>
      <x:c r="K165" s="74"/>
      <x:c r="L165" s="74"/>
      <x:c r="M165" s="44"/>
    </x:row>
    <x:row r="166">
      <x:c r="A166" s="44"/>
      <x:c r="B166" s="44"/>
      <x:c r="C166" s="44"/>
      <x:c r="D166" s="52"/>
      <x:c r="E166" s="52"/>
      <x:c r="F166" s="44"/>
      <x:c r="G166" s="44"/>
      <x:c r="H166" s="56"/>
      <x:c r="I166" s="56"/>
      <x:c r="J166" s="44"/>
      <x:c r="K166" s="74"/>
      <x:c r="L166" s="74"/>
      <x:c r="M166" s="44"/>
    </x:row>
    <x:row r="167">
      <x:c r="A167" s="44"/>
      <x:c r="B167" s="44"/>
      <x:c r="C167" s="44"/>
      <x:c r="D167" s="52"/>
      <x:c r="E167" s="52"/>
      <x:c r="F167" s="44"/>
      <x:c r="G167" s="44"/>
      <x:c r="H167" s="56"/>
      <x:c r="I167" s="56"/>
      <x:c r="J167" s="44"/>
      <x:c r="K167" s="74"/>
      <x:c r="L167" s="74"/>
      <x:c r="M167" s="44"/>
    </x:row>
    <x:row r="168">
      <x:c r="A168" s="44"/>
      <x:c r="B168" s="44"/>
      <x:c r="C168" s="44"/>
      <x:c r="D168" s="52"/>
      <x:c r="E168" s="52"/>
      <x:c r="F168" s="44"/>
      <x:c r="G168" s="44"/>
      <x:c r="H168" s="56"/>
      <x:c r="I168" s="56"/>
      <x:c r="J168" s="44"/>
      <x:c r="K168" s="74"/>
      <x:c r="L168" s="74"/>
      <x:c r="M168" s="44"/>
    </x:row>
    <x:row r="169">
      <x:c r="A169" s="44"/>
      <x:c r="B169" s="44"/>
      <x:c r="C169" s="44"/>
      <x:c r="D169" s="52"/>
      <x:c r="E169" s="52"/>
      <x:c r="F169" s="44"/>
      <x:c r="G169" s="44"/>
      <x:c r="H169" s="56"/>
      <x:c r="I169" s="56"/>
      <x:c r="J169" s="44"/>
      <x:c r="K169" s="74"/>
      <x:c r="L169" s="74"/>
      <x:c r="M169" s="44"/>
    </x:row>
    <x:row r="170">
      <x:c r="A170" s="44"/>
      <x:c r="B170" s="44"/>
      <x:c r="C170" s="44"/>
      <x:c r="D170" s="52"/>
      <x:c r="E170" s="52"/>
      <x:c r="F170" s="44"/>
      <x:c r="G170" s="44"/>
      <x:c r="H170" s="56"/>
      <x:c r="I170" s="56"/>
      <x:c r="J170" s="44"/>
      <x:c r="K170" s="74"/>
      <x:c r="L170" s="74"/>
      <x:c r="M170" s="44"/>
    </x:row>
    <x:row r="171">
      <x:c r="A171" s="44"/>
      <x:c r="B171" s="44"/>
      <x:c r="C171" s="44"/>
      <x:c r="D171" s="52"/>
      <x:c r="E171" s="52"/>
      <x:c r="F171" s="44"/>
      <x:c r="G171" s="44"/>
      <x:c r="H171" s="56"/>
      <x:c r="I171" s="56"/>
      <x:c r="J171" s="44"/>
      <x:c r="K171" s="74"/>
      <x:c r="L171" s="74"/>
      <x:c r="M171" s="44"/>
    </x:row>
    <x:row r="172">
      <x:c r="A172" s="44"/>
      <x:c r="B172" s="44"/>
      <x:c r="C172" s="44"/>
      <x:c r="D172" s="52"/>
      <x:c r="E172" s="52"/>
      <x:c r="F172" s="44"/>
      <x:c r="G172" s="44"/>
      <x:c r="H172" s="56"/>
      <x:c r="I172" s="56"/>
      <x:c r="J172" s="44"/>
      <x:c r="K172" s="74"/>
      <x:c r="L172" s="74"/>
      <x:c r="M172" s="44"/>
    </x:row>
    <x:row r="173">
      <x:c r="A173" s="44"/>
      <x:c r="B173" s="44"/>
      <x:c r="C173" s="44"/>
      <x:c r="D173" s="52"/>
      <x:c r="E173" s="52"/>
      <x:c r="F173" s="44"/>
      <x:c r="G173" s="44"/>
      <x:c r="H173" s="56"/>
      <x:c r="I173" s="56"/>
      <x:c r="J173" s="44"/>
      <x:c r="K173" s="74"/>
      <x:c r="L173" s="74"/>
      <x:c r="M173" s="44"/>
    </x:row>
    <x:row r="174">
      <x:c r="A174" s="44"/>
      <x:c r="B174" s="44"/>
      <x:c r="C174" s="44"/>
      <x:c r="D174" s="52"/>
      <x:c r="E174" s="52"/>
      <x:c r="F174" s="44"/>
      <x:c r="G174" s="44"/>
      <x:c r="H174" s="56"/>
      <x:c r="I174" s="56"/>
      <x:c r="J174" s="44"/>
      <x:c r="K174" s="74"/>
      <x:c r="L174" s="74"/>
      <x:c r="M174" s="44"/>
    </x:row>
    <x:row r="175">
      <x:c r="A175" s="44"/>
      <x:c r="B175" s="44"/>
      <x:c r="C175" s="44"/>
      <x:c r="D175" s="52"/>
      <x:c r="E175" s="52"/>
      <x:c r="F175" s="44"/>
      <x:c r="G175" s="44"/>
      <x:c r="H175" s="56"/>
      <x:c r="I175" s="56"/>
      <x:c r="J175" s="44"/>
      <x:c r="K175" s="74"/>
      <x:c r="L175" s="74"/>
      <x:c r="M175" s="44"/>
    </x:row>
    <x:row r="176">
      <x:c r="A176" s="44"/>
      <x:c r="B176" s="44"/>
      <x:c r="C176" s="44"/>
      <x:c r="D176" s="52"/>
      <x:c r="E176" s="52"/>
      <x:c r="F176" s="44"/>
      <x:c r="G176" s="44"/>
      <x:c r="H176" s="56"/>
      <x:c r="I176" s="56"/>
      <x:c r="J176" s="44"/>
      <x:c r="K176" s="74"/>
      <x:c r="L176" s="74"/>
      <x:c r="M176" s="44"/>
    </x:row>
    <x:row r="177">
      <x:c r="A177" s="44"/>
      <x:c r="B177" s="44"/>
      <x:c r="C177" s="44"/>
      <x:c r="D177" s="52"/>
      <x:c r="E177" s="52"/>
      <x:c r="F177" s="44"/>
      <x:c r="G177" s="44"/>
      <x:c r="H177" s="56"/>
      <x:c r="I177" s="56"/>
      <x:c r="J177" s="44"/>
      <x:c r="K177" s="74"/>
      <x:c r="L177" s="74"/>
      <x:c r="M177" s="44"/>
    </x:row>
    <x:row r="178">
      <x:c r="A178" s="44"/>
      <x:c r="B178" s="44"/>
      <x:c r="C178" s="44"/>
      <x:c r="D178" s="52"/>
      <x:c r="E178" s="52"/>
      <x:c r="F178" s="44"/>
      <x:c r="G178" s="44"/>
      <x:c r="H178" s="56"/>
      <x:c r="I178" s="56"/>
      <x:c r="J178" s="44"/>
      <x:c r="K178" s="74"/>
      <x:c r="L178" s="74"/>
      <x:c r="M178" s="44"/>
    </x:row>
    <x:row r="179">
      <x:c r="A179" s="44"/>
      <x:c r="B179" s="44"/>
      <x:c r="C179" s="44"/>
      <x:c r="D179" s="52"/>
      <x:c r="E179" s="52"/>
      <x:c r="F179" s="44"/>
      <x:c r="G179" s="44"/>
      <x:c r="H179" s="56"/>
      <x:c r="I179" s="56"/>
      <x:c r="J179" s="44"/>
      <x:c r="K179" s="74"/>
      <x:c r="L179" s="74"/>
      <x:c r="M179" s="44"/>
    </x:row>
    <x:row r="180">
      <x:c r="A180" s="44"/>
      <x:c r="B180" s="44"/>
      <x:c r="C180" s="44"/>
      <x:c r="D180" s="52"/>
      <x:c r="E180" s="52"/>
      <x:c r="F180" s="44"/>
      <x:c r="G180" s="44"/>
      <x:c r="H180" s="56"/>
      <x:c r="I180" s="56"/>
      <x:c r="J180" s="44"/>
      <x:c r="K180" s="74"/>
      <x:c r="L180" s="74"/>
      <x:c r="M180" s="44"/>
    </x:row>
    <x:row r="181">
      <x:c r="A181" s="44"/>
      <x:c r="B181" s="44"/>
      <x:c r="C181" s="44"/>
      <x:c r="D181" s="52"/>
      <x:c r="E181" s="52"/>
      <x:c r="F181" s="44"/>
      <x:c r="G181" s="44"/>
      <x:c r="H181" s="56"/>
      <x:c r="I181" s="56"/>
      <x:c r="J181" s="44"/>
      <x:c r="K181" s="74"/>
      <x:c r="L181" s="74"/>
      <x:c r="M181" s="44"/>
    </x:row>
    <x:row r="182">
      <x:c r="A182" s="44"/>
      <x:c r="B182" s="44"/>
      <x:c r="C182" s="44"/>
      <x:c r="D182" s="52"/>
      <x:c r="E182" s="52"/>
      <x:c r="F182" s="44"/>
      <x:c r="G182" s="44"/>
      <x:c r="H182" s="56"/>
      <x:c r="I182" s="56"/>
      <x:c r="J182" s="44"/>
      <x:c r="K182" s="74"/>
      <x:c r="L182" s="74"/>
      <x:c r="M182" s="44"/>
    </x:row>
    <x:row r="183">
      <x:c r="A183" s="44"/>
      <x:c r="B183" s="44"/>
      <x:c r="C183" s="44"/>
      <x:c r="D183" s="52"/>
      <x:c r="E183" s="52"/>
      <x:c r="F183" s="44"/>
      <x:c r="G183" s="44"/>
      <x:c r="H183" s="56"/>
      <x:c r="I183" s="56"/>
      <x:c r="J183" s="44"/>
      <x:c r="K183" s="74"/>
      <x:c r="L183" s="74"/>
      <x:c r="M183" s="44"/>
    </x:row>
    <x:row r="184">
      <x:c r="A184" s="44"/>
      <x:c r="B184" s="44"/>
      <x:c r="C184" s="44"/>
      <x:c r="D184" s="52"/>
      <x:c r="E184" s="52"/>
      <x:c r="F184" s="44"/>
      <x:c r="G184" s="44"/>
      <x:c r="H184" s="56"/>
      <x:c r="I184" s="56"/>
      <x:c r="J184" s="44"/>
      <x:c r="K184" s="74"/>
      <x:c r="L184" s="74"/>
      <x:c r="M184" s="44"/>
    </x:row>
    <x:row r="185">
      <x:c r="A185" s="44"/>
      <x:c r="B185" s="44"/>
      <x:c r="C185" s="44"/>
      <x:c r="D185" s="52"/>
      <x:c r="E185" s="52"/>
      <x:c r="F185" s="44"/>
      <x:c r="G185" s="44"/>
      <x:c r="H185" s="56"/>
      <x:c r="I185" s="56"/>
      <x:c r="J185" s="44"/>
      <x:c r="K185" s="74"/>
      <x:c r="L185" s="74"/>
      <x:c r="M185" s="44"/>
    </x:row>
    <x:row r="186">
      <x:c r="A186" s="44"/>
      <x:c r="B186" s="44"/>
      <x:c r="C186" s="44"/>
      <x:c r="D186" s="52"/>
      <x:c r="E186" s="52"/>
      <x:c r="F186" s="44"/>
      <x:c r="G186" s="44"/>
      <x:c r="H186" s="56"/>
      <x:c r="I186" s="56"/>
      <x:c r="J186" s="44"/>
      <x:c r="K186" s="74"/>
      <x:c r="L186" s="74"/>
      <x:c r="M186" s="44"/>
    </x:row>
    <x:row r="187">
      <x:c r="A187" s="44"/>
      <x:c r="B187" s="44"/>
      <x:c r="C187" s="44"/>
      <x:c r="D187" s="52"/>
      <x:c r="E187" s="52"/>
      <x:c r="F187" s="44"/>
      <x:c r="G187" s="44"/>
      <x:c r="H187" s="56"/>
      <x:c r="I187" s="56"/>
      <x:c r="J187" s="44"/>
      <x:c r="K187" s="74"/>
      <x:c r="L187" s="74"/>
      <x:c r="M187" s="44"/>
    </x:row>
    <x:row r="188">
      <x:c r="A188" s="44"/>
      <x:c r="B188" s="44"/>
      <x:c r="C188" s="44"/>
      <x:c r="D188" s="52"/>
      <x:c r="E188" s="52"/>
      <x:c r="F188" s="44"/>
      <x:c r="G188" s="44"/>
      <x:c r="H188" s="56"/>
      <x:c r="I188" s="56"/>
      <x:c r="J188" s="44"/>
      <x:c r="K188" s="74"/>
      <x:c r="L188" s="74"/>
      <x:c r="M188" s="44"/>
    </x:row>
    <x:row r="189">
      <x:c r="A189" s="44"/>
      <x:c r="B189" s="44"/>
      <x:c r="C189" s="44"/>
      <x:c r="D189" s="52"/>
      <x:c r="E189" s="52"/>
      <x:c r="F189" s="44"/>
      <x:c r="G189" s="44"/>
      <x:c r="H189" s="56"/>
      <x:c r="I189" s="56"/>
      <x:c r="J189" s="44"/>
      <x:c r="K189" s="74"/>
      <x:c r="L189" s="74"/>
      <x:c r="M189" s="44"/>
    </x:row>
    <x:row r="190">
      <x:c r="A190" s="44"/>
      <x:c r="B190" s="44"/>
      <x:c r="C190" s="44"/>
      <x:c r="D190" s="52"/>
      <x:c r="E190" s="52"/>
      <x:c r="F190" s="44"/>
      <x:c r="G190" s="44"/>
      <x:c r="H190" s="56"/>
      <x:c r="I190" s="56"/>
      <x:c r="J190" s="44"/>
      <x:c r="K190" s="74"/>
      <x:c r="L190" s="74"/>
      <x:c r="M190" s="44"/>
    </x:row>
    <x:row r="191">
      <x:c r="A191" s="44"/>
      <x:c r="B191" s="44"/>
      <x:c r="C191" s="44"/>
      <x:c r="D191" s="52"/>
      <x:c r="E191" s="52"/>
      <x:c r="F191" s="44"/>
      <x:c r="G191" s="44"/>
      <x:c r="H191" s="56"/>
      <x:c r="I191" s="56"/>
      <x:c r="J191" s="44"/>
      <x:c r="K191" s="74"/>
      <x:c r="L191" s="74"/>
      <x:c r="M191" s="44"/>
    </x:row>
    <x:row r="192">
      <x:c r="A192" s="44"/>
      <x:c r="B192" s="44"/>
      <x:c r="C192" s="44"/>
      <x:c r="D192" s="52"/>
      <x:c r="E192" s="52"/>
      <x:c r="F192" s="44"/>
      <x:c r="G192" s="44"/>
      <x:c r="H192" s="56"/>
      <x:c r="I192" s="56"/>
      <x:c r="J192" s="44"/>
      <x:c r="K192" s="74"/>
      <x:c r="L192" s="74"/>
      <x:c r="M192" s="44"/>
    </x:row>
    <x:row r="193">
      <x:c r="A193" s="44"/>
      <x:c r="B193" s="44"/>
      <x:c r="C193" s="44"/>
      <x:c r="D193" s="52"/>
      <x:c r="E193" s="52"/>
      <x:c r="F193" s="44"/>
      <x:c r="G193" s="44"/>
      <x:c r="H193" s="56"/>
      <x:c r="I193" s="56"/>
      <x:c r="J193" s="44"/>
      <x:c r="K193" s="74"/>
      <x:c r="L193" s="74"/>
      <x:c r="M193" s="44"/>
    </x:row>
    <x:row r="194">
      <x:c r="A194" s="44"/>
      <x:c r="B194" s="44"/>
      <x:c r="C194" s="44"/>
      <x:c r="D194" s="52"/>
      <x:c r="E194" s="52"/>
      <x:c r="F194" s="44"/>
      <x:c r="G194" s="44"/>
      <x:c r="H194" s="56"/>
      <x:c r="I194" s="56"/>
      <x:c r="J194" s="44"/>
      <x:c r="K194" s="74"/>
      <x:c r="L194" s="74"/>
      <x:c r="M194" s="44"/>
    </x:row>
    <x:row r="195">
      <x:c r="A195" s="44"/>
      <x:c r="B195" s="44"/>
      <x:c r="C195" s="44"/>
      <x:c r="D195" s="52"/>
      <x:c r="E195" s="52"/>
      <x:c r="F195" s="44"/>
      <x:c r="G195" s="44"/>
      <x:c r="H195" s="56"/>
      <x:c r="I195" s="56"/>
      <x:c r="J195" s="44"/>
      <x:c r="K195" s="74"/>
      <x:c r="L195" s="74"/>
      <x:c r="M195" s="44"/>
    </x:row>
    <x:row r="196">
      <x:c r="A196" s="44"/>
      <x:c r="B196" s="44"/>
      <x:c r="C196" s="44"/>
      <x:c r="D196" s="52"/>
      <x:c r="E196" s="52"/>
      <x:c r="F196" s="44"/>
      <x:c r="G196" s="44"/>
      <x:c r="H196" s="56"/>
      <x:c r="I196" s="56"/>
      <x:c r="J196" s="44"/>
      <x:c r="K196" s="74"/>
      <x:c r="L196" s="74"/>
      <x:c r="M196" s="44"/>
    </x:row>
    <x:row r="197">
      <x:c r="A197" s="44"/>
      <x:c r="B197" s="44"/>
      <x:c r="C197" s="44"/>
      <x:c r="D197" s="52"/>
      <x:c r="E197" s="52"/>
      <x:c r="F197" s="44"/>
      <x:c r="G197" s="44"/>
      <x:c r="H197" s="56"/>
      <x:c r="I197" s="56"/>
      <x:c r="J197" s="44"/>
      <x:c r="K197" s="74"/>
      <x:c r="L197" s="74"/>
      <x:c r="M197" s="44"/>
    </x:row>
    <x:row r="198">
      <x:c r="A198" s="44"/>
      <x:c r="B198" s="44"/>
      <x:c r="C198" s="44"/>
      <x:c r="D198" s="52"/>
      <x:c r="E198" s="52"/>
      <x:c r="F198" s="44"/>
      <x:c r="G198" s="44"/>
      <x:c r="H198" s="56"/>
      <x:c r="I198" s="56"/>
      <x:c r="J198" s="44"/>
      <x:c r="K198" s="74"/>
      <x:c r="L198" s="74"/>
      <x:c r="M198" s="44"/>
    </x:row>
    <x:row r="199">
      <x:c r="A199" s="44"/>
      <x:c r="B199" s="44"/>
      <x:c r="C199" s="44"/>
      <x:c r="D199" s="52"/>
      <x:c r="E199" s="52"/>
      <x:c r="F199" s="44"/>
      <x:c r="G199" s="44"/>
      <x:c r="H199" s="56"/>
      <x:c r="I199" s="56"/>
      <x:c r="J199" s="44"/>
      <x:c r="K199" s="74"/>
      <x:c r="L199" s="74"/>
      <x:c r="M199" s="44"/>
    </x:row>
    <x:row r="200">
      <x:c r="A200" s="44"/>
      <x:c r="B200" s="44"/>
      <x:c r="C200" s="44"/>
      <x:c r="D200" s="52"/>
      <x:c r="E200" s="52"/>
      <x:c r="F200" s="44"/>
      <x:c r="G200" s="44"/>
      <x:c r="H200" s="56"/>
      <x:c r="I200" s="56"/>
      <x:c r="J200" s="44"/>
      <x:c r="K200" s="74"/>
      <x:c r="L200" s="74"/>
      <x:c r="M200" s="44"/>
    </x:row>
    <x:row r="201">
      <x:c r="A201" s="44"/>
      <x:c r="B201" s="44"/>
      <x:c r="C201" s="44"/>
      <x:c r="D201" s="52"/>
      <x:c r="E201" s="52"/>
      <x:c r="F201" s="44"/>
      <x:c r="G201" s="44"/>
      <x:c r="H201" s="56"/>
      <x:c r="I201" s="56"/>
      <x:c r="J201" s="44"/>
      <x:c r="K201" s="74"/>
      <x:c r="L201" s="74"/>
      <x:c r="M201" s="44"/>
    </x:row>
    <x:row r="202">
      <x:c r="A202" s="44"/>
      <x:c r="B202" s="44"/>
      <x:c r="C202" s="44"/>
      <x:c r="D202" s="52"/>
      <x:c r="E202" s="52"/>
      <x:c r="F202" s="44"/>
      <x:c r="G202" s="44"/>
      <x:c r="H202" s="56"/>
      <x:c r="I202" s="56"/>
      <x:c r="J202" s="44"/>
      <x:c r="K202" s="74"/>
      <x:c r="L202" s="74"/>
      <x:c r="M202" s="44"/>
    </x:row>
    <x:row r="203">
      <x:c r="A203" s="44"/>
      <x:c r="B203" s="44"/>
      <x:c r="C203" s="44"/>
      <x:c r="D203" s="52"/>
      <x:c r="E203" s="52"/>
      <x:c r="F203" s="44"/>
      <x:c r="G203" s="44"/>
      <x:c r="H203" s="56"/>
      <x:c r="I203" s="56"/>
      <x:c r="J203" s="44"/>
      <x:c r="K203" s="74"/>
      <x:c r="L203" s="74"/>
      <x:c r="M203" s="44"/>
    </x:row>
    <x:row r="204">
      <x:c r="A204" s="44"/>
      <x:c r="B204" s="44"/>
      <x:c r="C204" s="44"/>
      <x:c r="D204" s="52"/>
      <x:c r="E204" s="52"/>
      <x:c r="F204" s="44"/>
      <x:c r="G204" s="44"/>
      <x:c r="H204" s="56"/>
      <x:c r="I204" s="56"/>
      <x:c r="J204" s="44"/>
      <x:c r="K204" s="74"/>
      <x:c r="L204" s="74"/>
      <x:c r="M204" s="44"/>
    </x:row>
  </x:sheetData>
  <x:mergeCells>
    <x:mergeCell ref="A1:M1"/>
    <x:mergeCell ref="A2:M2"/>
  </x:mergeCells>
  <x:dataValidations count="1">
    <x:dataValidation type="list" sqref="J5:J204">
      <x:formula1>"TRY,USD,EUR,GBP"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6" hidden="0" customWidth="1"/>
    <x:col min="3" max="3" width="28" hidden="0" customWidth="1"/>
    <x:col min="4" max="4" width="14" hidden="0" customWidth="1"/>
    <x:col min="5" max="5" width="14" hidden="0" customWidth="1"/>
    <x:col min="6" max="6" width="18" hidden="0" customWidth="1"/>
    <x:col min="7" max="7" width="18" hidden="0" customWidth="1"/>
    <x:col min="8" max="8" width="15" hidden="0" customWidth="1"/>
    <x:col min="9" max="9" width="15" hidden="0" customWidth="1"/>
    <x:col min="10" max="10" width="16" hidden="0" customWidth="1"/>
    <x:col min="11" max="11" width="17" hidden="0" customWidth="1"/>
    <x:col min="12" max="12" width="16" hidden="0" customWidth="1"/>
    <x:col min="13" max="13" width="12" hidden="0" customWidth="1"/>
    <x:col min="14" max="14" width="18" hidden="0" customWidth="1"/>
    <x:col min="15" max="15" width="18" hidden="0" customWidth="1"/>
    <x:col min="16" max="16" width="16" hidden="0" customWidth="1"/>
    <x:col min="17" max="17" width="11" hidden="0" customWidth="1"/>
    <x:col min="18" max="18" width="12" hidden="0" customWidth="1"/>
    <x:col min="19" max="19" width="8" hidden="0" customWidth="1"/>
    <x:col min="20" max="20" width="14" hidden="0" customWidth="1"/>
    <x:col min="21" max="21" width="16" hidden="0" customWidth="1"/>
  </x:cols>
  <x:sheetData>
    <x:row r="1" ht="32" customHeight="1">
      <x:c r="A1" s="4" t="str">
        <x:v>DİNAMİK FIFO MOTORU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8" customHeight="1">
      <x:c r="A2" s="10" t="str">
        <x:v>Microsoft 365 dinamik dizi motoru 5.000 hareketi tek formül zinciriyle normalize eder ve açık kalemi üretir.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</x:row>
    <x:row r="4">
      <x:c r="A4" s="38" t="str">
        <x:v>Sıra</x:v>
      </x:c>
      <x:c r="B4" s="38" t="str">
        <x:v>Cari Kodu</x:v>
      </x:c>
      <x:c r="C4" s="38" t="str">
        <x:v>Cari Ünvanı</x:v>
      </x:c>
      <x:c r="D4" s="38" t="str">
        <x:v>İşlem Tarihi</x:v>
      </x:c>
      <x:c r="E4" s="38" t="str">
        <x:v>Vade Tarihi</x:v>
      </x:c>
      <x:c r="F4" s="38" t="str">
        <x:v>Belge No</x:v>
      </x:c>
      <x:c r="G4" s="38" t="str">
        <x:v>Tür</x:v>
      </x:c>
      <x:c r="H4" s="38" t="str">
        <x:v>Aktif Borç TL</x:v>
      </x:c>
      <x:c r="I4" s="38" t="str">
        <x:v>Aktif Alacak TL</x:v>
      </x:c>
      <x:c r="J4" s="38" t="str">
        <x:v>Kümülatif Borç</x:v>
      </x:c>
      <x:c r="K4" s="38" t="str">
        <x:v>Cari Toplam Alacak</x:v>
      </x:c>
      <x:c r="L4" s="38" t="str">
        <x:v>FIFO Açık TL</x:v>
      </x:c>
      <x:c r="M4" s="38" t="str">
        <x:v>Gecikme Gün</x:v>
      </x:c>
      <x:c r="N4" s="38" t="str">
        <x:v>Yaş Kovası</x:v>
      </x:c>
      <x:c r="O4" s="38" t="str">
        <x:v>Ekonomik Gecikme</x:v>
      </x:c>
      <x:c r="P4" s="38" t="str">
        <x:v>Beklenen Tahsilat</x:v>
      </x:c>
      <x:c r="Q4" s="38" t="str">
        <x:v>13H Hafta</x:v>
      </x:c>
      <x:c r="R4" s="38" t="str">
        <x:v>Risk</x:v>
      </x:c>
      <x:c r="S4" s="38" t="str">
        <x:v>PB</x:v>
      </x:c>
      <x:c r="T4" s="38" t="str">
        <x:v>Açık Döviz</x:v>
      </x:c>
      <x:c r="U4" s="38" t="str">
        <x:v>Aksiyon Skoru</x:v>
      </x:c>
    </x:row>
    <x:row r="5">
      <x:c r="A5" t="e" cm="1">
        <x:f t="array" ref="A5">LET(
raw,_xlfn._xlws.FILTER(LOGO_HAREKET_GIRIS!A5:M5004,LOGO_HAREKET_GIRIS!B5:B5004&lt;&gt;""),
seq,CHOOSECOLS(raw,1),cari,CHOOSECOLS(raw,2),unvan,CHOOSECOLS(raw,3),it,CHOOSECOLS(raw,4),vt,CHOOSECOLS(raw,5),
belge,CHOOSECOLS(raw,6),tur,CHOOSECOLS(raw,7),pb,CHOOSECOLS(raw,10),dvz,CHOOSECOLS(raw,11),
borc,IF(it&lt;=AYARLAR!$B$5,CHOOSECOLS(raw,8),0),alacak,IF(it&lt;=AYARLAR!$B$5,CHOOSECOLS(raw,9),0),
n,ROWS(raw),idx,SEQUENCE(n),
cumBorc,MAP(idx,_xlfn.LAMBDA(i,SUM(_xlfn._xlws.FILTER(borc,(cari=INDEX(cari,i))*(idx&lt;=i),0)))),
topAlacak,MAP(cari,_xlfn.LAMBDA(c,SUM(_xlfn._xlws.FILTER(alacak,cari=c,0)))),
ac1,cumBorc-topAlacak,ac0,cumBorc-borc-topAlacak,
open,IF(borc&gt;0,IF(ac1&gt;0,ac1,0)-IF(ac0&gt;0,ac0,0),0),
delay,IF(open&gt;0,IF(AYARLAR!$B$5-vt&gt;0,AYARLAR!$B$5-vt,0),""),
bucket,IF(open&lt;=0,"",IF(vt&gt;AYARLAR!$B$5,"Vadesi Gelmemiş",IF(delay&lt;=30,"1-30",IF(delay&lt;=60,"31-60",IF(delay&lt;=90,"61-90",IF(delay&lt;=180,"91-180",IF(delay&lt;=365,"181-365","365+"))))))),
econ,IF(open&gt;0,open*AYARLAR!$B$6/365*delay,0),
expected,IF(open&gt;0,IF(vt&gt;AYARLAR!$B$5,vt,AYARLAR!$B$5)+AYARLAR!$B$9,""),
week,IF(open&gt;0,IF(expected&lt;=AYARLAR!$B$5+91,ROUNDUP((expected-AYARLAR!$B$5)/7,0),""),""),
risk,IF(open&lt;=0,"KAPALI",IF(((delay&gt;=AYARLAR!$B$7)+(open&gt;=AYARLAR!$B$8))&gt;0,"KRİTİK",IF(delay&gt;30,"İZLE","NORMAL"))),
openfx,IF((open&gt;0)*(borc&gt;0)*(dvz&gt;0),open/borc*dvz,0),
score,IF(open&lt;=0,0,IF(risk="KRİTİK",1000000000,IF(risk="İZLE",500000000,100000000))+IF(delay="",0,delay*100000)+open+idx/10000),
HSTACK(seq,cari,unvan,it,vt,belge,tur,borc,alacak,cumBorc,topAlacak,open,delay,bucket,econ,expected,week,risk,pb,openfx,score))</x:f>
        <x:v>MAP is not implemented. array=[object Object], lambdaOrArray2=Error: #VALUE!, rest.length=0</x:v>
      </x:c>
      <x:c r="D5" s="76"/>
      <x:c r="E5" s="76"/>
      <x:c r="H5" s="78"/>
      <x:c r="I5" s="78"/>
      <x:c r="J5" s="78"/>
      <x:c r="K5" s="78"/>
      <x:c r="L5" s="78"/>
      <x:c r="O5" s="78"/>
      <x:c r="P5" s="76"/>
    </x:row>
    <x:row r="6">
      <x:c r="D6" s="76"/>
      <x:c r="E6" s="76"/>
      <x:c r="H6" s="78"/>
      <x:c r="I6" s="78"/>
      <x:c r="J6" s="78"/>
      <x:c r="K6" s="78"/>
      <x:c r="L6" s="78"/>
      <x:c r="O6" s="78"/>
      <x:c r="P6" s="76"/>
    </x:row>
    <x:row r="7">
      <x:c r="D7" s="76"/>
      <x:c r="E7" s="76"/>
      <x:c r="H7" s="78"/>
      <x:c r="I7" s="78"/>
      <x:c r="J7" s="78"/>
      <x:c r="K7" s="78"/>
      <x:c r="L7" s="78"/>
      <x:c r="O7" s="78"/>
      <x:c r="P7" s="76"/>
    </x:row>
    <x:row r="8">
      <x:c r="D8" s="76"/>
      <x:c r="E8" s="76"/>
      <x:c r="H8" s="78"/>
      <x:c r="I8" s="78"/>
      <x:c r="J8" s="78"/>
      <x:c r="K8" s="78"/>
      <x:c r="L8" s="78"/>
      <x:c r="O8" s="78"/>
      <x:c r="P8" s="76"/>
    </x:row>
    <x:row r="9">
      <x:c r="D9" s="76"/>
      <x:c r="E9" s="76"/>
      <x:c r="H9" s="78"/>
      <x:c r="I9" s="78"/>
      <x:c r="J9" s="78"/>
      <x:c r="K9" s="78"/>
      <x:c r="L9" s="78"/>
      <x:c r="O9" s="78"/>
      <x:c r="P9" s="76"/>
    </x:row>
    <x:row r="10">
      <x:c r="D10" s="76"/>
      <x:c r="E10" s="76"/>
      <x:c r="H10" s="78"/>
      <x:c r="I10" s="78"/>
      <x:c r="J10" s="78"/>
      <x:c r="K10" s="78"/>
      <x:c r="L10" s="78"/>
      <x:c r="O10" s="78"/>
      <x:c r="P10" s="76"/>
    </x:row>
    <x:row r="11">
      <x:c r="D11" s="76"/>
      <x:c r="E11" s="76"/>
      <x:c r="H11" s="78"/>
      <x:c r="I11" s="78"/>
      <x:c r="J11" s="78"/>
      <x:c r="K11" s="78"/>
      <x:c r="L11" s="78"/>
      <x:c r="O11" s="78"/>
      <x:c r="P11" s="76"/>
    </x:row>
    <x:row r="12">
      <x:c r="D12" s="76"/>
      <x:c r="E12" s="76"/>
      <x:c r="H12" s="78"/>
      <x:c r="I12" s="78"/>
      <x:c r="J12" s="78"/>
      <x:c r="K12" s="78"/>
      <x:c r="L12" s="78"/>
      <x:c r="O12" s="78"/>
      <x:c r="P12" s="76"/>
    </x:row>
    <x:row r="13">
      <x:c r="D13" s="76"/>
      <x:c r="E13" s="76"/>
      <x:c r="H13" s="78"/>
      <x:c r="I13" s="78"/>
      <x:c r="J13" s="78"/>
      <x:c r="K13" s="78"/>
      <x:c r="L13" s="78"/>
      <x:c r="O13" s="78"/>
      <x:c r="P13" s="76"/>
    </x:row>
    <x:row r="14">
      <x:c r="D14" s="76"/>
      <x:c r="E14" s="76"/>
      <x:c r="H14" s="78"/>
      <x:c r="I14" s="78"/>
      <x:c r="J14" s="78"/>
      <x:c r="K14" s="78"/>
      <x:c r="L14" s="78"/>
      <x:c r="O14" s="78"/>
      <x:c r="P14" s="76"/>
    </x:row>
    <x:row r="15">
      <x:c r="D15" s="76"/>
      <x:c r="E15" s="76"/>
      <x:c r="H15" s="78"/>
      <x:c r="I15" s="78"/>
      <x:c r="J15" s="78"/>
      <x:c r="K15" s="78"/>
      <x:c r="L15" s="78"/>
      <x:c r="O15" s="78"/>
      <x:c r="P15" s="76"/>
    </x:row>
    <x:row r="16">
      <x:c r="D16" s="76"/>
      <x:c r="E16" s="76"/>
      <x:c r="H16" s="78"/>
      <x:c r="I16" s="78"/>
      <x:c r="J16" s="78"/>
      <x:c r="K16" s="78"/>
      <x:c r="L16" s="78"/>
      <x:c r="O16" s="78"/>
      <x:c r="P16" s="76"/>
    </x:row>
    <x:row r="17">
      <x:c r="D17" s="76"/>
      <x:c r="E17" s="76"/>
      <x:c r="H17" s="78"/>
      <x:c r="I17" s="78"/>
      <x:c r="J17" s="78"/>
      <x:c r="K17" s="78"/>
      <x:c r="L17" s="78"/>
      <x:c r="O17" s="78"/>
      <x:c r="P17" s="76"/>
    </x:row>
    <x:row r="18">
      <x:c r="D18" s="76"/>
      <x:c r="E18" s="76"/>
      <x:c r="H18" s="78"/>
      <x:c r="I18" s="78"/>
      <x:c r="J18" s="78"/>
      <x:c r="K18" s="78"/>
      <x:c r="L18" s="78"/>
      <x:c r="O18" s="78"/>
      <x:c r="P18" s="76"/>
    </x:row>
    <x:row r="19">
      <x:c r="D19" s="76"/>
      <x:c r="E19" s="76"/>
      <x:c r="H19" s="78"/>
      <x:c r="I19" s="78"/>
      <x:c r="J19" s="78"/>
      <x:c r="K19" s="78"/>
      <x:c r="L19" s="78"/>
      <x:c r="O19" s="78"/>
      <x:c r="P19" s="76"/>
    </x:row>
    <x:row r="20">
      <x:c r="D20" s="76"/>
      <x:c r="E20" s="76"/>
      <x:c r="H20" s="78"/>
      <x:c r="I20" s="78"/>
      <x:c r="J20" s="78"/>
      <x:c r="K20" s="78"/>
      <x:c r="L20" s="78"/>
      <x:c r="O20" s="78"/>
      <x:c r="P20" s="76"/>
    </x:row>
    <x:row r="21">
      <x:c r="D21" s="76"/>
      <x:c r="E21" s="76"/>
      <x:c r="H21" s="78"/>
      <x:c r="I21" s="78"/>
      <x:c r="J21" s="78"/>
      <x:c r="K21" s="78"/>
      <x:c r="L21" s="78"/>
      <x:c r="O21" s="78"/>
      <x:c r="P21" s="76"/>
    </x:row>
    <x:row r="22">
      <x:c r="D22" s="76"/>
      <x:c r="E22" s="76"/>
      <x:c r="H22" s="78"/>
      <x:c r="I22" s="78"/>
      <x:c r="J22" s="78"/>
      <x:c r="K22" s="78"/>
      <x:c r="L22" s="78"/>
      <x:c r="O22" s="78"/>
      <x:c r="P22" s="76"/>
    </x:row>
    <x:row r="23">
      <x:c r="D23" s="76"/>
      <x:c r="E23" s="76"/>
      <x:c r="H23" s="78"/>
      <x:c r="I23" s="78"/>
      <x:c r="J23" s="78"/>
      <x:c r="K23" s="78"/>
      <x:c r="L23" s="78"/>
      <x:c r="O23" s="78"/>
      <x:c r="P23" s="76"/>
    </x:row>
    <x:row r="24">
      <x:c r="D24" s="76"/>
      <x:c r="E24" s="76"/>
      <x:c r="H24" s="78"/>
      <x:c r="I24" s="78"/>
      <x:c r="J24" s="78"/>
      <x:c r="K24" s="78"/>
      <x:c r="L24" s="78"/>
      <x:c r="O24" s="78"/>
      <x:c r="P24" s="76"/>
    </x:row>
    <x:row r="25">
      <x:c r="D25" s="76"/>
      <x:c r="E25" s="76"/>
      <x:c r="H25" s="78"/>
      <x:c r="I25" s="78"/>
      <x:c r="J25" s="78"/>
      <x:c r="K25" s="78"/>
      <x:c r="L25" s="78"/>
      <x:c r="O25" s="78"/>
      <x:c r="P25" s="76"/>
    </x:row>
    <x:row r="26">
      <x:c r="D26" s="76"/>
      <x:c r="E26" s="76"/>
      <x:c r="H26" s="78"/>
      <x:c r="I26" s="78"/>
      <x:c r="J26" s="78"/>
      <x:c r="K26" s="78"/>
      <x:c r="L26" s="78"/>
      <x:c r="O26" s="78"/>
      <x:c r="P26" s="76"/>
    </x:row>
    <x:row r="27">
      <x:c r="D27" s="76"/>
      <x:c r="E27" s="76"/>
      <x:c r="H27" s="78"/>
      <x:c r="I27" s="78"/>
      <x:c r="J27" s="78"/>
      <x:c r="K27" s="78"/>
      <x:c r="L27" s="78"/>
      <x:c r="O27" s="78"/>
      <x:c r="P27" s="76"/>
    </x:row>
    <x:row r="28">
      <x:c r="D28" s="76"/>
      <x:c r="E28" s="76"/>
      <x:c r="H28" s="78"/>
      <x:c r="I28" s="78"/>
      <x:c r="J28" s="78"/>
      <x:c r="K28" s="78"/>
      <x:c r="L28" s="78"/>
      <x:c r="O28" s="78"/>
      <x:c r="P28" s="76"/>
    </x:row>
    <x:row r="29">
      <x:c r="D29" s="76"/>
      <x:c r="E29" s="76"/>
      <x:c r="H29" s="78"/>
      <x:c r="I29" s="78"/>
      <x:c r="J29" s="78"/>
      <x:c r="K29" s="78"/>
      <x:c r="L29" s="78"/>
      <x:c r="O29" s="78"/>
      <x:c r="P29" s="76"/>
    </x:row>
    <x:row r="30">
      <x:c r="D30" s="76"/>
      <x:c r="E30" s="76"/>
      <x:c r="H30" s="78"/>
      <x:c r="I30" s="78"/>
      <x:c r="J30" s="78"/>
      <x:c r="K30" s="78"/>
      <x:c r="L30" s="78"/>
      <x:c r="O30" s="78"/>
      <x:c r="P30" s="76"/>
    </x:row>
    <x:row r="31">
      <x:c r="D31" s="76"/>
      <x:c r="E31" s="76"/>
      <x:c r="H31" s="78"/>
      <x:c r="I31" s="78"/>
      <x:c r="J31" s="78"/>
      <x:c r="K31" s="78"/>
      <x:c r="L31" s="78"/>
      <x:c r="O31" s="78"/>
      <x:c r="P31" s="76"/>
    </x:row>
    <x:row r="32">
      <x:c r="D32" s="76"/>
      <x:c r="E32" s="76"/>
      <x:c r="H32" s="78"/>
      <x:c r="I32" s="78"/>
      <x:c r="J32" s="78"/>
      <x:c r="K32" s="78"/>
      <x:c r="L32" s="78"/>
      <x:c r="O32" s="78"/>
      <x:c r="P32" s="76"/>
    </x:row>
    <x:row r="33">
      <x:c r="D33" s="76"/>
      <x:c r="E33" s="76"/>
      <x:c r="H33" s="78"/>
      <x:c r="I33" s="78"/>
      <x:c r="J33" s="78"/>
      <x:c r="K33" s="78"/>
      <x:c r="L33" s="78"/>
      <x:c r="O33" s="78"/>
      <x:c r="P33" s="76"/>
    </x:row>
    <x:row r="34">
      <x:c r="D34" s="76"/>
      <x:c r="E34" s="76"/>
      <x:c r="H34" s="78"/>
      <x:c r="I34" s="78"/>
      <x:c r="J34" s="78"/>
      <x:c r="K34" s="78"/>
      <x:c r="L34" s="78"/>
      <x:c r="O34" s="78"/>
      <x:c r="P34" s="76"/>
    </x:row>
    <x:row r="35">
      <x:c r="D35" s="76"/>
      <x:c r="E35" s="76"/>
      <x:c r="H35" s="78"/>
      <x:c r="I35" s="78"/>
      <x:c r="J35" s="78"/>
      <x:c r="K35" s="78"/>
      <x:c r="L35" s="78"/>
      <x:c r="O35" s="78"/>
      <x:c r="P35" s="76"/>
    </x:row>
    <x:row r="36">
      <x:c r="D36" s="76"/>
      <x:c r="E36" s="76"/>
      <x:c r="H36" s="78"/>
      <x:c r="I36" s="78"/>
      <x:c r="J36" s="78"/>
      <x:c r="K36" s="78"/>
      <x:c r="L36" s="78"/>
      <x:c r="O36" s="78"/>
      <x:c r="P36" s="76"/>
    </x:row>
    <x:row r="37">
      <x:c r="D37" s="76"/>
      <x:c r="E37" s="76"/>
      <x:c r="H37" s="78"/>
      <x:c r="I37" s="78"/>
      <x:c r="J37" s="78"/>
      <x:c r="K37" s="78"/>
      <x:c r="L37" s="78"/>
      <x:c r="O37" s="78"/>
      <x:c r="P37" s="76"/>
    </x:row>
    <x:row r="38">
      <x:c r="D38" s="76"/>
      <x:c r="E38" s="76"/>
      <x:c r="H38" s="78"/>
      <x:c r="I38" s="78"/>
      <x:c r="J38" s="78"/>
      <x:c r="K38" s="78"/>
      <x:c r="L38" s="78"/>
      <x:c r="O38" s="78"/>
      <x:c r="P38" s="76"/>
    </x:row>
    <x:row r="39">
      <x:c r="D39" s="76"/>
      <x:c r="E39" s="76"/>
      <x:c r="H39" s="78"/>
      <x:c r="I39" s="78"/>
      <x:c r="J39" s="78"/>
      <x:c r="K39" s="78"/>
      <x:c r="L39" s="78"/>
      <x:c r="O39" s="78"/>
      <x:c r="P39" s="76"/>
    </x:row>
    <x:row r="40">
      <x:c r="D40" s="76"/>
      <x:c r="E40" s="76"/>
      <x:c r="H40" s="78"/>
      <x:c r="I40" s="78"/>
      <x:c r="J40" s="78"/>
      <x:c r="K40" s="78"/>
      <x:c r="L40" s="78"/>
      <x:c r="O40" s="78"/>
      <x:c r="P40" s="76"/>
    </x:row>
    <x:row r="41">
      <x:c r="D41" s="76"/>
      <x:c r="E41" s="76"/>
      <x:c r="H41" s="78"/>
      <x:c r="I41" s="78"/>
      <x:c r="J41" s="78"/>
      <x:c r="K41" s="78"/>
      <x:c r="L41" s="78"/>
      <x:c r="O41" s="78"/>
      <x:c r="P41" s="76"/>
    </x:row>
    <x:row r="42">
      <x:c r="D42" s="76"/>
      <x:c r="E42" s="76"/>
      <x:c r="H42" s="78"/>
      <x:c r="I42" s="78"/>
      <x:c r="J42" s="78"/>
      <x:c r="K42" s="78"/>
      <x:c r="L42" s="78"/>
      <x:c r="O42" s="78"/>
      <x:c r="P42" s="76"/>
    </x:row>
    <x:row r="43">
      <x:c r="D43" s="76"/>
      <x:c r="E43" s="76"/>
      <x:c r="H43" s="78"/>
      <x:c r="I43" s="78"/>
      <x:c r="J43" s="78"/>
      <x:c r="K43" s="78"/>
      <x:c r="L43" s="78"/>
      <x:c r="O43" s="78"/>
      <x:c r="P43" s="76"/>
    </x:row>
    <x:row r="44">
      <x:c r="D44" s="76"/>
      <x:c r="E44" s="76"/>
      <x:c r="H44" s="78"/>
      <x:c r="I44" s="78"/>
      <x:c r="J44" s="78"/>
      <x:c r="K44" s="78"/>
      <x:c r="L44" s="78"/>
      <x:c r="O44" s="78"/>
      <x:c r="P44" s="76"/>
    </x:row>
    <x:row r="45">
      <x:c r="D45" s="76"/>
      <x:c r="E45" s="76"/>
      <x:c r="H45" s="78"/>
      <x:c r="I45" s="78"/>
      <x:c r="J45" s="78"/>
      <x:c r="K45" s="78"/>
      <x:c r="L45" s="78"/>
      <x:c r="O45" s="78"/>
      <x:c r="P45" s="76"/>
    </x:row>
    <x:row r="46">
      <x:c r="D46" s="76"/>
      <x:c r="E46" s="76"/>
      <x:c r="H46" s="78"/>
      <x:c r="I46" s="78"/>
      <x:c r="J46" s="78"/>
      <x:c r="K46" s="78"/>
      <x:c r="L46" s="78"/>
      <x:c r="O46" s="78"/>
      <x:c r="P46" s="76"/>
    </x:row>
    <x:row r="47">
      <x:c r="D47" s="76"/>
      <x:c r="E47" s="76"/>
      <x:c r="H47" s="78"/>
      <x:c r="I47" s="78"/>
      <x:c r="J47" s="78"/>
      <x:c r="K47" s="78"/>
      <x:c r="L47" s="78"/>
      <x:c r="O47" s="78"/>
      <x:c r="P47" s="76"/>
    </x:row>
    <x:row r="48">
      <x:c r="D48" s="76"/>
      <x:c r="E48" s="76"/>
      <x:c r="H48" s="78"/>
      <x:c r="I48" s="78"/>
      <x:c r="J48" s="78"/>
      <x:c r="K48" s="78"/>
      <x:c r="L48" s="78"/>
      <x:c r="O48" s="78"/>
      <x:c r="P48" s="76"/>
    </x:row>
    <x:row r="49">
      <x:c r="D49" s="76"/>
      <x:c r="E49" s="76"/>
      <x:c r="H49" s="78"/>
      <x:c r="I49" s="78"/>
      <x:c r="J49" s="78"/>
      <x:c r="K49" s="78"/>
      <x:c r="L49" s="78"/>
      <x:c r="O49" s="78"/>
      <x:c r="P49" s="76"/>
    </x:row>
    <x:row r="50">
      <x:c r="D50" s="76"/>
      <x:c r="E50" s="76"/>
      <x:c r="H50" s="78"/>
      <x:c r="I50" s="78"/>
      <x:c r="J50" s="78"/>
      <x:c r="K50" s="78"/>
      <x:c r="L50" s="78"/>
      <x:c r="O50" s="78"/>
      <x:c r="P50" s="76"/>
    </x:row>
    <x:row r="51">
      <x:c r="D51" s="76"/>
      <x:c r="E51" s="76"/>
      <x:c r="H51" s="78"/>
      <x:c r="I51" s="78"/>
      <x:c r="J51" s="78"/>
      <x:c r="K51" s="78"/>
      <x:c r="L51" s="78"/>
      <x:c r="O51" s="78"/>
      <x:c r="P51" s="76"/>
    </x:row>
    <x:row r="52">
      <x:c r="D52" s="76"/>
      <x:c r="E52" s="76"/>
      <x:c r="H52" s="78"/>
      <x:c r="I52" s="78"/>
      <x:c r="J52" s="78"/>
      <x:c r="K52" s="78"/>
      <x:c r="L52" s="78"/>
      <x:c r="O52" s="78"/>
      <x:c r="P52" s="76"/>
    </x:row>
    <x:row r="53">
      <x:c r="D53" s="76"/>
      <x:c r="E53" s="76"/>
      <x:c r="H53" s="78"/>
      <x:c r="I53" s="78"/>
      <x:c r="J53" s="78"/>
      <x:c r="K53" s="78"/>
      <x:c r="L53" s="78"/>
      <x:c r="O53" s="78"/>
      <x:c r="P53" s="76"/>
    </x:row>
    <x:row r="54">
      <x:c r="D54" s="76"/>
      <x:c r="E54" s="76"/>
      <x:c r="H54" s="78"/>
      <x:c r="I54" s="78"/>
      <x:c r="J54" s="78"/>
      <x:c r="K54" s="78"/>
      <x:c r="L54" s="78"/>
      <x:c r="O54" s="78"/>
      <x:c r="P54" s="76"/>
    </x:row>
    <x:row r="55">
      <x:c r="D55" s="76"/>
      <x:c r="E55" s="76"/>
      <x:c r="H55" s="78"/>
      <x:c r="I55" s="78"/>
      <x:c r="J55" s="78"/>
      <x:c r="K55" s="78"/>
      <x:c r="L55" s="78"/>
      <x:c r="O55" s="78"/>
      <x:c r="P55" s="76"/>
    </x:row>
    <x:row r="56">
      <x:c r="D56" s="76"/>
      <x:c r="E56" s="76"/>
      <x:c r="H56" s="78"/>
      <x:c r="I56" s="78"/>
      <x:c r="J56" s="78"/>
      <x:c r="K56" s="78"/>
      <x:c r="L56" s="78"/>
      <x:c r="O56" s="78"/>
      <x:c r="P56" s="76"/>
    </x:row>
    <x:row r="57">
      <x:c r="D57" s="76"/>
      <x:c r="E57" s="76"/>
      <x:c r="H57" s="78"/>
      <x:c r="I57" s="78"/>
      <x:c r="J57" s="78"/>
      <x:c r="K57" s="78"/>
      <x:c r="L57" s="78"/>
      <x:c r="O57" s="78"/>
      <x:c r="P57" s="76"/>
    </x:row>
    <x:row r="58">
      <x:c r="D58" s="76"/>
      <x:c r="E58" s="76"/>
      <x:c r="H58" s="78"/>
      <x:c r="I58" s="78"/>
      <x:c r="J58" s="78"/>
      <x:c r="K58" s="78"/>
      <x:c r="L58" s="78"/>
      <x:c r="O58" s="78"/>
      <x:c r="P58" s="76"/>
    </x:row>
    <x:row r="59">
      <x:c r="D59" s="76"/>
      <x:c r="E59" s="76"/>
      <x:c r="H59" s="78"/>
      <x:c r="I59" s="78"/>
      <x:c r="J59" s="78"/>
      <x:c r="K59" s="78"/>
      <x:c r="L59" s="78"/>
      <x:c r="O59" s="78"/>
      <x:c r="P59" s="76"/>
    </x:row>
    <x:row r="60">
      <x:c r="D60" s="76"/>
      <x:c r="E60" s="76"/>
      <x:c r="H60" s="78"/>
      <x:c r="I60" s="78"/>
      <x:c r="J60" s="78"/>
      <x:c r="K60" s="78"/>
      <x:c r="L60" s="78"/>
      <x:c r="O60" s="78"/>
      <x:c r="P60" s="76"/>
    </x:row>
    <x:row r="61">
      <x:c r="D61" s="76"/>
      <x:c r="E61" s="76"/>
      <x:c r="H61" s="78"/>
      <x:c r="I61" s="78"/>
      <x:c r="J61" s="78"/>
      <x:c r="K61" s="78"/>
      <x:c r="L61" s="78"/>
      <x:c r="O61" s="78"/>
      <x:c r="P61" s="76"/>
    </x:row>
    <x:row r="62">
      <x:c r="D62" s="76"/>
      <x:c r="E62" s="76"/>
      <x:c r="H62" s="78"/>
      <x:c r="I62" s="78"/>
      <x:c r="J62" s="78"/>
      <x:c r="K62" s="78"/>
      <x:c r="L62" s="78"/>
      <x:c r="O62" s="78"/>
      <x:c r="P62" s="76"/>
    </x:row>
    <x:row r="63">
      <x:c r="D63" s="76"/>
      <x:c r="E63" s="76"/>
      <x:c r="H63" s="78"/>
      <x:c r="I63" s="78"/>
      <x:c r="J63" s="78"/>
      <x:c r="K63" s="78"/>
      <x:c r="L63" s="78"/>
      <x:c r="O63" s="78"/>
      <x:c r="P63" s="76"/>
    </x:row>
    <x:row r="64">
      <x:c r="D64" s="76"/>
      <x:c r="E64" s="76"/>
      <x:c r="H64" s="78"/>
      <x:c r="I64" s="78"/>
      <x:c r="J64" s="78"/>
      <x:c r="K64" s="78"/>
      <x:c r="L64" s="78"/>
      <x:c r="O64" s="78"/>
      <x:c r="P64" s="76"/>
    </x:row>
    <x:row r="65">
      <x:c r="D65" s="76"/>
      <x:c r="E65" s="76"/>
      <x:c r="H65" s="78"/>
      <x:c r="I65" s="78"/>
      <x:c r="J65" s="78"/>
      <x:c r="K65" s="78"/>
      <x:c r="L65" s="78"/>
      <x:c r="O65" s="78"/>
      <x:c r="P65" s="76"/>
    </x:row>
    <x:row r="66">
      <x:c r="D66" s="76"/>
      <x:c r="E66" s="76"/>
      <x:c r="H66" s="78"/>
      <x:c r="I66" s="78"/>
      <x:c r="J66" s="78"/>
      <x:c r="K66" s="78"/>
      <x:c r="L66" s="78"/>
      <x:c r="O66" s="78"/>
      <x:c r="P66" s="76"/>
    </x:row>
    <x:row r="67">
      <x:c r="D67" s="76"/>
      <x:c r="E67" s="76"/>
      <x:c r="H67" s="78"/>
      <x:c r="I67" s="78"/>
      <x:c r="J67" s="78"/>
      <x:c r="K67" s="78"/>
      <x:c r="L67" s="78"/>
      <x:c r="O67" s="78"/>
      <x:c r="P67" s="76"/>
    </x:row>
    <x:row r="68">
      <x:c r="D68" s="76"/>
      <x:c r="E68" s="76"/>
      <x:c r="H68" s="78"/>
      <x:c r="I68" s="78"/>
      <x:c r="J68" s="78"/>
      <x:c r="K68" s="78"/>
      <x:c r="L68" s="78"/>
      <x:c r="O68" s="78"/>
      <x:c r="P68" s="76"/>
    </x:row>
    <x:row r="69">
      <x:c r="D69" s="76"/>
      <x:c r="E69" s="76"/>
      <x:c r="H69" s="78"/>
      <x:c r="I69" s="78"/>
      <x:c r="J69" s="78"/>
      <x:c r="K69" s="78"/>
      <x:c r="L69" s="78"/>
      <x:c r="O69" s="78"/>
      <x:c r="P69" s="76"/>
    </x:row>
    <x:row r="70">
      <x:c r="D70" s="76"/>
      <x:c r="E70" s="76"/>
      <x:c r="H70" s="78"/>
      <x:c r="I70" s="78"/>
      <x:c r="J70" s="78"/>
      <x:c r="K70" s="78"/>
      <x:c r="L70" s="78"/>
      <x:c r="O70" s="78"/>
      <x:c r="P70" s="76"/>
    </x:row>
    <x:row r="71">
      <x:c r="D71" s="76"/>
      <x:c r="E71" s="76"/>
      <x:c r="H71" s="78"/>
      <x:c r="I71" s="78"/>
      <x:c r="J71" s="78"/>
      <x:c r="K71" s="78"/>
      <x:c r="L71" s="78"/>
      <x:c r="O71" s="78"/>
      <x:c r="P71" s="76"/>
    </x:row>
    <x:row r="72">
      <x:c r="D72" s="76"/>
      <x:c r="E72" s="76"/>
      <x:c r="H72" s="78"/>
      <x:c r="I72" s="78"/>
      <x:c r="J72" s="78"/>
      <x:c r="K72" s="78"/>
      <x:c r="L72" s="78"/>
      <x:c r="O72" s="78"/>
      <x:c r="P72" s="76"/>
    </x:row>
    <x:row r="73">
      <x:c r="D73" s="76"/>
      <x:c r="E73" s="76"/>
      <x:c r="H73" s="78"/>
      <x:c r="I73" s="78"/>
      <x:c r="J73" s="78"/>
      <x:c r="K73" s="78"/>
      <x:c r="L73" s="78"/>
      <x:c r="O73" s="78"/>
      <x:c r="P73" s="76"/>
    </x:row>
    <x:row r="74">
      <x:c r="D74" s="76"/>
      <x:c r="E74" s="76"/>
      <x:c r="H74" s="78"/>
      <x:c r="I74" s="78"/>
      <x:c r="J74" s="78"/>
      <x:c r="K74" s="78"/>
      <x:c r="L74" s="78"/>
      <x:c r="O74" s="78"/>
      <x:c r="P74" s="76"/>
    </x:row>
    <x:row r="75">
      <x:c r="D75" s="76"/>
      <x:c r="E75" s="76"/>
      <x:c r="H75" s="78"/>
      <x:c r="I75" s="78"/>
      <x:c r="J75" s="78"/>
      <x:c r="K75" s="78"/>
      <x:c r="L75" s="78"/>
      <x:c r="O75" s="78"/>
      <x:c r="P75" s="76"/>
    </x:row>
    <x:row r="76">
      <x:c r="D76" s="76"/>
      <x:c r="E76" s="76"/>
      <x:c r="H76" s="78"/>
      <x:c r="I76" s="78"/>
      <x:c r="J76" s="78"/>
      <x:c r="K76" s="78"/>
      <x:c r="L76" s="78"/>
      <x:c r="O76" s="78"/>
      <x:c r="P76" s="76"/>
    </x:row>
    <x:row r="77">
      <x:c r="D77" s="76"/>
      <x:c r="E77" s="76"/>
      <x:c r="H77" s="78"/>
      <x:c r="I77" s="78"/>
      <x:c r="J77" s="78"/>
      <x:c r="K77" s="78"/>
      <x:c r="L77" s="78"/>
      <x:c r="O77" s="78"/>
      <x:c r="P77" s="76"/>
    </x:row>
    <x:row r="78">
      <x:c r="D78" s="76"/>
      <x:c r="E78" s="76"/>
      <x:c r="H78" s="78"/>
      <x:c r="I78" s="78"/>
      <x:c r="J78" s="78"/>
      <x:c r="K78" s="78"/>
      <x:c r="L78" s="78"/>
      <x:c r="O78" s="78"/>
      <x:c r="P78" s="76"/>
    </x:row>
    <x:row r="79">
      <x:c r="D79" s="76"/>
      <x:c r="E79" s="76"/>
      <x:c r="H79" s="78"/>
      <x:c r="I79" s="78"/>
      <x:c r="J79" s="78"/>
      <x:c r="K79" s="78"/>
      <x:c r="L79" s="78"/>
      <x:c r="O79" s="78"/>
      <x:c r="P79" s="76"/>
    </x:row>
    <x:row r="80">
      <x:c r="D80" s="76"/>
      <x:c r="E80" s="76"/>
      <x:c r="H80" s="78"/>
      <x:c r="I80" s="78"/>
      <x:c r="J80" s="78"/>
      <x:c r="K80" s="78"/>
      <x:c r="L80" s="78"/>
      <x:c r="O80" s="78"/>
      <x:c r="P80" s="76"/>
    </x:row>
    <x:row r="81">
      <x:c r="D81" s="76"/>
      <x:c r="E81" s="76"/>
      <x:c r="H81" s="78"/>
      <x:c r="I81" s="78"/>
      <x:c r="J81" s="78"/>
      <x:c r="K81" s="78"/>
      <x:c r="L81" s="78"/>
      <x:c r="O81" s="78"/>
      <x:c r="P81" s="76"/>
    </x:row>
    <x:row r="82">
      <x:c r="D82" s="76"/>
      <x:c r="E82" s="76"/>
      <x:c r="H82" s="78"/>
      <x:c r="I82" s="78"/>
      <x:c r="J82" s="78"/>
      <x:c r="K82" s="78"/>
      <x:c r="L82" s="78"/>
      <x:c r="O82" s="78"/>
      <x:c r="P82" s="76"/>
    </x:row>
    <x:row r="83">
      <x:c r="D83" s="76"/>
      <x:c r="E83" s="76"/>
      <x:c r="H83" s="78"/>
      <x:c r="I83" s="78"/>
      <x:c r="J83" s="78"/>
      <x:c r="K83" s="78"/>
      <x:c r="L83" s="78"/>
      <x:c r="O83" s="78"/>
      <x:c r="P83" s="76"/>
    </x:row>
    <x:row r="84">
      <x:c r="D84" s="76"/>
      <x:c r="E84" s="76"/>
      <x:c r="H84" s="78"/>
      <x:c r="I84" s="78"/>
      <x:c r="J84" s="78"/>
      <x:c r="K84" s="78"/>
      <x:c r="L84" s="78"/>
      <x:c r="O84" s="78"/>
      <x:c r="P84" s="76"/>
    </x:row>
    <x:row r="85">
      <x:c r="D85" s="76"/>
      <x:c r="E85" s="76"/>
      <x:c r="H85" s="78"/>
      <x:c r="I85" s="78"/>
      <x:c r="J85" s="78"/>
      <x:c r="K85" s="78"/>
      <x:c r="L85" s="78"/>
      <x:c r="O85" s="78"/>
      <x:c r="P85" s="76"/>
    </x:row>
    <x:row r="86">
      <x:c r="D86" s="76"/>
      <x:c r="E86" s="76"/>
      <x:c r="H86" s="78"/>
      <x:c r="I86" s="78"/>
      <x:c r="J86" s="78"/>
      <x:c r="K86" s="78"/>
      <x:c r="L86" s="78"/>
      <x:c r="O86" s="78"/>
      <x:c r="P86" s="76"/>
    </x:row>
    <x:row r="87">
      <x:c r="D87" s="76"/>
      <x:c r="E87" s="76"/>
      <x:c r="H87" s="78"/>
      <x:c r="I87" s="78"/>
      <x:c r="J87" s="78"/>
      <x:c r="K87" s="78"/>
      <x:c r="L87" s="78"/>
      <x:c r="O87" s="78"/>
      <x:c r="P87" s="76"/>
    </x:row>
    <x:row r="88">
      <x:c r="D88" s="76"/>
      <x:c r="E88" s="76"/>
      <x:c r="H88" s="78"/>
      <x:c r="I88" s="78"/>
      <x:c r="J88" s="78"/>
      <x:c r="K88" s="78"/>
      <x:c r="L88" s="78"/>
      <x:c r="O88" s="78"/>
      <x:c r="P88" s="76"/>
    </x:row>
    <x:row r="89">
      <x:c r="D89" s="76"/>
      <x:c r="E89" s="76"/>
      <x:c r="H89" s="78"/>
      <x:c r="I89" s="78"/>
      <x:c r="J89" s="78"/>
      <x:c r="K89" s="78"/>
      <x:c r="L89" s="78"/>
      <x:c r="O89" s="78"/>
      <x:c r="P89" s="76"/>
    </x:row>
    <x:row r="90">
      <x:c r="D90" s="76"/>
      <x:c r="E90" s="76"/>
      <x:c r="H90" s="78"/>
      <x:c r="I90" s="78"/>
      <x:c r="J90" s="78"/>
      <x:c r="K90" s="78"/>
      <x:c r="L90" s="78"/>
      <x:c r="O90" s="78"/>
      <x:c r="P90" s="76"/>
    </x:row>
    <x:row r="91">
      <x:c r="D91" s="76"/>
      <x:c r="E91" s="76"/>
      <x:c r="H91" s="78"/>
      <x:c r="I91" s="78"/>
      <x:c r="J91" s="78"/>
      <x:c r="K91" s="78"/>
      <x:c r="L91" s="78"/>
      <x:c r="O91" s="78"/>
      <x:c r="P91" s="76"/>
    </x:row>
    <x:row r="92">
      <x:c r="D92" s="76"/>
      <x:c r="E92" s="76"/>
      <x:c r="H92" s="78"/>
      <x:c r="I92" s="78"/>
      <x:c r="J92" s="78"/>
      <x:c r="K92" s="78"/>
      <x:c r="L92" s="78"/>
      <x:c r="O92" s="78"/>
      <x:c r="P92" s="76"/>
    </x:row>
    <x:row r="93">
      <x:c r="D93" s="76"/>
      <x:c r="E93" s="76"/>
      <x:c r="H93" s="78"/>
      <x:c r="I93" s="78"/>
      <x:c r="J93" s="78"/>
      <x:c r="K93" s="78"/>
      <x:c r="L93" s="78"/>
      <x:c r="O93" s="78"/>
      <x:c r="P93" s="76"/>
    </x:row>
    <x:row r="94">
      <x:c r="D94" s="76"/>
      <x:c r="E94" s="76"/>
      <x:c r="H94" s="78"/>
      <x:c r="I94" s="78"/>
      <x:c r="J94" s="78"/>
      <x:c r="K94" s="78"/>
      <x:c r="L94" s="78"/>
      <x:c r="O94" s="78"/>
      <x:c r="P94" s="76"/>
    </x:row>
    <x:row r="95">
      <x:c r="D95" s="76"/>
      <x:c r="E95" s="76"/>
      <x:c r="H95" s="78"/>
      <x:c r="I95" s="78"/>
      <x:c r="J95" s="78"/>
      <x:c r="K95" s="78"/>
      <x:c r="L95" s="78"/>
      <x:c r="O95" s="78"/>
      <x:c r="P95" s="76"/>
    </x:row>
    <x:row r="96">
      <x:c r="D96" s="76"/>
      <x:c r="E96" s="76"/>
      <x:c r="H96" s="78"/>
      <x:c r="I96" s="78"/>
      <x:c r="J96" s="78"/>
      <x:c r="K96" s="78"/>
      <x:c r="L96" s="78"/>
      <x:c r="O96" s="78"/>
      <x:c r="P96" s="76"/>
    </x:row>
    <x:row r="97">
      <x:c r="D97" s="76"/>
      <x:c r="E97" s="76"/>
      <x:c r="H97" s="78"/>
      <x:c r="I97" s="78"/>
      <x:c r="J97" s="78"/>
      <x:c r="K97" s="78"/>
      <x:c r="L97" s="78"/>
      <x:c r="O97" s="78"/>
      <x:c r="P97" s="76"/>
    </x:row>
    <x:row r="98">
      <x:c r="D98" s="76"/>
      <x:c r="E98" s="76"/>
      <x:c r="H98" s="78"/>
      <x:c r="I98" s="78"/>
      <x:c r="J98" s="78"/>
      <x:c r="K98" s="78"/>
      <x:c r="L98" s="78"/>
      <x:c r="O98" s="78"/>
      <x:c r="P98" s="76"/>
    </x:row>
    <x:row r="99">
      <x:c r="D99" s="76"/>
      <x:c r="E99" s="76"/>
      <x:c r="H99" s="78"/>
      <x:c r="I99" s="78"/>
      <x:c r="J99" s="78"/>
      <x:c r="K99" s="78"/>
      <x:c r="L99" s="78"/>
      <x:c r="O99" s="78"/>
      <x:c r="P99" s="76"/>
    </x:row>
    <x:row r="100">
      <x:c r="D100" s="76"/>
      <x:c r="E100" s="76"/>
      <x:c r="H100" s="78"/>
      <x:c r="I100" s="78"/>
      <x:c r="J100" s="78"/>
      <x:c r="K100" s="78"/>
      <x:c r="L100" s="78"/>
      <x:c r="O100" s="78"/>
      <x:c r="P100" s="76"/>
    </x:row>
    <x:row r="101">
      <x:c r="D101" s="76"/>
      <x:c r="E101" s="76"/>
      <x:c r="H101" s="78"/>
      <x:c r="I101" s="78"/>
      <x:c r="J101" s="78"/>
      <x:c r="K101" s="78"/>
      <x:c r="L101" s="78"/>
      <x:c r="O101" s="78"/>
      <x:c r="P101" s="76"/>
    </x:row>
    <x:row r="102">
      <x:c r="D102" s="76"/>
      <x:c r="E102" s="76"/>
      <x:c r="H102" s="78"/>
      <x:c r="I102" s="78"/>
      <x:c r="J102" s="78"/>
      <x:c r="K102" s="78"/>
      <x:c r="L102" s="78"/>
      <x:c r="O102" s="78"/>
      <x:c r="P102" s="76"/>
    </x:row>
    <x:row r="103">
      <x:c r="D103" s="76"/>
      <x:c r="E103" s="76"/>
      <x:c r="H103" s="78"/>
      <x:c r="I103" s="78"/>
      <x:c r="J103" s="78"/>
      <x:c r="K103" s="78"/>
      <x:c r="L103" s="78"/>
      <x:c r="O103" s="78"/>
      <x:c r="P103" s="76"/>
    </x:row>
    <x:row r="104">
      <x:c r="D104" s="76"/>
      <x:c r="E104" s="76"/>
      <x:c r="H104" s="78"/>
      <x:c r="I104" s="78"/>
      <x:c r="J104" s="78"/>
      <x:c r="K104" s="78"/>
      <x:c r="L104" s="78"/>
      <x:c r="O104" s="78"/>
      <x:c r="P104" s="76"/>
    </x:row>
    <x:row r="105">
      <x:c r="D105" s="76"/>
      <x:c r="E105" s="76"/>
      <x:c r="H105" s="78"/>
      <x:c r="I105" s="78"/>
      <x:c r="J105" s="78"/>
      <x:c r="K105" s="78"/>
      <x:c r="L105" s="78"/>
      <x:c r="O105" s="78"/>
      <x:c r="P105" s="76"/>
    </x:row>
    <x:row r="106">
      <x:c r="D106" s="76"/>
      <x:c r="E106" s="76"/>
      <x:c r="H106" s="78"/>
      <x:c r="I106" s="78"/>
      <x:c r="J106" s="78"/>
      <x:c r="K106" s="78"/>
      <x:c r="L106" s="78"/>
      <x:c r="O106" s="78"/>
      <x:c r="P106" s="76"/>
    </x:row>
    <x:row r="107">
      <x:c r="D107" s="76"/>
      <x:c r="E107" s="76"/>
      <x:c r="H107" s="78"/>
      <x:c r="I107" s="78"/>
      <x:c r="J107" s="78"/>
      <x:c r="K107" s="78"/>
      <x:c r="L107" s="78"/>
      <x:c r="O107" s="78"/>
      <x:c r="P107" s="76"/>
    </x:row>
    <x:row r="108">
      <x:c r="D108" s="76"/>
      <x:c r="E108" s="76"/>
      <x:c r="H108" s="78"/>
      <x:c r="I108" s="78"/>
      <x:c r="J108" s="78"/>
      <x:c r="K108" s="78"/>
      <x:c r="L108" s="78"/>
      <x:c r="O108" s="78"/>
      <x:c r="P108" s="76"/>
    </x:row>
    <x:row r="109">
      <x:c r="D109" s="76"/>
      <x:c r="E109" s="76"/>
      <x:c r="H109" s="78"/>
      <x:c r="I109" s="78"/>
      <x:c r="J109" s="78"/>
      <x:c r="K109" s="78"/>
      <x:c r="L109" s="78"/>
      <x:c r="O109" s="78"/>
      <x:c r="P109" s="76"/>
    </x:row>
    <x:row r="110">
      <x:c r="D110" s="76"/>
      <x:c r="E110" s="76"/>
      <x:c r="H110" s="78"/>
      <x:c r="I110" s="78"/>
      <x:c r="J110" s="78"/>
      <x:c r="K110" s="78"/>
      <x:c r="L110" s="78"/>
      <x:c r="O110" s="78"/>
      <x:c r="P110" s="76"/>
    </x:row>
    <x:row r="111">
      <x:c r="D111" s="76"/>
      <x:c r="E111" s="76"/>
      <x:c r="H111" s="78"/>
      <x:c r="I111" s="78"/>
      <x:c r="J111" s="78"/>
      <x:c r="K111" s="78"/>
      <x:c r="L111" s="78"/>
      <x:c r="O111" s="78"/>
      <x:c r="P111" s="76"/>
    </x:row>
    <x:row r="112">
      <x:c r="D112" s="76"/>
      <x:c r="E112" s="76"/>
      <x:c r="H112" s="78"/>
      <x:c r="I112" s="78"/>
      <x:c r="J112" s="78"/>
      <x:c r="K112" s="78"/>
      <x:c r="L112" s="78"/>
      <x:c r="O112" s="78"/>
      <x:c r="P112" s="76"/>
    </x:row>
    <x:row r="113">
      <x:c r="D113" s="76"/>
      <x:c r="E113" s="76"/>
      <x:c r="H113" s="78"/>
      <x:c r="I113" s="78"/>
      <x:c r="J113" s="78"/>
      <x:c r="K113" s="78"/>
      <x:c r="L113" s="78"/>
      <x:c r="O113" s="78"/>
      <x:c r="P113" s="76"/>
    </x:row>
    <x:row r="114">
      <x:c r="D114" s="76"/>
      <x:c r="E114" s="76"/>
      <x:c r="H114" s="78"/>
      <x:c r="I114" s="78"/>
      <x:c r="J114" s="78"/>
      <x:c r="K114" s="78"/>
      <x:c r="L114" s="78"/>
      <x:c r="O114" s="78"/>
      <x:c r="P114" s="76"/>
    </x:row>
    <x:row r="115">
      <x:c r="D115" s="76"/>
      <x:c r="E115" s="76"/>
      <x:c r="H115" s="78"/>
      <x:c r="I115" s="78"/>
      <x:c r="J115" s="78"/>
      <x:c r="K115" s="78"/>
      <x:c r="L115" s="78"/>
      <x:c r="O115" s="78"/>
      <x:c r="P115" s="76"/>
    </x:row>
    <x:row r="116">
      <x:c r="D116" s="76"/>
      <x:c r="E116" s="76"/>
      <x:c r="H116" s="78"/>
      <x:c r="I116" s="78"/>
      <x:c r="J116" s="78"/>
      <x:c r="K116" s="78"/>
      <x:c r="L116" s="78"/>
      <x:c r="O116" s="78"/>
      <x:c r="P116" s="76"/>
    </x:row>
    <x:row r="117">
      <x:c r="D117" s="76"/>
      <x:c r="E117" s="76"/>
      <x:c r="H117" s="78"/>
      <x:c r="I117" s="78"/>
      <x:c r="J117" s="78"/>
      <x:c r="K117" s="78"/>
      <x:c r="L117" s="78"/>
      <x:c r="O117" s="78"/>
      <x:c r="P117" s="76"/>
    </x:row>
    <x:row r="118">
      <x:c r="D118" s="76"/>
      <x:c r="E118" s="76"/>
      <x:c r="H118" s="78"/>
      <x:c r="I118" s="78"/>
      <x:c r="J118" s="78"/>
      <x:c r="K118" s="78"/>
      <x:c r="L118" s="78"/>
      <x:c r="O118" s="78"/>
      <x:c r="P118" s="76"/>
    </x:row>
    <x:row r="119">
      <x:c r="D119" s="76"/>
      <x:c r="E119" s="76"/>
      <x:c r="H119" s="78"/>
      <x:c r="I119" s="78"/>
      <x:c r="J119" s="78"/>
      <x:c r="K119" s="78"/>
      <x:c r="L119" s="78"/>
      <x:c r="O119" s="78"/>
      <x:c r="P119" s="76"/>
    </x:row>
    <x:row r="120">
      <x:c r="D120" s="76"/>
      <x:c r="E120" s="76"/>
      <x:c r="H120" s="78"/>
      <x:c r="I120" s="78"/>
      <x:c r="J120" s="78"/>
      <x:c r="K120" s="78"/>
      <x:c r="L120" s="78"/>
      <x:c r="O120" s="78"/>
      <x:c r="P120" s="76"/>
    </x:row>
    <x:row r="121">
      <x:c r="D121" s="76"/>
      <x:c r="E121" s="76"/>
      <x:c r="H121" s="78"/>
      <x:c r="I121" s="78"/>
      <x:c r="J121" s="78"/>
      <x:c r="K121" s="78"/>
      <x:c r="L121" s="78"/>
      <x:c r="O121" s="78"/>
      <x:c r="P121" s="76"/>
    </x:row>
    <x:row r="122">
      <x:c r="D122" s="76"/>
      <x:c r="E122" s="76"/>
      <x:c r="H122" s="78"/>
      <x:c r="I122" s="78"/>
      <x:c r="J122" s="78"/>
      <x:c r="K122" s="78"/>
      <x:c r="L122" s="78"/>
      <x:c r="O122" s="78"/>
      <x:c r="P122" s="76"/>
    </x:row>
    <x:row r="123">
      <x:c r="D123" s="76"/>
      <x:c r="E123" s="76"/>
      <x:c r="H123" s="78"/>
      <x:c r="I123" s="78"/>
      <x:c r="J123" s="78"/>
      <x:c r="K123" s="78"/>
      <x:c r="L123" s="78"/>
      <x:c r="O123" s="78"/>
      <x:c r="P123" s="76"/>
    </x:row>
    <x:row r="124">
      <x:c r="D124" s="76"/>
      <x:c r="E124" s="76"/>
      <x:c r="H124" s="78"/>
      <x:c r="I124" s="78"/>
      <x:c r="J124" s="78"/>
      <x:c r="K124" s="78"/>
      <x:c r="L124" s="78"/>
      <x:c r="O124" s="78"/>
      <x:c r="P124" s="76"/>
    </x:row>
    <x:row r="125">
      <x:c r="D125" s="76"/>
      <x:c r="E125" s="76"/>
      <x:c r="H125" s="78"/>
      <x:c r="I125" s="78"/>
      <x:c r="J125" s="78"/>
      <x:c r="K125" s="78"/>
      <x:c r="L125" s="78"/>
      <x:c r="O125" s="78"/>
      <x:c r="P125" s="76"/>
    </x:row>
    <x:row r="126">
      <x:c r="D126" s="76"/>
      <x:c r="E126" s="76"/>
      <x:c r="H126" s="78"/>
      <x:c r="I126" s="78"/>
      <x:c r="J126" s="78"/>
      <x:c r="K126" s="78"/>
      <x:c r="L126" s="78"/>
      <x:c r="O126" s="78"/>
      <x:c r="P126" s="76"/>
    </x:row>
    <x:row r="127">
      <x:c r="D127" s="76"/>
      <x:c r="E127" s="76"/>
      <x:c r="H127" s="78"/>
      <x:c r="I127" s="78"/>
      <x:c r="J127" s="78"/>
      <x:c r="K127" s="78"/>
      <x:c r="L127" s="78"/>
      <x:c r="O127" s="78"/>
      <x:c r="P127" s="76"/>
    </x:row>
    <x:row r="128">
      <x:c r="D128" s="76"/>
      <x:c r="E128" s="76"/>
      <x:c r="H128" s="78"/>
      <x:c r="I128" s="78"/>
      <x:c r="J128" s="78"/>
      <x:c r="K128" s="78"/>
      <x:c r="L128" s="78"/>
      <x:c r="O128" s="78"/>
      <x:c r="P128" s="76"/>
    </x:row>
    <x:row r="129">
      <x:c r="D129" s="76"/>
      <x:c r="E129" s="76"/>
      <x:c r="H129" s="78"/>
      <x:c r="I129" s="78"/>
      <x:c r="J129" s="78"/>
      <x:c r="K129" s="78"/>
      <x:c r="L129" s="78"/>
      <x:c r="O129" s="78"/>
      <x:c r="P129" s="76"/>
    </x:row>
    <x:row r="130">
      <x:c r="D130" s="76"/>
      <x:c r="E130" s="76"/>
      <x:c r="H130" s="78"/>
      <x:c r="I130" s="78"/>
      <x:c r="J130" s="78"/>
      <x:c r="K130" s="78"/>
      <x:c r="L130" s="78"/>
      <x:c r="O130" s="78"/>
      <x:c r="P130" s="76"/>
    </x:row>
    <x:row r="131">
      <x:c r="D131" s="76"/>
      <x:c r="E131" s="76"/>
      <x:c r="H131" s="78"/>
      <x:c r="I131" s="78"/>
      <x:c r="J131" s="78"/>
      <x:c r="K131" s="78"/>
      <x:c r="L131" s="78"/>
      <x:c r="O131" s="78"/>
      <x:c r="P131" s="76"/>
    </x:row>
    <x:row r="132">
      <x:c r="D132" s="76"/>
      <x:c r="E132" s="76"/>
      <x:c r="H132" s="78"/>
      <x:c r="I132" s="78"/>
      <x:c r="J132" s="78"/>
      <x:c r="K132" s="78"/>
      <x:c r="L132" s="78"/>
      <x:c r="O132" s="78"/>
      <x:c r="P132" s="76"/>
    </x:row>
    <x:row r="133">
      <x:c r="D133" s="76"/>
      <x:c r="E133" s="76"/>
      <x:c r="H133" s="78"/>
      <x:c r="I133" s="78"/>
      <x:c r="J133" s="78"/>
      <x:c r="K133" s="78"/>
      <x:c r="L133" s="78"/>
      <x:c r="O133" s="78"/>
      <x:c r="P133" s="76"/>
    </x:row>
    <x:row r="134">
      <x:c r="D134" s="76"/>
      <x:c r="E134" s="76"/>
      <x:c r="H134" s="78"/>
      <x:c r="I134" s="78"/>
      <x:c r="J134" s="78"/>
      <x:c r="K134" s="78"/>
      <x:c r="L134" s="78"/>
      <x:c r="O134" s="78"/>
      <x:c r="P134" s="76"/>
    </x:row>
    <x:row r="135">
      <x:c r="D135" s="76"/>
      <x:c r="E135" s="76"/>
      <x:c r="H135" s="78"/>
      <x:c r="I135" s="78"/>
      <x:c r="J135" s="78"/>
      <x:c r="K135" s="78"/>
      <x:c r="L135" s="78"/>
      <x:c r="O135" s="78"/>
      <x:c r="P135" s="76"/>
    </x:row>
    <x:row r="136">
      <x:c r="D136" s="76"/>
      <x:c r="E136" s="76"/>
      <x:c r="H136" s="78"/>
      <x:c r="I136" s="78"/>
      <x:c r="J136" s="78"/>
      <x:c r="K136" s="78"/>
      <x:c r="L136" s="78"/>
      <x:c r="O136" s="78"/>
      <x:c r="P136" s="76"/>
    </x:row>
    <x:row r="137">
      <x:c r="D137" s="76"/>
      <x:c r="E137" s="76"/>
      <x:c r="H137" s="78"/>
      <x:c r="I137" s="78"/>
      <x:c r="J137" s="78"/>
      <x:c r="K137" s="78"/>
      <x:c r="L137" s="78"/>
      <x:c r="O137" s="78"/>
      <x:c r="P137" s="76"/>
    </x:row>
    <x:row r="138">
      <x:c r="D138" s="76"/>
      <x:c r="E138" s="76"/>
      <x:c r="H138" s="78"/>
      <x:c r="I138" s="78"/>
      <x:c r="J138" s="78"/>
      <x:c r="K138" s="78"/>
      <x:c r="L138" s="78"/>
      <x:c r="O138" s="78"/>
      <x:c r="P138" s="76"/>
    </x:row>
    <x:row r="139">
      <x:c r="D139" s="76"/>
      <x:c r="E139" s="76"/>
      <x:c r="H139" s="78"/>
      <x:c r="I139" s="78"/>
      <x:c r="J139" s="78"/>
      <x:c r="K139" s="78"/>
      <x:c r="L139" s="78"/>
      <x:c r="O139" s="78"/>
      <x:c r="P139" s="76"/>
    </x:row>
    <x:row r="140">
      <x:c r="D140" s="76"/>
      <x:c r="E140" s="76"/>
      <x:c r="H140" s="78"/>
      <x:c r="I140" s="78"/>
      <x:c r="J140" s="78"/>
      <x:c r="K140" s="78"/>
      <x:c r="L140" s="78"/>
      <x:c r="O140" s="78"/>
      <x:c r="P140" s="76"/>
    </x:row>
    <x:row r="141">
      <x:c r="D141" s="76"/>
      <x:c r="E141" s="76"/>
      <x:c r="H141" s="78"/>
      <x:c r="I141" s="78"/>
      <x:c r="J141" s="78"/>
      <x:c r="K141" s="78"/>
      <x:c r="L141" s="78"/>
      <x:c r="O141" s="78"/>
      <x:c r="P141" s="76"/>
    </x:row>
    <x:row r="142">
      <x:c r="D142" s="76"/>
      <x:c r="E142" s="76"/>
      <x:c r="H142" s="78"/>
      <x:c r="I142" s="78"/>
      <x:c r="J142" s="78"/>
      <x:c r="K142" s="78"/>
      <x:c r="L142" s="78"/>
      <x:c r="O142" s="78"/>
      <x:c r="P142" s="76"/>
    </x:row>
    <x:row r="143">
      <x:c r="D143" s="76"/>
      <x:c r="E143" s="76"/>
      <x:c r="H143" s="78"/>
      <x:c r="I143" s="78"/>
      <x:c r="J143" s="78"/>
      <x:c r="K143" s="78"/>
      <x:c r="L143" s="78"/>
      <x:c r="O143" s="78"/>
      <x:c r="P143" s="76"/>
    </x:row>
    <x:row r="144">
      <x:c r="D144" s="76"/>
      <x:c r="E144" s="76"/>
      <x:c r="H144" s="78"/>
      <x:c r="I144" s="78"/>
      <x:c r="J144" s="78"/>
      <x:c r="K144" s="78"/>
      <x:c r="L144" s="78"/>
      <x:c r="O144" s="78"/>
      <x:c r="P144" s="76"/>
    </x:row>
    <x:row r="145">
      <x:c r="D145" s="76"/>
      <x:c r="E145" s="76"/>
      <x:c r="H145" s="78"/>
      <x:c r="I145" s="78"/>
      <x:c r="J145" s="78"/>
      <x:c r="K145" s="78"/>
      <x:c r="L145" s="78"/>
      <x:c r="O145" s="78"/>
      <x:c r="P145" s="76"/>
    </x:row>
    <x:row r="146">
      <x:c r="D146" s="76"/>
      <x:c r="E146" s="76"/>
      <x:c r="H146" s="78"/>
      <x:c r="I146" s="78"/>
      <x:c r="J146" s="78"/>
      <x:c r="K146" s="78"/>
      <x:c r="L146" s="78"/>
      <x:c r="O146" s="78"/>
      <x:c r="P146" s="76"/>
    </x:row>
    <x:row r="147">
      <x:c r="D147" s="76"/>
      <x:c r="E147" s="76"/>
      <x:c r="H147" s="78"/>
      <x:c r="I147" s="78"/>
      <x:c r="J147" s="78"/>
      <x:c r="K147" s="78"/>
      <x:c r="L147" s="78"/>
      <x:c r="O147" s="78"/>
      <x:c r="P147" s="76"/>
    </x:row>
    <x:row r="148">
      <x:c r="D148" s="76"/>
      <x:c r="E148" s="76"/>
      <x:c r="H148" s="78"/>
      <x:c r="I148" s="78"/>
      <x:c r="J148" s="78"/>
      <x:c r="K148" s="78"/>
      <x:c r="L148" s="78"/>
      <x:c r="O148" s="78"/>
      <x:c r="P148" s="76"/>
    </x:row>
    <x:row r="149">
      <x:c r="D149" s="76"/>
      <x:c r="E149" s="76"/>
      <x:c r="H149" s="78"/>
      <x:c r="I149" s="78"/>
      <x:c r="J149" s="78"/>
      <x:c r="K149" s="78"/>
      <x:c r="L149" s="78"/>
      <x:c r="O149" s="78"/>
      <x:c r="P149" s="76"/>
    </x:row>
    <x:row r="150">
      <x:c r="D150" s="76"/>
      <x:c r="E150" s="76"/>
      <x:c r="H150" s="78"/>
      <x:c r="I150" s="78"/>
      <x:c r="J150" s="78"/>
      <x:c r="K150" s="78"/>
      <x:c r="L150" s="78"/>
      <x:c r="O150" s="78"/>
      <x:c r="P150" s="76"/>
    </x:row>
    <x:row r="151">
      <x:c r="D151" s="76"/>
      <x:c r="E151" s="76"/>
      <x:c r="H151" s="78"/>
      <x:c r="I151" s="78"/>
      <x:c r="J151" s="78"/>
      <x:c r="K151" s="78"/>
      <x:c r="L151" s="78"/>
      <x:c r="O151" s="78"/>
      <x:c r="P151" s="76"/>
    </x:row>
    <x:row r="152">
      <x:c r="D152" s="76"/>
      <x:c r="E152" s="76"/>
      <x:c r="H152" s="78"/>
      <x:c r="I152" s="78"/>
      <x:c r="J152" s="78"/>
      <x:c r="K152" s="78"/>
      <x:c r="L152" s="78"/>
      <x:c r="O152" s="78"/>
      <x:c r="P152" s="76"/>
    </x:row>
    <x:row r="153">
      <x:c r="D153" s="76"/>
      <x:c r="E153" s="76"/>
      <x:c r="H153" s="78"/>
      <x:c r="I153" s="78"/>
      <x:c r="J153" s="78"/>
      <x:c r="K153" s="78"/>
      <x:c r="L153" s="78"/>
      <x:c r="O153" s="78"/>
      <x:c r="P153" s="76"/>
    </x:row>
    <x:row r="154">
      <x:c r="D154" s="76"/>
      <x:c r="E154" s="76"/>
      <x:c r="H154" s="78"/>
      <x:c r="I154" s="78"/>
      <x:c r="J154" s="78"/>
      <x:c r="K154" s="78"/>
      <x:c r="L154" s="78"/>
      <x:c r="O154" s="78"/>
      <x:c r="P154" s="76"/>
    </x:row>
    <x:row r="155">
      <x:c r="D155" s="76"/>
      <x:c r="E155" s="76"/>
      <x:c r="H155" s="78"/>
      <x:c r="I155" s="78"/>
      <x:c r="J155" s="78"/>
      <x:c r="K155" s="78"/>
      <x:c r="L155" s="78"/>
      <x:c r="O155" s="78"/>
      <x:c r="P155" s="76"/>
    </x:row>
    <x:row r="156">
      <x:c r="D156" s="76"/>
      <x:c r="E156" s="76"/>
      <x:c r="H156" s="78"/>
      <x:c r="I156" s="78"/>
      <x:c r="J156" s="78"/>
      <x:c r="K156" s="78"/>
      <x:c r="L156" s="78"/>
      <x:c r="O156" s="78"/>
      <x:c r="P156" s="76"/>
    </x:row>
    <x:row r="157">
      <x:c r="D157" s="76"/>
      <x:c r="E157" s="76"/>
      <x:c r="H157" s="78"/>
      <x:c r="I157" s="78"/>
      <x:c r="J157" s="78"/>
      <x:c r="K157" s="78"/>
      <x:c r="L157" s="78"/>
      <x:c r="O157" s="78"/>
      <x:c r="P157" s="76"/>
    </x:row>
    <x:row r="158">
      <x:c r="D158" s="76"/>
      <x:c r="E158" s="76"/>
      <x:c r="H158" s="78"/>
      <x:c r="I158" s="78"/>
      <x:c r="J158" s="78"/>
      <x:c r="K158" s="78"/>
      <x:c r="L158" s="78"/>
      <x:c r="O158" s="78"/>
      <x:c r="P158" s="76"/>
    </x:row>
    <x:row r="159">
      <x:c r="D159" s="76"/>
      <x:c r="E159" s="76"/>
      <x:c r="H159" s="78"/>
      <x:c r="I159" s="78"/>
      <x:c r="J159" s="78"/>
      <x:c r="K159" s="78"/>
      <x:c r="L159" s="78"/>
      <x:c r="O159" s="78"/>
      <x:c r="P159" s="76"/>
    </x:row>
    <x:row r="160">
      <x:c r="D160" s="76"/>
      <x:c r="E160" s="76"/>
      <x:c r="H160" s="78"/>
      <x:c r="I160" s="78"/>
      <x:c r="J160" s="78"/>
      <x:c r="K160" s="78"/>
      <x:c r="L160" s="78"/>
      <x:c r="O160" s="78"/>
      <x:c r="P160" s="76"/>
    </x:row>
    <x:row r="161">
      <x:c r="D161" s="76"/>
      <x:c r="E161" s="76"/>
      <x:c r="H161" s="78"/>
      <x:c r="I161" s="78"/>
      <x:c r="J161" s="78"/>
      <x:c r="K161" s="78"/>
      <x:c r="L161" s="78"/>
      <x:c r="O161" s="78"/>
      <x:c r="P161" s="76"/>
    </x:row>
    <x:row r="162">
      <x:c r="D162" s="76"/>
      <x:c r="E162" s="76"/>
      <x:c r="H162" s="78"/>
      <x:c r="I162" s="78"/>
      <x:c r="J162" s="78"/>
      <x:c r="K162" s="78"/>
      <x:c r="L162" s="78"/>
      <x:c r="O162" s="78"/>
      <x:c r="P162" s="76"/>
    </x:row>
    <x:row r="163">
      <x:c r="D163" s="76"/>
      <x:c r="E163" s="76"/>
      <x:c r="H163" s="78"/>
      <x:c r="I163" s="78"/>
      <x:c r="J163" s="78"/>
      <x:c r="K163" s="78"/>
      <x:c r="L163" s="78"/>
      <x:c r="O163" s="78"/>
      <x:c r="P163" s="76"/>
    </x:row>
    <x:row r="164">
      <x:c r="D164" s="76"/>
      <x:c r="E164" s="76"/>
      <x:c r="H164" s="78"/>
      <x:c r="I164" s="78"/>
      <x:c r="J164" s="78"/>
      <x:c r="K164" s="78"/>
      <x:c r="L164" s="78"/>
      <x:c r="O164" s="78"/>
      <x:c r="P164" s="76"/>
    </x:row>
    <x:row r="165">
      <x:c r="D165" s="76"/>
      <x:c r="E165" s="76"/>
      <x:c r="H165" s="78"/>
      <x:c r="I165" s="78"/>
      <x:c r="J165" s="78"/>
      <x:c r="K165" s="78"/>
      <x:c r="L165" s="78"/>
      <x:c r="O165" s="78"/>
      <x:c r="P165" s="76"/>
    </x:row>
    <x:row r="166">
      <x:c r="D166" s="76"/>
      <x:c r="E166" s="76"/>
      <x:c r="H166" s="78"/>
      <x:c r="I166" s="78"/>
      <x:c r="J166" s="78"/>
      <x:c r="K166" s="78"/>
      <x:c r="L166" s="78"/>
      <x:c r="O166" s="78"/>
      <x:c r="P166" s="76"/>
    </x:row>
    <x:row r="167">
      <x:c r="D167" s="76"/>
      <x:c r="E167" s="76"/>
      <x:c r="H167" s="78"/>
      <x:c r="I167" s="78"/>
      <x:c r="J167" s="78"/>
      <x:c r="K167" s="78"/>
      <x:c r="L167" s="78"/>
      <x:c r="O167" s="78"/>
      <x:c r="P167" s="76"/>
    </x:row>
    <x:row r="168">
      <x:c r="D168" s="76"/>
      <x:c r="E168" s="76"/>
      <x:c r="H168" s="78"/>
      <x:c r="I168" s="78"/>
      <x:c r="J168" s="78"/>
      <x:c r="K168" s="78"/>
      <x:c r="L168" s="78"/>
      <x:c r="O168" s="78"/>
      <x:c r="P168" s="76"/>
    </x:row>
    <x:row r="169">
      <x:c r="D169" s="76"/>
      <x:c r="E169" s="76"/>
      <x:c r="H169" s="78"/>
      <x:c r="I169" s="78"/>
      <x:c r="J169" s="78"/>
      <x:c r="K169" s="78"/>
      <x:c r="L169" s="78"/>
      <x:c r="O169" s="78"/>
      <x:c r="P169" s="76"/>
    </x:row>
    <x:row r="170">
      <x:c r="D170" s="76"/>
      <x:c r="E170" s="76"/>
      <x:c r="H170" s="78"/>
      <x:c r="I170" s="78"/>
      <x:c r="J170" s="78"/>
      <x:c r="K170" s="78"/>
      <x:c r="L170" s="78"/>
      <x:c r="O170" s="78"/>
      <x:c r="P170" s="76"/>
    </x:row>
    <x:row r="171">
      <x:c r="D171" s="76"/>
      <x:c r="E171" s="76"/>
      <x:c r="H171" s="78"/>
      <x:c r="I171" s="78"/>
      <x:c r="J171" s="78"/>
      <x:c r="K171" s="78"/>
      <x:c r="L171" s="78"/>
      <x:c r="O171" s="78"/>
      <x:c r="P171" s="76"/>
    </x:row>
    <x:row r="172">
      <x:c r="D172" s="76"/>
      <x:c r="E172" s="76"/>
      <x:c r="H172" s="78"/>
      <x:c r="I172" s="78"/>
      <x:c r="J172" s="78"/>
      <x:c r="K172" s="78"/>
      <x:c r="L172" s="78"/>
      <x:c r="O172" s="78"/>
      <x:c r="P172" s="76"/>
    </x:row>
    <x:row r="173">
      <x:c r="D173" s="76"/>
      <x:c r="E173" s="76"/>
      <x:c r="H173" s="78"/>
      <x:c r="I173" s="78"/>
      <x:c r="J173" s="78"/>
      <x:c r="K173" s="78"/>
      <x:c r="L173" s="78"/>
      <x:c r="O173" s="78"/>
      <x:c r="P173" s="76"/>
    </x:row>
    <x:row r="174">
      <x:c r="D174" s="76"/>
      <x:c r="E174" s="76"/>
      <x:c r="H174" s="78"/>
      <x:c r="I174" s="78"/>
      <x:c r="J174" s="78"/>
      <x:c r="K174" s="78"/>
      <x:c r="L174" s="78"/>
      <x:c r="O174" s="78"/>
      <x:c r="P174" s="76"/>
    </x:row>
    <x:row r="175">
      <x:c r="D175" s="76"/>
      <x:c r="E175" s="76"/>
      <x:c r="H175" s="78"/>
      <x:c r="I175" s="78"/>
      <x:c r="J175" s="78"/>
      <x:c r="K175" s="78"/>
      <x:c r="L175" s="78"/>
      <x:c r="O175" s="78"/>
      <x:c r="P175" s="76"/>
    </x:row>
    <x:row r="176">
      <x:c r="D176" s="76"/>
      <x:c r="E176" s="76"/>
      <x:c r="H176" s="78"/>
      <x:c r="I176" s="78"/>
      <x:c r="J176" s="78"/>
      <x:c r="K176" s="78"/>
      <x:c r="L176" s="78"/>
      <x:c r="O176" s="78"/>
      <x:c r="P176" s="76"/>
    </x:row>
    <x:row r="177">
      <x:c r="D177" s="76"/>
      <x:c r="E177" s="76"/>
      <x:c r="H177" s="78"/>
      <x:c r="I177" s="78"/>
      <x:c r="J177" s="78"/>
      <x:c r="K177" s="78"/>
      <x:c r="L177" s="78"/>
      <x:c r="O177" s="78"/>
      <x:c r="P177" s="76"/>
    </x:row>
    <x:row r="178">
      <x:c r="D178" s="76"/>
      <x:c r="E178" s="76"/>
      <x:c r="H178" s="78"/>
      <x:c r="I178" s="78"/>
      <x:c r="J178" s="78"/>
      <x:c r="K178" s="78"/>
      <x:c r="L178" s="78"/>
      <x:c r="O178" s="78"/>
      <x:c r="P178" s="76"/>
    </x:row>
    <x:row r="179">
      <x:c r="D179" s="76"/>
      <x:c r="E179" s="76"/>
      <x:c r="H179" s="78"/>
      <x:c r="I179" s="78"/>
      <x:c r="J179" s="78"/>
      <x:c r="K179" s="78"/>
      <x:c r="L179" s="78"/>
      <x:c r="O179" s="78"/>
      <x:c r="P179" s="76"/>
    </x:row>
    <x:row r="180">
      <x:c r="D180" s="76"/>
      <x:c r="E180" s="76"/>
      <x:c r="H180" s="78"/>
      <x:c r="I180" s="78"/>
      <x:c r="J180" s="78"/>
      <x:c r="K180" s="78"/>
      <x:c r="L180" s="78"/>
      <x:c r="O180" s="78"/>
      <x:c r="P180" s="76"/>
    </x:row>
    <x:row r="181">
      <x:c r="D181" s="76"/>
      <x:c r="E181" s="76"/>
      <x:c r="H181" s="78"/>
      <x:c r="I181" s="78"/>
      <x:c r="J181" s="78"/>
      <x:c r="K181" s="78"/>
      <x:c r="L181" s="78"/>
      <x:c r="O181" s="78"/>
      <x:c r="P181" s="76"/>
    </x:row>
    <x:row r="182">
      <x:c r="D182" s="76"/>
      <x:c r="E182" s="76"/>
      <x:c r="H182" s="78"/>
      <x:c r="I182" s="78"/>
      <x:c r="J182" s="78"/>
      <x:c r="K182" s="78"/>
      <x:c r="L182" s="78"/>
      <x:c r="O182" s="78"/>
      <x:c r="P182" s="76"/>
    </x:row>
    <x:row r="183">
      <x:c r="D183" s="76"/>
      <x:c r="E183" s="76"/>
      <x:c r="H183" s="78"/>
      <x:c r="I183" s="78"/>
      <x:c r="J183" s="78"/>
      <x:c r="K183" s="78"/>
      <x:c r="L183" s="78"/>
      <x:c r="O183" s="78"/>
      <x:c r="P183" s="76"/>
    </x:row>
    <x:row r="184">
      <x:c r="D184" s="76"/>
      <x:c r="E184" s="76"/>
      <x:c r="H184" s="78"/>
      <x:c r="I184" s="78"/>
      <x:c r="J184" s="78"/>
      <x:c r="K184" s="78"/>
      <x:c r="L184" s="78"/>
      <x:c r="O184" s="78"/>
      <x:c r="P184" s="76"/>
    </x:row>
    <x:row r="185">
      <x:c r="D185" s="76"/>
      <x:c r="E185" s="76"/>
      <x:c r="H185" s="78"/>
      <x:c r="I185" s="78"/>
      <x:c r="J185" s="78"/>
      <x:c r="K185" s="78"/>
      <x:c r="L185" s="78"/>
      <x:c r="O185" s="78"/>
      <x:c r="P185" s="76"/>
    </x:row>
    <x:row r="186">
      <x:c r="D186" s="76"/>
      <x:c r="E186" s="76"/>
      <x:c r="H186" s="78"/>
      <x:c r="I186" s="78"/>
      <x:c r="J186" s="78"/>
      <x:c r="K186" s="78"/>
      <x:c r="L186" s="78"/>
      <x:c r="O186" s="78"/>
      <x:c r="P186" s="76"/>
    </x:row>
    <x:row r="187">
      <x:c r="D187" s="76"/>
      <x:c r="E187" s="76"/>
      <x:c r="H187" s="78"/>
      <x:c r="I187" s="78"/>
      <x:c r="J187" s="78"/>
      <x:c r="K187" s="78"/>
      <x:c r="L187" s="78"/>
      <x:c r="O187" s="78"/>
      <x:c r="P187" s="76"/>
    </x:row>
    <x:row r="188">
      <x:c r="D188" s="76"/>
      <x:c r="E188" s="76"/>
      <x:c r="H188" s="78"/>
      <x:c r="I188" s="78"/>
      <x:c r="J188" s="78"/>
      <x:c r="K188" s="78"/>
      <x:c r="L188" s="78"/>
      <x:c r="O188" s="78"/>
      <x:c r="P188" s="76"/>
    </x:row>
    <x:row r="189">
      <x:c r="D189" s="76"/>
      <x:c r="E189" s="76"/>
      <x:c r="H189" s="78"/>
      <x:c r="I189" s="78"/>
      <x:c r="J189" s="78"/>
      <x:c r="K189" s="78"/>
      <x:c r="L189" s="78"/>
      <x:c r="O189" s="78"/>
      <x:c r="P189" s="76"/>
    </x:row>
    <x:row r="190">
      <x:c r="D190" s="76"/>
      <x:c r="E190" s="76"/>
      <x:c r="H190" s="78"/>
      <x:c r="I190" s="78"/>
      <x:c r="J190" s="78"/>
      <x:c r="K190" s="78"/>
      <x:c r="L190" s="78"/>
      <x:c r="O190" s="78"/>
      <x:c r="P190" s="76"/>
    </x:row>
    <x:row r="191">
      <x:c r="D191" s="76"/>
      <x:c r="E191" s="76"/>
      <x:c r="H191" s="78"/>
      <x:c r="I191" s="78"/>
      <x:c r="J191" s="78"/>
      <x:c r="K191" s="78"/>
      <x:c r="L191" s="78"/>
      <x:c r="O191" s="78"/>
      <x:c r="P191" s="76"/>
    </x:row>
    <x:row r="192">
      <x:c r="D192" s="76"/>
      <x:c r="E192" s="76"/>
      <x:c r="H192" s="78"/>
      <x:c r="I192" s="78"/>
      <x:c r="J192" s="78"/>
      <x:c r="K192" s="78"/>
      <x:c r="L192" s="78"/>
      <x:c r="O192" s="78"/>
      <x:c r="P192" s="76"/>
    </x:row>
    <x:row r="193">
      <x:c r="D193" s="76"/>
      <x:c r="E193" s="76"/>
      <x:c r="H193" s="78"/>
      <x:c r="I193" s="78"/>
      <x:c r="J193" s="78"/>
      <x:c r="K193" s="78"/>
      <x:c r="L193" s="78"/>
      <x:c r="O193" s="78"/>
      <x:c r="P193" s="76"/>
    </x:row>
    <x:row r="194">
      <x:c r="D194" s="76"/>
      <x:c r="E194" s="76"/>
      <x:c r="H194" s="78"/>
      <x:c r="I194" s="78"/>
      <x:c r="J194" s="78"/>
      <x:c r="K194" s="78"/>
      <x:c r="L194" s="78"/>
      <x:c r="O194" s="78"/>
      <x:c r="P194" s="76"/>
    </x:row>
    <x:row r="195">
      <x:c r="D195" s="76"/>
      <x:c r="E195" s="76"/>
      <x:c r="H195" s="78"/>
      <x:c r="I195" s="78"/>
      <x:c r="J195" s="78"/>
      <x:c r="K195" s="78"/>
      <x:c r="L195" s="78"/>
      <x:c r="O195" s="78"/>
      <x:c r="P195" s="76"/>
    </x:row>
    <x:row r="196">
      <x:c r="D196" s="76"/>
      <x:c r="E196" s="76"/>
      <x:c r="H196" s="78"/>
      <x:c r="I196" s="78"/>
      <x:c r="J196" s="78"/>
      <x:c r="K196" s="78"/>
      <x:c r="L196" s="78"/>
      <x:c r="O196" s="78"/>
      <x:c r="P196" s="76"/>
    </x:row>
    <x:row r="197">
      <x:c r="D197" s="76"/>
      <x:c r="E197" s="76"/>
      <x:c r="H197" s="78"/>
      <x:c r="I197" s="78"/>
      <x:c r="J197" s="78"/>
      <x:c r="K197" s="78"/>
      <x:c r="L197" s="78"/>
      <x:c r="O197" s="78"/>
      <x:c r="P197" s="76"/>
    </x:row>
    <x:row r="198">
      <x:c r="D198" s="76"/>
      <x:c r="E198" s="76"/>
      <x:c r="H198" s="78"/>
      <x:c r="I198" s="78"/>
      <x:c r="J198" s="78"/>
      <x:c r="K198" s="78"/>
      <x:c r="L198" s="78"/>
      <x:c r="O198" s="78"/>
      <x:c r="P198" s="76"/>
    </x:row>
    <x:row r="199">
      <x:c r="D199" s="76"/>
      <x:c r="E199" s="76"/>
      <x:c r="H199" s="78"/>
      <x:c r="I199" s="78"/>
      <x:c r="J199" s="78"/>
      <x:c r="K199" s="78"/>
      <x:c r="L199" s="78"/>
      <x:c r="O199" s="78"/>
      <x:c r="P199" s="76"/>
    </x:row>
    <x:row r="200">
      <x:c r="D200" s="76"/>
      <x:c r="E200" s="76"/>
      <x:c r="H200" s="78"/>
      <x:c r="I200" s="78"/>
      <x:c r="J200" s="78"/>
      <x:c r="K200" s="78"/>
      <x:c r="L200" s="78"/>
      <x:c r="O200" s="78"/>
      <x:c r="P200" s="76"/>
    </x:row>
  </x:sheetData>
  <x:mergeCells>
    <x:mergeCell ref="A1:U1"/>
    <x:mergeCell ref="A2:U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14" hidden="0" customWidth="1"/>
    <x:col min="4" max="4" width="22" hidden="0" customWidth="1"/>
    <x:col min="5" max="5" width="12" hidden="0" customWidth="1"/>
  </x:cols>
  <x:sheetData>
    <x:row r="1" ht="32" customHeight="1">
      <x:c r="A1" s="4" t="str">
        <x:v>ALACAK YAŞLANDIRMA</x:v>
      </x:c>
      <x:c r="B1" s="4"/>
      <x:c r="C1" s="4"/>
      <x:c r="D1" s="4"/>
      <x:c r="E1" s="4"/>
      <x:c r="F1" s="4"/>
    </x:row>
    <x:row r="2" ht="28" customHeight="1">
      <x:c r="A2" s="10" t="str">
        <x:v>FIFO açık kalemlerin yaş kovaları, payı ve ekonomik gecikme maliyeti.</x:v>
      </x:c>
      <x:c r="B2" s="10"/>
      <x:c r="C2" s="10"/>
      <x:c r="D2" s="10"/>
      <x:c r="E2" s="10"/>
      <x:c r="F2" s="10"/>
    </x:row>
    <x:row r="4">
      <x:c r="A4" s="38" t="str">
        <x:v>YAŞ KOVASI</x:v>
      </x:c>
      <x:c r="B4" s="38" t="str">
        <x:v>AÇIK ALACAK</x:v>
      </x:c>
      <x:c r="C4" s="38" t="str">
        <x:v>PAY</x:v>
      </x:c>
      <x:c r="D4" s="38" t="str">
        <x:v>EKONOMİK GECİKME</x:v>
      </x:c>
      <x:c r="E4" s="38" t="str">
        <x:v>KALEM</x:v>
      </x:c>
    </x:row>
    <x:row r="5">
      <x:c r="A5" t="str">
        <x:v>Vadesi Gelmemiş</x:v>
      </x:c>
      <x:c r="B5" s="78" t="e">
        <x:f>SUM(_xlfn._xlws.FILTER(CHOOSECOLS(NORMALIZE!$A$5#,12),CHOOSECOLS(NORMALIZE!$A$5#,14)=A5,0))</x:f>
        <x:v>#VALUE!</x:v>
      </x:c>
      <x:c r="C5" s="80" t="n">
        <x:f>IFERROR(B5/SUM($B$5:$B$11),0)</x:f>
        <x:v>0</x:v>
      </x:c>
      <x:c r="D5" s="78" t="e">
        <x:f>SUM(_xlfn._xlws.FILTER(CHOOSECOLS(NORMALIZE!$A$5#,15),CHOOSECOLS(NORMALIZE!$A$5#,14)=A5,0))</x:f>
        <x:v>#VALUE!</x:v>
      </x:c>
      <x:c r="E5" t="e">
        <x:f>SUM(--(CHOOSECOLS(NORMALIZE!$A$5#,14)=A5)*--(CHOOSECOLS(NORMALIZE!$A$5#,12)&gt;0))</x:f>
        <x:v>#VALUE!</x:v>
      </x:c>
    </x:row>
    <x:row r="6">
      <x:c r="A6" t="str">
        <x:v>1-30</x:v>
      </x:c>
      <x:c r="B6" s="78" t="e">
        <x:f>SUM(_xlfn._xlws.FILTER(CHOOSECOLS(NORMALIZE!$A$5#,12),CHOOSECOLS(NORMALIZE!$A$5#,14)=A6,0))</x:f>
        <x:v>#VALUE!</x:v>
      </x:c>
      <x:c r="C6" s="80" t="n">
        <x:f>IFERROR(B6/SUM($B$5:$B$11),0)</x:f>
        <x:v>0</x:v>
      </x:c>
      <x:c r="D6" s="78" t="e">
        <x:f>SUM(_xlfn._xlws.FILTER(CHOOSECOLS(NORMALIZE!$A$5#,15),CHOOSECOLS(NORMALIZE!$A$5#,14)=A6,0))</x:f>
        <x:v>#VALUE!</x:v>
      </x:c>
      <x:c r="E6" t="e">
        <x:f>SUM(--(CHOOSECOLS(NORMALIZE!$A$5#,14)=A6)*--(CHOOSECOLS(NORMALIZE!$A$5#,12)&gt;0))</x:f>
        <x:v>#VALUE!</x:v>
      </x:c>
    </x:row>
    <x:row r="7">
      <x:c r="A7" t="str">
        <x:v>31-60</x:v>
      </x:c>
      <x:c r="B7" s="78" t="e">
        <x:f>SUM(_xlfn._xlws.FILTER(CHOOSECOLS(NORMALIZE!$A$5#,12),CHOOSECOLS(NORMALIZE!$A$5#,14)=A7,0))</x:f>
        <x:v>#VALUE!</x:v>
      </x:c>
      <x:c r="C7" s="80" t="n">
        <x:f>IFERROR(B7/SUM($B$5:$B$11),0)</x:f>
        <x:v>0</x:v>
      </x:c>
      <x:c r="D7" s="78" t="e">
        <x:f>SUM(_xlfn._xlws.FILTER(CHOOSECOLS(NORMALIZE!$A$5#,15),CHOOSECOLS(NORMALIZE!$A$5#,14)=A7,0))</x:f>
        <x:v>#VALUE!</x:v>
      </x:c>
      <x:c r="E7" t="e">
        <x:f>SUM(--(CHOOSECOLS(NORMALIZE!$A$5#,14)=A7)*--(CHOOSECOLS(NORMALIZE!$A$5#,12)&gt;0))</x:f>
        <x:v>#VALUE!</x:v>
      </x:c>
    </x:row>
    <x:row r="8">
      <x:c r="A8" t="str">
        <x:v>61-90</x:v>
      </x:c>
      <x:c r="B8" s="78" t="e">
        <x:f>SUM(_xlfn._xlws.FILTER(CHOOSECOLS(NORMALIZE!$A$5#,12),CHOOSECOLS(NORMALIZE!$A$5#,14)=A8,0))</x:f>
        <x:v>#VALUE!</x:v>
      </x:c>
      <x:c r="C8" s="80" t="n">
        <x:f>IFERROR(B8/SUM($B$5:$B$11),0)</x:f>
        <x:v>0</x:v>
      </x:c>
      <x:c r="D8" s="78" t="e">
        <x:f>SUM(_xlfn._xlws.FILTER(CHOOSECOLS(NORMALIZE!$A$5#,15),CHOOSECOLS(NORMALIZE!$A$5#,14)=A8,0))</x:f>
        <x:v>#VALUE!</x:v>
      </x:c>
      <x:c r="E8" t="e">
        <x:f>SUM(--(CHOOSECOLS(NORMALIZE!$A$5#,14)=A8)*--(CHOOSECOLS(NORMALIZE!$A$5#,12)&gt;0))</x:f>
        <x:v>#VALUE!</x:v>
      </x:c>
    </x:row>
    <x:row r="9">
      <x:c r="A9" t="str">
        <x:v>91-180</x:v>
      </x:c>
      <x:c r="B9" s="78" t="e">
        <x:f>SUM(_xlfn._xlws.FILTER(CHOOSECOLS(NORMALIZE!$A$5#,12),CHOOSECOLS(NORMALIZE!$A$5#,14)=A9,0))</x:f>
        <x:v>#VALUE!</x:v>
      </x:c>
      <x:c r="C9" s="80" t="n">
        <x:f>IFERROR(B9/SUM($B$5:$B$11),0)</x:f>
        <x:v>0</x:v>
      </x:c>
      <x:c r="D9" s="78" t="e">
        <x:f>SUM(_xlfn._xlws.FILTER(CHOOSECOLS(NORMALIZE!$A$5#,15),CHOOSECOLS(NORMALIZE!$A$5#,14)=A9,0))</x:f>
        <x:v>#VALUE!</x:v>
      </x:c>
      <x:c r="E9" t="e">
        <x:f>SUM(--(CHOOSECOLS(NORMALIZE!$A$5#,14)=A9)*--(CHOOSECOLS(NORMALIZE!$A$5#,12)&gt;0))</x:f>
        <x:v>#VALUE!</x:v>
      </x:c>
    </x:row>
    <x:row r="10">
      <x:c r="A10" t="str">
        <x:v>181-365</x:v>
      </x:c>
      <x:c r="B10" s="78" t="e">
        <x:f>SUM(_xlfn._xlws.FILTER(CHOOSECOLS(NORMALIZE!$A$5#,12),CHOOSECOLS(NORMALIZE!$A$5#,14)=A10,0))</x:f>
        <x:v>#VALUE!</x:v>
      </x:c>
      <x:c r="C10" s="80" t="n">
        <x:f>IFERROR(B10/SUM($B$5:$B$11),0)</x:f>
        <x:v>0</x:v>
      </x:c>
      <x:c r="D10" s="78" t="e">
        <x:f>SUM(_xlfn._xlws.FILTER(CHOOSECOLS(NORMALIZE!$A$5#,15),CHOOSECOLS(NORMALIZE!$A$5#,14)=A10,0))</x:f>
        <x:v>#VALUE!</x:v>
      </x:c>
      <x:c r="E10" t="e">
        <x:f>SUM(--(CHOOSECOLS(NORMALIZE!$A$5#,14)=A10)*--(CHOOSECOLS(NORMALIZE!$A$5#,12)&gt;0))</x:f>
        <x:v>#VALUE!</x:v>
      </x:c>
    </x:row>
    <x:row r="11">
      <x:c r="A11" t="str">
        <x:v>365+</x:v>
      </x:c>
      <x:c r="B11" s="78" t="e">
        <x:f>SUM(_xlfn._xlws.FILTER(CHOOSECOLS(NORMALIZE!$A$5#,12),CHOOSECOLS(NORMALIZE!$A$5#,14)=A11,0))</x:f>
        <x:v>#VALUE!</x:v>
      </x:c>
      <x:c r="C11" s="80" t="n">
        <x:f>IFERROR(B11/SUM($B$5:$B$11),0)</x:f>
        <x:v>0</x:v>
      </x:c>
      <x:c r="D11" s="78" t="e">
        <x:f>SUM(_xlfn._xlws.FILTER(CHOOSECOLS(NORMALIZE!$A$5#,15),CHOOSECOLS(NORMALIZE!$A$5#,14)=A11,0))</x:f>
        <x:v>#VALUE!</x:v>
      </x:c>
      <x:c r="E11" t="e">
        <x:f>SUM(--(CHOOSECOLS(NORMALIZE!$A$5#,14)=A11)*--(CHOOSECOLS(NORMALIZE!$A$5#,12)&gt;0))</x:f>
        <x:v>#VALUE!</x:v>
      </x:c>
    </x:row>
    <x:row r="13">
      <x:c r="A13" s="24" t="str">
        <x:v>TOPLAM</x:v>
      </x:c>
      <x:c r="B13" s="82" t="e">
        <x:f>SUM(B5:B11)</x:f>
        <x:v>#VALUE!</x:v>
      </x:c>
      <x:c r="C13" s="24" t="n">
        <x:f>SUM(C5:C11)</x:f>
        <x:v>0</x:v>
      </x:c>
      <x:c r="D13" s="82" t="e">
        <x:f>SUM(D5:D11)</x:f>
        <x:v>#VALUE!</x:v>
      </x:c>
      <x:c r="E13" s="24" t="e">
        <x:f>SUM(E5:E11)</x:f>
        <x:v>#VALUE!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14" hidden="0" customWidth="1"/>
    <x:col min="8" max="8" width="12" hidden="0" customWidth="1"/>
  </x:cols>
  <x:sheetData>
    <x:row r="1" ht="32" customHeight="1">
      <x:c r="A1" s="4" t="str">
        <x:v>CARİ BAZLI ÖZET</x:v>
      </x:c>
      <x:c r="B1" s="4"/>
      <x:c r="C1" s="4"/>
      <x:c r="D1" s="4"/>
      <x:c r="E1" s="4"/>
      <x:c r="F1" s="4"/>
      <x:c r="G1" s="4"/>
      <x:c r="H1" s="4"/>
    </x:row>
    <x:row r="2" ht="28" customHeight="1">
      <x:c r="A2" s="10" t="str">
        <x:v>Açık alacak ve risk müşteri bazında dinamik toplulaştırılır.</x:v>
      </x:c>
      <x:c r="B2" s="10"/>
      <x:c r="C2" s="10"/>
      <x:c r="D2" s="10"/>
      <x:c r="E2" s="10"/>
      <x:c r="F2" s="10"/>
      <x:c r="G2" s="10"/>
      <x:c r="H2" s="10"/>
    </x:row>
    <x:row r="4">
      <x:c r="A4" s="38" t="str">
        <x:v>Cari Kodu</x:v>
      </x:c>
      <x:c r="B4" s="38" t="str">
        <x:v>Cari Ünvanı</x:v>
      </x:c>
      <x:c r="C4" s="38" t="str">
        <x:v>Açık TL</x:v>
      </x:c>
      <x:c r="D4" s="38" t="str">
        <x:v>Vadesi Geçmiş</x:v>
      </x:c>
      <x:c r="E4" s="38" t="str">
        <x:v>90+ Gün</x:v>
      </x:c>
      <x:c r="F4" s="38" t="str">
        <x:v>Ekonomik Gecikme</x:v>
      </x:c>
      <x:c r="G4" s="38" t="str">
        <x:v>Kritik Kalem</x:v>
      </x:c>
      <x:c r="H4" s="38" t="str">
        <x:v>Durum</x:v>
      </x:c>
    </x:row>
    <x:row r="5">
      <x:c r="A5" t="e" cm="1">
        <x:f t="array" ref="A5">LET(d,NORMALIZE!$A$5#,c,CHOOSECOLS(d,2),u,CHOOSECOLS(d,3),o,CHOOSECOLS(d,12),del,CHOOSECOLS(d,13),ec,CHOOSECOLS(d,15),rk,CHOOSECOLS(d,18),
ids,_xlfn._xlws.SORT(_xlfn.UNIQUE(_xlfn._xlws.FILTER(c,o&gt;0))),
HSTACK(ids,
MAP(ids,_xlfn.LAMBDA(x,INDEX(_xlfn._xlws.FILTER(u,(c=x)*(o&gt;0)),1))),
MAP(ids,_xlfn.LAMBDA(x,SUM(_xlfn._xlws.FILTER(o,c=x,0)))),
MAP(ids,_xlfn.LAMBDA(x,SUM(_xlfn._xlws.FILTER(o,(c=x)*(del&gt;0),0)))),
MAP(ids,_xlfn.LAMBDA(x,SUM(_xlfn._xlws.FILTER(o,(c=x)*(del&gt;90),0)))),
MAP(ids,_xlfn.LAMBDA(x,SUM(_xlfn._xlws.FILTER(ec,c=x,0)))),
MAP(ids,_xlfn.LAMBDA(x,SUM((c=x)*(rk="KRİTİK")))),
MAP(ids,_xlfn.LAMBDA(x,IF(SUM((c=x)*(rk="KRİTİK"))&gt;0,"KRİTİK",IF(SUM(_xlfn._xlws.FILTER(o,(c=x)*(del&gt;90),0))&gt;0,"İZLE","NORMAL"))))))</x:f>
        <x:v>#NAME?</x:v>
      </x:c>
      <x:c r="C5" s="78"/>
      <x:c r="D5" s="78"/>
      <x:c r="E5" s="78"/>
      <x:c r="F5" s="78"/>
    </x:row>
    <x:row r="6">
      <x:c r="C6" s="78"/>
      <x:c r="D6" s="78"/>
      <x:c r="E6" s="78"/>
      <x:c r="F6" s="78"/>
    </x:row>
    <x:row r="7">
      <x:c r="C7" s="78"/>
      <x:c r="D7" s="78"/>
      <x:c r="E7" s="78"/>
      <x:c r="F7" s="78"/>
    </x:row>
    <x:row r="8">
      <x:c r="C8" s="78"/>
      <x:c r="D8" s="78"/>
      <x:c r="E8" s="78"/>
      <x:c r="F8" s="78"/>
    </x:row>
    <x:row r="9">
      <x:c r="C9" s="78"/>
      <x:c r="D9" s="78"/>
      <x:c r="E9" s="78"/>
      <x:c r="F9" s="78"/>
    </x:row>
    <x:row r="10">
      <x:c r="C10" s="78"/>
      <x:c r="D10" s="78"/>
      <x:c r="E10" s="78"/>
      <x:c r="F10" s="78"/>
    </x:row>
    <x:row r="11">
      <x:c r="C11" s="78"/>
      <x:c r="D11" s="78"/>
      <x:c r="E11" s="78"/>
      <x:c r="F11" s="78"/>
    </x:row>
    <x:row r="12">
      <x:c r="C12" s="78"/>
      <x:c r="D12" s="78"/>
      <x:c r="E12" s="78"/>
      <x:c r="F12" s="78"/>
    </x:row>
    <x:row r="13">
      <x:c r="C13" s="78"/>
      <x:c r="D13" s="78"/>
      <x:c r="E13" s="78"/>
      <x:c r="F13" s="78"/>
    </x:row>
    <x:row r="14">
      <x:c r="C14" s="78"/>
      <x:c r="D14" s="78"/>
      <x:c r="E14" s="78"/>
      <x:c r="F14" s="78"/>
    </x:row>
    <x:row r="15">
      <x:c r="C15" s="78"/>
      <x:c r="D15" s="78"/>
      <x:c r="E15" s="78"/>
      <x:c r="F15" s="78"/>
    </x:row>
    <x:row r="16">
      <x:c r="C16" s="78"/>
      <x:c r="D16" s="78"/>
      <x:c r="E16" s="78"/>
      <x:c r="F16" s="78"/>
    </x:row>
    <x:row r="17">
      <x:c r="C17" s="78"/>
      <x:c r="D17" s="78"/>
      <x:c r="E17" s="78"/>
      <x:c r="F17" s="78"/>
    </x:row>
    <x:row r="18">
      <x:c r="C18" s="78"/>
      <x:c r="D18" s="78"/>
      <x:c r="E18" s="78"/>
      <x:c r="F18" s="78"/>
    </x:row>
    <x:row r="19">
      <x:c r="C19" s="78"/>
      <x:c r="D19" s="78"/>
      <x:c r="E19" s="78"/>
      <x:c r="F19" s="78"/>
    </x:row>
    <x:row r="20">
      <x:c r="C20" s="78"/>
      <x:c r="D20" s="78"/>
      <x:c r="E20" s="78"/>
      <x:c r="F20" s="78"/>
    </x:row>
    <x:row r="21">
      <x:c r="C21" s="78"/>
      <x:c r="D21" s="78"/>
      <x:c r="E21" s="78"/>
      <x:c r="F21" s="78"/>
    </x:row>
    <x:row r="22">
      <x:c r="C22" s="78"/>
      <x:c r="D22" s="78"/>
      <x:c r="E22" s="78"/>
      <x:c r="F22" s="78"/>
    </x:row>
    <x:row r="23">
      <x:c r="C23" s="78"/>
      <x:c r="D23" s="78"/>
      <x:c r="E23" s="78"/>
      <x:c r="F23" s="78"/>
    </x:row>
    <x:row r="24">
      <x:c r="C24" s="78"/>
      <x:c r="D24" s="78"/>
      <x:c r="E24" s="78"/>
      <x:c r="F24" s="78"/>
    </x:row>
    <x:row r="25">
      <x:c r="C25" s="78"/>
      <x:c r="D25" s="78"/>
      <x:c r="E25" s="78"/>
      <x:c r="F25" s="78"/>
    </x:row>
    <x:row r="26">
      <x:c r="C26" s="78"/>
      <x:c r="D26" s="78"/>
      <x:c r="E26" s="78"/>
      <x:c r="F26" s="78"/>
    </x:row>
    <x:row r="27">
      <x:c r="C27" s="78"/>
      <x:c r="D27" s="78"/>
      <x:c r="E27" s="78"/>
      <x:c r="F27" s="78"/>
    </x:row>
    <x:row r="28">
      <x:c r="C28" s="78"/>
      <x:c r="D28" s="78"/>
      <x:c r="E28" s="78"/>
      <x:c r="F28" s="78"/>
    </x:row>
    <x:row r="29">
      <x:c r="C29" s="78"/>
      <x:c r="D29" s="78"/>
      <x:c r="E29" s="78"/>
      <x:c r="F29" s="78"/>
    </x:row>
    <x:row r="30">
      <x:c r="C30" s="78"/>
      <x:c r="D30" s="78"/>
      <x:c r="E30" s="78"/>
      <x:c r="F30" s="78"/>
    </x:row>
    <x:row r="31">
      <x:c r="C31" s="78"/>
      <x:c r="D31" s="78"/>
      <x:c r="E31" s="78"/>
      <x:c r="F31" s="78"/>
    </x:row>
    <x:row r="32">
      <x:c r="C32" s="78"/>
      <x:c r="D32" s="78"/>
      <x:c r="E32" s="78"/>
      <x:c r="F32" s="78"/>
    </x:row>
    <x:row r="33">
      <x:c r="C33" s="78"/>
      <x:c r="D33" s="78"/>
      <x:c r="E33" s="78"/>
      <x:c r="F33" s="78"/>
    </x:row>
    <x:row r="34">
      <x:c r="C34" s="78"/>
      <x:c r="D34" s="78"/>
      <x:c r="E34" s="78"/>
      <x:c r="F34" s="78"/>
    </x:row>
    <x:row r="35">
      <x:c r="C35" s="78"/>
      <x:c r="D35" s="78"/>
      <x:c r="E35" s="78"/>
      <x:c r="F35" s="78"/>
    </x:row>
    <x:row r="36">
      <x:c r="C36" s="78"/>
      <x:c r="D36" s="78"/>
      <x:c r="E36" s="78"/>
      <x:c r="F36" s="78"/>
    </x:row>
    <x:row r="37">
      <x:c r="C37" s="78"/>
      <x:c r="D37" s="78"/>
      <x:c r="E37" s="78"/>
      <x:c r="F37" s="78"/>
    </x:row>
    <x:row r="38">
      <x:c r="C38" s="78"/>
      <x:c r="D38" s="78"/>
      <x:c r="E38" s="78"/>
      <x:c r="F38" s="78"/>
    </x:row>
    <x:row r="39">
      <x:c r="C39" s="78"/>
      <x:c r="D39" s="78"/>
      <x:c r="E39" s="78"/>
      <x:c r="F39" s="78"/>
    </x:row>
    <x:row r="40">
      <x:c r="C40" s="78"/>
      <x:c r="D40" s="78"/>
      <x:c r="E40" s="78"/>
      <x:c r="F40" s="78"/>
    </x:row>
    <x:row r="41">
      <x:c r="C41" s="78"/>
      <x:c r="D41" s="78"/>
      <x:c r="E41" s="78"/>
      <x:c r="F41" s="78"/>
    </x:row>
    <x:row r="42">
      <x:c r="C42" s="78"/>
      <x:c r="D42" s="78"/>
      <x:c r="E42" s="78"/>
      <x:c r="F42" s="78"/>
    </x:row>
    <x:row r="43">
      <x:c r="C43" s="78"/>
      <x:c r="D43" s="78"/>
      <x:c r="E43" s="78"/>
      <x:c r="F43" s="78"/>
    </x:row>
    <x:row r="44">
      <x:c r="C44" s="78"/>
      <x:c r="D44" s="78"/>
      <x:c r="E44" s="78"/>
      <x:c r="F44" s="78"/>
    </x:row>
    <x:row r="45">
      <x:c r="C45" s="78"/>
      <x:c r="D45" s="78"/>
      <x:c r="E45" s="78"/>
      <x:c r="F45" s="78"/>
    </x:row>
    <x:row r="46">
      <x:c r="C46" s="78"/>
      <x:c r="D46" s="78"/>
      <x:c r="E46" s="78"/>
      <x:c r="F46" s="78"/>
    </x:row>
    <x:row r="47">
      <x:c r="C47" s="78"/>
      <x:c r="D47" s="78"/>
      <x:c r="E47" s="78"/>
      <x:c r="F47" s="78"/>
    </x:row>
    <x:row r="48">
      <x:c r="C48" s="78"/>
      <x:c r="D48" s="78"/>
      <x:c r="E48" s="78"/>
      <x:c r="F48" s="78"/>
    </x:row>
    <x:row r="49">
      <x:c r="C49" s="78"/>
      <x:c r="D49" s="78"/>
      <x:c r="E49" s="78"/>
      <x:c r="F49" s="78"/>
    </x:row>
    <x:row r="50">
      <x:c r="C50" s="78"/>
      <x:c r="D50" s="78"/>
      <x:c r="E50" s="78"/>
      <x:c r="F50" s="78"/>
    </x:row>
    <x:row r="51">
      <x:c r="C51" s="78"/>
      <x:c r="D51" s="78"/>
      <x:c r="E51" s="78"/>
      <x:c r="F51" s="78"/>
    </x:row>
    <x:row r="52">
      <x:c r="C52" s="78"/>
      <x:c r="D52" s="78"/>
      <x:c r="E52" s="78"/>
      <x:c r="F52" s="78"/>
    </x:row>
    <x:row r="53">
      <x:c r="C53" s="78"/>
      <x:c r="D53" s="78"/>
      <x:c r="E53" s="78"/>
      <x:c r="F53" s="78"/>
    </x:row>
    <x:row r="54">
      <x:c r="C54" s="78"/>
      <x:c r="D54" s="78"/>
      <x:c r="E54" s="78"/>
      <x:c r="F54" s="78"/>
    </x:row>
    <x:row r="55">
      <x:c r="C55" s="78"/>
      <x:c r="D55" s="78"/>
      <x:c r="E55" s="78"/>
      <x:c r="F55" s="78"/>
    </x:row>
    <x:row r="56">
      <x:c r="C56" s="78"/>
      <x:c r="D56" s="78"/>
      <x:c r="E56" s="78"/>
      <x:c r="F56" s="78"/>
    </x:row>
    <x:row r="57">
      <x:c r="C57" s="78"/>
      <x:c r="D57" s="78"/>
      <x:c r="E57" s="78"/>
      <x:c r="F57" s="78"/>
    </x:row>
    <x:row r="58">
      <x:c r="C58" s="78"/>
      <x:c r="D58" s="78"/>
      <x:c r="E58" s="78"/>
      <x:c r="F58" s="78"/>
    </x:row>
    <x:row r="59">
      <x:c r="C59" s="78"/>
      <x:c r="D59" s="78"/>
      <x:c r="E59" s="78"/>
      <x:c r="F59" s="78"/>
    </x:row>
    <x:row r="60">
      <x:c r="C60" s="78"/>
      <x:c r="D60" s="78"/>
      <x:c r="E60" s="78"/>
      <x:c r="F60" s="78"/>
    </x:row>
    <x:row r="61">
      <x:c r="C61" s="78"/>
      <x:c r="D61" s="78"/>
      <x:c r="E61" s="78"/>
      <x:c r="F61" s="78"/>
    </x:row>
    <x:row r="62">
      <x:c r="C62" s="78"/>
      <x:c r="D62" s="78"/>
      <x:c r="E62" s="78"/>
      <x:c r="F62" s="78"/>
    </x:row>
    <x:row r="63">
      <x:c r="C63" s="78"/>
      <x:c r="D63" s="78"/>
      <x:c r="E63" s="78"/>
      <x:c r="F63" s="78"/>
    </x:row>
    <x:row r="64">
      <x:c r="C64" s="78"/>
      <x:c r="D64" s="78"/>
      <x:c r="E64" s="78"/>
      <x:c r="F64" s="78"/>
    </x:row>
    <x:row r="65">
      <x:c r="C65" s="78"/>
      <x:c r="D65" s="78"/>
      <x:c r="E65" s="78"/>
      <x:c r="F65" s="78"/>
    </x:row>
    <x:row r="66">
      <x:c r="C66" s="78"/>
      <x:c r="D66" s="78"/>
      <x:c r="E66" s="78"/>
      <x:c r="F66" s="78"/>
    </x:row>
    <x:row r="67">
      <x:c r="C67" s="78"/>
      <x:c r="D67" s="78"/>
      <x:c r="E67" s="78"/>
      <x:c r="F67" s="78"/>
    </x:row>
    <x:row r="68">
      <x:c r="C68" s="78"/>
      <x:c r="D68" s="78"/>
      <x:c r="E68" s="78"/>
      <x:c r="F68" s="78"/>
    </x:row>
    <x:row r="69">
      <x:c r="C69" s="78"/>
      <x:c r="D69" s="78"/>
      <x:c r="E69" s="78"/>
      <x:c r="F69" s="78"/>
    </x:row>
    <x:row r="70">
      <x:c r="C70" s="78"/>
      <x:c r="D70" s="78"/>
      <x:c r="E70" s="78"/>
      <x:c r="F70" s="78"/>
    </x:row>
    <x:row r="71">
      <x:c r="C71" s="78"/>
      <x:c r="D71" s="78"/>
      <x:c r="E71" s="78"/>
      <x:c r="F71" s="78"/>
    </x:row>
    <x:row r="72">
      <x:c r="C72" s="78"/>
      <x:c r="D72" s="78"/>
      <x:c r="E72" s="78"/>
      <x:c r="F72" s="78"/>
    </x:row>
    <x:row r="73">
      <x:c r="C73" s="78"/>
      <x:c r="D73" s="78"/>
      <x:c r="E73" s="78"/>
      <x:c r="F73" s="78"/>
    </x:row>
    <x:row r="74">
      <x:c r="C74" s="78"/>
      <x:c r="D74" s="78"/>
      <x:c r="E74" s="78"/>
      <x:c r="F74" s="78"/>
    </x:row>
    <x:row r="75">
      <x:c r="C75" s="78"/>
      <x:c r="D75" s="78"/>
      <x:c r="E75" s="78"/>
      <x:c r="F75" s="78"/>
    </x:row>
    <x:row r="76">
      <x:c r="C76" s="78"/>
      <x:c r="D76" s="78"/>
      <x:c r="E76" s="78"/>
      <x:c r="F76" s="78"/>
    </x:row>
    <x:row r="77">
      <x:c r="C77" s="78"/>
      <x:c r="D77" s="78"/>
      <x:c r="E77" s="78"/>
      <x:c r="F77" s="78"/>
    </x:row>
    <x:row r="78">
      <x:c r="C78" s="78"/>
      <x:c r="D78" s="78"/>
      <x:c r="E78" s="78"/>
      <x:c r="F78" s="78"/>
    </x:row>
    <x:row r="79">
      <x:c r="C79" s="78"/>
      <x:c r="D79" s="78"/>
      <x:c r="E79" s="78"/>
      <x:c r="F79" s="78"/>
    </x:row>
    <x:row r="80">
      <x:c r="C80" s="78"/>
      <x:c r="D80" s="78"/>
      <x:c r="E80" s="78"/>
      <x:c r="F80" s="78"/>
    </x:row>
    <x:row r="81">
      <x:c r="C81" s="78"/>
      <x:c r="D81" s="78"/>
      <x:c r="E81" s="78"/>
      <x:c r="F81" s="78"/>
    </x:row>
    <x:row r="82">
      <x:c r="C82" s="78"/>
      <x:c r="D82" s="78"/>
      <x:c r="E82" s="78"/>
      <x:c r="F82" s="78"/>
    </x:row>
    <x:row r="83">
      <x:c r="C83" s="78"/>
      <x:c r="D83" s="78"/>
      <x:c r="E83" s="78"/>
      <x:c r="F83" s="78"/>
    </x:row>
    <x:row r="84">
      <x:c r="C84" s="78"/>
      <x:c r="D84" s="78"/>
      <x:c r="E84" s="78"/>
      <x:c r="F84" s="78"/>
    </x:row>
    <x:row r="85">
      <x:c r="C85" s="78"/>
      <x:c r="D85" s="78"/>
      <x:c r="E85" s="78"/>
      <x:c r="F85" s="78"/>
    </x:row>
    <x:row r="86">
      <x:c r="C86" s="78"/>
      <x:c r="D86" s="78"/>
      <x:c r="E86" s="78"/>
      <x:c r="F86" s="78"/>
    </x:row>
    <x:row r="87">
      <x:c r="C87" s="78"/>
      <x:c r="D87" s="78"/>
      <x:c r="E87" s="78"/>
      <x:c r="F87" s="78"/>
    </x:row>
    <x:row r="88">
      <x:c r="C88" s="78"/>
      <x:c r="D88" s="78"/>
      <x:c r="E88" s="78"/>
      <x:c r="F88" s="78"/>
    </x:row>
    <x:row r="89">
      <x:c r="C89" s="78"/>
      <x:c r="D89" s="78"/>
      <x:c r="E89" s="78"/>
      <x:c r="F89" s="78"/>
    </x:row>
    <x:row r="90">
      <x:c r="C90" s="78"/>
      <x:c r="D90" s="78"/>
      <x:c r="E90" s="78"/>
      <x:c r="F90" s="78"/>
    </x:row>
    <x:row r="91">
      <x:c r="C91" s="78"/>
      <x:c r="D91" s="78"/>
      <x:c r="E91" s="78"/>
      <x:c r="F91" s="78"/>
    </x:row>
    <x:row r="92">
      <x:c r="C92" s="78"/>
      <x:c r="D92" s="78"/>
      <x:c r="E92" s="78"/>
      <x:c r="F92" s="78"/>
    </x:row>
    <x:row r="93">
      <x:c r="C93" s="78"/>
      <x:c r="D93" s="78"/>
      <x:c r="E93" s="78"/>
      <x:c r="F93" s="78"/>
    </x:row>
    <x:row r="94">
      <x:c r="C94" s="78"/>
      <x:c r="D94" s="78"/>
      <x:c r="E94" s="78"/>
      <x:c r="F94" s="78"/>
    </x:row>
    <x:row r="95">
      <x:c r="C95" s="78"/>
      <x:c r="D95" s="78"/>
      <x:c r="E95" s="78"/>
      <x:c r="F95" s="78"/>
    </x:row>
    <x:row r="96">
      <x:c r="C96" s="78"/>
      <x:c r="D96" s="78"/>
      <x:c r="E96" s="78"/>
      <x:c r="F96" s="78"/>
    </x:row>
    <x:row r="97">
      <x:c r="C97" s="78"/>
      <x:c r="D97" s="78"/>
      <x:c r="E97" s="78"/>
      <x:c r="F97" s="78"/>
    </x:row>
    <x:row r="98">
      <x:c r="C98" s="78"/>
      <x:c r="D98" s="78"/>
      <x:c r="E98" s="78"/>
      <x:c r="F98" s="78"/>
    </x:row>
    <x:row r="99">
      <x:c r="C99" s="78"/>
      <x:c r="D99" s="78"/>
      <x:c r="E99" s="78"/>
      <x:c r="F99" s="78"/>
    </x:row>
    <x:row r="100">
      <x:c r="C100" s="78"/>
      <x:c r="D100" s="78"/>
      <x:c r="E100" s="78"/>
      <x:c r="F100" s="78"/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6" hidden="0" customWidth="1"/>
    <x:col min="4" max="4" width="22" hidden="0" customWidth="1"/>
    <x:col min="5" max="5" width="12" hidden="0" customWidth="1"/>
  </x:cols>
  <x:sheetData>
    <x:row r="1" ht="32" customHeight="1">
      <x:c r="A1" s="4" t="str">
        <x:v>13 HAFTALIK TAHSİLAT PLANLAMA</x:v>
      </x:c>
      <x:c r="B1" s="4"/>
      <x:c r="C1" s="4"/>
      <x:c r="D1" s="4"/>
      <x:c r="E1" s="4"/>
      <x:c r="F1" s="4"/>
    </x:row>
    <x:row r="2" ht="28" customHeight="1">
      <x:c r="A2" s="10" t="str">
        <x:v>Tahmin değil senaryodur: vade/rapor tarihi + AYARLAR'daki gecikme varsayımı.</x:v>
      </x:c>
      <x:c r="B2" s="10"/>
      <x:c r="C2" s="10"/>
      <x:c r="D2" s="10"/>
      <x:c r="E2" s="10"/>
      <x:c r="F2" s="10"/>
    </x:row>
    <x:row r="4">
      <x:c r="A4" s="38" t="str">
        <x:v>HAFTA</x:v>
      </x:c>
      <x:c r="B4" s="38" t="str">
        <x:v>BAŞLANGIÇ</x:v>
      </x:c>
      <x:c r="C4" s="38" t="str">
        <x:v>BİTİŞ</x:v>
      </x:c>
      <x:c r="D4" s="38" t="str">
        <x:v>PLANLANAN TAHSİLAT</x:v>
      </x:c>
      <x:c r="E4" s="38" t="str">
        <x:v>KALEM</x:v>
      </x:c>
    </x:row>
    <x:row r="5">
      <x:c r="A5" t="n">
        <x:v>1</x:v>
      </x:c>
      <x:c r="B5" s="76" t="n">
        <x:f>AYARLAR!$B$5+(A5-1)*7+1</x:f>
        <x:v>46253</x:v>
      </x:c>
      <x:c r="C5" s="76" t="n">
        <x:f>AYARLAR!$B$5+A5*7</x:f>
        <x:v>46259</x:v>
      </x:c>
      <x:c r="D5" s="78" t="e">
        <x:f>SUM(_xlfn._xlws.FILTER(CHOOSECOLS(NORMALIZE!$A$5#,12),CHOOSECOLS(NORMALIZE!$A$5#,17)=A5,0))</x:f>
        <x:v>#VALUE!</x:v>
      </x:c>
      <x:c r="E5" t="e">
        <x:f>SUM(--(CHOOSECOLS(NORMALIZE!$A$5#,17)=A5)*--(CHOOSECOLS(NORMALIZE!$A$5#,12)&gt;0))</x:f>
        <x:v>#VALUE!</x:v>
      </x:c>
    </x:row>
    <x:row r="6">
      <x:c r="A6" t="n">
        <x:v>2</x:v>
      </x:c>
      <x:c r="B6" s="76" t="n">
        <x:f>AYARLAR!$B$5+(A6-1)*7+1</x:f>
        <x:v>46260</x:v>
      </x:c>
      <x:c r="C6" s="76" t="n">
        <x:f>AYARLAR!$B$5+A6*7</x:f>
        <x:v>46266</x:v>
      </x:c>
      <x:c r="D6" s="78" t="e">
        <x:f>SUM(_xlfn._xlws.FILTER(CHOOSECOLS(NORMALIZE!$A$5#,12),CHOOSECOLS(NORMALIZE!$A$5#,17)=A6,0))</x:f>
        <x:v>#VALUE!</x:v>
      </x:c>
      <x:c r="E6" t="e">
        <x:f>SUM(--(CHOOSECOLS(NORMALIZE!$A$5#,17)=A6)*--(CHOOSECOLS(NORMALIZE!$A$5#,12)&gt;0))</x:f>
        <x:v>#VALUE!</x:v>
      </x:c>
    </x:row>
    <x:row r="7">
      <x:c r="A7" t="n">
        <x:v>3</x:v>
      </x:c>
      <x:c r="B7" s="76" t="n">
        <x:f>AYARLAR!$B$5+(A7-1)*7+1</x:f>
        <x:v>46267</x:v>
      </x:c>
      <x:c r="C7" s="76" t="n">
        <x:f>AYARLAR!$B$5+A7*7</x:f>
        <x:v>46273</x:v>
      </x:c>
      <x:c r="D7" s="78" t="e">
        <x:f>SUM(_xlfn._xlws.FILTER(CHOOSECOLS(NORMALIZE!$A$5#,12),CHOOSECOLS(NORMALIZE!$A$5#,17)=A7,0))</x:f>
        <x:v>#VALUE!</x:v>
      </x:c>
      <x:c r="E7" t="e">
        <x:f>SUM(--(CHOOSECOLS(NORMALIZE!$A$5#,17)=A7)*--(CHOOSECOLS(NORMALIZE!$A$5#,12)&gt;0))</x:f>
        <x:v>#VALUE!</x:v>
      </x:c>
    </x:row>
    <x:row r="8">
      <x:c r="A8" t="n">
        <x:v>4</x:v>
      </x:c>
      <x:c r="B8" s="76" t="n">
        <x:f>AYARLAR!$B$5+(A8-1)*7+1</x:f>
        <x:v>46274</x:v>
      </x:c>
      <x:c r="C8" s="76" t="n">
        <x:f>AYARLAR!$B$5+A8*7</x:f>
        <x:v>46280</x:v>
      </x:c>
      <x:c r="D8" s="78" t="e">
        <x:f>SUM(_xlfn._xlws.FILTER(CHOOSECOLS(NORMALIZE!$A$5#,12),CHOOSECOLS(NORMALIZE!$A$5#,17)=A8,0))</x:f>
        <x:v>#VALUE!</x:v>
      </x:c>
      <x:c r="E8" t="e">
        <x:f>SUM(--(CHOOSECOLS(NORMALIZE!$A$5#,17)=A8)*--(CHOOSECOLS(NORMALIZE!$A$5#,12)&gt;0))</x:f>
        <x:v>#VALUE!</x:v>
      </x:c>
    </x:row>
    <x:row r="9">
      <x:c r="A9" t="n">
        <x:v>5</x:v>
      </x:c>
      <x:c r="B9" s="76" t="n">
        <x:f>AYARLAR!$B$5+(A9-1)*7+1</x:f>
        <x:v>46281</x:v>
      </x:c>
      <x:c r="C9" s="76" t="n">
        <x:f>AYARLAR!$B$5+A9*7</x:f>
        <x:v>46287</x:v>
      </x:c>
      <x:c r="D9" s="78" t="e">
        <x:f>SUM(_xlfn._xlws.FILTER(CHOOSECOLS(NORMALIZE!$A$5#,12),CHOOSECOLS(NORMALIZE!$A$5#,17)=A9,0))</x:f>
        <x:v>#VALUE!</x:v>
      </x:c>
      <x:c r="E9" t="e">
        <x:f>SUM(--(CHOOSECOLS(NORMALIZE!$A$5#,17)=A9)*--(CHOOSECOLS(NORMALIZE!$A$5#,12)&gt;0))</x:f>
        <x:v>#VALUE!</x:v>
      </x:c>
    </x:row>
    <x:row r="10">
      <x:c r="A10" t="n">
        <x:v>6</x:v>
      </x:c>
      <x:c r="B10" s="76" t="n">
        <x:f>AYARLAR!$B$5+(A10-1)*7+1</x:f>
        <x:v>46288</x:v>
      </x:c>
      <x:c r="C10" s="76" t="n">
        <x:f>AYARLAR!$B$5+A10*7</x:f>
        <x:v>46294</x:v>
      </x:c>
      <x:c r="D10" s="78" t="e">
        <x:f>SUM(_xlfn._xlws.FILTER(CHOOSECOLS(NORMALIZE!$A$5#,12),CHOOSECOLS(NORMALIZE!$A$5#,17)=A10,0))</x:f>
        <x:v>#VALUE!</x:v>
      </x:c>
      <x:c r="E10" t="e">
        <x:f>SUM(--(CHOOSECOLS(NORMALIZE!$A$5#,17)=A10)*--(CHOOSECOLS(NORMALIZE!$A$5#,12)&gt;0))</x:f>
        <x:v>#VALUE!</x:v>
      </x:c>
    </x:row>
    <x:row r="11">
      <x:c r="A11" t="n">
        <x:v>7</x:v>
      </x:c>
      <x:c r="B11" s="76" t="n">
        <x:f>AYARLAR!$B$5+(A11-1)*7+1</x:f>
        <x:v>46295</x:v>
      </x:c>
      <x:c r="C11" s="76" t="n">
        <x:f>AYARLAR!$B$5+A11*7</x:f>
        <x:v>46301</x:v>
      </x:c>
      <x:c r="D11" s="78" t="e">
        <x:f>SUM(_xlfn._xlws.FILTER(CHOOSECOLS(NORMALIZE!$A$5#,12),CHOOSECOLS(NORMALIZE!$A$5#,17)=A11,0))</x:f>
        <x:v>#VALUE!</x:v>
      </x:c>
      <x:c r="E11" t="e">
        <x:f>SUM(--(CHOOSECOLS(NORMALIZE!$A$5#,17)=A11)*--(CHOOSECOLS(NORMALIZE!$A$5#,12)&gt;0))</x:f>
        <x:v>#VALUE!</x:v>
      </x:c>
    </x:row>
    <x:row r="12">
      <x:c r="A12" t="n">
        <x:v>8</x:v>
      </x:c>
      <x:c r="B12" s="76" t="n">
        <x:f>AYARLAR!$B$5+(A12-1)*7+1</x:f>
        <x:v>46302</x:v>
      </x:c>
      <x:c r="C12" s="76" t="n">
        <x:f>AYARLAR!$B$5+A12*7</x:f>
        <x:v>46308</x:v>
      </x:c>
      <x:c r="D12" s="78" t="e">
        <x:f>SUM(_xlfn._xlws.FILTER(CHOOSECOLS(NORMALIZE!$A$5#,12),CHOOSECOLS(NORMALIZE!$A$5#,17)=A12,0))</x:f>
        <x:v>#VALUE!</x:v>
      </x:c>
      <x:c r="E12" t="e">
        <x:f>SUM(--(CHOOSECOLS(NORMALIZE!$A$5#,17)=A12)*--(CHOOSECOLS(NORMALIZE!$A$5#,12)&gt;0))</x:f>
        <x:v>#VALUE!</x:v>
      </x:c>
    </x:row>
    <x:row r="13">
      <x:c r="A13" t="n">
        <x:v>9</x:v>
      </x:c>
      <x:c r="B13" s="76" t="n">
        <x:f>AYARLAR!$B$5+(A13-1)*7+1</x:f>
        <x:v>46309</x:v>
      </x:c>
      <x:c r="C13" s="76" t="n">
        <x:f>AYARLAR!$B$5+A13*7</x:f>
        <x:v>46315</x:v>
      </x:c>
      <x:c r="D13" s="78" t="e">
        <x:f>SUM(_xlfn._xlws.FILTER(CHOOSECOLS(NORMALIZE!$A$5#,12),CHOOSECOLS(NORMALIZE!$A$5#,17)=A13,0))</x:f>
        <x:v>#VALUE!</x:v>
      </x:c>
      <x:c r="E13" t="e">
        <x:f>SUM(--(CHOOSECOLS(NORMALIZE!$A$5#,17)=A13)*--(CHOOSECOLS(NORMALIZE!$A$5#,12)&gt;0))</x:f>
        <x:v>#VALUE!</x:v>
      </x:c>
    </x:row>
    <x:row r="14">
      <x:c r="A14" t="n">
        <x:v>10</x:v>
      </x:c>
      <x:c r="B14" s="76" t="n">
        <x:f>AYARLAR!$B$5+(A14-1)*7+1</x:f>
        <x:v>46316</x:v>
      </x:c>
      <x:c r="C14" s="76" t="n">
        <x:f>AYARLAR!$B$5+A14*7</x:f>
        <x:v>46322</x:v>
      </x:c>
      <x:c r="D14" s="78" t="e">
        <x:f>SUM(_xlfn._xlws.FILTER(CHOOSECOLS(NORMALIZE!$A$5#,12),CHOOSECOLS(NORMALIZE!$A$5#,17)=A14,0))</x:f>
        <x:v>#VALUE!</x:v>
      </x:c>
      <x:c r="E14" t="e">
        <x:f>SUM(--(CHOOSECOLS(NORMALIZE!$A$5#,17)=A14)*--(CHOOSECOLS(NORMALIZE!$A$5#,12)&gt;0))</x:f>
        <x:v>#VALUE!</x:v>
      </x:c>
    </x:row>
    <x:row r="15">
      <x:c r="A15" t="n">
        <x:v>11</x:v>
      </x:c>
      <x:c r="B15" s="76" t="n">
        <x:f>AYARLAR!$B$5+(A15-1)*7+1</x:f>
        <x:v>46323</x:v>
      </x:c>
      <x:c r="C15" s="76" t="n">
        <x:f>AYARLAR!$B$5+A15*7</x:f>
        <x:v>46329</x:v>
      </x:c>
      <x:c r="D15" s="78" t="e">
        <x:f>SUM(_xlfn._xlws.FILTER(CHOOSECOLS(NORMALIZE!$A$5#,12),CHOOSECOLS(NORMALIZE!$A$5#,17)=A15,0))</x:f>
        <x:v>#VALUE!</x:v>
      </x:c>
      <x:c r="E15" t="e">
        <x:f>SUM(--(CHOOSECOLS(NORMALIZE!$A$5#,17)=A15)*--(CHOOSECOLS(NORMALIZE!$A$5#,12)&gt;0))</x:f>
        <x:v>#VALUE!</x:v>
      </x:c>
    </x:row>
    <x:row r="16">
      <x:c r="A16" t="n">
        <x:v>12</x:v>
      </x:c>
      <x:c r="B16" s="76" t="n">
        <x:f>AYARLAR!$B$5+(A16-1)*7+1</x:f>
        <x:v>46330</x:v>
      </x:c>
      <x:c r="C16" s="76" t="n">
        <x:f>AYARLAR!$B$5+A16*7</x:f>
        <x:v>46336</x:v>
      </x:c>
      <x:c r="D16" s="78" t="e">
        <x:f>SUM(_xlfn._xlws.FILTER(CHOOSECOLS(NORMALIZE!$A$5#,12),CHOOSECOLS(NORMALIZE!$A$5#,17)=A16,0))</x:f>
        <x:v>#VALUE!</x:v>
      </x:c>
      <x:c r="E16" t="e">
        <x:f>SUM(--(CHOOSECOLS(NORMALIZE!$A$5#,17)=A16)*--(CHOOSECOLS(NORMALIZE!$A$5#,12)&gt;0))</x:f>
        <x:v>#VALUE!</x:v>
      </x:c>
    </x:row>
    <x:row r="17">
      <x:c r="A17" t="n">
        <x:v>13</x:v>
      </x:c>
      <x:c r="B17" s="76" t="n">
        <x:f>AYARLAR!$B$5+(A17-1)*7+1</x:f>
        <x:v>46337</x:v>
      </x:c>
      <x:c r="C17" s="76" t="n">
        <x:f>AYARLAR!$B$5+A17*7</x:f>
        <x:v>46343</x:v>
      </x:c>
      <x:c r="D17" s="78" t="e">
        <x:f>SUM(_xlfn._xlws.FILTER(CHOOSECOLS(NORMALIZE!$A$5#,12),CHOOSECOLS(NORMALIZE!$A$5#,17)=A17,0))</x:f>
        <x:v>#VALUE!</x:v>
      </x:c>
      <x:c r="E17" t="e">
        <x:f>SUM(--(CHOOSECOLS(NORMALIZE!$A$5#,17)=A17)*--(CHOOSECOLS(NORMALIZE!$A$5#,12)&gt;0))</x:f>
        <x:v>#VALUE!</x:v>
      </x:c>
    </x:row>
    <x:row r="19">
      <x:c r="A19" s="24" t="str">
        <x:v>13H TOPLAM</x:v>
      </x:c>
      <x:c r="B19" s="24" t="str"/>
      <x:c r="C19" s="24" t="str"/>
      <x:c r="D19" s="82" t="e">
        <x:f>SUM(D5:D17)</x:f>
        <x:v>#VALUE!</x:v>
      </x:c>
      <x:c r="E19" s="24" t="e">
        <x:f>SUM(E5:E17)</x:f>
        <x:v>#VALUE!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16" hidden="0" customWidth="1"/>
    <x:col min="4" max="4" width="14" hidden="0" customWidth="1"/>
    <x:col min="5" max="5" width="24" hidden="0" customWidth="1"/>
    <x:col min="6" max="6" width="16" hidden="0" customWidth="1"/>
    <x:col min="7" max="7" width="24" hidden="0" customWidth="1"/>
    <x:col min="8" max="8" width="44" hidden="0" customWidth="1"/>
  </x:cols>
  <x:sheetData>
    <x:row r="1" ht="32" customHeight="1">
      <x:c r="A1" s="4" t="str">
        <x:v>VUK 323 ŞÜPHELİ ALACAK ÖN ELEĞİ</x:v>
      </x:c>
      <x:c r="B1" s="4"/>
      <x:c r="C1" s="4"/>
      <x:c r="D1" s="4"/>
      <x:c r="E1" s="4"/>
      <x:c r="F1" s="4"/>
      <x:c r="G1" s="4"/>
      <x:c r="H1" s="4"/>
    </x:row>
    <x:row r="2" ht="28" customHeight="1">
      <x:c r="A2" s="10" t="str">
        <x:v>Vergisel kesin hüküm değil; belge/koşul eksiklerini görünür kılan kontrol katmanıdır.</x:v>
      </x:c>
      <x:c r="B2" s="10"/>
      <x:c r="C2" s="10"/>
      <x:c r="D2" s="10"/>
      <x:c r="E2" s="10"/>
      <x:c r="F2" s="10"/>
      <x:c r="G2" s="10"/>
      <x:c r="H2" s="10"/>
    </x:row>
    <x:row r="4">
      <x:c r="A4" s="38" t="str">
        <x:v>Cari Kodu</x:v>
      </x:c>
      <x:c r="B4" s="38" t="str">
        <x:v>Açık Alacak</x:v>
      </x:c>
      <x:c r="C4" s="38" t="str">
        <x:v>Ticari Alacak?</x:v>
      </x:c>
      <x:c r="D4" s="38" t="str">
        <x:v>Dava/İcra?</x:v>
      </x:c>
      <x:c r="E4" s="38" t="str">
        <x:v>Yazılı İstem/Protesto?</x:v>
      </x:c>
      <x:c r="F4" s="38" t="str">
        <x:v>Teminat TL</x:v>
      </x:c>
      <x:c r="G4" s="38" t="str">
        <x:v>Ön Elek</x:v>
      </x:c>
      <x:c r="H4" s="38" t="str">
        <x:v>Not</x:v>
      </x:c>
    </x:row>
    <x:row r="5">
      <x:c r="A5" t="str">
        <x:f>IFERROR(INDEX(CHOOSECOLS(CARI_OZET!$A$5#,1),1),"")</x:f>
      </x:c>
      <x:c r="B5" s="78" t="str">
        <x:f>IF(A5="","",IFERROR(INDEX(CHOOSECOLS(CARI_OZET!$A$5#,3),1),0))</x:f>
      </x:c>
      <x:c r="C5" s="44"/>
      <x:c r="D5" s="44"/>
      <x:c r="E5" s="44"/>
      <x:c r="F5" s="56"/>
      <x:c r="G5" t="str">
        <x:f>IF(A5="","",IF(C5&lt;&gt;"Evet","KOŞUL SAĞLANMIYOR",IF(AND(OR(D5="Evet",E5="Evet"),F5=0),"ADAY",IF(AND(B5&lt;=AYARLAR!$B$10,E5="Evet",F5=0),"ADAY","KANIT EKSİK"))))</x:f>
      </x:c>
      <x:c r="H5" t="str">
        <x:f>IF(G5="ADAY","Uzman kontrolü olmadan vergi kaydı oluşturmayın","")</x:f>
      </x:c>
    </x:row>
    <x:row r="6">
      <x:c r="A6" t="str">
        <x:f>IFERROR(INDEX(CHOOSECOLS(CARI_OZET!$A$5#,1),2),"")</x:f>
      </x:c>
      <x:c r="B6" s="78" t="str">
        <x:f>IF(A6="","",IFERROR(INDEX(CHOOSECOLS(CARI_OZET!$A$5#,3),2),0))</x:f>
      </x:c>
      <x:c r="C6" s="44"/>
      <x:c r="D6" s="44"/>
      <x:c r="E6" s="44"/>
      <x:c r="F6" s="56"/>
      <x:c r="G6" t="str">
        <x:f>IF(A6="","",IF(C6&lt;&gt;"Evet","KOŞUL SAĞLANMIYOR",IF(AND(OR(D6="Evet",E6="Evet"),F6=0),"ADAY",IF(AND(B6&lt;=AYARLAR!$B$10,E6="Evet",F6=0),"ADAY","KANIT EKSİK"))))</x:f>
      </x:c>
      <x:c r="H6" t="str">
        <x:f>IF(G6="ADAY","Uzman kontrolü olmadan vergi kaydı oluşturmayın","")</x:f>
      </x:c>
    </x:row>
    <x:row r="7">
      <x:c r="A7" t="str">
        <x:f>IFERROR(INDEX(CHOOSECOLS(CARI_OZET!$A$5#,1),3),"")</x:f>
      </x:c>
      <x:c r="B7" s="78" t="str">
        <x:f>IF(A7="","",IFERROR(INDEX(CHOOSECOLS(CARI_OZET!$A$5#,3),3),0))</x:f>
      </x:c>
      <x:c r="C7" s="44"/>
      <x:c r="D7" s="44"/>
      <x:c r="E7" s="44"/>
      <x:c r="F7" s="56"/>
      <x:c r="G7" t="str">
        <x:f>IF(A7="","",IF(C7&lt;&gt;"Evet","KOŞUL SAĞLANMIYOR",IF(AND(OR(D7="Evet",E7="Evet"),F7=0),"ADAY",IF(AND(B7&lt;=AYARLAR!$B$10,E7="Evet",F7=0),"ADAY","KANIT EKSİK"))))</x:f>
      </x:c>
      <x:c r="H7" t="str">
        <x:f>IF(G7="ADAY","Uzman kontrolü olmadan vergi kaydı oluşturmayın","")</x:f>
      </x:c>
    </x:row>
    <x:row r="8">
      <x:c r="A8" t="str">
        <x:f>IFERROR(INDEX(CHOOSECOLS(CARI_OZET!$A$5#,1),4),"")</x:f>
      </x:c>
      <x:c r="B8" s="78" t="str">
        <x:f>IF(A8="","",IFERROR(INDEX(CHOOSECOLS(CARI_OZET!$A$5#,3),4),0))</x:f>
      </x:c>
      <x:c r="C8" s="44"/>
      <x:c r="D8" s="44"/>
      <x:c r="E8" s="44"/>
      <x:c r="F8" s="56"/>
      <x:c r="G8" t="str">
        <x:f>IF(A8="","",IF(C8&lt;&gt;"Evet","KOŞUL SAĞLANMIYOR",IF(AND(OR(D8="Evet",E8="Evet"),F8=0),"ADAY",IF(AND(B8&lt;=AYARLAR!$B$10,E8="Evet",F8=0),"ADAY","KANIT EKSİK"))))</x:f>
      </x:c>
      <x:c r="H8" t="str">
        <x:f>IF(G8="ADAY","Uzman kontrolü olmadan vergi kaydı oluşturmayın","")</x:f>
      </x:c>
    </x:row>
    <x:row r="9">
      <x:c r="A9" t="str">
        <x:f>IFERROR(INDEX(CHOOSECOLS(CARI_OZET!$A$5#,1),5),"")</x:f>
      </x:c>
      <x:c r="B9" s="78" t="str">
        <x:f>IF(A9="","",IFERROR(INDEX(CHOOSECOLS(CARI_OZET!$A$5#,3),5),0))</x:f>
      </x:c>
      <x:c r="C9" s="44"/>
      <x:c r="D9" s="44"/>
      <x:c r="E9" s="44"/>
      <x:c r="F9" s="56"/>
      <x:c r="G9" t="str">
        <x:f>IF(A9="","",IF(C9&lt;&gt;"Evet","KOŞUL SAĞLANMIYOR",IF(AND(OR(D9="Evet",E9="Evet"),F9=0),"ADAY",IF(AND(B9&lt;=AYARLAR!$B$10,E9="Evet",F9=0),"ADAY","KANIT EKSİK"))))</x:f>
      </x:c>
      <x:c r="H9" t="str">
        <x:f>IF(G9="ADAY","Uzman kontrolü olmadan vergi kaydı oluşturmayın","")</x:f>
      </x:c>
    </x:row>
    <x:row r="10">
      <x:c r="A10" t="str">
        <x:f>IFERROR(INDEX(CHOOSECOLS(CARI_OZET!$A$5#,1),6),"")</x:f>
      </x:c>
      <x:c r="B10" s="78" t="str">
        <x:f>IF(A10="","",IFERROR(INDEX(CHOOSECOLS(CARI_OZET!$A$5#,3),6),0))</x:f>
      </x:c>
      <x:c r="C10" s="44"/>
      <x:c r="D10" s="44"/>
      <x:c r="E10" s="44"/>
      <x:c r="F10" s="56"/>
      <x:c r="G10" t="str">
        <x:f>IF(A10="","",IF(C10&lt;&gt;"Evet","KOŞUL SAĞLANMIYOR",IF(AND(OR(D10="Evet",E10="Evet"),F10=0),"ADAY",IF(AND(B10&lt;=AYARLAR!$B$10,E10="Evet",F10=0),"ADAY","KANIT EKSİK"))))</x:f>
      </x:c>
      <x:c r="H10" t="str">
        <x:f>IF(G10="ADAY","Uzman kontrolü olmadan vergi kaydı oluşturmayın","")</x:f>
      </x:c>
    </x:row>
    <x:row r="11">
      <x:c r="A11" t="str">
        <x:f>IFERROR(INDEX(CHOOSECOLS(CARI_OZET!$A$5#,1),7),"")</x:f>
      </x:c>
      <x:c r="B11" s="78" t="str">
        <x:f>IF(A11="","",IFERROR(INDEX(CHOOSECOLS(CARI_OZET!$A$5#,3),7),0))</x:f>
      </x:c>
      <x:c r="C11" s="44"/>
      <x:c r="D11" s="44"/>
      <x:c r="E11" s="44"/>
      <x:c r="F11" s="56"/>
      <x:c r="G11" t="str">
        <x:f>IF(A11="","",IF(C11&lt;&gt;"Evet","KOŞUL SAĞLANMIYOR",IF(AND(OR(D11="Evet",E11="Evet"),F11=0),"ADAY",IF(AND(B11&lt;=AYARLAR!$B$10,E11="Evet",F11=0),"ADAY","KANIT EKSİK"))))</x:f>
      </x:c>
      <x:c r="H11" t="str">
        <x:f>IF(G11="ADAY","Uzman kontrolü olmadan vergi kaydı oluşturmayın","")</x:f>
      </x:c>
    </x:row>
    <x:row r="12">
      <x:c r="A12" t="str">
        <x:f>IFERROR(INDEX(CHOOSECOLS(CARI_OZET!$A$5#,1),8),"")</x:f>
      </x:c>
      <x:c r="B12" s="78" t="str">
        <x:f>IF(A12="","",IFERROR(INDEX(CHOOSECOLS(CARI_OZET!$A$5#,3),8),0))</x:f>
      </x:c>
      <x:c r="C12" s="44"/>
      <x:c r="D12" s="44"/>
      <x:c r="E12" s="44"/>
      <x:c r="F12" s="56"/>
      <x:c r="G12" t="str">
        <x:f>IF(A12="","",IF(C12&lt;&gt;"Evet","KOŞUL SAĞLANMIYOR",IF(AND(OR(D12="Evet",E12="Evet"),F12=0),"ADAY",IF(AND(B12&lt;=AYARLAR!$B$10,E12="Evet",F12=0),"ADAY","KANIT EKSİK"))))</x:f>
      </x:c>
      <x:c r="H12" t="str">
        <x:f>IF(G12="ADAY","Uzman kontrolü olmadan vergi kaydı oluşturmayın","")</x:f>
      </x:c>
    </x:row>
    <x:row r="13">
      <x:c r="A13" t="str">
        <x:f>IFERROR(INDEX(CHOOSECOLS(CARI_OZET!$A$5#,1),9),"")</x:f>
      </x:c>
      <x:c r="B13" s="78" t="str">
        <x:f>IF(A13="","",IFERROR(INDEX(CHOOSECOLS(CARI_OZET!$A$5#,3),9),0))</x:f>
      </x:c>
      <x:c r="C13" s="44"/>
      <x:c r="D13" s="44"/>
      <x:c r="E13" s="44"/>
      <x:c r="F13" s="56"/>
      <x:c r="G13" t="str">
        <x:f>IF(A13="","",IF(C13&lt;&gt;"Evet","KOŞUL SAĞLANMIYOR",IF(AND(OR(D13="Evet",E13="Evet"),F13=0),"ADAY",IF(AND(B13&lt;=AYARLAR!$B$10,E13="Evet",F13=0),"ADAY","KANIT EKSİK"))))</x:f>
      </x:c>
      <x:c r="H13" t="str">
        <x:f>IF(G13="ADAY","Uzman kontrolü olmadan vergi kaydı oluşturmayın","")</x:f>
      </x:c>
    </x:row>
    <x:row r="14">
      <x:c r="A14" t="str">
        <x:f>IFERROR(INDEX(CHOOSECOLS(CARI_OZET!$A$5#,1),10),"")</x:f>
      </x:c>
      <x:c r="B14" s="78" t="str">
        <x:f>IF(A14="","",IFERROR(INDEX(CHOOSECOLS(CARI_OZET!$A$5#,3),10),0))</x:f>
      </x:c>
      <x:c r="C14" s="44"/>
      <x:c r="D14" s="44"/>
      <x:c r="E14" s="44"/>
      <x:c r="F14" s="56"/>
      <x:c r="G14" t="str">
        <x:f>IF(A14="","",IF(C14&lt;&gt;"Evet","KOŞUL SAĞLANMIYOR",IF(AND(OR(D14="Evet",E14="Evet"),F14=0),"ADAY",IF(AND(B14&lt;=AYARLAR!$B$10,E14="Evet",F14=0),"ADAY","KANIT EKSİK"))))</x:f>
      </x:c>
      <x:c r="H14" t="str">
        <x:f>IF(G14="ADAY","Uzman kontrolü olmadan vergi kaydı oluşturmayın","")</x:f>
      </x:c>
    </x:row>
    <x:row r="15">
      <x:c r="A15" t="str">
        <x:f>IFERROR(INDEX(CHOOSECOLS(CARI_OZET!$A$5#,1),11),"")</x:f>
      </x:c>
      <x:c r="B15" s="78" t="str">
        <x:f>IF(A15="","",IFERROR(INDEX(CHOOSECOLS(CARI_OZET!$A$5#,3),11),0))</x:f>
      </x:c>
      <x:c r="C15" s="44"/>
      <x:c r="D15" s="44"/>
      <x:c r="E15" s="44"/>
      <x:c r="F15" s="56"/>
      <x:c r="G15" t="str">
        <x:f>IF(A15="","",IF(C15&lt;&gt;"Evet","KOŞUL SAĞLANMIYOR",IF(AND(OR(D15="Evet",E15="Evet"),F15=0),"ADAY",IF(AND(B15&lt;=AYARLAR!$B$10,E15="Evet",F15=0),"ADAY","KANIT EKSİK"))))</x:f>
      </x:c>
      <x:c r="H15" t="str">
        <x:f>IF(G15="ADAY","Uzman kontrolü olmadan vergi kaydı oluşturmayın","")</x:f>
      </x:c>
    </x:row>
    <x:row r="16">
      <x:c r="A16" t="str">
        <x:f>IFERROR(INDEX(CHOOSECOLS(CARI_OZET!$A$5#,1),12),"")</x:f>
      </x:c>
      <x:c r="B16" s="78" t="str">
        <x:f>IF(A16="","",IFERROR(INDEX(CHOOSECOLS(CARI_OZET!$A$5#,3),12),0))</x:f>
      </x:c>
      <x:c r="C16" s="44"/>
      <x:c r="D16" s="44"/>
      <x:c r="E16" s="44"/>
      <x:c r="F16" s="56"/>
      <x:c r="G16" t="str">
        <x:f>IF(A16="","",IF(C16&lt;&gt;"Evet","KOŞUL SAĞLANMIYOR",IF(AND(OR(D16="Evet",E16="Evet"),F16=0),"ADAY",IF(AND(B16&lt;=AYARLAR!$B$10,E16="Evet",F16=0),"ADAY","KANIT EKSİK"))))</x:f>
      </x:c>
      <x:c r="H16" t="str">
        <x:f>IF(G16="ADAY","Uzman kontrolü olmadan vergi kaydı oluşturmayın","")</x:f>
      </x:c>
    </x:row>
    <x:row r="17">
      <x:c r="A17" t="str">
        <x:f>IFERROR(INDEX(CHOOSECOLS(CARI_OZET!$A$5#,1),13),"")</x:f>
      </x:c>
      <x:c r="B17" s="78" t="str">
        <x:f>IF(A17="","",IFERROR(INDEX(CHOOSECOLS(CARI_OZET!$A$5#,3),13),0))</x:f>
      </x:c>
      <x:c r="C17" s="44"/>
      <x:c r="D17" s="44"/>
      <x:c r="E17" s="44"/>
      <x:c r="F17" s="56"/>
      <x:c r="G17" t="str">
        <x:f>IF(A17="","",IF(C17&lt;&gt;"Evet","KOŞUL SAĞLANMIYOR",IF(AND(OR(D17="Evet",E17="Evet"),F17=0),"ADAY",IF(AND(B17&lt;=AYARLAR!$B$10,E17="Evet",F17=0),"ADAY","KANIT EKSİK"))))</x:f>
      </x:c>
      <x:c r="H17" t="str">
        <x:f>IF(G17="ADAY","Uzman kontrolü olmadan vergi kaydı oluşturmayın","")</x:f>
      </x:c>
    </x:row>
    <x:row r="18">
      <x:c r="A18" t="str">
        <x:f>IFERROR(INDEX(CHOOSECOLS(CARI_OZET!$A$5#,1),14),"")</x:f>
      </x:c>
      <x:c r="B18" s="78" t="str">
        <x:f>IF(A18="","",IFERROR(INDEX(CHOOSECOLS(CARI_OZET!$A$5#,3),14),0))</x:f>
      </x:c>
      <x:c r="C18" s="44"/>
      <x:c r="D18" s="44"/>
      <x:c r="E18" s="44"/>
      <x:c r="F18" s="56"/>
      <x:c r="G18" t="str">
        <x:f>IF(A18="","",IF(C18&lt;&gt;"Evet","KOŞUL SAĞLANMIYOR",IF(AND(OR(D18="Evet",E18="Evet"),F18=0),"ADAY",IF(AND(B18&lt;=AYARLAR!$B$10,E18="Evet",F18=0),"ADAY","KANIT EKSİK"))))</x:f>
      </x:c>
      <x:c r="H18" t="str">
        <x:f>IF(G18="ADAY","Uzman kontrolü olmadan vergi kaydı oluşturmayın","")</x:f>
      </x:c>
    </x:row>
    <x:row r="19">
      <x:c r="A19" t="str">
        <x:f>IFERROR(INDEX(CHOOSECOLS(CARI_OZET!$A$5#,1),15),"")</x:f>
      </x:c>
      <x:c r="B19" s="78" t="str">
        <x:f>IF(A19="","",IFERROR(INDEX(CHOOSECOLS(CARI_OZET!$A$5#,3),15),0))</x:f>
      </x:c>
      <x:c r="C19" s="44"/>
      <x:c r="D19" s="44"/>
      <x:c r="E19" s="44"/>
      <x:c r="F19" s="56"/>
      <x:c r="G19" t="str">
        <x:f>IF(A19="","",IF(C19&lt;&gt;"Evet","KOŞUL SAĞLANMIYOR",IF(AND(OR(D19="Evet",E19="Evet"),F19=0),"ADAY",IF(AND(B19&lt;=AYARLAR!$B$10,E19="Evet",F19=0),"ADAY","KANIT EKSİK"))))</x:f>
      </x:c>
      <x:c r="H19" t="str">
        <x:f>IF(G19="ADAY","Uzman kontrolü olmadan vergi kaydı oluşturmayın","")</x:f>
      </x:c>
    </x:row>
    <x:row r="20">
      <x:c r="A20" t="str">
        <x:f>IFERROR(INDEX(CHOOSECOLS(CARI_OZET!$A$5#,1),16),"")</x:f>
      </x:c>
      <x:c r="B20" s="78" t="str">
        <x:f>IF(A20="","",IFERROR(INDEX(CHOOSECOLS(CARI_OZET!$A$5#,3),16),0))</x:f>
      </x:c>
      <x:c r="C20" s="44"/>
      <x:c r="D20" s="44"/>
      <x:c r="E20" s="44"/>
      <x:c r="F20" s="56"/>
      <x:c r="G20" t="str">
        <x:f>IF(A20="","",IF(C20&lt;&gt;"Evet","KOŞUL SAĞLANMIYOR",IF(AND(OR(D20="Evet",E20="Evet"),F20=0),"ADAY",IF(AND(B20&lt;=AYARLAR!$B$10,E20="Evet",F20=0),"ADAY","KANIT EKSİK"))))</x:f>
      </x:c>
      <x:c r="H20" t="str">
        <x:f>IF(G20="ADAY","Uzman kontrolü olmadan vergi kaydı oluşturmayın","")</x:f>
      </x:c>
    </x:row>
    <x:row r="21">
      <x:c r="A21" t="str">
        <x:f>IFERROR(INDEX(CHOOSECOLS(CARI_OZET!$A$5#,1),17),"")</x:f>
      </x:c>
      <x:c r="B21" s="78" t="str">
        <x:f>IF(A21="","",IFERROR(INDEX(CHOOSECOLS(CARI_OZET!$A$5#,3),17),0))</x:f>
      </x:c>
      <x:c r="C21" s="44"/>
      <x:c r="D21" s="44"/>
      <x:c r="E21" s="44"/>
      <x:c r="F21" s="56"/>
      <x:c r="G21" t="str">
        <x:f>IF(A21="","",IF(C21&lt;&gt;"Evet","KOŞUL SAĞLANMIYOR",IF(AND(OR(D21="Evet",E21="Evet"),F21=0),"ADAY",IF(AND(B21&lt;=AYARLAR!$B$10,E21="Evet",F21=0),"ADAY","KANIT EKSİK"))))</x:f>
      </x:c>
      <x:c r="H21" t="str">
        <x:f>IF(G21="ADAY","Uzman kontrolü olmadan vergi kaydı oluşturmayın","")</x:f>
      </x:c>
    </x:row>
    <x:row r="22">
      <x:c r="A22" t="str">
        <x:f>IFERROR(INDEX(CHOOSECOLS(CARI_OZET!$A$5#,1),18),"")</x:f>
      </x:c>
      <x:c r="B22" s="78" t="str">
        <x:f>IF(A22="","",IFERROR(INDEX(CHOOSECOLS(CARI_OZET!$A$5#,3),18),0))</x:f>
      </x:c>
      <x:c r="C22" s="44"/>
      <x:c r="D22" s="44"/>
      <x:c r="E22" s="44"/>
      <x:c r="F22" s="56"/>
      <x:c r="G22" t="str">
        <x:f>IF(A22="","",IF(C22&lt;&gt;"Evet","KOŞUL SAĞLANMIYOR",IF(AND(OR(D22="Evet",E22="Evet"),F22=0),"ADAY",IF(AND(B22&lt;=AYARLAR!$B$10,E22="Evet",F22=0),"ADAY","KANIT EKSİK"))))</x:f>
      </x:c>
      <x:c r="H22" t="str">
        <x:f>IF(G22="ADAY","Uzman kontrolü olmadan vergi kaydı oluşturmayın","")</x:f>
      </x:c>
    </x:row>
    <x:row r="23">
      <x:c r="A23" t="str">
        <x:f>IFERROR(INDEX(CHOOSECOLS(CARI_OZET!$A$5#,1),19),"")</x:f>
      </x:c>
      <x:c r="B23" s="78" t="str">
        <x:f>IF(A23="","",IFERROR(INDEX(CHOOSECOLS(CARI_OZET!$A$5#,3),19),0))</x:f>
      </x:c>
      <x:c r="C23" s="44"/>
      <x:c r="D23" s="44"/>
      <x:c r="E23" s="44"/>
      <x:c r="F23" s="56"/>
      <x:c r="G23" t="str">
        <x:f>IF(A23="","",IF(C23&lt;&gt;"Evet","KOŞUL SAĞLANMIYOR",IF(AND(OR(D23="Evet",E23="Evet"),F23=0),"ADAY",IF(AND(B23&lt;=AYARLAR!$B$10,E23="Evet",F23=0),"ADAY","KANIT EKSİK"))))</x:f>
      </x:c>
      <x:c r="H23" t="str">
        <x:f>IF(G23="ADAY","Uzman kontrolü olmadan vergi kaydı oluşturmayın","")</x:f>
      </x:c>
    </x:row>
    <x:row r="24">
      <x:c r="A24" t="str">
        <x:f>IFERROR(INDEX(CHOOSECOLS(CARI_OZET!$A$5#,1),20),"")</x:f>
      </x:c>
      <x:c r="B24" s="78" t="str">
        <x:f>IF(A24="","",IFERROR(INDEX(CHOOSECOLS(CARI_OZET!$A$5#,3),20),0))</x:f>
      </x:c>
      <x:c r="C24" s="44"/>
      <x:c r="D24" s="44"/>
      <x:c r="E24" s="44"/>
      <x:c r="F24" s="56"/>
      <x:c r="G24" t="str">
        <x:f>IF(A24="","",IF(C24&lt;&gt;"Evet","KOŞUL SAĞLANMIYOR",IF(AND(OR(D24="Evet",E24="Evet"),F24=0),"ADAY",IF(AND(B24&lt;=AYARLAR!$B$10,E24="Evet",F24=0),"ADAY","KANIT EKSİK"))))</x:f>
      </x:c>
      <x:c r="H24" t="str">
        <x:f>IF(G24="ADAY","Uzman kontrolü olmadan vergi kaydı oluşturmayın","")</x:f>
      </x:c>
    </x:row>
  </x:sheetData>
  <x:mergeCells>
    <x:mergeCell ref="A1:H1"/>
    <x:mergeCell ref="A2:H2"/>
  </x:mergeCells>
  <x:dataValidations count="1">
    <x:dataValidation type="list" sqref="C5:E24">
      <x:formula1>"Evet,Hayır"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18" hidden="0" customWidth="1"/>
    <x:col min="4" max="4" width="18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</x:cols>
  <x:sheetData>
    <x:row r="1" ht="32" customHeight="1">
      <x:c r="A1" s="4" t="str">
        <x:v>TAHSİLAT AKSİYON KUYRUĞU</x:v>
      </x:c>
      <x:c r="B1" s="4"/>
      <x:c r="C1" s="4"/>
      <x:c r="D1" s="4"/>
      <x:c r="E1" s="4"/>
      <x:c r="F1" s="4"/>
      <x:c r="G1" s="4"/>
      <x:c r="H1" s="4"/>
    </x:row>
    <x:row r="2" ht="28" customHeight="1">
      <x:c r="A2" s="10" t="str">
        <x:v>Risk + gecikme + açık tutar skoruna göre ilk 20 açık kalem.</x:v>
      </x:c>
      <x:c r="B2" s="10"/>
      <x:c r="C2" s="10"/>
      <x:c r="D2" s="10"/>
      <x:c r="E2" s="10"/>
      <x:c r="F2" s="10"/>
      <x:c r="G2" s="10"/>
      <x:c r="H2" s="10"/>
    </x:row>
    <x:row r="4">
      <x:c r="A4" s="38" t="str">
        <x:v>Cari Kodu</x:v>
      </x:c>
      <x:c r="B4" s="38" t="str">
        <x:v>Cari Ünvanı</x:v>
      </x:c>
      <x:c r="C4" s="38" t="str">
        <x:v>Belge No</x:v>
      </x:c>
      <x:c r="D4" s="38" t="str">
        <x:v>Açık TL</x:v>
      </x:c>
      <x:c r="E4" s="38" t="str">
        <x:v>Gecikme Gün</x:v>
      </x:c>
      <x:c r="F4" s="38" t="str">
        <x:v>Risk</x:v>
      </x:c>
      <x:c r="G4" s="38" t="str">
        <x:v>Beklenen Tahsilat</x:v>
      </x:c>
      <x:c r="H4" s="38" t="str">
        <x:v>13H Hafta</x:v>
      </x:c>
    </x:row>
    <x:row r="5">
      <x:c r="A5" t="e">
        <x:f>LET(d,NORMALIZE!$A$5#,o,CHOOSECOLS(d,12),sc,CHOOSECOLS(d,21),f,_xlfn._xlws.FILTER(d,o&gt;0),fs,_xlfn._xlws.FILTER(sc,o&gt;0),s,SORTBY(f,fs,-1),TAKE(CHOOSECOLS(s,2,3,6,12,13,18,16,17),20))</x:f>
        <x:v>#NAME?</x:v>
      </x:c>
      <x:c r="D5" s="78"/>
      <x:c r="G5" s="76"/>
    </x:row>
    <x:row r="6">
      <x:c r="D6" s="78"/>
      <x:c r="G6" s="76"/>
    </x:row>
    <x:row r="7">
      <x:c r="D7" s="78"/>
      <x:c r="G7" s="76"/>
    </x:row>
    <x:row r="8">
      <x:c r="D8" s="78"/>
      <x:c r="G8" s="76"/>
    </x:row>
    <x:row r="9">
      <x:c r="D9" s="78"/>
      <x:c r="G9" s="76"/>
    </x:row>
    <x:row r="10">
      <x:c r="D10" s="78"/>
      <x:c r="G10" s="76"/>
    </x:row>
    <x:row r="11">
      <x:c r="D11" s="78"/>
      <x:c r="G11" s="76"/>
    </x:row>
    <x:row r="12">
      <x:c r="D12" s="78"/>
      <x:c r="G12" s="76"/>
    </x:row>
    <x:row r="13">
      <x:c r="D13" s="78"/>
      <x:c r="G13" s="76"/>
    </x:row>
    <x:row r="14">
      <x:c r="D14" s="78"/>
      <x:c r="G14" s="76"/>
    </x:row>
    <x:row r="15">
      <x:c r="D15" s="78"/>
      <x:c r="G15" s="76"/>
    </x:row>
    <x:row r="16">
      <x:c r="D16" s="78"/>
      <x:c r="G16" s="76"/>
    </x:row>
    <x:row r="17">
      <x:c r="D17" s="78"/>
      <x:c r="G17" s="76"/>
    </x:row>
    <x:row r="18">
      <x:c r="D18" s="78"/>
      <x:c r="G18" s="76"/>
    </x:row>
    <x:row r="19">
      <x:c r="D19" s="78"/>
      <x:c r="G19" s="76"/>
    </x:row>
    <x:row r="20">
      <x:c r="D20" s="78"/>
      <x:c r="G20" s="76"/>
    </x:row>
    <x:row r="21">
      <x:c r="D21" s="78"/>
      <x:c r="G21" s="76"/>
    </x:row>
    <x:row r="22">
      <x:c r="D22" s="78"/>
      <x:c r="G22" s="76"/>
    </x:row>
    <x:row r="23">
      <x:c r="D23" s="78"/>
      <x:c r="G23" s="76"/>
    </x:row>
    <x:row r="24">
      <x:c r="D24" s="78"/>
      <x:c r="G24" s="76"/>
    </x:row>
    <x:row r="25">
      <x:c r="D25" s="78"/>
      <x:c r="G25" s="76"/>
    </x:row>
    <x:row r="26">
      <x:c r="D26" s="78"/>
      <x:c r="G26" s="76"/>
    </x:row>
    <x:row r="27">
      <x:c r="D27" s="78"/>
      <x:c r="G27" s="76"/>
    </x:row>
    <x:row r="28">
      <x:c r="D28" s="78"/>
      <x:c r="G28" s="76"/>
    </x:row>
    <x:row r="29">
      <x:c r="D29" s="78"/>
      <x:c r="G29" s="76"/>
    </x:row>
    <x:row r="30">
      <x:c r="D30" s="78"/>
      <x:c r="G30" s="76"/>
    </x:row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0" hidden="0" customWidth="1"/>
    <x:col min="4" max="4" width="25" hidden="0" customWidth="1"/>
    <x:col min="5" max="5" width="20" hidden="0" customWidth="1"/>
  </x:cols>
  <x:sheetData>
    <x:row r="1" ht="32" customHeight="1">
      <x:c r="A1" s="4" t="str">
        <x:v>YÖNETİM PANOSU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8" customHeight="1">
      <x:c r="A2" s="10" t="str">
        <x:v>Açık alacak, yaşlanma, ekonomik gecikme ve 13 haftalık plan tek ekranda.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</x:row>
    <x:row r="4">
      <x:c r="A4" s="38" t="str">
        <x:v>KPI</x:v>
      </x:c>
      <x:c r="B4" s="38" t="str">
        <x:v>DEĞER</x:v>
      </x:c>
      <x:c r="D4" s="38" t="str">
        <x:v>KARAR GÖSTERGESİ</x:v>
      </x:c>
      <x:c r="E4" s="38" t="str">
        <x:v>DEĞER</x:v>
      </x:c>
    </x:row>
    <x:row r="5">
      <x:c r="A5" t="str">
        <x:v>Toplam Açık Alacak</x:v>
      </x:c>
      <x:c r="B5" s="78" t="e">
        <x:f>SUM(CHOOSECOLS(NORMALIZE!$A$5#,12))</x:f>
        <x:v>#VALUE!</x:v>
      </x:c>
      <x:c r="D5" t="str">
        <x:v>Yaşlandırma kontrolü</x:v>
      </x:c>
      <x:c r="E5" t="e">
        <x:f>KONTROLLER!B5</x:f>
        <x:v>#VALUE!</x:v>
      </x:c>
    </x:row>
    <x:row r="6">
      <x:c r="A6" t="str">
        <x:v>Vadesi Geçmiş</x:v>
      </x:c>
      <x:c r="B6" s="78" t="e">
        <x:f>SUM(_xlfn._xlws.FILTER(CHOOSECOLS(NORMALIZE!$A$5#,12),CHOOSECOLS(NORMALIZE!$A$5#,13)&gt;0,0))</x:f>
        <x:v>#VALUE!</x:v>
      </x:c>
      <x:c r="D6" t="str">
        <x:v>Veri kontrolü</x:v>
      </x:c>
      <x:c r="E6" t="str">
        <x:f>IF(COUNTIF(KONTROLLER!B5:B11,"KALDI")&gt;0,"KALDI","GEÇTİ")</x:f>
        <x:v>GEÇTİ</x:v>
      </x:c>
    </x:row>
    <x:row r="7">
      <x:c r="A7" t="str">
        <x:v>90+ Gün Açık</x:v>
      </x:c>
      <x:c r="B7" s="78" t="e">
        <x:f>SUM(_xlfn._xlws.FILTER(CHOOSECOLS(NORMALIZE!$A$5#,12),CHOOSECOLS(NORMALIZE!$A$5#,13)&gt;90,0))</x:f>
        <x:v>#VALUE!</x:v>
      </x:c>
      <x:c r="D7" t="str">
        <x:v>13H Planlanan Tahsilat</x:v>
      </x:c>
      <x:c r="E7" s="78" t="e">
        <x:f>TAHSILAT_13H!D19</x:f>
        <x:v>#VALUE!</x:v>
      </x:c>
    </x:row>
    <x:row r="8">
      <x:c r="A8" t="str">
        <x:v>Ekonomik Gecikme</x:v>
      </x:c>
      <x:c r="B8" s="78" t="e">
        <x:f>SUM(CHOOSECOLS(NORMALIZE!$A$5#,15))</x:f>
        <x:v>#VALUE!</x:v>
      </x:c>
    </x:row>
    <x:row r="9">
      <x:c r="A9" t="str">
        <x:v>Kritik Açık Kalem</x:v>
      </x:c>
      <x:c r="B9" t="e">
        <x:f>SUM(--(CHOOSECOLS(NORMALIZE!$A$5#,18)="KRİTİK")*--(CHOOSECOLS(NORMALIZE!$A$5#,12)&gt;0))</x:f>
        <x:v>#VALUE!</x:v>
      </x:c>
    </x:row>
    <x:row r="12">
      <x:c r="A12" s="38" t="str">
        <x:v>YAŞ KOVASI</x:v>
      </x:c>
      <x:c r="B12" s="38" t="str">
        <x:v>AÇIK TL</x:v>
      </x:c>
      <x:c r="D12" s="38" t="str">
        <x:v>HAFTA</x:v>
      </x:c>
      <x:c r="E12" s="38" t="str">
        <x:v>TAHSİLAT</x:v>
      </x:c>
    </x:row>
    <x:row r="13">
      <x:c r="A13" t="str">
        <x:v>Vadesi Gelmemiş</x:v>
      </x:c>
      <x:c r="B13" s="78" t="e">
        <x:f>YASLANDIRMA!B5</x:f>
        <x:v>#VALUE!</x:v>
      </x:c>
      <x:c r="D13" t="n">
        <x:v>1</x:v>
      </x:c>
      <x:c r="E13" s="78" t="e">
        <x:f>TAHSILAT_13H!D5</x:f>
        <x:v>#VALUE!</x:v>
      </x:c>
    </x:row>
    <x:row r="14">
      <x:c r="A14" t="str">
        <x:v>1-30</x:v>
      </x:c>
      <x:c r="B14" s="78" t="e">
        <x:f>YASLANDIRMA!B6</x:f>
        <x:v>#VALUE!</x:v>
      </x:c>
      <x:c r="D14" t="n">
        <x:v>2</x:v>
      </x:c>
      <x:c r="E14" s="78" t="e">
        <x:f>TAHSILAT_13H!D6</x:f>
        <x:v>#VALUE!</x:v>
      </x:c>
    </x:row>
    <x:row r="15">
      <x:c r="A15" t="str">
        <x:v>31-60</x:v>
      </x:c>
      <x:c r="B15" s="78" t="e">
        <x:f>YASLANDIRMA!B7</x:f>
        <x:v>#VALUE!</x:v>
      </x:c>
      <x:c r="D15" t="n">
        <x:v>3</x:v>
      </x:c>
      <x:c r="E15" s="78" t="e">
        <x:f>TAHSILAT_13H!D7</x:f>
        <x:v>#VALUE!</x:v>
      </x:c>
    </x:row>
    <x:row r="16">
      <x:c r="A16" t="str">
        <x:v>61-90</x:v>
      </x:c>
      <x:c r="B16" s="78" t="e">
        <x:f>YASLANDIRMA!B8</x:f>
        <x:v>#VALUE!</x:v>
      </x:c>
      <x:c r="D16" t="n">
        <x:v>4</x:v>
      </x:c>
      <x:c r="E16" s="78" t="e">
        <x:f>TAHSILAT_13H!D8</x:f>
        <x:v>#VALUE!</x:v>
      </x:c>
    </x:row>
    <x:row r="17">
      <x:c r="A17" t="str">
        <x:v>91-180</x:v>
      </x:c>
      <x:c r="B17" s="78" t="e">
        <x:f>YASLANDIRMA!B9</x:f>
        <x:v>#VALUE!</x:v>
      </x:c>
      <x:c r="D17" t="n">
        <x:v>5</x:v>
      </x:c>
      <x:c r="E17" s="78" t="e">
        <x:f>TAHSILAT_13H!D9</x:f>
        <x:v>#VALUE!</x:v>
      </x:c>
    </x:row>
    <x:row r="18">
      <x:c r="A18" t="str">
        <x:v>181-365</x:v>
      </x:c>
      <x:c r="B18" s="78" t="e">
        <x:f>YASLANDIRMA!B10</x:f>
        <x:v>#VALUE!</x:v>
      </x:c>
      <x:c r="D18" t="n">
        <x:v>6</x:v>
      </x:c>
      <x:c r="E18" s="78" t="e">
        <x:f>TAHSILAT_13H!D10</x:f>
        <x:v>#VALUE!</x:v>
      </x:c>
    </x:row>
    <x:row r="19">
      <x:c r="A19" t="str">
        <x:v>365+</x:v>
      </x:c>
      <x:c r="B19" s="78" t="e">
        <x:f>YASLANDIRMA!B11</x:f>
        <x:v>#VALUE!</x:v>
      </x:c>
      <x:c r="D19" t="n">
        <x:v>7</x:v>
      </x:c>
      <x:c r="E19" s="78" t="e">
        <x:f>TAHSILAT_13H!D11</x:f>
        <x:v>#VALUE!</x:v>
      </x:c>
    </x:row>
    <x:row r="20">
      <x:c r="D20" t="n">
        <x:v>8</x:v>
      </x:c>
      <x:c r="E20" s="78" t="e">
        <x:f>TAHSILAT_13H!D12</x:f>
        <x:v>#VALUE!</x:v>
      </x:c>
    </x:row>
    <x:row r="21">
      <x:c r="D21" t="n">
        <x:v>9</x:v>
      </x:c>
      <x:c r="E21" s="78" t="e">
        <x:f>TAHSILAT_13H!D13</x:f>
        <x:v>#VALUE!</x:v>
      </x:c>
    </x:row>
    <x:row r="22">
      <x:c r="D22" t="n">
        <x:v>10</x:v>
      </x:c>
      <x:c r="E22" s="78" t="e">
        <x:f>TAHSILAT_13H!D14</x:f>
        <x:v>#VALUE!</x:v>
      </x:c>
    </x:row>
    <x:row r="23">
      <x:c r="D23" t="n">
        <x:v>11</x:v>
      </x:c>
      <x:c r="E23" s="78" t="e">
        <x:f>TAHSILAT_13H!D15</x:f>
        <x:v>#VALUE!</x:v>
      </x:c>
    </x:row>
    <x:row r="24">
      <x:c r="D24" t="n">
        <x:v>12</x:v>
      </x:c>
      <x:c r="E24" s="78" t="e">
        <x:f>TAHSILAT_13H!D16</x:f>
        <x:v>#VALUE!</x:v>
      </x:c>
    </x:row>
    <x:row r="25">
      <x:c r="D25" t="n">
        <x:v>13</x:v>
      </x:c>
      <x:c r="E25" s="78" t="e">
        <x:f>TAHSILAT_13H!D17</x:f>
        <x:v>#VALUE!</x:v>
      </x:c>
    </x:row>
  </x:sheetData>
  <x:mergeCells>
    <x:mergeCell ref="A1:N1"/>
    <x:mergeCell ref="A2:N2"/>
  </x:mergeCells>
  <x:pageMargins left="0.7" right="0.7" top="0.75" bottom="0.75" header="0.3" footer="0.3"/>
  <x:drawing xmlns:r="http://schemas.openxmlformats.org/officeDocument/2006/relationships" r:id="Rdc3d67c3f85844a5"/>
</x:worksheet>
</file>

<file path=xl/worksheets/sheet1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4" hidden="0" customWidth="1"/>
    <x:col min="3" max="3" width="20" hidden="0" customWidth="1"/>
    <x:col min="4" max="4" width="24" hidden="0" customWidth="1"/>
  </x:cols>
  <x:sheetData>
    <x:row r="1" ht="32" customHeight="1">
      <x:c r="A1" s="4" t="str">
        <x:v>KONTROL &amp; MUTABAKAT KAPILARI</x:v>
      </x:c>
      <x:c r="B1" s="4"/>
      <x:c r="C1" s="4"/>
      <x:c r="D1" s="4"/>
      <x:c r="E1" s="4"/>
    </x:row>
    <x:row r="2" ht="28" customHeight="1">
      <x:c r="A2" s="10" t="str">
        <x:v>KALDI varsa rapor karar amaçlı kullanılmamalıdır.</x:v>
      </x:c>
      <x:c r="B2" s="10"/>
      <x:c r="C2" s="10"/>
      <x:c r="D2" s="10"/>
      <x:c r="E2" s="10"/>
    </x:row>
    <x:row r="4">
      <x:c r="A4" s="38" t="str">
        <x:v>KONTROL</x:v>
      </x:c>
      <x:c r="B4" s="38" t="str">
        <x:v>SONUÇ</x:v>
      </x:c>
      <x:c r="C4" s="38" t="str">
        <x:v>DEĞER</x:v>
      </x:c>
      <x:c r="D4" s="38" t="str">
        <x:v>KRİTER</x:v>
      </x:c>
    </x:row>
    <x:row r="5">
      <x:c r="A5" t="str">
        <x:v>Yaşlandırma = FIFO açık toplamı</x:v>
      </x:c>
      <x:c r="B5" t="e">
        <x:f>IF(ABS(C5)&lt;=0.01,"GEÇTİ","KALDI")</x:f>
        <x:v>#VALUE!</x:v>
      </x:c>
      <x:c r="C5" s="78" t="e">
        <x:f>YASLANDIRMA!B13-SUM(CHOOSECOLS(NORMALIZE!$A$5#,12))</x:f>
        <x:v>#VALUE!</x:v>
      </x:c>
      <x:c r="D5" t="str">
        <x:v>Fark ≤ 0,01 TL</x:v>
      </x:c>
    </x:row>
    <x:row r="6">
      <x:c r="A6" t="str">
        <x:v>FIFO = cari pozitif net bakiye</x:v>
      </x:c>
      <x:c r="B6" t="e">
        <x:f>IF(ABS(C6)&lt;=0.01,"GEÇTİ","KALDI")</x:f>
        <x:v>#VALUE!</x:v>
      </x:c>
      <x:c r="C6" s="78" t="e" cm="1">
        <x:f t="array" ref="C6">LET(raw,_xlfn._xlws.FILTER(LOGO_HAREKET_GIRIS!A5:M5004,LOGO_HAREKET_GIRIS!B5:B5004&lt;&gt;""),c,CHOOSECOLS(raw,2),dt,CHOOSECOLS(raw,4),
b,IF(dt&lt;=AYARLAR!$B$5,CHOOSECOLS(raw,8),0),a,IF(dt&lt;=AYARLAR!$B$5,CHOOSECOLS(raw,9),0),u,_xlfn.UNIQUE(c),
SUM(MAP(u,_xlfn.LAMBDA(x,MAX(0,SUM(_xlfn._xlws.FILTER(b,c=x,0))-SUM(_xlfn._xlws.FILTER(a,c=x,0))))))-SUM(CHOOSECOLS(NORMALIZE!$A$5#,12)))</x:f>
        <x:v>MAP is not implemented. array=[object Object], lambdaOrArray2=Error: #VALUE!, rest.length=0</x:v>
      </x:c>
      <x:c r="D6" t="str">
        <x:v>Fark ≤ 0,01 TL</x:v>
      </x:c>
    </x:row>
    <x:row r="7">
      <x:c r="A7" t="str">
        <x:v>Negatif açık kalem yok</x:v>
      </x:c>
      <x:c r="B7" t="e">
        <x:f>IF(C7=0,"GEÇTİ","KALDI")</x:f>
        <x:v>#VALUE!</x:v>
      </x:c>
      <x:c r="C7" t="e">
        <x:f>SUM(--(CHOOSECOLS(NORMALIZE!$A$5#,12)&lt;0))</x:f>
        <x:v>#VALUE!</x:v>
      </x:c>
      <x:c r="D7" t="str">
        <x:v>0 satır</x:v>
      </x:c>
    </x:row>
    <x:row r="8">
      <x:c r="A8" t="str">
        <x:v>Borç+alacak aynı satır değil</x:v>
      </x:c>
      <x:c r="B8" t="str">
        <x:f>IF(C8=0,"GEÇTİ","KALDI")</x:f>
        <x:v>GEÇTİ</x:v>
      </x:c>
      <x:c r="C8" t="n">
        <x:f>SUMPRODUCT(--(LOGO_HAREKET_GIRIS!H5:H5004&gt;0),--(LOGO_HAREKET_GIRIS!I5:I5004&gt;0))</x:f>
        <x:v>0</x:v>
      </x:c>
      <x:c r="D8" t="str">
        <x:v>0 satır</x:v>
      </x:c>
    </x:row>
    <x:row r="9">
      <x:c r="A9" t="str">
        <x:v>Zorunlu alan eksik değil</x:v>
      </x:c>
      <x:c r="B9" t="str">
        <x:f>IF(C9=0,"GEÇTİ","KALDI")</x:f>
        <x:v>GEÇTİ</x:v>
      </x:c>
      <x:c r="C9" t="n">
        <x:f>SUMPRODUCT(--((LOGO_HAREKET_GIRIS!H5:H5004+LOGO_HAREKET_GIRIS!I5:I5004)&gt;0),--(((LOGO_HAREKET_GIRIS!B5:B5004="")+(LOGO_HAREKET_GIRIS!D5:D5004=""))&gt;0))</x:f>
        <x:v>0</x:v>
      </x:c>
      <x:c r="D9" t="str">
        <x:v>0 satır</x:v>
      </x:c>
    </x:row>
    <x:row r="10">
      <x:c r="A10" t="str">
        <x:v>Girdi sırası doğru</x:v>
      </x:c>
      <x:c r="B10" t="str">
        <x:f>IF(C10=0,"GEÇTİ","KALDI")</x:f>
        <x:v>GEÇTİ</x:v>
      </x:c>
      <x:c r="C10" t="n">
        <x:f>LET(d,_xlfn._xlws.FILTER(LOGO_HAREKET_GIRIS!A5:M5004,LOGO_HAREKET_GIRIS!B5:B5004&lt;&gt;""),c,CHOOSECOLS(d,2),dt,CHOOSECOLS(d,4),sq,CHOOSECOLS(d,1),n,ROWS(d),
IF(n&lt;2,0,SUM(--(((DROP(c,1)&lt;TAKE(c,n-1))+((DROP(c,1)=TAKE(c,n-1))*(DROP(dt,1)&lt;TAKE(dt,n-1)))+((DROP(c,1)=TAKE(c,n-1))*(DROP(dt,1)=TAKE(dt,n-1))*(DROP(sq,1)&lt;TAKE(sq,n-1))))&gt;0))))</x:f>
        <x:v>0</x:v>
      </x:c>
      <x:c r="D10" t="str">
        <x:v>0 ihlal</x:v>
      </x:c>
    </x:row>
    <x:row r="11">
      <x:c r="A11" t="str">
        <x:v>Rapor tarihi dolu</x:v>
      </x:c>
      <x:c r="B11" t="str">
        <x:f>IF(ISNUMBER(AYARLAR!B5),"GEÇTİ","KALDI")</x:f>
        <x:v>GEÇTİ</x:v>
      </x:c>
      <x:c r="C11" s="76" t="n">
        <x:f>AYARLAR!B5</x:f>
        <x:v>46252</x:v>
      </x:c>
      <x:c r="D11" t="str">
        <x:v>Tarih mevcut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4" hidden="0" customWidth="1"/>
    <x:col min="3" max="3" width="18" hidden="0" customWidth="1"/>
    <x:col min="4" max="4" width="48" hidden="0" customWidth="1"/>
    <x:col min="6" max="6" width="22" hidden="0" customWidth="1"/>
    <x:col min="7" max="7" width="68" hidden="0" customWidth="1"/>
  </x:cols>
  <x:sheetData>
    <x:row r="1" ht="32" customHeight="1">
      <x:c r="A1" s="4" t="str">
        <x:v>KULLANIM &amp; VERİ SÖZLEŞMESİ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8" customHeight="1">
      <x:c r="A2" s="10" t="str">
        <x:v>Zorunlu alanlar, destek sınırları ve hata durumları.</x:v>
      </x:c>
      <x:c r="B2" s="10"/>
      <x:c r="C2" s="10"/>
      <x:c r="D2" s="10"/>
      <x:c r="E2" s="10"/>
      <x:c r="F2" s="10"/>
      <x:c r="G2" s="10"/>
      <x:c r="H2" s="10"/>
      <x:c r="I2" s="10"/>
      <x:c r="J2" s="10"/>
    </x:row>
    <x:row r="4">
      <x:c r="A4" s="87" t="str">
        <x:v>WINDOWS’A ÖZELDİR — macOS / Excel for Mac desteklenmez. Mac kullanıyorsanız bu dosyayı kullanmayın/satın almayın.</x:v>
      </x:c>
      <x:c r="B4" s="87"/>
      <x:c r="C4" s="87"/>
      <x:c r="D4" s="87"/>
      <x:c r="E4" s="87"/>
      <x:c r="F4" s="87"/>
      <x:c r="G4" s="87"/>
      <x:c r="H4" s="87"/>
      <x:c r="I4" s="87"/>
      <x:c r="J4" s="87"/>
    </x:row>
    <x:row r="5">
      <x:c r="A5" s="87"/>
      <x:c r="B5" s="87"/>
      <x:c r="C5" s="87"/>
      <x:c r="D5" s="87"/>
      <x:c r="E5" s="87"/>
      <x:c r="F5" s="87"/>
      <x:c r="G5" s="87"/>
      <x:c r="H5" s="87"/>
      <x:c r="I5" s="87"/>
      <x:c r="J5" s="87"/>
    </x:row>
    <x:row r="7">
      <x:c r="A7" s="38" t="str">
        <x:v>ALAN</x:v>
      </x:c>
      <x:c r="B7" s="38" t="str">
        <x:v>ZORUNLU</x:v>
      </x:c>
      <x:c r="C7" s="38" t="str">
        <x:v>FORMAT</x:v>
      </x:c>
      <x:c r="D7" s="38" t="str">
        <x:v>AÇIKLAMA</x:v>
      </x:c>
      <x:c r="F7" s="38" t="str">
        <x:v>KURAL / SINIR</x:v>
      </x:c>
      <x:c r="G7" s="38" t="str"/>
      <x:c r="H7" s="38" t="str"/>
      <x:c r="I7" s="38" t="str"/>
      <x:c r="J7" s="38" t="str"/>
    </x:row>
    <x:row r="8">
      <x:c r="A8" s="26" t="str">
        <x:v>Sıra No</x:v>
      </x:c>
      <x:c r="B8" s="26" t="str">
        <x:v>Evet</x:v>
      </x:c>
      <x:c r="C8" s="26" t="str">
        <x:v>Tam sayı</x:v>
      </x:c>
      <x:c r="D8" s="26" t="str">
        <x:v>Aynı tarihli hareketleri deterministik sıralar</x:v>
      </x:c>
      <x:c r="F8" s="26" t="str">
        <x:v>FIFO</x:v>
      </x:c>
      <x:c r="G8" s="26" t="str">
        <x:v>Gerçek kapama bilgisi yoksa aynı cari içindeki toplam tahsilat en eski borca dağıtılır</x:v>
      </x:c>
      <x:c r="H8" s="26" t="str"/>
      <x:c r="I8" s="26" t="str"/>
      <x:c r="J8" s="26" t="str"/>
    </x:row>
    <x:row r="9">
      <x:c r="A9" s="26" t="str">
        <x:v>Cari Kodu</x:v>
      </x:c>
      <x:c r="B9" s="26" t="str">
        <x:v>Evet</x:v>
      </x:c>
      <x:c r="C9" s="26" t="str">
        <x:v>Metin</x:v>
      </x:c>
      <x:c r="D9" s="26" t="str">
        <x:v>Logo cari hesap kodu</x:v>
      </x:c>
      <x:c r="F9" s="26" t="str">
        <x:v>Döviz</x:v>
      </x:c>
      <x:c r="G9" s="26" t="str">
        <x:v>Güncel kurla muhasebe değerlemesi yapılmaz</x:v>
      </x:c>
      <x:c r="H9" s="26" t="str"/>
      <x:c r="I9" s="26" t="str"/>
      <x:c r="J9" s="26" t="str"/>
    </x:row>
    <x:row r="10">
      <x:c r="A10" s="26" t="str">
        <x:v>Cari Ünvanı</x:v>
      </x:c>
      <x:c r="B10" s="26" t="str">
        <x:v>Önerilir</x:v>
      </x:c>
      <x:c r="C10" s="26" t="str">
        <x:v>Metin</x:v>
      </x:c>
      <x:c r="D10" s="26" t="str">
        <x:v>Rapor okunabilirliği</x:v>
      </x:c>
      <x:c r="F10" s="26" t="str">
        <x:v>13 hafta</x:v>
      </x:c>
      <x:c r="G10" s="26" t="str">
        <x:v>Tahmin değil planlama senaryosudur</x:v>
      </x:c>
      <x:c r="H10" s="26" t="str"/>
      <x:c r="I10" s="26" t="str"/>
      <x:c r="J10" s="26" t="str"/>
    </x:row>
    <x:row r="11">
      <x:c r="A11" s="26" t="str">
        <x:v>İşlem Tarihi</x:v>
      </x:c>
      <x:c r="B11" s="26" t="str">
        <x:v>Evet</x:v>
      </x:c>
      <x:c r="C11" s="26" t="str">
        <x:v>Excel tarihi</x:v>
      </x:c>
      <x:c r="D11" s="26" t="str">
        <x:v>Rapor tarihinden sonraki hareketler hesaba katılmaz</x:v>
      </x:c>
      <x:c r="F11" s="26" t="str">
        <x:v>Ekonomik kayıp</x:v>
      </x:c>
      <x:c r="G11" s="26" t="str">
        <x:v>Muhasebe/vergi kaydı değildir</x:v>
      </x:c>
      <x:c r="H11" s="26" t="str"/>
      <x:c r="I11" s="26" t="str"/>
      <x:c r="J11" s="26" t="str"/>
    </x:row>
    <x:row r="12">
      <x:c r="A12" s="26" t="str">
        <x:v>Vade Tarihi</x:v>
      </x:c>
      <x:c r="B12" s="26" t="str">
        <x:v>Borçta evet</x:v>
      </x:c>
      <x:c r="C12" s="26" t="str">
        <x:v>Excel tarihi</x:v>
      </x:c>
      <x:c r="D12" s="26" t="str">
        <x:v>Yaş kovası</x:v>
      </x:c>
      <x:c r="F12" s="26" t="str">
        <x:v>VUK 323</x:v>
      </x:c>
      <x:c r="G12" s="26" t="str">
        <x:v>Ön elektir; kesin karşılık kararı değildir</x:v>
      </x:c>
      <x:c r="H12" s="26" t="str"/>
      <x:c r="I12" s="26" t="str"/>
      <x:c r="J12" s="26" t="str"/>
    </x:row>
    <x:row r="13">
      <x:c r="A13" s="26" t="str">
        <x:v>Belge No</x:v>
      </x:c>
      <x:c r="B13" s="26" t="str">
        <x:v>Önerilir</x:v>
      </x:c>
      <x:c r="C13" s="26" t="str">
        <x:v>Metin</x:v>
      </x:c>
      <x:c r="D13" s="26" t="str">
        <x:v>Takip/kanıt</x:v>
      </x:c>
      <x:c r="F13" s="26" t="str">
        <x:v>Veri sırası</x:v>
      </x:c>
      <x:c r="G13" s="26" t="str">
        <x:v>Cari Kodu → İşlem Tarihi → Sıra No</x:v>
      </x:c>
      <x:c r="H13" s="26" t="str"/>
      <x:c r="I13" s="26" t="str"/>
      <x:c r="J13" s="26" t="str"/>
    </x:row>
    <x:row r="14">
      <x:c r="A14" s="26" t="str">
        <x:v>İşlem Türü</x:v>
      </x:c>
      <x:c r="B14" s="26" t="str">
        <x:v>Önerilir</x:v>
      </x:c>
      <x:c r="C14" s="26" t="str">
        <x:v>Metin</x:v>
      </x:c>
      <x:c r="D14" s="26" t="str">
        <x:v>Fatura/tahsilat/iade</x:v>
      </x:c>
      <x:c r="F14" s="26" t="str">
        <x:v>Logo bağlantısı</x:v>
      </x:c>
      <x:c r="G14" s="26" t="str">
        <x:v>SQL Server'a bağlanmaz; şifre saklamaz; Logo'ya yazmaz</x:v>
      </x:c>
      <x:c r="H14" s="26" t="str"/>
      <x:c r="I14" s="26" t="str"/>
      <x:c r="J14" s="26" t="str"/>
    </x:row>
    <x:row r="15">
      <x:c r="A15" s="26" t="str">
        <x:v>Borç TL</x:v>
      </x:c>
      <x:c r="B15" s="26" t="str">
        <x:v>Evet</x:v>
      </x:c>
      <x:c r="C15" s="26" t="str">
        <x:v>Pozitif sayı</x:v>
      </x:c>
      <x:c r="D15" s="26" t="str">
        <x:v>Borç hareketi</x:v>
      </x:c>
      <x:c r="F15" s="26" t="str">
        <x:v>Kapasite</x:v>
      </x:c>
      <x:c r="G15" s="26" t="str">
        <x:v>5000 hareket satırı; Microsoft 365 Windows dinamik dizi motoru</x:v>
      </x:c>
      <x:c r="H15" s="26" t="str"/>
      <x:c r="I15" s="26" t="str"/>
      <x:c r="J15" s="26" t="str"/>
    </x:row>
    <x:row r="16">
      <x:c r="A16" s="26" t="str">
        <x:v>Alacak TL</x:v>
      </x:c>
      <x:c r="B16" s="26" t="str">
        <x:v>Evet</x:v>
      </x:c>
      <x:c r="C16" s="26" t="str">
        <x:v>Pozitif sayı</x:v>
      </x:c>
      <x:c r="D16" s="26" t="str">
        <x:v>Tahsilat/alacak</x:v>
      </x:c>
    </x:row>
    <x:row r="17">
      <x:c r="A17" s="26" t="str">
        <x:v>Para Birimi</x:v>
      </x:c>
      <x:c r="B17" s="26" t="str">
        <x:v>Önerilir</x:v>
      </x:c>
      <x:c r="C17" s="26" t="str">
        <x:v>TRY/USD/EUR/GBP</x:v>
      </x:c>
      <x:c r="D17" s="26" t="str">
        <x:v>Döviz görünümü</x:v>
      </x:c>
    </x:row>
    <x:row r="18">
      <x:c r="A18" s="26" t="str">
        <x:v>Döviz Tutarı</x:v>
      </x:c>
      <x:c r="B18" s="26" t="str">
        <x:v>Dövizlide</x:v>
      </x:c>
      <x:c r="C18" s="26" t="str">
        <x:v>Sayı</x:v>
      </x:c>
      <x:c r="D18" s="26" t="str">
        <x:v>İşlem dövizi</x:v>
      </x:c>
    </x:row>
    <x:row r="19">
      <x:c r="A19" s="26" t="str">
        <x:v>İşlem Kuru</x:v>
      </x:c>
      <x:c r="B19" s="26" t="str">
        <x:v>Dövizlide</x:v>
      </x:c>
      <x:c r="C19" s="26" t="str">
        <x:v>Sayı</x:v>
      </x:c>
      <x:c r="D19" s="26" t="str">
        <x:v>Bilgi alanı; yeniden değerleme yapılmaz</x:v>
      </x:c>
    </x:row>
    <x:row r="20">
      <x:c r="A20" s="26" t="str">
        <x:v>Açıklama</x:v>
      </x:c>
      <x:c r="B20" s="26" t="str">
        <x:v>Hayır</x:v>
      </x:c>
      <x:c r="C20" s="26" t="str">
        <x:v>Metin</x:v>
      </x:c>
      <x:c r="D20" s="26" t="str">
        <x:v>Operasyon notu</x:v>
      </x:c>
    </x:row>
  </x:sheetData>
  <x:mergeCells>
    <x:mergeCell ref="A1:J1"/>
    <x:mergeCell ref="A2:J2"/>
    <x:mergeCell ref="A4:J5"/>
  </x:mergeCells>
  <x:pageMargins left="0.7" right="0.7" top="0.75" bottom="0.75" header="0.3" footer="0.3"/>
</x:worksheet>
</file>