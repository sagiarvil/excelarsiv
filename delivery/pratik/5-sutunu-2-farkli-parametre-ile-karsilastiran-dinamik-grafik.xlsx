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FCA7931E-2A3B-4B7F-A3E6-28FA680EFC7B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AnaSayfa" sheetId="1" ns6:id="rId2"/>
    <ns0:sheet name="Rapor" sheetId="3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A6" i="3" l="1"/>
  <c r="A7" i="3"/>
  <c r="A8" i="3"/>
  <c r="A9" i="3"/>
  <c r="A5" i="3"/>
  <c r="C4" i="3"/>
  <c r="B4" i="3"/>
  <c r="B9" i="3" l="1"/>
  <c r="C8" i="3"/>
  <c r="B5" i="3"/>
  <c r="B7" i="3"/>
  <c r="B8" i="3"/>
  <c r="B6" i="3"/>
  <c r="C5" i="3"/>
  <c r="C7" i="3"/>
  <c r="C9" i="3"/>
  <c r="C6" i="3"/>
</calcChain>
</file>

<file path=xl/sharedStrings.xml><?xml version="1.0" encoding="utf-8"?>
<sst xmlns="http://schemas.openxmlformats.org/spreadsheetml/2006/main" count="70" uniqueCount="55">
  <si>
    <t>O</t>
  </si>
  <si>
    <t>G</t>
  </si>
  <si>
    <t>B</t>
  </si>
  <si>
    <t>M</t>
  </si>
  <si>
    <t>A</t>
  </si>
  <si>
    <t>Y</t>
  </si>
  <si>
    <t>AV</t>
  </si>
  <si>
    <t>P</t>
  </si>
  <si>
    <t>Takım Adı</t>
  </si>
  <si>
    <t>Galibiyet</t>
  </si>
  <si>
    <t>Beraberlik</t>
  </si>
  <si>
    <t>Mağlubiyet</t>
  </si>
  <si>
    <t>Attığı Gol</t>
  </si>
  <si>
    <t>Yediği Gol</t>
  </si>
  <si>
    <t>Puan</t>
  </si>
  <si>
    <t>Averaj</t>
  </si>
  <si>
    <t>Oynanan Maç Sayısı</t>
  </si>
  <si>
    <t>Fenerbahçe</t>
  </si>
  <si>
    <t>Galatasaray</t>
  </si>
  <si>
    <t>Beşiktaş</t>
  </si>
  <si>
    <t>Trabzonspor</t>
  </si>
  <si>
    <t>Gaziantep</t>
  </si>
  <si>
    <t>Fatih</t>
  </si>
  <si>
    <t>Göztepe</t>
  </si>
  <si>
    <t>Kasımpaşa</t>
  </si>
  <si>
    <t>Çaykur</t>
  </si>
  <si>
    <t>Gençlerbirliği</t>
  </si>
  <si>
    <t>Aytemiz Alanyaspor</t>
  </si>
  <si>
    <t>Atakaş Hatayspor</t>
  </si>
  <si>
    <t>Fraport-Tav Antalyaspor</t>
  </si>
  <si>
    <t>Yeni Malatyaspor</t>
  </si>
  <si>
    <t>Demir Grup Sivasspor</t>
  </si>
  <si>
    <t>İttifak Holding Konyaspor</t>
  </si>
  <si>
    <t>Medipol Başakşehir Fk</t>
  </si>
  <si>
    <t>Hes Kablo Kayserispor</t>
  </si>
  <si>
    <t>Büyükşehir Belediye Erzurumspor</t>
  </si>
  <si>
    <t>Mke Ankaragücü</t>
  </si>
  <si>
    <t>Yukatel Denizlispor</t>
  </si>
  <si>
    <t>Takım</t>
  </si>
  <si>
    <t>Karşılaştırma Başlığı 1</t>
  </si>
  <si>
    <t>Karşılaştırma Başlığı 2</t>
  </si>
  <si>
    <t>SÜPERLİG 2020-2021 22. HAFTA ANALİZİ</t>
  </si>
  <si>
    <t>Takım Seçiniz 1</t>
  </si>
  <si>
    <t>Takım Seçiniz 2</t>
  </si>
  <si>
    <t>Takım Seçiniz 3</t>
  </si>
  <si>
    <t>Takım Seçiniz 4</t>
  </si>
  <si>
    <t>Takım Seçiniz 5</t>
  </si>
  <si>
    <t>RAPOR EKRANI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</si>
  <si>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</si>
  <si>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</si>
  <si>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</si>
  <si>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</si>
  <si>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</si>
  <si>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Neue Haas Grotesk Text Proalibr"/>
        <family val="2"/>
        <scheme val="minor"/>
      </rPr>
      <t>Kullanıcı Kılavuzunu in</t>
    </r>
    <r>
      <rPr>
        <sz val="11"/>
        <color theme="1"/>
        <rFont val="Neue Haas Grotesk Text Proalibr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</si>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</sst>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Neue Haas Grotesk Text Proalibr"/>
      <family val="2"/>
      <scheme val="minor"/>
    </font>
    <font>
      <sz val="11"/>
      <color theme="1"/>
      <name val="Neue Haas Grotesk Text Proalibr"/>
      <family val="2"/>
      <charset val="162"/>
      <scheme val="minor"/>
    </font>
    <font>
      <b/>
      <sz val="28"/>
      <color theme="0"/>
      <name val="Neue Haas Grotesk Text Proalibr"/>
      <charset val="162"/>
      <scheme val="minor"/>
    </font>
    <font>
      <b/>
      <sz val="11"/>
      <color theme="0"/>
      <name val="Neue Haas Grotesk Text Proalibr"/>
      <charset val="162"/>
      <scheme val="minor"/>
    </font>
    <font>
      <sz val="8"/>
      <name val="Neue Haas Grotesk Text Proalibr"/>
      <family val="2"/>
      <scheme val="minor"/>
    </font>
    <font>
      <b/>
      <sz val="11"/>
      <name val="Neue Haas Grotesk Text Proalibr"/>
      <charset val="162"/>
      <scheme val="minor"/>
    </font>
    <font>
      <b/>
      <sz val="11"/>
      <color theme="7" tint="-0.499984740745262"/>
      <name val="Neue Haas Grotesk Text Proalibr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Neue Haas Grotesk Text Proalibr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Neue Haas Grotesk Text Proalibr"/>
      <family val="2"/>
      <scheme val="minor"/>
    </font>
    <font>
      <u/>
      <sz val="11"/>
      <color theme="10"/>
      <name val="Neue Haas Grotesk Text Proalibr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quotePrefix="1"/>
    <xf numFmtId="0" fontId="6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8" fillId="6" borderId="0" xfId="2" applyFont="1" applyFill="1" applyAlignment="1">
      <alignment horizontal="left" vertical="center" wrapText="1"/>
    </xf>
    <xf numFmtId="0" fontId="8" fillId="6" borderId="0" xfId="2" applyFont="1" applyFill="1" applyAlignment="1">
      <alignment horizontal="left" vertical="center"/>
    </xf>
    <xf numFmtId="0" fontId="9" fillId="6" borderId="2" xfId="2" applyFont="1" applyFill="1" applyBorder="1" applyAlignment="1">
      <alignment horizontal="left" vertical="center" wrapText="1" indent="1"/>
    </xf>
    <xf numFmtId="0" fontId="9" fillId="6" borderId="0" xfId="2" applyFont="1" applyFill="1" applyAlignment="1">
      <alignment horizontal="left" vertical="center" wrapText="1" indent="1"/>
    </xf>
    <xf numFmtId="0" fontId="9" fillId="6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5" borderId="0" xfId="2" applyFill="1" applyAlignment="1">
      <alignment horizontal="left" vertical="center"/>
    </xf>
    <xf numFmtId="0" fontId="1" fillId="5" borderId="0" xfId="2" applyFill="1" applyAlignment="1">
      <alignment horizontal="left" vertical="top"/>
    </xf>
    <xf numFmtId="0" fontId="10" fillId="5" borderId="3" xfId="2" applyFont="1" applyFill="1" applyBorder="1" applyAlignment="1">
      <alignment vertical="top"/>
    </xf>
    <xf numFmtId="0" fontId="1" fillId="5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1" fillId="5" borderId="0" xfId="3" applyFill="1" applyAlignment="1">
      <alignment horizontal="left" vertical="center"/>
    </xf>
    <xf numFmtId="0" fontId="1" fillId="5" borderId="0" xfId="2" applyFill="1" applyAlignment="1">
      <alignment vertical="center" wrapText="1"/>
    </xf>
    <xf numFmtId="0" fontId="1" fillId="5" borderId="0" xfId="2" applyFill="1" applyAlignment="1">
      <alignment vertical="top" wrapText="1"/>
    </xf>
    <xf numFmtId="0" fontId="1" fillId="5" borderId="0" xfId="2" applyFill="1"/>
    <xf numFmtId="0" fontId="1" fillId="5" borderId="0" xfId="2" applyFill="1" applyAlignment="1">
      <alignment horizontal="left" vertical="top" wrapText="1"/>
    </xf>
    <xf numFmtId="0" fontId="0" fillId="5" borderId="0" xfId="2" applyFont="1" applyFill="1" applyAlignment="1">
      <alignment horizontal="left" vertical="top" wrapText="1"/>
    </xf>
    <xf numFmtId="0" fontId="1" fillId="0" borderId="0" xfId="2"/>
    <xf numFmtId="0" fontId="1" fillId="5" borderId="0" xfId="2" applyFill="1" applyAlignment="1">
      <alignment horizontal="left" vertical="center" wrapText="1"/>
    </xf>
  </cellXfs>
  <cellStyles count="4">
    <cellStyle name="Köprü 2" xfId="3" xr:uid="{CCF5FE50-721C-4ADA-AB6E-D94EFA61C986}"/>
    <cellStyle name="Normal" xfId="0" builtinId="0"/>
    <cellStyle name="Normal 2" xfId="1" xr:uid="{9055D357-63E9-42F3-A558-D8A2FD6A86B7}"/>
    <cellStyle name="Normal 2 2" xfId="2" xr:uid="{63EB0F27-D876-4D41-88C8-5BFF4FE4F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Rapor!$B$4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Rapor!$A$5:$A$9</c:f>
              <c:strCache>
                <c:ptCount val="5"/>
                <c:pt idx="0">
                  <c:v>Mke Ankaragücü</c:v>
                </c:pt>
                <c:pt idx="1">
                  <c:v>İttifak Holding Konyaspor</c:v>
                </c:pt>
                <c:pt idx="2">
                  <c:v>Göztepe</c:v>
                </c:pt>
                <c:pt idx="3">
                  <c:v>Çaykur</c:v>
                </c:pt>
                <c:pt idx="4">
                  <c:v>Fenerbahçe</c:v>
                </c:pt>
              </c:strCache>
            </c:strRef>
          </c:cat>
          <c:val>
            <c:numRef>
              <c:f>Rapor!$B$5:$B$9</c:f>
              <c:numCache>
                <c:formatCode>General</c:formatCode>
                <c:ptCount val="5"/>
                <c:pt idx="0">
                  <c:v>35</c:v>
                </c:pt>
                <c:pt idx="1">
                  <c:v>27</c:v>
                </c:pt>
                <c:pt idx="2">
                  <c:v>28</c:v>
                </c:pt>
                <c:pt idx="3">
                  <c:v>37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5-47CF-9E9B-4545CF52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8531224"/>
        <c:axId val="528531552"/>
      </c:barChart>
      <c:lineChart>
        <c:grouping val="standard"/>
        <c:varyColors val="0"/>
        <c:ser>
          <c:idx val="1"/>
          <c:order val="1"/>
          <c:tx>
            <c:strRef>
              <c:f>Rapor!$C$4</c:f>
              <c:strCache>
                <c:ptCount val="1"/>
                <c:pt idx="0">
                  <c:v>AV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Rapor!$A$5:$A$9</c:f>
              <c:strCache>
                <c:ptCount val="5"/>
                <c:pt idx="0">
                  <c:v>Mke Ankaragücü</c:v>
                </c:pt>
                <c:pt idx="1">
                  <c:v>İttifak Holding Konyaspor</c:v>
                </c:pt>
                <c:pt idx="2">
                  <c:v>Göztepe</c:v>
                </c:pt>
                <c:pt idx="3">
                  <c:v>Çaykur</c:v>
                </c:pt>
                <c:pt idx="4">
                  <c:v>Fenerbahçe</c:v>
                </c:pt>
              </c:strCache>
            </c:strRef>
          </c:cat>
          <c:val>
            <c:numRef>
              <c:f>Rapor!$C$5:$C$9</c:f>
              <c:numCache>
                <c:formatCode>General</c:formatCode>
                <c:ptCount val="5"/>
                <c:pt idx="0">
                  <c:v>-10</c:v>
                </c:pt>
                <c:pt idx="1">
                  <c:v>0</c:v>
                </c:pt>
                <c:pt idx="2">
                  <c:v>4</c:v>
                </c:pt>
                <c:pt idx="3">
                  <c:v>-9</c:v>
                </c:pt>
                <c:pt idx="4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F5-47CF-9E9B-4545CF52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31224"/>
        <c:axId val="528531552"/>
      </c:lineChart>
      <c:catAx>
        <c:axId val="52853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31552"/>
        <c:crosses val="autoZero"/>
        <c:auto val="1"/>
        <c:lblAlgn val="ctr"/>
        <c:lblOffset val="100"/>
        <c:noMultiLvlLbl val="0"/>
      </c:catAx>
      <c:valAx>
        <c:axId val="52853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53122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459442</xdr:colOff>
      <xdr:row>3</xdr:row>
      <xdr:rowOff>157655</xdr:rowOff>
    </xdr:from>
    <xdr:to>
      <xdr:col>14</xdr:col>
      <xdr:colOff>615461</xdr:colOff>
      <xdr:row>10</xdr:row>
      <xdr:rowOff>144517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E60DEB48-F5E4-4D19-9A1C-228B16B09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375189</xdr:colOff>
      <xdr:row>2</xdr:row>
      <xdr:rowOff>266043</xdr:rowOff>
    </xdr:from>
    <xdr:to>
      <xdr:col>11</xdr:col>
      <xdr:colOff>53310</xdr:colOff>
      <xdr:row>2</xdr:row>
      <xdr:rowOff>266043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7E243FD4-BAAE-4553-8877-28014E8B328B}"/>
            </a:ext>
          </a:extLst>
        </xdr:cNvPr>
        <xdr:cNvCxnSpPr/>
      </xdr:nvCxnSpPr>
      <xdr:spPr>
        <a:xfrm>
          <a:off x="10002766" y="998735"/>
          <a:ext cx="366852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204395</xdr:colOff>
      <xdr:row>2</xdr:row>
      <xdr:rowOff>151086</xdr:rowOff>
    </xdr:from>
    <xdr:to>
      <xdr:col>12</xdr:col>
      <xdr:colOff>636937</xdr:colOff>
      <xdr:row>2</xdr:row>
      <xdr:rowOff>381000</xdr:rowOff>
    </xdr:to>
    <xdr:sp macro="" textlink="$F$4">
      <xdr:nvSpPr>
        <xdr:cNvPr id="11" name="Metin kutusu 10">
          <a:extLst>
            <a:ext uri="{FF2B5EF4-FFF2-40B4-BE49-F238E27FC236}">
              <a16:creationId xmlns:a16="http://schemas.microsoft.com/office/drawing/2014/main" id="{11563C1F-F119-4749-B1EF-302CD2150893}"/>
            </a:ext>
          </a:extLst>
        </xdr:cNvPr>
        <xdr:cNvSpPr txBox="1"/>
      </xdr:nvSpPr>
      <xdr:spPr>
        <a:xfrm>
          <a:off x="10520703" y="883778"/>
          <a:ext cx="1121272" cy="229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72245F-59AF-4B8D-AC29-A3248F21E48C}" type="TxLink">
            <a:rPr lang="en-US" sz="1100" b="1" i="0" u="none" strike="noStrike">
              <a:solidFill>
                <a:srgbClr val="000000"/>
              </a:solidFill>
              <a:latin typeface="Neue Haas Grotesk Text Proalibr"/>
            </a:rPr>
            <a:pPr/>
            <a:t>Averaj</a:t>
          </a:fld>
          <a:endParaRPr lang="en-US" sz="1100"/>
        </a:p>
      </xdr:txBody>
    </xdr:sp>
    <xdr:clientData/>
  </xdr:twoCellAnchor>
  <xdr:twoCellAnchor>
    <xdr:from>
      <xdr:col>8</xdr:col>
      <xdr:colOff>434564</xdr:colOff>
      <xdr:row>2</xdr:row>
      <xdr:rowOff>197069</xdr:rowOff>
    </xdr:from>
    <xdr:to>
      <xdr:col>8</xdr:col>
      <xdr:colOff>572512</xdr:colOff>
      <xdr:row>2</xdr:row>
      <xdr:rowOff>335017</xdr:rowOff>
    </xdr:to>
    <xdr:sp macro="" textlink="">
      <xdr:nvSpPr>
        <xdr:cNvPr id="12" name="Dikdörtgen 11">
          <a:extLst>
            <a:ext uri="{FF2B5EF4-FFF2-40B4-BE49-F238E27FC236}">
              <a16:creationId xmlns:a16="http://schemas.microsoft.com/office/drawing/2014/main" id="{6FD03755-3445-4A4C-92CE-71B8A125912D}"/>
            </a:ext>
          </a:extLst>
        </xdr:cNvPr>
        <xdr:cNvSpPr/>
      </xdr:nvSpPr>
      <xdr:spPr>
        <a:xfrm>
          <a:off x="8069218" y="929761"/>
          <a:ext cx="137948" cy="137948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730165</xdr:colOff>
      <xdr:row>2</xdr:row>
      <xdr:rowOff>151086</xdr:rowOff>
    </xdr:from>
    <xdr:to>
      <xdr:col>9</xdr:col>
      <xdr:colOff>533854</xdr:colOff>
      <xdr:row>2</xdr:row>
      <xdr:rowOff>381000</xdr:rowOff>
    </xdr:to>
    <xdr:sp macro="" textlink="$E$4">
      <xdr:nvSpPr>
        <xdr:cNvPr id="13" name="Metin kutusu 12">
          <a:extLst>
            <a:ext uri="{FF2B5EF4-FFF2-40B4-BE49-F238E27FC236}">
              <a16:creationId xmlns:a16="http://schemas.microsoft.com/office/drawing/2014/main" id="{0BC4CAC4-8B84-4F7B-8793-0F1E99CD3C92}"/>
            </a:ext>
          </a:extLst>
        </xdr:cNvPr>
        <xdr:cNvSpPr txBox="1"/>
      </xdr:nvSpPr>
      <xdr:spPr>
        <a:xfrm>
          <a:off x="8364819" y="883778"/>
          <a:ext cx="1107881" cy="229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FEB5555-9ACB-48C9-9909-56FFBBB4FF83}" type="TxLink">
            <a:rPr lang="en-US" sz="1100" b="1" i="0" u="none" strike="noStrike">
              <a:solidFill>
                <a:srgbClr val="000000"/>
              </a:solidFill>
              <a:latin typeface="Neue Haas Grotesk Text Proalibr"/>
            </a:rPr>
            <a:pPr/>
            <a:t>Yediği Gol</a:t>
          </a:fld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Salih2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GiyiMood">
      <a:majorFont>
        <a:latin typeface="Neue Haas Grotesk Text Pro"/>
        <a:ea typeface=""/>
        <a:cs typeface=""/>
      </a:majorFont>
      <a:minorFont>
        <a:latin typeface="Neue Haas Grotesk Text Pro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N24"/>
  <sheetViews>
    <sheetView showGridLines="0" zoomScale="130" zoomScaleNormal="130" workbookViewId="0">
      <selection activeCell="A18" sqref="A18"/>
    </sheetView>
  </sheetViews>
  <sheetFormatPr defaultRowHeight="13.8"/>
  <cols>
    <col min="1" max="1" width="37.19921875" customWidth="1"/>
    <col min="2" max="9" width="8.8984375" customWidth="1"/>
    <col min="10" max="12" width="3" customWidth="1"/>
    <col min="13" max="13" width="18" bestFit="1" customWidth="1"/>
    <col min="14" max="14" width="6.69921875" customWidth="1"/>
    <col min="15" max="15" width="3.19921875" bestFit="1" customWidth="1"/>
  </cols>
  <sheetData>
    <row r="1" spans="1:14" ht="57" customHeight="1">
      <c r="A1" s="11" t="s">
        <v>41</v>
      </c>
      <c r="B1" s="11"/>
      <c r="C1" s="11"/>
      <c r="D1" s="11"/>
      <c r="E1" s="11"/>
      <c r="F1" s="11"/>
      <c r="G1" s="11"/>
      <c r="H1" s="11"/>
      <c r="I1" s="11"/>
    </row>
    <row r="2" spans="1:14">
      <c r="C2" s="2"/>
      <c r="D2" s="2"/>
      <c r="E2" s="2"/>
      <c r="F2" s="2"/>
      <c r="G2" s="2"/>
      <c r="H2" s="2"/>
      <c r="I2" s="2"/>
    </row>
    <row r="3" spans="1:14" ht="36.75" customHeight="1">
      <c r="A3" s="3" t="s">
        <v>8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1:14">
      <c r="A4" s="1" t="s">
        <v>17</v>
      </c>
      <c r="B4" s="4">
        <v>22</v>
      </c>
      <c r="C4" s="4">
        <v>15</v>
      </c>
      <c r="D4" s="4">
        <v>3</v>
      </c>
      <c r="E4" s="4">
        <v>4</v>
      </c>
      <c r="F4" s="4">
        <v>45</v>
      </c>
      <c r="G4" s="4">
        <v>24</v>
      </c>
      <c r="H4" s="4">
        <v>21</v>
      </c>
      <c r="I4" s="4">
        <v>48</v>
      </c>
      <c r="M4" s="5" t="s">
        <v>16</v>
      </c>
      <c r="N4" s="4" t="s">
        <v>0</v>
      </c>
    </row>
    <row r="5" spans="1:14">
      <c r="A5" s="1" t="s">
        <v>18</v>
      </c>
      <c r="B5" s="4">
        <v>22</v>
      </c>
      <c r="C5" s="4">
        <v>14</v>
      </c>
      <c r="D5" s="4">
        <v>3</v>
      </c>
      <c r="E5" s="4">
        <v>5</v>
      </c>
      <c r="F5" s="4">
        <v>46</v>
      </c>
      <c r="G5" s="4">
        <v>18</v>
      </c>
      <c r="H5" s="4">
        <v>28</v>
      </c>
      <c r="I5" s="4">
        <v>45</v>
      </c>
      <c r="M5" s="5" t="s">
        <v>9</v>
      </c>
      <c r="N5" s="4" t="s">
        <v>1</v>
      </c>
    </row>
    <row r="6" spans="1:14">
      <c r="A6" s="1" t="s">
        <v>19</v>
      </c>
      <c r="B6" s="4">
        <v>22</v>
      </c>
      <c r="C6" s="4">
        <v>14</v>
      </c>
      <c r="D6" s="4">
        <v>3</v>
      </c>
      <c r="E6" s="4">
        <v>5</v>
      </c>
      <c r="F6" s="4">
        <v>49</v>
      </c>
      <c r="G6" s="4">
        <v>26</v>
      </c>
      <c r="H6" s="4">
        <v>23</v>
      </c>
      <c r="I6" s="4">
        <v>45</v>
      </c>
      <c r="M6" s="5" t="s">
        <v>10</v>
      </c>
      <c r="N6" s="4" t="s">
        <v>2</v>
      </c>
    </row>
    <row r="7" spans="1:14">
      <c r="A7" s="1" t="s">
        <v>20</v>
      </c>
      <c r="B7" s="4">
        <v>22</v>
      </c>
      <c r="C7" s="4">
        <v>11</v>
      </c>
      <c r="D7" s="4">
        <v>6</v>
      </c>
      <c r="E7" s="4">
        <v>5</v>
      </c>
      <c r="F7" s="4">
        <v>28</v>
      </c>
      <c r="G7" s="4">
        <v>24</v>
      </c>
      <c r="H7" s="4">
        <v>4</v>
      </c>
      <c r="I7" s="4">
        <v>39</v>
      </c>
      <c r="M7" s="5" t="s">
        <v>11</v>
      </c>
      <c r="N7" s="4" t="s">
        <v>3</v>
      </c>
    </row>
    <row r="8" spans="1:14">
      <c r="A8" s="1" t="s">
        <v>27</v>
      </c>
      <c r="B8" s="4">
        <v>22</v>
      </c>
      <c r="C8" s="4">
        <v>11</v>
      </c>
      <c r="D8" s="4">
        <v>5</v>
      </c>
      <c r="E8" s="4">
        <v>6</v>
      </c>
      <c r="F8" s="4">
        <v>38</v>
      </c>
      <c r="G8" s="4">
        <v>22</v>
      </c>
      <c r="H8" s="4">
        <v>16</v>
      </c>
      <c r="I8" s="4">
        <v>38</v>
      </c>
      <c r="M8" s="5" t="s">
        <v>12</v>
      </c>
      <c r="N8" s="4" t="s">
        <v>4</v>
      </c>
    </row>
    <row r="9" spans="1:14">
      <c r="A9" s="1" t="s">
        <v>28</v>
      </c>
      <c r="B9" s="4">
        <v>22</v>
      </c>
      <c r="C9" s="4">
        <v>10</v>
      </c>
      <c r="D9" s="4">
        <v>5</v>
      </c>
      <c r="E9" s="4">
        <v>7</v>
      </c>
      <c r="F9" s="4">
        <v>35</v>
      </c>
      <c r="G9" s="4">
        <v>28</v>
      </c>
      <c r="H9" s="4">
        <v>7</v>
      </c>
      <c r="I9" s="4">
        <v>35</v>
      </c>
      <c r="M9" s="5" t="s">
        <v>13</v>
      </c>
      <c r="N9" s="4" t="s">
        <v>5</v>
      </c>
    </row>
    <row r="10" spans="1:14">
      <c r="A10" s="1" t="s">
        <v>21</v>
      </c>
      <c r="B10" s="4">
        <v>22</v>
      </c>
      <c r="C10" s="4">
        <v>9</v>
      </c>
      <c r="D10" s="4">
        <v>8</v>
      </c>
      <c r="E10" s="4">
        <v>5</v>
      </c>
      <c r="F10" s="4">
        <v>35</v>
      </c>
      <c r="G10" s="4">
        <v>28</v>
      </c>
      <c r="H10" s="4">
        <v>7</v>
      </c>
      <c r="I10" s="4">
        <v>35</v>
      </c>
      <c r="M10" s="5" t="s">
        <v>15</v>
      </c>
      <c r="N10" s="4" t="s">
        <v>6</v>
      </c>
    </row>
    <row r="11" spans="1:14">
      <c r="A11" s="1" t="s">
        <v>22</v>
      </c>
      <c r="B11" s="4">
        <v>22</v>
      </c>
      <c r="C11" s="4">
        <v>9</v>
      </c>
      <c r="D11" s="4">
        <v>7</v>
      </c>
      <c r="E11" s="4">
        <v>6</v>
      </c>
      <c r="F11" s="4">
        <v>35</v>
      </c>
      <c r="G11" s="4">
        <v>29</v>
      </c>
      <c r="H11" s="4">
        <v>6</v>
      </c>
      <c r="I11" s="4">
        <v>34</v>
      </c>
      <c r="M11" s="5" t="s">
        <v>14</v>
      </c>
      <c r="N11" s="4" t="s">
        <v>7</v>
      </c>
    </row>
    <row r="12" spans="1:14">
      <c r="A12" s="1" t="s">
        <v>29</v>
      </c>
      <c r="B12" s="4">
        <v>22</v>
      </c>
      <c r="C12" s="4">
        <v>7</v>
      </c>
      <c r="D12" s="4">
        <v>9</v>
      </c>
      <c r="E12" s="4">
        <v>6</v>
      </c>
      <c r="F12" s="4">
        <v>22</v>
      </c>
      <c r="G12" s="4">
        <v>27</v>
      </c>
      <c r="H12" s="4">
        <v>-5</v>
      </c>
      <c r="I12" s="4">
        <v>30</v>
      </c>
    </row>
    <row r="13" spans="1:14">
      <c r="A13" s="1" t="s">
        <v>30</v>
      </c>
      <c r="B13" s="4">
        <v>22</v>
      </c>
      <c r="C13" s="4">
        <v>7</v>
      </c>
      <c r="D13" s="4">
        <v>8</v>
      </c>
      <c r="E13" s="4">
        <v>7</v>
      </c>
      <c r="F13" s="4">
        <v>29</v>
      </c>
      <c r="G13" s="4">
        <v>28</v>
      </c>
      <c r="H13" s="4">
        <v>1</v>
      </c>
      <c r="I13" s="4">
        <v>29</v>
      </c>
    </row>
    <row r="14" spans="1:14">
      <c r="A14" s="1" t="s">
        <v>23</v>
      </c>
      <c r="B14" s="4">
        <v>22</v>
      </c>
      <c r="C14" s="4">
        <v>6</v>
      </c>
      <c r="D14" s="4">
        <v>8</v>
      </c>
      <c r="E14" s="4">
        <v>8</v>
      </c>
      <c r="F14" s="4">
        <v>32</v>
      </c>
      <c r="G14" s="4">
        <v>28</v>
      </c>
      <c r="H14" s="4">
        <v>4</v>
      </c>
      <c r="I14" s="4">
        <v>26</v>
      </c>
    </row>
    <row r="15" spans="1:14">
      <c r="A15" s="1" t="s">
        <v>24</v>
      </c>
      <c r="B15" s="4">
        <v>22</v>
      </c>
      <c r="C15" s="4">
        <v>7</v>
      </c>
      <c r="D15" s="4">
        <v>5</v>
      </c>
      <c r="E15" s="4">
        <v>10</v>
      </c>
      <c r="F15" s="4">
        <v>24</v>
      </c>
      <c r="G15" s="4">
        <v>32</v>
      </c>
      <c r="H15" s="4">
        <v>-8</v>
      </c>
      <c r="I15" s="4">
        <v>26</v>
      </c>
    </row>
    <row r="16" spans="1:14">
      <c r="A16" s="1" t="s">
        <v>25</v>
      </c>
      <c r="B16" s="4">
        <v>22</v>
      </c>
      <c r="C16" s="4">
        <v>6</v>
      </c>
      <c r="D16" s="4">
        <v>8</v>
      </c>
      <c r="E16" s="4">
        <v>8</v>
      </c>
      <c r="F16" s="4">
        <v>28</v>
      </c>
      <c r="G16" s="4">
        <v>37</v>
      </c>
      <c r="H16" s="4">
        <v>-9</v>
      </c>
      <c r="I16" s="4">
        <v>26</v>
      </c>
    </row>
    <row r="17" spans="1:9">
      <c r="A17" s="1" t="s">
        <v>31</v>
      </c>
      <c r="B17" s="4">
        <v>22</v>
      </c>
      <c r="C17" s="4">
        <v>5</v>
      </c>
      <c r="D17" s="4">
        <v>10</v>
      </c>
      <c r="E17" s="4">
        <v>7</v>
      </c>
      <c r="F17" s="4">
        <v>22</v>
      </c>
      <c r="G17" s="4">
        <v>28</v>
      </c>
      <c r="H17" s="4">
        <v>-6</v>
      </c>
      <c r="I17" s="4">
        <v>25</v>
      </c>
    </row>
    <row r="18" spans="1:9">
      <c r="A18" s="1" t="s">
        <v>32</v>
      </c>
      <c r="B18" s="4">
        <v>21</v>
      </c>
      <c r="C18" s="4">
        <v>6</v>
      </c>
      <c r="D18" s="4">
        <v>6</v>
      </c>
      <c r="E18" s="4">
        <v>9</v>
      </c>
      <c r="F18" s="4">
        <v>27</v>
      </c>
      <c r="G18" s="4">
        <v>27</v>
      </c>
      <c r="H18" s="4">
        <v>0</v>
      </c>
      <c r="I18" s="4">
        <v>24</v>
      </c>
    </row>
    <row r="19" spans="1:9">
      <c r="A19" s="1" t="s">
        <v>33</v>
      </c>
      <c r="B19" s="4">
        <v>22</v>
      </c>
      <c r="C19" s="4">
        <v>6</v>
      </c>
      <c r="D19" s="4">
        <v>6</v>
      </c>
      <c r="E19" s="4">
        <v>10</v>
      </c>
      <c r="F19" s="4">
        <v>27</v>
      </c>
      <c r="G19" s="4">
        <v>40</v>
      </c>
      <c r="H19" s="4">
        <v>-13</v>
      </c>
      <c r="I19" s="4">
        <v>24</v>
      </c>
    </row>
    <row r="20" spans="1:9">
      <c r="A20" s="1" t="s">
        <v>34</v>
      </c>
      <c r="B20" s="4">
        <v>22</v>
      </c>
      <c r="C20" s="4">
        <v>6</v>
      </c>
      <c r="D20" s="4">
        <v>5</v>
      </c>
      <c r="E20" s="4">
        <v>11</v>
      </c>
      <c r="F20" s="4">
        <v>16</v>
      </c>
      <c r="G20" s="4">
        <v>27</v>
      </c>
      <c r="H20" s="4">
        <v>-11</v>
      </c>
      <c r="I20" s="4">
        <v>23</v>
      </c>
    </row>
    <row r="21" spans="1:9">
      <c r="A21" s="1" t="s">
        <v>35</v>
      </c>
      <c r="B21" s="4">
        <v>22</v>
      </c>
      <c r="C21" s="4">
        <v>5</v>
      </c>
      <c r="D21" s="4">
        <v>6</v>
      </c>
      <c r="E21" s="4">
        <v>11</v>
      </c>
      <c r="F21" s="4">
        <v>20</v>
      </c>
      <c r="G21" s="4">
        <v>35</v>
      </c>
      <c r="H21" s="4">
        <v>-15</v>
      </c>
      <c r="I21" s="4">
        <v>21</v>
      </c>
    </row>
    <row r="22" spans="1:9">
      <c r="A22" s="1" t="s">
        <v>26</v>
      </c>
      <c r="B22" s="4">
        <v>22</v>
      </c>
      <c r="C22" s="4">
        <v>5</v>
      </c>
      <c r="D22" s="4">
        <v>5</v>
      </c>
      <c r="E22" s="4">
        <v>12</v>
      </c>
      <c r="F22" s="4">
        <v>20</v>
      </c>
      <c r="G22" s="4">
        <v>41</v>
      </c>
      <c r="H22" s="4">
        <v>-21</v>
      </c>
      <c r="I22" s="4">
        <v>20</v>
      </c>
    </row>
    <row r="23" spans="1:9">
      <c r="A23" s="1" t="s">
        <v>36</v>
      </c>
      <c r="B23" s="4">
        <v>21</v>
      </c>
      <c r="C23" s="4">
        <v>5</v>
      </c>
      <c r="D23" s="4">
        <v>3</v>
      </c>
      <c r="E23" s="4">
        <v>13</v>
      </c>
      <c r="F23" s="4">
        <v>25</v>
      </c>
      <c r="G23" s="4">
        <v>35</v>
      </c>
      <c r="H23" s="4">
        <v>-10</v>
      </c>
      <c r="I23" s="4">
        <v>18</v>
      </c>
    </row>
    <row r="24" spans="1:9">
      <c r="A24" s="1" t="s">
        <v>37</v>
      </c>
      <c r="B24" s="4">
        <v>22</v>
      </c>
      <c r="C24" s="4">
        <v>4</v>
      </c>
      <c r="D24" s="4">
        <v>5</v>
      </c>
      <c r="E24" s="4">
        <v>13</v>
      </c>
      <c r="F24" s="4">
        <v>21</v>
      </c>
      <c r="G24" s="4">
        <v>40</v>
      </c>
      <c r="H24" s="4">
        <v>-19</v>
      </c>
      <c r="I24" s="4">
        <v>17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75F6-5BAC-4012-82DD-F9D841296A24}">
  <sheetPr codeName="Sayfa2"/>
  <dimension ref="A1:R11"/>
  <sheetViews>
    <sheetView showGridLines="0" topLeftCell="D1" zoomScale="85" zoomScaleNormal="85" workbookViewId="0">
      <selection activeCell="R7" sqref="R7"/>
    </sheetView>
  </sheetViews>
  <sheetFormatPr defaultRowHeight="13.8"/>
  <cols>
    <col min="1" max="1" width="20" hidden="1" customWidth="1"/>
    <col min="2" max="3" width="7.19921875" hidden="1" customWidth="1"/>
    <col min="4" max="4" width="2.09765625" customWidth="1"/>
    <col min="5" max="5" width="17.5" customWidth="1"/>
    <col min="6" max="6" width="22.3984375" customWidth="1"/>
    <col min="8" max="8" width="14.69921875" bestFit="1" customWidth="1"/>
    <col min="9" max="9" width="17.09765625" bestFit="1" customWidth="1"/>
  </cols>
  <sheetData>
    <row r="1" spans="1:18" ht="45" customHeight="1">
      <c r="E1" s="11" t="s">
        <v>47</v>
      </c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8" ht="12.75" customHeight="1"/>
    <row r="3" spans="1:18" ht="31.5" customHeight="1">
      <c r="E3" s="6" t="s">
        <v>39</v>
      </c>
      <c r="F3" s="6" t="s">
        <v>40</v>
      </c>
    </row>
    <row r="4" spans="1:18" ht="31.5" customHeight="1">
      <c r="A4" s="3" t="s">
        <v>38</v>
      </c>
      <c r="B4" s="3" t="str">
        <f>VLOOKUP(E4,AnaSayfa!$M$4:$N$11,2,0)</f>
        <v>Y</v>
      </c>
      <c r="C4" s="3" t="str">
        <f>VLOOKUP(F4,AnaSayfa!$M$4:$N$11,2,0)</f>
        <v>AV</v>
      </c>
      <c r="E4" s="7" t="s">
        <v>13</v>
      </c>
      <c r="F4" s="7" t="s">
        <v>15</v>
      </c>
    </row>
    <row r="5" spans="1:18" ht="31.5" customHeight="1">
      <c r="A5" s="5" t="str">
        <f>F6</f>
        <v>Mke Ankaragücü</v>
      </c>
      <c r="B5" s="4">
        <f>VLOOKUP($A5,AnaSayfa!$A$4:$I$24,MATCH(B$4,AnaSayfa!$A$3:$I$3,0),0)</f>
        <v>35</v>
      </c>
      <c r="C5" s="4">
        <f>VLOOKUP($A5,AnaSayfa!$A$4:$I$24,MATCH(C$4,AnaSayfa!$A$3:$I$3,0),0)</f>
        <v>-10</v>
      </c>
    </row>
    <row r="6" spans="1:18" ht="31.5" customHeight="1">
      <c r="A6" s="5" t="str">
        <f t="shared" ref="A6:A9" si="0">F7</f>
        <v>İttifak Holding Konyaspor</v>
      </c>
      <c r="B6" s="4">
        <f>VLOOKUP($A6,AnaSayfa!$A$4:$I$24,MATCH(B$4,AnaSayfa!$A$3:$I$3,0),0)</f>
        <v>27</v>
      </c>
      <c r="C6" s="4">
        <f>VLOOKUP($A6,AnaSayfa!$A$4:$I$24,MATCH(C$4,AnaSayfa!$A$3:$I$3,0),0)</f>
        <v>0</v>
      </c>
      <c r="E6" s="9" t="s">
        <v>42</v>
      </c>
      <c r="F6" s="5" t="s">
        <v>36</v>
      </c>
    </row>
    <row r="7" spans="1:18" ht="31.5" customHeight="1">
      <c r="A7" s="5" t="str">
        <f t="shared" si="0"/>
        <v>Göztepe</v>
      </c>
      <c r="B7" s="4">
        <f>VLOOKUP($A7,AnaSayfa!$A$4:$I$24,MATCH(B$4,AnaSayfa!$A$3:$I$3,0),0)</f>
        <v>28</v>
      </c>
      <c r="C7" s="10">
        <f>VLOOKUP($A7,AnaSayfa!$A$4:$I$24,MATCH(C$4,AnaSayfa!$A$3:$I$3,0),0)</f>
        <v>4</v>
      </c>
      <c r="E7" s="9" t="s">
        <v>43</v>
      </c>
      <c r="F7" s="5" t="s">
        <v>32</v>
      </c>
      <c r="R7" s="8"/>
    </row>
    <row r="8" spans="1:18" ht="27" customHeight="1">
      <c r="A8" s="5" t="str">
        <f t="shared" si="0"/>
        <v>Çaykur</v>
      </c>
      <c r="B8" s="4">
        <f>VLOOKUP($A8,AnaSayfa!$A$4:$I$24,MATCH(B$4,AnaSayfa!$A$3:$I$3,0),0)</f>
        <v>37</v>
      </c>
      <c r="C8" s="4">
        <f>VLOOKUP($A8,AnaSayfa!$A$4:$I$24,MATCH(C$4,AnaSayfa!$A$3:$I$3,0),0)</f>
        <v>-9</v>
      </c>
      <c r="E8" s="9" t="s">
        <v>44</v>
      </c>
      <c r="F8" s="5" t="s">
        <v>23</v>
      </c>
    </row>
    <row r="9" spans="1:18" ht="27" customHeight="1">
      <c r="A9" s="5" t="str">
        <f t="shared" si="0"/>
        <v>Fenerbahçe</v>
      </c>
      <c r="B9" s="4">
        <f>VLOOKUP($A9,AnaSayfa!$A$4:$I$24,MATCH(B$4,AnaSayfa!$A$3:$I$3,0),0)</f>
        <v>24</v>
      </c>
      <c r="C9" s="4">
        <f>VLOOKUP($A9,AnaSayfa!$A$4:$I$24,MATCH(C$4,AnaSayfa!$A$3:$I$3,0),0)</f>
        <v>21</v>
      </c>
      <c r="E9" s="9" t="s">
        <v>45</v>
      </c>
      <c r="F9" s="5" t="s">
        <v>25</v>
      </c>
    </row>
    <row r="10" spans="1:18" ht="27" customHeight="1">
      <c r="E10" s="9" t="s">
        <v>46</v>
      </c>
      <c r="F10" s="5" t="s">
        <v>17</v>
      </c>
    </row>
    <row r="11" spans="1:18" ht="27" customHeight="1"/>
  </sheetData>
  <mergeCells count="1">
    <mergeCell ref="E1:O1"/>
  </mergeCells>
  <phoneticPr fontId="4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1EA47D-6849-4F16-B9A9-1CF8F3598391}">
          <x14:formula1>
            <xm:f>AnaSayfa!$A$4:$A$24</xm:f>
          </x14:formula1>
          <xm:sqref>F6:F10</xm:sqref>
        </x14:dataValidation>
        <x14:dataValidation type="list" allowBlank="1" showInputMessage="1" showErrorMessage="1" xr:uid="{1E539938-3A87-4C9E-9AFC-BE921E207102}">
          <x14:formula1>
            <xm:f>AnaSayfa!$M$4:$M$11</xm:f>
          </x14:formula1>
          <xm:sqref>E4:F4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AnaSayfa</vt:lpstr>
      <vt:lpstr>Rapor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2023-04-20T09:53:06Z</dcterms:modified>
</cp:coreProperties>
</file>