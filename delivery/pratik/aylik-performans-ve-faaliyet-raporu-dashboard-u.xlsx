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0/11/main" xmlns:ns8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/>
  <ns2:revisionPtr revIDLastSave="0" documentId="13_ncr:1_{01DF79F6-D3E2-43BC-8355-313D7F6B3050}" ns3:coauthVersionLast="47" ns3:coauthVersionMax="47" ns4:uidLastSave="{00000000-0000-0000-0000-000000000000}"/>
  <ns0:bookViews>
    <ns0:workbookView xWindow="-108" yWindow="-108" windowWidth="23256" windowHeight="12456" ns5:uid="{558F90E1-4645-4373-8803-DE10FF7A1D57}" activeTab="0"/>
  </ns0:bookViews>
  <ns0:sheets>
    <ns0:sheet name="DashBoard" sheetId="11" ns6:id="rId2"/>
    <ns0:sheet name="Tablo" sheetId="1" ns6:id="rId3"/>
    <ns0:sheet name="Pvt1" sheetId="8" ns6:id="rId4"/>
    <ns0:sheet name="Pvt2" sheetId="9" ns6:id="rId5"/>
    <ns0:sheet name="Pvt3" sheetId="10" ns6:id="rId6"/>
    <ns0:sheet name="Data" sheetId="12" ns6:id="rId7"/>
  </ns0:sheets>
  <ns0:externalReferences>
    <ns0:externalReference ns6:id="rId8"/>
    <ns0:externalReference ns6:id="rId9"/>
    <ns0:externalReference ns6:id="rId10"/>
    <ns0:externalReference ns6:id="rId11"/>
    <ns0:externalReference ns6:id="rId12"/>
    <ns0:externalReference ns6:id="rId13"/>
    <ns0:externalReference ns6:id="rId14"/>
    <ns0:externalReference ns6:id="rId15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[8]!tbl_ayar_EmlakTipi[Emlak Tipi]</ns0:definedName>
    <ns0:definedName name="Lst_Maliye_Kategorileri">OFFSET([2]Pvt_Listeler!$A$3,1,0,COUNTA([2]Pvt_Listeler!$A:$A)-1,1)</ns0:definedName>
    <ns0:definedName name="lst_Müşteriler">[8]!Tablo1[İsim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[8]!tbl_ayar_Satılık[Satılık/Kiralık]</ns0:definedName>
    <ns0:definedName name="Lst_Satış_Per">[4]!Tablo2[Ad Soyad]</ns0:definedName>
    <ns0:definedName name="Lst_Servis">[2]!Tbl_Sektör_Kategori[Servis]</ns0:definedName>
    <ns0:definedName name="Lst_TümHisseler">[5]!TÜM_HİSSELER_1[Menkul]</ns0:definedName>
    <ns0:definedName name="Lst_Ürün_Ailesi">[2]!Tbl_Ürün_Ailesi[Ürün Ailesi]</ns0:definedName>
    <ns0:definedName name="Lst_Ürünler">[1]!Tablo4[Ürün Adı]</ns0:definedName>
    <ns0:definedName name="Lst_Ürünlerim">[6]!Tablo2[Ürün Adı]</ns0:definedName>
    <ns0:definedName name="Lst_Yıl_Ay">[2]!Tablo8[Tarihler]</ns0:definedName>
    <ns0:definedName name="oran">[7]Ürün_Fiyat_Listesi!$E$3</ns0:definedName>
  </ns0:definedNames>
  <ns0:calcPr calcId="191029"/>
  <ns0:pivotCaches>
    <ns0:pivotCache cacheId="4" ns6:id="rId16"/>
    <ns0:pivotCache cacheId="5" ns6:id="rId17"/>
  </ns0:pivotCaches>
  <ns0:extLst>
    <ns0:ext uri="{140A7094-0E35-4892-8432-C4D2E57EDEB5}">
      <ns7:workbookPr chartTrackingRefBase="1"/>
    </ns0:ext>
    <ns0: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</ns8:calcFeatures>
    </ns0:ext>
  </ns0:extLst>
</ns0:workbook>
</file>

<file path=xl/calcChain.xml><?xml version="1.0" encoding="utf-8"?>
<calcChain xmlns="http://schemas.openxmlformats.org/spreadsheetml/2006/main">
  <c r="A1" i="12" l="1"/>
</calcChain>
</file>

<file path=xl/sharedStrings.xml><?xml version="1.0" encoding="utf-8"?>
<sst xmlns="http://schemas.openxmlformats.org/spreadsheetml/2006/main" count="99" uniqueCount="25">
  <si>
    <t>Ürün Adı</t>
  </si>
  <si>
    <t>Tarih</t>
  </si>
  <si>
    <t>Toplam Tutar</t>
  </si>
  <si>
    <t>Laptop</t>
  </si>
  <si>
    <t>Kulaklık</t>
  </si>
  <si>
    <t>Televizyon</t>
  </si>
  <si>
    <t>Birim Fiyat</t>
  </si>
  <si>
    <t>Miktar</t>
  </si>
  <si>
    <t>Satır Etiketleri</t>
  </si>
  <si>
    <t>Genel Toplam</t>
  </si>
  <si>
    <t>Toplam Miktar</t>
  </si>
  <si>
    <t>Toplam Toplam Tutar</t>
  </si>
  <si>
    <t>Sütun Etiketleri</t>
  </si>
  <si>
    <t>2. Hafta</t>
  </si>
  <si>
    <t>1.Hafta</t>
  </si>
  <si>
    <t>3.Hafta</t>
  </si>
  <si>
    <t>4.Hafta</t>
  </si>
  <si>
    <t>5.Hafta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</si>
  <si>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</si>
  <si>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</si>
  <si>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</si>
  <si>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</si>
  <si>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</si>
  <si>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entury Gothic"/>
        <family val="2"/>
        <charset val="162"/>
      </rPr>
      <t>Kullanıcı Kılavuzunu in</t>
    </r>
    <r>
      <rPr>
        <sz val="11"/>
        <color theme="1"/>
        <rFont val="Century Gothic"/>
        <family val="2"/>
        <charset val="162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</si>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</sst>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9" x14ac:knownFonts="1">
    <font>
      <sz val="11"/>
      <color theme="1"/>
      <name val="Century Gothic"/>
      <family val="2"/>
      <charset val="162"/>
    </font>
    <font>
      <sz val="11"/>
      <color theme="1"/>
      <name val="Century Gothic"/>
      <family val="2"/>
      <charset val="162"/>
      <scheme val="minor"/>
    </font>
    <font>
      <sz val="8"/>
      <name val="Century Gothic"/>
      <family val="2"/>
      <charset val="162"/>
    </font>
    <font>
      <b/>
      <sz val="11"/>
      <color theme="0"/>
      <name val="Century Gothic"/>
      <family val="2"/>
      <charset val="162"/>
    </font>
    <font>
      <sz val="11"/>
      <color theme="1"/>
      <name val="Century Gothic"/>
      <family val="2"/>
      <charset val="162"/>
    </font>
    <font>
      <sz val="11"/>
      <color theme="0"/>
      <name val="Century Gothic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entury Gothic"/>
      <family val="2"/>
      <scheme val="minor"/>
    </font>
    <font>
      <u/>
      <sz val="11"/>
      <color theme="10"/>
      <name val="Century Gothic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0" xfId="2" applyFont="1" applyFill="1" applyAlignment="1">
      <alignment horizontal="left" vertical="center" wrapText="1"/>
    </xf>
    <xf numFmtId="0" fontId="5" fillId="4" borderId="0" xfId="2" applyFont="1" applyFill="1" applyAlignment="1">
      <alignment horizontal="left" vertical="center"/>
    </xf>
    <xf numFmtId="0" fontId="6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3" borderId="0" xfId="2" applyFill="1" applyAlignment="1">
      <alignment horizontal="left" vertical="center"/>
    </xf>
    <xf numFmtId="0" fontId="1" fillId="3" borderId="0" xfId="2" applyFill="1" applyAlignment="1">
      <alignment horizontal="left" vertical="top"/>
    </xf>
    <xf numFmtId="0" fontId="7" fillId="3" borderId="2" xfId="2" applyFont="1" applyFill="1" applyBorder="1" applyAlignment="1">
      <alignment vertical="top"/>
    </xf>
    <xf numFmtId="0" fontId="1" fillId="3" borderId="2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3" borderId="0" xfId="3" applyFill="1" applyAlignment="1">
      <alignment horizontal="left" vertical="center"/>
    </xf>
    <xf numFmtId="0" fontId="1" fillId="3" borderId="0" xfId="2" applyFill="1" applyAlignment="1">
      <alignment vertical="center" wrapText="1"/>
    </xf>
    <xf numFmtId="0" fontId="1" fillId="3" borderId="0" xfId="2" applyFill="1" applyAlignment="1">
      <alignment vertical="top" wrapText="1"/>
    </xf>
    <xf numFmtId="0" fontId="1" fillId="3" borderId="0" xfId="2" applyFill="1"/>
    <xf numFmtId="0" fontId="1" fillId="0" borderId="0" xfId="2"/>
    <xf numFmtId="0" fontId="1" fillId="3" borderId="0" xfId="2" applyFill="1" applyAlignment="1">
      <alignment horizontal="left" vertical="center" wrapText="1"/>
    </xf>
    <xf numFmtId="0" fontId="6" fillId="4" borderId="1" xfId="2" applyFont="1" applyFill="1" applyBorder="1" applyAlignment="1">
      <alignment horizontal="left" vertical="center" wrapText="1" indent="1"/>
    </xf>
    <xf numFmtId="0" fontId="6" fillId="4" borderId="0" xfId="2" applyFont="1" applyFill="1" applyAlignment="1">
      <alignment horizontal="left" vertical="center" wrapText="1" indent="1"/>
    </xf>
    <xf numFmtId="0" fontId="1" fillId="3" borderId="0" xfId="2" applyFill="1" applyAlignment="1">
      <alignment horizontal="left" vertical="top" wrapText="1"/>
    </xf>
    <xf numFmtId="0" fontId="0" fillId="3" borderId="0" xfId="2" applyFont="1" applyFill="1" applyAlignment="1">
      <alignment horizontal="left" vertical="top" wrapText="1"/>
    </xf>
  </cellXfs>
  <cellStyles count="4">
    <cellStyle name="Köprü 2" xfId="3" xr:uid="{E1DFA09B-580A-4969-B688-071475BB9A67}"/>
    <cellStyle name="Normal" xfId="0" builtinId="0"/>
    <cellStyle name="Normal 2" xfId="1" xr:uid="{2F9DD9E2-52EA-4F69-AFB7-67EF6A3B495B}"/>
    <cellStyle name="Normal 2 2" xfId="2" xr:uid="{575006D7-3B76-418D-96E3-68FA931B05D8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64" formatCode="&quot;₺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64" formatCode="&quot;₺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charset val="16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1.xml" /><ns0:Relationship Id="rId13" Type="http://schemas.openxmlformats.org/officeDocument/2006/relationships/externalLink" Target="externalLinks/externalLink6.xml" /><ns0:Relationship Id="rId18" Type="http://schemas.openxmlformats.org/officeDocument/2006/relationships/theme" Target="theme/theme1.xml" /><ns0:Relationship Id="rId3" Type="http://schemas.openxmlformats.org/officeDocument/2006/relationships/worksheet" Target="worksheets/sheet3.xml" /><ns0:Relationship Id="rId21" Type="http://schemas.openxmlformats.org/officeDocument/2006/relationships/calcChain" Target="calcChain.xml" /><ns0:Relationship Id="rId7" Type="http://schemas.openxmlformats.org/officeDocument/2006/relationships/worksheet" Target="worksheets/sheet7.xml" /><ns0:Relationship Id="rId12" Type="http://schemas.openxmlformats.org/officeDocument/2006/relationships/externalLink" Target="externalLinks/externalLink5.xml" /><ns0:Relationship Id="rId17" Type="http://schemas.openxmlformats.org/officeDocument/2006/relationships/pivotCacheDefinition" Target="pivotCache/pivotCacheDefinition2.xml" /><ns0:Relationship Id="rId2" Type="http://schemas.openxmlformats.org/officeDocument/2006/relationships/worksheet" Target="worksheets/sheet2.xml" /><ns0:Relationship Id="rId16" Type="http://schemas.openxmlformats.org/officeDocument/2006/relationships/pivotCacheDefinition" Target="pivotCache/pivotCacheDefinition1.xml" /><ns0:Relationship Id="rId20" Type="http://schemas.openxmlformats.org/officeDocument/2006/relationships/sharedStrings" Target="sharedStrings.xml" /><ns0:Relationship Id="rId6" Type="http://schemas.openxmlformats.org/officeDocument/2006/relationships/worksheet" Target="worksheets/sheet6.xml" /><ns0:Relationship Id="rId11" Type="http://schemas.openxmlformats.org/officeDocument/2006/relationships/externalLink" Target="externalLinks/externalLink4.xml" /><ns0:Relationship Id="rId5" Type="http://schemas.openxmlformats.org/officeDocument/2006/relationships/worksheet" Target="worksheets/sheet5.xml" /><ns0:Relationship Id="rId15" Type="http://schemas.openxmlformats.org/officeDocument/2006/relationships/externalLink" Target="externalLinks/externalLink8.xml" /><ns0:Relationship Id="rId10" Type="http://schemas.openxmlformats.org/officeDocument/2006/relationships/externalLink" Target="externalLinks/externalLink3.xml" /><ns0:Relationship Id="rId19" Type="http://schemas.openxmlformats.org/officeDocument/2006/relationships/styles" Target="styles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2.xml" /><ns0:Relationship Id="rId14" Type="http://schemas.openxmlformats.org/officeDocument/2006/relationships/externalLink" Target="externalLinks/externalLink7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[-Aylık_Dashboard_Raporu.xlsm]Pvt1!PivotTable1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Günlük Toplam Gelir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'Pvt1'!$B$3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'Pvt1'!$A$4:$A$30</c:f>
              <c:strCache>
                <c:ptCount val="26"/>
                <c:pt idx="0">
                  <c:v>1.04.2021</c:v>
                </c:pt>
                <c:pt idx="1">
                  <c:v>3.04.2021</c:v>
                </c:pt>
                <c:pt idx="2">
                  <c:v>4.04.2021</c:v>
                </c:pt>
                <c:pt idx="3">
                  <c:v>5.04.2021</c:v>
                </c:pt>
                <c:pt idx="4">
                  <c:v>6.04.2021</c:v>
                </c:pt>
                <c:pt idx="5">
                  <c:v>7.04.2021</c:v>
                </c:pt>
                <c:pt idx="6">
                  <c:v>8.04.2021</c:v>
                </c:pt>
                <c:pt idx="7">
                  <c:v>12.04.2021</c:v>
                </c:pt>
                <c:pt idx="8">
                  <c:v>13.04.2021</c:v>
                </c:pt>
                <c:pt idx="9">
                  <c:v>14.04.2021</c:v>
                </c:pt>
                <c:pt idx="10">
                  <c:v>15.04.2021</c:v>
                </c:pt>
                <c:pt idx="11">
                  <c:v>16.04.2021</c:v>
                </c:pt>
                <c:pt idx="12">
                  <c:v>17.04.2021</c:v>
                </c:pt>
                <c:pt idx="13">
                  <c:v>18.04.2021</c:v>
                </c:pt>
                <c:pt idx="14">
                  <c:v>19.04.2021</c:v>
                </c:pt>
                <c:pt idx="15">
                  <c:v>20.04.2021</c:v>
                </c:pt>
                <c:pt idx="16">
                  <c:v>21.04.2021</c:v>
                </c:pt>
                <c:pt idx="17">
                  <c:v>22.04.2021</c:v>
                </c:pt>
                <c:pt idx="18">
                  <c:v>23.04.2021</c:v>
                </c:pt>
                <c:pt idx="19">
                  <c:v>24.04.2021</c:v>
                </c:pt>
                <c:pt idx="20">
                  <c:v>25.04.2021</c:v>
                </c:pt>
                <c:pt idx="21">
                  <c:v>26.04.2021</c:v>
                </c:pt>
                <c:pt idx="22">
                  <c:v>27.04.2021</c:v>
                </c:pt>
                <c:pt idx="23">
                  <c:v>28.04.2021</c:v>
                </c:pt>
                <c:pt idx="24">
                  <c:v>29.04.2021</c:v>
                </c:pt>
                <c:pt idx="25">
                  <c:v>30.04.2021</c:v>
                </c:pt>
              </c:strCache>
            </c:strRef>
          </c:cat>
          <c:val>
            <c:numRef>
              <c:f>'Pvt1'!$B$4:$B$30</c:f>
              <c:numCache>
                <c:formatCode>General</c:formatCode>
                <c:ptCount val="26"/>
                <c:pt idx="0">
                  <c:v>37750</c:v>
                </c:pt>
                <c:pt idx="1">
                  <c:v>5250</c:v>
                </c:pt>
                <c:pt idx="2">
                  <c:v>59500</c:v>
                </c:pt>
                <c:pt idx="3">
                  <c:v>5000</c:v>
                </c:pt>
                <c:pt idx="4">
                  <c:v>13500</c:v>
                </c:pt>
                <c:pt idx="5">
                  <c:v>20500</c:v>
                </c:pt>
                <c:pt idx="6">
                  <c:v>4500</c:v>
                </c:pt>
                <c:pt idx="7">
                  <c:v>1000</c:v>
                </c:pt>
                <c:pt idx="8">
                  <c:v>15500</c:v>
                </c:pt>
                <c:pt idx="9">
                  <c:v>10000</c:v>
                </c:pt>
                <c:pt idx="10">
                  <c:v>18500</c:v>
                </c:pt>
                <c:pt idx="11">
                  <c:v>4500</c:v>
                </c:pt>
                <c:pt idx="12">
                  <c:v>29500</c:v>
                </c:pt>
                <c:pt idx="13">
                  <c:v>500</c:v>
                </c:pt>
                <c:pt idx="14">
                  <c:v>21250</c:v>
                </c:pt>
                <c:pt idx="15">
                  <c:v>10250</c:v>
                </c:pt>
                <c:pt idx="16">
                  <c:v>24000</c:v>
                </c:pt>
                <c:pt idx="17">
                  <c:v>31250</c:v>
                </c:pt>
                <c:pt idx="18">
                  <c:v>19500</c:v>
                </c:pt>
                <c:pt idx="19">
                  <c:v>15750</c:v>
                </c:pt>
                <c:pt idx="20">
                  <c:v>20250</c:v>
                </c:pt>
                <c:pt idx="21">
                  <c:v>27500</c:v>
                </c:pt>
                <c:pt idx="22">
                  <c:v>4500</c:v>
                </c:pt>
                <c:pt idx="23">
                  <c:v>1500</c:v>
                </c:pt>
                <c:pt idx="24">
                  <c:v>25000</c:v>
                </c:pt>
                <c:pt idx="25">
                  <c:v>18000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19-4787-B5A4-1F0C86FC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084840"/>
        <c:axId val="425086152"/>
      </c:lineChart>
      <c:catAx>
        <c:axId val="4250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6152"/>
        <c:crosses val="autoZero"/>
        <c:auto val="1"/>
        <c:lblAlgn val="ctr"/>
        <c:lblOffset val="100"/>
        <c:noMultiLvlLbl val="0"/>
      </c:catAx>
      <c:valAx>
        <c:axId val="425086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4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[-Aylık_Dashboard_Raporu.xlsm]Pvt2!PivotTable2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Ürünlerin Haftalık Satış</a:t>
            </a:r>
            <a:r>
              <a:rPr lang="tr-TR" b="1" baseline="0"/>
              <a:t> Miktarı Performansı</a:t>
            </a:r>
            <a:endParaRPr lang="tr-T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'Pvt2'!$B$3:$B$4</c:f>
              <c:strCache>
                <c:ptCount val="1"/>
                <c:pt idx="0">
                  <c:v>Kulaklık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'Pvt2'!$B$5:$B$10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D-40B3-ACD3-E72D98A610F6}"/>
            </c:ext>
          </c:extLst>
        </c:ser>
        <c:ser>
          <c:idx val="1"/>
          <c:order val="1"/>
          <c:tx>
            <c:strRef>
              <c:f>'Pvt2'!$C$3:$C$4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'Pvt2'!$C$5:$C$10</c:f>
              <c:numCache>
                <c:formatCode>General</c:formatCode>
                <c:ptCount val="5"/>
                <c:pt idx="0">
                  <c:v>20</c:v>
                </c:pt>
                <c:pt idx="1">
                  <c:v>1</c:v>
                </c:pt>
                <c:pt idx="2">
                  <c:v>11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D-40B3-ACD3-E72D98A610F6}"/>
            </c:ext>
          </c:extLst>
        </c:ser>
        <c:ser>
          <c:idx val="2"/>
          <c:order val="2"/>
          <c:tx>
            <c:strRef>
              <c:f>'Pvt2'!$D$3:$D$4</c:f>
              <c:strCache>
                <c:ptCount val="1"/>
                <c:pt idx="0">
                  <c:v>Televizyon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'Pvt2'!$D$5:$D$10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11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D-40B3-ACD3-E72D98A610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1725664"/>
        <c:axId val="301722056"/>
      </c:barChart>
      <c:catAx>
        <c:axId val="30172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22056"/>
        <c:crosses val="autoZero"/>
        <c:auto val="1"/>
        <c:lblAlgn val="ctr"/>
        <c:lblOffset val="100"/>
        <c:noMultiLvlLbl val="0"/>
      </c:catAx>
      <c:valAx>
        <c:axId val="301722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17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[-Aylık_Dashboard_Raporu.xlsm]Pvt3!PivotTable3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Toplam Gelir Dağılımı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85148813314332"/>
              <c:y val="-8.5678385603333469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865787042933406"/>
              <c:y val="-4.7123112081833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61276459238149"/>
              <c:y val="6.8542708482666151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865787042933406"/>
              <c:y val="-4.7123112081833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85148813314332"/>
              <c:y val="-8.5678385603333469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61276459238149"/>
              <c:y val="6.8542708482666151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865787042933406"/>
              <c:y val="-4.7123112081833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85148813314332"/>
              <c:y val="-8.5678385603333469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61276459238149"/>
              <c:y val="6.8542708482666151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'Pvt3'!$B$3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C9-40C9-87BF-FC277FB7F0CB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C9-40C9-87BF-FC277FB7F0CB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C9-40C9-87BF-FC277FB7F0CB}"/>
              </c:ext>
            </c:extLst>
          </c:dPt>
          <c:dLbls>
            <c:dLbl>
              <c:idx val="0"/>
              <c:layout>
                <c:manualLayout>
                  <c:x val="0.17865787042933406"/>
                  <c:y val="-4.712311208183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C9-40C9-87BF-FC277FB7F0CB}"/>
                </c:ext>
              </c:extLst>
            </c:dLbl>
            <c:dLbl>
              <c:idx val="1"/>
              <c:layout>
                <c:manualLayout>
                  <c:x val="0.11485148813314332"/>
                  <c:y val="-8.567838560333346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C9-40C9-87BF-FC277FB7F0CB}"/>
                </c:ext>
              </c:extLst>
            </c:dLbl>
            <c:dLbl>
              <c:idx val="2"/>
              <c:layout>
                <c:manualLayout>
                  <c:x val="-0.12761276459238149"/>
                  <c:y val="6.8542708482666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C9-40C9-87BF-FC277FB7F0CB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'Pvt3'!$A$4:$A$7</c:f>
              <c:strCache>
                <c:ptCount val="3"/>
                <c:pt idx="0">
                  <c:v>Kulaklık</c:v>
                </c:pt>
                <c:pt idx="1">
                  <c:v>Laptop</c:v>
                </c:pt>
                <c:pt idx="2">
                  <c:v>Televizyon</c:v>
                </c:pt>
              </c:strCache>
            </c:strRef>
          </c:cat>
          <c:val>
            <c:numRef>
              <c:f>'Pvt3'!$B$4:$B$7</c:f>
              <c:numCache>
                <c:formatCode>General</c:formatCode>
                <c:ptCount val="3"/>
                <c:pt idx="0">
                  <c:v>11750</c:v>
                </c:pt>
                <c:pt idx="1">
                  <c:v>202500</c:v>
                </c:pt>
                <c:pt idx="2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C9-40C9-87BF-FC277FB7F0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[-Aylık_Dashboard_Raporu.xlsm]Pvt1!PivotTable1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Günlük Toplam Gelir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'Pvt1'!$B$3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'Pvt1'!$A$4:$A$30</c:f>
              <c:strCache>
                <c:ptCount val="26"/>
                <c:pt idx="0">
                  <c:v>1.04.2021</c:v>
                </c:pt>
                <c:pt idx="1">
                  <c:v>3.04.2021</c:v>
                </c:pt>
                <c:pt idx="2">
                  <c:v>4.04.2021</c:v>
                </c:pt>
                <c:pt idx="3">
                  <c:v>5.04.2021</c:v>
                </c:pt>
                <c:pt idx="4">
                  <c:v>6.04.2021</c:v>
                </c:pt>
                <c:pt idx="5">
                  <c:v>7.04.2021</c:v>
                </c:pt>
                <c:pt idx="6">
                  <c:v>8.04.2021</c:v>
                </c:pt>
                <c:pt idx="7">
                  <c:v>12.04.2021</c:v>
                </c:pt>
                <c:pt idx="8">
                  <c:v>13.04.2021</c:v>
                </c:pt>
                <c:pt idx="9">
                  <c:v>14.04.2021</c:v>
                </c:pt>
                <c:pt idx="10">
                  <c:v>15.04.2021</c:v>
                </c:pt>
                <c:pt idx="11">
                  <c:v>16.04.2021</c:v>
                </c:pt>
                <c:pt idx="12">
                  <c:v>17.04.2021</c:v>
                </c:pt>
                <c:pt idx="13">
                  <c:v>18.04.2021</c:v>
                </c:pt>
                <c:pt idx="14">
                  <c:v>19.04.2021</c:v>
                </c:pt>
                <c:pt idx="15">
                  <c:v>20.04.2021</c:v>
                </c:pt>
                <c:pt idx="16">
                  <c:v>21.04.2021</c:v>
                </c:pt>
                <c:pt idx="17">
                  <c:v>22.04.2021</c:v>
                </c:pt>
                <c:pt idx="18">
                  <c:v>23.04.2021</c:v>
                </c:pt>
                <c:pt idx="19">
                  <c:v>24.04.2021</c:v>
                </c:pt>
                <c:pt idx="20">
                  <c:v>25.04.2021</c:v>
                </c:pt>
                <c:pt idx="21">
                  <c:v>26.04.2021</c:v>
                </c:pt>
                <c:pt idx="22">
                  <c:v>27.04.2021</c:v>
                </c:pt>
                <c:pt idx="23">
                  <c:v>28.04.2021</c:v>
                </c:pt>
                <c:pt idx="24">
                  <c:v>29.04.2021</c:v>
                </c:pt>
                <c:pt idx="25">
                  <c:v>30.04.2021</c:v>
                </c:pt>
              </c:strCache>
            </c:strRef>
          </c:cat>
          <c:val>
            <c:numRef>
              <c:f>'Pvt1'!$B$4:$B$30</c:f>
              <c:numCache>
                <c:formatCode>General</c:formatCode>
                <c:ptCount val="26"/>
                <c:pt idx="0">
                  <c:v>37750</c:v>
                </c:pt>
                <c:pt idx="1">
                  <c:v>5250</c:v>
                </c:pt>
                <c:pt idx="2">
                  <c:v>59500</c:v>
                </c:pt>
                <c:pt idx="3">
                  <c:v>5000</c:v>
                </c:pt>
                <c:pt idx="4">
                  <c:v>13500</c:v>
                </c:pt>
                <c:pt idx="5">
                  <c:v>20500</c:v>
                </c:pt>
                <c:pt idx="6">
                  <c:v>4500</c:v>
                </c:pt>
                <c:pt idx="7">
                  <c:v>1000</c:v>
                </c:pt>
                <c:pt idx="8">
                  <c:v>15500</c:v>
                </c:pt>
                <c:pt idx="9">
                  <c:v>10000</c:v>
                </c:pt>
                <c:pt idx="10">
                  <c:v>18500</c:v>
                </c:pt>
                <c:pt idx="11">
                  <c:v>4500</c:v>
                </c:pt>
                <c:pt idx="12">
                  <c:v>29500</c:v>
                </c:pt>
                <c:pt idx="13">
                  <c:v>500</c:v>
                </c:pt>
                <c:pt idx="14">
                  <c:v>21250</c:v>
                </c:pt>
                <c:pt idx="15">
                  <c:v>10250</c:v>
                </c:pt>
                <c:pt idx="16">
                  <c:v>24000</c:v>
                </c:pt>
                <c:pt idx="17">
                  <c:v>31250</c:v>
                </c:pt>
                <c:pt idx="18">
                  <c:v>19500</c:v>
                </c:pt>
                <c:pt idx="19">
                  <c:v>15750</c:v>
                </c:pt>
                <c:pt idx="20">
                  <c:v>20250</c:v>
                </c:pt>
                <c:pt idx="21">
                  <c:v>27500</c:v>
                </c:pt>
                <c:pt idx="22">
                  <c:v>4500</c:v>
                </c:pt>
                <c:pt idx="23">
                  <c:v>1500</c:v>
                </c:pt>
                <c:pt idx="24">
                  <c:v>25000</c:v>
                </c:pt>
                <c:pt idx="25">
                  <c:v>18000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19-4B11-BEFD-F495A73A3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084840"/>
        <c:axId val="425086152"/>
      </c:lineChart>
      <c:catAx>
        <c:axId val="42508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6152"/>
        <c:crosses val="autoZero"/>
        <c:auto val="1"/>
        <c:lblAlgn val="ctr"/>
        <c:lblOffset val="100"/>
        <c:noMultiLvlLbl val="0"/>
      </c:catAx>
      <c:valAx>
        <c:axId val="425086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4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[-Aylık_Dashboard_Raporu.xlsm]Pvt2!PivotTable2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Ürünlerin Haftalık Satış</a:t>
            </a:r>
            <a:r>
              <a:rPr lang="tr-TR" b="1" baseline="0"/>
              <a:t> Miktarı Performansı</a:t>
            </a:r>
            <a:endParaRPr lang="tr-T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'Pvt2'!$B$3:$B$4</c:f>
              <c:strCache>
                <c:ptCount val="1"/>
                <c:pt idx="0">
                  <c:v>Kulaklık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'Pvt2'!$B$5:$B$10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16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5-422E-A4A2-5A24CDE8A448}"/>
            </c:ext>
          </c:extLst>
        </c:ser>
        <c:ser>
          <c:idx val="1"/>
          <c:order val="1"/>
          <c:tx>
            <c:strRef>
              <c:f>'Pvt2'!$C$3:$C$4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'Pvt2'!$C$5:$C$10</c:f>
              <c:numCache>
                <c:formatCode>General</c:formatCode>
                <c:ptCount val="5"/>
                <c:pt idx="0">
                  <c:v>20</c:v>
                </c:pt>
                <c:pt idx="1">
                  <c:v>1</c:v>
                </c:pt>
                <c:pt idx="2">
                  <c:v>11</c:v>
                </c:pt>
                <c:pt idx="3">
                  <c:v>9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5-422E-A4A2-5A24CDE8A448}"/>
            </c:ext>
          </c:extLst>
        </c:ser>
        <c:ser>
          <c:idx val="2"/>
          <c:order val="2"/>
          <c:tx>
            <c:strRef>
              <c:f>'Pvt2'!$D$3:$D$4</c:f>
              <c:strCache>
                <c:ptCount val="1"/>
                <c:pt idx="0">
                  <c:v>Televizyon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'Pvt2'!$A$5:$A$10</c:f>
              <c:strCache>
                <c:ptCount val="5"/>
                <c:pt idx="0">
                  <c:v>1.Hafta</c:v>
                </c:pt>
                <c:pt idx="1">
                  <c:v>2. Hafta</c:v>
                </c:pt>
                <c:pt idx="2">
                  <c:v>3.Hafta</c:v>
                </c:pt>
                <c:pt idx="3">
                  <c:v>4.Hafta</c:v>
                </c:pt>
                <c:pt idx="4">
                  <c:v>5.Hafta</c:v>
                </c:pt>
              </c:strCache>
            </c:strRef>
          </c:cat>
          <c:val>
            <c:numRef>
              <c:f>'Pvt2'!$D$5:$D$10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11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5-422E-A4A2-5A24CDE8A4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1725664"/>
        <c:axId val="301722056"/>
      </c:barChart>
      <c:catAx>
        <c:axId val="30172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22056"/>
        <c:crosses val="autoZero"/>
        <c:auto val="1"/>
        <c:lblAlgn val="ctr"/>
        <c:lblOffset val="100"/>
        <c:noMultiLvlLbl val="0"/>
      </c:catAx>
      <c:valAx>
        <c:axId val="301722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17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[-Aylık_Dashboard_Raporu.xlsm]Pvt3!PivotTable3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Toplam Gelir Dağılımı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85148813314332"/>
              <c:y val="-8.5678385603333469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865787042933406"/>
              <c:y val="-4.7123112081833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61276459238149"/>
              <c:y val="6.8542708482666151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'Pvt3'!$B$3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20-4090-935C-9DD7D12A6678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20-4090-935C-9DD7D12A6678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20-4090-935C-9DD7D12A6678}"/>
              </c:ext>
            </c:extLst>
          </c:dPt>
          <c:dLbls>
            <c:dLbl>
              <c:idx val="0"/>
              <c:layout>
                <c:manualLayout>
                  <c:x val="0.17865787042933406"/>
                  <c:y val="-4.712311208183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20-4090-935C-9DD7D12A6678}"/>
                </c:ext>
              </c:extLst>
            </c:dLbl>
            <c:dLbl>
              <c:idx val="1"/>
              <c:layout>
                <c:manualLayout>
                  <c:x val="0.11485148813314332"/>
                  <c:y val="-8.567838560333346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20-4090-935C-9DD7D12A6678}"/>
                </c:ext>
              </c:extLst>
            </c:dLbl>
            <c:dLbl>
              <c:idx val="2"/>
              <c:layout>
                <c:manualLayout>
                  <c:x val="-0.12761276459238149"/>
                  <c:y val="6.8542708482666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20-4090-935C-9DD7D12A6678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'Pvt3'!$A$4:$A$7</c:f>
              <c:strCache>
                <c:ptCount val="3"/>
                <c:pt idx="0">
                  <c:v>Kulaklık</c:v>
                </c:pt>
                <c:pt idx="1">
                  <c:v>Laptop</c:v>
                </c:pt>
                <c:pt idx="2">
                  <c:v>Televizyon</c:v>
                </c:pt>
              </c:strCache>
            </c:strRef>
          </c:cat>
          <c:val>
            <c:numRef>
              <c:f>'Pvt3'!$B$4:$B$7</c:f>
              <c:numCache>
                <c:formatCode>General</c:formatCode>
                <c:ptCount val="3"/>
                <c:pt idx="0">
                  <c:v>11750</c:v>
                </c:pt>
                <c:pt idx="1">
                  <c:v>202500</c:v>
                </c:pt>
                <c:pt idx="2">
                  <c:v>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0-4090-935C-9DD7D12A66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38100</xdr:rowOff>
    </xdr:from>
    <xdr:to>
      <xdr:col>17</xdr:col>
      <xdr:colOff>0</xdr:colOff>
      <xdr:row>6</xdr:row>
      <xdr:rowOff>28575</xdr:rowOff>
    </xdr:to>
    <xdr:sp macro="" textlink="Data!A1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736F779F-9FFA-408A-B748-0EF06C71409C}"/>
            </a:ext>
          </a:extLst>
        </xdr:cNvPr>
        <xdr:cNvSpPr/>
      </xdr:nvSpPr>
      <xdr:spPr>
        <a:xfrm>
          <a:off x="2057400" y="457200"/>
          <a:ext cx="9601200" cy="828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9874301-DA41-4FCC-BA98-6AA516D86A49}" type="TxLink">
            <a:rPr lang="en-US" sz="3200" b="1" i="0" u="none" strike="noStrike">
              <a:solidFill>
                <a:schemeClr val="bg1"/>
              </a:solidFill>
              <a:latin typeface="Century Gothic"/>
            </a:rPr>
            <a:pPr algn="ctr"/>
            <a:t>NİSAN AYI PERFORMANS RAPORU</a:t>
          </a:fld>
          <a:endParaRPr lang="tr-TR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190500</xdr:colOff>
      <xdr:row>8</xdr:row>
      <xdr:rowOff>9525</xdr:rowOff>
    </xdr:from>
    <xdr:to>
      <xdr:col>17</xdr:col>
      <xdr:colOff>0</xdr:colOff>
      <xdr:row>21</xdr:row>
      <xdr:rowOff>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A66DBC2-AAEA-4B84-97BF-BA9EF10BA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17</xdr:col>
      <xdr:colOff>0</xdr:colOff>
      <xdr:row>36</xdr:row>
      <xdr:rowOff>174381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FFA01271-BF01-4072-A2C3-D4B928479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8</xdr:row>
      <xdr:rowOff>1</xdr:rowOff>
    </xdr:from>
    <xdr:to>
      <xdr:col>8</xdr:col>
      <xdr:colOff>56493</xdr:colOff>
      <xdr:row>21</xdr:row>
      <xdr:rowOff>1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C20AFB6-598A-4FEC-AF1B-82CAEFB02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230796</xdr:colOff>
      <xdr:row>2</xdr:row>
      <xdr:rowOff>20515</xdr:rowOff>
    </xdr:from>
    <xdr:to>
      <xdr:col>10</xdr:col>
      <xdr:colOff>95249</xdr:colOff>
      <xdr:row>15</xdr:row>
      <xdr:rowOff>1465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6339F2B-6C0C-4DEA-A7DF-9CDCE5061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95251</xdr:colOff>
      <xdr:row>2</xdr:row>
      <xdr:rowOff>49821</xdr:rowOff>
    </xdr:from>
    <xdr:to>
      <xdr:col>12</xdr:col>
      <xdr:colOff>219808</xdr:colOff>
      <xdr:row>16</xdr:row>
      <xdr:rowOff>183172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7FD017EF-CDD3-4FB5-8DD7-AC9E02AD1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131379</xdr:colOff>
      <xdr:row>1</xdr:row>
      <xdr:rowOff>149114</xdr:rowOff>
    </xdr:from>
    <xdr:to>
      <xdr:col>8</xdr:col>
      <xdr:colOff>13138</xdr:colOff>
      <xdr:row>15</xdr:row>
      <xdr:rowOff>170793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699F9EF-CAF4-46F6-9242-1CCB9AA0B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glu" refreshedDate="44289.63401736111" createdVersion="6" refreshedVersion="6" minRefreshableVersion="3" recordCount="65" xr:uid="{DA88A7BE-AA3D-4111-B865-F97D566A1264}">
  <cacheSource type="worksheet">
    <worksheetSource name="Tablo1"/>
  </cacheSource>
  <cacheFields count="5">
    <cacheField name="Tarih" numFmtId="14">
      <sharedItems containsSemiMixedTypes="0" containsNonDate="0" containsDate="1" containsString="0" minDate="2021-04-01T00:00:00" maxDate="2021-05-01T00:00:00" count="26">
        <d v="2021-04-01T00:00:00"/>
        <d v="2021-04-29T00:00:00"/>
        <d v="2021-04-28T00:00:00"/>
        <d v="2021-04-12T00:00:00"/>
        <d v="2021-04-18T00:00:00"/>
        <d v="2021-04-04T00:00:00"/>
        <d v="2021-04-20T00:00:00"/>
        <d v="2021-04-26T00:00:00"/>
        <d v="2021-04-13T00:00:00"/>
        <d v="2021-04-07T00:00:00"/>
        <d v="2021-04-23T00:00:00"/>
        <d v="2021-04-24T00:00:00"/>
        <d v="2021-04-14T00:00:00"/>
        <d v="2021-04-17T00:00:00"/>
        <d v="2021-04-21T00:00:00"/>
        <d v="2021-04-22T00:00:00"/>
        <d v="2021-04-16T00:00:00"/>
        <d v="2021-04-30T00:00:00"/>
        <d v="2021-04-19T00:00:00"/>
        <d v="2021-04-15T00:00:00"/>
        <d v="2021-04-25T00:00:00"/>
        <d v="2021-04-08T00:00:00"/>
        <d v="2021-04-27T00:00:00"/>
        <d v="2021-04-06T00:00:00"/>
        <d v="2021-04-03T00:00:00"/>
        <d v="2021-04-05T00:00:00"/>
      </sharedItems>
      <fieldGroup base="0">
        <rangePr groupBy="days" startDate="2021-04-01T00:00:00" endDate="2021-05-01T00:00:00" groupInterval="7"/>
        <groupItems count="7">
          <s v="&lt;1.04.2021"/>
          <s v="1.04.2021 - 7.04.2021"/>
          <s v="8.04.2021 - 14.04.2021"/>
          <s v="15.04.2021 - 21.04.2021"/>
          <s v="22.04.2021 - 28.04.2021"/>
          <s v="29.04.2021 - 1.05.2021"/>
          <s v="&gt;1.05.2021"/>
        </groupItems>
      </fieldGroup>
    </cacheField>
    <cacheField name="Ürün Adı" numFmtId="0">
      <sharedItems count="3">
        <s v="Laptop"/>
        <s v="Televizyon"/>
        <s v="Kulaklık"/>
      </sharedItems>
    </cacheField>
    <cacheField name="Birim Fiyat" numFmtId="164">
      <sharedItems containsSemiMixedTypes="0" containsString="0" containsNumber="1" containsInteger="1" minValue="250" maxValue="5000"/>
    </cacheField>
    <cacheField name="Miktar" numFmtId="0">
      <sharedItems containsSemiMixedTypes="0" containsString="0" containsNumber="1" containsInteger="1" minValue="1" maxValue="4"/>
    </cacheField>
    <cacheField name="Toplam Tutar" numFmtId="164">
      <sharedItems containsSemiMixedTypes="0" containsString="0" containsNumber="1" containsInteger="1" minValue="25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glu" refreshedDate="44289.634017592594" createdVersion="6" refreshedVersion="6" minRefreshableVersion="3" recordCount="65" xr:uid="{E963CA88-16B3-4D6E-AD47-9DB39B36B00F}">
  <cacheSource type="worksheet">
    <worksheetSource name="Tablo1"/>
  </cacheSource>
  <cacheFields count="5">
    <cacheField name="Tarih" numFmtId="14">
      <sharedItems containsSemiMixedTypes="0" containsNonDate="0" containsDate="1" containsString="0" minDate="2021-03-01T00:00:00" maxDate="2021-05-01T00:00:00" count="54">
        <d v="2021-04-01T00:00:00"/>
        <d v="2021-04-29T00:00:00"/>
        <d v="2021-04-28T00:00:00"/>
        <d v="2021-04-12T00:00:00"/>
        <d v="2021-04-18T00:00:00"/>
        <d v="2021-04-04T00:00:00"/>
        <d v="2021-04-20T00:00:00"/>
        <d v="2021-04-26T00:00:00"/>
        <d v="2021-04-13T00:00:00"/>
        <d v="2021-04-07T00:00:00"/>
        <d v="2021-04-23T00:00:00"/>
        <d v="2021-04-24T00:00:00"/>
        <d v="2021-04-14T00:00:00"/>
        <d v="2021-04-17T00:00:00"/>
        <d v="2021-04-21T00:00:00"/>
        <d v="2021-04-22T00:00:00"/>
        <d v="2021-04-16T00:00:00"/>
        <d v="2021-04-30T00:00:00"/>
        <d v="2021-04-19T00:00:00"/>
        <d v="2021-04-15T00:00:00"/>
        <d v="2021-04-25T00:00:00"/>
        <d v="2021-04-08T00:00:00"/>
        <d v="2021-04-27T00:00:00"/>
        <d v="2021-04-06T00:00:00"/>
        <d v="2021-04-03T00:00:00"/>
        <d v="2021-04-05T00:00:00"/>
        <d v="2021-03-28T00:00:00" u="1"/>
        <d v="2021-03-02T00:00:00" u="1"/>
        <d v="2021-03-21T00:00:00" u="1"/>
        <d v="2021-03-14T00:00:00" u="1"/>
        <d v="2021-03-07T00:00:00" u="1"/>
        <d v="2021-03-26T00:00:00" u="1"/>
        <d v="2021-03-19T00:00:00" u="1"/>
        <d v="2021-03-12T00:00:00" u="1"/>
        <d v="2021-03-31T00:00:00" u="1"/>
        <d v="2021-03-05T00:00:00" u="1"/>
        <d v="2021-03-24T00:00:00" u="1"/>
        <d v="2021-03-17T00:00:00" u="1"/>
        <d v="2021-03-10T00:00:00" u="1"/>
        <d v="2021-03-29T00:00:00" u="1"/>
        <d v="2021-03-03T00:00:00" u="1"/>
        <d v="2021-03-22T00:00:00" u="1"/>
        <d v="2021-03-15T00:00:00" u="1"/>
        <d v="2021-03-08T00:00:00" u="1"/>
        <d v="2021-03-27T00:00:00" u="1"/>
        <d v="2021-03-01T00:00:00" u="1"/>
        <d v="2021-03-20T00:00:00" u="1"/>
        <d v="2021-03-06T00:00:00" u="1"/>
        <d v="2021-03-25T00:00:00" u="1"/>
        <d v="2021-03-11T00:00:00" u="1"/>
        <d v="2021-03-30T00:00:00" u="1"/>
        <d v="2021-03-04T00:00:00" u="1"/>
        <d v="2021-03-23T00:00:00" u="1"/>
        <d v="2021-03-09T00:00:00" u="1"/>
      </sharedItems>
    </cacheField>
    <cacheField name="Ürün Adı" numFmtId="0">
      <sharedItems count="3">
        <s v="Laptop"/>
        <s v="Televizyon"/>
        <s v="Kulaklık"/>
      </sharedItems>
    </cacheField>
    <cacheField name="Birim Fiyat" numFmtId="164">
      <sharedItems containsSemiMixedTypes="0" containsString="0" containsNumber="1" containsInteger="1" minValue="250" maxValue="5000"/>
    </cacheField>
    <cacheField name="Miktar" numFmtId="0">
      <sharedItems containsSemiMixedTypes="0" containsString="0" containsNumber="1" containsInteger="1" minValue="1" maxValue="4"/>
    </cacheField>
    <cacheField name="Toplam Tutar" numFmtId="164">
      <sharedItems containsSemiMixedTypes="0" containsString="0" containsNumber="1" containsInteger="1" minValue="25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4500"/>
    <n v="1"/>
    <n v="4500"/>
  </r>
  <r>
    <x v="1"/>
    <x v="1"/>
    <n v="5000"/>
    <n v="3"/>
    <n v="15000"/>
  </r>
  <r>
    <x v="2"/>
    <x v="2"/>
    <n v="250"/>
    <n v="1"/>
    <n v="250"/>
  </r>
  <r>
    <x v="3"/>
    <x v="2"/>
    <n v="250"/>
    <n v="4"/>
    <n v="1000"/>
  </r>
  <r>
    <x v="4"/>
    <x v="2"/>
    <n v="250"/>
    <n v="2"/>
    <n v="500"/>
  </r>
  <r>
    <x v="5"/>
    <x v="0"/>
    <n v="4500"/>
    <n v="4"/>
    <n v="18000"/>
  </r>
  <r>
    <x v="6"/>
    <x v="1"/>
    <n v="5000"/>
    <n v="1"/>
    <n v="5000"/>
  </r>
  <r>
    <x v="7"/>
    <x v="0"/>
    <n v="4500"/>
    <n v="4"/>
    <n v="18000"/>
  </r>
  <r>
    <x v="8"/>
    <x v="1"/>
    <n v="5000"/>
    <n v="3"/>
    <n v="15000"/>
  </r>
  <r>
    <x v="9"/>
    <x v="2"/>
    <n v="250"/>
    <n v="2"/>
    <n v="500"/>
  </r>
  <r>
    <x v="2"/>
    <x v="2"/>
    <n v="250"/>
    <n v="1"/>
    <n v="250"/>
  </r>
  <r>
    <x v="10"/>
    <x v="1"/>
    <n v="5000"/>
    <n v="1"/>
    <n v="5000"/>
  </r>
  <r>
    <x v="11"/>
    <x v="2"/>
    <n v="250"/>
    <n v="1"/>
    <n v="250"/>
  </r>
  <r>
    <x v="7"/>
    <x v="0"/>
    <n v="4500"/>
    <n v="1"/>
    <n v="4500"/>
  </r>
  <r>
    <x v="12"/>
    <x v="1"/>
    <n v="5000"/>
    <n v="1"/>
    <n v="5000"/>
  </r>
  <r>
    <x v="0"/>
    <x v="0"/>
    <n v="4500"/>
    <n v="4"/>
    <n v="18000"/>
  </r>
  <r>
    <x v="13"/>
    <x v="1"/>
    <n v="5000"/>
    <n v="3"/>
    <n v="15000"/>
  </r>
  <r>
    <x v="7"/>
    <x v="1"/>
    <n v="5000"/>
    <n v="1"/>
    <n v="5000"/>
  </r>
  <r>
    <x v="14"/>
    <x v="2"/>
    <n v="250"/>
    <n v="4"/>
    <n v="1000"/>
  </r>
  <r>
    <x v="15"/>
    <x v="1"/>
    <n v="5000"/>
    <n v="4"/>
    <n v="20000"/>
  </r>
  <r>
    <x v="16"/>
    <x v="0"/>
    <n v="4500"/>
    <n v="1"/>
    <n v="4500"/>
  </r>
  <r>
    <x v="14"/>
    <x v="0"/>
    <n v="4500"/>
    <n v="2"/>
    <n v="9000"/>
  </r>
  <r>
    <x v="6"/>
    <x v="0"/>
    <n v="4500"/>
    <n v="1"/>
    <n v="4500"/>
  </r>
  <r>
    <x v="0"/>
    <x v="2"/>
    <n v="250"/>
    <n v="1"/>
    <n v="250"/>
  </r>
  <r>
    <x v="17"/>
    <x v="0"/>
    <n v="4500"/>
    <n v="4"/>
    <n v="18000"/>
  </r>
  <r>
    <x v="18"/>
    <x v="2"/>
    <n v="250"/>
    <n v="1"/>
    <n v="250"/>
  </r>
  <r>
    <x v="19"/>
    <x v="0"/>
    <n v="4500"/>
    <n v="3"/>
    <n v="13500"/>
  </r>
  <r>
    <x v="20"/>
    <x v="1"/>
    <n v="5000"/>
    <n v="4"/>
    <n v="20000"/>
  </r>
  <r>
    <x v="14"/>
    <x v="0"/>
    <n v="4500"/>
    <n v="2"/>
    <n v="9000"/>
  </r>
  <r>
    <x v="21"/>
    <x v="0"/>
    <n v="4500"/>
    <n v="1"/>
    <n v="4500"/>
  </r>
  <r>
    <x v="15"/>
    <x v="0"/>
    <n v="4500"/>
    <n v="2"/>
    <n v="9000"/>
  </r>
  <r>
    <x v="13"/>
    <x v="1"/>
    <n v="5000"/>
    <n v="2"/>
    <n v="10000"/>
  </r>
  <r>
    <x v="15"/>
    <x v="2"/>
    <n v="250"/>
    <n v="1"/>
    <n v="250"/>
  </r>
  <r>
    <x v="15"/>
    <x v="2"/>
    <n v="250"/>
    <n v="3"/>
    <n v="750"/>
  </r>
  <r>
    <x v="10"/>
    <x v="0"/>
    <n v="4500"/>
    <n v="1"/>
    <n v="4500"/>
  </r>
  <r>
    <x v="10"/>
    <x v="1"/>
    <n v="5000"/>
    <n v="2"/>
    <n v="10000"/>
  </r>
  <r>
    <x v="9"/>
    <x v="1"/>
    <n v="5000"/>
    <n v="3"/>
    <n v="15000"/>
  </r>
  <r>
    <x v="22"/>
    <x v="0"/>
    <n v="4500"/>
    <n v="1"/>
    <n v="4500"/>
  </r>
  <r>
    <x v="1"/>
    <x v="1"/>
    <n v="5000"/>
    <n v="2"/>
    <n v="10000"/>
  </r>
  <r>
    <x v="19"/>
    <x v="1"/>
    <n v="5000"/>
    <n v="1"/>
    <n v="5000"/>
  </r>
  <r>
    <x v="0"/>
    <x v="1"/>
    <n v="5000"/>
    <n v="3"/>
    <n v="15000"/>
  </r>
  <r>
    <x v="23"/>
    <x v="0"/>
    <n v="4500"/>
    <n v="3"/>
    <n v="13500"/>
  </r>
  <r>
    <x v="24"/>
    <x v="2"/>
    <n v="250"/>
    <n v="2"/>
    <n v="500"/>
  </r>
  <r>
    <x v="14"/>
    <x v="2"/>
    <n v="250"/>
    <n v="2"/>
    <n v="500"/>
  </r>
  <r>
    <x v="24"/>
    <x v="0"/>
    <n v="4500"/>
    <n v="1"/>
    <n v="4500"/>
  </r>
  <r>
    <x v="2"/>
    <x v="2"/>
    <n v="250"/>
    <n v="3"/>
    <n v="750"/>
  </r>
  <r>
    <x v="9"/>
    <x v="1"/>
    <n v="5000"/>
    <n v="1"/>
    <n v="5000"/>
  </r>
  <r>
    <x v="5"/>
    <x v="0"/>
    <n v="4500"/>
    <n v="3"/>
    <n v="13500"/>
  </r>
  <r>
    <x v="2"/>
    <x v="2"/>
    <n v="250"/>
    <n v="1"/>
    <n v="250"/>
  </r>
  <r>
    <x v="18"/>
    <x v="2"/>
    <n v="250"/>
    <n v="4"/>
    <n v="1000"/>
  </r>
  <r>
    <x v="5"/>
    <x v="1"/>
    <n v="5000"/>
    <n v="2"/>
    <n v="10000"/>
  </r>
  <r>
    <x v="24"/>
    <x v="2"/>
    <n v="250"/>
    <n v="1"/>
    <n v="250"/>
  </r>
  <r>
    <x v="15"/>
    <x v="2"/>
    <n v="250"/>
    <n v="1"/>
    <n v="250"/>
  </r>
  <r>
    <x v="18"/>
    <x v="1"/>
    <n v="5000"/>
    <n v="4"/>
    <n v="20000"/>
  </r>
  <r>
    <x v="14"/>
    <x v="0"/>
    <n v="4500"/>
    <n v="1"/>
    <n v="4500"/>
  </r>
  <r>
    <x v="5"/>
    <x v="0"/>
    <n v="4500"/>
    <n v="4"/>
    <n v="18000"/>
  </r>
  <r>
    <x v="11"/>
    <x v="1"/>
    <n v="5000"/>
    <n v="3"/>
    <n v="15000"/>
  </r>
  <r>
    <x v="8"/>
    <x v="2"/>
    <n v="250"/>
    <n v="2"/>
    <n v="500"/>
  </r>
  <r>
    <x v="25"/>
    <x v="1"/>
    <n v="5000"/>
    <n v="1"/>
    <n v="5000"/>
  </r>
  <r>
    <x v="15"/>
    <x v="2"/>
    <n v="250"/>
    <n v="4"/>
    <n v="1000"/>
  </r>
  <r>
    <x v="12"/>
    <x v="1"/>
    <n v="5000"/>
    <n v="1"/>
    <n v="5000"/>
  </r>
  <r>
    <x v="20"/>
    <x v="2"/>
    <n v="250"/>
    <n v="1"/>
    <n v="250"/>
  </r>
  <r>
    <x v="11"/>
    <x v="2"/>
    <n v="250"/>
    <n v="2"/>
    <n v="500"/>
  </r>
  <r>
    <x v="13"/>
    <x v="0"/>
    <n v="4500"/>
    <n v="1"/>
    <n v="4500"/>
  </r>
  <r>
    <x v="6"/>
    <x v="2"/>
    <n v="250"/>
    <n v="3"/>
    <n v="7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4500"/>
    <n v="1"/>
    <n v="4500"/>
  </r>
  <r>
    <x v="1"/>
    <x v="1"/>
    <n v="5000"/>
    <n v="3"/>
    <n v="15000"/>
  </r>
  <r>
    <x v="2"/>
    <x v="2"/>
    <n v="250"/>
    <n v="1"/>
    <n v="250"/>
  </r>
  <r>
    <x v="3"/>
    <x v="2"/>
    <n v="250"/>
    <n v="4"/>
    <n v="1000"/>
  </r>
  <r>
    <x v="4"/>
    <x v="2"/>
    <n v="250"/>
    <n v="2"/>
    <n v="500"/>
  </r>
  <r>
    <x v="5"/>
    <x v="0"/>
    <n v="4500"/>
    <n v="4"/>
    <n v="18000"/>
  </r>
  <r>
    <x v="6"/>
    <x v="1"/>
    <n v="5000"/>
    <n v="1"/>
    <n v="5000"/>
  </r>
  <r>
    <x v="7"/>
    <x v="0"/>
    <n v="4500"/>
    <n v="4"/>
    <n v="18000"/>
  </r>
  <r>
    <x v="8"/>
    <x v="1"/>
    <n v="5000"/>
    <n v="3"/>
    <n v="15000"/>
  </r>
  <r>
    <x v="9"/>
    <x v="2"/>
    <n v="250"/>
    <n v="2"/>
    <n v="500"/>
  </r>
  <r>
    <x v="2"/>
    <x v="2"/>
    <n v="250"/>
    <n v="1"/>
    <n v="250"/>
  </r>
  <r>
    <x v="10"/>
    <x v="1"/>
    <n v="5000"/>
    <n v="1"/>
    <n v="5000"/>
  </r>
  <r>
    <x v="11"/>
    <x v="2"/>
    <n v="250"/>
    <n v="1"/>
    <n v="250"/>
  </r>
  <r>
    <x v="7"/>
    <x v="0"/>
    <n v="4500"/>
    <n v="1"/>
    <n v="4500"/>
  </r>
  <r>
    <x v="12"/>
    <x v="1"/>
    <n v="5000"/>
    <n v="1"/>
    <n v="5000"/>
  </r>
  <r>
    <x v="0"/>
    <x v="0"/>
    <n v="4500"/>
    <n v="4"/>
    <n v="18000"/>
  </r>
  <r>
    <x v="13"/>
    <x v="1"/>
    <n v="5000"/>
    <n v="3"/>
    <n v="15000"/>
  </r>
  <r>
    <x v="7"/>
    <x v="1"/>
    <n v="5000"/>
    <n v="1"/>
    <n v="5000"/>
  </r>
  <r>
    <x v="14"/>
    <x v="2"/>
    <n v="250"/>
    <n v="4"/>
    <n v="1000"/>
  </r>
  <r>
    <x v="15"/>
    <x v="1"/>
    <n v="5000"/>
    <n v="4"/>
    <n v="20000"/>
  </r>
  <r>
    <x v="16"/>
    <x v="0"/>
    <n v="4500"/>
    <n v="1"/>
    <n v="4500"/>
  </r>
  <r>
    <x v="14"/>
    <x v="0"/>
    <n v="4500"/>
    <n v="2"/>
    <n v="9000"/>
  </r>
  <r>
    <x v="6"/>
    <x v="0"/>
    <n v="4500"/>
    <n v="1"/>
    <n v="4500"/>
  </r>
  <r>
    <x v="0"/>
    <x v="2"/>
    <n v="250"/>
    <n v="1"/>
    <n v="250"/>
  </r>
  <r>
    <x v="17"/>
    <x v="0"/>
    <n v="4500"/>
    <n v="4"/>
    <n v="18000"/>
  </r>
  <r>
    <x v="18"/>
    <x v="2"/>
    <n v="250"/>
    <n v="1"/>
    <n v="250"/>
  </r>
  <r>
    <x v="19"/>
    <x v="0"/>
    <n v="4500"/>
    <n v="3"/>
    <n v="13500"/>
  </r>
  <r>
    <x v="20"/>
    <x v="1"/>
    <n v="5000"/>
    <n v="4"/>
    <n v="20000"/>
  </r>
  <r>
    <x v="14"/>
    <x v="0"/>
    <n v="4500"/>
    <n v="2"/>
    <n v="9000"/>
  </r>
  <r>
    <x v="21"/>
    <x v="0"/>
    <n v="4500"/>
    <n v="1"/>
    <n v="4500"/>
  </r>
  <r>
    <x v="15"/>
    <x v="0"/>
    <n v="4500"/>
    <n v="2"/>
    <n v="9000"/>
  </r>
  <r>
    <x v="13"/>
    <x v="1"/>
    <n v="5000"/>
    <n v="2"/>
    <n v="10000"/>
  </r>
  <r>
    <x v="15"/>
    <x v="2"/>
    <n v="250"/>
    <n v="1"/>
    <n v="250"/>
  </r>
  <r>
    <x v="15"/>
    <x v="2"/>
    <n v="250"/>
    <n v="3"/>
    <n v="750"/>
  </r>
  <r>
    <x v="10"/>
    <x v="0"/>
    <n v="4500"/>
    <n v="1"/>
    <n v="4500"/>
  </r>
  <r>
    <x v="10"/>
    <x v="1"/>
    <n v="5000"/>
    <n v="2"/>
    <n v="10000"/>
  </r>
  <r>
    <x v="9"/>
    <x v="1"/>
    <n v="5000"/>
    <n v="3"/>
    <n v="15000"/>
  </r>
  <r>
    <x v="22"/>
    <x v="0"/>
    <n v="4500"/>
    <n v="1"/>
    <n v="4500"/>
  </r>
  <r>
    <x v="1"/>
    <x v="1"/>
    <n v="5000"/>
    <n v="2"/>
    <n v="10000"/>
  </r>
  <r>
    <x v="19"/>
    <x v="1"/>
    <n v="5000"/>
    <n v="1"/>
    <n v="5000"/>
  </r>
  <r>
    <x v="0"/>
    <x v="1"/>
    <n v="5000"/>
    <n v="3"/>
    <n v="15000"/>
  </r>
  <r>
    <x v="23"/>
    <x v="0"/>
    <n v="4500"/>
    <n v="3"/>
    <n v="13500"/>
  </r>
  <r>
    <x v="24"/>
    <x v="2"/>
    <n v="250"/>
    <n v="2"/>
    <n v="500"/>
  </r>
  <r>
    <x v="14"/>
    <x v="2"/>
    <n v="250"/>
    <n v="2"/>
    <n v="500"/>
  </r>
  <r>
    <x v="24"/>
    <x v="0"/>
    <n v="4500"/>
    <n v="1"/>
    <n v="4500"/>
  </r>
  <r>
    <x v="2"/>
    <x v="2"/>
    <n v="250"/>
    <n v="3"/>
    <n v="750"/>
  </r>
  <r>
    <x v="9"/>
    <x v="1"/>
    <n v="5000"/>
    <n v="1"/>
    <n v="5000"/>
  </r>
  <r>
    <x v="5"/>
    <x v="0"/>
    <n v="4500"/>
    <n v="3"/>
    <n v="13500"/>
  </r>
  <r>
    <x v="2"/>
    <x v="2"/>
    <n v="250"/>
    <n v="1"/>
    <n v="250"/>
  </r>
  <r>
    <x v="18"/>
    <x v="2"/>
    <n v="250"/>
    <n v="4"/>
    <n v="1000"/>
  </r>
  <r>
    <x v="5"/>
    <x v="1"/>
    <n v="5000"/>
    <n v="2"/>
    <n v="10000"/>
  </r>
  <r>
    <x v="24"/>
    <x v="2"/>
    <n v="250"/>
    <n v="1"/>
    <n v="250"/>
  </r>
  <r>
    <x v="15"/>
    <x v="2"/>
    <n v="250"/>
    <n v="1"/>
    <n v="250"/>
  </r>
  <r>
    <x v="18"/>
    <x v="1"/>
    <n v="5000"/>
    <n v="4"/>
    <n v="20000"/>
  </r>
  <r>
    <x v="14"/>
    <x v="0"/>
    <n v="4500"/>
    <n v="1"/>
    <n v="4500"/>
  </r>
  <r>
    <x v="5"/>
    <x v="0"/>
    <n v="4500"/>
    <n v="4"/>
    <n v="18000"/>
  </r>
  <r>
    <x v="11"/>
    <x v="1"/>
    <n v="5000"/>
    <n v="3"/>
    <n v="15000"/>
  </r>
  <r>
    <x v="8"/>
    <x v="2"/>
    <n v="250"/>
    <n v="2"/>
    <n v="500"/>
  </r>
  <r>
    <x v="25"/>
    <x v="1"/>
    <n v="5000"/>
    <n v="1"/>
    <n v="5000"/>
  </r>
  <r>
    <x v="15"/>
    <x v="2"/>
    <n v="250"/>
    <n v="4"/>
    <n v="1000"/>
  </r>
  <r>
    <x v="12"/>
    <x v="1"/>
    <n v="5000"/>
    <n v="1"/>
    <n v="5000"/>
  </r>
  <r>
    <x v="20"/>
    <x v="2"/>
    <n v="250"/>
    <n v="1"/>
    <n v="250"/>
  </r>
  <r>
    <x v="11"/>
    <x v="2"/>
    <n v="250"/>
    <n v="2"/>
    <n v="500"/>
  </r>
  <r>
    <x v="13"/>
    <x v="0"/>
    <n v="4500"/>
    <n v="1"/>
    <n v="4500"/>
  </r>
  <r>
    <x v="6"/>
    <x v="2"/>
    <n v="250"/>
    <n v="3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2DB96-A4F0-4E60-BBEE-85B4CF26B5E6}" name="PivotTable1" cacheId="5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>
  <location ref="A3:B30" firstHeaderRow="1" firstDataRow="1" firstDataCol="1"/>
  <pivotFields count="5">
    <pivotField axis="axisRow" numFmtId="14" showAll="0" sortType="ascending">
      <items count="55">
        <item m="1" x="45"/>
        <item m="1" x="27"/>
        <item m="1" x="40"/>
        <item m="1" x="51"/>
        <item m="1" x="35"/>
        <item m="1" x="47"/>
        <item m="1" x="30"/>
        <item m="1" x="43"/>
        <item m="1" x="53"/>
        <item m="1" x="38"/>
        <item m="1" x="49"/>
        <item m="1" x="33"/>
        <item m="1" x="29"/>
        <item m="1" x="42"/>
        <item m="1" x="37"/>
        <item m="1" x="32"/>
        <item m="1" x="46"/>
        <item m="1" x="28"/>
        <item m="1" x="41"/>
        <item m="1" x="52"/>
        <item m="1" x="36"/>
        <item m="1" x="48"/>
        <item m="1" x="31"/>
        <item m="1" x="44"/>
        <item m="1" x="26"/>
        <item m="1" x="39"/>
        <item m="1" x="50"/>
        <item m="1" x="34"/>
        <item x="0"/>
        <item x="24"/>
        <item x="5"/>
        <item x="25"/>
        <item x="23"/>
        <item x="9"/>
        <item x="21"/>
        <item x="3"/>
        <item x="8"/>
        <item x="12"/>
        <item x="19"/>
        <item x="16"/>
        <item x="13"/>
        <item x="4"/>
        <item x="18"/>
        <item x="6"/>
        <item x="14"/>
        <item x="15"/>
        <item x="10"/>
        <item x="11"/>
        <item x="20"/>
        <item x="7"/>
        <item x="22"/>
        <item x="2"/>
        <item x="1"/>
        <item x="17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0"/>
  </rowFields>
  <rowItems count="27"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Toplam Toplam Tutar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562F5-0AA9-4B6B-96B8-4D8D88250B59}" name="PivotTable2" cacheId="4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>
  <location ref="A3:E10" firstHeaderRow="1" firstDataRow="2" firstDataCol="1"/>
  <pivotFields count="5">
    <pivotField axis="axisRow" numFmtId="14" showAll="0">
      <items count="8">
        <item x="0"/>
        <item n="1.Hafta" x="1"/>
        <item n="2. Hafta" x="2"/>
        <item n="3.Hafta" x="3"/>
        <item n="4.Hafta" x="4"/>
        <item n="5.Hafta" x="5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64" showAll="0"/>
    <pivotField dataField="1" showAll="0"/>
    <pivotField numFmtId="164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plam Miktar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8B61C-81AD-41E7-9856-AB3011A5C0CB}" name="PivotTable3" cacheId="5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5">
    <pivotField numFmtId="14"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Toplam Tutar" fld="4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E131E-E578-41CE-8A58-216C87A933B6}" name="Tablo1" displayName="Tablo1" ref="A1:E66" totalsRowShown="0" headerRowDxfId="6" dataDxfId="5">
  <autoFilter ref="A1:E66" xr:uid="{D6857622-327B-418E-8E41-1A9A12B3DECB}"/>
  <tableColumns count="5">
    <tableColumn id="1" xr3:uid="{40523742-1A85-4961-9094-EF1F1A04DA3F}" name="Tarih" dataDxfId="4"/>
    <tableColumn id="2" xr3:uid="{A9B13FED-C3D3-40DD-9837-B064847FA646}" name="Ürün Adı" dataDxfId="3"/>
    <tableColumn id="3" xr3:uid="{FD6318A9-9C74-4EBA-915E-AF0588A16154}" name="Birim Fiyat" dataDxfId="2"/>
    <tableColumn id="4" xr3:uid="{EEA1C1EB-B43D-44D4-8D2D-CC4A514D8083}" name="Miktar" dataDxfId="1"/>
    <tableColumn id="5" xr3:uid="{591FE975-8BE3-4293-A06D-5E6A7A0B608C}" name="Toplam Tutar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xl751">
  <a:themeElements>
    <a:clrScheme name="xl751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343434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SalihKhoja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63BE-8788-4C99-B16D-31D1E980C7AF}">
  <sheetPr codeName="Sayfa2"/>
  <dimension ref="A1"/>
  <sheetViews>
    <sheetView showGridLines="0" topLeftCell="B4" zoomScale="85" zoomScaleNormal="85" workbookViewId="0">
      <selection activeCell="W5" sqref="W5"/>
    </sheetView>
  </sheetViews>
  <sheetFormatPr defaultRowHeight="13.8" x14ac:dyDescent="0.25"/>
  <cols>
    <col min="3" max="3" width="4.69921875" customWidth="1"/>
    <col min="18" max="18" width="4.69921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033F-15A3-435A-BC09-656F235248C8}">
  <sheetPr codeName="Sayfa3"/>
  <dimension ref="A1:F66"/>
  <sheetViews>
    <sheetView showGridLines="0" zoomScale="130" zoomScaleNormal="130" workbookViewId="0">
      <selection activeCell="A6" sqref="A6"/>
    </sheetView>
  </sheetViews>
  <sheetFormatPr defaultRowHeight="13.8" x14ac:dyDescent="0.25"/>
  <cols>
    <col min="1" max="1" width="10.3984375" style="4" bestFit="1" customWidth="1"/>
    <col min="2" max="2" width="10.09765625" style="4" bestFit="1" customWidth="1"/>
    <col min="3" max="3" width="10.69921875" style="4" customWidth="1"/>
    <col min="4" max="4" width="7.3984375" style="4" customWidth="1"/>
    <col min="5" max="5" width="13.09765625" style="4" customWidth="1"/>
    <col min="6" max="6" width="11.59765625" style="4" customWidth="1"/>
  </cols>
  <sheetData>
    <row r="1" spans="1:5" ht="21" customHeight="1" x14ac:dyDescent="0.25">
      <c r="A1" s="8" t="s">
        <v>1</v>
      </c>
      <c r="B1" s="8" t="s">
        <v>0</v>
      </c>
      <c r="C1" s="8" t="s">
        <v>6</v>
      </c>
      <c r="D1" s="8" t="s">
        <v>7</v>
      </c>
      <c r="E1" s="8" t="s">
        <v>2</v>
      </c>
    </row>
    <row r="2" spans="1:5" x14ac:dyDescent="0.25">
      <c r="A2" s="5">
        <v>44287</v>
      </c>
      <c r="B2" s="6" t="s">
        <v>3</v>
      </c>
      <c r="C2" s="7">
        <v>4500</v>
      </c>
      <c r="D2" s="6">
        <v>1</v>
      </c>
      <c r="E2" s="7">
        <v>4500</v>
      </c>
    </row>
    <row r="3" spans="1:5" x14ac:dyDescent="0.25">
      <c r="A3" s="5">
        <v>44315</v>
      </c>
      <c r="B3" s="6" t="s">
        <v>5</v>
      </c>
      <c r="C3" s="7">
        <v>5000</v>
      </c>
      <c r="D3" s="6">
        <v>3</v>
      </c>
      <c r="E3" s="7">
        <v>15000</v>
      </c>
    </row>
    <row r="4" spans="1:5" x14ac:dyDescent="0.25">
      <c r="A4" s="5">
        <v>44314</v>
      </c>
      <c r="B4" s="6" t="s">
        <v>4</v>
      </c>
      <c r="C4" s="7">
        <v>250</v>
      </c>
      <c r="D4" s="6">
        <v>1</v>
      </c>
      <c r="E4" s="7">
        <v>250</v>
      </c>
    </row>
    <row r="5" spans="1:5" x14ac:dyDescent="0.25">
      <c r="A5" s="5">
        <v>44298</v>
      </c>
      <c r="B5" s="6" t="s">
        <v>4</v>
      </c>
      <c r="C5" s="7">
        <v>250</v>
      </c>
      <c r="D5" s="6">
        <v>4</v>
      </c>
      <c r="E5" s="7">
        <v>1000</v>
      </c>
    </row>
    <row r="6" spans="1:5" x14ac:dyDescent="0.25">
      <c r="A6" s="5">
        <v>44304</v>
      </c>
      <c r="B6" s="6" t="s">
        <v>4</v>
      </c>
      <c r="C6" s="7">
        <v>250</v>
      </c>
      <c r="D6" s="6">
        <v>2</v>
      </c>
      <c r="E6" s="7">
        <v>500</v>
      </c>
    </row>
    <row r="7" spans="1:5" x14ac:dyDescent="0.25">
      <c r="A7" s="5">
        <v>44290</v>
      </c>
      <c r="B7" s="6" t="s">
        <v>3</v>
      </c>
      <c r="C7" s="7">
        <v>4500</v>
      </c>
      <c r="D7" s="6">
        <v>4</v>
      </c>
      <c r="E7" s="7">
        <v>18000</v>
      </c>
    </row>
    <row r="8" spans="1:5" x14ac:dyDescent="0.25">
      <c r="A8" s="5">
        <v>44306</v>
      </c>
      <c r="B8" s="6" t="s">
        <v>5</v>
      </c>
      <c r="C8" s="7">
        <v>5000</v>
      </c>
      <c r="D8" s="6">
        <v>1</v>
      </c>
      <c r="E8" s="7">
        <v>5000</v>
      </c>
    </row>
    <row r="9" spans="1:5" x14ac:dyDescent="0.25">
      <c r="A9" s="5">
        <v>44312</v>
      </c>
      <c r="B9" s="6" t="s">
        <v>3</v>
      </c>
      <c r="C9" s="7">
        <v>4500</v>
      </c>
      <c r="D9" s="6">
        <v>4</v>
      </c>
      <c r="E9" s="7">
        <v>18000</v>
      </c>
    </row>
    <row r="10" spans="1:5" x14ac:dyDescent="0.25">
      <c r="A10" s="5">
        <v>44299</v>
      </c>
      <c r="B10" s="6" t="s">
        <v>5</v>
      </c>
      <c r="C10" s="7">
        <v>5000</v>
      </c>
      <c r="D10" s="6">
        <v>3</v>
      </c>
      <c r="E10" s="7">
        <v>15000</v>
      </c>
    </row>
    <row r="11" spans="1:5" x14ac:dyDescent="0.25">
      <c r="A11" s="5">
        <v>44293</v>
      </c>
      <c r="B11" s="6" t="s">
        <v>4</v>
      </c>
      <c r="C11" s="7">
        <v>250</v>
      </c>
      <c r="D11" s="6">
        <v>2</v>
      </c>
      <c r="E11" s="7">
        <v>500</v>
      </c>
    </row>
    <row r="12" spans="1:5" x14ac:dyDescent="0.25">
      <c r="A12" s="5">
        <v>44314</v>
      </c>
      <c r="B12" s="6" t="s">
        <v>4</v>
      </c>
      <c r="C12" s="7">
        <v>250</v>
      </c>
      <c r="D12" s="6">
        <v>1</v>
      </c>
      <c r="E12" s="7">
        <v>250</v>
      </c>
    </row>
    <row r="13" spans="1:5" x14ac:dyDescent="0.25">
      <c r="A13" s="5">
        <v>44309</v>
      </c>
      <c r="B13" s="6" t="s">
        <v>5</v>
      </c>
      <c r="C13" s="7">
        <v>5000</v>
      </c>
      <c r="D13" s="6">
        <v>1</v>
      </c>
      <c r="E13" s="7">
        <v>5000</v>
      </c>
    </row>
    <row r="14" spans="1:5" x14ac:dyDescent="0.25">
      <c r="A14" s="5">
        <v>44310</v>
      </c>
      <c r="B14" s="6" t="s">
        <v>4</v>
      </c>
      <c r="C14" s="7">
        <v>250</v>
      </c>
      <c r="D14" s="6">
        <v>1</v>
      </c>
      <c r="E14" s="7">
        <v>250</v>
      </c>
    </row>
    <row r="15" spans="1:5" x14ac:dyDescent="0.25">
      <c r="A15" s="5">
        <v>44312</v>
      </c>
      <c r="B15" s="6" t="s">
        <v>3</v>
      </c>
      <c r="C15" s="7">
        <v>4500</v>
      </c>
      <c r="D15" s="6">
        <v>1</v>
      </c>
      <c r="E15" s="7">
        <v>4500</v>
      </c>
    </row>
    <row r="16" spans="1:5" x14ac:dyDescent="0.25">
      <c r="A16" s="5">
        <v>44300</v>
      </c>
      <c r="B16" s="6" t="s">
        <v>5</v>
      </c>
      <c r="C16" s="7">
        <v>5000</v>
      </c>
      <c r="D16" s="6">
        <v>1</v>
      </c>
      <c r="E16" s="7">
        <v>5000</v>
      </c>
    </row>
    <row r="17" spans="1:5" x14ac:dyDescent="0.25">
      <c r="A17" s="5">
        <v>44287</v>
      </c>
      <c r="B17" s="6" t="s">
        <v>3</v>
      </c>
      <c r="C17" s="7">
        <v>4500</v>
      </c>
      <c r="D17" s="6">
        <v>4</v>
      </c>
      <c r="E17" s="7">
        <v>18000</v>
      </c>
    </row>
    <row r="18" spans="1:5" x14ac:dyDescent="0.25">
      <c r="A18" s="5">
        <v>44303</v>
      </c>
      <c r="B18" s="6" t="s">
        <v>5</v>
      </c>
      <c r="C18" s="7">
        <v>5000</v>
      </c>
      <c r="D18" s="6">
        <v>3</v>
      </c>
      <c r="E18" s="7">
        <v>15000</v>
      </c>
    </row>
    <row r="19" spans="1:5" x14ac:dyDescent="0.25">
      <c r="A19" s="5">
        <v>44312</v>
      </c>
      <c r="B19" s="6" t="s">
        <v>5</v>
      </c>
      <c r="C19" s="7">
        <v>5000</v>
      </c>
      <c r="D19" s="6">
        <v>1</v>
      </c>
      <c r="E19" s="7">
        <v>5000</v>
      </c>
    </row>
    <row r="20" spans="1:5" x14ac:dyDescent="0.25">
      <c r="A20" s="5">
        <v>44307</v>
      </c>
      <c r="B20" s="6" t="s">
        <v>4</v>
      </c>
      <c r="C20" s="7">
        <v>250</v>
      </c>
      <c r="D20" s="6">
        <v>4</v>
      </c>
      <c r="E20" s="7">
        <v>1000</v>
      </c>
    </row>
    <row r="21" spans="1:5" x14ac:dyDescent="0.25">
      <c r="A21" s="5">
        <v>44308</v>
      </c>
      <c r="B21" s="6" t="s">
        <v>5</v>
      </c>
      <c r="C21" s="7">
        <v>5000</v>
      </c>
      <c r="D21" s="6">
        <v>4</v>
      </c>
      <c r="E21" s="7">
        <v>20000</v>
      </c>
    </row>
    <row r="22" spans="1:5" x14ac:dyDescent="0.25">
      <c r="A22" s="5">
        <v>44302</v>
      </c>
      <c r="B22" s="6" t="s">
        <v>3</v>
      </c>
      <c r="C22" s="7">
        <v>4500</v>
      </c>
      <c r="D22" s="6">
        <v>1</v>
      </c>
      <c r="E22" s="7">
        <v>4500</v>
      </c>
    </row>
    <row r="23" spans="1:5" x14ac:dyDescent="0.25">
      <c r="A23" s="5">
        <v>44307</v>
      </c>
      <c r="B23" s="6" t="s">
        <v>3</v>
      </c>
      <c r="C23" s="7">
        <v>4500</v>
      </c>
      <c r="D23" s="6">
        <v>2</v>
      </c>
      <c r="E23" s="7">
        <v>9000</v>
      </c>
    </row>
    <row r="24" spans="1:5" x14ac:dyDescent="0.25">
      <c r="A24" s="5">
        <v>44306</v>
      </c>
      <c r="B24" s="6" t="s">
        <v>3</v>
      </c>
      <c r="C24" s="7">
        <v>4500</v>
      </c>
      <c r="D24" s="6">
        <v>1</v>
      </c>
      <c r="E24" s="7">
        <v>4500</v>
      </c>
    </row>
    <row r="25" spans="1:5" x14ac:dyDescent="0.25">
      <c r="A25" s="5">
        <v>44287</v>
      </c>
      <c r="B25" s="6" t="s">
        <v>4</v>
      </c>
      <c r="C25" s="7">
        <v>250</v>
      </c>
      <c r="D25" s="6">
        <v>1</v>
      </c>
      <c r="E25" s="7">
        <v>250</v>
      </c>
    </row>
    <row r="26" spans="1:5" x14ac:dyDescent="0.25">
      <c r="A26" s="5">
        <v>44316</v>
      </c>
      <c r="B26" s="6" t="s">
        <v>3</v>
      </c>
      <c r="C26" s="7">
        <v>4500</v>
      </c>
      <c r="D26" s="6">
        <v>4</v>
      </c>
      <c r="E26" s="7">
        <v>18000</v>
      </c>
    </row>
    <row r="27" spans="1:5" x14ac:dyDescent="0.25">
      <c r="A27" s="5">
        <v>44305</v>
      </c>
      <c r="B27" s="6" t="s">
        <v>4</v>
      </c>
      <c r="C27" s="7">
        <v>250</v>
      </c>
      <c r="D27" s="6">
        <v>1</v>
      </c>
      <c r="E27" s="7">
        <v>250</v>
      </c>
    </row>
    <row r="28" spans="1:5" x14ac:dyDescent="0.25">
      <c r="A28" s="5">
        <v>44301</v>
      </c>
      <c r="B28" s="6" t="s">
        <v>3</v>
      </c>
      <c r="C28" s="7">
        <v>4500</v>
      </c>
      <c r="D28" s="6">
        <v>3</v>
      </c>
      <c r="E28" s="7">
        <v>13500</v>
      </c>
    </row>
    <row r="29" spans="1:5" x14ac:dyDescent="0.25">
      <c r="A29" s="5">
        <v>44311</v>
      </c>
      <c r="B29" s="6" t="s">
        <v>5</v>
      </c>
      <c r="C29" s="7">
        <v>5000</v>
      </c>
      <c r="D29" s="6">
        <v>4</v>
      </c>
      <c r="E29" s="7">
        <v>20000</v>
      </c>
    </row>
    <row r="30" spans="1:5" x14ac:dyDescent="0.25">
      <c r="A30" s="5">
        <v>44307</v>
      </c>
      <c r="B30" s="6" t="s">
        <v>3</v>
      </c>
      <c r="C30" s="7">
        <v>4500</v>
      </c>
      <c r="D30" s="6">
        <v>2</v>
      </c>
      <c r="E30" s="7">
        <v>9000</v>
      </c>
    </row>
    <row r="31" spans="1:5" x14ac:dyDescent="0.25">
      <c r="A31" s="5">
        <v>44294</v>
      </c>
      <c r="B31" s="6" t="s">
        <v>3</v>
      </c>
      <c r="C31" s="7">
        <v>4500</v>
      </c>
      <c r="D31" s="6">
        <v>1</v>
      </c>
      <c r="E31" s="7">
        <v>4500</v>
      </c>
    </row>
    <row r="32" spans="1:5" x14ac:dyDescent="0.25">
      <c r="A32" s="5">
        <v>44308</v>
      </c>
      <c r="B32" s="6" t="s">
        <v>3</v>
      </c>
      <c r="C32" s="7">
        <v>4500</v>
      </c>
      <c r="D32" s="6">
        <v>2</v>
      </c>
      <c r="E32" s="7">
        <v>9000</v>
      </c>
    </row>
    <row r="33" spans="1:5" x14ac:dyDescent="0.25">
      <c r="A33" s="5">
        <v>44303</v>
      </c>
      <c r="B33" s="6" t="s">
        <v>5</v>
      </c>
      <c r="C33" s="7">
        <v>5000</v>
      </c>
      <c r="D33" s="6">
        <v>2</v>
      </c>
      <c r="E33" s="7">
        <v>10000</v>
      </c>
    </row>
    <row r="34" spans="1:5" x14ac:dyDescent="0.25">
      <c r="A34" s="5">
        <v>44308</v>
      </c>
      <c r="B34" s="6" t="s">
        <v>4</v>
      </c>
      <c r="C34" s="7">
        <v>250</v>
      </c>
      <c r="D34" s="6">
        <v>1</v>
      </c>
      <c r="E34" s="7">
        <v>250</v>
      </c>
    </row>
    <row r="35" spans="1:5" x14ac:dyDescent="0.25">
      <c r="A35" s="5">
        <v>44308</v>
      </c>
      <c r="B35" s="6" t="s">
        <v>4</v>
      </c>
      <c r="C35" s="7">
        <v>250</v>
      </c>
      <c r="D35" s="6">
        <v>3</v>
      </c>
      <c r="E35" s="7">
        <v>750</v>
      </c>
    </row>
    <row r="36" spans="1:5" x14ac:dyDescent="0.25">
      <c r="A36" s="5">
        <v>44309</v>
      </c>
      <c r="B36" s="6" t="s">
        <v>3</v>
      </c>
      <c r="C36" s="7">
        <v>4500</v>
      </c>
      <c r="D36" s="6">
        <v>1</v>
      </c>
      <c r="E36" s="7">
        <v>4500</v>
      </c>
    </row>
    <row r="37" spans="1:5" x14ac:dyDescent="0.25">
      <c r="A37" s="5">
        <v>44309</v>
      </c>
      <c r="B37" s="6" t="s">
        <v>5</v>
      </c>
      <c r="C37" s="7">
        <v>5000</v>
      </c>
      <c r="D37" s="6">
        <v>2</v>
      </c>
      <c r="E37" s="7">
        <v>10000</v>
      </c>
    </row>
    <row r="38" spans="1:5" x14ac:dyDescent="0.25">
      <c r="A38" s="5">
        <v>44293</v>
      </c>
      <c r="B38" s="6" t="s">
        <v>5</v>
      </c>
      <c r="C38" s="7">
        <v>5000</v>
      </c>
      <c r="D38" s="6">
        <v>3</v>
      </c>
      <c r="E38" s="7">
        <v>15000</v>
      </c>
    </row>
    <row r="39" spans="1:5" x14ac:dyDescent="0.25">
      <c r="A39" s="5">
        <v>44313</v>
      </c>
      <c r="B39" s="6" t="s">
        <v>3</v>
      </c>
      <c r="C39" s="7">
        <v>4500</v>
      </c>
      <c r="D39" s="6">
        <v>1</v>
      </c>
      <c r="E39" s="7">
        <v>4500</v>
      </c>
    </row>
    <row r="40" spans="1:5" x14ac:dyDescent="0.25">
      <c r="A40" s="5">
        <v>44315</v>
      </c>
      <c r="B40" s="6" t="s">
        <v>5</v>
      </c>
      <c r="C40" s="7">
        <v>5000</v>
      </c>
      <c r="D40" s="6">
        <v>2</v>
      </c>
      <c r="E40" s="7">
        <v>10000</v>
      </c>
    </row>
    <row r="41" spans="1:5" x14ac:dyDescent="0.25">
      <c r="A41" s="5">
        <v>44301</v>
      </c>
      <c r="B41" s="6" t="s">
        <v>5</v>
      </c>
      <c r="C41" s="7">
        <v>5000</v>
      </c>
      <c r="D41" s="6">
        <v>1</v>
      </c>
      <c r="E41" s="7">
        <v>5000</v>
      </c>
    </row>
    <row r="42" spans="1:5" x14ac:dyDescent="0.25">
      <c r="A42" s="5">
        <v>44287</v>
      </c>
      <c r="B42" s="6" t="s">
        <v>5</v>
      </c>
      <c r="C42" s="7">
        <v>5000</v>
      </c>
      <c r="D42" s="6">
        <v>3</v>
      </c>
      <c r="E42" s="7">
        <v>15000</v>
      </c>
    </row>
    <row r="43" spans="1:5" x14ac:dyDescent="0.25">
      <c r="A43" s="5">
        <v>44292</v>
      </c>
      <c r="B43" s="6" t="s">
        <v>3</v>
      </c>
      <c r="C43" s="7">
        <v>4500</v>
      </c>
      <c r="D43" s="6">
        <v>3</v>
      </c>
      <c r="E43" s="7">
        <v>13500</v>
      </c>
    </row>
    <row r="44" spans="1:5" x14ac:dyDescent="0.25">
      <c r="A44" s="5">
        <v>44289</v>
      </c>
      <c r="B44" s="6" t="s">
        <v>4</v>
      </c>
      <c r="C44" s="7">
        <v>250</v>
      </c>
      <c r="D44" s="6">
        <v>2</v>
      </c>
      <c r="E44" s="7">
        <v>500</v>
      </c>
    </row>
    <row r="45" spans="1:5" x14ac:dyDescent="0.25">
      <c r="A45" s="5">
        <v>44307</v>
      </c>
      <c r="B45" s="6" t="s">
        <v>4</v>
      </c>
      <c r="C45" s="7">
        <v>250</v>
      </c>
      <c r="D45" s="6">
        <v>2</v>
      </c>
      <c r="E45" s="7">
        <v>500</v>
      </c>
    </row>
    <row r="46" spans="1:5" x14ac:dyDescent="0.25">
      <c r="A46" s="5">
        <v>44289</v>
      </c>
      <c r="B46" s="6" t="s">
        <v>3</v>
      </c>
      <c r="C46" s="7">
        <v>4500</v>
      </c>
      <c r="D46" s="6">
        <v>1</v>
      </c>
      <c r="E46" s="7">
        <v>4500</v>
      </c>
    </row>
    <row r="47" spans="1:5" x14ac:dyDescent="0.25">
      <c r="A47" s="5">
        <v>44314</v>
      </c>
      <c r="B47" s="6" t="s">
        <v>4</v>
      </c>
      <c r="C47" s="7">
        <v>250</v>
      </c>
      <c r="D47" s="6">
        <v>3</v>
      </c>
      <c r="E47" s="7">
        <v>750</v>
      </c>
    </row>
    <row r="48" spans="1:5" x14ac:dyDescent="0.25">
      <c r="A48" s="5">
        <v>44293</v>
      </c>
      <c r="B48" s="6" t="s">
        <v>5</v>
      </c>
      <c r="C48" s="7">
        <v>5000</v>
      </c>
      <c r="D48" s="6">
        <v>1</v>
      </c>
      <c r="E48" s="7">
        <v>5000</v>
      </c>
    </row>
    <row r="49" spans="1:5" x14ac:dyDescent="0.25">
      <c r="A49" s="5">
        <v>44290</v>
      </c>
      <c r="B49" s="6" t="s">
        <v>3</v>
      </c>
      <c r="C49" s="7">
        <v>4500</v>
      </c>
      <c r="D49" s="6">
        <v>3</v>
      </c>
      <c r="E49" s="7">
        <v>13500</v>
      </c>
    </row>
    <row r="50" spans="1:5" x14ac:dyDescent="0.25">
      <c r="A50" s="5">
        <v>44314</v>
      </c>
      <c r="B50" s="6" t="s">
        <v>4</v>
      </c>
      <c r="C50" s="7">
        <v>250</v>
      </c>
      <c r="D50" s="6">
        <v>1</v>
      </c>
      <c r="E50" s="7">
        <v>250</v>
      </c>
    </row>
    <row r="51" spans="1:5" x14ac:dyDescent="0.25">
      <c r="A51" s="5">
        <v>44305</v>
      </c>
      <c r="B51" s="6" t="s">
        <v>4</v>
      </c>
      <c r="C51" s="7">
        <v>250</v>
      </c>
      <c r="D51" s="6">
        <v>4</v>
      </c>
      <c r="E51" s="7">
        <v>1000</v>
      </c>
    </row>
    <row r="52" spans="1:5" x14ac:dyDescent="0.25">
      <c r="A52" s="5">
        <v>44290</v>
      </c>
      <c r="B52" s="6" t="s">
        <v>5</v>
      </c>
      <c r="C52" s="7">
        <v>5000</v>
      </c>
      <c r="D52" s="6">
        <v>2</v>
      </c>
      <c r="E52" s="7">
        <v>10000</v>
      </c>
    </row>
    <row r="53" spans="1:5" x14ac:dyDescent="0.25">
      <c r="A53" s="5">
        <v>44289</v>
      </c>
      <c r="B53" s="6" t="s">
        <v>4</v>
      </c>
      <c r="C53" s="7">
        <v>250</v>
      </c>
      <c r="D53" s="6">
        <v>1</v>
      </c>
      <c r="E53" s="7">
        <v>250</v>
      </c>
    </row>
    <row r="54" spans="1:5" x14ac:dyDescent="0.25">
      <c r="A54" s="5">
        <v>44308</v>
      </c>
      <c r="B54" s="6" t="s">
        <v>4</v>
      </c>
      <c r="C54" s="7">
        <v>250</v>
      </c>
      <c r="D54" s="6">
        <v>1</v>
      </c>
      <c r="E54" s="7">
        <v>250</v>
      </c>
    </row>
    <row r="55" spans="1:5" x14ac:dyDescent="0.25">
      <c r="A55" s="5">
        <v>44305</v>
      </c>
      <c r="B55" s="6" t="s">
        <v>5</v>
      </c>
      <c r="C55" s="7">
        <v>5000</v>
      </c>
      <c r="D55" s="6">
        <v>4</v>
      </c>
      <c r="E55" s="7">
        <v>20000</v>
      </c>
    </row>
    <row r="56" spans="1:5" x14ac:dyDescent="0.25">
      <c r="A56" s="5">
        <v>44307</v>
      </c>
      <c r="B56" s="6" t="s">
        <v>3</v>
      </c>
      <c r="C56" s="7">
        <v>4500</v>
      </c>
      <c r="D56" s="6">
        <v>1</v>
      </c>
      <c r="E56" s="7">
        <v>4500</v>
      </c>
    </row>
    <row r="57" spans="1:5" x14ac:dyDescent="0.25">
      <c r="A57" s="5">
        <v>44290</v>
      </c>
      <c r="B57" s="6" t="s">
        <v>3</v>
      </c>
      <c r="C57" s="7">
        <v>4500</v>
      </c>
      <c r="D57" s="6">
        <v>4</v>
      </c>
      <c r="E57" s="7">
        <v>18000</v>
      </c>
    </row>
    <row r="58" spans="1:5" x14ac:dyDescent="0.25">
      <c r="A58" s="5">
        <v>44310</v>
      </c>
      <c r="B58" s="6" t="s">
        <v>5</v>
      </c>
      <c r="C58" s="7">
        <v>5000</v>
      </c>
      <c r="D58" s="6">
        <v>3</v>
      </c>
      <c r="E58" s="7">
        <v>15000</v>
      </c>
    </row>
    <row r="59" spans="1:5" x14ac:dyDescent="0.25">
      <c r="A59" s="5">
        <v>44299</v>
      </c>
      <c r="B59" s="6" t="s">
        <v>4</v>
      </c>
      <c r="C59" s="7">
        <v>250</v>
      </c>
      <c r="D59" s="6">
        <v>2</v>
      </c>
      <c r="E59" s="7">
        <v>500</v>
      </c>
    </row>
    <row r="60" spans="1:5" x14ac:dyDescent="0.25">
      <c r="A60" s="5">
        <v>44291</v>
      </c>
      <c r="B60" s="6" t="s">
        <v>5</v>
      </c>
      <c r="C60" s="7">
        <v>5000</v>
      </c>
      <c r="D60" s="6">
        <v>1</v>
      </c>
      <c r="E60" s="7">
        <v>5000</v>
      </c>
    </row>
    <row r="61" spans="1:5" x14ac:dyDescent="0.25">
      <c r="A61" s="5">
        <v>44308</v>
      </c>
      <c r="B61" s="6" t="s">
        <v>4</v>
      </c>
      <c r="C61" s="7">
        <v>250</v>
      </c>
      <c r="D61" s="6">
        <v>4</v>
      </c>
      <c r="E61" s="7">
        <v>1000</v>
      </c>
    </row>
    <row r="62" spans="1:5" x14ac:dyDescent="0.25">
      <c r="A62" s="5">
        <v>44300</v>
      </c>
      <c r="B62" s="6" t="s">
        <v>5</v>
      </c>
      <c r="C62" s="7">
        <v>5000</v>
      </c>
      <c r="D62" s="6">
        <v>1</v>
      </c>
      <c r="E62" s="7">
        <v>5000</v>
      </c>
    </row>
    <row r="63" spans="1:5" x14ac:dyDescent="0.25">
      <c r="A63" s="5">
        <v>44311</v>
      </c>
      <c r="B63" s="6" t="s">
        <v>4</v>
      </c>
      <c r="C63" s="7">
        <v>250</v>
      </c>
      <c r="D63" s="6">
        <v>1</v>
      </c>
      <c r="E63" s="7">
        <v>250</v>
      </c>
    </row>
    <row r="64" spans="1:5" x14ac:dyDescent="0.25">
      <c r="A64" s="5">
        <v>44310</v>
      </c>
      <c r="B64" s="6" t="s">
        <v>4</v>
      </c>
      <c r="C64" s="7">
        <v>250</v>
      </c>
      <c r="D64" s="6">
        <v>2</v>
      </c>
      <c r="E64" s="7">
        <v>500</v>
      </c>
    </row>
    <row r="65" spans="1:5" x14ac:dyDescent="0.25">
      <c r="A65" s="5">
        <v>44303</v>
      </c>
      <c r="B65" s="6" t="s">
        <v>3</v>
      </c>
      <c r="C65" s="7">
        <v>4500</v>
      </c>
      <c r="D65" s="6">
        <v>1</v>
      </c>
      <c r="E65" s="7">
        <v>4500</v>
      </c>
    </row>
    <row r="66" spans="1:5" x14ac:dyDescent="0.25">
      <c r="A66" s="5">
        <v>44306</v>
      </c>
      <c r="B66" s="6" t="s">
        <v>4</v>
      </c>
      <c r="C66" s="7">
        <v>250</v>
      </c>
      <c r="D66" s="6">
        <v>3</v>
      </c>
      <c r="E66" s="7">
        <v>750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B977-F1F4-47BB-80B0-6177A0627FFD}">
  <sheetPr codeName="Sayfa4"/>
  <dimension ref="A3:B30"/>
  <sheetViews>
    <sheetView topLeftCell="A2" zoomScale="115" zoomScaleNormal="115" workbookViewId="0">
      <selection activeCell="D18" sqref="D18"/>
    </sheetView>
  </sheetViews>
  <sheetFormatPr defaultRowHeight="13.8" x14ac:dyDescent="0.25"/>
  <cols>
    <col min="1" max="1" width="15.09765625" bestFit="1" customWidth="1"/>
    <col min="2" max="2" width="19.8984375" bestFit="1" customWidth="1"/>
  </cols>
  <sheetData>
    <row r="3" spans="1:2" x14ac:dyDescent="0.25">
      <c r="A3" s="1" t="s">
        <v>8</v>
      </c>
      <c r="B3" t="s">
        <v>11</v>
      </c>
    </row>
    <row r="4" spans="1:2" x14ac:dyDescent="0.25">
      <c r="A4" s="3">
        <v>44287</v>
      </c>
      <c r="B4">
        <v>37750</v>
      </c>
    </row>
    <row r="5" spans="1:2" x14ac:dyDescent="0.25">
      <c r="A5" s="3">
        <v>44289</v>
      </c>
      <c r="B5">
        <v>5250</v>
      </c>
    </row>
    <row r="6" spans="1:2" x14ac:dyDescent="0.25">
      <c r="A6" s="3">
        <v>44290</v>
      </c>
      <c r="B6">
        <v>59500</v>
      </c>
    </row>
    <row r="7" spans="1:2" x14ac:dyDescent="0.25">
      <c r="A7" s="3">
        <v>44291</v>
      </c>
      <c r="B7">
        <v>5000</v>
      </c>
    </row>
    <row r="8" spans="1:2" x14ac:dyDescent="0.25">
      <c r="A8" s="3">
        <v>44292</v>
      </c>
      <c r="B8">
        <v>13500</v>
      </c>
    </row>
    <row r="9" spans="1:2" x14ac:dyDescent="0.25">
      <c r="A9" s="3">
        <v>44293</v>
      </c>
      <c r="B9">
        <v>20500</v>
      </c>
    </row>
    <row r="10" spans="1:2" x14ac:dyDescent="0.25">
      <c r="A10" s="3">
        <v>44294</v>
      </c>
      <c r="B10">
        <v>4500</v>
      </c>
    </row>
    <row r="11" spans="1:2" x14ac:dyDescent="0.25">
      <c r="A11" s="3">
        <v>44298</v>
      </c>
      <c r="B11">
        <v>1000</v>
      </c>
    </row>
    <row r="12" spans="1:2" x14ac:dyDescent="0.25">
      <c r="A12" s="3">
        <v>44299</v>
      </c>
      <c r="B12">
        <v>15500</v>
      </c>
    </row>
    <row r="13" spans="1:2" x14ac:dyDescent="0.25">
      <c r="A13" s="3">
        <v>44300</v>
      </c>
      <c r="B13">
        <v>10000</v>
      </c>
    </row>
    <row r="14" spans="1:2" x14ac:dyDescent="0.25">
      <c r="A14" s="3">
        <v>44301</v>
      </c>
      <c r="B14">
        <v>18500</v>
      </c>
    </row>
    <row r="15" spans="1:2" x14ac:dyDescent="0.25">
      <c r="A15" s="3">
        <v>44302</v>
      </c>
      <c r="B15">
        <v>4500</v>
      </c>
    </row>
    <row r="16" spans="1:2" x14ac:dyDescent="0.25">
      <c r="A16" s="3">
        <v>44303</v>
      </c>
      <c r="B16">
        <v>29500</v>
      </c>
    </row>
    <row r="17" spans="1:2" x14ac:dyDescent="0.25">
      <c r="A17" s="3">
        <v>44304</v>
      </c>
      <c r="B17">
        <v>500</v>
      </c>
    </row>
    <row r="18" spans="1:2" x14ac:dyDescent="0.25">
      <c r="A18" s="3">
        <v>44305</v>
      </c>
      <c r="B18">
        <v>21250</v>
      </c>
    </row>
    <row r="19" spans="1:2" x14ac:dyDescent="0.25">
      <c r="A19" s="3">
        <v>44306</v>
      </c>
      <c r="B19">
        <v>10250</v>
      </c>
    </row>
    <row r="20" spans="1:2" x14ac:dyDescent="0.25">
      <c r="A20" s="3">
        <v>44307</v>
      </c>
      <c r="B20">
        <v>24000</v>
      </c>
    </row>
    <row r="21" spans="1:2" x14ac:dyDescent="0.25">
      <c r="A21" s="3">
        <v>44308</v>
      </c>
      <c r="B21">
        <v>31250</v>
      </c>
    </row>
    <row r="22" spans="1:2" x14ac:dyDescent="0.25">
      <c r="A22" s="3">
        <v>44309</v>
      </c>
      <c r="B22">
        <v>19500</v>
      </c>
    </row>
    <row r="23" spans="1:2" x14ac:dyDescent="0.25">
      <c r="A23" s="3">
        <v>44310</v>
      </c>
      <c r="B23">
        <v>15750</v>
      </c>
    </row>
    <row r="24" spans="1:2" x14ac:dyDescent="0.25">
      <c r="A24" s="3">
        <v>44311</v>
      </c>
      <c r="B24">
        <v>20250</v>
      </c>
    </row>
    <row r="25" spans="1:2" x14ac:dyDescent="0.25">
      <c r="A25" s="3">
        <v>44312</v>
      </c>
      <c r="B25">
        <v>27500</v>
      </c>
    </row>
    <row r="26" spans="1:2" x14ac:dyDescent="0.25">
      <c r="A26" s="3">
        <v>44313</v>
      </c>
      <c r="B26">
        <v>4500</v>
      </c>
    </row>
    <row r="27" spans="1:2" x14ac:dyDescent="0.25">
      <c r="A27" s="3">
        <v>44314</v>
      </c>
      <c r="B27">
        <v>1500</v>
      </c>
    </row>
    <row r="28" spans="1:2" x14ac:dyDescent="0.25">
      <c r="A28" s="3">
        <v>44315</v>
      </c>
      <c r="B28">
        <v>25000</v>
      </c>
    </row>
    <row r="29" spans="1:2" x14ac:dyDescent="0.25">
      <c r="A29" s="3">
        <v>44316</v>
      </c>
      <c r="B29">
        <v>18000</v>
      </c>
    </row>
    <row r="30" spans="1:2" x14ac:dyDescent="0.25">
      <c r="A30" s="3" t="s">
        <v>9</v>
      </c>
      <c r="B30">
        <v>444250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34B3-E353-4ECA-A842-E38FF73BCDF6}">
  <sheetPr codeName="Sayfa5"/>
  <dimension ref="A3:E10"/>
  <sheetViews>
    <sheetView zoomScale="130" zoomScaleNormal="130" workbookViewId="0">
      <selection activeCell="A28" sqref="A28"/>
    </sheetView>
  </sheetViews>
  <sheetFormatPr defaultRowHeight="13.8" x14ac:dyDescent="0.25"/>
  <cols>
    <col min="1" max="1" width="21.5" bestFit="1" customWidth="1"/>
    <col min="2" max="2" width="16.09765625" bestFit="1" customWidth="1"/>
    <col min="3" max="3" width="7.19921875" bestFit="1" customWidth="1"/>
    <col min="4" max="4" width="10.5" bestFit="1" customWidth="1"/>
    <col min="5" max="5" width="14" bestFit="1" customWidth="1"/>
  </cols>
  <sheetData>
    <row r="3" spans="1:5" x14ac:dyDescent="0.25">
      <c r="A3" s="1" t="s">
        <v>10</v>
      </c>
      <c r="B3" s="1" t="s">
        <v>12</v>
      </c>
    </row>
    <row r="4" spans="1:5" x14ac:dyDescent="0.25">
      <c r="A4" s="1" t="s">
        <v>8</v>
      </c>
      <c r="B4" t="s">
        <v>4</v>
      </c>
      <c r="C4" t="s">
        <v>3</v>
      </c>
      <c r="D4" t="s">
        <v>5</v>
      </c>
      <c r="E4" t="s">
        <v>9</v>
      </c>
    </row>
    <row r="5" spans="1:5" x14ac:dyDescent="0.25">
      <c r="A5" s="3" t="s">
        <v>14</v>
      </c>
      <c r="B5">
        <v>6</v>
      </c>
      <c r="C5">
        <v>20</v>
      </c>
      <c r="D5">
        <v>10</v>
      </c>
      <c r="E5">
        <v>36</v>
      </c>
    </row>
    <row r="6" spans="1:5" x14ac:dyDescent="0.25">
      <c r="A6" s="3" t="s">
        <v>13</v>
      </c>
      <c r="B6">
        <v>6</v>
      </c>
      <c r="C6">
        <v>1</v>
      </c>
      <c r="D6">
        <v>5</v>
      </c>
      <c r="E6">
        <v>12</v>
      </c>
    </row>
    <row r="7" spans="1:5" x14ac:dyDescent="0.25">
      <c r="A7" s="3" t="s">
        <v>15</v>
      </c>
      <c r="B7">
        <v>16</v>
      </c>
      <c r="C7">
        <v>11</v>
      </c>
      <c r="D7">
        <v>11</v>
      </c>
      <c r="E7">
        <v>38</v>
      </c>
    </row>
    <row r="8" spans="1:5" x14ac:dyDescent="0.25">
      <c r="A8" s="3" t="s">
        <v>16</v>
      </c>
      <c r="B8">
        <v>19</v>
      </c>
      <c r="C8">
        <v>9</v>
      </c>
      <c r="D8">
        <v>15</v>
      </c>
      <c r="E8">
        <v>43</v>
      </c>
    </row>
    <row r="9" spans="1:5" x14ac:dyDescent="0.25">
      <c r="A9" s="3" t="s">
        <v>17</v>
      </c>
      <c r="C9">
        <v>4</v>
      </c>
      <c r="D9">
        <v>5</v>
      </c>
      <c r="E9">
        <v>9</v>
      </c>
    </row>
    <row r="10" spans="1:5" x14ac:dyDescent="0.25">
      <c r="A10" s="3" t="s">
        <v>9</v>
      </c>
      <c r="B10">
        <v>47</v>
      </c>
      <c r="C10">
        <v>45</v>
      </c>
      <c r="D10">
        <v>46</v>
      </c>
      <c r="E10">
        <v>138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9F6D-CD90-46AC-B178-F11A38581B97}">
  <sheetPr codeName="Sayfa6"/>
  <dimension ref="A3:B7"/>
  <sheetViews>
    <sheetView zoomScale="145" zoomScaleNormal="145" workbookViewId="0">
      <selection activeCell="J15" sqref="J15"/>
    </sheetView>
  </sheetViews>
  <sheetFormatPr defaultRowHeight="13.8" x14ac:dyDescent="0.25"/>
  <cols>
    <col min="1" max="1" width="15.09765625" bestFit="1" customWidth="1"/>
    <col min="2" max="2" width="19.8984375" bestFit="1" customWidth="1"/>
  </cols>
  <sheetData>
    <row r="3" spans="1:2" x14ac:dyDescent="0.25">
      <c r="A3" s="1" t="s">
        <v>8</v>
      </c>
      <c r="B3" t="s">
        <v>11</v>
      </c>
    </row>
    <row r="4" spans="1:2" x14ac:dyDescent="0.25">
      <c r="A4" s="2" t="s">
        <v>4</v>
      </c>
      <c r="B4">
        <v>11750</v>
      </c>
    </row>
    <row r="5" spans="1:2" x14ac:dyDescent="0.25">
      <c r="A5" s="2" t="s">
        <v>3</v>
      </c>
      <c r="B5">
        <v>202500</v>
      </c>
    </row>
    <row r="6" spans="1:2" x14ac:dyDescent="0.25">
      <c r="A6" s="2" t="s">
        <v>5</v>
      </c>
      <c r="B6">
        <v>230000</v>
      </c>
    </row>
    <row r="7" spans="1:2" x14ac:dyDescent="0.25">
      <c r="A7" s="2" t="s">
        <v>9</v>
      </c>
      <c r="B7">
        <v>444250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5DF5-6296-4673-9C7C-4C6943AFD313}">
  <sheetPr codeName="Sayfa7"/>
  <dimension ref="A1"/>
  <sheetViews>
    <sheetView zoomScale="190" zoomScaleNormal="190" workbookViewId="0"/>
  </sheetViews>
  <sheetFormatPr defaultRowHeight="13.8" x14ac:dyDescent="0.25"/>
  <cols>
    <col min="1" max="1" width="50.8984375" customWidth="1"/>
  </cols>
  <sheetData>
    <row r="1" spans="1:1" ht="25.5" customHeight="1" x14ac:dyDescent="0.25">
      <c r="A1" t="str">
        <f>UPPER(TEXT(Tablo!A2,"aaaa"))&amp;" AYI PERFORMANS RAPORU"</f>
        <v>NİSAN AYI PERFORMANS RAPORU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7" baseType="lpstr">
      <vt:lpstr>DashBoard</vt:lpstr>
      <vt:lpstr>Tablo</vt:lpstr>
      <vt:lpstr>Pvt1</vt:lpstr>
      <vt:lpstr>Pvt2</vt:lpstr>
      <vt:lpstr>Pvt3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2021-04-02T15:43:22Z</dcterms:created>
  <dcterms:modified xsi:type="dcterms:W3CDTF">2023-04-20T09:55:46Z</dcterms:modified>
</cp:coreProperties>
</file>