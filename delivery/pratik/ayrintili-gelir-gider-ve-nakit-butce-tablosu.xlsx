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17C74951-02EC-4891-BC2B-1E653C4954AE}" ns3:coauthVersionLast="47" ns3:coauthVersionMax="47" ns4:uidLastSave="{00000000-0000-0000-0000-000000000000}"/>
  <ns0:bookViews>
    <ns0:workbookView xWindow="-96" yWindow="0" windowWidth="11712" windowHeight="12336" ns5:uid="{334BD57C-C8C3-4548-848C-32DDC653B0F1}" activeTab="0"/>
  </ns0:bookViews>
  <ns0:sheets>
    <ns0:sheet name="Gelir-Gider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F5" i="1" l="1"/>
  <c r="H5" i="1" s="1"/>
  <c r="E5" i="1"/>
  <c r="G17" i="1" l="1"/>
  <c r="G12" i="1"/>
  <c r="G9" i="1"/>
  <c r="G10" i="1"/>
  <c r="G11" i="1"/>
  <c r="G13" i="1"/>
  <c r="G14" i="1"/>
  <c r="G15" i="1"/>
  <c r="G16" i="1"/>
  <c r="G18" i="1"/>
  <c r="G8" i="1"/>
  <c r="H8" i="1" s="1"/>
  <c r="H9" i="1" s="1"/>
  <c r="H10" i="1" s="1"/>
  <c r="H11" i="1" l="1"/>
  <c r="H12" i="1"/>
  <c r="H13" i="1" s="1"/>
  <c r="H14" i="1" s="1"/>
  <c r="H15" i="1" s="1"/>
  <c r="H16" i="1" s="1"/>
  <c r="H17" i="1" s="1"/>
  <c r="H18" i="1" s="1"/>
</calcChain>
</file>

<file path=xl/sharedStrings.xml><?xml version="1.0" encoding="utf-8"?>
<sst xmlns="http://schemas.openxmlformats.org/spreadsheetml/2006/main" count="40" uniqueCount="33">
  <si>
    <t>GELİR-GİDER TABLOSU</t>
  </si>
  <si>
    <t>Tarih</t>
  </si>
  <si>
    <t>Kategori</t>
  </si>
  <si>
    <t>Açıklama</t>
  </si>
  <si>
    <t>Gelir</t>
  </si>
  <si>
    <t>Gider</t>
  </si>
  <si>
    <t>Hesap Bakiyesi</t>
  </si>
  <si>
    <t>Genel Bakiye</t>
  </si>
  <si>
    <t>Kredi</t>
  </si>
  <si>
    <t>Başlangıç Bakiyesi</t>
  </si>
  <si>
    <t>Transfer</t>
  </si>
  <si>
    <t>Benzin</t>
  </si>
  <si>
    <t>Market</t>
  </si>
  <si>
    <t>Diğer</t>
  </si>
  <si>
    <t>Benzin alındı</t>
  </si>
  <si>
    <t>Mutfak giderleri</t>
  </si>
  <si>
    <t>Personel giderleri</t>
  </si>
  <si>
    <t>ATM Para çekimi</t>
  </si>
  <si>
    <t>İşyeri ödeme</t>
  </si>
  <si>
    <t>Firma 2 'den ödeme alındı</t>
  </si>
  <si>
    <t>Araba gideri</t>
  </si>
  <si>
    <t>Firma 1'den transfer</t>
  </si>
  <si>
    <t>Temizlik firmasına ödeme</t>
  </si>
  <si>
    <t>Kalan Bakiye</t>
  </si>
  <si>
    <t>Toplam Gelir</t>
  </si>
  <si>
    <t>Toplam Gider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</si>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</sst>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_ ;[Red]\-#,##0.00\ "/>
  </numFmts>
  <fonts count="10">
    <font>
      <sz val="11"/>
      <color theme="1"/>
      <name val="Century Gothic"/>
      <family val="2"/>
      <charset val="162"/>
    </font>
    <font>
      <sz val="11"/>
      <color theme="1"/>
      <name val="Neue Haas Grotesk Text Proalibr"/>
      <family val="2"/>
      <charset val="162"/>
      <scheme val="minor"/>
    </font>
    <font>
      <b/>
      <sz val="11"/>
      <color theme="0"/>
      <name val="Century Gothic"/>
      <family val="2"/>
      <charset val="162"/>
    </font>
    <font>
      <b/>
      <sz val="11"/>
      <color theme="1"/>
      <name val="Century Gothic"/>
      <family val="2"/>
      <charset val="162"/>
    </font>
    <font>
      <b/>
      <sz val="24"/>
      <color theme="4" tint="-0.249977111117893"/>
      <name val="Century Gothic"/>
      <family val="2"/>
      <charset val="162"/>
    </font>
    <font>
      <sz val="11"/>
      <color theme="1"/>
      <name val="Century Gothic"/>
      <family val="2"/>
      <charset val="162"/>
    </font>
    <font>
      <sz val="11"/>
      <color theme="0"/>
      <name val="Neue Haas Grotesk Text Proalibr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Neue Haas Grotesk Text Proalibr"/>
      <family val="2"/>
      <scheme val="minor"/>
    </font>
    <font>
      <u/>
      <sz val="11"/>
      <color theme="10"/>
      <name val="Neue Haas Grotesk Text Proalibr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8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Border="1"/>
    <xf numFmtId="164" fontId="0" fillId="3" borderId="1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8" fontId="0" fillId="4" borderId="1" xfId="0" applyNumberFormat="1" applyFill="1" applyBorder="1" applyAlignment="1">
      <alignment horizontal="center" vertical="center"/>
    </xf>
    <xf numFmtId="8" fontId="0" fillId="4" borderId="8" xfId="0" applyNumberFormat="1" applyFill="1" applyBorder="1" applyAlignment="1">
      <alignment horizontal="center" vertical="center"/>
    </xf>
    <xf numFmtId="8" fontId="0" fillId="5" borderId="1" xfId="0" applyNumberFormat="1" applyFill="1" applyBorder="1" applyAlignment="1">
      <alignment horizontal="center" vertical="center"/>
    </xf>
    <xf numFmtId="8" fontId="0" fillId="5" borderId="8" xfId="0" applyNumberForma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6" borderId="0" xfId="2" applyFont="1" applyFill="1" applyAlignment="1">
      <alignment horizontal="left" vertical="center" wrapText="1"/>
    </xf>
    <xf numFmtId="0" fontId="6" fillId="6" borderId="0" xfId="2" applyFont="1" applyFill="1" applyAlignment="1">
      <alignment horizontal="left" vertical="center"/>
    </xf>
    <xf numFmtId="0" fontId="7" fillId="6" borderId="10" xfId="2" applyFont="1" applyFill="1" applyBorder="1" applyAlignment="1">
      <alignment horizontal="left" vertical="center" wrapText="1" indent="1"/>
    </xf>
    <xf numFmtId="0" fontId="7" fillId="6" borderId="0" xfId="2" applyFont="1" applyFill="1" applyAlignment="1">
      <alignment horizontal="left" vertical="center" wrapText="1" indent="1"/>
    </xf>
    <xf numFmtId="0" fontId="7" fillId="6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3" borderId="0" xfId="2" applyFill="1" applyAlignment="1">
      <alignment horizontal="left" vertical="center"/>
    </xf>
    <xf numFmtId="0" fontId="1" fillId="3" borderId="0" xfId="2" applyFill="1" applyAlignment="1">
      <alignment horizontal="left" vertical="top"/>
    </xf>
    <xf numFmtId="0" fontId="8" fillId="3" borderId="11" xfId="2" applyFont="1" applyFill="1" applyBorder="1" applyAlignment="1">
      <alignment vertical="top"/>
    </xf>
    <xf numFmtId="0" fontId="1" fillId="3" borderId="11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9" fillId="3" borderId="0" xfId="3" applyFill="1" applyAlignment="1">
      <alignment horizontal="left" vertical="center"/>
    </xf>
    <xf numFmtId="0" fontId="1" fillId="3" borderId="0" xfId="2" applyFill="1" applyAlignment="1">
      <alignment vertical="center" wrapText="1"/>
    </xf>
    <xf numFmtId="0" fontId="1" fillId="3" borderId="0" xfId="2" applyFill="1" applyAlignment="1">
      <alignment vertical="top" wrapText="1"/>
    </xf>
    <xf numFmtId="0" fontId="1" fillId="3" borderId="0" xfId="2" applyFill="1"/>
    <xf numFmtId="0" fontId="1" fillId="3" borderId="0" xfId="2" applyFill="1" applyAlignment="1">
      <alignment horizontal="left" vertical="top" wrapText="1"/>
    </xf>
    <xf numFmtId="0" fontId="0" fillId="3" borderId="0" xfId="2" applyFont="1" applyFill="1" applyAlignment="1">
      <alignment horizontal="left" vertical="top" wrapText="1"/>
    </xf>
    <xf numFmtId="0" fontId="1" fillId="0" borderId="0" xfId="2"/>
    <xf numFmtId="0" fontId="1" fillId="3" borderId="0" xfId="2" applyFill="1" applyAlignment="1">
      <alignment horizontal="left" vertical="center" wrapText="1"/>
    </xf>
  </cellXfs>
  <cellStyles count="4">
    <cellStyle name="Köprü 2" xfId="3" xr:uid="{8B19E1A8-9781-43FF-BAEE-683A52568D69}"/>
    <cellStyle name="Normal" xfId="0" builtinId="0"/>
    <cellStyle name="Normal 2" xfId="1" xr:uid="{BBEAA996-3184-4941-A84A-78475E03816A}"/>
    <cellStyle name="Normal 2 2" xfId="2" xr:uid="{21015991-98DB-4A39-9E69-BC6D53F0EA28}"/>
  </cellStyles>
  <dxfs count="11">
    <dxf>
      <numFmt numFmtId="164" formatCode="#,##0.00_ ;[Red]\-#,##0.00\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#,##0.00_ ;[Red]\-#,##0.00\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&quot;₺&quot;#,##0.00;[Red]\-&quot;₺&quot;#,##0.0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&quot;₺&quot;#,##0.00;[Red]\-&quot;₺&quot;#,##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charset val="16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10572-E6F7-4F7E-8152-E2BBD8B57311}" name="Tablo1" displayName="Tablo1" ref="B7:H18" totalsRowShown="0" headerRowDxfId="10" headerRowBorderDxfId="9" tableBorderDxfId="8" totalsRowBorderDxfId="7">
  <autoFilter ref="B7:H18" xr:uid="{D6B10572-E6F7-4F7E-8152-E2BBD8B57311}"/>
  <tableColumns count="7">
    <tableColumn id="1" xr3:uid="{C1717A43-87CB-438B-9AD2-615DFAEB9630}" name="Tarih" dataDxfId="6"/>
    <tableColumn id="2" xr3:uid="{7AF6A1FF-AF6F-4B2F-960D-30CB58076316}" name="Kategori" dataDxfId="5"/>
    <tableColumn id="3" xr3:uid="{F9C816BA-1678-4277-9D22-0F76DCFD6791}" name="Açıklama" dataDxfId="4"/>
    <tableColumn id="4" xr3:uid="{8317EF93-EAFB-4D99-9245-A4D09115003F}" name="Gelir" dataDxfId="3"/>
    <tableColumn id="5" xr3:uid="{6239F9F8-B9A6-466D-A00B-8EDF957DEECE}" name="Gider" dataDxfId="2"/>
    <tableColumn id="6" xr3:uid="{E4424325-C1A9-4240-A016-36AE278AEA8F}" name="Hesap Bakiyesi" dataDxfId="1">
      <calculatedColumnFormula>E8-F8</calculatedColumnFormula>
    </tableColumn>
    <tableColumn id="7" xr3:uid="{C3579BE7-84B1-4D48-A714-67431594AF88}" name="Genel Bakiye" dataDxfId="0">
      <calculatedColumnFormula>H7+G8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_Theme3">
  <a:themeElements>
    <a:clrScheme name="Salih2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GiyiMood">
      <a:majorFont>
        <a:latin typeface="Neue Haas Grotesk Text Pro"/>
        <a:ea typeface=""/>
        <a:cs typeface=""/>
      </a:majorFont>
      <a:minorFont>
        <a:latin typeface="Neue Haas Grotesk Text Proalibri"/>
        <a:ea typeface=""/>
        <a:cs typeface="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E904-774E-4322-AD34-DD10223DDF25}">
  <sheetPr codeName="Sayfa2"/>
  <dimension ref="B2:H18"/>
  <sheetViews>
    <sheetView showGridLines="0" zoomScale="130" zoomScaleNormal="130" workbookViewId="0">
      <selection activeCell="D4" sqref="D4"/>
    </sheetView>
  </sheetViews>
  <sheetFormatPr defaultRowHeight="13.8"/>
  <cols>
    <col min="1" max="1" width="3.296875" customWidth="1"/>
    <col min="2" max="2" width="11.59765625" customWidth="1"/>
    <col min="3" max="3" width="9.5" customWidth="1"/>
    <col min="4" max="4" width="26.5" customWidth="1"/>
    <col min="5" max="6" width="11.3984375" customWidth="1"/>
    <col min="7" max="7" width="15.59765625" customWidth="1"/>
    <col min="8" max="8" width="16.59765625" customWidth="1"/>
  </cols>
  <sheetData>
    <row r="2" spans="2:8" ht="29.4">
      <c r="B2" s="19" t="s">
        <v>0</v>
      </c>
      <c r="C2" s="19"/>
      <c r="D2" s="19"/>
      <c r="E2" s="19"/>
      <c r="F2" s="19"/>
      <c r="G2" s="19"/>
      <c r="H2" s="19"/>
    </row>
    <row r="4" spans="2:8" ht="40.799999999999997" customHeight="1">
      <c r="E4" s="4" t="s">
        <v>24</v>
      </c>
      <c r="F4" s="4" t="s">
        <v>25</v>
      </c>
      <c r="H4" s="3" t="s">
        <v>23</v>
      </c>
    </row>
    <row r="5" spans="2:8" ht="24.6" customHeight="1">
      <c r="E5" s="15">
        <f>SUM(E8:E18)</f>
        <v>2040</v>
      </c>
      <c r="F5" s="17">
        <f>SUM(F8:F18)</f>
        <v>925</v>
      </c>
      <c r="H5" s="11">
        <f>E5-F5</f>
        <v>1115</v>
      </c>
    </row>
    <row r="6" spans="2:8" ht="9" customHeight="1">
      <c r="E6" s="2"/>
      <c r="F6" s="2"/>
      <c r="H6" s="2"/>
    </row>
    <row r="7" spans="2:8" ht="23.25" customHeight="1">
      <c r="B7" s="6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8" t="s">
        <v>7</v>
      </c>
    </row>
    <row r="8" spans="2:8">
      <c r="B8" s="5">
        <v>44083</v>
      </c>
      <c r="C8" s="1" t="s">
        <v>8</v>
      </c>
      <c r="D8" s="1" t="s">
        <v>9</v>
      </c>
      <c r="E8" s="15">
        <v>750</v>
      </c>
      <c r="F8" s="17"/>
      <c r="G8" s="11">
        <f>E8-F8</f>
        <v>750</v>
      </c>
      <c r="H8" s="12">
        <f>G8</f>
        <v>750</v>
      </c>
    </row>
    <row r="9" spans="2:8">
      <c r="B9" s="5">
        <v>44114</v>
      </c>
      <c r="C9" s="1" t="s">
        <v>10</v>
      </c>
      <c r="D9" s="1" t="s">
        <v>22</v>
      </c>
      <c r="E9" s="15"/>
      <c r="F9" s="17">
        <v>250</v>
      </c>
      <c r="G9" s="11">
        <f t="shared" ref="G9:G18" si="0">E9-F9</f>
        <v>-250</v>
      </c>
      <c r="H9" s="12">
        <f>H8+G9</f>
        <v>500</v>
      </c>
    </row>
    <row r="10" spans="2:8">
      <c r="B10" s="5">
        <v>44115</v>
      </c>
      <c r="C10" s="1" t="s">
        <v>11</v>
      </c>
      <c r="D10" s="1" t="s">
        <v>14</v>
      </c>
      <c r="E10" s="15"/>
      <c r="F10" s="17">
        <v>150</v>
      </c>
      <c r="G10" s="11">
        <f t="shared" si="0"/>
        <v>-150</v>
      </c>
      <c r="H10" s="12">
        <f t="shared" ref="H10:H18" si="1">H9+G10</f>
        <v>350</v>
      </c>
    </row>
    <row r="11" spans="2:8">
      <c r="B11" s="5">
        <v>44116</v>
      </c>
      <c r="C11" s="1" t="s">
        <v>10</v>
      </c>
      <c r="D11" s="1" t="s">
        <v>21</v>
      </c>
      <c r="E11" s="15">
        <v>450</v>
      </c>
      <c r="F11" s="17"/>
      <c r="G11" s="11">
        <f t="shared" si="0"/>
        <v>450</v>
      </c>
      <c r="H11" s="12">
        <f t="shared" si="1"/>
        <v>800</v>
      </c>
    </row>
    <row r="12" spans="2:8">
      <c r="B12" s="5">
        <v>44117</v>
      </c>
      <c r="C12" s="1" t="s">
        <v>12</v>
      </c>
      <c r="D12" s="1" t="s">
        <v>15</v>
      </c>
      <c r="E12" s="15"/>
      <c r="F12" s="17">
        <v>100</v>
      </c>
      <c r="G12" s="11">
        <f>E12-F12</f>
        <v>-100</v>
      </c>
      <c r="H12" s="12">
        <f>H11+G12</f>
        <v>700</v>
      </c>
    </row>
    <row r="13" spans="2:8">
      <c r="B13" s="5">
        <v>44118</v>
      </c>
      <c r="C13" s="1" t="s">
        <v>12</v>
      </c>
      <c r="D13" s="1" t="s">
        <v>16</v>
      </c>
      <c r="E13" s="15"/>
      <c r="F13" s="17">
        <v>50</v>
      </c>
      <c r="G13" s="11">
        <f t="shared" si="0"/>
        <v>-50</v>
      </c>
      <c r="H13" s="12">
        <f t="shared" si="1"/>
        <v>650</v>
      </c>
    </row>
    <row r="14" spans="2:8">
      <c r="B14" s="5">
        <v>44119</v>
      </c>
      <c r="C14" s="1" t="s">
        <v>13</v>
      </c>
      <c r="D14" s="1" t="s">
        <v>17</v>
      </c>
      <c r="E14" s="15"/>
      <c r="F14" s="17">
        <v>80</v>
      </c>
      <c r="G14" s="11">
        <f t="shared" si="0"/>
        <v>-80</v>
      </c>
      <c r="H14" s="12">
        <f t="shared" si="1"/>
        <v>570</v>
      </c>
    </row>
    <row r="15" spans="2:8">
      <c r="B15" s="5">
        <v>44120</v>
      </c>
      <c r="C15" s="1" t="s">
        <v>8</v>
      </c>
      <c r="D15" s="1" t="s">
        <v>18</v>
      </c>
      <c r="E15" s="15"/>
      <c r="F15" s="17">
        <v>65</v>
      </c>
      <c r="G15" s="11">
        <f t="shared" si="0"/>
        <v>-65</v>
      </c>
      <c r="H15" s="12">
        <f t="shared" si="1"/>
        <v>505</v>
      </c>
    </row>
    <row r="16" spans="2:8">
      <c r="B16" s="5">
        <v>44121</v>
      </c>
      <c r="C16" s="1" t="s">
        <v>8</v>
      </c>
      <c r="D16" s="1" t="s">
        <v>18</v>
      </c>
      <c r="E16" s="15"/>
      <c r="F16" s="17">
        <v>45</v>
      </c>
      <c r="G16" s="11">
        <f t="shared" si="0"/>
        <v>-45</v>
      </c>
      <c r="H16" s="12">
        <f t="shared" si="1"/>
        <v>460</v>
      </c>
    </row>
    <row r="17" spans="2:8">
      <c r="B17" s="5">
        <v>44122</v>
      </c>
      <c r="C17" s="1" t="s">
        <v>10</v>
      </c>
      <c r="D17" s="1" t="s">
        <v>19</v>
      </c>
      <c r="E17" s="15">
        <v>840</v>
      </c>
      <c r="F17" s="17"/>
      <c r="G17" s="11">
        <f>E17-F17</f>
        <v>840</v>
      </c>
      <c r="H17" s="12">
        <f t="shared" si="1"/>
        <v>1300</v>
      </c>
    </row>
    <row r="18" spans="2:8">
      <c r="B18" s="9">
        <v>44123</v>
      </c>
      <c r="C18" s="10" t="s">
        <v>11</v>
      </c>
      <c r="D18" s="10" t="s">
        <v>20</v>
      </c>
      <c r="E18" s="16"/>
      <c r="F18" s="18">
        <v>185</v>
      </c>
      <c r="G18" s="13">
        <f t="shared" si="0"/>
        <v>-185</v>
      </c>
      <c r="H18" s="14">
        <f t="shared" si="1"/>
        <v>1115</v>
      </c>
    </row>
  </sheetData>
  <mergeCells count="1">
    <mergeCell ref="B2:H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Gelir-Gider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2020-11-28T18:48:16Z</dcterms:created>
  <dcterms:modified xsi:type="dcterms:W3CDTF">2023-04-20T10:38:56Z</dcterms:modified>
</cp:coreProperties>
</file>