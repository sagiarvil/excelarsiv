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markup-compatibility/2006" xmlns:ns2="http://schemas.microsoft.com/office/spreadsheetml/2014/revision" xmlns:ns3="http://schemas.microsoft.com/office/spreadsheetml/2016/revision6" xmlns:ns4="http://schemas.microsoft.com/office/spreadsheetml/2016/revision10" xmlns:ns5="http://schemas.microsoft.com/office/spreadsheetml/2015/revision2" xmlns:ns6="http://schemas.openxmlformats.org/officeDocument/2006/relationships" xmlns:ns7="http://schemas.microsoft.com/office/spreadsheetml/2010/11/main" xmlns:ns8="http://schemas.microsoft.com/office/spreadsheetml/2018/calcfeatures" ns1:Ignorable="x15 xr xr6 xr10 xr2">
  <ns0:fileVersion appName="xl" lastEdited="7" lowestEdited="7" rupBuild="26227" codeName="{37A63EE7-654F-3FA9-A528-636911D70600}"/>
  <ns0:workbookPr/>
  <ns2:revisionPtr revIDLastSave="0" documentId="13_ncr:1_{07C87EFB-5BF5-4CC6-B674-A00518F8DCE0}" ns3:coauthVersionLast="47" ns3:coauthVersionMax="47" ns4:uidLastSave="{00000000-0000-0000-0000-000000000000}"/>
  <ns0:bookViews>
    <ns0:workbookView xWindow="-96" yWindow="0" windowWidth="11712" windowHeight="12336" ns5:uid="{84A96FEA-B8FD-4FA8-BE91-62151A098D88}" activeTab="0"/>
  </ns0:bookViews>
  <ns0:sheets>
    <ns0:sheet name="Ödeme Özeti" sheetId="5" ns6:id="rId2"/>
    <ns0:sheet name="Senet" sheetId="6" ns6:id="rId3"/>
  </ns0:sheets>
  <ns0:externalReferences>
    <ns0:externalReference ns6:id="rId4"/>
    <ns0:externalReference ns6:id="rId5"/>
    <ns0:externalReference ns6:id="rId6"/>
    <ns0:externalReference ns6:id="rId7"/>
    <ns0:externalReference ns6:id="rId8"/>
    <ns0:externalReference ns6:id="rId9"/>
    <ns0:externalReference ns6:id="rId10"/>
    <ns0:externalReference ns6:id="rId11"/>
  </ns0:externalReferences>
  <ns0:definedNames>
    <ns0:definedName name="DolarKuru">[2]Ürünlerim!$G$2</ns0:definedName>
    <ns0:definedName name="EuroKuru">[2]Ürünlerim!$G$3</ns0:definedName>
    <ns0:definedName name="Lst_Banka_Kasa">[3]!Tbl_Banka_Kasa[Banka-Kasa]</ns0:definedName>
    <ns0:definedName name="Lst_Cariler">[2]!Tablo3[Cari Adı]</ns0:definedName>
    <ns0:definedName name="lst_EmlakTipi">[4]!tbl_ayar_EmlakTipi[Emlak Tipi]</ns0:definedName>
    <ns0:definedName name="Lst_Maliye_Kategorileri">OFFSET([3]Pvt_Listeler!$A$3,1,0,COUNTA([3]Pvt_Listeler!$A:$A)-1,1)</ns0:definedName>
    <ns0:definedName name="lst_Müşteriler">[4]!Tablo1[İsim Soyisim]</ns0:definedName>
    <ns0:definedName name="Lst_Nakit_Vadeli">[2]!Tablo13[Nakit / Vadeli Seçimi]</ns0:definedName>
    <ns0:definedName name="Lst_Ödeme_Yön">[3]!Tbl_Ödeme_Yön[Ödeme Yöntemi]</ns0:definedName>
    <ns0:definedName name="lst_Satılık_Kiralık">[4]!tbl_ayar_Satılık[Satılık/Kiralık]</ns0:definedName>
    <ns0:definedName name="Lst_Satış_Per">[6]!Tablo2[Ad Soyad]</ns0:definedName>
    <ns0:definedName name="Lst_Servis">[3]!Tbl_Sektör_Kategori[Servis]</ns0:definedName>
    <ns0:definedName name="Lst_TümHisseler">[7]!TÜM_HİSSELER_1[Menkul]</ns0:definedName>
    <ns0:definedName name="Lst_Ürün_Ailesi">[3]!Tbl_Ürün_Ailesi[Ürün Ailesi]</ns0:definedName>
    <ns0:definedName name="Lst_Ürünler">[2]!Tablo4[Ürün Adı]</ns0:definedName>
    <ns0:definedName name="Lst_Ürünlerim">[1]!Tablo2[Ürün Adı]</ns0:definedName>
    <ns0:definedName name="Lst_Yıl_Ay">[3]!Tablo8[Tarihler]</ns0:definedName>
    <ns0:definedName name="oran">[8]Ürün_Fiyat_Listesi!$E$3</ns0:definedName>
  </ns0:definedNames>
  <ns0:calcPr calcId="191029"/>
  <ns0:extLst>
    <ns0:ext uri="{140A7094-0E35-4892-8432-C4D2E57EDEB5}">
      <ns7:workbookPr chartTrackingRefBase="1"/>
    </ns0:ext>
    <ns0:ext uri="{B58B0392-4F1F-4190-BB64-5DF3571DCE5F}">
      <ns8:calcFeatures>
        <ns8:feature name="microsoft.com:RD"/>
        <ns8:feature name="microsoft.com:Single"/>
        <ns8:feature name="microsoft.com:FV"/>
        <ns8:feature name="microsoft.com:CNMTM"/>
        <ns8:feature name="microsoft.com:LET_WF"/>
      </ns8:calcFeatures>
    </ns0:ext>
  </ns0:extLst>
</ns0:workbook>
</file>

<file path=xl/calcChain.xml><?xml version="1.0" encoding="utf-8"?>
<calcChain xmlns="http://schemas.openxmlformats.org/spreadsheetml/2006/main">
  <c r="I19" i="6" l="1"/>
  <c r="I17" i="6"/>
  <c r="I15" i="6"/>
  <c r="I13" i="6"/>
  <c r="F19" i="6"/>
  <c r="D21" i="6"/>
  <c r="D20" i="6"/>
  <c r="D19" i="6"/>
  <c r="G5" i="5"/>
  <c r="I5" i="5" s="1"/>
  <c r="G6" i="5"/>
  <c r="I6" i="5" s="1"/>
  <c r="G7" i="5"/>
  <c r="I7" i="5" s="1"/>
  <c r="G8" i="5"/>
  <c r="I8" i="5" s="1"/>
  <c r="G9" i="5"/>
  <c r="I9" i="5" s="1"/>
  <c r="G10" i="5"/>
  <c r="I10" i="5" s="1"/>
  <c r="G11" i="5"/>
  <c r="I11" i="5" s="1"/>
  <c r="G12" i="5"/>
  <c r="I12" i="5" s="1"/>
  <c r="G13" i="5"/>
  <c r="I13" i="5" s="1"/>
  <c r="G14" i="5"/>
  <c r="G15" i="5"/>
  <c r="I15" i="5" s="1"/>
  <c r="G16" i="5"/>
  <c r="I16" i="5" s="1"/>
  <c r="G17" i="5"/>
  <c r="G18" i="5"/>
  <c r="G19" i="5"/>
  <c r="I19" i="5" s="1"/>
  <c r="G20" i="5"/>
  <c r="I20" i="5" s="1"/>
  <c r="G21" i="5"/>
  <c r="I21" i="5" s="1"/>
  <c r="G22" i="5"/>
  <c r="I22" i="5" s="1"/>
  <c r="G23" i="5"/>
  <c r="I23" i="5" s="1"/>
  <c r="G24" i="5"/>
  <c r="I24" i="5" s="1"/>
  <c r="G25" i="5"/>
  <c r="G26" i="5"/>
  <c r="I26" i="5" s="1"/>
  <c r="G27" i="5"/>
  <c r="I27" i="5" s="1"/>
  <c r="G4" i="5"/>
  <c r="I4" i="5" s="1"/>
  <c r="H4" i="5"/>
  <c r="I18" i="5" l="1"/>
  <c r="I14" i="5"/>
  <c r="F11" i="6" s="1"/>
  <c r="I25" i="5"/>
  <c r="H5" i="5"/>
  <c r="H6" i="5" s="1"/>
  <c r="H7" i="5" s="1"/>
  <c r="H8" i="5" s="1"/>
  <c r="H9" i="5" s="1"/>
  <c r="H10" i="5" s="1"/>
  <c r="H11" i="5" s="1"/>
  <c r="H12" i="5" s="1"/>
  <c r="H13" i="5" s="1"/>
  <c r="H14" i="5" s="1"/>
  <c r="H15" i="5" s="1"/>
  <c r="H16" i="5" s="1"/>
  <c r="H17" i="5" s="1"/>
  <c r="H18" i="5" s="1"/>
  <c r="H19" i="5" s="1"/>
  <c r="H20" i="5" s="1"/>
  <c r="H21" i="5" s="1"/>
  <c r="H22" i="5" s="1"/>
  <c r="H23" i="5" s="1"/>
  <c r="H24" i="5" s="1"/>
  <c r="H25" i="5" s="1"/>
  <c r="H26" i="5" s="1"/>
  <c r="H27" i="5" s="1"/>
  <c r="I17" i="5"/>
  <c r="C11" i="6" l="1"/>
  <c r="I11" i="6" s="1"/>
  <c r="C13" i="6" s="1"/>
  <c r="I29" i="5"/>
</calcChain>
</file>

<file path=xl/sharedStrings.xml><?xml version="1.0" encoding="utf-8"?>
<sst xmlns="http://schemas.openxmlformats.org/spreadsheetml/2006/main" count="60" uniqueCount="55">
  <si>
    <t>Ödeme Planı</t>
  </si>
  <si>
    <t>Taksitler</t>
  </si>
  <si>
    <t>Tutar</t>
  </si>
  <si>
    <t>Taksit Sayısı</t>
  </si>
  <si>
    <t>Ödenecek Toplam Tutar</t>
  </si>
  <si>
    <t>İlk Ödeme Tarihi</t>
  </si>
  <si>
    <t>Ödeme Tarihi</t>
  </si>
  <si>
    <t>Genel Toplam</t>
  </si>
  <si>
    <t>No</t>
  </si>
  <si>
    <t>Ödeme Aralığı</t>
  </si>
  <si>
    <t>Adres</t>
  </si>
  <si>
    <t>Ödeme Yapan Bilgileri</t>
  </si>
  <si>
    <t>TCKN / Vergi No</t>
  </si>
  <si>
    <t>Mehmet Erkuş</t>
  </si>
  <si>
    <t>Ödeme Günü</t>
  </si>
  <si>
    <t>Tutarı</t>
  </si>
  <si>
    <t>İş bu nama yazılı senedim mukabilinde</t>
  </si>
  <si>
    <t>Tarihinde</t>
  </si>
  <si>
    <t>Ödeyecek</t>
  </si>
  <si>
    <t>Düzenlenme Tarihi</t>
  </si>
  <si>
    <t>İmza</t>
  </si>
  <si>
    <t>Alacaklı Bilgileri</t>
  </si>
  <si>
    <t>Ahmet Yılmaz</t>
  </si>
  <si>
    <t xml:space="preserve">namına yukarıda yazılı </t>
  </si>
  <si>
    <t>ödeyeceği bedeli</t>
  </si>
  <si>
    <t>ahzolunmuştur. İşbu nama yazılı senet vadesinde ödenmediği takdirde müteakip senetlerinde muacceliyet kesbedeceğini, ihtilaf vukuunda</t>
  </si>
  <si>
    <t>Mahkemeleri İcra dairelerinin selahiyetini şimdiden kabul eylerim. Okudum.</t>
  </si>
  <si>
    <t>Senet Ayarları</t>
  </si>
  <si>
    <t>Tutar (Yazıyla)</t>
  </si>
  <si>
    <t>Malen / Nakden</t>
  </si>
  <si>
    <t>Mahkeme Şehri / Adı</t>
  </si>
  <si>
    <t>Taksit Bilgi Girişi</t>
  </si>
  <si>
    <t>Haftada Bir</t>
  </si>
  <si>
    <t>2 Haftada Bir</t>
  </si>
  <si>
    <t>Ayda Bir</t>
  </si>
  <si>
    <t>2 Ayda Bir</t>
  </si>
  <si>
    <t>3 Ayda Bir</t>
  </si>
  <si>
    <t>6 Ayda Bir</t>
  </si>
  <si>
    <t>12 Ayda Bir</t>
  </si>
  <si>
    <t>İsim / Unvan</t>
  </si>
  <si>
    <t>Üsküdar / İstanbul</t>
  </si>
  <si>
    <t>Ödeme Aralığı Ayarları</t>
  </si>
  <si>
    <t>Taksit Seçiniz</t>
  </si>
  <si>
    <t>YAZI Ayarları</t>
  </si>
  <si>
    <t>Ankara</t>
  </si>
  <si>
    <t>Nakden</t>
  </si>
  <si>
    <t>Dörtbin Üçyüz Otuzüç Türk Lirası Otuzüç Kuruş</t>
  </si>
  <si>
    <t>3.Taksit</t>
  </si>
  <si>
    <t>KILAVUZ</t>
  </si>
  <si>
    <t>EĞİTİM VİDEOSU</t>
  </si>
  <si>
    <t>KULLANICI KILAVUZU</t>
  </si>
  <si>
    <t>HAKKIMIZDA</t>
  </si>
  <si>
    <t>Bu şablonun nasıl kullanıldığını videolu ve detaylı bir şekilde öğrenmek için aşağıdaki düğmeye tıklayabilirsiniz.</t>
  </si>
  <si>
    <r>
      <t xml:space="preserve">Excel Şablonlarımızı nasıl kullanmanız gerektiğini öğrenmek için buraya tıklayarak </t>
    </r>
    <r>
      <rPr>
        <sz val="11"/>
        <color theme="1"/>
        <rFont val="Century Gothic"/>
        <family val="2"/>
        <charset val="162"/>
      </rPr>
      <t>Kullanıcı Kılavuzunu in</t>
    </r>
    <r>
      <rPr>
        <sz val="11"/>
        <color theme="1"/>
        <rFont val="Century Gothic"/>
        <family val="2"/>
        <charset val="162"/>
      </rPr>
      <t>direbilirsiniz.</t>
    </r>
  </si>
  <si>
    <t> olarak eğitim,danışmanlık ve yazılım hizmeti sunmaktayız. Ürün &amp; Hizmetlerimiz ve daha fazlası için tıklayınız.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</si>
</sst>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d/mm/yyyy\ ddd"/>
  </numFmts>
  <fonts count="16" x14ac:knownFonts="1">
    <font>
      <sz val="11"/>
      <color theme="1"/>
      <name val="Century Gothic"/>
      <family val="2"/>
      <charset val="162"/>
    </font>
    <font>
      <sz val="11"/>
      <color theme="1"/>
      <name val="Calibri"/>
      <family val="2"/>
      <charset val="162"/>
      <scheme val="minor"/>
    </font>
    <font>
      <b/>
      <sz val="11"/>
      <color rgb="FFFA7D00"/>
      <name val="Century Gothic"/>
      <family val="2"/>
      <charset val="162"/>
    </font>
    <font>
      <b/>
      <sz val="11"/>
      <color theme="0"/>
      <name val="Century Gothic"/>
      <family val="2"/>
      <charset val="162"/>
    </font>
    <font>
      <b/>
      <sz val="11"/>
      <color theme="1"/>
      <name val="Century Gothic"/>
      <family val="2"/>
      <charset val="162"/>
    </font>
    <font>
      <b/>
      <sz val="12"/>
      <color theme="1"/>
      <name val="Century Gothic"/>
      <family val="2"/>
      <charset val="162"/>
    </font>
    <font>
      <b/>
      <sz val="11"/>
      <color theme="4" tint="-0.249977111117893"/>
      <name val="Century Gothic"/>
      <family val="2"/>
      <charset val="162"/>
    </font>
    <font>
      <sz val="8"/>
      <name val="Century Gothic"/>
      <family val="2"/>
      <charset val="162"/>
    </font>
    <font>
      <sz val="18"/>
      <color theme="4" tint="-0.499984740745262"/>
      <name val="Abadi"/>
      <family val="2"/>
    </font>
    <font>
      <sz val="18"/>
      <color theme="6" tint="-0.499984740745262"/>
      <name val="Abadi"/>
      <family val="2"/>
    </font>
    <font>
      <sz val="11"/>
      <color theme="7"/>
      <name val="Century Gothic"/>
      <family val="2"/>
      <charset val="162"/>
    </font>
    <font>
      <sz val="11"/>
      <color theme="1"/>
      <name val="Century Gothic"/>
      <family val="2"/>
      <charset val="162"/>
    </font>
    <font>
      <sz val="11"/>
      <color theme="0"/>
      <name val="Calibri"/>
      <family val="2"/>
      <charset val="162"/>
      <scheme val="minor"/>
    </font>
    <font>
      <b/>
      <sz val="24"/>
      <color theme="0"/>
      <name val="Montserrat"/>
    </font>
    <font>
      <b/>
      <sz val="11"/>
      <color theme="4"/>
      <name val="Calibri"/>
      <family val="2"/>
      <scheme val="minor"/>
    </font>
    <font>
      <u/>
      <sz val="11"/>
      <color theme="10"/>
      <name val="Calibri"/>
      <family val="2"/>
      <charset val="162"/>
      <scheme val="minor"/>
    </font>
  </fonts>
  <fills count="8">
    <fill>
      <patternFill patternType="none"/>
    </fill>
    <fill>
      <patternFill patternType="gray125"/>
    </fill>
    <fill>
      <patternFill patternType="solid">
        <fgColor rgb="FFF2F2F2"/>
      </patternFill>
    </fill>
    <fill>
      <patternFill patternType="solid">
        <fgColor theme="6" tint="-0.24997711111789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bgColor indexed="64"/>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ck">
        <color theme="0"/>
      </left>
      <right/>
      <top/>
      <bottom/>
      <diagonal/>
    </border>
  </borders>
  <cellStyleXfs count="5">
    <xf numFmtId="0" fontId="0" fillId="0" borderId="0"/>
    <xf numFmtId="0" fontId="2" fillId="2" borderId="1" applyNumberFormat="0" applyAlignment="0" applyProtection="0"/>
    <xf numFmtId="0" fontId="11" fillId="0" borderId="0"/>
    <xf numFmtId="0" fontId="1" fillId="0" borderId="0"/>
    <xf numFmtId="0" fontId="15" fillId="0" borderId="0" applyNumberFormat="0" applyFill="0" applyBorder="0" applyAlignment="0" applyProtection="0"/>
  </cellStyleXfs>
  <cellXfs count="74">
    <xf numFmtId="0" fontId="0" fillId="0" borderId="0" xfId="0"/>
    <xf numFmtId="0" fontId="0" fillId="0" borderId="0" xfId="0" applyAlignment="1">
      <alignment horizontal="center" vertical="center"/>
    </xf>
    <xf numFmtId="0" fontId="0" fillId="0" borderId="0" xfId="0" applyAlignment="1">
      <alignment vertical="top"/>
    </xf>
    <xf numFmtId="14" fontId="0" fillId="0" borderId="0" xfId="0" applyNumberFormat="1" applyAlignment="1">
      <alignment horizontal="center" vertical="center"/>
    </xf>
    <xf numFmtId="14" fontId="0" fillId="0" borderId="0" xfId="0" applyNumberForma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6" xfId="0" applyBorder="1"/>
    <xf numFmtId="0" fontId="0" fillId="0" borderId="13" xfId="0" applyBorder="1"/>
    <xf numFmtId="0" fontId="0" fillId="0" borderId="0" xfId="0" applyAlignment="1">
      <alignment horizontal="left" vertical="center"/>
    </xf>
    <xf numFmtId="0" fontId="4" fillId="0" borderId="14" xfId="0" applyFont="1" applyBorder="1"/>
    <xf numFmtId="0" fontId="0" fillId="0" borderId="14" xfId="0" applyBorder="1"/>
    <xf numFmtId="0" fontId="0" fillId="5" borderId="2" xfId="0" applyFill="1" applyBorder="1"/>
    <xf numFmtId="0" fontId="0" fillId="6" borderId="2" xfId="0" applyFill="1" applyBorder="1"/>
    <xf numFmtId="0" fontId="0" fillId="0" borderId="15" xfId="0" applyBorder="1" applyAlignment="1">
      <alignment horizontal="left" vertical="center"/>
    </xf>
    <xf numFmtId="164" fontId="0" fillId="0" borderId="15" xfId="0" applyNumberFormat="1" applyBorder="1" applyAlignment="1">
      <alignment horizontal="left" vertical="center"/>
    </xf>
    <xf numFmtId="8" fontId="0" fillId="0" borderId="15" xfId="0" applyNumberFormat="1" applyBorder="1" applyAlignment="1">
      <alignment horizontal="right" vertical="center"/>
    </xf>
    <xf numFmtId="164" fontId="0" fillId="0" borderId="15" xfId="0" applyNumberFormat="1" applyBorder="1" applyAlignment="1">
      <alignment horizontal="left" vertical="center" wrapText="1"/>
    </xf>
    <xf numFmtId="0" fontId="3" fillId="3" borderId="15" xfId="0" applyFont="1" applyFill="1" applyBorder="1" applyAlignment="1">
      <alignment horizontal="left"/>
    </xf>
    <xf numFmtId="0" fontId="3" fillId="3" borderId="15" xfId="0" applyFont="1" applyFill="1" applyBorder="1"/>
    <xf numFmtId="0" fontId="3" fillId="3" borderId="15" xfId="0" applyFont="1" applyFill="1" applyBorder="1" applyAlignment="1">
      <alignment horizontal="right"/>
    </xf>
    <xf numFmtId="0" fontId="0" fillId="4" borderId="15" xfId="0" applyFill="1" applyBorder="1" applyAlignment="1">
      <alignment horizontal="left" vertical="center"/>
    </xf>
    <xf numFmtId="164" fontId="0" fillId="4" borderId="15" xfId="0" applyNumberFormat="1" applyFill="1" applyBorder="1" applyAlignment="1">
      <alignment horizontal="left" vertical="center" wrapText="1"/>
    </xf>
    <xf numFmtId="8" fontId="0" fillId="4" borderId="15" xfId="0" applyNumberFormat="1" applyFill="1" applyBorder="1" applyAlignment="1">
      <alignment horizontal="right" vertical="center"/>
    </xf>
    <xf numFmtId="0" fontId="2" fillId="2" borderId="3" xfId="1" applyBorder="1" applyAlignment="1">
      <alignment vertical="center"/>
    </xf>
    <xf numFmtId="0" fontId="2" fillId="2" borderId="4" xfId="1" applyBorder="1" applyAlignment="1">
      <alignment vertical="center"/>
    </xf>
    <xf numFmtId="8" fontId="2" fillId="2" borderId="5" xfId="1" applyNumberFormat="1" applyBorder="1" applyAlignment="1">
      <alignment vertical="center"/>
    </xf>
    <xf numFmtId="0" fontId="4" fillId="0" borderId="0" xfId="0" applyFont="1"/>
    <xf numFmtId="0" fontId="8" fillId="0" borderId="0" xfId="0" applyFont="1" applyAlignment="1">
      <alignment vertical="top"/>
    </xf>
    <xf numFmtId="0" fontId="9" fillId="0" borderId="0" xfId="0" applyFont="1" applyAlignment="1">
      <alignment vertical="top"/>
    </xf>
    <xf numFmtId="0" fontId="6" fillId="0" borderId="14" xfId="0" applyFont="1" applyBorder="1" applyAlignment="1">
      <alignment vertical="center"/>
    </xf>
    <xf numFmtId="0" fontId="4" fillId="0" borderId="14" xfId="0" applyFont="1" applyBorder="1" applyAlignment="1">
      <alignment horizontal="right" vertical="center"/>
    </xf>
    <xf numFmtId="8" fontId="0" fillId="0" borderId="0" xfId="0" applyNumberFormat="1" applyAlignment="1">
      <alignment horizontal="center" vertical="center"/>
    </xf>
    <xf numFmtId="0" fontId="0" fillId="0" borderId="0" xfId="0" applyAlignment="1">
      <alignment horizontal="right"/>
    </xf>
    <xf numFmtId="0" fontId="10" fillId="0" borderId="0" xfId="0" applyFont="1"/>
    <xf numFmtId="14" fontId="10" fillId="0" borderId="0" xfId="0" applyNumberFormat="1" applyFont="1" applyAlignment="1">
      <alignment horizontal="left"/>
    </xf>
    <xf numFmtId="0" fontId="4" fillId="0" borderId="14" xfId="0" applyFont="1" applyBorder="1" applyAlignment="1">
      <alignment horizontal="center" vertical="center"/>
    </xf>
    <xf numFmtId="8" fontId="5" fillId="0" borderId="0" xfId="0" applyNumberFormat="1" applyFont="1" applyAlignment="1">
      <alignment horizontal="right" vertical="center"/>
    </xf>
    <xf numFmtId="8" fontId="5" fillId="0" borderId="14" xfId="0" applyNumberFormat="1" applyFont="1" applyBorder="1" applyAlignment="1">
      <alignment horizontal="right" vertical="center"/>
    </xf>
    <xf numFmtId="0" fontId="6" fillId="0" borderId="0" xfId="0" applyFont="1" applyAlignment="1">
      <alignment horizontal="left" vertical="center"/>
    </xf>
    <xf numFmtId="0" fontId="6" fillId="0" borderId="14" xfId="0" applyFont="1" applyBorder="1" applyAlignment="1">
      <alignment horizontal="left" vertical="center"/>
    </xf>
    <xf numFmtId="0" fontId="5" fillId="0" borderId="0" xfId="0" applyFont="1" applyAlignment="1">
      <alignment horizontal="right" vertical="center"/>
    </xf>
    <xf numFmtId="0" fontId="5" fillId="0" borderId="14" xfId="0" applyFont="1" applyBorder="1" applyAlignment="1">
      <alignment horizontal="right" vertical="center"/>
    </xf>
    <xf numFmtId="14" fontId="5" fillId="0" borderId="0" xfId="0" applyNumberFormat="1" applyFont="1" applyAlignment="1">
      <alignment horizontal="right" vertical="center"/>
    </xf>
    <xf numFmtId="14" fontId="5" fillId="0" borderId="14" xfId="0" applyNumberFormat="1" applyFont="1" applyBorder="1" applyAlignment="1">
      <alignment horizontal="right" vertical="center"/>
    </xf>
    <xf numFmtId="0" fontId="8" fillId="0" borderId="0" xfId="0" applyFont="1" applyAlignment="1">
      <alignment horizontal="left" vertical="center"/>
    </xf>
    <xf numFmtId="8" fontId="5" fillId="0" borderId="14" xfId="0" applyNumberFormat="1" applyFont="1" applyBorder="1" applyAlignment="1">
      <alignment horizontal="left" vertical="center"/>
    </xf>
    <xf numFmtId="0" fontId="5" fillId="0" borderId="14" xfId="0" applyFont="1" applyBorder="1" applyAlignment="1">
      <alignment horizontal="left" vertical="center"/>
    </xf>
    <xf numFmtId="0" fontId="0" fillId="0" borderId="0" xfId="0" applyAlignment="1">
      <alignment horizontal="left" vertical="center" wrapText="1"/>
    </xf>
    <xf numFmtId="14" fontId="5" fillId="0" borderId="14" xfId="0" applyNumberFormat="1" applyFont="1" applyBorder="1" applyAlignment="1">
      <alignment horizontal="left" vertical="center"/>
    </xf>
    <xf numFmtId="0" fontId="12" fillId="7" borderId="0" xfId="3" applyFont="1" applyFill="1" applyAlignment="1">
      <alignment horizontal="left" vertical="center" wrapText="1"/>
    </xf>
    <xf numFmtId="0" fontId="12" fillId="7" borderId="0" xfId="3" applyFont="1" applyFill="1" applyAlignment="1">
      <alignment horizontal="left" vertical="center"/>
    </xf>
    <xf numFmtId="0" fontId="13" fillId="7" borderId="16" xfId="3" applyFont="1" applyFill="1" applyBorder="1" applyAlignment="1">
      <alignment horizontal="left" vertical="center" wrapText="1" indent="1"/>
    </xf>
    <xf numFmtId="0" fontId="13" fillId="7" borderId="0" xfId="3" applyFont="1" applyFill="1" applyAlignment="1">
      <alignment horizontal="left" vertical="center" wrapText="1" indent="1"/>
    </xf>
    <xf numFmtId="0" fontId="13" fillId="7" borderId="0" xfId="3" applyFont="1" applyFill="1" applyAlignment="1">
      <alignment horizontal="left" vertical="top" wrapText="1"/>
    </xf>
    <xf numFmtId="0" fontId="1" fillId="0" borderId="0" xfId="3" applyAlignment="1">
      <alignment horizontal="left" vertical="center" wrapText="1"/>
    </xf>
    <xf numFmtId="0" fontId="1" fillId="0" borderId="0" xfId="3" applyAlignment="1">
      <alignment horizontal="left" vertical="center"/>
    </xf>
    <xf numFmtId="0" fontId="1" fillId="4" borderId="0" xfId="3" applyFill="1" applyAlignment="1">
      <alignment horizontal="left" vertical="center"/>
    </xf>
    <xf numFmtId="0" fontId="1" fillId="4" borderId="0" xfId="3" applyFill="1" applyAlignment="1">
      <alignment horizontal="left" vertical="top"/>
    </xf>
    <xf numFmtId="0" fontId="14" fillId="4" borderId="6" xfId="3" applyFont="1" applyFill="1" applyBorder="1" applyAlignment="1">
      <alignment vertical="top"/>
    </xf>
    <xf numFmtId="0" fontId="1" fillId="4" borderId="6" xfId="3" applyFill="1" applyBorder="1" applyAlignment="1">
      <alignment vertical="top" wrapText="1"/>
    </xf>
    <xf numFmtId="0" fontId="1" fillId="0" borderId="0" xfId="3" applyAlignment="1">
      <alignment horizontal="left" vertical="top"/>
    </xf>
    <xf numFmtId="0" fontId="15" fillId="4" borderId="0" xfId="4" applyFill="1" applyAlignment="1">
      <alignment horizontal="left" vertical="center"/>
    </xf>
    <xf numFmtId="0" fontId="1" fillId="4" borderId="0" xfId="3" applyFill="1" applyAlignment="1">
      <alignment vertical="center" wrapText="1"/>
    </xf>
    <xf numFmtId="0" fontId="1" fillId="4" borderId="0" xfId="3" applyFill="1" applyAlignment="1">
      <alignment vertical="top" wrapText="1"/>
    </xf>
    <xf numFmtId="0" fontId="1" fillId="4" borderId="0" xfId="3" applyFill="1"/>
    <xf numFmtId="0" fontId="1" fillId="4" borderId="0" xfId="3" applyFill="1" applyAlignment="1">
      <alignment horizontal="left" vertical="top" wrapText="1"/>
    </xf>
    <xf numFmtId="0" fontId="0" fillId="4" borderId="0" xfId="3" applyFont="1" applyFill="1" applyAlignment="1">
      <alignment horizontal="left" vertical="top" wrapText="1"/>
    </xf>
    <xf numFmtId="0" fontId="1" fillId="0" borderId="0" xfId="3"/>
    <xf numFmtId="0" fontId="1" fillId="4" borderId="0" xfId="3" applyFill="1" applyAlignment="1">
      <alignment horizontal="left" vertical="center" wrapText="1"/>
    </xf>
  </cellXfs>
  <cellStyles count="5">
    <cellStyle name="Calculation" xfId="1" builtinId="22"/>
    <cellStyle name="Köprü 2" xfId="4" xr:uid="{56E6DB21-39D5-4B8C-BD55-C9854D60D8F1}"/>
    <cellStyle name="Normal" xfId="0" builtinId="0"/>
    <cellStyle name="Normal 2" xfId="2" xr:uid="{74962928-A3B5-4BE0-99CE-EB76BB1FD3D2}"/>
    <cellStyle name="Normal 2 2" xfId="3" xr:uid="{351ED827-4F08-4998-A47E-72A8AFF5B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8" Type="http://schemas.openxmlformats.org/officeDocument/2006/relationships/externalLink" Target="externalLinks/externalLink5.xml" /><ns0:Relationship Id="rId13" Type="http://schemas.openxmlformats.org/officeDocument/2006/relationships/styles" Target="styles.xml" /><ns0:Relationship Id="rId3" Type="http://schemas.openxmlformats.org/officeDocument/2006/relationships/worksheet" Target="worksheets/sheet3.xml" /><ns0:Relationship Id="rId7" Type="http://schemas.openxmlformats.org/officeDocument/2006/relationships/externalLink" Target="externalLinks/externalLink4.xml" /><ns0:Relationship Id="rId12" Type="http://schemas.openxmlformats.org/officeDocument/2006/relationships/theme" Target="theme/theme1.xml" /><ns0:Relationship Id="rId2" Type="http://schemas.openxmlformats.org/officeDocument/2006/relationships/worksheet" Target="worksheets/sheet2.xml" /><ns0:Relationship Id="rId6" Type="http://schemas.openxmlformats.org/officeDocument/2006/relationships/externalLink" Target="externalLinks/externalLink3.xml" /><ns0:Relationship Id="rId11" Type="http://schemas.openxmlformats.org/officeDocument/2006/relationships/externalLink" Target="externalLinks/externalLink8.xml" /><ns0:Relationship Id="rId5" Type="http://schemas.openxmlformats.org/officeDocument/2006/relationships/externalLink" Target="externalLinks/externalLink2.xml" /><ns0:Relationship Id="rId15" Type="http://schemas.openxmlformats.org/officeDocument/2006/relationships/calcChain" Target="calcChain.xml" /><ns0:Relationship Id="rId10" Type="http://schemas.openxmlformats.org/officeDocument/2006/relationships/externalLink" Target="externalLinks/externalLink7.xml" /><ns0:Relationship Id="rId4" Type="http://schemas.openxmlformats.org/officeDocument/2006/relationships/externalLink" Target="externalLinks/externalLink1.xml" /><ns0:Relationship Id="rId9" Type="http://schemas.openxmlformats.org/officeDocument/2006/relationships/externalLink" Target="externalLinks/externalLink6.xml" /><ns0:Relationship Id="rId14" Type="http://schemas.openxmlformats.org/officeDocument/2006/relationships/sharedStrings" Target="sharedStrings.xml" /></ns0: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y%20Drive/WEBSITES/BLOG./Free_Resources/-Stok_Program&#3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20Drive/CRM/Excel_Projeleri/1-In_Prog/2022-06-02-Mahmut_Yal&#231;&#305;n_Ayakab&#305;_Hammadde/Main_Sipari&#351;_Fi&#351;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20Drive/CRM/Excel_Projeleri/Tamamlananlar/2022-04-18-Express_Solutions_Mozambik/ES-Sat&#305;&#351;-Al&#305;&#351;-Maliyet_Program&#305;_v0.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alih\Desktop\-Emlak%20Takip%20Program&#305;.xlsm" TargetMode="External"/><Relationship Id="rId1" Type="http://schemas.openxmlformats.org/officeDocument/2006/relationships/externalLinkPath" Target="file:///C:\Users\salih\Desktop\-Emlak%20Takip%20Program&#30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alih\Desktop\-SATI&#350;_TAK&#304;P_PROGRAMI.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salih\Desktop\-SATI&#350;_TAK&#304;P_PROGRAMI_Hamburger_Men&#252;l&#252;.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salih\Desktop\-BORSA_PROGRAMI.xlsm" TargetMode="External"/><Relationship Id="rId1" Type="http://schemas.openxmlformats.org/officeDocument/2006/relationships/externalLinkPath" Target="file:///C:\Users\salih\Desktop\-BORSA_PROGRAMI.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20Drive/PRODUCTS/Shopier/Paketler/40plus_Excel_&#350;ablon_Paketi/2022-04-25_40+_&#350;ablonlar_VBA_Kilitli/Program%20&amp;%20Taslaklar/-Fiyatlara_Zam-&#304;ndirim_Uygulama_Program&#3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Stok Hareketleri"/>
      <sheetName val="Ürünlerim"/>
      <sheetName val="Rapor"/>
      <sheetName val="-Stok_Programı"/>
    </sheetNames>
    <sheetDataSet>
      <sheetData sheetId="0"/>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ipariş Fişi"/>
      <sheetName val="Siparişler"/>
      <sheetName val="Ürünlerim"/>
      <sheetName val="Carilerim"/>
      <sheetName val="Döküm Raporu"/>
      <sheetName val="Ayarlar"/>
      <sheetName val="Kılavuz"/>
      <sheetName val="Sayfa3"/>
      <sheetName val="Main_Sipariş_Fişi"/>
    </sheetNames>
    <sheetDataSet>
      <sheetData sheetId="0"/>
      <sheetData sheetId="1"/>
      <sheetData sheetId="2">
        <row r="2">
          <cell r="G2">
            <v>15</v>
          </cell>
        </row>
        <row r="3">
          <cell r="G3">
            <v>16</v>
          </cell>
        </row>
      </sheetData>
      <sheetData sheetId="3"/>
      <sheetData sheetId="4"/>
      <sheetData sheetId="5"/>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Satışlar"/>
      <sheetName val="G_Alışlar"/>
      <sheetName val="G_Maliyetler"/>
      <sheetName val="R_DashBoard"/>
      <sheetName val="R_Servis"/>
      <sheetName val="R_Banka-Kasa"/>
      <sheetName val="R_Müş-Ted"/>
      <sheetName val="R_Vade"/>
      <sheetName val="Ayarlar"/>
      <sheetName val="Personeller"/>
      <sheetName val="Kılavuz"/>
      <sheetName val="data"/>
      <sheetName val="pvt_Dashh"/>
      <sheetName val="Pvt_Listeler"/>
      <sheetName val="ES-Satış-Alış-Maliyet_Programı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refreshError="1"/>
      <sheetData sheetId="13">
        <row r="3">
          <cell r="A3" t="str">
            <v>Maliyet Kategorisi</v>
          </cell>
        </row>
        <row r="4">
          <cell r="A4" t="str">
            <v>Ofis</v>
          </cell>
        </row>
        <row r="5">
          <cell r="A5" t="str">
            <v>Personel Giderleri</v>
          </cell>
        </row>
        <row r="6">
          <cell r="A6" t="str">
            <v>Yatırım Giderleri</v>
          </cell>
        </row>
      </sheetData>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ılavuz"/>
      <sheetName val="✚ Giriş"/>
      <sheetName val="✚ Müşteriler"/>
      <sheetName val="◔ Rapor"/>
      <sheetName val="❖ Ayarlar"/>
      <sheetName val="pvt"/>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_Durum"/>
      <sheetName val="Ürünler"/>
      <sheetName val="Satışlar"/>
      <sheetName val="Personeller"/>
      <sheetName val="Kaynaklar"/>
      <sheetName val="ayarlar"/>
      <sheetName val="pvt_dash"/>
      <sheetName val="-SATIŞ_TAKİP_PROGRAMI"/>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_Durum"/>
      <sheetName val="Ürünler"/>
      <sheetName val="Satışlar"/>
      <sheetName val="Personeller"/>
      <sheetName val="Kaynaklar"/>
      <sheetName val="Ayarlar"/>
      <sheetName val="pvt_dash"/>
      <sheetName val="-SATIŞ_TAKİP_PROGRAMI_H"/>
    </sheetNames>
    <sheetDataSet>
      <sheetData sheetId="0"/>
      <sheetData sheetId="1"/>
      <sheetData sheetId="2"/>
      <sheetData sheetId="3"/>
      <sheetData sheetId="4"/>
      <sheetData sheetId="5"/>
      <sheetData sheetId="6"/>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petim"/>
      <sheetName val="Rapor"/>
      <sheetName val="BIST 100"/>
      <sheetName val="TÜM HİSSELER"/>
      <sheetName val="Kaynaklar"/>
      <sheetName val="-BORSA_PROGRAMI"/>
      <sheetName val="Kılavuz"/>
    </sheetNames>
    <sheetDataSet>
      <sheetData sheetId="0"/>
      <sheetData sheetId="1"/>
      <sheetData sheetId="2"/>
      <sheetData sheetId="3"/>
      <sheetData sheetId="4" refreshError="1"/>
      <sheetData sheetId="5" refreshError="1"/>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Ürün_Fiyat_Listesi"/>
    </sheetNames>
    <sheetDataSet>
      <sheetData sheetId="0" refreshError="1"/>
      <sheetData sheetId="1">
        <row r="3">
          <cell r="E3">
            <v>0</v>
          </cell>
        </row>
      </sheetData>
    </sheetDataSet>
  </externalBook>
</externalLink>
</file>

<file path=xl/theme/theme1.xml><?xml version="1.0" encoding="utf-8"?>
<a:theme xmlns:a="http://schemas.openxmlformats.org/drawingml/2006/main" name="Office Teması">
  <a:themeElements>
    <a:clrScheme name="Salih2">
      <a:dk1>
        <a:sysClr val="windowText" lastClr="000000"/>
      </a:dk1>
      <a:lt1>
        <a:sysClr val="window" lastClr="FFFFFF"/>
      </a:lt1>
      <a:dk2>
        <a:srgbClr val="2A2A29"/>
      </a:dk2>
      <a:lt2>
        <a:srgbClr val="EEEEEB"/>
      </a:lt2>
      <a:accent1>
        <a:srgbClr val="0592FE"/>
      </a:accent1>
      <a:accent2>
        <a:srgbClr val="69BBFE"/>
      </a:accent2>
      <a:accent3>
        <a:srgbClr val="2EB470"/>
      </a:accent3>
      <a:accent4>
        <a:srgbClr val="F35754"/>
      </a:accent4>
      <a:accent5>
        <a:srgbClr val="B35297"/>
      </a:accent5>
      <a:accent6>
        <a:srgbClr val="FB911F"/>
      </a:accent6>
      <a:hlink>
        <a:srgbClr val="B35297"/>
      </a:hlink>
      <a:folHlink>
        <a:srgbClr val="0591F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8B90-9F5D-4251-A681-94692764AA0F}">
  <sheetPr codeName="Sayfa2"/>
  <dimension ref="B2:L29"/>
  <sheetViews>
    <sheetView showGridLines="0" zoomScale="115" zoomScaleNormal="115" workbookViewId="0"/>
  </sheetViews>
  <sheetFormatPr defaultRowHeight="13.8" x14ac:dyDescent="0.25"/>
  <cols>
    <col min="1" max="1" width="7" customWidth="1"/>
    <col min="2" max="2" width="30.5" customWidth="1"/>
    <col min="3" max="3" width="21.5" customWidth="1"/>
    <col min="6" max="6" width="9.09765625" hidden="1" customWidth="1"/>
    <col min="7" max="9" width="18.69921875" customWidth="1"/>
    <col min="11" max="11" width="14.19921875" customWidth="1"/>
    <col min="18" max="18" width="12.5" bestFit="1" customWidth="1"/>
  </cols>
  <sheetData>
    <row r="2" spans="2:12" ht="34.5" customHeight="1" x14ac:dyDescent="0.25">
      <c r="B2" s="32" t="s">
        <v>31</v>
      </c>
      <c r="C2" s="2"/>
      <c r="D2" s="2"/>
      <c r="E2" s="2"/>
      <c r="F2" s="2"/>
      <c r="G2" s="33" t="s">
        <v>0</v>
      </c>
    </row>
    <row r="3" spans="2:12" x14ac:dyDescent="0.25">
      <c r="F3" t="s">
        <v>8</v>
      </c>
      <c r="G3" s="22" t="s">
        <v>1</v>
      </c>
      <c r="H3" s="23" t="s">
        <v>6</v>
      </c>
      <c r="I3" s="24" t="s">
        <v>2</v>
      </c>
      <c r="K3" s="14" t="s">
        <v>41</v>
      </c>
      <c r="L3" s="15"/>
    </row>
    <row r="4" spans="2:12" x14ac:dyDescent="0.25">
      <c r="B4" s="43" t="s">
        <v>4</v>
      </c>
      <c r="C4" s="41">
        <v>250000</v>
      </c>
      <c r="F4" s="1">
        <v>1</v>
      </c>
      <c r="G4" s="18" t="str">
        <f t="shared" ref="G4:G27" si="0">IF(F4&gt;$C$6,"",F4&amp;".Taksit")</f>
        <v>1.Taksit</v>
      </c>
      <c r="H4" s="19">
        <f>C8</f>
        <v>44505</v>
      </c>
      <c r="I4" s="20">
        <f t="shared" ref="I4:I27" si="1">IF(G4="","",$C$4/$C$6)</f>
        <v>16666.666666666668</v>
      </c>
    </row>
    <row r="5" spans="2:12" x14ac:dyDescent="0.25">
      <c r="B5" s="44"/>
      <c r="C5" s="42"/>
      <c r="F5" s="1">
        <v>2</v>
      </c>
      <c r="G5" s="25" t="str">
        <f t="shared" si="0"/>
        <v>2.Taksit</v>
      </c>
      <c r="H5" s="26">
        <f t="shared" ref="H5:H27" si="2">IF(G5="","",IF($C$10=$K$5,H4+$L$5,IF($C$10=$K$6,H4+$L$6,EDATE(H4,VLOOKUP($C$10,$K$7:$L$11,2,0)))))</f>
        <v>44535</v>
      </c>
      <c r="I5" s="27">
        <f t="shared" si="1"/>
        <v>16666.666666666668</v>
      </c>
      <c r="K5" s="16" t="s">
        <v>32</v>
      </c>
      <c r="L5" s="16">
        <v>7</v>
      </c>
    </row>
    <row r="6" spans="2:12" x14ac:dyDescent="0.25">
      <c r="B6" s="43" t="s">
        <v>3</v>
      </c>
      <c r="C6" s="45">
        <v>15</v>
      </c>
      <c r="F6" s="1">
        <v>3</v>
      </c>
      <c r="G6" s="18" t="str">
        <f t="shared" si="0"/>
        <v>3.Taksit</v>
      </c>
      <c r="H6" s="21">
        <f t="shared" si="2"/>
        <v>44566</v>
      </c>
      <c r="I6" s="20">
        <f t="shared" si="1"/>
        <v>16666.666666666668</v>
      </c>
      <c r="K6" s="16" t="s">
        <v>33</v>
      </c>
      <c r="L6" s="16">
        <v>14</v>
      </c>
    </row>
    <row r="7" spans="2:12" x14ac:dyDescent="0.25">
      <c r="B7" s="44"/>
      <c r="C7" s="46"/>
      <c r="F7" s="1">
        <v>4</v>
      </c>
      <c r="G7" s="25" t="str">
        <f t="shared" si="0"/>
        <v>4.Taksit</v>
      </c>
      <c r="H7" s="26">
        <f t="shared" si="2"/>
        <v>44597</v>
      </c>
      <c r="I7" s="27">
        <f t="shared" si="1"/>
        <v>16666.666666666668</v>
      </c>
      <c r="K7" s="17" t="s">
        <v>34</v>
      </c>
      <c r="L7" s="17">
        <v>1</v>
      </c>
    </row>
    <row r="8" spans="2:12" x14ac:dyDescent="0.25">
      <c r="B8" s="43" t="s">
        <v>5</v>
      </c>
      <c r="C8" s="47">
        <v>44505</v>
      </c>
      <c r="F8" s="1">
        <v>5</v>
      </c>
      <c r="G8" s="18" t="str">
        <f t="shared" si="0"/>
        <v>5.Taksit</v>
      </c>
      <c r="H8" s="21">
        <f t="shared" si="2"/>
        <v>44625</v>
      </c>
      <c r="I8" s="20">
        <f t="shared" si="1"/>
        <v>16666.666666666668</v>
      </c>
      <c r="K8" s="17" t="s">
        <v>35</v>
      </c>
      <c r="L8" s="17">
        <v>2</v>
      </c>
    </row>
    <row r="9" spans="2:12" x14ac:dyDescent="0.25">
      <c r="B9" s="44"/>
      <c r="C9" s="48"/>
      <c r="F9" s="1">
        <v>6</v>
      </c>
      <c r="G9" s="25" t="str">
        <f t="shared" si="0"/>
        <v>6.Taksit</v>
      </c>
      <c r="H9" s="26">
        <f t="shared" si="2"/>
        <v>44656</v>
      </c>
      <c r="I9" s="27">
        <f t="shared" si="1"/>
        <v>16666.666666666668</v>
      </c>
      <c r="K9" s="17" t="s">
        <v>36</v>
      </c>
      <c r="L9" s="17">
        <v>3</v>
      </c>
    </row>
    <row r="10" spans="2:12" x14ac:dyDescent="0.25">
      <c r="B10" s="43" t="s">
        <v>9</v>
      </c>
      <c r="C10" s="45" t="s">
        <v>34</v>
      </c>
      <c r="F10" s="1">
        <v>7</v>
      </c>
      <c r="G10" s="18" t="str">
        <f t="shared" si="0"/>
        <v>7.Taksit</v>
      </c>
      <c r="H10" s="21">
        <f t="shared" si="2"/>
        <v>44686</v>
      </c>
      <c r="I10" s="20">
        <f t="shared" si="1"/>
        <v>16666.666666666668</v>
      </c>
      <c r="K10" s="17" t="s">
        <v>37</v>
      </c>
      <c r="L10" s="17">
        <v>6</v>
      </c>
    </row>
    <row r="11" spans="2:12" x14ac:dyDescent="0.25">
      <c r="B11" s="44"/>
      <c r="C11" s="46"/>
      <c r="F11" s="1">
        <v>8</v>
      </c>
      <c r="G11" s="25" t="str">
        <f t="shared" si="0"/>
        <v>8.Taksit</v>
      </c>
      <c r="H11" s="26">
        <f t="shared" si="2"/>
        <v>44717</v>
      </c>
      <c r="I11" s="27">
        <f t="shared" si="1"/>
        <v>16666.666666666668</v>
      </c>
      <c r="K11" s="17" t="s">
        <v>38</v>
      </c>
      <c r="L11" s="17">
        <v>12</v>
      </c>
    </row>
    <row r="12" spans="2:12" x14ac:dyDescent="0.25">
      <c r="F12" s="1">
        <v>9</v>
      </c>
      <c r="G12" s="18" t="str">
        <f t="shared" si="0"/>
        <v>9.Taksit</v>
      </c>
      <c r="H12" s="21">
        <f t="shared" si="2"/>
        <v>44747</v>
      </c>
      <c r="I12" s="20">
        <f t="shared" si="1"/>
        <v>16666.666666666668</v>
      </c>
    </row>
    <row r="13" spans="2:12" x14ac:dyDescent="0.25">
      <c r="F13" s="1">
        <v>10</v>
      </c>
      <c r="G13" s="25" t="str">
        <f t="shared" si="0"/>
        <v>10.Taksit</v>
      </c>
      <c r="H13" s="26">
        <f t="shared" si="2"/>
        <v>44778</v>
      </c>
      <c r="I13" s="27">
        <f t="shared" si="1"/>
        <v>16666.666666666668</v>
      </c>
    </row>
    <row r="14" spans="2:12" x14ac:dyDescent="0.25">
      <c r="B14" s="49" t="s">
        <v>11</v>
      </c>
      <c r="C14" s="49"/>
      <c r="F14" s="1">
        <v>11</v>
      </c>
      <c r="G14" s="18" t="str">
        <f t="shared" si="0"/>
        <v>11.Taksit</v>
      </c>
      <c r="H14" s="21">
        <f t="shared" si="2"/>
        <v>44809</v>
      </c>
      <c r="I14" s="20">
        <f t="shared" si="1"/>
        <v>16666.666666666668</v>
      </c>
    </row>
    <row r="15" spans="2:12" x14ac:dyDescent="0.25">
      <c r="B15" s="49"/>
      <c r="C15" s="49"/>
      <c r="F15" s="1">
        <v>12</v>
      </c>
      <c r="G15" s="25" t="str">
        <f t="shared" si="0"/>
        <v>12.Taksit</v>
      </c>
      <c r="H15" s="26">
        <f t="shared" si="2"/>
        <v>44839</v>
      </c>
      <c r="I15" s="27">
        <f t="shared" si="1"/>
        <v>16666.666666666668</v>
      </c>
    </row>
    <row r="16" spans="2:12" x14ac:dyDescent="0.25">
      <c r="F16" s="1">
        <v>13</v>
      </c>
      <c r="G16" s="18" t="str">
        <f t="shared" si="0"/>
        <v>13.Taksit</v>
      </c>
      <c r="H16" s="21">
        <f t="shared" si="2"/>
        <v>44870</v>
      </c>
      <c r="I16" s="20">
        <f t="shared" si="1"/>
        <v>16666.666666666668</v>
      </c>
    </row>
    <row r="17" spans="2:9" x14ac:dyDescent="0.25">
      <c r="B17" s="43" t="s">
        <v>39</v>
      </c>
      <c r="C17" s="45" t="s">
        <v>13</v>
      </c>
      <c r="F17" s="1">
        <v>14</v>
      </c>
      <c r="G17" s="25" t="str">
        <f t="shared" si="0"/>
        <v>14.Taksit</v>
      </c>
      <c r="H17" s="26">
        <f t="shared" si="2"/>
        <v>44900</v>
      </c>
      <c r="I17" s="27">
        <f t="shared" si="1"/>
        <v>16666.666666666668</v>
      </c>
    </row>
    <row r="18" spans="2:9" x14ac:dyDescent="0.25">
      <c r="B18" s="44"/>
      <c r="C18" s="46"/>
      <c r="F18" s="1">
        <v>15</v>
      </c>
      <c r="G18" s="18" t="str">
        <f t="shared" si="0"/>
        <v>15.Taksit</v>
      </c>
      <c r="H18" s="21">
        <f t="shared" si="2"/>
        <v>44931</v>
      </c>
      <c r="I18" s="20">
        <f t="shared" si="1"/>
        <v>16666.666666666668</v>
      </c>
    </row>
    <row r="19" spans="2:9" x14ac:dyDescent="0.25">
      <c r="B19" s="43" t="s">
        <v>12</v>
      </c>
      <c r="C19" s="45">
        <v>55555555555</v>
      </c>
      <c r="F19" s="1">
        <v>16</v>
      </c>
      <c r="G19" s="25" t="str">
        <f t="shared" si="0"/>
        <v/>
      </c>
      <c r="H19" s="26" t="str">
        <f t="shared" si="2"/>
        <v/>
      </c>
      <c r="I19" s="27" t="str">
        <f t="shared" si="1"/>
        <v/>
      </c>
    </row>
    <row r="20" spans="2:9" x14ac:dyDescent="0.25">
      <c r="B20" s="44"/>
      <c r="C20" s="46"/>
      <c r="F20" s="1">
        <v>17</v>
      </c>
      <c r="G20" s="18" t="str">
        <f t="shared" si="0"/>
        <v/>
      </c>
      <c r="H20" s="21" t="str">
        <f t="shared" si="2"/>
        <v/>
      </c>
      <c r="I20" s="20" t="str">
        <f t="shared" si="1"/>
        <v/>
      </c>
    </row>
    <row r="21" spans="2:9" x14ac:dyDescent="0.25">
      <c r="B21" s="43" t="s">
        <v>10</v>
      </c>
      <c r="C21" s="45" t="s">
        <v>40</v>
      </c>
      <c r="F21" s="1">
        <v>18</v>
      </c>
      <c r="G21" s="25" t="str">
        <f t="shared" si="0"/>
        <v/>
      </c>
      <c r="H21" s="26" t="str">
        <f t="shared" si="2"/>
        <v/>
      </c>
      <c r="I21" s="27" t="str">
        <f t="shared" si="1"/>
        <v/>
      </c>
    </row>
    <row r="22" spans="2:9" x14ac:dyDescent="0.25">
      <c r="B22" s="44"/>
      <c r="C22" s="46"/>
      <c r="F22" s="1">
        <v>19</v>
      </c>
      <c r="G22" s="18" t="str">
        <f t="shared" si="0"/>
        <v/>
      </c>
      <c r="H22" s="21" t="str">
        <f t="shared" si="2"/>
        <v/>
      </c>
      <c r="I22" s="20" t="str">
        <f t="shared" si="1"/>
        <v/>
      </c>
    </row>
    <row r="23" spans="2:9" x14ac:dyDescent="0.25">
      <c r="F23" s="1">
        <v>20</v>
      </c>
      <c r="G23" s="25" t="str">
        <f t="shared" si="0"/>
        <v/>
      </c>
      <c r="H23" s="26" t="str">
        <f t="shared" si="2"/>
        <v/>
      </c>
      <c r="I23" s="27" t="str">
        <f t="shared" si="1"/>
        <v/>
      </c>
    </row>
    <row r="24" spans="2:9" ht="23.25" customHeight="1" x14ac:dyDescent="0.25">
      <c r="B24" s="49" t="s">
        <v>21</v>
      </c>
      <c r="C24" s="49"/>
      <c r="F24" s="1">
        <v>21</v>
      </c>
      <c r="G24" s="18" t="str">
        <f t="shared" si="0"/>
        <v/>
      </c>
      <c r="H24" s="21" t="str">
        <f t="shared" si="2"/>
        <v/>
      </c>
      <c r="I24" s="20" t="str">
        <f t="shared" si="1"/>
        <v/>
      </c>
    </row>
    <row r="25" spans="2:9" x14ac:dyDescent="0.25">
      <c r="B25" s="49"/>
      <c r="C25" s="49"/>
      <c r="F25" s="1">
        <v>22</v>
      </c>
      <c r="G25" s="25" t="str">
        <f t="shared" si="0"/>
        <v/>
      </c>
      <c r="H25" s="26" t="str">
        <f t="shared" si="2"/>
        <v/>
      </c>
      <c r="I25" s="27" t="str">
        <f t="shared" si="1"/>
        <v/>
      </c>
    </row>
    <row r="26" spans="2:9" x14ac:dyDescent="0.25">
      <c r="B26" s="43" t="s">
        <v>39</v>
      </c>
      <c r="C26" s="45" t="s">
        <v>22</v>
      </c>
      <c r="F26" s="1">
        <v>23</v>
      </c>
      <c r="G26" s="18" t="str">
        <f t="shared" si="0"/>
        <v/>
      </c>
      <c r="H26" s="21" t="str">
        <f t="shared" si="2"/>
        <v/>
      </c>
      <c r="I26" s="20" t="str">
        <f t="shared" si="1"/>
        <v/>
      </c>
    </row>
    <row r="27" spans="2:9" x14ac:dyDescent="0.25">
      <c r="B27" s="44"/>
      <c r="C27" s="46"/>
      <c r="F27" s="1">
        <v>24</v>
      </c>
      <c r="G27" s="25" t="str">
        <f t="shared" si="0"/>
        <v/>
      </c>
      <c r="H27" s="26" t="str">
        <f t="shared" si="2"/>
        <v/>
      </c>
      <c r="I27" s="27" t="str">
        <f t="shared" si="1"/>
        <v/>
      </c>
    </row>
    <row r="29" spans="2:9" ht="36" customHeight="1" x14ac:dyDescent="0.25">
      <c r="G29" s="28" t="s">
        <v>7</v>
      </c>
      <c r="H29" s="29"/>
      <c r="I29" s="30">
        <f>SUM(I4:I27)</f>
        <v>249999.99999999994</v>
      </c>
    </row>
  </sheetData>
  <mergeCells count="18">
    <mergeCell ref="B24:C25"/>
    <mergeCell ref="C26:C27"/>
    <mergeCell ref="B26:B27"/>
    <mergeCell ref="B14:C15"/>
    <mergeCell ref="C19:C20"/>
    <mergeCell ref="C17:C18"/>
    <mergeCell ref="B17:B18"/>
    <mergeCell ref="C21:C22"/>
    <mergeCell ref="B21:B22"/>
    <mergeCell ref="B19:B20"/>
    <mergeCell ref="C4:C5"/>
    <mergeCell ref="B4:B5"/>
    <mergeCell ref="C10:C11"/>
    <mergeCell ref="B10:B11"/>
    <mergeCell ref="C8:C9"/>
    <mergeCell ref="B8:B9"/>
    <mergeCell ref="C6:C7"/>
    <mergeCell ref="B6:B7"/>
  </mergeCells>
  <phoneticPr fontId="7" type="noConversion"/>
  <dataValidations count="3">
    <dataValidation type="list" allowBlank="1" showInputMessage="1" showErrorMessage="1" sqref="C10" xr:uid="{6C399093-069D-4C76-8909-A741062EF7E9}">
      <formula1>$K$5:$K$11</formula1>
    </dataValidation>
    <dataValidation type="whole" allowBlank="1" showInputMessage="1" showErrorMessage="1" sqref="C6:C7" xr:uid="{9BC742F8-F44C-467E-B4F6-045B361DE043}">
      <formula1>1</formula1>
      <formula2>24</formula2>
    </dataValidation>
    <dataValidation type="date" operator="greaterThan" allowBlank="1" showInputMessage="1" showErrorMessage="1" sqref="C8:C9" xr:uid="{50A4F6B9-9C84-4DC2-BAEA-E4184F33C2D7}">
      <formula1>1</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D6AB-D989-4C69-9519-0D6FCF9E9711}">
  <sheetPr codeName="Sayfa3"/>
  <dimension ref="B2:I24"/>
  <sheetViews>
    <sheetView showGridLines="0" zoomScaleNormal="100" workbookViewId="0">
      <selection activeCell="J16" sqref="J16"/>
    </sheetView>
  </sheetViews>
  <sheetFormatPr defaultRowHeight="13.8" x14ac:dyDescent="0.25"/>
  <cols>
    <col min="2" max="2" width="8.59765625" customWidth="1"/>
    <col min="3" max="3" width="27.8984375" customWidth="1"/>
    <col min="4" max="4" width="30.09765625" customWidth="1"/>
    <col min="5" max="5" width="24.8984375" customWidth="1"/>
    <col min="6" max="6" width="22.19921875" customWidth="1"/>
    <col min="7" max="7" width="8.59765625" customWidth="1"/>
    <col min="9" max="9" width="36.5" hidden="1" customWidth="1"/>
  </cols>
  <sheetData>
    <row r="2" spans="2:9" ht="36" customHeight="1" x14ac:dyDescent="0.25">
      <c r="C2" s="32" t="s">
        <v>27</v>
      </c>
    </row>
    <row r="3" spans="2:9" ht="32.25" customHeight="1" x14ac:dyDescent="0.25">
      <c r="C3" s="34" t="s">
        <v>42</v>
      </c>
      <c r="D3" s="50" t="s">
        <v>47</v>
      </c>
      <c r="E3" s="50"/>
    </row>
    <row r="4" spans="2:9" ht="32.25" customHeight="1" x14ac:dyDescent="0.25">
      <c r="C4" s="34" t="s">
        <v>28</v>
      </c>
      <c r="D4" s="51" t="s">
        <v>46</v>
      </c>
      <c r="E4" s="51"/>
    </row>
    <row r="5" spans="2:9" ht="32.25" customHeight="1" x14ac:dyDescent="0.25">
      <c r="C5" s="34" t="s">
        <v>29</v>
      </c>
      <c r="D5" s="53" t="s">
        <v>45</v>
      </c>
      <c r="E5" s="53"/>
    </row>
    <row r="6" spans="2:9" ht="32.25" customHeight="1" x14ac:dyDescent="0.25">
      <c r="C6" s="34" t="s">
        <v>30</v>
      </c>
      <c r="D6" s="51" t="s">
        <v>44</v>
      </c>
      <c r="E6" s="51"/>
    </row>
    <row r="9" spans="2:9" x14ac:dyDescent="0.25">
      <c r="B9" s="5"/>
      <c r="C9" s="6"/>
      <c r="D9" s="6"/>
      <c r="E9" s="6"/>
      <c r="F9" s="6"/>
      <c r="G9" s="7"/>
      <c r="I9" s="31" t="s">
        <v>43</v>
      </c>
    </row>
    <row r="10" spans="2:9" x14ac:dyDescent="0.25">
      <c r="B10" s="8"/>
      <c r="C10" s="40" t="s">
        <v>14</v>
      </c>
      <c r="F10" s="40" t="s">
        <v>15</v>
      </c>
      <c r="G10" s="9"/>
      <c r="I10" s="13" t="s">
        <v>16</v>
      </c>
    </row>
    <row r="11" spans="2:9" ht="24.75" customHeight="1" x14ac:dyDescent="0.25">
      <c r="B11" s="8"/>
      <c r="C11" s="3">
        <f>VLOOKUP(D3,'Ödeme Özeti'!G4:I27,2,0)</f>
        <v>44566</v>
      </c>
      <c r="F11" s="36">
        <f>VLOOKUP(D3,'Ödeme Özeti'!G4:I27,3,0)</f>
        <v>16666.666666666668</v>
      </c>
      <c r="G11" s="9"/>
      <c r="I11" s="39">
        <f>C11</f>
        <v>44566</v>
      </c>
    </row>
    <row r="12" spans="2:9" x14ac:dyDescent="0.25">
      <c r="B12" s="8"/>
      <c r="G12" s="9"/>
      <c r="I12" s="13" t="s">
        <v>17</v>
      </c>
    </row>
    <row r="13" spans="2:9" ht="25.5" customHeight="1" x14ac:dyDescent="0.25">
      <c r="B13" s="8"/>
      <c r="C13" s="52" t="str">
        <f>I10&amp;" "&amp;TEXT(I11,"gg.aa.yyyy")&amp;" "&amp;_xlfn.TEXTJOIN(" ",FALSE,I12:I20)</f>
        <v>İş bu nama yazılı senedim mukabilinde 05.01.2022 Tarihinde Ahmet Yılmaz namına yukarıda yazılı  Dörtbin Üçyüz Otuzüç Türk Lirası Otuzüç Kuruş ödeyeceği bedeli Nakden ahzolunmuştur. İşbu nama yazılı senet vadesinde ödenmediği takdirde müteakip senetlerinde muacceliyet kesbedeceğini, ihtilaf vukuunda Ankara Mahkemeleri İcra dairelerinin selahiyetini şimdiden kabul eylerim. Okudum.</v>
      </c>
      <c r="D13" s="52"/>
      <c r="E13" s="52"/>
      <c r="F13" s="52"/>
      <c r="G13" s="9"/>
      <c r="I13" s="38" t="str">
        <f>'Ödeme Özeti'!C26</f>
        <v>Ahmet Yılmaz</v>
      </c>
    </row>
    <row r="14" spans="2:9" ht="25.5" customHeight="1" x14ac:dyDescent="0.25">
      <c r="B14" s="8"/>
      <c r="C14" s="52"/>
      <c r="D14" s="52"/>
      <c r="E14" s="52"/>
      <c r="F14" s="52"/>
      <c r="G14" s="9"/>
      <c r="I14" s="13" t="s">
        <v>23</v>
      </c>
    </row>
    <row r="15" spans="2:9" ht="25.5" customHeight="1" x14ac:dyDescent="0.25">
      <c r="B15" s="8"/>
      <c r="C15" s="52"/>
      <c r="D15" s="52"/>
      <c r="E15" s="52"/>
      <c r="F15" s="52"/>
      <c r="G15" s="9"/>
      <c r="I15" s="38" t="str">
        <f>D4</f>
        <v>Dörtbin Üçyüz Otuzüç Türk Lirası Otuzüç Kuruş</v>
      </c>
    </row>
    <row r="16" spans="2:9" ht="25.5" customHeight="1" x14ac:dyDescent="0.25">
      <c r="B16" s="8"/>
      <c r="C16" s="52"/>
      <c r="D16" s="52"/>
      <c r="E16" s="52"/>
      <c r="F16" s="52"/>
      <c r="G16" s="9"/>
      <c r="I16" s="13" t="s">
        <v>24</v>
      </c>
    </row>
    <row r="17" spans="2:9" x14ac:dyDescent="0.25">
      <c r="B17" s="8"/>
      <c r="G17" s="9"/>
      <c r="I17" s="38" t="str">
        <f>D5</f>
        <v>Nakden</v>
      </c>
    </row>
    <row r="18" spans="2:9" ht="30.75" customHeight="1" x14ac:dyDescent="0.25">
      <c r="B18" s="8"/>
      <c r="C18" s="51" t="s">
        <v>18</v>
      </c>
      <c r="D18" s="51"/>
      <c r="F18" s="35" t="s">
        <v>19</v>
      </c>
      <c r="G18" s="9"/>
      <c r="I18" s="13" t="s">
        <v>25</v>
      </c>
    </row>
    <row r="19" spans="2:9" ht="26.25" customHeight="1" x14ac:dyDescent="0.25">
      <c r="B19" s="8"/>
      <c r="C19" t="s">
        <v>39</v>
      </c>
      <c r="D19" s="37" t="str">
        <f>'Ödeme Özeti'!C17</f>
        <v>Mehmet Erkuş</v>
      </c>
      <c r="F19" s="4">
        <f ca="1">TODAY()</f>
        <v>45036</v>
      </c>
      <c r="G19" s="9"/>
      <c r="I19" s="38" t="str">
        <f>D6</f>
        <v>Ankara</v>
      </c>
    </row>
    <row r="20" spans="2:9" ht="26.25" customHeight="1" x14ac:dyDescent="0.25">
      <c r="B20" s="8"/>
      <c r="C20" t="s">
        <v>12</v>
      </c>
      <c r="D20" s="37">
        <f>'Ödeme Özeti'!C19</f>
        <v>55555555555</v>
      </c>
      <c r="G20" s="9"/>
      <c r="I20" s="13" t="s">
        <v>26</v>
      </c>
    </row>
    <row r="21" spans="2:9" ht="26.25" customHeight="1" x14ac:dyDescent="0.25">
      <c r="B21" s="8"/>
      <c r="C21" t="s">
        <v>10</v>
      </c>
      <c r="D21" s="37" t="str">
        <f>'Ödeme Özeti'!C21</f>
        <v>Üsküdar / İstanbul</v>
      </c>
      <c r="F21" s="35" t="s">
        <v>20</v>
      </c>
      <c r="G21" s="9"/>
    </row>
    <row r="22" spans="2:9" x14ac:dyDescent="0.25">
      <c r="B22" s="8"/>
      <c r="G22" s="9"/>
    </row>
    <row r="23" spans="2:9" x14ac:dyDescent="0.25">
      <c r="B23" s="8"/>
      <c r="G23" s="9"/>
    </row>
    <row r="24" spans="2:9" x14ac:dyDescent="0.25">
      <c r="B24" s="10"/>
      <c r="C24" s="11"/>
      <c r="D24" s="11"/>
      <c r="E24" s="11"/>
      <c r="F24" s="11"/>
      <c r="G24" s="12"/>
    </row>
  </sheetData>
  <mergeCells count="6">
    <mergeCell ref="D3:E3"/>
    <mergeCell ref="C18:D18"/>
    <mergeCell ref="C13:F16"/>
    <mergeCell ref="D6:E6"/>
    <mergeCell ref="D5:E5"/>
    <mergeCell ref="D4:E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C709776-168C-4E6D-84A8-96B844E10517}">
          <x14:formula1>
            <xm:f>'Ödeme Özeti'!$G$4:$G$27</xm:f>
          </x14:formula1>
          <xm:sqref>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3" baseType="lpstr">
      <vt:lpstr>Ödeme Özeti</vt:lpstr>
      <vt:lpstr>Senet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2021-11-03T19:20:10Z</dcterms:created>
  <dcterms:modified xsi:type="dcterms:W3CDTF">2023-04-20T10:33:20Z</dcterms:modified>
</cp:coreProperties>
</file>