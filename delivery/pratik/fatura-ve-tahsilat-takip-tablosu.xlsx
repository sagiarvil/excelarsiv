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09/9/main" xmlns:ns8="http://schemas.microsoft.com/office/spreadsheetml/2010/11/main" xmlns:ns9="http://schemas.microsoft.com/office/spreadsheetml/2018/calcfeatures" ns1:Ignorable="x15 xr xr6 xr10 xr2">
  <ns0:fileVersion appName="xl" lastEdited="7" lowestEdited="7" rupBuild="26327" codeName="{37A63EE7-654F-3FA9-A528-636911D70600}"/>
  <ns0:workbookPr hidePivotFieldList="1"/>
  <ns2:revisionPtr revIDLastSave="0" documentId="13_ncr:1_{C422B949-365D-435D-88E0-E33B1A7A194C}" ns3:coauthVersionLast="47" ns3:coauthVersionMax="47" ns4:uidLastSave="{00000000-0000-0000-0000-000000000000}"/>
  <ns0:bookViews>
    <ns0:workbookView xWindow="-108" yWindow="-108" windowWidth="23256" windowHeight="12456" activeTab="0" ns5:uid="{00000000-000D-0000-FFFF-FFFF00000000}"/>
  </ns0:bookViews>
  <ns0:sheets>
    <ns0:sheet name="G_Fatura" sheetId="5" ns6:id="rId2"/>
    <ns0:sheet name="G_Müşteri" sheetId="1" ns6:id="rId3"/>
    <ns0:sheet name="G_Tedarikçi" sheetId="2" ns6:id="rId4"/>
    <ns0:sheet name="G_Banka" sheetId="3" ns6:id="rId5"/>
    <ns0:sheet name="R_CariRaporu" sheetId="6" ns6:id="rId6"/>
    <ns0:sheet name="Ayarlar" sheetId="4" ns6:id="rId7"/>
  </ns0:sheets>
  <ns0:externalReferences>
    <ns0:externalReference ns6:id="rId8"/>
    <ns0:externalReference ns6:id="rId9"/>
    <ns0:externalReference ns6:id="rId10"/>
    <ns0:externalReference ns6:id="rId11"/>
    <ns0:externalReference ns6:id="rId12"/>
    <ns0:externalReference ns6:id="rId13"/>
    <ns0:externalReference ns6:id="rId14"/>
    <ns0:externalReference ns6:id="rId15"/>
    <ns0:externalReference ns6:id="rId16"/>
  </ns0:externalReferences>
  <ns0:definedNames>
    <ns0:definedName name="Dilimleyici_Ay">#N/A</ns0:definedName>
    <ns0:definedName name="Dilimleyici_Cari_Adı">#N/A</ns0:definedName>
    <ns0:definedName name="Dilimleyici_Gelir___Gider">#N/A</ns0:definedName>
    <ns0:definedName name="Dilimleyici_Ödeme_Durumu">#N/A</ns0:definedName>
    <ns0:definedName name="DolarKuru">[1]Ürünlerim!$G$2</ns0:definedName>
    <ns0:definedName name="EuroKuru">[1]Ürünlerim!$G$3</ns0:definedName>
    <ns0:definedName name="Lst_Banka_Kasa">[2]!Tbl_Banka_Kasa[Banka-Kasa]</ns0:definedName>
    <ns0:definedName name="Lst_Bankalarım">Tablo134[Banka Adı]</ns0:definedName>
    <ns0:definedName name="Lst_Cariler">[1]!Tablo3[Cari Adı]</ns0:definedName>
    <ns0:definedName name="lst_EmlakTipi">[3]!tbl_ayar_EmlakTipi[Emlak Tipi]</ns0:definedName>
    <ns0:definedName name="Lst_Maliye_Kategorileri">OFFSET([2]Pvt_Listeler!$A$3,1,0,COUNTA([2]Pvt_Listeler!$A:$A)-1,1)</ns0:definedName>
    <ns0:definedName name="Lst_Müşteriler">Tablo1[Firma Adı]</ns0:definedName>
    <ns0:definedName name="Lst_Nakit_Vadeli">[1]!Tablo13[Nakit / Vadeli Seçimi]</ns0:definedName>
    <ns0:definedName name="Lst_Ödeme_Yön">[2]!Tbl_Ödeme_Yön[Ödeme Yöntemi]</ns0:definedName>
    <ns0:definedName name="Lst_ÖdemeDurumu">Tablo1345[Ödeme Durumu]</ns0:definedName>
    <ns0:definedName name="lst_Satılık_Kiralık">[3]!tbl_ayar_Satılık[Satılık/Kiralık]</ns0:definedName>
    <ns0:definedName name="Lst_Satış_Per">[5]!Tablo2[Ad Soyad]</ns0:definedName>
    <ns0:definedName name="Lst_Servis">[2]!Tbl_Sektör_Kategori[Servis]</ns0:definedName>
    <ns0:definedName name="Lst_Tedarikçiler">Tablo13[Firma Adı]</ns0:definedName>
    <ns0:definedName name="Lst_TümHisseler">[6]!TÜM_HİSSELER_1[Menkul]</ns0:definedName>
    <ns0:definedName name="Lst_Ürün_Ailesi">[2]!Tbl_Ürün_Ailesi[Ürün Ailesi]</ns0:definedName>
    <ns0:definedName name="Lst_Ürünler">[1]!Tablo4[Ürün Adı]</ns0:definedName>
    <ns0:definedName name="Lst_Ürünlerim">[7]!Tablo2[Ürün Adı]</ns0:definedName>
    <ns0:definedName name="Lst_VergiOranları">Tablo13456[Vergi Oranları]</ns0:definedName>
    <ns0:definedName name="Lst_Yıl_Ay">[2]!Tablo8[Tarihler]</ns0:definedName>
    <ns0:definedName name="MailBody1">[8]AnaSayfa!$C$9</ns0:definedName>
    <ns0:definedName name="MailBody2">[8]AnaSayfa!$C$10</ns0:definedName>
    <ns0:definedName name="MailBody3">[8]AnaSayfa!$C$11</ns0:definedName>
    <ns0:definedName name="MailBody4">[8]AnaSayfa!$C$12</ns0:definedName>
    <ns0:definedName name="MailBody5">[8]AnaSayfa!$C$13</ns0:definedName>
    <ns0:definedName name="MailBodyHello">[8]AnaSayfa!$C$8</ns0:definedName>
    <ns0:definedName name="MailSign">[8]AnaSayfa!$C$14</ns0:definedName>
    <ns0:definedName name="oran">[9]Ürün_Fiyat_Listesi!$E$3</ns0:definedName>
    <ns0:definedName name="rng_arama">G_Fatura!$E$2</ns0:definedName>
  </ns0:definedNames>
  <ns0:calcPr calcId="191029"/>
  <ns0:pivotCaches>
    <ns0:pivotCache cacheId="1" ns6:id="rId17"/>
  </ns0:pivotCaches>
  <ns0:extLst>
    <ns0:ext uri="{BBE1A952-AA13-448e-AADC-164F8A28A991}">
      <ns7:slicerCaches>
        <ns7:slicerCache ns6:id="rId18"/>
        <ns7:slicerCache ns6:id="rId19"/>
        <ns7:slicerCache ns6:id="rId20"/>
        <ns7:slicerCache ns6:id="rId21"/>
      </ns7:slicerCaches>
    </ns0:ext>
    <ns0:ext uri="{79F54976-1DA5-4618-B147-4CDE4B953A38}">
      <ns7:workbookPr/>
    </ns0:ext>
    <ns0:ext uri="{140A7094-0E35-4892-8432-C4D2E57EDEB5}">
      <ns8:workbookPr chartTrackingRefBase="1"/>
    </ns0:ext>
    <ns0:ext uri="{B58B0392-4F1F-4190-BB64-5DF3571DCE5F}">
      <ns9:calcFeatures>
        <ns9:feature name="microsoft.com:RD"/>
        <ns9:feature name="microsoft.com:Single"/>
        <ns9:feature name="microsoft.com:FV"/>
        <ns9:feature name="microsoft.com:CNMTM"/>
        <ns9:feature name="microsoft.com:LET_WF"/>
      </ns9:calcFeatures>
    </ns0:ext>
  </ns0:extLst>
</ns0:workbook>
</file>

<file path=xl/calcChain.xml><?xml version="1.0" encoding="utf-8"?>
<calcChain xmlns="http://schemas.openxmlformats.org/spreadsheetml/2006/main">
  <c r="K6" i="5" l="1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9" i="5"/>
  <c r="K10" i="5"/>
  <c r="K11" i="5"/>
  <c r="K12" i="5"/>
  <c r="K7" i="5"/>
  <c r="K8" i="5"/>
</calcChain>
</file>

<file path=xl/sharedStrings.xml><?xml version="1.0" encoding="utf-8"?>
<sst xmlns="http://schemas.openxmlformats.org/spreadsheetml/2006/main" count="1690" uniqueCount="250">
  <si>
    <t>Müşterilerim</t>
  </si>
  <si>
    <t>Firma Adı</t>
  </si>
  <si>
    <t>Vergi No</t>
  </si>
  <si>
    <t>Adres</t>
  </si>
  <si>
    <t>Tedarikçilerim</t>
  </si>
  <si>
    <t>Bankalarım</t>
  </si>
  <si>
    <t>Hesap Adı</t>
  </si>
  <si>
    <t>Banka Adı</t>
  </si>
  <si>
    <t>iban No</t>
  </si>
  <si>
    <t>Kau Turizm</t>
  </si>
  <si>
    <t>FENERLİ MH. 1969. SK. AKTAN APT. NO:15/1 D: 15 MURATPAŞA/ ANTALYA</t>
  </si>
  <si>
    <t>Altındağ İnşaat</t>
  </si>
  <si>
    <t>CAYHAN SOK.40/3 GAZİOSMANPAŞA/ ANKARA</t>
  </si>
  <si>
    <t xml:space="preserve">Demat Teknik </t>
  </si>
  <si>
    <t>SEDAT SİMAV SOK. NO : 20/5-6 ÇANKAYA/ ANKARA</t>
  </si>
  <si>
    <t>Aselman Elektronik</t>
  </si>
  <si>
    <t>ERSOY MAH.296.CAD.NO:16 YENİMAHALLE/ ANKARA</t>
  </si>
  <si>
    <t>Abas Lojistik</t>
  </si>
  <si>
    <t>AYDIN MAH.BAHATTİN NAKİBOĞLU BUL.NO : BİLA ŞEHİTKAMİL/ GAZİANTEP</t>
  </si>
  <si>
    <t>Utopya Turizm</t>
  </si>
  <si>
    <t>CONRAD CAD.NO : 79/10 ÇANKAYA/ ANKARA</t>
  </si>
  <si>
    <t>RŞA Enerji</t>
  </si>
  <si>
    <t>AKAR MAH. 1405. SOK. NO:6 06520 BALGAT ÇANKAYA/ ANKARA</t>
  </si>
  <si>
    <t>ALFA Tıp Merkezi</t>
  </si>
  <si>
    <t>İbni Sina Mah.  Beylikova / Eskişehir</t>
  </si>
  <si>
    <t>BETA Gıda</t>
  </si>
  <si>
    <t>Nusret Mah. Levent / İstanbul</t>
  </si>
  <si>
    <t>GAMA Kozmetik</t>
  </si>
  <si>
    <t>Faraday Mah. Hilmi Cad. Üsküdar / İstanbul</t>
  </si>
  <si>
    <t>OMEGA Teknoloji</t>
  </si>
  <si>
    <t>Omega Mah. Günaydın Sokak Kadıköy / İST</t>
  </si>
  <si>
    <t>A</t>
  </si>
  <si>
    <t>Akbank</t>
  </si>
  <si>
    <t>TR 0000 1111 2222 3333 44</t>
  </si>
  <si>
    <t>B</t>
  </si>
  <si>
    <t>Garanti</t>
  </si>
  <si>
    <t>TR 0000 1111 2222 3333 45</t>
  </si>
  <si>
    <t>C</t>
  </si>
  <si>
    <t>Halkbank</t>
  </si>
  <si>
    <t>TR 0000 1111 2222 3333 46</t>
  </si>
  <si>
    <t>Ayarlar</t>
  </si>
  <si>
    <t>Ödeme Durumu</t>
  </si>
  <si>
    <t>Vergi Oranları</t>
  </si>
  <si>
    <t>Faturalarım</t>
  </si>
  <si>
    <t>Tarih</t>
  </si>
  <si>
    <t>Fatura No</t>
  </si>
  <si>
    <t>Gelir / Gider</t>
  </si>
  <si>
    <t>Hizmet Tutarı</t>
  </si>
  <si>
    <t>Vergi Oranı</t>
  </si>
  <si>
    <t>Fatura Tutarı</t>
  </si>
  <si>
    <t>156-32-458</t>
  </si>
  <si>
    <t>D</t>
  </si>
  <si>
    <t>Kuveyttürk</t>
  </si>
  <si>
    <t>TR 0000 1111 2222 3333 47</t>
  </si>
  <si>
    <t>Fatura Kesilecek</t>
  </si>
  <si>
    <t>Ödeme Tamamlandı</t>
  </si>
  <si>
    <t>Ödeme Bekleniyor</t>
  </si>
  <si>
    <t>Gelir</t>
  </si>
  <si>
    <t>132-65-48</t>
  </si>
  <si>
    <t>Gider</t>
  </si>
  <si>
    <t>716-62-873</t>
  </si>
  <si>
    <t>634-83-288</t>
  </si>
  <si>
    <t>609-29-404</t>
  </si>
  <si>
    <t>202-20-559</t>
  </si>
  <si>
    <t>960-35-423</t>
  </si>
  <si>
    <t>81-93-738</t>
  </si>
  <si>
    <t>796-21-987</t>
  </si>
  <si>
    <t>217-67-212</t>
  </si>
  <si>
    <t>244-56-640</t>
  </si>
  <si>
    <t>127-26-332</t>
  </si>
  <si>
    <t>415-53-256</t>
  </si>
  <si>
    <t>102-93-49</t>
  </si>
  <si>
    <t>66-81-217</t>
  </si>
  <si>
    <t>860-34-84</t>
  </si>
  <si>
    <t>196-8-593</t>
  </si>
  <si>
    <t>258-50-360</t>
  </si>
  <si>
    <t>42-72-948</t>
  </si>
  <si>
    <t>321-27-99</t>
  </si>
  <si>
    <t>153-81-188</t>
  </si>
  <si>
    <t>429-82-770</t>
  </si>
  <si>
    <t>920-26-208</t>
  </si>
  <si>
    <t>773-53-732</t>
  </si>
  <si>
    <t>528-3-42</t>
  </si>
  <si>
    <t>853-46-627</t>
  </si>
  <si>
    <t>193-98-70</t>
  </si>
  <si>
    <t>968-95-795</t>
  </si>
  <si>
    <t>743-14-702</t>
  </si>
  <si>
    <t>699-97-79</t>
  </si>
  <si>
    <t>73-5-835</t>
  </si>
  <si>
    <t>958-56-440</t>
  </si>
  <si>
    <t>903-82-135</t>
  </si>
  <si>
    <t>755-88-798</t>
  </si>
  <si>
    <t>34-11-294</t>
  </si>
  <si>
    <t>25-7-15</t>
  </si>
  <si>
    <t>293-17-585</t>
  </si>
  <si>
    <t>402-98-499</t>
  </si>
  <si>
    <t>841-56-838</t>
  </si>
  <si>
    <t>128-26-393</t>
  </si>
  <si>
    <t>450-14-608</t>
  </si>
  <si>
    <t>252-25-611</t>
  </si>
  <si>
    <t>909-15-412</t>
  </si>
  <si>
    <t>738-29-830</t>
  </si>
  <si>
    <t>608-71-437</t>
  </si>
  <si>
    <t>26-59-701</t>
  </si>
  <si>
    <t>480-18-104</t>
  </si>
  <si>
    <t>577-26-388</t>
  </si>
  <si>
    <t>80-40-181</t>
  </si>
  <si>
    <t>808-50-334</t>
  </si>
  <si>
    <t>651-20-265</t>
  </si>
  <si>
    <t>771-72-719</t>
  </si>
  <si>
    <t>40-55-544</t>
  </si>
  <si>
    <t>85-4-585</t>
  </si>
  <si>
    <t>528-75-440</t>
  </si>
  <si>
    <t>864-51-789</t>
  </si>
  <si>
    <t>823-13-558</t>
  </si>
  <si>
    <t>345-43-797</t>
  </si>
  <si>
    <t>713-21-39</t>
  </si>
  <si>
    <t>101-21-599</t>
  </si>
  <si>
    <t>413-19-513</t>
  </si>
  <si>
    <t>126-85-251</t>
  </si>
  <si>
    <t>659-61-776</t>
  </si>
  <si>
    <t>926-27-423</t>
  </si>
  <si>
    <t>705-93-280</t>
  </si>
  <si>
    <t>261-79-601</t>
  </si>
  <si>
    <t>204-7-693</t>
  </si>
  <si>
    <t>413-58-670</t>
  </si>
  <si>
    <t>533-1-553</t>
  </si>
  <si>
    <t>864-24-361</t>
  </si>
  <si>
    <t>895-21-749</t>
  </si>
  <si>
    <t>560-78-139</t>
  </si>
  <si>
    <t>496-28-308</t>
  </si>
  <si>
    <t>809-47-702</t>
  </si>
  <si>
    <t>754-18-577</t>
  </si>
  <si>
    <t>161-10-132</t>
  </si>
  <si>
    <t>639-57-841</t>
  </si>
  <si>
    <t>619-59-331</t>
  </si>
  <si>
    <t>607-96-53</t>
  </si>
  <si>
    <t>185-77-56</t>
  </si>
  <si>
    <t>891-41-562</t>
  </si>
  <si>
    <t>938-6-21</t>
  </si>
  <si>
    <t>930-17-408</t>
  </si>
  <si>
    <t>376-97-652</t>
  </si>
  <si>
    <t>882-2-372</t>
  </si>
  <si>
    <t>447-11-449</t>
  </si>
  <si>
    <t>120-12-105</t>
  </si>
  <si>
    <t>504-37-112</t>
  </si>
  <si>
    <t>946-61-321</t>
  </si>
  <si>
    <t>722-34-407</t>
  </si>
  <si>
    <t>599-80-937</t>
  </si>
  <si>
    <t>140-12-87</t>
  </si>
  <si>
    <t>496-7-768</t>
  </si>
  <si>
    <t>27-32-374</t>
  </si>
  <si>
    <t>408-32-785</t>
  </si>
  <si>
    <t>213-55-886</t>
  </si>
  <si>
    <t>96-10-791</t>
  </si>
  <si>
    <t>639-46-420</t>
  </si>
  <si>
    <t>897-68-200</t>
  </si>
  <si>
    <t>466-93-685</t>
  </si>
  <si>
    <t>946-72-259</t>
  </si>
  <si>
    <t>688-4-875</t>
  </si>
  <si>
    <t>620-68-872</t>
  </si>
  <si>
    <t>90-33-38</t>
  </si>
  <si>
    <t>243-98-53</t>
  </si>
  <si>
    <t>523-60-243</t>
  </si>
  <si>
    <t>245-4-199</t>
  </si>
  <si>
    <t>289-30-414</t>
  </si>
  <si>
    <t>622-73-626</t>
  </si>
  <si>
    <t>218-59-232</t>
  </si>
  <si>
    <t>875-15-684</t>
  </si>
  <si>
    <t>71-57-642</t>
  </si>
  <si>
    <t>761-50-506</t>
  </si>
  <si>
    <t>821-51-546</t>
  </si>
  <si>
    <t>657-64-570</t>
  </si>
  <si>
    <t>621-23-91</t>
  </si>
  <si>
    <t>113-18-809</t>
  </si>
  <si>
    <t>483-85-981</t>
  </si>
  <si>
    <t>438-75-576</t>
  </si>
  <si>
    <t>135-39-182</t>
  </si>
  <si>
    <t>634-32-903</t>
  </si>
  <si>
    <t>625-99-527</t>
  </si>
  <si>
    <t>400-89-962</t>
  </si>
  <si>
    <t>912-80-998</t>
  </si>
  <si>
    <t>971-57-388</t>
  </si>
  <si>
    <t>313-65-19</t>
  </si>
  <si>
    <t>880-64-824</t>
  </si>
  <si>
    <t>143-5-544</t>
  </si>
  <si>
    <t>183-14-89</t>
  </si>
  <si>
    <t>961-87-513</t>
  </si>
  <si>
    <t>672-26-45</t>
  </si>
  <si>
    <t>427-90-663</t>
  </si>
  <si>
    <t>685-56-557</t>
  </si>
  <si>
    <t>66-60-849</t>
  </si>
  <si>
    <t>884-89-878</t>
  </si>
  <si>
    <t>183-20-822</t>
  </si>
  <si>
    <t>319-6-856</t>
  </si>
  <si>
    <t>334-65-39</t>
  </si>
  <si>
    <t>83-76-842</t>
  </si>
  <si>
    <t>21-74-145</t>
  </si>
  <si>
    <t>343-90-17</t>
  </si>
  <si>
    <t>153-32-423</t>
  </si>
  <si>
    <t>176-62-102</t>
  </si>
  <si>
    <t>416-33-748</t>
  </si>
  <si>
    <t>331-7-776</t>
  </si>
  <si>
    <t>850-34-204</t>
  </si>
  <si>
    <t>778-87-638</t>
  </si>
  <si>
    <t>414-60-673</t>
  </si>
  <si>
    <t>563-88-79</t>
  </si>
  <si>
    <t>43-72-816</t>
  </si>
  <si>
    <t>226-24-973</t>
  </si>
  <si>
    <t>32-42-947</t>
  </si>
  <si>
    <t>121-98-824</t>
  </si>
  <si>
    <t>126-85-691</t>
  </si>
  <si>
    <t>201-19-257</t>
  </si>
  <si>
    <t>130-7-922</t>
  </si>
  <si>
    <t>303-98-739</t>
  </si>
  <si>
    <t>528-12-358</t>
  </si>
  <si>
    <t>250-93-126</t>
  </si>
  <si>
    <t>826-84-915</t>
  </si>
  <si>
    <t>85-4-316</t>
  </si>
  <si>
    <t>762-11-563</t>
  </si>
  <si>
    <t>38-45-829</t>
  </si>
  <si>
    <t>225-66-257</t>
  </si>
  <si>
    <t>443-28-160</t>
  </si>
  <si>
    <t>240-38-356</t>
  </si>
  <si>
    <t>83-27-565</t>
  </si>
  <si>
    <t>264-2-348</t>
  </si>
  <si>
    <t>380-10-741</t>
  </si>
  <si>
    <t>461-2-98</t>
  </si>
  <si>
    <t>151-88-382</t>
  </si>
  <si>
    <t>895-6-282</t>
  </si>
  <si>
    <t>700-46-880</t>
  </si>
  <si>
    <t>136-24-941</t>
  </si>
  <si>
    <t>658-69-193</t>
  </si>
  <si>
    <t>384-98-383</t>
  </si>
  <si>
    <t>168-70-215</t>
  </si>
  <si>
    <t>Cari Adı</t>
  </si>
  <si>
    <t>Müşteri / Tedarikçi</t>
  </si>
  <si>
    <t>Müşteri</t>
  </si>
  <si>
    <t>Tedarikçi</t>
  </si>
  <si>
    <t>Cari Raporu</t>
  </si>
  <si>
    <t>Genel Toplam</t>
  </si>
  <si>
    <t>Toplam Fatura Tutarı</t>
  </si>
  <si>
    <t>123-69-54</t>
  </si>
  <si>
    <t>KILAVUZ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</si>
  <si>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</si>
  <si>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</si>
  <si>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</si>
  <si>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</si>
  <si>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1"/>
        <color theme="1"/>
        <rFont val="Calibri"/>
        <family val="2"/>
        <scheme val="minor"/>
      </rPr>
      <t>Kullanıcı Kılavuzunu in</t>
    </r>
    <r>
      <rPr>
        <sz val="11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</si>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</sst>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₺&quot;#,##0.00;[Red]\-&quot;₺&quot;#,##0.00"/>
    <numFmt numFmtId="164" formatCode="&quot;₺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22"/>
      <color theme="8" tint="-0.249977111117893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theme="5"/>
      <name val="Calibri"/>
      <family val="2"/>
      <charset val="162"/>
      <scheme val="minor"/>
    </font>
    <font>
      <sz val="20"/>
      <color theme="5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ck">
        <color theme="8" tint="-0.24994659260841701"/>
      </left>
      <right/>
      <top/>
      <bottom/>
      <diagonal/>
    </border>
    <border>
      <left style="thick">
        <color theme="4"/>
      </left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ck">
        <color theme="5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left" vertical="center" indent="1"/>
    </xf>
    <xf numFmtId="14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/>
    <xf numFmtId="0" fontId="7" fillId="0" borderId="6" xfId="0" applyFont="1" applyBorder="1" applyAlignment="1">
      <alignment horizontal="left" vertical="center" indent="1"/>
    </xf>
    <xf numFmtId="0" fontId="0" fillId="0" borderId="0" xfId="0" pivotButton="1"/>
    <xf numFmtId="8" fontId="0" fillId="0" borderId="0" xfId="0" applyNumberFormat="1"/>
    <xf numFmtId="0" fontId="9" fillId="3" borderId="0" xfId="2" applyFont="1" applyFill="1" applyAlignment="1">
      <alignment horizontal="left" vertical="center" wrapText="1"/>
    </xf>
    <xf numFmtId="0" fontId="9" fillId="3" borderId="0" xfId="2" applyFont="1" applyFill="1" applyAlignment="1">
      <alignment horizontal="left" vertical="center"/>
    </xf>
    <xf numFmtId="0" fontId="10" fillId="3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11" fillId="2" borderId="8" xfId="2" applyFont="1" applyFill="1" applyBorder="1" applyAlignment="1">
      <alignment vertical="top"/>
    </xf>
    <xf numFmtId="0" fontId="1" fillId="2" borderId="8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12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0" borderId="0" xfId="2"/>
    <xf numFmtId="0" fontId="1" fillId="2" borderId="0" xfId="2" applyFill="1" applyAlignment="1">
      <alignment horizontal="left" vertical="center" wrapText="1"/>
    </xf>
    <xf numFmtId="0" fontId="10" fillId="3" borderId="7" xfId="2" applyFont="1" applyFill="1" applyBorder="1" applyAlignment="1">
      <alignment horizontal="left" vertical="center" wrapText="1" indent="1"/>
    </xf>
    <xf numFmtId="0" fontId="10" fillId="3" borderId="0" xfId="2" applyFont="1" applyFill="1" applyAlignment="1">
      <alignment horizontal="left" vertical="center" wrapText="1" indent="1"/>
    </xf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Köprü 2" xfId="3" xr:uid="{45FB8456-13F3-493E-9777-6D5393B2DC0D}"/>
    <cellStyle name="Normal" xfId="0" builtinId="0"/>
    <cellStyle name="Normal 2" xfId="1" xr:uid="{5F544343-5D1D-452A-8BED-61795EC45C65}"/>
    <cellStyle name="Normal 2 2" xfId="2" xr:uid="{6F620690-67FB-4C3B-8F0C-F7B0F50BE3BD}"/>
  </cellStyles>
  <dxfs count="33"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₺&quot;#,##0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&quot;₺&quot;#,##0.0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751Dilimleyici" pivot="0" table="0" count="10" xr9:uid="{E7E7825F-FC1A-4255-B6DE-03D49C01DD47}">
      <tableStyleElement type="wholeTable" dxfId="32"/>
      <tableStyleElement type="headerRow" dxfId="31"/>
    </tableStyle>
    <tableStyle name="751Kırmızı" pivot="0" table="0" count="10" xr9:uid="{5B236345-F099-4896-A77E-ED9173E8B30E}">
      <tableStyleElement type="wholeTable" dxfId="30"/>
      <tableStyleElement type="headerRow" dxfId="29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751Dilimleyici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751Kırmızı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1.xml" /><ns0:Relationship Id="rId13" Type="http://schemas.openxmlformats.org/officeDocument/2006/relationships/externalLink" Target="externalLinks/externalLink6.xml" /><ns0:Relationship Id="rId18" Type="http://schemas.microsoft.com/office/2007/relationships/slicerCache" Target="slicerCaches/slicerCache1.xml" /><ns0:Relationship Id="rId3" Type="http://schemas.openxmlformats.org/officeDocument/2006/relationships/worksheet" Target="worksheets/sheet3.xml" /><ns0:Relationship Id="rId21" Type="http://schemas.microsoft.com/office/2007/relationships/slicerCache" Target="slicerCaches/slicerCache4.xml" /><ns0:Relationship Id="rId7" Type="http://schemas.openxmlformats.org/officeDocument/2006/relationships/worksheet" Target="worksheets/sheet7.xml" /><ns0:Relationship Id="rId12" Type="http://schemas.openxmlformats.org/officeDocument/2006/relationships/externalLink" Target="externalLinks/externalLink5.xml" /><ns0:Relationship Id="rId17" Type="http://schemas.openxmlformats.org/officeDocument/2006/relationships/pivotCacheDefinition" Target="pivotCache/pivotCacheDefinition1.xml" /><ns0:Relationship Id="rId25" Type="http://schemas.openxmlformats.org/officeDocument/2006/relationships/calcChain" Target="calcChain.xml" /><ns0:Relationship Id="rId2" Type="http://schemas.openxmlformats.org/officeDocument/2006/relationships/worksheet" Target="worksheets/sheet2.xml" /><ns0:Relationship Id="rId16" Type="http://schemas.openxmlformats.org/officeDocument/2006/relationships/externalLink" Target="externalLinks/externalLink9.xml" /><ns0:Relationship Id="rId20" Type="http://schemas.microsoft.com/office/2007/relationships/slicerCache" Target="slicerCaches/slicerCache3.xml" /><ns0:Relationship Id="rId6" Type="http://schemas.openxmlformats.org/officeDocument/2006/relationships/worksheet" Target="worksheets/sheet6.xml" /><ns0:Relationship Id="rId11" Type="http://schemas.openxmlformats.org/officeDocument/2006/relationships/externalLink" Target="externalLinks/externalLink4.xml" /><ns0:Relationship Id="rId24" Type="http://schemas.openxmlformats.org/officeDocument/2006/relationships/sharedStrings" Target="sharedStrings.xml" /><ns0:Relationship Id="rId5" Type="http://schemas.openxmlformats.org/officeDocument/2006/relationships/worksheet" Target="worksheets/sheet5.xml" /><ns0:Relationship Id="rId15" Type="http://schemas.openxmlformats.org/officeDocument/2006/relationships/externalLink" Target="externalLinks/externalLink8.xml" /><ns0:Relationship Id="rId23" Type="http://schemas.openxmlformats.org/officeDocument/2006/relationships/styles" Target="styles.xml" /><ns0:Relationship Id="rId10" Type="http://schemas.openxmlformats.org/officeDocument/2006/relationships/externalLink" Target="externalLinks/externalLink3.xml" /><ns0:Relationship Id="rId19" Type="http://schemas.microsoft.com/office/2007/relationships/slicerCache" Target="slicerCaches/slicerCache2.xml" /><ns0:Relationship Id="rId4" Type="http://schemas.openxmlformats.org/officeDocument/2006/relationships/worksheet" Target="worksheets/sheet4.xml" /><ns0:Relationship Id="rId9" Type="http://schemas.openxmlformats.org/officeDocument/2006/relationships/externalLink" Target="externalLinks/externalLink2.xml" /><ns0:Relationship Id="rId14" Type="http://schemas.openxmlformats.org/officeDocument/2006/relationships/externalLink" Target="externalLinks/externalLink7.xml" /><ns0:Relationship Id="rId22" Type="http://schemas.openxmlformats.org/officeDocument/2006/relationships/theme" Target="theme/theme1.xml" /></ns0: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12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271095</xdr:colOff>
      <xdr:row>1</xdr:row>
      <xdr:rowOff>51289</xdr:rowOff>
    </xdr:from>
    <xdr:to>
      <xdr:col>10</xdr:col>
      <xdr:colOff>534864</xdr:colOff>
      <xdr:row>1</xdr:row>
      <xdr:rowOff>315058</xdr:rowOff>
    </xdr:to>
    <xdr:pic>
      <xdr:nvPicPr>
        <xdr:cNvPr id="3" name="Grafik 2" descr="Büyüteç düz dolguyla">
          <a:extLst>
            <a:ext uri="{FF2B5EF4-FFF2-40B4-BE49-F238E27FC236}">
              <a16:creationId xmlns:a16="http://schemas.microsoft.com/office/drawing/2014/main" id="{E7B97510-527B-4A2A-8B21-7D9BF24C3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730403" y="249116"/>
          <a:ext cx="263769" cy="2637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49695</xdr:colOff>
      <xdr:row>4</xdr:row>
      <xdr:rowOff>91108</xdr:rowOff>
    </xdr:from>
    <xdr:to>
      <xdr:col>5</xdr:col>
      <xdr:colOff>276639</xdr:colOff>
      <xdr:row>10</xdr:row>
      <xdr:rowOff>271255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ri Adı">
              <a:extLst>
                <a:ext uri="{FF2B5EF4-FFF2-40B4-BE49-F238E27FC236}">
                  <a16:creationId xmlns:a16="http://schemas.microsoft.com/office/drawing/2014/main" id="{CB42B7BA-E251-4503-A4A3-01ACEF05F8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i Adı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40934" y="1027043"/>
              <a:ext cx="5458240" cy="13231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299830</xdr:colOff>
      <xdr:row>4</xdr:row>
      <xdr:rowOff>91108</xdr:rowOff>
    </xdr:from>
    <xdr:to>
      <xdr:col>7</xdr:col>
      <xdr:colOff>59635</xdr:colOff>
      <xdr:row>10</xdr:row>
      <xdr:rowOff>281608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elir / Gider">
              <a:extLst>
                <a:ext uri="{FF2B5EF4-FFF2-40B4-BE49-F238E27FC236}">
                  <a16:creationId xmlns:a16="http://schemas.microsoft.com/office/drawing/2014/main" id="{ECE23E33-8EBB-4353-828D-863068DCC0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lir / Gi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08504" y="1027043"/>
              <a:ext cx="18288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4</xdr:row>
      <xdr:rowOff>91108</xdr:rowOff>
    </xdr:from>
    <xdr:to>
      <xdr:col>1</xdr:col>
      <xdr:colOff>1828800</xdr:colOff>
      <xdr:row>10</xdr:row>
      <xdr:rowOff>204994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Ödeme Durumu">
              <a:extLst>
                <a:ext uri="{FF2B5EF4-FFF2-40B4-BE49-F238E27FC236}">
                  <a16:creationId xmlns:a16="http://schemas.microsoft.com/office/drawing/2014/main" id="{8040C68A-429B-4A25-AFD0-FC067C1187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Ödeme Durum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913" y="1027043"/>
              <a:ext cx="1828800" cy="1256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324678</xdr:colOff>
      <xdr:row>4</xdr:row>
      <xdr:rowOff>91108</xdr:rowOff>
    </xdr:from>
    <xdr:to>
      <xdr:col>9</xdr:col>
      <xdr:colOff>753717</xdr:colOff>
      <xdr:row>10</xdr:row>
      <xdr:rowOff>480391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y">
              <a:extLst>
                <a:ext uri="{FF2B5EF4-FFF2-40B4-BE49-F238E27FC236}">
                  <a16:creationId xmlns:a16="http://schemas.microsoft.com/office/drawing/2014/main" id="{5182D9FD-B957-49F0-A358-6E38B30E21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1982" y="1027043"/>
              <a:ext cx="2068996" cy="15322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G&#252;vercin_v2-TR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  <sheetName val="-Emlak Takip Programı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Sayfa"/>
      <sheetName val="Kime"/>
      <sheetName val="Tablo"/>
      <sheetName val="© 751"/>
      <sheetName val="data"/>
    </sheetNames>
    <sheetDataSet>
      <sheetData sheetId="0">
        <row r="8">
          <cell r="C8" t="str">
            <v>Merhabalar;</v>
          </cell>
        </row>
        <row r="9">
          <cell r="C9" t="str">
            <v>Burası ilk paragraftır</v>
          </cell>
        </row>
        <row r="10">
          <cell r="C10" t="str">
            <v>Burası ikinci paragraftır</v>
          </cell>
        </row>
        <row r="11">
          <cell r="C11" t="str">
            <v>Burası üçüncü paragraftır</v>
          </cell>
        </row>
        <row r="12">
          <cell r="C12" t="str">
            <v>Burası dördüncü paragraftır</v>
          </cell>
        </row>
        <row r="13">
          <cell r="C13" t="str">
            <v>Burası beşinci paragraftır</v>
          </cell>
        </row>
        <row r="14">
          <cell r="C14" t="str">
            <v>E-posta imzanızı bu alana girebilirsiniz. (Örn: Salih Hocaoğlu - Founder @)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ih Hocaoğlu" refreshedDate="44492.767184722223" missingItemsLimit="0" createdVersion="7" refreshedVersion="7" minRefreshableVersion="3" recordCount="178" xr:uid="{411AB359-60E1-4E9D-8EB1-9A45E7B2C2EC}">
  <cacheSource type="worksheet">
    <worksheetSource name="Tablo4"/>
  </cacheSource>
  <cacheFields count="11">
    <cacheField name="Tarih" numFmtId="14">
      <sharedItems containsSemiMixedTypes="0" containsNonDate="0" containsDate="1" containsString="0" minDate="2021-01-02T00:00:00" maxDate="2021-10-24T00:00:00" count="109">
        <d v="2021-10-23T00:00:00"/>
        <d v="2021-05-24T00:00:00"/>
        <d v="2021-03-25T00:00:00"/>
        <d v="2021-05-03T00:00:00"/>
        <d v="2021-02-26T00:00:00"/>
        <d v="2021-04-22T00:00:00"/>
        <d v="2021-01-10T00:00:00"/>
        <d v="2021-02-27T00:00:00"/>
        <d v="2021-05-16T00:00:00"/>
        <d v="2021-06-09T00:00:00"/>
        <d v="2021-05-14T00:00:00"/>
        <d v="2021-06-15T00:00:00"/>
        <d v="2021-02-08T00:00:00"/>
        <d v="2021-05-17T00:00:00"/>
        <d v="2021-04-21T00:00:00"/>
        <d v="2021-05-21T00:00:00"/>
        <d v="2021-06-23T00:00:00"/>
        <d v="2021-04-04T00:00:00"/>
        <d v="2021-03-07T00:00:00"/>
        <d v="2021-02-18T00:00:00"/>
        <d v="2021-03-09T00:00:00"/>
        <d v="2021-03-02T00:00:00"/>
        <d v="2021-03-01T00:00:00"/>
        <d v="2021-04-27T00:00:00"/>
        <d v="2021-03-22T00:00:00"/>
        <d v="2021-02-02T00:00:00"/>
        <d v="2021-05-13T00:00:00"/>
        <d v="2021-06-14T00:00:00"/>
        <d v="2021-06-08T00:00:00"/>
        <d v="2021-01-09T00:00:00"/>
        <d v="2021-04-19T00:00:00"/>
        <d v="2021-03-14T00:00:00"/>
        <d v="2021-04-17T00:00:00"/>
        <d v="2021-02-19T00:00:00"/>
        <d v="2021-03-28T00:00:00"/>
        <d v="2021-03-12T00:00:00"/>
        <d v="2021-03-27T00:00:00"/>
        <d v="2021-01-12T00:00:00"/>
        <d v="2021-06-20T00:00:00"/>
        <d v="2021-06-17T00:00:00"/>
        <d v="2021-01-28T00:00:00"/>
        <d v="2021-06-21T00:00:00"/>
        <d v="2021-02-28T00:00:00"/>
        <d v="2021-05-11T00:00:00"/>
        <d v="2021-05-12T00:00:00"/>
        <d v="2021-04-06T00:00:00"/>
        <d v="2021-06-22T00:00:00"/>
        <d v="2021-03-13T00:00:00"/>
        <d v="2021-05-18T00:00:00"/>
        <d v="2021-02-07T00:00:00"/>
        <d v="2021-05-25T00:00:00"/>
        <d v="2021-01-14T00:00:00"/>
        <d v="2021-06-25T00:00:00"/>
        <d v="2021-04-10T00:00:00"/>
        <d v="2021-06-11T00:00:00"/>
        <d v="2021-02-03T00:00:00"/>
        <d v="2021-06-24T00:00:00"/>
        <d v="2021-01-11T00:00:00"/>
        <d v="2021-04-02T00:00:00"/>
        <d v="2021-03-23T00:00:00"/>
        <d v="2021-03-15T00:00:00"/>
        <d v="2021-05-20T00:00:00"/>
        <d v="2021-01-04T00:00:00"/>
        <d v="2021-02-04T00:00:00"/>
        <d v="2021-04-20T00:00:00"/>
        <d v="2021-03-21T00:00:00"/>
        <d v="2021-01-24T00:00:00"/>
        <d v="2021-04-18T00:00:00"/>
        <d v="2021-03-03T00:00:00"/>
        <d v="2021-03-18T00:00:00"/>
        <d v="2021-01-02T00:00:00"/>
        <d v="2021-03-16T00:00:00"/>
        <d v="2021-04-07T00:00:00"/>
        <d v="2021-03-04T00:00:00"/>
        <d v="2021-04-15T00:00:00"/>
        <d v="2021-05-10T00:00:00"/>
        <d v="2021-02-15T00:00:00"/>
        <d v="2021-02-16T00:00:00"/>
        <d v="2021-02-14T00:00:00"/>
        <d v="2021-05-26T00:00:00"/>
        <d v="2021-02-05T00:00:00"/>
        <d v="2021-02-22T00:00:00"/>
        <d v="2021-02-17T00:00:00"/>
        <d v="2021-01-23T00:00:00"/>
        <d v="2021-05-07T00:00:00"/>
        <d v="2021-01-06T00:00:00"/>
        <d v="2021-04-03T00:00:00"/>
        <d v="2021-03-06T00:00:00"/>
        <d v="2021-01-17T00:00:00"/>
        <d v="2021-05-05T00:00:00"/>
        <d v="2021-06-02T00:00:00"/>
        <d v="2021-03-10T00:00:00"/>
        <d v="2021-05-02T00:00:00"/>
        <d v="2021-06-18T00:00:00"/>
        <d v="2021-04-28T00:00:00"/>
        <d v="2021-06-03T00:00:00"/>
        <d v="2021-02-13T00:00:00"/>
        <d v="2021-01-25T00:00:00"/>
        <d v="2021-04-13T00:00:00"/>
        <d v="2021-06-07T00:00:00"/>
        <d v="2021-04-23T00:00:00"/>
        <d v="2021-06-16T00:00:00"/>
        <d v="2021-02-20T00:00:00"/>
        <d v="2021-06-26T00:00:00"/>
        <d v="2021-02-21T00:00:00"/>
        <d v="2021-04-24T00:00:00"/>
        <d v="2021-06-13T00:00:00"/>
        <d v="2021-01-19T00:00:00"/>
        <d v="2021-05-19T00:00:00"/>
      </sharedItems>
      <fieldGroup par="10" base="0">
        <rangePr groupBy="days" startDate="2021-01-02T00:00:00" endDate="2021-10-24T00:00:00"/>
        <groupItems count="368">
          <s v="&lt;2.01.2021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4.10.2021"/>
        </groupItems>
      </fieldGroup>
    </cacheField>
    <cacheField name="Fatura No" numFmtId="0">
      <sharedItems count="180">
        <s v="123-69-54"/>
        <s v="156-32-458"/>
        <s v="132-65-48"/>
        <s v="716-62-873"/>
        <s v="634-83-288"/>
        <s v="609-29-404"/>
        <s v="202-20-559"/>
        <s v="960-35-423"/>
        <s v="81-93-738"/>
        <s v="796-21-987"/>
        <s v="217-67-212"/>
        <s v="244-56-640"/>
        <s v="127-26-332"/>
        <s v="415-53-256"/>
        <s v="102-93-49"/>
        <s v="66-81-217"/>
        <s v="860-34-84"/>
        <s v="196-8-593"/>
        <s v="258-50-360"/>
        <s v="42-72-948"/>
        <s v="321-27-99"/>
        <s v="153-81-188"/>
        <s v="429-82-770"/>
        <s v="920-26-208"/>
        <s v="773-53-732"/>
        <s v="528-3-42"/>
        <s v="853-46-627"/>
        <s v="193-98-70"/>
        <s v="968-95-795"/>
        <s v="743-14-702"/>
        <s v="699-97-79"/>
        <s v="73-5-835"/>
        <s v="958-56-440"/>
        <s v="903-82-135"/>
        <s v="755-88-798"/>
        <s v="34-11-294"/>
        <s v="25-7-15"/>
        <s v="293-17-585"/>
        <s v="402-98-499"/>
        <s v="841-56-838"/>
        <s v="128-26-393"/>
        <s v="450-14-608"/>
        <s v="252-25-611"/>
        <s v="909-15-412"/>
        <s v="738-29-830"/>
        <s v="608-71-437"/>
        <s v="26-59-701"/>
        <s v="480-18-104"/>
        <s v="577-26-388"/>
        <s v="80-40-181"/>
        <s v="808-50-334"/>
        <s v="651-20-265"/>
        <s v="771-72-719"/>
        <s v="40-55-544"/>
        <s v="85-4-585"/>
        <s v="528-75-440"/>
        <s v="864-51-789"/>
        <s v="823-13-558"/>
        <s v="345-43-797"/>
        <s v="713-21-39"/>
        <s v="101-21-599"/>
        <s v="413-19-513"/>
        <s v="126-85-251"/>
        <s v="659-61-776"/>
        <s v="926-27-423"/>
        <s v="705-93-280"/>
        <s v="261-79-601"/>
        <s v="204-7-693"/>
        <s v="413-58-670"/>
        <s v="533-1-553"/>
        <s v="864-24-361"/>
        <s v="895-21-749"/>
        <s v="560-78-139"/>
        <s v="496-28-308"/>
        <s v="809-47-702"/>
        <s v="754-18-577"/>
        <s v="161-10-132"/>
        <s v="639-57-841"/>
        <s v="619-59-331"/>
        <s v="607-96-53"/>
        <s v="185-77-56"/>
        <s v="891-41-562"/>
        <s v="938-6-21"/>
        <s v="930-17-408"/>
        <s v="376-97-652"/>
        <s v="882-2-372"/>
        <s v="447-11-449"/>
        <s v="120-12-105"/>
        <s v="504-37-112"/>
        <s v="946-61-321"/>
        <s v="722-34-407"/>
        <s v="599-80-937"/>
        <s v="140-12-87"/>
        <s v="496-7-768"/>
        <s v="27-32-374"/>
        <s v="408-32-785"/>
        <s v="213-55-886"/>
        <s v="96-10-791"/>
        <s v="639-46-420"/>
        <s v="897-68-200"/>
        <s v="466-93-685"/>
        <s v="946-72-259"/>
        <s v="688-4-875"/>
        <s v="620-68-872"/>
        <s v="90-33-38"/>
        <s v="243-98-53"/>
        <s v="523-60-243"/>
        <s v="245-4-199"/>
        <s v="289-30-414"/>
        <s v="622-73-626"/>
        <s v="218-59-232"/>
        <s v="875-15-684"/>
        <s v="71-57-642"/>
        <s v="761-50-506"/>
        <s v="821-51-546"/>
        <s v="657-64-570"/>
        <s v="621-23-91"/>
        <s v="113-18-809"/>
        <s v="483-85-981"/>
        <s v="438-75-576"/>
        <s v="135-39-182"/>
        <s v="634-32-903"/>
        <s v="625-99-527"/>
        <s v="400-89-962"/>
        <s v="912-80-998"/>
        <s v="971-57-388"/>
        <s v="313-65-19"/>
        <s v="880-64-824"/>
        <s v="143-5-544"/>
        <s v="183-14-89"/>
        <s v="961-87-513"/>
        <s v="672-26-45"/>
        <s v="427-90-663"/>
        <s v="685-56-557"/>
        <s v="66-60-849"/>
        <s v="884-89-878"/>
        <s v="183-20-822"/>
        <s v="319-6-856"/>
        <s v="334-65-39"/>
        <s v="83-76-842"/>
        <s v="21-74-145"/>
        <s v="343-90-17"/>
        <s v="153-32-423"/>
        <s v="176-62-102"/>
        <s v="416-33-748"/>
        <s v="331-7-776"/>
        <s v="850-34-204"/>
        <s v="778-87-638"/>
        <s v="414-60-673"/>
        <s v="563-88-79"/>
        <s v="43-72-816"/>
        <s v="226-24-973"/>
        <s v="32-42-947"/>
        <s v="121-98-824"/>
        <s v="126-85-691"/>
        <s v="201-19-257"/>
        <s v="130-7-922"/>
        <s v="303-98-739"/>
        <s v="528-12-358"/>
        <s v="250-93-126"/>
        <s v="826-84-915"/>
        <s v="85-4-316"/>
        <s v="762-11-563"/>
        <s v="38-45-829"/>
        <s v="225-66-257"/>
        <s v="443-28-160"/>
        <s v="240-38-356"/>
        <s v="83-27-565"/>
        <s v="264-2-348"/>
        <s v="380-10-741"/>
        <s v="461-2-98"/>
        <s v="151-88-382"/>
        <s v="895-6-282"/>
        <s v="700-46-880"/>
        <s v="136-24-941"/>
        <s v="658-69-193"/>
        <s v="384-98-383"/>
        <s v="168-70-215"/>
        <s v="389-49-771" u="1"/>
        <s v="809-58-360" u="1"/>
      </sharedItems>
    </cacheField>
    <cacheField name="Müşteri / Tedarikçi" numFmtId="0">
      <sharedItems/>
    </cacheField>
    <cacheField name="Cari Adı" numFmtId="0">
      <sharedItems count="11">
        <s v="Demat Teknik "/>
        <s v="GAMA Kozmetik"/>
        <s v="BETA Gıda"/>
        <s v="Abas Lojistik"/>
        <s v="ALFA Tıp Merkezi"/>
        <s v="Utopya Turizm"/>
        <s v="OMEGA Teknoloji"/>
        <s v="RŞA Enerji"/>
        <s v="Aselman Elektronik"/>
        <s v="Altındağ İnşaat"/>
        <s v="Kau Turizm"/>
      </sharedItems>
    </cacheField>
    <cacheField name="Gelir / Gider" numFmtId="0">
      <sharedItems count="2">
        <s v="Gelir"/>
        <s v="Gider"/>
      </sharedItems>
    </cacheField>
    <cacheField name="Banka Adı" numFmtId="0">
      <sharedItems/>
    </cacheField>
    <cacheField name="Ödeme Durumu" numFmtId="0">
      <sharedItems count="3">
        <s v="Fatura Kesilecek"/>
        <s v="Ödeme Bekleniyor"/>
        <s v="Ödeme Tamamlandı"/>
      </sharedItems>
    </cacheField>
    <cacheField name="Hizmet Tutarı" numFmtId="164">
      <sharedItems containsSemiMixedTypes="0" containsString="0" containsNumber="1" containsInteger="1" minValue="120" maxValue="9931"/>
    </cacheField>
    <cacheField name="Vergi Oranı" numFmtId="9">
      <sharedItems containsSemiMixedTypes="0" containsString="0" containsNumber="1" minValue="0.02" maxValue="0.18"/>
    </cacheField>
    <cacheField name="Fatura Tutarı" numFmtId="164">
      <sharedItems containsSemiMixedTypes="0" containsString="0" containsNumber="1" minValue="122.4" maxValue="11697.34"/>
    </cacheField>
    <cacheField name="Ay" numFmtId="0" databaseField="0">
      <fieldGroup base="0">
        <rangePr groupBy="months" startDate="2021-01-02T00:00:00" endDate="2021-10-24T00:00:00"/>
        <groupItems count="14">
          <s v="&lt;2.01.2021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4.10.2021"/>
        </groupItems>
      </fieldGroup>
    </cacheField>
  </cacheFields>
  <extLst>
    <ext xmlns:x14="http://schemas.microsoft.com/office/spreadsheetml/2009/9/main" uri="{725AE2AE-9491-48be-B2B4-4EB974FC3084}">
      <x14:pivotCacheDefinition pivotCacheId="21025936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x v="0"/>
    <x v="0"/>
    <s v="Müşteri"/>
    <x v="0"/>
    <x v="0"/>
    <s v="Kuveyttürk"/>
    <x v="0"/>
    <n v="3600"/>
    <n v="0.08"/>
    <n v="3888.0000000000005"/>
  </r>
  <r>
    <x v="0"/>
    <x v="1"/>
    <s v="Müşteri"/>
    <x v="0"/>
    <x v="0"/>
    <s v="Halkbank"/>
    <x v="1"/>
    <n v="250"/>
    <n v="0.08"/>
    <n v="270"/>
  </r>
  <r>
    <x v="0"/>
    <x v="2"/>
    <s v="Tedarikçi"/>
    <x v="1"/>
    <x v="1"/>
    <s v="Akbank"/>
    <x v="2"/>
    <n v="120"/>
    <n v="0.02"/>
    <n v="122.4"/>
  </r>
  <r>
    <x v="1"/>
    <x v="3"/>
    <s v="Tedarikçi"/>
    <x v="1"/>
    <x v="1"/>
    <s v="Garanti"/>
    <x v="2"/>
    <n v="5814"/>
    <n v="0.18"/>
    <n v="6860.5199999999995"/>
  </r>
  <r>
    <x v="2"/>
    <x v="4"/>
    <s v="Tedarikçi"/>
    <x v="2"/>
    <x v="1"/>
    <s v="Akbank"/>
    <x v="0"/>
    <n v="9768"/>
    <n v="0.18"/>
    <n v="11526.24"/>
  </r>
  <r>
    <x v="3"/>
    <x v="5"/>
    <s v="Tedarikçi"/>
    <x v="2"/>
    <x v="1"/>
    <s v="Garanti"/>
    <x v="2"/>
    <n v="8470"/>
    <n v="0.02"/>
    <n v="8639.4"/>
  </r>
  <r>
    <x v="4"/>
    <x v="6"/>
    <s v="Müşteri"/>
    <x v="3"/>
    <x v="0"/>
    <s v="Akbank"/>
    <x v="1"/>
    <n v="896"/>
    <n v="0.02"/>
    <n v="913.92000000000007"/>
  </r>
  <r>
    <x v="5"/>
    <x v="7"/>
    <s v="Tedarikçi"/>
    <x v="1"/>
    <x v="1"/>
    <s v="Garanti"/>
    <x v="2"/>
    <n v="8242"/>
    <n v="0.08"/>
    <n v="8901.36"/>
  </r>
  <r>
    <x v="6"/>
    <x v="8"/>
    <s v="Tedarikçi"/>
    <x v="4"/>
    <x v="1"/>
    <s v="Halkbank"/>
    <x v="0"/>
    <n v="3541"/>
    <n v="0.02"/>
    <n v="3611.82"/>
  </r>
  <r>
    <x v="7"/>
    <x v="9"/>
    <s v="Müşteri"/>
    <x v="5"/>
    <x v="0"/>
    <s v="Halkbank"/>
    <x v="2"/>
    <n v="3694"/>
    <n v="0.02"/>
    <n v="3767.88"/>
  </r>
  <r>
    <x v="8"/>
    <x v="10"/>
    <s v="Tedarikçi"/>
    <x v="1"/>
    <x v="1"/>
    <s v="Garanti"/>
    <x v="2"/>
    <n v="2226"/>
    <n v="0.08"/>
    <n v="2404.0800000000004"/>
  </r>
  <r>
    <x v="9"/>
    <x v="11"/>
    <s v="Tedarikçi"/>
    <x v="2"/>
    <x v="1"/>
    <s v="Garanti"/>
    <x v="2"/>
    <n v="7895"/>
    <n v="0.08"/>
    <n v="8526.6"/>
  </r>
  <r>
    <x v="10"/>
    <x v="12"/>
    <s v="Tedarikçi"/>
    <x v="2"/>
    <x v="1"/>
    <s v="Akbank"/>
    <x v="2"/>
    <n v="2915"/>
    <n v="0.08"/>
    <n v="3148.2000000000003"/>
  </r>
  <r>
    <x v="11"/>
    <x v="13"/>
    <s v="Tedarikçi"/>
    <x v="4"/>
    <x v="1"/>
    <s v="Halkbank"/>
    <x v="0"/>
    <n v="7398"/>
    <n v="0.02"/>
    <n v="7545.96"/>
  </r>
  <r>
    <x v="3"/>
    <x v="14"/>
    <s v="Tedarikçi"/>
    <x v="1"/>
    <x v="1"/>
    <s v="Akbank"/>
    <x v="2"/>
    <n v="554"/>
    <n v="0.08"/>
    <n v="598.32000000000005"/>
  </r>
  <r>
    <x v="12"/>
    <x v="15"/>
    <s v="Müşteri"/>
    <x v="3"/>
    <x v="0"/>
    <s v="Akbank"/>
    <x v="2"/>
    <n v="9564"/>
    <n v="0.02"/>
    <n v="9755.2800000000007"/>
  </r>
  <r>
    <x v="13"/>
    <x v="16"/>
    <s v="Müşteri"/>
    <x v="0"/>
    <x v="0"/>
    <s v="Garanti"/>
    <x v="0"/>
    <n v="6977"/>
    <n v="0.08"/>
    <n v="7535.1600000000008"/>
  </r>
  <r>
    <x v="14"/>
    <x v="17"/>
    <s v="Tedarikçi"/>
    <x v="2"/>
    <x v="1"/>
    <s v="Garanti"/>
    <x v="2"/>
    <n v="9088"/>
    <n v="0.02"/>
    <n v="9269.76"/>
  </r>
  <r>
    <x v="15"/>
    <x v="18"/>
    <s v="Tedarikçi"/>
    <x v="1"/>
    <x v="1"/>
    <s v="Halkbank"/>
    <x v="2"/>
    <n v="3244"/>
    <n v="0.08"/>
    <n v="3503.5200000000004"/>
  </r>
  <r>
    <x v="16"/>
    <x v="19"/>
    <s v="Tedarikçi"/>
    <x v="6"/>
    <x v="1"/>
    <s v="Garanti"/>
    <x v="0"/>
    <n v="9294"/>
    <n v="0.18"/>
    <n v="10966.92"/>
  </r>
  <r>
    <x v="17"/>
    <x v="20"/>
    <s v="Tedarikçi"/>
    <x v="4"/>
    <x v="1"/>
    <s v="Akbank"/>
    <x v="2"/>
    <n v="4705"/>
    <n v="0.08"/>
    <n v="5081.4000000000005"/>
  </r>
  <r>
    <x v="1"/>
    <x v="21"/>
    <s v="Tedarikçi"/>
    <x v="6"/>
    <x v="1"/>
    <s v="Halkbank"/>
    <x v="2"/>
    <n v="2681"/>
    <n v="0.18"/>
    <n v="3163.58"/>
  </r>
  <r>
    <x v="18"/>
    <x v="22"/>
    <s v="Tedarikçi"/>
    <x v="1"/>
    <x v="1"/>
    <s v="Garanti"/>
    <x v="2"/>
    <n v="1425"/>
    <n v="0.08"/>
    <n v="1539"/>
  </r>
  <r>
    <x v="19"/>
    <x v="23"/>
    <s v="Müşteri"/>
    <x v="3"/>
    <x v="0"/>
    <s v="Akbank"/>
    <x v="2"/>
    <n v="5915"/>
    <n v="0.02"/>
    <n v="6033.3"/>
  </r>
  <r>
    <x v="20"/>
    <x v="24"/>
    <s v="Müşteri"/>
    <x v="7"/>
    <x v="0"/>
    <s v="Garanti"/>
    <x v="0"/>
    <n v="3714"/>
    <n v="0.08"/>
    <n v="4011.1200000000003"/>
  </r>
  <r>
    <x v="21"/>
    <x v="25"/>
    <s v="Tedarikçi"/>
    <x v="4"/>
    <x v="1"/>
    <s v="Garanti"/>
    <x v="0"/>
    <n v="6370"/>
    <n v="0.02"/>
    <n v="6497.4000000000005"/>
  </r>
  <r>
    <x v="22"/>
    <x v="26"/>
    <s v="Tedarikçi"/>
    <x v="2"/>
    <x v="1"/>
    <s v="Halkbank"/>
    <x v="0"/>
    <n v="6683"/>
    <n v="0.08"/>
    <n v="7217.64"/>
  </r>
  <r>
    <x v="23"/>
    <x v="27"/>
    <s v="Müşteri"/>
    <x v="7"/>
    <x v="0"/>
    <s v="Akbank"/>
    <x v="2"/>
    <n v="8816"/>
    <n v="0.02"/>
    <n v="8992.32"/>
  </r>
  <r>
    <x v="24"/>
    <x v="28"/>
    <s v="Müşteri"/>
    <x v="7"/>
    <x v="0"/>
    <s v="Halkbank"/>
    <x v="2"/>
    <n v="3876"/>
    <n v="0.02"/>
    <n v="3953.52"/>
  </r>
  <r>
    <x v="25"/>
    <x v="29"/>
    <s v="Tedarikçi"/>
    <x v="1"/>
    <x v="1"/>
    <s v="Halkbank"/>
    <x v="0"/>
    <n v="8579"/>
    <n v="0.02"/>
    <n v="8750.58"/>
  </r>
  <r>
    <x v="26"/>
    <x v="30"/>
    <s v="Tedarikçi"/>
    <x v="1"/>
    <x v="1"/>
    <s v="Halkbank"/>
    <x v="2"/>
    <n v="8412"/>
    <n v="0.18"/>
    <n v="9926.16"/>
  </r>
  <r>
    <x v="27"/>
    <x v="31"/>
    <s v="Tedarikçi"/>
    <x v="4"/>
    <x v="1"/>
    <s v="Akbank"/>
    <x v="0"/>
    <n v="9519"/>
    <n v="0.08"/>
    <n v="10280.52"/>
  </r>
  <r>
    <x v="12"/>
    <x v="32"/>
    <s v="Tedarikçi"/>
    <x v="1"/>
    <x v="1"/>
    <s v="Akbank"/>
    <x v="0"/>
    <n v="5379"/>
    <n v="0.08"/>
    <n v="5809.3200000000006"/>
  </r>
  <r>
    <x v="28"/>
    <x v="33"/>
    <s v="Müşteri"/>
    <x v="8"/>
    <x v="0"/>
    <s v="Garanti"/>
    <x v="2"/>
    <n v="7037"/>
    <n v="0.08"/>
    <n v="7599.9600000000009"/>
  </r>
  <r>
    <x v="29"/>
    <x v="34"/>
    <s v="Tedarikçi"/>
    <x v="6"/>
    <x v="1"/>
    <s v="Akbank"/>
    <x v="2"/>
    <n v="4177"/>
    <n v="0.08"/>
    <n v="4511.16"/>
  </r>
  <r>
    <x v="30"/>
    <x v="35"/>
    <s v="Müşteri"/>
    <x v="9"/>
    <x v="0"/>
    <s v="Garanti"/>
    <x v="0"/>
    <n v="6773"/>
    <n v="0.02"/>
    <n v="6908.46"/>
  </r>
  <r>
    <x v="31"/>
    <x v="36"/>
    <s v="Müşteri"/>
    <x v="9"/>
    <x v="0"/>
    <s v="Akbank"/>
    <x v="2"/>
    <n v="785"/>
    <n v="0.02"/>
    <n v="800.7"/>
  </r>
  <r>
    <x v="32"/>
    <x v="37"/>
    <s v="Müşteri"/>
    <x v="0"/>
    <x v="0"/>
    <s v="Akbank"/>
    <x v="0"/>
    <n v="5886"/>
    <n v="0.02"/>
    <n v="6003.72"/>
  </r>
  <r>
    <x v="33"/>
    <x v="38"/>
    <s v="Müşteri"/>
    <x v="3"/>
    <x v="0"/>
    <s v="Halkbank"/>
    <x v="0"/>
    <n v="2497"/>
    <n v="0.02"/>
    <n v="2546.94"/>
  </r>
  <r>
    <x v="34"/>
    <x v="39"/>
    <s v="Müşteri"/>
    <x v="10"/>
    <x v="0"/>
    <s v="Akbank"/>
    <x v="2"/>
    <n v="4617"/>
    <n v="0.02"/>
    <n v="4709.34"/>
  </r>
  <r>
    <x v="35"/>
    <x v="40"/>
    <s v="Tedarikçi"/>
    <x v="4"/>
    <x v="1"/>
    <s v="Halkbank"/>
    <x v="2"/>
    <n v="6348"/>
    <n v="0.18"/>
    <n v="7490.6399999999994"/>
  </r>
  <r>
    <x v="36"/>
    <x v="41"/>
    <s v="Müşteri"/>
    <x v="3"/>
    <x v="0"/>
    <s v="Garanti"/>
    <x v="2"/>
    <n v="657"/>
    <n v="0.02"/>
    <n v="670.14"/>
  </r>
  <r>
    <x v="37"/>
    <x v="42"/>
    <s v="Tedarikçi"/>
    <x v="4"/>
    <x v="1"/>
    <s v="Garanti"/>
    <x v="2"/>
    <n v="8513"/>
    <n v="0.02"/>
    <n v="8683.26"/>
  </r>
  <r>
    <x v="38"/>
    <x v="43"/>
    <s v="Müşteri"/>
    <x v="9"/>
    <x v="0"/>
    <s v="Halkbank"/>
    <x v="0"/>
    <n v="4311"/>
    <n v="0.02"/>
    <n v="4397.22"/>
  </r>
  <r>
    <x v="39"/>
    <x v="44"/>
    <s v="Tedarikçi"/>
    <x v="1"/>
    <x v="1"/>
    <s v="Halkbank"/>
    <x v="0"/>
    <n v="7497"/>
    <n v="0.02"/>
    <n v="7646.9400000000005"/>
  </r>
  <r>
    <x v="40"/>
    <x v="45"/>
    <s v="Müşteri"/>
    <x v="3"/>
    <x v="0"/>
    <s v="Halkbank"/>
    <x v="2"/>
    <n v="1899"/>
    <n v="0.08"/>
    <n v="2050.92"/>
  </r>
  <r>
    <x v="41"/>
    <x v="46"/>
    <s v="Müşteri"/>
    <x v="7"/>
    <x v="0"/>
    <s v="Halkbank"/>
    <x v="2"/>
    <n v="6542"/>
    <n v="0.18"/>
    <n v="7719.5599999999995"/>
  </r>
  <r>
    <x v="42"/>
    <x v="47"/>
    <s v="Tedarikçi"/>
    <x v="4"/>
    <x v="1"/>
    <s v="Akbank"/>
    <x v="0"/>
    <n v="9913"/>
    <n v="0.18"/>
    <n v="11697.34"/>
  </r>
  <r>
    <x v="43"/>
    <x v="48"/>
    <s v="Tedarikçi"/>
    <x v="4"/>
    <x v="1"/>
    <s v="Halkbank"/>
    <x v="0"/>
    <n v="772"/>
    <n v="0.18"/>
    <n v="910.95999999999992"/>
  </r>
  <r>
    <x v="44"/>
    <x v="49"/>
    <s v="Tedarikçi"/>
    <x v="2"/>
    <x v="1"/>
    <s v="Garanti"/>
    <x v="0"/>
    <n v="2424"/>
    <n v="0.18"/>
    <n v="2860.3199999999997"/>
  </r>
  <r>
    <x v="45"/>
    <x v="50"/>
    <s v="Tedarikçi"/>
    <x v="2"/>
    <x v="1"/>
    <s v="Akbank"/>
    <x v="2"/>
    <n v="3628"/>
    <n v="0.02"/>
    <n v="3700.56"/>
  </r>
  <r>
    <x v="36"/>
    <x v="51"/>
    <s v="Tedarikçi"/>
    <x v="2"/>
    <x v="1"/>
    <s v="Garanti"/>
    <x v="2"/>
    <n v="4557"/>
    <n v="0.08"/>
    <n v="4921.5600000000004"/>
  </r>
  <r>
    <x v="46"/>
    <x v="52"/>
    <s v="Tedarikçi"/>
    <x v="2"/>
    <x v="1"/>
    <s v="Halkbank"/>
    <x v="0"/>
    <n v="7853"/>
    <n v="0.08"/>
    <n v="8481.24"/>
  </r>
  <r>
    <x v="18"/>
    <x v="53"/>
    <s v="Müşteri"/>
    <x v="9"/>
    <x v="0"/>
    <s v="Akbank"/>
    <x v="0"/>
    <n v="1927"/>
    <n v="0.08"/>
    <n v="2081.1600000000003"/>
  </r>
  <r>
    <x v="47"/>
    <x v="54"/>
    <s v="Müşteri"/>
    <x v="5"/>
    <x v="0"/>
    <s v="Halkbank"/>
    <x v="2"/>
    <n v="7527"/>
    <n v="0.08"/>
    <n v="8129.1600000000008"/>
  </r>
  <r>
    <x v="48"/>
    <x v="55"/>
    <s v="Müşteri"/>
    <x v="3"/>
    <x v="0"/>
    <s v="Garanti"/>
    <x v="0"/>
    <n v="9638"/>
    <n v="0.18"/>
    <n v="11372.84"/>
  </r>
  <r>
    <x v="49"/>
    <x v="56"/>
    <s v="Tedarikçi"/>
    <x v="4"/>
    <x v="1"/>
    <s v="Garanti"/>
    <x v="2"/>
    <n v="481"/>
    <n v="0.08"/>
    <n v="519.48"/>
  </r>
  <r>
    <x v="22"/>
    <x v="57"/>
    <s v="Tedarikçi"/>
    <x v="2"/>
    <x v="1"/>
    <s v="Garanti"/>
    <x v="0"/>
    <n v="4021"/>
    <n v="0.18"/>
    <n v="4744.78"/>
  </r>
  <r>
    <x v="50"/>
    <x v="58"/>
    <s v="Müşteri"/>
    <x v="10"/>
    <x v="0"/>
    <s v="Garanti"/>
    <x v="0"/>
    <n v="8188"/>
    <n v="0.02"/>
    <n v="8351.76"/>
  </r>
  <r>
    <x v="12"/>
    <x v="59"/>
    <s v="Tedarikçi"/>
    <x v="4"/>
    <x v="1"/>
    <s v="Akbank"/>
    <x v="2"/>
    <n v="4616"/>
    <n v="0.02"/>
    <n v="4708.32"/>
  </r>
  <r>
    <x v="51"/>
    <x v="60"/>
    <s v="Müşteri"/>
    <x v="3"/>
    <x v="0"/>
    <s v="Garanti"/>
    <x v="0"/>
    <n v="3196"/>
    <n v="0.08"/>
    <n v="3451.6800000000003"/>
  </r>
  <r>
    <x v="52"/>
    <x v="61"/>
    <s v="Tedarikçi"/>
    <x v="2"/>
    <x v="1"/>
    <s v="Akbank"/>
    <x v="2"/>
    <n v="7966"/>
    <n v="0.08"/>
    <n v="8603.2800000000007"/>
  </r>
  <r>
    <x v="53"/>
    <x v="62"/>
    <s v="Müşteri"/>
    <x v="8"/>
    <x v="0"/>
    <s v="Garanti"/>
    <x v="2"/>
    <n v="5792"/>
    <n v="0.02"/>
    <n v="5907.84"/>
  </r>
  <r>
    <x v="54"/>
    <x v="63"/>
    <s v="Tedarikçi"/>
    <x v="2"/>
    <x v="1"/>
    <s v="Garanti"/>
    <x v="0"/>
    <n v="6948"/>
    <n v="0.02"/>
    <n v="7086.96"/>
  </r>
  <r>
    <x v="55"/>
    <x v="64"/>
    <s v="Tedarikçi"/>
    <x v="2"/>
    <x v="1"/>
    <s v="Akbank"/>
    <x v="2"/>
    <n v="7971"/>
    <n v="0.18"/>
    <n v="9405.7799999999988"/>
  </r>
  <r>
    <x v="5"/>
    <x v="65"/>
    <s v="Tedarikçi"/>
    <x v="4"/>
    <x v="1"/>
    <s v="Halkbank"/>
    <x v="2"/>
    <n v="2002"/>
    <n v="0.18"/>
    <n v="2362.3599999999997"/>
  </r>
  <r>
    <x v="56"/>
    <x v="66"/>
    <s v="Tedarikçi"/>
    <x v="2"/>
    <x v="1"/>
    <s v="Garanti"/>
    <x v="2"/>
    <n v="3411"/>
    <n v="0.18"/>
    <n v="4024.9799999999996"/>
  </r>
  <r>
    <x v="26"/>
    <x v="67"/>
    <s v="Müşteri"/>
    <x v="9"/>
    <x v="0"/>
    <s v="Akbank"/>
    <x v="2"/>
    <n v="4418"/>
    <n v="0.18"/>
    <n v="5213.24"/>
  </r>
  <r>
    <x v="57"/>
    <x v="68"/>
    <s v="Tedarikçi"/>
    <x v="6"/>
    <x v="1"/>
    <s v="Akbank"/>
    <x v="2"/>
    <n v="8258"/>
    <n v="0.08"/>
    <n v="8918.6400000000012"/>
  </r>
  <r>
    <x v="58"/>
    <x v="69"/>
    <s v="Tedarikçi"/>
    <x v="4"/>
    <x v="1"/>
    <s v="Halkbank"/>
    <x v="0"/>
    <n v="9063"/>
    <n v="0.18"/>
    <n v="10694.34"/>
  </r>
  <r>
    <x v="53"/>
    <x v="70"/>
    <s v="Müşteri"/>
    <x v="7"/>
    <x v="0"/>
    <s v="Garanti"/>
    <x v="2"/>
    <n v="9283"/>
    <n v="0.08"/>
    <n v="10025.640000000001"/>
  </r>
  <r>
    <x v="59"/>
    <x v="71"/>
    <s v="Tedarikçi"/>
    <x v="6"/>
    <x v="1"/>
    <s v="Garanti"/>
    <x v="2"/>
    <n v="8061"/>
    <n v="0.08"/>
    <n v="8705.880000000001"/>
  </r>
  <r>
    <x v="60"/>
    <x v="72"/>
    <s v="Tedarikçi"/>
    <x v="2"/>
    <x v="1"/>
    <s v="Garanti"/>
    <x v="2"/>
    <n v="4723"/>
    <n v="0.02"/>
    <n v="4817.46"/>
  </r>
  <r>
    <x v="19"/>
    <x v="73"/>
    <s v="Tedarikçi"/>
    <x v="2"/>
    <x v="1"/>
    <s v="Garanti"/>
    <x v="2"/>
    <n v="9435"/>
    <n v="0.08"/>
    <n v="10189.800000000001"/>
  </r>
  <r>
    <x v="60"/>
    <x v="74"/>
    <s v="Tedarikçi"/>
    <x v="6"/>
    <x v="1"/>
    <s v="Akbank"/>
    <x v="2"/>
    <n v="1171"/>
    <n v="0.18"/>
    <n v="1381.78"/>
  </r>
  <r>
    <x v="12"/>
    <x v="75"/>
    <s v="Müşteri"/>
    <x v="5"/>
    <x v="0"/>
    <s v="Akbank"/>
    <x v="2"/>
    <n v="2542"/>
    <n v="0.18"/>
    <n v="2999.56"/>
  </r>
  <r>
    <x v="61"/>
    <x v="76"/>
    <s v="Tedarikçi"/>
    <x v="1"/>
    <x v="1"/>
    <s v="Halkbank"/>
    <x v="2"/>
    <n v="9931"/>
    <n v="0.02"/>
    <n v="10129.620000000001"/>
  </r>
  <r>
    <x v="56"/>
    <x v="77"/>
    <s v="Müşteri"/>
    <x v="7"/>
    <x v="0"/>
    <s v="Halkbank"/>
    <x v="2"/>
    <n v="3947"/>
    <n v="0.08"/>
    <n v="4262.76"/>
  </r>
  <r>
    <x v="62"/>
    <x v="78"/>
    <s v="Müşteri"/>
    <x v="7"/>
    <x v="0"/>
    <s v="Garanti"/>
    <x v="2"/>
    <n v="3918"/>
    <n v="0.02"/>
    <n v="3996.36"/>
  </r>
  <r>
    <x v="32"/>
    <x v="79"/>
    <s v="Tedarikçi"/>
    <x v="1"/>
    <x v="1"/>
    <s v="Garanti"/>
    <x v="2"/>
    <n v="4974"/>
    <n v="0.18"/>
    <n v="5869.32"/>
  </r>
  <r>
    <x v="63"/>
    <x v="80"/>
    <s v="Tedarikçi"/>
    <x v="1"/>
    <x v="1"/>
    <s v="Garanti"/>
    <x v="2"/>
    <n v="1168"/>
    <n v="0.08"/>
    <n v="1261.44"/>
  </r>
  <r>
    <x v="64"/>
    <x v="81"/>
    <s v="Müşteri"/>
    <x v="9"/>
    <x v="0"/>
    <s v="Garanti"/>
    <x v="2"/>
    <n v="9750"/>
    <n v="0.02"/>
    <n v="9945"/>
  </r>
  <r>
    <x v="65"/>
    <x v="82"/>
    <s v="Müşteri"/>
    <x v="3"/>
    <x v="0"/>
    <s v="Halkbank"/>
    <x v="1"/>
    <n v="5654"/>
    <n v="0.08"/>
    <n v="6106.3200000000006"/>
  </r>
  <r>
    <x v="20"/>
    <x v="83"/>
    <s v="Müşteri"/>
    <x v="5"/>
    <x v="0"/>
    <s v="Akbank"/>
    <x v="2"/>
    <n v="7476"/>
    <n v="0.18"/>
    <n v="8821.68"/>
  </r>
  <r>
    <x v="25"/>
    <x v="84"/>
    <s v="Tedarikçi"/>
    <x v="1"/>
    <x v="1"/>
    <s v="Garanti"/>
    <x v="2"/>
    <n v="5980"/>
    <n v="0.02"/>
    <n v="6099.6"/>
  </r>
  <r>
    <x v="64"/>
    <x v="85"/>
    <s v="Tedarikçi"/>
    <x v="6"/>
    <x v="1"/>
    <s v="Garanti"/>
    <x v="1"/>
    <n v="9087"/>
    <n v="0.08"/>
    <n v="9813.9600000000009"/>
  </r>
  <r>
    <x v="66"/>
    <x v="86"/>
    <s v="Tedarikçi"/>
    <x v="4"/>
    <x v="1"/>
    <s v="Akbank"/>
    <x v="1"/>
    <n v="9634"/>
    <n v="0.02"/>
    <n v="9826.68"/>
  </r>
  <r>
    <x v="67"/>
    <x v="87"/>
    <s v="Tedarikçi"/>
    <x v="4"/>
    <x v="1"/>
    <s v="Halkbank"/>
    <x v="0"/>
    <n v="3967"/>
    <n v="0.08"/>
    <n v="4284.3600000000006"/>
  </r>
  <r>
    <x v="68"/>
    <x v="88"/>
    <s v="Tedarikçi"/>
    <x v="6"/>
    <x v="1"/>
    <s v="Halkbank"/>
    <x v="1"/>
    <n v="7852"/>
    <n v="0.08"/>
    <n v="8480.16"/>
  </r>
  <r>
    <x v="69"/>
    <x v="89"/>
    <s v="Müşteri"/>
    <x v="7"/>
    <x v="0"/>
    <s v="Halkbank"/>
    <x v="1"/>
    <n v="8796"/>
    <n v="0.08"/>
    <n v="9499.68"/>
  </r>
  <r>
    <x v="70"/>
    <x v="90"/>
    <s v="Müşteri"/>
    <x v="0"/>
    <x v="0"/>
    <s v="Garanti"/>
    <x v="1"/>
    <n v="4286"/>
    <n v="0.08"/>
    <n v="4628.88"/>
  </r>
  <r>
    <x v="71"/>
    <x v="91"/>
    <s v="Tedarikçi"/>
    <x v="2"/>
    <x v="1"/>
    <s v="Akbank"/>
    <x v="1"/>
    <n v="3492"/>
    <n v="0.18"/>
    <n v="4120.5599999999995"/>
  </r>
  <r>
    <x v="57"/>
    <x v="92"/>
    <s v="Müşteri"/>
    <x v="7"/>
    <x v="0"/>
    <s v="Akbank"/>
    <x v="1"/>
    <n v="8516"/>
    <n v="0.08"/>
    <n v="9197.2800000000007"/>
  </r>
  <r>
    <x v="53"/>
    <x v="93"/>
    <s v="Tedarikçi"/>
    <x v="2"/>
    <x v="1"/>
    <s v="Akbank"/>
    <x v="2"/>
    <n v="3133"/>
    <n v="0.08"/>
    <n v="3383.6400000000003"/>
  </r>
  <r>
    <x v="72"/>
    <x v="94"/>
    <s v="Müşteri"/>
    <x v="5"/>
    <x v="0"/>
    <s v="Halkbank"/>
    <x v="2"/>
    <n v="9140"/>
    <n v="0.08"/>
    <n v="9871.2000000000007"/>
  </r>
  <r>
    <x v="73"/>
    <x v="95"/>
    <s v="Tedarikçi"/>
    <x v="4"/>
    <x v="1"/>
    <s v="Halkbank"/>
    <x v="2"/>
    <n v="8342"/>
    <n v="0.18"/>
    <n v="9843.56"/>
  </r>
  <r>
    <x v="73"/>
    <x v="96"/>
    <s v="Tedarikçi"/>
    <x v="2"/>
    <x v="1"/>
    <s v="Garanti"/>
    <x v="2"/>
    <n v="524"/>
    <n v="0.08"/>
    <n v="565.92000000000007"/>
  </r>
  <r>
    <x v="74"/>
    <x v="97"/>
    <s v="Müşteri"/>
    <x v="0"/>
    <x v="0"/>
    <s v="Halkbank"/>
    <x v="2"/>
    <n v="2299"/>
    <n v="0.02"/>
    <n v="2344.98"/>
  </r>
  <r>
    <x v="67"/>
    <x v="98"/>
    <s v="Müşteri"/>
    <x v="5"/>
    <x v="0"/>
    <s v="Akbank"/>
    <x v="0"/>
    <n v="2044"/>
    <n v="0.02"/>
    <n v="2084.88"/>
  </r>
  <r>
    <x v="75"/>
    <x v="99"/>
    <s v="Müşteri"/>
    <x v="0"/>
    <x v="0"/>
    <s v="Garanti"/>
    <x v="1"/>
    <n v="3023"/>
    <n v="0.08"/>
    <n v="3264.84"/>
  </r>
  <r>
    <x v="13"/>
    <x v="100"/>
    <s v="Müşteri"/>
    <x v="9"/>
    <x v="0"/>
    <s v="Halkbank"/>
    <x v="1"/>
    <n v="5675"/>
    <n v="0.02"/>
    <n v="5788.5"/>
  </r>
  <r>
    <x v="76"/>
    <x v="101"/>
    <s v="Tedarikçi"/>
    <x v="2"/>
    <x v="1"/>
    <s v="Garanti"/>
    <x v="2"/>
    <n v="1542"/>
    <n v="0.08"/>
    <n v="1665.3600000000001"/>
  </r>
  <r>
    <x v="28"/>
    <x v="102"/>
    <s v="Müşteri"/>
    <x v="10"/>
    <x v="0"/>
    <s v="Halkbank"/>
    <x v="2"/>
    <n v="2034"/>
    <n v="0.18"/>
    <n v="2400.12"/>
  </r>
  <r>
    <x v="77"/>
    <x v="103"/>
    <s v="Tedarikçi"/>
    <x v="4"/>
    <x v="1"/>
    <s v="Akbank"/>
    <x v="1"/>
    <n v="5031"/>
    <n v="0.02"/>
    <n v="5131.62"/>
  </r>
  <r>
    <x v="78"/>
    <x v="104"/>
    <s v="Müşteri"/>
    <x v="7"/>
    <x v="0"/>
    <s v="Akbank"/>
    <x v="2"/>
    <n v="560"/>
    <n v="0.02"/>
    <n v="571.20000000000005"/>
  </r>
  <r>
    <x v="44"/>
    <x v="105"/>
    <s v="Tedarikçi"/>
    <x v="4"/>
    <x v="1"/>
    <s v="Halkbank"/>
    <x v="2"/>
    <n v="3434"/>
    <n v="0.18"/>
    <n v="4052.12"/>
  </r>
  <r>
    <x v="75"/>
    <x v="106"/>
    <s v="Müşteri"/>
    <x v="0"/>
    <x v="0"/>
    <s v="Akbank"/>
    <x v="0"/>
    <n v="9639"/>
    <n v="0.02"/>
    <n v="9831.7800000000007"/>
  </r>
  <r>
    <x v="63"/>
    <x v="107"/>
    <s v="Tedarikçi"/>
    <x v="1"/>
    <x v="1"/>
    <s v="Akbank"/>
    <x v="0"/>
    <n v="629"/>
    <n v="0.18"/>
    <n v="742.21999999999991"/>
  </r>
  <r>
    <x v="16"/>
    <x v="108"/>
    <s v="Müşteri"/>
    <x v="3"/>
    <x v="0"/>
    <s v="Halkbank"/>
    <x v="1"/>
    <n v="9259"/>
    <n v="0.02"/>
    <n v="9444.18"/>
  </r>
  <r>
    <x v="12"/>
    <x v="109"/>
    <s v="Müşteri"/>
    <x v="10"/>
    <x v="0"/>
    <s v="Garanti"/>
    <x v="0"/>
    <n v="3279"/>
    <n v="0.18"/>
    <n v="3869.22"/>
  </r>
  <r>
    <x v="69"/>
    <x v="110"/>
    <s v="Tedarikçi"/>
    <x v="2"/>
    <x v="1"/>
    <s v="Garanti"/>
    <x v="2"/>
    <n v="963"/>
    <n v="0.18"/>
    <n v="1136.3399999999999"/>
  </r>
  <r>
    <x v="79"/>
    <x v="111"/>
    <s v="Müşteri"/>
    <x v="0"/>
    <x v="0"/>
    <s v="Halkbank"/>
    <x v="1"/>
    <n v="1933"/>
    <n v="0.18"/>
    <n v="2280.94"/>
  </r>
  <r>
    <x v="80"/>
    <x v="112"/>
    <s v="Müşteri"/>
    <x v="9"/>
    <x v="0"/>
    <s v="Akbank"/>
    <x v="0"/>
    <n v="2648"/>
    <n v="0.08"/>
    <n v="2859.84"/>
  </r>
  <r>
    <x v="81"/>
    <x v="113"/>
    <s v="Müşteri"/>
    <x v="3"/>
    <x v="0"/>
    <s v="Akbank"/>
    <x v="0"/>
    <n v="6227"/>
    <n v="0.08"/>
    <n v="6725.1600000000008"/>
  </r>
  <r>
    <x v="59"/>
    <x v="114"/>
    <s v="Tedarikçi"/>
    <x v="1"/>
    <x v="1"/>
    <s v="Akbank"/>
    <x v="1"/>
    <n v="7986"/>
    <n v="0.08"/>
    <n v="8624.880000000001"/>
  </r>
  <r>
    <x v="82"/>
    <x v="115"/>
    <s v="Tedarikçi"/>
    <x v="4"/>
    <x v="1"/>
    <s v="Garanti"/>
    <x v="1"/>
    <n v="9450"/>
    <n v="0.02"/>
    <n v="9639"/>
  </r>
  <r>
    <x v="45"/>
    <x v="116"/>
    <s v="Tedarikçi"/>
    <x v="2"/>
    <x v="1"/>
    <s v="Garanti"/>
    <x v="2"/>
    <n v="2112"/>
    <n v="0.08"/>
    <n v="2280.96"/>
  </r>
  <r>
    <x v="5"/>
    <x v="117"/>
    <s v="Müşteri"/>
    <x v="0"/>
    <x v="0"/>
    <s v="Halkbank"/>
    <x v="2"/>
    <n v="8678"/>
    <n v="0.02"/>
    <n v="8851.56"/>
  </r>
  <r>
    <x v="36"/>
    <x v="118"/>
    <s v="Müşteri"/>
    <x v="8"/>
    <x v="0"/>
    <s v="Halkbank"/>
    <x v="1"/>
    <n v="3180"/>
    <n v="0.08"/>
    <n v="3434.4"/>
  </r>
  <r>
    <x v="62"/>
    <x v="119"/>
    <s v="Müşteri"/>
    <x v="8"/>
    <x v="0"/>
    <s v="Garanti"/>
    <x v="2"/>
    <n v="5235"/>
    <n v="0.08"/>
    <n v="5653.8"/>
  </r>
  <r>
    <x v="83"/>
    <x v="120"/>
    <s v="Müşteri"/>
    <x v="3"/>
    <x v="0"/>
    <s v="Halkbank"/>
    <x v="2"/>
    <n v="8262"/>
    <n v="0.08"/>
    <n v="8922.9600000000009"/>
  </r>
  <r>
    <x v="64"/>
    <x v="121"/>
    <s v="Tedarikçi"/>
    <x v="6"/>
    <x v="1"/>
    <s v="Akbank"/>
    <x v="0"/>
    <n v="8864"/>
    <n v="0.18"/>
    <n v="10459.519999999999"/>
  </r>
  <r>
    <x v="84"/>
    <x v="122"/>
    <s v="Tedarikçi"/>
    <x v="2"/>
    <x v="1"/>
    <s v="Akbank"/>
    <x v="0"/>
    <n v="5443"/>
    <n v="0.18"/>
    <n v="6422.74"/>
  </r>
  <r>
    <x v="85"/>
    <x v="123"/>
    <s v="Tedarikçi"/>
    <x v="2"/>
    <x v="1"/>
    <s v="Akbank"/>
    <x v="1"/>
    <n v="7736"/>
    <n v="0.08"/>
    <n v="8354.880000000001"/>
  </r>
  <r>
    <x v="86"/>
    <x v="124"/>
    <s v="Tedarikçi"/>
    <x v="4"/>
    <x v="1"/>
    <s v="Halkbank"/>
    <x v="2"/>
    <n v="428"/>
    <n v="0.18"/>
    <n v="505.03999999999996"/>
  </r>
  <r>
    <x v="87"/>
    <x v="125"/>
    <s v="Tedarikçi"/>
    <x v="6"/>
    <x v="1"/>
    <s v="Akbank"/>
    <x v="2"/>
    <n v="8203"/>
    <n v="0.08"/>
    <n v="8859.24"/>
  </r>
  <r>
    <x v="33"/>
    <x v="126"/>
    <s v="Müşteri"/>
    <x v="9"/>
    <x v="0"/>
    <s v="Garanti"/>
    <x v="2"/>
    <n v="686"/>
    <n v="0.18"/>
    <n v="809.4799999999999"/>
  </r>
  <r>
    <x v="10"/>
    <x v="127"/>
    <s v="Müşteri"/>
    <x v="10"/>
    <x v="0"/>
    <s v="Akbank"/>
    <x v="1"/>
    <n v="5188"/>
    <n v="0.02"/>
    <n v="5291.76"/>
  </r>
  <r>
    <x v="17"/>
    <x v="128"/>
    <s v="Tedarikçi"/>
    <x v="2"/>
    <x v="1"/>
    <s v="Halkbank"/>
    <x v="2"/>
    <n v="2083"/>
    <n v="0.02"/>
    <n v="2124.66"/>
  </r>
  <r>
    <x v="88"/>
    <x v="129"/>
    <s v="Müşteri"/>
    <x v="0"/>
    <x v="0"/>
    <s v="Akbank"/>
    <x v="2"/>
    <n v="2555"/>
    <n v="0.08"/>
    <n v="2759.4"/>
  </r>
  <r>
    <x v="28"/>
    <x v="130"/>
    <s v="Tedarikçi"/>
    <x v="4"/>
    <x v="1"/>
    <s v="Halkbank"/>
    <x v="2"/>
    <n v="3997"/>
    <n v="0.08"/>
    <n v="4316.76"/>
  </r>
  <r>
    <x v="17"/>
    <x v="131"/>
    <s v="Müşteri"/>
    <x v="3"/>
    <x v="0"/>
    <s v="Garanti"/>
    <x v="2"/>
    <n v="7226"/>
    <n v="0.02"/>
    <n v="7370.52"/>
  </r>
  <r>
    <x v="89"/>
    <x v="132"/>
    <s v="Tedarikçi"/>
    <x v="1"/>
    <x v="1"/>
    <s v="Garanti"/>
    <x v="2"/>
    <n v="2516"/>
    <n v="0.18"/>
    <n v="2968.8799999999997"/>
  </r>
  <r>
    <x v="75"/>
    <x v="133"/>
    <s v="Müşteri"/>
    <x v="0"/>
    <x v="0"/>
    <s v="Akbank"/>
    <x v="0"/>
    <n v="3365"/>
    <n v="0.02"/>
    <n v="3432.3"/>
  </r>
  <r>
    <x v="90"/>
    <x v="134"/>
    <s v="Tedarikçi"/>
    <x v="6"/>
    <x v="1"/>
    <s v="Garanti"/>
    <x v="1"/>
    <n v="5012"/>
    <n v="0.02"/>
    <n v="5112.24"/>
  </r>
  <r>
    <x v="42"/>
    <x v="135"/>
    <s v="Müşteri"/>
    <x v="8"/>
    <x v="0"/>
    <s v="Halkbank"/>
    <x v="0"/>
    <n v="784"/>
    <n v="0.08"/>
    <n v="846.72"/>
  </r>
  <r>
    <x v="19"/>
    <x v="136"/>
    <s v="Müşteri"/>
    <x v="10"/>
    <x v="0"/>
    <s v="Halkbank"/>
    <x v="2"/>
    <n v="2030"/>
    <n v="0.18"/>
    <n v="2395.4"/>
  </r>
  <r>
    <x v="91"/>
    <x v="137"/>
    <s v="Müşteri"/>
    <x v="9"/>
    <x v="0"/>
    <s v="Akbank"/>
    <x v="2"/>
    <n v="7628"/>
    <n v="0.08"/>
    <n v="8238.24"/>
  </r>
  <r>
    <x v="92"/>
    <x v="138"/>
    <s v="Tedarikçi"/>
    <x v="4"/>
    <x v="1"/>
    <s v="Garanti"/>
    <x v="1"/>
    <n v="7315"/>
    <n v="0.18"/>
    <n v="8631.6999999999989"/>
  </r>
  <r>
    <x v="85"/>
    <x v="139"/>
    <s v="Müşteri"/>
    <x v="0"/>
    <x v="0"/>
    <s v="Garanti"/>
    <x v="1"/>
    <n v="2423"/>
    <n v="0.18"/>
    <n v="2859.14"/>
  </r>
  <r>
    <x v="93"/>
    <x v="140"/>
    <s v="Müşteri"/>
    <x v="8"/>
    <x v="0"/>
    <s v="Halkbank"/>
    <x v="0"/>
    <n v="9559"/>
    <n v="0.02"/>
    <n v="9750.18"/>
  </r>
  <r>
    <x v="79"/>
    <x v="141"/>
    <s v="Müşteri"/>
    <x v="10"/>
    <x v="0"/>
    <s v="Akbank"/>
    <x v="1"/>
    <n v="8784"/>
    <n v="0.18"/>
    <n v="10365.119999999999"/>
  </r>
  <r>
    <x v="81"/>
    <x v="142"/>
    <s v="Müşteri"/>
    <x v="7"/>
    <x v="0"/>
    <s v="Akbank"/>
    <x v="0"/>
    <n v="3022"/>
    <n v="0.08"/>
    <n v="3263.76"/>
  </r>
  <r>
    <x v="33"/>
    <x v="143"/>
    <s v="Müşteri"/>
    <x v="5"/>
    <x v="0"/>
    <s v="Garanti"/>
    <x v="1"/>
    <n v="5540"/>
    <n v="0.08"/>
    <n v="5983.2000000000007"/>
  </r>
  <r>
    <x v="1"/>
    <x v="144"/>
    <s v="Tedarikçi"/>
    <x v="2"/>
    <x v="1"/>
    <s v="Garanti"/>
    <x v="1"/>
    <n v="4458"/>
    <n v="0.08"/>
    <n v="4814.6400000000003"/>
  </r>
  <r>
    <x v="85"/>
    <x v="145"/>
    <s v="Müşteri"/>
    <x v="0"/>
    <x v="0"/>
    <s v="Garanti"/>
    <x v="1"/>
    <n v="6646"/>
    <n v="0.02"/>
    <n v="6778.92"/>
  </r>
  <r>
    <x v="49"/>
    <x v="146"/>
    <s v="Tedarikçi"/>
    <x v="1"/>
    <x v="1"/>
    <s v="Garanti"/>
    <x v="2"/>
    <n v="2352"/>
    <n v="0.08"/>
    <n v="2540.1600000000003"/>
  </r>
  <r>
    <x v="1"/>
    <x v="147"/>
    <s v="Tedarikçi"/>
    <x v="2"/>
    <x v="1"/>
    <s v="Halkbank"/>
    <x v="1"/>
    <n v="7458"/>
    <n v="0.02"/>
    <n v="7607.16"/>
  </r>
  <r>
    <x v="85"/>
    <x v="148"/>
    <s v="Müşteri"/>
    <x v="10"/>
    <x v="0"/>
    <s v="Halkbank"/>
    <x v="1"/>
    <n v="564"/>
    <n v="0.02"/>
    <n v="575.28"/>
  </r>
  <r>
    <x v="3"/>
    <x v="149"/>
    <s v="Tedarikçi"/>
    <x v="1"/>
    <x v="1"/>
    <s v="Akbank"/>
    <x v="0"/>
    <n v="6234"/>
    <n v="0.08"/>
    <n v="6732.72"/>
  </r>
  <r>
    <x v="9"/>
    <x v="150"/>
    <s v="Müşteri"/>
    <x v="10"/>
    <x v="0"/>
    <s v="Akbank"/>
    <x v="0"/>
    <n v="5067"/>
    <n v="0.08"/>
    <n v="5472.3600000000006"/>
  </r>
  <r>
    <x v="44"/>
    <x v="151"/>
    <s v="Tedarikçi"/>
    <x v="6"/>
    <x v="1"/>
    <s v="Akbank"/>
    <x v="1"/>
    <n v="1528"/>
    <n v="0.08"/>
    <n v="1650.24"/>
  </r>
  <r>
    <x v="94"/>
    <x v="152"/>
    <s v="Tedarikçi"/>
    <x v="2"/>
    <x v="1"/>
    <s v="Halkbank"/>
    <x v="1"/>
    <n v="5271"/>
    <n v="0.18"/>
    <n v="6219.78"/>
  </r>
  <r>
    <x v="29"/>
    <x v="153"/>
    <s v="Müşteri"/>
    <x v="8"/>
    <x v="0"/>
    <s v="Akbank"/>
    <x v="0"/>
    <n v="3776"/>
    <n v="0.02"/>
    <n v="3851.52"/>
  </r>
  <r>
    <x v="95"/>
    <x v="154"/>
    <s v="Tedarikçi"/>
    <x v="6"/>
    <x v="1"/>
    <s v="Garanti"/>
    <x v="0"/>
    <n v="6353"/>
    <n v="0.02"/>
    <n v="6480.06"/>
  </r>
  <r>
    <x v="96"/>
    <x v="155"/>
    <s v="Müşteri"/>
    <x v="5"/>
    <x v="0"/>
    <s v="Akbank"/>
    <x v="2"/>
    <n v="6845"/>
    <n v="0.08"/>
    <n v="7392.6"/>
  </r>
  <r>
    <x v="4"/>
    <x v="156"/>
    <s v="Müşteri"/>
    <x v="5"/>
    <x v="0"/>
    <s v="Halkbank"/>
    <x v="2"/>
    <n v="7499"/>
    <n v="0.08"/>
    <n v="8098.920000000001"/>
  </r>
  <r>
    <x v="97"/>
    <x v="157"/>
    <s v="Tedarikçi"/>
    <x v="1"/>
    <x v="1"/>
    <s v="Halkbank"/>
    <x v="0"/>
    <n v="2799"/>
    <n v="0.18"/>
    <n v="3302.8199999999997"/>
  </r>
  <r>
    <x v="98"/>
    <x v="158"/>
    <s v="Tedarikçi"/>
    <x v="6"/>
    <x v="1"/>
    <s v="Halkbank"/>
    <x v="1"/>
    <n v="3322"/>
    <n v="0.08"/>
    <n v="3587.76"/>
  </r>
  <r>
    <x v="74"/>
    <x v="159"/>
    <s v="Tedarikçi"/>
    <x v="2"/>
    <x v="1"/>
    <s v="Halkbank"/>
    <x v="0"/>
    <n v="683"/>
    <n v="0.08"/>
    <n v="737.6400000000001"/>
  </r>
  <r>
    <x v="99"/>
    <x v="160"/>
    <s v="Tedarikçi"/>
    <x v="2"/>
    <x v="1"/>
    <s v="Garanti"/>
    <x v="0"/>
    <n v="2624"/>
    <n v="0.02"/>
    <n v="2676.48"/>
  </r>
  <r>
    <x v="34"/>
    <x v="161"/>
    <s v="Müşteri"/>
    <x v="3"/>
    <x v="0"/>
    <s v="Akbank"/>
    <x v="1"/>
    <n v="9145"/>
    <n v="0.18"/>
    <n v="10791.099999999999"/>
  </r>
  <r>
    <x v="100"/>
    <x v="162"/>
    <s v="Tedarikçi"/>
    <x v="4"/>
    <x v="1"/>
    <s v="Akbank"/>
    <x v="1"/>
    <n v="9098"/>
    <n v="0.02"/>
    <n v="9279.9600000000009"/>
  </r>
  <r>
    <x v="92"/>
    <x v="163"/>
    <s v="Tedarikçi"/>
    <x v="2"/>
    <x v="1"/>
    <s v="Halkbank"/>
    <x v="0"/>
    <n v="5734"/>
    <n v="0.02"/>
    <n v="5848.68"/>
  </r>
  <r>
    <x v="101"/>
    <x v="164"/>
    <s v="Tedarikçi"/>
    <x v="1"/>
    <x v="1"/>
    <s v="Akbank"/>
    <x v="0"/>
    <n v="1761"/>
    <n v="0.18"/>
    <n v="2077.98"/>
  </r>
  <r>
    <x v="102"/>
    <x v="165"/>
    <s v="Müşteri"/>
    <x v="10"/>
    <x v="0"/>
    <s v="Akbank"/>
    <x v="0"/>
    <n v="2523"/>
    <n v="0.18"/>
    <n v="2977.14"/>
  </r>
  <r>
    <x v="103"/>
    <x v="166"/>
    <s v="Tedarikçi"/>
    <x v="6"/>
    <x v="1"/>
    <s v="Akbank"/>
    <x v="0"/>
    <n v="4744"/>
    <n v="0.02"/>
    <n v="4838.88"/>
  </r>
  <r>
    <x v="104"/>
    <x v="167"/>
    <s v="Tedarikçi"/>
    <x v="4"/>
    <x v="1"/>
    <s v="Halkbank"/>
    <x v="1"/>
    <n v="1627"/>
    <n v="0.08"/>
    <n v="1757.16"/>
  </r>
  <r>
    <x v="88"/>
    <x v="168"/>
    <s v="Tedarikçi"/>
    <x v="1"/>
    <x v="1"/>
    <s v="Halkbank"/>
    <x v="2"/>
    <n v="8196"/>
    <n v="0.18"/>
    <n v="9671.2799999999988"/>
  </r>
  <r>
    <x v="55"/>
    <x v="169"/>
    <s v="Tedarikçi"/>
    <x v="4"/>
    <x v="1"/>
    <s v="Halkbank"/>
    <x v="2"/>
    <n v="4436"/>
    <n v="0.18"/>
    <n v="5234.4799999999996"/>
  </r>
  <r>
    <x v="105"/>
    <x v="170"/>
    <s v="Müşteri"/>
    <x v="8"/>
    <x v="0"/>
    <s v="Akbank"/>
    <x v="2"/>
    <n v="5689"/>
    <n v="0.02"/>
    <n v="5802.78"/>
  </r>
  <r>
    <x v="106"/>
    <x v="171"/>
    <s v="Müşteri"/>
    <x v="5"/>
    <x v="0"/>
    <s v="Halkbank"/>
    <x v="0"/>
    <n v="2304"/>
    <n v="0.18"/>
    <n v="2718.72"/>
  </r>
  <r>
    <x v="107"/>
    <x v="172"/>
    <s v="Tedarikçi"/>
    <x v="6"/>
    <x v="1"/>
    <s v="Halkbank"/>
    <x v="0"/>
    <n v="3606"/>
    <n v="0.02"/>
    <n v="3678.12"/>
  </r>
  <r>
    <x v="1"/>
    <x v="173"/>
    <s v="Tedarikçi"/>
    <x v="4"/>
    <x v="1"/>
    <s v="Akbank"/>
    <x v="1"/>
    <n v="7644"/>
    <n v="0.02"/>
    <n v="7796.88"/>
  </r>
  <r>
    <x v="46"/>
    <x v="174"/>
    <s v="Tedarikçi"/>
    <x v="4"/>
    <x v="1"/>
    <s v="Halkbank"/>
    <x v="1"/>
    <n v="6310"/>
    <n v="0.18"/>
    <n v="7445.7999999999993"/>
  </r>
  <r>
    <x v="59"/>
    <x v="175"/>
    <s v="Tedarikçi"/>
    <x v="6"/>
    <x v="1"/>
    <s v="Akbank"/>
    <x v="2"/>
    <n v="4876"/>
    <n v="0.02"/>
    <n v="4973.5200000000004"/>
  </r>
  <r>
    <x v="108"/>
    <x v="176"/>
    <s v="Müşteri"/>
    <x v="9"/>
    <x v="0"/>
    <s v="Garanti"/>
    <x v="2"/>
    <n v="6906"/>
    <n v="0.08"/>
    <n v="7458.4800000000005"/>
  </r>
  <r>
    <x v="106"/>
    <x v="177"/>
    <s v="Müşteri"/>
    <x v="3"/>
    <x v="0"/>
    <s v="Halkbank"/>
    <x v="0"/>
    <n v="2640"/>
    <n v="0.08"/>
    <n v="2851.2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4DF21-AD18-4FA6-B14D-8B7EB9FB5924}" name="PivotTable1" cacheId="1" applyNumberFormats="0" applyBorderFormats="0" applyFontFormats="0" applyPatternFormats="0" applyAlignmentFormats="0" applyWidthHeightFormats="1" dataCaption="Değerler" updatedVersion="8" minRefreshableVersion="3" useAutoFormatting="1" itemPrintTitles="1" createdVersion="7" indent="0" compact="0" compactData="0" multipleFieldFilters="0">
  <location ref="B12:F191" firstHeaderRow="1" firstDataRow="1" firstDataCol="4"/>
  <pivotFields count="11">
    <pivotField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axis="axisRow" compact="0" outline="0" showAll="0" defaultSubtotal="0">
      <items count="180">
        <item x="60"/>
        <item x="14"/>
        <item x="117"/>
        <item x="87"/>
        <item x="153"/>
        <item x="62"/>
        <item x="154"/>
        <item x="12"/>
        <item x="40"/>
        <item x="156"/>
        <item x="2"/>
        <item x="120"/>
        <item x="174"/>
        <item x="92"/>
        <item x="128"/>
        <item x="171"/>
        <item x="142"/>
        <item x="21"/>
        <item x="1"/>
        <item x="76"/>
        <item x="177"/>
        <item x="143"/>
        <item x="129"/>
        <item x="136"/>
        <item x="80"/>
        <item x="27"/>
        <item x="17"/>
        <item x="155"/>
        <item x="6"/>
        <item x="67"/>
        <item x="96"/>
        <item x="140"/>
        <item x="10"/>
        <item x="110"/>
        <item x="164"/>
        <item x="151"/>
        <item x="166"/>
        <item x="105"/>
        <item x="11"/>
        <item x="107"/>
        <item x="159"/>
        <item x="42"/>
        <item x="36"/>
        <item x="18"/>
        <item x="66"/>
        <item x="168"/>
        <item x="46"/>
        <item x="94"/>
        <item x="108"/>
        <item x="37"/>
        <item x="157"/>
        <item x="126"/>
        <item x="137"/>
        <item x="20"/>
        <item x="152"/>
        <item x="145"/>
        <item x="138"/>
        <item x="35"/>
        <item x="141"/>
        <item x="58"/>
        <item x="84"/>
        <item x="169"/>
        <item x="163"/>
        <item x="176"/>
        <item m="1" x="178"/>
        <item x="123"/>
        <item x="38"/>
        <item x="53"/>
        <item x="95"/>
        <item x="61"/>
        <item x="68"/>
        <item x="148"/>
        <item x="13"/>
        <item x="144"/>
        <item x="19"/>
        <item x="132"/>
        <item x="22"/>
        <item x="150"/>
        <item x="119"/>
        <item x="165"/>
        <item x="86"/>
        <item x="41"/>
        <item x="170"/>
        <item x="100"/>
        <item x="47"/>
        <item x="118"/>
        <item x="73"/>
        <item x="93"/>
        <item x="88"/>
        <item x="106"/>
        <item x="158"/>
        <item x="25"/>
        <item x="55"/>
        <item x="69"/>
        <item x="72"/>
        <item x="149"/>
        <item x="48"/>
        <item x="91"/>
        <item x="79"/>
        <item x="45"/>
        <item x="5"/>
        <item x="78"/>
        <item x="103"/>
        <item x="116"/>
        <item x="109"/>
        <item x="122"/>
        <item x="121"/>
        <item x="4"/>
        <item x="98"/>
        <item x="77"/>
        <item x="51"/>
        <item x="115"/>
        <item x="175"/>
        <item x="63"/>
        <item x="134"/>
        <item x="15"/>
        <item x="131"/>
        <item x="133"/>
        <item x="102"/>
        <item x="30"/>
        <item x="173"/>
        <item x="65"/>
        <item x="59"/>
        <item x="112"/>
        <item x="3"/>
        <item x="90"/>
        <item x="31"/>
        <item x="44"/>
        <item x="29"/>
        <item x="75"/>
        <item x="34"/>
        <item x="113"/>
        <item x="162"/>
        <item x="52"/>
        <item x="24"/>
        <item x="147"/>
        <item x="9"/>
        <item x="49"/>
        <item x="50"/>
        <item x="74"/>
        <item m="1" x="179"/>
        <item x="8"/>
        <item x="114"/>
        <item x="57"/>
        <item x="160"/>
        <item x="167"/>
        <item x="139"/>
        <item x="39"/>
        <item x="146"/>
        <item x="26"/>
        <item x="161"/>
        <item x="54"/>
        <item x="16"/>
        <item x="70"/>
        <item x="56"/>
        <item x="111"/>
        <item x="127"/>
        <item x="85"/>
        <item x="135"/>
        <item x="81"/>
        <item x="71"/>
        <item x="172"/>
        <item x="99"/>
        <item x="104"/>
        <item x="33"/>
        <item x="43"/>
        <item x="124"/>
        <item x="23"/>
        <item x="64"/>
        <item x="83"/>
        <item x="82"/>
        <item x="89"/>
        <item x="101"/>
        <item x="32"/>
        <item x="7"/>
        <item x="97"/>
        <item x="130"/>
        <item x="28"/>
        <item x="125"/>
        <item x="0"/>
      </items>
    </pivotField>
    <pivotField compact="0" outline="0" showAll="0" defaultSubtotal="0"/>
    <pivotField axis="axisRow" compact="0" outline="0" showAll="0" defaultSubtotal="0">
      <items count="11">
        <item x="3"/>
        <item x="4"/>
        <item x="9"/>
        <item x="8"/>
        <item x="2"/>
        <item x="0"/>
        <item x="1"/>
        <item x="10"/>
        <item x="6"/>
        <item x="7"/>
        <item x="5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numFmtId="164" outline="0" showAll="0" defaultSubtotal="0"/>
    <pivotField compact="0" numFmtId="9" outline="0" showAll="0" defaultSubtotal="0"/>
    <pivotField dataField="1" compact="0" numFmtId="164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4">
    <field x="3"/>
    <field x="1"/>
    <field x="6"/>
    <field x="4"/>
  </rowFields>
  <rowItems count="179">
    <i>
      <x/>
      <x/>
      <x/>
      <x/>
    </i>
    <i r="1">
      <x v="11"/>
      <x v="2"/>
      <x/>
    </i>
    <i r="1">
      <x v="20"/>
      <x/>
      <x/>
    </i>
    <i r="1">
      <x v="28"/>
      <x v="1"/>
      <x/>
    </i>
    <i r="1">
      <x v="48"/>
      <x v="1"/>
      <x/>
    </i>
    <i r="1">
      <x v="66"/>
      <x/>
      <x/>
    </i>
    <i r="1">
      <x v="81"/>
      <x v="2"/>
      <x/>
    </i>
    <i r="1">
      <x v="92"/>
      <x/>
      <x/>
    </i>
    <i r="1">
      <x v="99"/>
      <x v="2"/>
      <x/>
    </i>
    <i r="1">
      <x v="115"/>
      <x v="2"/>
      <x/>
    </i>
    <i r="1">
      <x v="116"/>
      <x v="2"/>
      <x/>
    </i>
    <i r="1">
      <x v="131"/>
      <x/>
      <x/>
    </i>
    <i r="1">
      <x v="150"/>
      <x v="1"/>
      <x/>
    </i>
    <i r="1">
      <x v="167"/>
      <x v="2"/>
      <x/>
    </i>
    <i r="1">
      <x v="170"/>
      <x v="1"/>
      <x/>
    </i>
    <i>
      <x v="1"/>
      <x v="3"/>
      <x/>
      <x v="1"/>
    </i>
    <i r="1">
      <x v="8"/>
      <x v="2"/>
      <x v="1"/>
    </i>
    <i r="1">
      <x v="12"/>
      <x v="1"/>
      <x v="1"/>
    </i>
    <i r="1">
      <x v="37"/>
      <x v="2"/>
      <x v="1"/>
    </i>
    <i r="1">
      <x v="41"/>
      <x v="2"/>
      <x v="1"/>
    </i>
    <i r="1">
      <x v="53"/>
      <x v="2"/>
      <x v="1"/>
    </i>
    <i r="1">
      <x v="56"/>
      <x v="1"/>
      <x v="1"/>
    </i>
    <i r="1">
      <x v="61"/>
      <x v="2"/>
      <x v="1"/>
    </i>
    <i r="1">
      <x v="68"/>
      <x v="2"/>
      <x v="1"/>
    </i>
    <i r="1">
      <x v="72"/>
      <x/>
      <x v="1"/>
    </i>
    <i r="1">
      <x v="80"/>
      <x v="1"/>
      <x v="1"/>
    </i>
    <i r="1">
      <x v="84"/>
      <x/>
      <x v="1"/>
    </i>
    <i r="1">
      <x v="91"/>
      <x/>
      <x v="1"/>
    </i>
    <i r="1">
      <x v="93"/>
      <x/>
      <x v="1"/>
    </i>
    <i r="1">
      <x v="96"/>
      <x/>
      <x v="1"/>
    </i>
    <i r="1">
      <x v="102"/>
      <x v="1"/>
      <x v="1"/>
    </i>
    <i r="1">
      <x v="111"/>
      <x v="1"/>
      <x v="1"/>
    </i>
    <i r="1">
      <x v="120"/>
      <x v="1"/>
      <x v="1"/>
    </i>
    <i r="1">
      <x v="121"/>
      <x v="2"/>
      <x v="1"/>
    </i>
    <i r="1">
      <x v="122"/>
      <x v="2"/>
      <x v="1"/>
    </i>
    <i r="1">
      <x v="126"/>
      <x/>
      <x v="1"/>
    </i>
    <i r="1">
      <x v="132"/>
      <x v="1"/>
      <x v="1"/>
    </i>
    <i r="1">
      <x v="141"/>
      <x/>
      <x v="1"/>
    </i>
    <i r="1">
      <x v="145"/>
      <x v="1"/>
      <x v="1"/>
    </i>
    <i r="1">
      <x v="154"/>
      <x v="2"/>
      <x v="1"/>
    </i>
    <i r="1">
      <x v="166"/>
      <x v="2"/>
      <x v="1"/>
    </i>
    <i r="1">
      <x v="176"/>
      <x v="2"/>
      <x v="1"/>
    </i>
    <i>
      <x v="2"/>
      <x v="29"/>
      <x v="2"/>
      <x/>
    </i>
    <i r="1">
      <x v="42"/>
      <x v="2"/>
      <x/>
    </i>
    <i r="1">
      <x v="51"/>
      <x v="2"/>
      <x/>
    </i>
    <i r="1">
      <x v="52"/>
      <x v="2"/>
      <x/>
    </i>
    <i r="1">
      <x v="57"/>
      <x/>
      <x/>
    </i>
    <i r="1">
      <x v="63"/>
      <x v="2"/>
      <x/>
    </i>
    <i r="1">
      <x v="67"/>
      <x/>
      <x/>
    </i>
    <i r="1">
      <x v="83"/>
      <x v="1"/>
      <x/>
    </i>
    <i r="1">
      <x v="123"/>
      <x/>
      <x/>
    </i>
    <i r="1">
      <x v="159"/>
      <x v="2"/>
      <x/>
    </i>
    <i r="1">
      <x v="165"/>
      <x/>
      <x/>
    </i>
    <i>
      <x v="3"/>
      <x v="4"/>
      <x/>
      <x/>
    </i>
    <i r="1">
      <x v="5"/>
      <x v="2"/>
      <x/>
    </i>
    <i r="1">
      <x v="31"/>
      <x/>
      <x/>
    </i>
    <i r="1">
      <x v="78"/>
      <x v="2"/>
      <x/>
    </i>
    <i r="1">
      <x v="82"/>
      <x v="2"/>
      <x/>
    </i>
    <i r="1">
      <x v="85"/>
      <x v="1"/>
      <x/>
    </i>
    <i r="1">
      <x v="158"/>
      <x/>
      <x/>
    </i>
    <i r="1">
      <x v="164"/>
      <x v="2"/>
      <x/>
    </i>
    <i>
      <x v="4"/>
      <x v="7"/>
      <x v="2"/>
      <x v="1"/>
    </i>
    <i r="1">
      <x v="14"/>
      <x v="2"/>
      <x v="1"/>
    </i>
    <i r="1">
      <x v="26"/>
      <x v="2"/>
      <x v="1"/>
    </i>
    <i r="1">
      <x v="30"/>
      <x v="2"/>
      <x v="1"/>
    </i>
    <i r="1">
      <x v="33"/>
      <x v="2"/>
      <x v="1"/>
    </i>
    <i r="1">
      <x v="38"/>
      <x v="2"/>
      <x v="1"/>
    </i>
    <i r="1">
      <x v="40"/>
      <x/>
      <x v="1"/>
    </i>
    <i r="1">
      <x v="44"/>
      <x v="2"/>
      <x v="1"/>
    </i>
    <i r="1">
      <x v="54"/>
      <x v="1"/>
      <x v="1"/>
    </i>
    <i r="1">
      <x v="62"/>
      <x/>
      <x v="1"/>
    </i>
    <i r="1">
      <x v="65"/>
      <x v="1"/>
      <x v="1"/>
    </i>
    <i r="1">
      <x v="69"/>
      <x v="2"/>
      <x v="1"/>
    </i>
    <i r="1">
      <x v="73"/>
      <x v="1"/>
      <x v="1"/>
    </i>
    <i r="1">
      <x v="86"/>
      <x v="2"/>
      <x v="1"/>
    </i>
    <i r="1">
      <x v="87"/>
      <x v="2"/>
      <x v="1"/>
    </i>
    <i r="1">
      <x v="94"/>
      <x v="2"/>
      <x v="1"/>
    </i>
    <i r="1">
      <x v="97"/>
      <x v="1"/>
      <x v="1"/>
    </i>
    <i r="1">
      <x v="100"/>
      <x v="2"/>
      <x v="1"/>
    </i>
    <i r="1">
      <x v="103"/>
      <x v="2"/>
      <x v="1"/>
    </i>
    <i r="1">
      <x v="105"/>
      <x/>
      <x v="1"/>
    </i>
    <i r="1">
      <x v="107"/>
      <x/>
      <x v="1"/>
    </i>
    <i r="1">
      <x v="110"/>
      <x v="2"/>
      <x v="1"/>
    </i>
    <i r="1">
      <x v="113"/>
      <x/>
      <x v="1"/>
    </i>
    <i r="1">
      <x v="133"/>
      <x/>
      <x v="1"/>
    </i>
    <i r="1">
      <x v="135"/>
      <x v="1"/>
      <x v="1"/>
    </i>
    <i r="1">
      <x v="137"/>
      <x/>
      <x v="1"/>
    </i>
    <i r="1">
      <x v="138"/>
      <x v="2"/>
      <x v="1"/>
    </i>
    <i r="1">
      <x v="143"/>
      <x/>
      <x v="1"/>
    </i>
    <i r="1">
      <x v="144"/>
      <x/>
      <x v="1"/>
    </i>
    <i r="1">
      <x v="149"/>
      <x/>
      <x v="1"/>
    </i>
    <i r="1">
      <x v="168"/>
      <x v="2"/>
      <x v="1"/>
    </i>
    <i r="1">
      <x v="172"/>
      <x v="2"/>
      <x v="1"/>
    </i>
    <i>
      <x v="5"/>
      <x v="2"/>
      <x v="2"/>
      <x/>
    </i>
    <i r="1">
      <x v="18"/>
      <x v="1"/>
      <x/>
    </i>
    <i r="1">
      <x v="22"/>
      <x v="2"/>
      <x/>
    </i>
    <i r="1">
      <x v="49"/>
      <x/>
      <x/>
    </i>
    <i r="1">
      <x v="55"/>
      <x v="1"/>
      <x/>
    </i>
    <i r="1">
      <x v="89"/>
      <x/>
      <x/>
    </i>
    <i r="1">
      <x v="117"/>
      <x/>
      <x/>
    </i>
    <i r="1">
      <x v="125"/>
      <x v="1"/>
      <x/>
    </i>
    <i r="1">
      <x v="146"/>
      <x v="1"/>
      <x/>
    </i>
    <i r="1">
      <x v="152"/>
      <x/>
      <x/>
    </i>
    <i r="1">
      <x v="155"/>
      <x v="1"/>
      <x/>
    </i>
    <i r="1">
      <x v="162"/>
      <x v="1"/>
      <x/>
    </i>
    <i r="1">
      <x v="175"/>
      <x v="2"/>
      <x/>
    </i>
    <i r="1">
      <x v="179"/>
      <x/>
      <x/>
    </i>
    <i>
      <x v="6"/>
      <x v="1"/>
      <x v="2"/>
      <x v="1"/>
    </i>
    <i r="1">
      <x v="10"/>
      <x v="2"/>
      <x v="1"/>
    </i>
    <i r="1">
      <x v="19"/>
      <x v="2"/>
      <x v="1"/>
    </i>
    <i r="1">
      <x v="24"/>
      <x v="2"/>
      <x v="1"/>
    </i>
    <i r="1">
      <x v="32"/>
      <x v="2"/>
      <x v="1"/>
    </i>
    <i r="1">
      <x v="34"/>
      <x/>
      <x v="1"/>
    </i>
    <i r="1">
      <x v="39"/>
      <x/>
      <x v="1"/>
    </i>
    <i r="1">
      <x v="43"/>
      <x v="2"/>
      <x v="1"/>
    </i>
    <i r="1">
      <x v="45"/>
      <x v="2"/>
      <x v="1"/>
    </i>
    <i r="1">
      <x v="50"/>
      <x/>
      <x v="1"/>
    </i>
    <i r="1">
      <x v="60"/>
      <x v="2"/>
      <x v="1"/>
    </i>
    <i r="1">
      <x v="75"/>
      <x v="2"/>
      <x v="1"/>
    </i>
    <i r="1">
      <x v="76"/>
      <x v="2"/>
      <x v="1"/>
    </i>
    <i r="1">
      <x v="95"/>
      <x/>
      <x v="1"/>
    </i>
    <i r="1">
      <x v="98"/>
      <x v="2"/>
      <x v="1"/>
    </i>
    <i r="1">
      <x v="119"/>
      <x v="2"/>
      <x v="1"/>
    </i>
    <i r="1">
      <x v="124"/>
      <x v="2"/>
      <x v="1"/>
    </i>
    <i r="1">
      <x v="127"/>
      <x/>
      <x v="1"/>
    </i>
    <i r="1">
      <x v="128"/>
      <x/>
      <x v="1"/>
    </i>
    <i r="1">
      <x v="142"/>
      <x v="1"/>
      <x v="1"/>
    </i>
    <i r="1">
      <x v="148"/>
      <x v="2"/>
      <x v="1"/>
    </i>
    <i r="1">
      <x v="173"/>
      <x/>
      <x v="1"/>
    </i>
    <i r="1">
      <x v="174"/>
      <x v="2"/>
      <x v="1"/>
    </i>
    <i>
      <x v="7"/>
      <x v="23"/>
      <x v="2"/>
      <x/>
    </i>
    <i r="1">
      <x v="58"/>
      <x v="1"/>
      <x/>
    </i>
    <i r="1">
      <x v="59"/>
      <x/>
      <x/>
    </i>
    <i r="1">
      <x v="71"/>
      <x v="1"/>
      <x/>
    </i>
    <i r="1">
      <x v="77"/>
      <x/>
      <x/>
    </i>
    <i r="1">
      <x v="79"/>
      <x/>
      <x/>
    </i>
    <i r="1">
      <x v="104"/>
      <x/>
      <x/>
    </i>
    <i r="1">
      <x v="118"/>
      <x v="2"/>
      <x/>
    </i>
    <i r="1">
      <x v="147"/>
      <x v="2"/>
      <x/>
    </i>
    <i r="1">
      <x v="156"/>
      <x v="1"/>
      <x/>
    </i>
    <i>
      <x v="8"/>
      <x v="6"/>
      <x/>
      <x v="1"/>
    </i>
    <i r="1">
      <x v="17"/>
      <x v="2"/>
      <x v="1"/>
    </i>
    <i r="1">
      <x v="35"/>
      <x v="1"/>
      <x v="1"/>
    </i>
    <i r="1">
      <x v="36"/>
      <x/>
      <x v="1"/>
    </i>
    <i r="1">
      <x v="70"/>
      <x v="2"/>
      <x v="1"/>
    </i>
    <i r="1">
      <x v="74"/>
      <x/>
      <x v="1"/>
    </i>
    <i r="1">
      <x v="88"/>
      <x v="1"/>
      <x v="1"/>
    </i>
    <i r="1">
      <x v="90"/>
      <x v="1"/>
      <x v="1"/>
    </i>
    <i r="1">
      <x v="106"/>
      <x/>
      <x v="1"/>
    </i>
    <i r="1">
      <x v="112"/>
      <x v="2"/>
      <x v="1"/>
    </i>
    <i r="1">
      <x v="114"/>
      <x v="1"/>
      <x v="1"/>
    </i>
    <i r="1">
      <x v="130"/>
      <x v="2"/>
      <x v="1"/>
    </i>
    <i r="1">
      <x v="139"/>
      <x v="2"/>
      <x v="1"/>
    </i>
    <i r="1">
      <x v="157"/>
      <x v="1"/>
      <x v="1"/>
    </i>
    <i r="1">
      <x v="160"/>
      <x v="2"/>
      <x v="1"/>
    </i>
    <i r="1">
      <x v="161"/>
      <x/>
      <x v="1"/>
    </i>
    <i r="1">
      <x v="178"/>
      <x v="2"/>
      <x v="1"/>
    </i>
    <i>
      <x v="9"/>
      <x v="13"/>
      <x v="1"/>
      <x/>
    </i>
    <i r="1">
      <x v="16"/>
      <x/>
      <x/>
    </i>
    <i r="1">
      <x v="25"/>
      <x v="2"/>
      <x/>
    </i>
    <i r="1">
      <x v="46"/>
      <x v="2"/>
      <x/>
    </i>
    <i r="1">
      <x v="101"/>
      <x v="2"/>
      <x/>
    </i>
    <i r="1">
      <x v="109"/>
      <x v="2"/>
      <x/>
    </i>
    <i r="1">
      <x v="134"/>
      <x/>
      <x/>
    </i>
    <i r="1">
      <x v="153"/>
      <x v="2"/>
      <x/>
    </i>
    <i r="1">
      <x v="163"/>
      <x v="2"/>
      <x/>
    </i>
    <i r="1">
      <x v="171"/>
      <x v="1"/>
      <x/>
    </i>
    <i r="1">
      <x v="177"/>
      <x v="2"/>
      <x/>
    </i>
    <i>
      <x v="10"/>
      <x v="9"/>
      <x v="2"/>
      <x/>
    </i>
    <i r="1">
      <x v="15"/>
      <x/>
      <x/>
    </i>
    <i r="1">
      <x v="21"/>
      <x v="1"/>
      <x/>
    </i>
    <i r="1">
      <x v="27"/>
      <x v="2"/>
      <x/>
    </i>
    <i r="1">
      <x v="47"/>
      <x v="2"/>
      <x/>
    </i>
    <i r="1">
      <x v="108"/>
      <x/>
      <x/>
    </i>
    <i r="1">
      <x v="129"/>
      <x v="2"/>
      <x/>
    </i>
    <i r="1">
      <x v="136"/>
      <x v="2"/>
      <x/>
    </i>
    <i r="1">
      <x v="151"/>
      <x v="2"/>
      <x/>
    </i>
    <i r="1">
      <x v="169"/>
      <x v="2"/>
      <x/>
    </i>
    <i t="grand">
      <x/>
    </i>
  </rowItems>
  <colItems count="1">
    <i/>
  </colItems>
  <dataFields count="1">
    <dataField name="Toplam Fatura Tutarı" fld="9" baseField="0" baseItem="0" numFmtId="8"/>
  </dataFields>
  <pivotTableStyleInfo name="PivotStyleMedium1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ari_Adı" xr10:uid="{3209472E-9F85-422B-A88B-91313F691F0D}" sourceName="Cari Adı">
  <pivotTables>
    <pivotTable tabId="6" name="PivotTable1"/>
  </pivotTables>
  <data>
    <tabular pivotCacheId="2102593612">
      <items count="11">
        <i x="3" s="1"/>
        <i x="4" s="1"/>
        <i x="9" s="1"/>
        <i x="8" s="1"/>
        <i x="2" s="1"/>
        <i x="0" s="1"/>
        <i x="1" s="1"/>
        <i x="10" s="1"/>
        <i x="6" s="1"/>
        <i x="7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Gelir___Gider" xr10:uid="{CAB86651-097D-473A-9DB9-852DC15A117F}" sourceName="Gelir / Gider">
  <pivotTables>
    <pivotTable tabId="6" name="PivotTable1"/>
  </pivotTables>
  <data>
    <tabular pivotCacheId="2102593612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Ödeme_Durumu" xr10:uid="{18851C2A-343A-4EE9-949B-24A84887145F}" sourceName="Ödeme Durumu">
  <pivotTables>
    <pivotTable tabId="6" name="PivotTable1"/>
  </pivotTables>
  <data>
    <tabular pivotCacheId="2102593612">
      <items count="3"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Ay" xr10:uid="{54A1203D-3598-4A41-AF66-0DE3F15E49EF}" sourceName="Ay">
  <pivotTables>
    <pivotTable tabId="6" name="PivotTable1"/>
  </pivotTables>
  <data>
    <tabular pivotCacheId="2102593612">
      <items count="14">
        <i x="1" s="1"/>
        <i x="2" s="1"/>
        <i x="3" s="1"/>
        <i x="4" s="1"/>
        <i x="5" s="1"/>
        <i x="6" s="1"/>
        <i x="10" s="1"/>
        <i x="7" s="1" nd="1"/>
        <i x="8" s="1" nd="1"/>
        <i x="9" s="1" nd="1"/>
        <i x="11" s="1" nd="1"/>
        <i x="12" s="1" nd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i Adı" xr10:uid="{12DC5194-6C96-4CF5-A15F-73C9077A2D28}" cache="Dilimleyici_Cari_Adı" caption="Cari Adı" columnCount="4" style="751Dilimleyici" rowHeight="241300"/>
  <slicer name="Gelir / Gider" xr10:uid="{4BBEE619-184F-4011-8622-7C966F79D0A6}" cache="Dilimleyici_Gelir___Gider" caption="Gelir / Gider" style="751Dilimleyici" rowHeight="241300"/>
  <slicer name="Ödeme Durumu" xr10:uid="{05D8D811-6531-4F99-8D82-38AF8CF92363}" cache="Dilimleyici_Ödeme_Durumu" caption="Ödeme Durumu" style="751Dilimleyici" rowHeight="241300"/>
  <slicer name="Ay" xr10:uid="{58F6E08D-6790-48A0-AA95-7700BC476E9D}" cache="Dilimleyici_Ay" caption="Ay" columnCount="3" style="751Kırmızı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C63E5C-EFC6-42B1-A429-C098FA466A90}" name="Tablo4" displayName="Tablo4" ref="B5:K183" totalsRowShown="0" headerRowDxfId="28" dataDxfId="27">
  <autoFilter ref="B5:K183" xr:uid="{1CB36105-2F57-463B-8ABD-AE131D23A977}"/>
  <tableColumns count="10">
    <tableColumn id="1" xr3:uid="{B3959D0E-72E7-45B2-AB92-9D255AC4C0D6}" name="Tarih" dataDxfId="26"/>
    <tableColumn id="2" xr3:uid="{1E842CBF-6C91-4799-BDC4-2CDD933F08D1}" name="Fatura No" dataDxfId="25"/>
    <tableColumn id="11" xr3:uid="{4AEBAF4C-73D9-4CDB-BBA8-8031C8E5D134}" name="Müşteri / Tedarikçi" dataDxfId="24"/>
    <tableColumn id="10" xr3:uid="{84653007-A2DA-46EA-A8E0-39C34806FEE8}" name="Cari Adı" dataDxfId="23"/>
    <tableColumn id="3" xr3:uid="{983A263C-E4F3-433E-8565-090909CE2AB7}" name="Gelir / Gider" dataDxfId="22"/>
    <tableColumn id="5" xr3:uid="{698F91E9-8928-463C-B311-FCE476AAA536}" name="Banka Adı" dataDxfId="21"/>
    <tableColumn id="6" xr3:uid="{21D53F87-77C6-4619-A973-DAC177FE3D3A}" name="Ödeme Durumu" dataDxfId="20"/>
    <tableColumn id="7" xr3:uid="{9598E7A0-44AB-482C-9333-332B289BEF6A}" name="Hizmet Tutarı" dataDxfId="19"/>
    <tableColumn id="8" xr3:uid="{D4FF5003-02CB-400D-9995-9823341BA66E}" name="Vergi Oranı" dataDxfId="18"/>
    <tableColumn id="9" xr3:uid="{9BB9AC47-F902-4A23-9486-167DBD10D25A}" name="Fatura Tutarı" dataDxfId="17">
      <calculatedColumnFormula>IF(Tablo4[[#This Row],[Vergi Oranı]]="","",Tablo4[[#This Row],[Hizmet Tutarı]]*(1+Tablo4[[#This Row],[Vergi Oranı]]))</calculatedColumnFormula>
    </tableColumn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36105-2F57-463B-8ABD-AE131D23A977}" name="Tablo1" displayName="Tablo1" ref="B5:D12" totalsRowShown="0" dataDxfId="16">
  <autoFilter ref="B5:D12" xr:uid="{1CB36105-2F57-463B-8ABD-AE131D23A977}"/>
  <tableColumns count="3">
    <tableColumn id="1" xr3:uid="{E83DA8D0-928A-4360-96B0-69461F87F1F0}" name="Firma Adı" dataDxfId="15"/>
    <tableColumn id="2" xr3:uid="{947A28DE-434A-4B8C-901B-60EA61122633}" name="Vergi No" dataDxfId="14"/>
    <tableColumn id="3" xr3:uid="{6B3D9C14-BB5A-47CE-85F6-650989B37EBA}" name="Adres" dataDxfId="13"/>
  </tableColumns>
  <tableStyleInfo name="TableStyleLight13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FF0CAD-F4C1-4432-9E89-0D1DECAA3E26}" name="Tablo13" displayName="Tablo13" ref="B5:D9" totalsRowShown="0" dataDxfId="12">
  <autoFilter ref="B5:D9" xr:uid="{1CB36105-2F57-463B-8ABD-AE131D23A977}"/>
  <tableColumns count="3">
    <tableColumn id="1" xr3:uid="{3D422951-1ACD-40ED-9D2B-ABB14C689B8E}" name="Firma Adı" dataDxfId="11"/>
    <tableColumn id="2" xr3:uid="{BBCA634E-D322-4959-B61C-2456712089D9}" name="Vergi No" dataDxfId="10"/>
    <tableColumn id="3" xr3:uid="{CDF069F8-5FC9-418E-92CC-E773CA389AA2}" name="Adres" dataDxfId="9"/>
  </tableColumns>
  <tableStyleInfo name="TableStyleLight13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411D9B-C43F-4DDE-9A06-A8358AC92C27}" name="Tablo134" displayName="Tablo134" ref="B5:D9" totalsRowShown="0" dataDxfId="8">
  <autoFilter ref="B5:D9" xr:uid="{1CB36105-2F57-463B-8ABD-AE131D23A977}"/>
  <tableColumns count="3">
    <tableColumn id="1" xr3:uid="{A0CAED33-724A-4F06-937F-097C82A6C0FE}" name="Hesap Adı" dataDxfId="7"/>
    <tableColumn id="2" xr3:uid="{B829B59C-40D8-43D9-95EF-DF32214E0F53}" name="Banka Adı" dataDxfId="6"/>
    <tableColumn id="3" xr3:uid="{B591AA2A-E60A-4F41-A988-5B722FC57260}" name="iban No" dataDxfId="5"/>
  </tableColumns>
  <tableStyleInfo name="TableStyleLight13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354607-222A-45D5-B330-1FACC19EC290}" name="Tablo1345" displayName="Tablo1345" ref="B5:B8" totalsRowShown="0" dataDxfId="4">
  <tableColumns count="1">
    <tableColumn id="1" xr3:uid="{98C21ECC-4633-4FD4-8EF2-A3EC5FE94C20}" name="Ödeme Durumu" dataDxfId="3"/>
  </tableColumns>
  <tableStyleInfo name="TableStyleLight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5A4857-D5EF-438C-AACA-17C443582579}" name="Tablo13456" displayName="Tablo13456" ref="D5:D9" totalsRowShown="0" headerRowDxfId="2" dataDxfId="1">
  <tableColumns count="1">
    <tableColumn id="1" xr3:uid="{3D7054EE-E480-4E6F-8FFF-6F33E691DCF7}" name="Vergi Oranları" dataDxfId="0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107C41"/>
      </a:accent1>
      <a:accent2>
        <a:srgbClr val="DD2F45"/>
      </a:accent2>
      <a:accent3>
        <a:srgbClr val="FFDF2B"/>
      </a:accent3>
      <a:accent4>
        <a:srgbClr val="F7F6F6"/>
      </a:accent4>
      <a:accent5>
        <a:srgbClr val="2B5A92"/>
      </a:accent5>
      <a:accent6>
        <a:srgbClr val="7B1EA4"/>
      </a:accent6>
      <a:hlink>
        <a:srgbClr val="EB8803"/>
      </a:hlink>
      <a:folHlink>
        <a:srgbClr val="5F77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E22C-7FD9-4146-ADCD-66E16FE4B438}">
  <sheetPr codeName="Sayfa1">
    <tabColor theme="8" tint="-0.249977111117893"/>
  </sheetPr>
  <dimension ref="B1:K183"/>
  <sheetViews>
    <sheetView showGridLines="0" zoomScale="130" zoomScaleNormal="130" workbookViewId="0">
      <pane ySplit="5" topLeftCell="A161" activePane="bottomLeft" state="frozen"/>
      <selection pane="bottomLeft" activeCell="E168" sqref="E168"/>
    </sheetView>
  </sheetViews>
  <sheetFormatPr defaultRowHeight="14.4" x14ac:dyDescent="0.3"/>
  <cols>
    <col min="1" max="1" width="4.21875" customWidth="1"/>
    <col min="2" max="3" width="16.88671875" customWidth="1"/>
    <col min="4" max="4" width="19.5546875" customWidth="1"/>
    <col min="5" max="5" width="20.88671875" customWidth="1"/>
    <col min="6" max="6" width="18.109375" customWidth="1"/>
    <col min="7" max="7" width="18.33203125" customWidth="1"/>
    <col min="8" max="8" width="23.33203125" customWidth="1"/>
    <col min="9" max="9" width="16.88671875" customWidth="1"/>
    <col min="10" max="10" width="12.109375" customWidth="1"/>
    <col min="11" max="11" width="11.88671875" customWidth="1"/>
  </cols>
  <sheetData>
    <row r="1" spans="2:11" ht="15" thickBot="1" x14ac:dyDescent="0.35"/>
    <row r="2" spans="2:11" ht="27" customHeight="1" thickBot="1" x14ac:dyDescent="0.35">
      <c r="B2" s="10" t="s">
        <v>43</v>
      </c>
      <c r="E2" s="33"/>
      <c r="F2" s="34"/>
      <c r="G2" s="34"/>
      <c r="H2" s="34"/>
      <c r="I2" s="34"/>
      <c r="J2" s="34"/>
      <c r="K2" s="9"/>
    </row>
    <row r="5" spans="2:11" s="3" customFormat="1" x14ac:dyDescent="0.3">
      <c r="B5" s="3" t="s">
        <v>44</v>
      </c>
      <c r="C5" s="3" t="s">
        <v>45</v>
      </c>
      <c r="D5" s="3" t="s">
        <v>236</v>
      </c>
      <c r="E5" s="3" t="s">
        <v>235</v>
      </c>
      <c r="F5" s="3" t="s">
        <v>46</v>
      </c>
      <c r="G5" s="3" t="s">
        <v>7</v>
      </c>
      <c r="H5" s="3" t="s">
        <v>41</v>
      </c>
      <c r="I5" s="3" t="s">
        <v>47</v>
      </c>
      <c r="J5" s="3" t="s">
        <v>48</v>
      </c>
      <c r="K5" s="3" t="s">
        <v>49</v>
      </c>
    </row>
    <row r="6" spans="2:11" s="3" customFormat="1" x14ac:dyDescent="0.3">
      <c r="B6" s="6">
        <v>44492</v>
      </c>
      <c r="C6" s="2" t="s">
        <v>242</v>
      </c>
      <c r="D6" s="2" t="s">
        <v>237</v>
      </c>
      <c r="E6" s="2" t="s">
        <v>13</v>
      </c>
      <c r="F6" s="2" t="s">
        <v>57</v>
      </c>
      <c r="G6" s="2" t="s">
        <v>52</v>
      </c>
      <c r="H6" s="2" t="s">
        <v>54</v>
      </c>
      <c r="I6" s="8">
        <v>3600</v>
      </c>
      <c r="J6" s="7">
        <v>0.08</v>
      </c>
      <c r="K6" s="8">
        <f>IF(Tablo4[[#This Row],[Vergi Oranı]]="","",Tablo4[[#This Row],[Hizmet Tutarı]]*(1+Tablo4[[#This Row],[Vergi Oranı]]))</f>
        <v>3888.0000000000005</v>
      </c>
    </row>
    <row r="7" spans="2:11" s="2" customFormat="1" x14ac:dyDescent="0.3">
      <c r="B7" s="6">
        <v>44492</v>
      </c>
      <c r="C7" s="2" t="s">
        <v>50</v>
      </c>
      <c r="D7" s="2" t="s">
        <v>237</v>
      </c>
      <c r="E7" s="2" t="s">
        <v>13</v>
      </c>
      <c r="F7" s="2" t="s">
        <v>57</v>
      </c>
      <c r="G7" s="2" t="s">
        <v>38</v>
      </c>
      <c r="H7" s="2" t="s">
        <v>56</v>
      </c>
      <c r="I7" s="8">
        <v>250</v>
      </c>
      <c r="J7" s="7">
        <v>0.08</v>
      </c>
      <c r="K7" s="8">
        <f>IF(Tablo4[[#This Row],[Vergi Oranı]]="","",Tablo4[[#This Row],[Hizmet Tutarı]]*(1+Tablo4[[#This Row],[Vergi Oranı]]))</f>
        <v>270</v>
      </c>
    </row>
    <row r="8" spans="2:11" s="2" customFormat="1" x14ac:dyDescent="0.3">
      <c r="B8" s="6">
        <v>44492</v>
      </c>
      <c r="C8" s="2" t="s">
        <v>58</v>
      </c>
      <c r="D8" s="2" t="s">
        <v>238</v>
      </c>
      <c r="E8" s="2" t="s">
        <v>27</v>
      </c>
      <c r="F8" s="2" t="s">
        <v>59</v>
      </c>
      <c r="G8" s="2" t="s">
        <v>32</v>
      </c>
      <c r="H8" s="2" t="s">
        <v>55</v>
      </c>
      <c r="I8" s="8">
        <v>120</v>
      </c>
      <c r="J8" s="7">
        <v>0.02</v>
      </c>
      <c r="K8" s="8">
        <f>IF(Tablo4[[#This Row],[Vergi Oranı]]="","",Tablo4[[#This Row],[Hizmet Tutarı]]*(1+Tablo4[[#This Row],[Vergi Oranı]]))</f>
        <v>122.4</v>
      </c>
    </row>
    <row r="9" spans="2:11" s="2" customFormat="1" x14ac:dyDescent="0.3">
      <c r="B9" s="6">
        <v>44340</v>
      </c>
      <c r="C9" s="2" t="s">
        <v>60</v>
      </c>
      <c r="D9" s="2" t="s">
        <v>238</v>
      </c>
      <c r="E9" s="2" t="s">
        <v>27</v>
      </c>
      <c r="F9" s="2" t="s">
        <v>59</v>
      </c>
      <c r="G9" s="2" t="s">
        <v>35</v>
      </c>
      <c r="H9" s="2" t="s">
        <v>55</v>
      </c>
      <c r="I9" s="8">
        <v>5814</v>
      </c>
      <c r="J9" s="7">
        <v>0.18</v>
      </c>
      <c r="K9" s="8">
        <f>IF(Tablo4[[#This Row],[Vergi Oranı]]="","",Tablo4[[#This Row],[Hizmet Tutarı]]*(1+Tablo4[[#This Row],[Vergi Oranı]]))</f>
        <v>6860.5199999999995</v>
      </c>
    </row>
    <row r="10" spans="2:11" s="2" customFormat="1" x14ac:dyDescent="0.3">
      <c r="B10" s="6">
        <v>44280</v>
      </c>
      <c r="C10" s="2" t="s">
        <v>61</v>
      </c>
      <c r="D10" s="2" t="s">
        <v>238</v>
      </c>
      <c r="E10" s="2" t="s">
        <v>25</v>
      </c>
      <c r="F10" s="2" t="s">
        <v>59</v>
      </c>
      <c r="G10" s="2" t="s">
        <v>32</v>
      </c>
      <c r="H10" s="2" t="s">
        <v>54</v>
      </c>
      <c r="I10" s="8">
        <v>9768</v>
      </c>
      <c r="J10" s="7">
        <v>0.18</v>
      </c>
      <c r="K10" s="8">
        <f>IF(Tablo4[[#This Row],[Vergi Oranı]]="","",Tablo4[[#This Row],[Hizmet Tutarı]]*(1+Tablo4[[#This Row],[Vergi Oranı]]))</f>
        <v>11526.24</v>
      </c>
    </row>
    <row r="11" spans="2:11" s="2" customFormat="1" x14ac:dyDescent="0.3">
      <c r="B11" s="6">
        <v>44319</v>
      </c>
      <c r="C11" s="2" t="s">
        <v>62</v>
      </c>
      <c r="D11" s="2" t="s">
        <v>238</v>
      </c>
      <c r="E11" s="2" t="s">
        <v>25</v>
      </c>
      <c r="F11" s="2" t="s">
        <v>59</v>
      </c>
      <c r="G11" s="2" t="s">
        <v>35</v>
      </c>
      <c r="H11" s="2" t="s">
        <v>55</v>
      </c>
      <c r="I11" s="8">
        <v>8470</v>
      </c>
      <c r="J11" s="7">
        <v>0.02</v>
      </c>
      <c r="K11" s="8">
        <f>IF(Tablo4[[#This Row],[Vergi Oranı]]="","",Tablo4[[#This Row],[Hizmet Tutarı]]*(1+Tablo4[[#This Row],[Vergi Oranı]]))</f>
        <v>8639.4</v>
      </c>
    </row>
    <row r="12" spans="2:11" s="2" customFormat="1" x14ac:dyDescent="0.3">
      <c r="B12" s="6">
        <v>44253</v>
      </c>
      <c r="C12" s="2" t="s">
        <v>63</v>
      </c>
      <c r="D12" s="2" t="s">
        <v>237</v>
      </c>
      <c r="E12" s="2" t="s">
        <v>17</v>
      </c>
      <c r="F12" s="2" t="s">
        <v>57</v>
      </c>
      <c r="G12" s="2" t="s">
        <v>32</v>
      </c>
      <c r="H12" s="2" t="s">
        <v>56</v>
      </c>
      <c r="I12" s="8">
        <v>896</v>
      </c>
      <c r="J12" s="7">
        <v>0.02</v>
      </c>
      <c r="K12" s="8">
        <f>IF(Tablo4[[#This Row],[Vergi Oranı]]="","",Tablo4[[#This Row],[Hizmet Tutarı]]*(1+Tablo4[[#This Row],[Vergi Oranı]]))</f>
        <v>913.92000000000007</v>
      </c>
    </row>
    <row r="13" spans="2:11" s="2" customFormat="1" x14ac:dyDescent="0.3">
      <c r="B13" s="6">
        <v>44308</v>
      </c>
      <c r="C13" s="2" t="s">
        <v>64</v>
      </c>
      <c r="D13" s="2" t="s">
        <v>238</v>
      </c>
      <c r="E13" s="2" t="s">
        <v>27</v>
      </c>
      <c r="F13" s="2" t="s">
        <v>59</v>
      </c>
      <c r="G13" s="2" t="s">
        <v>35</v>
      </c>
      <c r="H13" s="2" t="s">
        <v>55</v>
      </c>
      <c r="I13" s="8">
        <v>8242</v>
      </c>
      <c r="J13" s="7">
        <v>0.08</v>
      </c>
      <c r="K13" s="8">
        <f>IF(Tablo4[[#This Row],[Vergi Oranı]]="","",Tablo4[[#This Row],[Hizmet Tutarı]]*(1+Tablo4[[#This Row],[Vergi Oranı]]))</f>
        <v>8901.36</v>
      </c>
    </row>
    <row r="14" spans="2:11" s="2" customFormat="1" x14ac:dyDescent="0.3">
      <c r="B14" s="6">
        <v>44206</v>
      </c>
      <c r="C14" s="2" t="s">
        <v>65</v>
      </c>
      <c r="D14" s="2" t="s">
        <v>238</v>
      </c>
      <c r="E14" s="2" t="s">
        <v>23</v>
      </c>
      <c r="F14" s="2" t="s">
        <v>59</v>
      </c>
      <c r="G14" s="2" t="s">
        <v>38</v>
      </c>
      <c r="H14" s="2" t="s">
        <v>54</v>
      </c>
      <c r="I14" s="8">
        <v>3541</v>
      </c>
      <c r="J14" s="7">
        <v>0.02</v>
      </c>
      <c r="K14" s="8">
        <f>IF(Tablo4[[#This Row],[Vergi Oranı]]="","",Tablo4[[#This Row],[Hizmet Tutarı]]*(1+Tablo4[[#This Row],[Vergi Oranı]]))</f>
        <v>3611.82</v>
      </c>
    </row>
    <row r="15" spans="2:11" s="2" customFormat="1" x14ac:dyDescent="0.3">
      <c r="B15" s="6">
        <v>44254</v>
      </c>
      <c r="C15" s="2" t="s">
        <v>66</v>
      </c>
      <c r="D15" s="2" t="s">
        <v>237</v>
      </c>
      <c r="E15" s="2" t="s">
        <v>19</v>
      </c>
      <c r="F15" s="2" t="s">
        <v>57</v>
      </c>
      <c r="G15" s="2" t="s">
        <v>38</v>
      </c>
      <c r="H15" s="2" t="s">
        <v>55</v>
      </c>
      <c r="I15" s="8">
        <v>3694</v>
      </c>
      <c r="J15" s="7">
        <v>0.02</v>
      </c>
      <c r="K15" s="8">
        <f>IF(Tablo4[[#This Row],[Vergi Oranı]]="","",Tablo4[[#This Row],[Hizmet Tutarı]]*(1+Tablo4[[#This Row],[Vergi Oranı]]))</f>
        <v>3767.88</v>
      </c>
    </row>
    <row r="16" spans="2:11" x14ac:dyDescent="0.3">
      <c r="B16" s="6">
        <v>44332</v>
      </c>
      <c r="C16" s="2" t="s">
        <v>67</v>
      </c>
      <c r="D16" s="2" t="s">
        <v>238</v>
      </c>
      <c r="E16" s="2" t="s">
        <v>27</v>
      </c>
      <c r="F16" s="2" t="s">
        <v>59</v>
      </c>
      <c r="G16" s="2" t="s">
        <v>35</v>
      </c>
      <c r="H16" s="2" t="s">
        <v>55</v>
      </c>
      <c r="I16" s="8">
        <v>2226</v>
      </c>
      <c r="J16" s="7">
        <v>0.08</v>
      </c>
      <c r="K16" s="8">
        <f>IF(Tablo4[[#This Row],[Vergi Oranı]]="","",Tablo4[[#This Row],[Hizmet Tutarı]]*(1+Tablo4[[#This Row],[Vergi Oranı]]))</f>
        <v>2404.0800000000004</v>
      </c>
    </row>
    <row r="17" spans="2:11" x14ac:dyDescent="0.3">
      <c r="B17" s="6">
        <v>44356</v>
      </c>
      <c r="C17" s="2" t="s">
        <v>68</v>
      </c>
      <c r="D17" s="2" t="s">
        <v>238</v>
      </c>
      <c r="E17" s="2" t="s">
        <v>25</v>
      </c>
      <c r="F17" s="2" t="s">
        <v>59</v>
      </c>
      <c r="G17" s="2" t="s">
        <v>35</v>
      </c>
      <c r="H17" s="2" t="s">
        <v>55</v>
      </c>
      <c r="I17" s="8">
        <v>7895</v>
      </c>
      <c r="J17" s="7">
        <v>0.08</v>
      </c>
      <c r="K17" s="8">
        <f>IF(Tablo4[[#This Row],[Vergi Oranı]]="","",Tablo4[[#This Row],[Hizmet Tutarı]]*(1+Tablo4[[#This Row],[Vergi Oranı]]))</f>
        <v>8526.6</v>
      </c>
    </row>
    <row r="18" spans="2:11" x14ac:dyDescent="0.3">
      <c r="B18" s="6">
        <v>44330</v>
      </c>
      <c r="C18" s="2" t="s">
        <v>69</v>
      </c>
      <c r="D18" s="2" t="s">
        <v>238</v>
      </c>
      <c r="E18" s="2" t="s">
        <v>25</v>
      </c>
      <c r="F18" s="2" t="s">
        <v>59</v>
      </c>
      <c r="G18" s="2" t="s">
        <v>32</v>
      </c>
      <c r="H18" s="2" t="s">
        <v>55</v>
      </c>
      <c r="I18" s="8">
        <v>2915</v>
      </c>
      <c r="J18" s="7">
        <v>0.08</v>
      </c>
      <c r="K18" s="8">
        <f>IF(Tablo4[[#This Row],[Vergi Oranı]]="","",Tablo4[[#This Row],[Hizmet Tutarı]]*(1+Tablo4[[#This Row],[Vergi Oranı]]))</f>
        <v>3148.2000000000003</v>
      </c>
    </row>
    <row r="19" spans="2:11" x14ac:dyDescent="0.3">
      <c r="B19" s="6">
        <v>44362</v>
      </c>
      <c r="C19" s="2" t="s">
        <v>70</v>
      </c>
      <c r="D19" s="2" t="s">
        <v>238</v>
      </c>
      <c r="E19" s="2" t="s">
        <v>23</v>
      </c>
      <c r="F19" s="2" t="s">
        <v>59</v>
      </c>
      <c r="G19" s="2" t="s">
        <v>38</v>
      </c>
      <c r="H19" s="2" t="s">
        <v>54</v>
      </c>
      <c r="I19" s="8">
        <v>7398</v>
      </c>
      <c r="J19" s="7">
        <v>0.02</v>
      </c>
      <c r="K19" s="8">
        <f>IF(Tablo4[[#This Row],[Vergi Oranı]]="","",Tablo4[[#This Row],[Hizmet Tutarı]]*(1+Tablo4[[#This Row],[Vergi Oranı]]))</f>
        <v>7545.96</v>
      </c>
    </row>
    <row r="20" spans="2:11" x14ac:dyDescent="0.3">
      <c r="B20" s="6">
        <v>44319</v>
      </c>
      <c r="C20" s="2" t="s">
        <v>71</v>
      </c>
      <c r="D20" s="2" t="s">
        <v>238</v>
      </c>
      <c r="E20" s="2" t="s">
        <v>27</v>
      </c>
      <c r="F20" s="2" t="s">
        <v>59</v>
      </c>
      <c r="G20" s="2" t="s">
        <v>32</v>
      </c>
      <c r="H20" s="2" t="s">
        <v>55</v>
      </c>
      <c r="I20" s="8">
        <v>554</v>
      </c>
      <c r="J20" s="7">
        <v>0.08</v>
      </c>
      <c r="K20" s="8">
        <f>IF(Tablo4[[#This Row],[Vergi Oranı]]="","",Tablo4[[#This Row],[Hizmet Tutarı]]*(1+Tablo4[[#This Row],[Vergi Oranı]]))</f>
        <v>598.32000000000005</v>
      </c>
    </row>
    <row r="21" spans="2:11" x14ac:dyDescent="0.3">
      <c r="B21" s="6">
        <v>44235</v>
      </c>
      <c r="C21" s="2" t="s">
        <v>72</v>
      </c>
      <c r="D21" s="2" t="s">
        <v>237</v>
      </c>
      <c r="E21" s="2" t="s">
        <v>17</v>
      </c>
      <c r="F21" s="2" t="s">
        <v>57</v>
      </c>
      <c r="G21" s="2" t="s">
        <v>32</v>
      </c>
      <c r="H21" s="2" t="s">
        <v>55</v>
      </c>
      <c r="I21" s="8">
        <v>9564</v>
      </c>
      <c r="J21" s="7">
        <v>0.02</v>
      </c>
      <c r="K21" s="8">
        <f>IF(Tablo4[[#This Row],[Vergi Oranı]]="","",Tablo4[[#This Row],[Hizmet Tutarı]]*(1+Tablo4[[#This Row],[Vergi Oranı]]))</f>
        <v>9755.2800000000007</v>
      </c>
    </row>
    <row r="22" spans="2:11" x14ac:dyDescent="0.3">
      <c r="B22" s="6">
        <v>44333</v>
      </c>
      <c r="C22" s="2" t="s">
        <v>73</v>
      </c>
      <c r="D22" s="2" t="s">
        <v>237</v>
      </c>
      <c r="E22" s="2" t="s">
        <v>13</v>
      </c>
      <c r="F22" s="2" t="s">
        <v>57</v>
      </c>
      <c r="G22" s="2" t="s">
        <v>35</v>
      </c>
      <c r="H22" s="2" t="s">
        <v>54</v>
      </c>
      <c r="I22" s="8">
        <v>6977</v>
      </c>
      <c r="J22" s="7">
        <v>0.08</v>
      </c>
      <c r="K22" s="8">
        <f>IF(Tablo4[[#This Row],[Vergi Oranı]]="","",Tablo4[[#This Row],[Hizmet Tutarı]]*(1+Tablo4[[#This Row],[Vergi Oranı]]))</f>
        <v>7535.1600000000008</v>
      </c>
    </row>
    <row r="23" spans="2:11" x14ac:dyDescent="0.3">
      <c r="B23" s="6">
        <v>44307</v>
      </c>
      <c r="C23" s="2" t="s">
        <v>74</v>
      </c>
      <c r="D23" s="2" t="s">
        <v>238</v>
      </c>
      <c r="E23" s="2" t="s">
        <v>25</v>
      </c>
      <c r="F23" s="2" t="s">
        <v>59</v>
      </c>
      <c r="G23" s="2" t="s">
        <v>35</v>
      </c>
      <c r="H23" s="2" t="s">
        <v>55</v>
      </c>
      <c r="I23" s="8">
        <v>9088</v>
      </c>
      <c r="J23" s="7">
        <v>0.02</v>
      </c>
      <c r="K23" s="8">
        <f>IF(Tablo4[[#This Row],[Vergi Oranı]]="","",Tablo4[[#This Row],[Hizmet Tutarı]]*(1+Tablo4[[#This Row],[Vergi Oranı]]))</f>
        <v>9269.76</v>
      </c>
    </row>
    <row r="24" spans="2:11" x14ac:dyDescent="0.3">
      <c r="B24" s="6">
        <v>44337</v>
      </c>
      <c r="C24" s="2" t="s">
        <v>75</v>
      </c>
      <c r="D24" s="2" t="s">
        <v>238</v>
      </c>
      <c r="E24" s="2" t="s">
        <v>27</v>
      </c>
      <c r="F24" s="2" t="s">
        <v>59</v>
      </c>
      <c r="G24" s="2" t="s">
        <v>38</v>
      </c>
      <c r="H24" s="2" t="s">
        <v>55</v>
      </c>
      <c r="I24" s="8">
        <v>3244</v>
      </c>
      <c r="J24" s="7">
        <v>0.08</v>
      </c>
      <c r="K24" s="8">
        <f>IF(Tablo4[[#This Row],[Vergi Oranı]]="","",Tablo4[[#This Row],[Hizmet Tutarı]]*(1+Tablo4[[#This Row],[Vergi Oranı]]))</f>
        <v>3503.5200000000004</v>
      </c>
    </row>
    <row r="25" spans="2:11" x14ac:dyDescent="0.3">
      <c r="B25" s="6">
        <v>44370</v>
      </c>
      <c r="C25" s="2" t="s">
        <v>76</v>
      </c>
      <c r="D25" s="2" t="s">
        <v>238</v>
      </c>
      <c r="E25" s="2" t="s">
        <v>29</v>
      </c>
      <c r="F25" s="2" t="s">
        <v>59</v>
      </c>
      <c r="G25" s="2" t="s">
        <v>35</v>
      </c>
      <c r="H25" s="2" t="s">
        <v>54</v>
      </c>
      <c r="I25" s="8">
        <v>9294</v>
      </c>
      <c r="J25" s="7">
        <v>0.18</v>
      </c>
      <c r="K25" s="8">
        <f>IF(Tablo4[[#This Row],[Vergi Oranı]]="","",Tablo4[[#This Row],[Hizmet Tutarı]]*(1+Tablo4[[#This Row],[Vergi Oranı]]))</f>
        <v>10966.92</v>
      </c>
    </row>
    <row r="26" spans="2:11" x14ac:dyDescent="0.3">
      <c r="B26" s="6">
        <v>44290</v>
      </c>
      <c r="C26" s="2" t="s">
        <v>77</v>
      </c>
      <c r="D26" s="2" t="s">
        <v>238</v>
      </c>
      <c r="E26" s="2" t="s">
        <v>23</v>
      </c>
      <c r="F26" s="2" t="s">
        <v>59</v>
      </c>
      <c r="G26" s="2" t="s">
        <v>32</v>
      </c>
      <c r="H26" s="2" t="s">
        <v>55</v>
      </c>
      <c r="I26" s="8">
        <v>4705</v>
      </c>
      <c r="J26" s="7">
        <v>0.08</v>
      </c>
      <c r="K26" s="8">
        <f>IF(Tablo4[[#This Row],[Vergi Oranı]]="","",Tablo4[[#This Row],[Hizmet Tutarı]]*(1+Tablo4[[#This Row],[Vergi Oranı]]))</f>
        <v>5081.4000000000005</v>
      </c>
    </row>
    <row r="27" spans="2:11" x14ac:dyDescent="0.3">
      <c r="B27" s="6">
        <v>44340</v>
      </c>
      <c r="C27" s="2" t="s">
        <v>78</v>
      </c>
      <c r="D27" s="2" t="s">
        <v>238</v>
      </c>
      <c r="E27" s="2" t="s">
        <v>29</v>
      </c>
      <c r="F27" s="2" t="s">
        <v>59</v>
      </c>
      <c r="G27" s="2" t="s">
        <v>38</v>
      </c>
      <c r="H27" s="2" t="s">
        <v>55</v>
      </c>
      <c r="I27" s="8">
        <v>2681</v>
      </c>
      <c r="J27" s="7">
        <v>0.18</v>
      </c>
      <c r="K27" s="8">
        <f>IF(Tablo4[[#This Row],[Vergi Oranı]]="","",Tablo4[[#This Row],[Hizmet Tutarı]]*(1+Tablo4[[#This Row],[Vergi Oranı]]))</f>
        <v>3163.58</v>
      </c>
    </row>
    <row r="28" spans="2:11" x14ac:dyDescent="0.3">
      <c r="B28" s="6">
        <v>44262</v>
      </c>
      <c r="C28" s="2" t="s">
        <v>79</v>
      </c>
      <c r="D28" s="2" t="s">
        <v>238</v>
      </c>
      <c r="E28" s="2" t="s">
        <v>27</v>
      </c>
      <c r="F28" s="2" t="s">
        <v>59</v>
      </c>
      <c r="G28" s="2" t="s">
        <v>35</v>
      </c>
      <c r="H28" s="2" t="s">
        <v>55</v>
      </c>
      <c r="I28" s="8">
        <v>1425</v>
      </c>
      <c r="J28" s="7">
        <v>0.08</v>
      </c>
      <c r="K28" s="8">
        <f>IF(Tablo4[[#This Row],[Vergi Oranı]]="","",Tablo4[[#This Row],[Hizmet Tutarı]]*(1+Tablo4[[#This Row],[Vergi Oranı]]))</f>
        <v>1539</v>
      </c>
    </row>
    <row r="29" spans="2:11" x14ac:dyDescent="0.3">
      <c r="B29" s="6">
        <v>44245</v>
      </c>
      <c r="C29" s="2" t="s">
        <v>80</v>
      </c>
      <c r="D29" s="2" t="s">
        <v>237</v>
      </c>
      <c r="E29" s="2" t="s">
        <v>17</v>
      </c>
      <c r="F29" s="2" t="s">
        <v>57</v>
      </c>
      <c r="G29" s="2" t="s">
        <v>32</v>
      </c>
      <c r="H29" s="2" t="s">
        <v>55</v>
      </c>
      <c r="I29" s="8">
        <v>5915</v>
      </c>
      <c r="J29" s="7">
        <v>0.02</v>
      </c>
      <c r="K29" s="8">
        <f>IF(Tablo4[[#This Row],[Vergi Oranı]]="","",Tablo4[[#This Row],[Hizmet Tutarı]]*(1+Tablo4[[#This Row],[Vergi Oranı]]))</f>
        <v>6033.3</v>
      </c>
    </row>
    <row r="30" spans="2:11" x14ac:dyDescent="0.3">
      <c r="B30" s="6">
        <v>44264</v>
      </c>
      <c r="C30" s="2" t="s">
        <v>81</v>
      </c>
      <c r="D30" s="2" t="s">
        <v>237</v>
      </c>
      <c r="E30" s="2" t="s">
        <v>21</v>
      </c>
      <c r="F30" s="2" t="s">
        <v>57</v>
      </c>
      <c r="G30" s="2" t="s">
        <v>35</v>
      </c>
      <c r="H30" s="2" t="s">
        <v>54</v>
      </c>
      <c r="I30" s="8">
        <v>3714</v>
      </c>
      <c r="J30" s="7">
        <v>0.08</v>
      </c>
      <c r="K30" s="8">
        <f>IF(Tablo4[[#This Row],[Vergi Oranı]]="","",Tablo4[[#This Row],[Hizmet Tutarı]]*(1+Tablo4[[#This Row],[Vergi Oranı]]))</f>
        <v>4011.1200000000003</v>
      </c>
    </row>
    <row r="31" spans="2:11" x14ac:dyDescent="0.3">
      <c r="B31" s="6">
        <v>44257</v>
      </c>
      <c r="C31" s="2" t="s">
        <v>82</v>
      </c>
      <c r="D31" s="2" t="s">
        <v>238</v>
      </c>
      <c r="E31" s="2" t="s">
        <v>23</v>
      </c>
      <c r="F31" s="2" t="s">
        <v>59</v>
      </c>
      <c r="G31" s="2" t="s">
        <v>35</v>
      </c>
      <c r="H31" s="2" t="s">
        <v>54</v>
      </c>
      <c r="I31" s="8">
        <v>6370</v>
      </c>
      <c r="J31" s="7">
        <v>0.02</v>
      </c>
      <c r="K31" s="8">
        <f>IF(Tablo4[[#This Row],[Vergi Oranı]]="","",Tablo4[[#This Row],[Hizmet Tutarı]]*(1+Tablo4[[#This Row],[Vergi Oranı]]))</f>
        <v>6497.4000000000005</v>
      </c>
    </row>
    <row r="32" spans="2:11" x14ac:dyDescent="0.3">
      <c r="B32" s="6">
        <v>44256</v>
      </c>
      <c r="C32" s="2" t="s">
        <v>83</v>
      </c>
      <c r="D32" s="2" t="s">
        <v>238</v>
      </c>
      <c r="E32" s="2" t="s">
        <v>25</v>
      </c>
      <c r="F32" s="2" t="s">
        <v>59</v>
      </c>
      <c r="G32" s="2" t="s">
        <v>38</v>
      </c>
      <c r="H32" s="2" t="s">
        <v>54</v>
      </c>
      <c r="I32" s="8">
        <v>6683</v>
      </c>
      <c r="J32" s="7">
        <v>0.08</v>
      </c>
      <c r="K32" s="8">
        <f>IF(Tablo4[[#This Row],[Vergi Oranı]]="","",Tablo4[[#This Row],[Hizmet Tutarı]]*(1+Tablo4[[#This Row],[Vergi Oranı]]))</f>
        <v>7217.64</v>
      </c>
    </row>
    <row r="33" spans="2:11" x14ac:dyDescent="0.3">
      <c r="B33" s="6">
        <v>44313</v>
      </c>
      <c r="C33" s="2" t="s">
        <v>84</v>
      </c>
      <c r="D33" s="2" t="s">
        <v>237</v>
      </c>
      <c r="E33" s="2" t="s">
        <v>21</v>
      </c>
      <c r="F33" s="2" t="s">
        <v>57</v>
      </c>
      <c r="G33" s="2" t="s">
        <v>32</v>
      </c>
      <c r="H33" s="2" t="s">
        <v>55</v>
      </c>
      <c r="I33" s="8">
        <v>8816</v>
      </c>
      <c r="J33" s="7">
        <v>0.02</v>
      </c>
      <c r="K33" s="8">
        <f>IF(Tablo4[[#This Row],[Vergi Oranı]]="","",Tablo4[[#This Row],[Hizmet Tutarı]]*(1+Tablo4[[#This Row],[Vergi Oranı]]))</f>
        <v>8992.32</v>
      </c>
    </row>
    <row r="34" spans="2:11" x14ac:dyDescent="0.3">
      <c r="B34" s="6">
        <v>44277</v>
      </c>
      <c r="C34" s="2" t="s">
        <v>85</v>
      </c>
      <c r="D34" s="2" t="s">
        <v>237</v>
      </c>
      <c r="E34" s="2" t="s">
        <v>21</v>
      </c>
      <c r="F34" s="2" t="s">
        <v>57</v>
      </c>
      <c r="G34" s="2" t="s">
        <v>38</v>
      </c>
      <c r="H34" s="2" t="s">
        <v>55</v>
      </c>
      <c r="I34" s="8">
        <v>3876</v>
      </c>
      <c r="J34" s="7">
        <v>0.02</v>
      </c>
      <c r="K34" s="8">
        <f>IF(Tablo4[[#This Row],[Vergi Oranı]]="","",Tablo4[[#This Row],[Hizmet Tutarı]]*(1+Tablo4[[#This Row],[Vergi Oranı]]))</f>
        <v>3953.52</v>
      </c>
    </row>
    <row r="35" spans="2:11" x14ac:dyDescent="0.3">
      <c r="B35" s="6">
        <v>44229</v>
      </c>
      <c r="C35" s="2" t="s">
        <v>86</v>
      </c>
      <c r="D35" s="2" t="s">
        <v>238</v>
      </c>
      <c r="E35" s="2" t="s">
        <v>27</v>
      </c>
      <c r="F35" s="2" t="s">
        <v>59</v>
      </c>
      <c r="G35" s="2" t="s">
        <v>38</v>
      </c>
      <c r="H35" s="2" t="s">
        <v>54</v>
      </c>
      <c r="I35" s="8">
        <v>8579</v>
      </c>
      <c r="J35" s="7">
        <v>0.02</v>
      </c>
      <c r="K35" s="8">
        <f>IF(Tablo4[[#This Row],[Vergi Oranı]]="","",Tablo4[[#This Row],[Hizmet Tutarı]]*(1+Tablo4[[#This Row],[Vergi Oranı]]))</f>
        <v>8750.58</v>
      </c>
    </row>
    <row r="36" spans="2:11" x14ac:dyDescent="0.3">
      <c r="B36" s="6">
        <v>44329</v>
      </c>
      <c r="C36" s="2" t="s">
        <v>87</v>
      </c>
      <c r="D36" s="2" t="s">
        <v>238</v>
      </c>
      <c r="E36" s="2" t="s">
        <v>27</v>
      </c>
      <c r="F36" s="2" t="s">
        <v>59</v>
      </c>
      <c r="G36" s="2" t="s">
        <v>38</v>
      </c>
      <c r="H36" s="2" t="s">
        <v>55</v>
      </c>
      <c r="I36" s="8">
        <v>8412</v>
      </c>
      <c r="J36" s="7">
        <v>0.18</v>
      </c>
      <c r="K36" s="8">
        <f>IF(Tablo4[[#This Row],[Vergi Oranı]]="","",Tablo4[[#This Row],[Hizmet Tutarı]]*(1+Tablo4[[#This Row],[Vergi Oranı]]))</f>
        <v>9926.16</v>
      </c>
    </row>
    <row r="37" spans="2:11" x14ac:dyDescent="0.3">
      <c r="B37" s="6">
        <v>44361</v>
      </c>
      <c r="C37" s="2" t="s">
        <v>88</v>
      </c>
      <c r="D37" s="2" t="s">
        <v>238</v>
      </c>
      <c r="E37" s="2" t="s">
        <v>23</v>
      </c>
      <c r="F37" s="2" t="s">
        <v>59</v>
      </c>
      <c r="G37" s="2" t="s">
        <v>32</v>
      </c>
      <c r="H37" s="2" t="s">
        <v>54</v>
      </c>
      <c r="I37" s="8">
        <v>9519</v>
      </c>
      <c r="J37" s="7">
        <v>0.08</v>
      </c>
      <c r="K37" s="8">
        <f>IF(Tablo4[[#This Row],[Vergi Oranı]]="","",Tablo4[[#This Row],[Hizmet Tutarı]]*(1+Tablo4[[#This Row],[Vergi Oranı]]))</f>
        <v>10280.52</v>
      </c>
    </row>
    <row r="38" spans="2:11" x14ac:dyDescent="0.3">
      <c r="B38" s="6">
        <v>44235</v>
      </c>
      <c r="C38" s="2" t="s">
        <v>89</v>
      </c>
      <c r="D38" s="2" t="s">
        <v>238</v>
      </c>
      <c r="E38" s="2" t="s">
        <v>27</v>
      </c>
      <c r="F38" s="2" t="s">
        <v>59</v>
      </c>
      <c r="G38" s="2" t="s">
        <v>32</v>
      </c>
      <c r="H38" s="2" t="s">
        <v>54</v>
      </c>
      <c r="I38" s="8">
        <v>5379</v>
      </c>
      <c r="J38" s="7">
        <v>0.08</v>
      </c>
      <c r="K38" s="8">
        <f>IF(Tablo4[[#This Row],[Vergi Oranı]]="","",Tablo4[[#This Row],[Hizmet Tutarı]]*(1+Tablo4[[#This Row],[Vergi Oranı]]))</f>
        <v>5809.3200000000006</v>
      </c>
    </row>
    <row r="39" spans="2:11" x14ac:dyDescent="0.3">
      <c r="B39" s="6">
        <v>44355</v>
      </c>
      <c r="C39" s="2" t="s">
        <v>90</v>
      </c>
      <c r="D39" s="2" t="s">
        <v>237</v>
      </c>
      <c r="E39" s="2" t="s">
        <v>15</v>
      </c>
      <c r="F39" s="2" t="s">
        <v>57</v>
      </c>
      <c r="G39" s="2" t="s">
        <v>35</v>
      </c>
      <c r="H39" s="2" t="s">
        <v>55</v>
      </c>
      <c r="I39" s="8">
        <v>7037</v>
      </c>
      <c r="J39" s="7">
        <v>0.08</v>
      </c>
      <c r="K39" s="8">
        <f>IF(Tablo4[[#This Row],[Vergi Oranı]]="","",Tablo4[[#This Row],[Hizmet Tutarı]]*(1+Tablo4[[#This Row],[Vergi Oranı]]))</f>
        <v>7599.9600000000009</v>
      </c>
    </row>
    <row r="40" spans="2:11" x14ac:dyDescent="0.3">
      <c r="B40" s="6">
        <v>44205</v>
      </c>
      <c r="C40" s="2" t="s">
        <v>91</v>
      </c>
      <c r="D40" s="2" t="s">
        <v>238</v>
      </c>
      <c r="E40" s="2" t="s">
        <v>29</v>
      </c>
      <c r="F40" s="2" t="s">
        <v>59</v>
      </c>
      <c r="G40" s="2" t="s">
        <v>32</v>
      </c>
      <c r="H40" s="2" t="s">
        <v>55</v>
      </c>
      <c r="I40" s="8">
        <v>4177</v>
      </c>
      <c r="J40" s="7">
        <v>0.08</v>
      </c>
      <c r="K40" s="8">
        <f>IF(Tablo4[[#This Row],[Vergi Oranı]]="","",Tablo4[[#This Row],[Hizmet Tutarı]]*(1+Tablo4[[#This Row],[Vergi Oranı]]))</f>
        <v>4511.16</v>
      </c>
    </row>
    <row r="41" spans="2:11" x14ac:dyDescent="0.3">
      <c r="B41" s="6">
        <v>44305</v>
      </c>
      <c r="C41" s="2" t="s">
        <v>92</v>
      </c>
      <c r="D41" s="2" t="s">
        <v>237</v>
      </c>
      <c r="E41" s="2" t="s">
        <v>11</v>
      </c>
      <c r="F41" s="2" t="s">
        <v>57</v>
      </c>
      <c r="G41" s="2" t="s">
        <v>35</v>
      </c>
      <c r="H41" s="2" t="s">
        <v>54</v>
      </c>
      <c r="I41" s="8">
        <v>6773</v>
      </c>
      <c r="J41" s="7">
        <v>0.02</v>
      </c>
      <c r="K41" s="8">
        <f>IF(Tablo4[[#This Row],[Vergi Oranı]]="","",Tablo4[[#This Row],[Hizmet Tutarı]]*(1+Tablo4[[#This Row],[Vergi Oranı]]))</f>
        <v>6908.46</v>
      </c>
    </row>
    <row r="42" spans="2:11" x14ac:dyDescent="0.3">
      <c r="B42" s="6">
        <v>44269</v>
      </c>
      <c r="C42" s="2" t="s">
        <v>93</v>
      </c>
      <c r="D42" s="2" t="s">
        <v>237</v>
      </c>
      <c r="E42" s="2" t="s">
        <v>11</v>
      </c>
      <c r="F42" s="2" t="s">
        <v>57</v>
      </c>
      <c r="G42" s="2" t="s">
        <v>32</v>
      </c>
      <c r="H42" s="2" t="s">
        <v>55</v>
      </c>
      <c r="I42" s="8">
        <v>785</v>
      </c>
      <c r="J42" s="7">
        <v>0.02</v>
      </c>
      <c r="K42" s="8">
        <f>IF(Tablo4[[#This Row],[Vergi Oranı]]="","",Tablo4[[#This Row],[Hizmet Tutarı]]*(1+Tablo4[[#This Row],[Vergi Oranı]]))</f>
        <v>800.7</v>
      </c>
    </row>
    <row r="43" spans="2:11" x14ac:dyDescent="0.3">
      <c r="B43" s="6">
        <v>44303</v>
      </c>
      <c r="C43" s="2" t="s">
        <v>94</v>
      </c>
      <c r="D43" s="2" t="s">
        <v>237</v>
      </c>
      <c r="E43" s="2" t="s">
        <v>13</v>
      </c>
      <c r="F43" s="2" t="s">
        <v>57</v>
      </c>
      <c r="G43" s="2" t="s">
        <v>32</v>
      </c>
      <c r="H43" s="2" t="s">
        <v>54</v>
      </c>
      <c r="I43" s="8">
        <v>5886</v>
      </c>
      <c r="J43" s="7">
        <v>0.02</v>
      </c>
      <c r="K43" s="8">
        <f>IF(Tablo4[[#This Row],[Vergi Oranı]]="","",Tablo4[[#This Row],[Hizmet Tutarı]]*(1+Tablo4[[#This Row],[Vergi Oranı]]))</f>
        <v>6003.72</v>
      </c>
    </row>
    <row r="44" spans="2:11" x14ac:dyDescent="0.3">
      <c r="B44" s="6">
        <v>44246</v>
      </c>
      <c r="C44" s="2" t="s">
        <v>95</v>
      </c>
      <c r="D44" s="2" t="s">
        <v>237</v>
      </c>
      <c r="E44" s="2" t="s">
        <v>17</v>
      </c>
      <c r="F44" s="2" t="s">
        <v>57</v>
      </c>
      <c r="G44" s="2" t="s">
        <v>38</v>
      </c>
      <c r="H44" s="2" t="s">
        <v>54</v>
      </c>
      <c r="I44" s="8">
        <v>2497</v>
      </c>
      <c r="J44" s="7">
        <v>0.02</v>
      </c>
      <c r="K44" s="8">
        <f>IF(Tablo4[[#This Row],[Vergi Oranı]]="","",Tablo4[[#This Row],[Hizmet Tutarı]]*(1+Tablo4[[#This Row],[Vergi Oranı]]))</f>
        <v>2546.94</v>
      </c>
    </row>
    <row r="45" spans="2:11" x14ac:dyDescent="0.3">
      <c r="B45" s="6">
        <v>44283</v>
      </c>
      <c r="C45" s="2" t="s">
        <v>96</v>
      </c>
      <c r="D45" s="2" t="s">
        <v>237</v>
      </c>
      <c r="E45" s="2" t="s">
        <v>9</v>
      </c>
      <c r="F45" s="2" t="s">
        <v>57</v>
      </c>
      <c r="G45" s="2" t="s">
        <v>32</v>
      </c>
      <c r="H45" s="2" t="s">
        <v>55</v>
      </c>
      <c r="I45" s="8">
        <v>4617</v>
      </c>
      <c r="J45" s="7">
        <v>0.02</v>
      </c>
      <c r="K45" s="8">
        <f>IF(Tablo4[[#This Row],[Vergi Oranı]]="","",Tablo4[[#This Row],[Hizmet Tutarı]]*(1+Tablo4[[#This Row],[Vergi Oranı]]))</f>
        <v>4709.34</v>
      </c>
    </row>
    <row r="46" spans="2:11" x14ac:dyDescent="0.3">
      <c r="B46" s="6">
        <v>44267</v>
      </c>
      <c r="C46" s="2" t="s">
        <v>97</v>
      </c>
      <c r="D46" s="2" t="s">
        <v>238</v>
      </c>
      <c r="E46" s="2" t="s">
        <v>23</v>
      </c>
      <c r="F46" s="2" t="s">
        <v>59</v>
      </c>
      <c r="G46" s="2" t="s">
        <v>38</v>
      </c>
      <c r="H46" s="2" t="s">
        <v>55</v>
      </c>
      <c r="I46" s="8">
        <v>6348</v>
      </c>
      <c r="J46" s="7">
        <v>0.18</v>
      </c>
      <c r="K46" s="8">
        <f>IF(Tablo4[[#This Row],[Vergi Oranı]]="","",Tablo4[[#This Row],[Hizmet Tutarı]]*(1+Tablo4[[#This Row],[Vergi Oranı]]))</f>
        <v>7490.6399999999994</v>
      </c>
    </row>
    <row r="47" spans="2:11" x14ac:dyDescent="0.3">
      <c r="B47" s="6">
        <v>44282</v>
      </c>
      <c r="C47" s="2" t="s">
        <v>98</v>
      </c>
      <c r="D47" s="2" t="s">
        <v>237</v>
      </c>
      <c r="E47" s="2" t="s">
        <v>17</v>
      </c>
      <c r="F47" s="2" t="s">
        <v>57</v>
      </c>
      <c r="G47" s="2" t="s">
        <v>35</v>
      </c>
      <c r="H47" s="2" t="s">
        <v>55</v>
      </c>
      <c r="I47" s="8">
        <v>657</v>
      </c>
      <c r="J47" s="7">
        <v>0.02</v>
      </c>
      <c r="K47" s="8">
        <f>IF(Tablo4[[#This Row],[Vergi Oranı]]="","",Tablo4[[#This Row],[Hizmet Tutarı]]*(1+Tablo4[[#This Row],[Vergi Oranı]]))</f>
        <v>670.14</v>
      </c>
    </row>
    <row r="48" spans="2:11" x14ac:dyDescent="0.3">
      <c r="B48" s="6">
        <v>44208</v>
      </c>
      <c r="C48" s="2" t="s">
        <v>99</v>
      </c>
      <c r="D48" s="2" t="s">
        <v>238</v>
      </c>
      <c r="E48" s="2" t="s">
        <v>23</v>
      </c>
      <c r="F48" s="2" t="s">
        <v>59</v>
      </c>
      <c r="G48" s="2" t="s">
        <v>35</v>
      </c>
      <c r="H48" s="2" t="s">
        <v>55</v>
      </c>
      <c r="I48" s="8">
        <v>8513</v>
      </c>
      <c r="J48" s="7">
        <v>0.02</v>
      </c>
      <c r="K48" s="8">
        <f>IF(Tablo4[[#This Row],[Vergi Oranı]]="","",Tablo4[[#This Row],[Hizmet Tutarı]]*(1+Tablo4[[#This Row],[Vergi Oranı]]))</f>
        <v>8683.26</v>
      </c>
    </row>
    <row r="49" spans="2:11" x14ac:dyDescent="0.3">
      <c r="B49" s="6">
        <v>44367</v>
      </c>
      <c r="C49" s="2" t="s">
        <v>100</v>
      </c>
      <c r="D49" s="2" t="s">
        <v>237</v>
      </c>
      <c r="E49" s="2" t="s">
        <v>11</v>
      </c>
      <c r="F49" s="2" t="s">
        <v>57</v>
      </c>
      <c r="G49" s="2" t="s">
        <v>38</v>
      </c>
      <c r="H49" s="2" t="s">
        <v>54</v>
      </c>
      <c r="I49" s="8">
        <v>4311</v>
      </c>
      <c r="J49" s="7">
        <v>0.02</v>
      </c>
      <c r="K49" s="8">
        <f>IF(Tablo4[[#This Row],[Vergi Oranı]]="","",Tablo4[[#This Row],[Hizmet Tutarı]]*(1+Tablo4[[#This Row],[Vergi Oranı]]))</f>
        <v>4397.22</v>
      </c>
    </row>
    <row r="50" spans="2:11" x14ac:dyDescent="0.3">
      <c r="B50" s="6">
        <v>44364</v>
      </c>
      <c r="C50" s="2" t="s">
        <v>101</v>
      </c>
      <c r="D50" s="2" t="s">
        <v>238</v>
      </c>
      <c r="E50" s="2" t="s">
        <v>27</v>
      </c>
      <c r="F50" s="2" t="s">
        <v>59</v>
      </c>
      <c r="G50" s="2" t="s">
        <v>38</v>
      </c>
      <c r="H50" s="2" t="s">
        <v>54</v>
      </c>
      <c r="I50" s="8">
        <v>7497</v>
      </c>
      <c r="J50" s="7">
        <v>0.02</v>
      </c>
      <c r="K50" s="8">
        <f>IF(Tablo4[[#This Row],[Vergi Oranı]]="","",Tablo4[[#This Row],[Hizmet Tutarı]]*(1+Tablo4[[#This Row],[Vergi Oranı]]))</f>
        <v>7646.9400000000005</v>
      </c>
    </row>
    <row r="51" spans="2:11" x14ac:dyDescent="0.3">
      <c r="B51" s="6">
        <v>44224</v>
      </c>
      <c r="C51" s="2" t="s">
        <v>102</v>
      </c>
      <c r="D51" s="2" t="s">
        <v>237</v>
      </c>
      <c r="E51" s="2" t="s">
        <v>17</v>
      </c>
      <c r="F51" s="2" t="s">
        <v>57</v>
      </c>
      <c r="G51" s="2" t="s">
        <v>38</v>
      </c>
      <c r="H51" s="2" t="s">
        <v>55</v>
      </c>
      <c r="I51" s="8">
        <v>1899</v>
      </c>
      <c r="J51" s="7">
        <v>0.08</v>
      </c>
      <c r="K51" s="8">
        <f>IF(Tablo4[[#This Row],[Vergi Oranı]]="","",Tablo4[[#This Row],[Hizmet Tutarı]]*(1+Tablo4[[#This Row],[Vergi Oranı]]))</f>
        <v>2050.92</v>
      </c>
    </row>
    <row r="52" spans="2:11" x14ac:dyDescent="0.3">
      <c r="B52" s="6">
        <v>44368</v>
      </c>
      <c r="C52" s="2" t="s">
        <v>103</v>
      </c>
      <c r="D52" s="2" t="s">
        <v>237</v>
      </c>
      <c r="E52" s="2" t="s">
        <v>21</v>
      </c>
      <c r="F52" s="2" t="s">
        <v>57</v>
      </c>
      <c r="G52" s="2" t="s">
        <v>38</v>
      </c>
      <c r="H52" s="2" t="s">
        <v>55</v>
      </c>
      <c r="I52" s="8">
        <v>6542</v>
      </c>
      <c r="J52" s="7">
        <v>0.18</v>
      </c>
      <c r="K52" s="8">
        <f>IF(Tablo4[[#This Row],[Vergi Oranı]]="","",Tablo4[[#This Row],[Hizmet Tutarı]]*(1+Tablo4[[#This Row],[Vergi Oranı]]))</f>
        <v>7719.5599999999995</v>
      </c>
    </row>
    <row r="53" spans="2:11" x14ac:dyDescent="0.3">
      <c r="B53" s="6">
        <v>44255</v>
      </c>
      <c r="C53" s="2" t="s">
        <v>104</v>
      </c>
      <c r="D53" s="2" t="s">
        <v>238</v>
      </c>
      <c r="E53" s="2" t="s">
        <v>23</v>
      </c>
      <c r="F53" s="2" t="s">
        <v>59</v>
      </c>
      <c r="G53" s="2" t="s">
        <v>32</v>
      </c>
      <c r="H53" s="2" t="s">
        <v>54</v>
      </c>
      <c r="I53" s="8">
        <v>9913</v>
      </c>
      <c r="J53" s="7">
        <v>0.18</v>
      </c>
      <c r="K53" s="8">
        <f>IF(Tablo4[[#This Row],[Vergi Oranı]]="","",Tablo4[[#This Row],[Hizmet Tutarı]]*(1+Tablo4[[#This Row],[Vergi Oranı]]))</f>
        <v>11697.34</v>
      </c>
    </row>
    <row r="54" spans="2:11" x14ac:dyDescent="0.3">
      <c r="B54" s="6">
        <v>44327</v>
      </c>
      <c r="C54" s="2" t="s">
        <v>105</v>
      </c>
      <c r="D54" s="2" t="s">
        <v>238</v>
      </c>
      <c r="E54" s="2" t="s">
        <v>23</v>
      </c>
      <c r="F54" s="2" t="s">
        <v>59</v>
      </c>
      <c r="G54" s="2" t="s">
        <v>38</v>
      </c>
      <c r="H54" s="2" t="s">
        <v>54</v>
      </c>
      <c r="I54" s="8">
        <v>772</v>
      </c>
      <c r="J54" s="7">
        <v>0.18</v>
      </c>
      <c r="K54" s="8">
        <f>IF(Tablo4[[#This Row],[Vergi Oranı]]="","",Tablo4[[#This Row],[Hizmet Tutarı]]*(1+Tablo4[[#This Row],[Vergi Oranı]]))</f>
        <v>910.95999999999992</v>
      </c>
    </row>
    <row r="55" spans="2:11" x14ac:dyDescent="0.3">
      <c r="B55" s="6">
        <v>44328</v>
      </c>
      <c r="C55" s="2" t="s">
        <v>106</v>
      </c>
      <c r="D55" s="2" t="s">
        <v>238</v>
      </c>
      <c r="E55" s="2" t="s">
        <v>25</v>
      </c>
      <c r="F55" s="2" t="s">
        <v>59</v>
      </c>
      <c r="G55" s="2" t="s">
        <v>35</v>
      </c>
      <c r="H55" s="2" t="s">
        <v>54</v>
      </c>
      <c r="I55" s="8">
        <v>2424</v>
      </c>
      <c r="J55" s="7">
        <v>0.18</v>
      </c>
      <c r="K55" s="8">
        <f>IF(Tablo4[[#This Row],[Vergi Oranı]]="","",Tablo4[[#This Row],[Hizmet Tutarı]]*(1+Tablo4[[#This Row],[Vergi Oranı]]))</f>
        <v>2860.3199999999997</v>
      </c>
    </row>
    <row r="56" spans="2:11" x14ac:dyDescent="0.3">
      <c r="B56" s="6">
        <v>44292</v>
      </c>
      <c r="C56" s="2" t="s">
        <v>107</v>
      </c>
      <c r="D56" s="2" t="s">
        <v>238</v>
      </c>
      <c r="E56" s="2" t="s">
        <v>25</v>
      </c>
      <c r="F56" s="2" t="s">
        <v>59</v>
      </c>
      <c r="G56" s="2" t="s">
        <v>32</v>
      </c>
      <c r="H56" s="2" t="s">
        <v>55</v>
      </c>
      <c r="I56" s="8">
        <v>3628</v>
      </c>
      <c r="J56" s="7">
        <v>0.02</v>
      </c>
      <c r="K56" s="8">
        <f>IF(Tablo4[[#This Row],[Vergi Oranı]]="","",Tablo4[[#This Row],[Hizmet Tutarı]]*(1+Tablo4[[#This Row],[Vergi Oranı]]))</f>
        <v>3700.56</v>
      </c>
    </row>
    <row r="57" spans="2:11" x14ac:dyDescent="0.3">
      <c r="B57" s="6">
        <v>44282</v>
      </c>
      <c r="C57" s="2" t="s">
        <v>108</v>
      </c>
      <c r="D57" s="2" t="s">
        <v>238</v>
      </c>
      <c r="E57" s="2" t="s">
        <v>25</v>
      </c>
      <c r="F57" s="2" t="s">
        <v>59</v>
      </c>
      <c r="G57" s="2" t="s">
        <v>35</v>
      </c>
      <c r="H57" s="2" t="s">
        <v>55</v>
      </c>
      <c r="I57" s="8">
        <v>4557</v>
      </c>
      <c r="J57" s="7">
        <v>0.08</v>
      </c>
      <c r="K57" s="8">
        <f>IF(Tablo4[[#This Row],[Vergi Oranı]]="","",Tablo4[[#This Row],[Hizmet Tutarı]]*(1+Tablo4[[#This Row],[Vergi Oranı]]))</f>
        <v>4921.5600000000004</v>
      </c>
    </row>
    <row r="58" spans="2:11" x14ac:dyDescent="0.3">
      <c r="B58" s="6">
        <v>44369</v>
      </c>
      <c r="C58" s="2" t="s">
        <v>109</v>
      </c>
      <c r="D58" s="2" t="s">
        <v>238</v>
      </c>
      <c r="E58" s="2" t="s">
        <v>25</v>
      </c>
      <c r="F58" s="2" t="s">
        <v>59</v>
      </c>
      <c r="G58" s="2" t="s">
        <v>38</v>
      </c>
      <c r="H58" s="2" t="s">
        <v>54</v>
      </c>
      <c r="I58" s="8">
        <v>7853</v>
      </c>
      <c r="J58" s="7">
        <v>0.08</v>
      </c>
      <c r="K58" s="8">
        <f>IF(Tablo4[[#This Row],[Vergi Oranı]]="","",Tablo4[[#This Row],[Hizmet Tutarı]]*(1+Tablo4[[#This Row],[Vergi Oranı]]))</f>
        <v>8481.24</v>
      </c>
    </row>
    <row r="59" spans="2:11" x14ac:dyDescent="0.3">
      <c r="B59" s="6">
        <v>44262</v>
      </c>
      <c r="C59" s="2" t="s">
        <v>110</v>
      </c>
      <c r="D59" s="2" t="s">
        <v>237</v>
      </c>
      <c r="E59" s="2" t="s">
        <v>11</v>
      </c>
      <c r="F59" s="2" t="s">
        <v>57</v>
      </c>
      <c r="G59" s="2" t="s">
        <v>32</v>
      </c>
      <c r="H59" s="2" t="s">
        <v>54</v>
      </c>
      <c r="I59" s="8">
        <v>1927</v>
      </c>
      <c r="J59" s="7">
        <v>0.08</v>
      </c>
      <c r="K59" s="8">
        <f>IF(Tablo4[[#This Row],[Vergi Oranı]]="","",Tablo4[[#This Row],[Hizmet Tutarı]]*(1+Tablo4[[#This Row],[Vergi Oranı]]))</f>
        <v>2081.1600000000003</v>
      </c>
    </row>
    <row r="60" spans="2:11" x14ac:dyDescent="0.3">
      <c r="B60" s="6">
        <v>44268</v>
      </c>
      <c r="C60" s="2" t="s">
        <v>111</v>
      </c>
      <c r="D60" s="2" t="s">
        <v>237</v>
      </c>
      <c r="E60" s="2" t="s">
        <v>19</v>
      </c>
      <c r="F60" s="2" t="s">
        <v>57</v>
      </c>
      <c r="G60" s="2" t="s">
        <v>38</v>
      </c>
      <c r="H60" s="2" t="s">
        <v>55</v>
      </c>
      <c r="I60" s="8">
        <v>7527</v>
      </c>
      <c r="J60" s="7">
        <v>0.08</v>
      </c>
      <c r="K60" s="8">
        <f>IF(Tablo4[[#This Row],[Vergi Oranı]]="","",Tablo4[[#This Row],[Hizmet Tutarı]]*(1+Tablo4[[#This Row],[Vergi Oranı]]))</f>
        <v>8129.1600000000008</v>
      </c>
    </row>
    <row r="61" spans="2:11" x14ac:dyDescent="0.3">
      <c r="B61" s="6">
        <v>44334</v>
      </c>
      <c r="C61" s="2" t="s">
        <v>112</v>
      </c>
      <c r="D61" s="2" t="s">
        <v>237</v>
      </c>
      <c r="E61" s="2" t="s">
        <v>17</v>
      </c>
      <c r="F61" s="2" t="s">
        <v>57</v>
      </c>
      <c r="G61" s="2" t="s">
        <v>35</v>
      </c>
      <c r="H61" s="2" t="s">
        <v>54</v>
      </c>
      <c r="I61" s="8">
        <v>9638</v>
      </c>
      <c r="J61" s="7">
        <v>0.18</v>
      </c>
      <c r="K61" s="8">
        <f>IF(Tablo4[[#This Row],[Vergi Oranı]]="","",Tablo4[[#This Row],[Hizmet Tutarı]]*(1+Tablo4[[#This Row],[Vergi Oranı]]))</f>
        <v>11372.84</v>
      </c>
    </row>
    <row r="62" spans="2:11" x14ac:dyDescent="0.3">
      <c r="B62" s="6">
        <v>44234</v>
      </c>
      <c r="C62" s="2" t="s">
        <v>113</v>
      </c>
      <c r="D62" s="2" t="s">
        <v>238</v>
      </c>
      <c r="E62" s="2" t="s">
        <v>23</v>
      </c>
      <c r="F62" s="2" t="s">
        <v>59</v>
      </c>
      <c r="G62" s="2" t="s">
        <v>35</v>
      </c>
      <c r="H62" s="2" t="s">
        <v>55</v>
      </c>
      <c r="I62" s="8">
        <v>481</v>
      </c>
      <c r="J62" s="7">
        <v>0.08</v>
      </c>
      <c r="K62" s="8">
        <f>IF(Tablo4[[#This Row],[Vergi Oranı]]="","",Tablo4[[#This Row],[Hizmet Tutarı]]*(1+Tablo4[[#This Row],[Vergi Oranı]]))</f>
        <v>519.48</v>
      </c>
    </row>
    <row r="63" spans="2:11" x14ac:dyDescent="0.3">
      <c r="B63" s="6">
        <v>44256</v>
      </c>
      <c r="C63" s="2" t="s">
        <v>114</v>
      </c>
      <c r="D63" s="2" t="s">
        <v>238</v>
      </c>
      <c r="E63" s="2" t="s">
        <v>25</v>
      </c>
      <c r="F63" s="2" t="s">
        <v>59</v>
      </c>
      <c r="G63" s="2" t="s">
        <v>35</v>
      </c>
      <c r="H63" s="2" t="s">
        <v>54</v>
      </c>
      <c r="I63" s="8">
        <v>4021</v>
      </c>
      <c r="J63" s="7">
        <v>0.18</v>
      </c>
      <c r="K63" s="8">
        <f>IF(Tablo4[[#This Row],[Vergi Oranı]]="","",Tablo4[[#This Row],[Hizmet Tutarı]]*(1+Tablo4[[#This Row],[Vergi Oranı]]))</f>
        <v>4744.78</v>
      </c>
    </row>
    <row r="64" spans="2:11" x14ac:dyDescent="0.3">
      <c r="B64" s="6">
        <v>44341</v>
      </c>
      <c r="C64" s="2" t="s">
        <v>115</v>
      </c>
      <c r="D64" s="2" t="s">
        <v>237</v>
      </c>
      <c r="E64" s="2" t="s">
        <v>9</v>
      </c>
      <c r="F64" s="2" t="s">
        <v>57</v>
      </c>
      <c r="G64" s="2" t="s">
        <v>35</v>
      </c>
      <c r="H64" s="2" t="s">
        <v>54</v>
      </c>
      <c r="I64" s="8">
        <v>8188</v>
      </c>
      <c r="J64" s="7">
        <v>0.02</v>
      </c>
      <c r="K64" s="8">
        <f>IF(Tablo4[[#This Row],[Vergi Oranı]]="","",Tablo4[[#This Row],[Hizmet Tutarı]]*(1+Tablo4[[#This Row],[Vergi Oranı]]))</f>
        <v>8351.76</v>
      </c>
    </row>
    <row r="65" spans="2:11" x14ac:dyDescent="0.3">
      <c r="B65" s="6">
        <v>44235</v>
      </c>
      <c r="C65" s="2" t="s">
        <v>116</v>
      </c>
      <c r="D65" s="2" t="s">
        <v>238</v>
      </c>
      <c r="E65" s="2" t="s">
        <v>23</v>
      </c>
      <c r="F65" s="2" t="s">
        <v>59</v>
      </c>
      <c r="G65" s="2" t="s">
        <v>32</v>
      </c>
      <c r="H65" s="2" t="s">
        <v>55</v>
      </c>
      <c r="I65" s="8">
        <v>4616</v>
      </c>
      <c r="J65" s="7">
        <v>0.02</v>
      </c>
      <c r="K65" s="8">
        <f>IF(Tablo4[[#This Row],[Vergi Oranı]]="","",Tablo4[[#This Row],[Hizmet Tutarı]]*(1+Tablo4[[#This Row],[Vergi Oranı]]))</f>
        <v>4708.32</v>
      </c>
    </row>
    <row r="66" spans="2:11" x14ac:dyDescent="0.3">
      <c r="B66" s="6">
        <v>44210</v>
      </c>
      <c r="C66" s="2" t="s">
        <v>117</v>
      </c>
      <c r="D66" s="2" t="s">
        <v>237</v>
      </c>
      <c r="E66" s="2" t="s">
        <v>17</v>
      </c>
      <c r="F66" s="2" t="s">
        <v>57</v>
      </c>
      <c r="G66" s="2" t="s">
        <v>35</v>
      </c>
      <c r="H66" s="2" t="s">
        <v>54</v>
      </c>
      <c r="I66" s="8">
        <v>3196</v>
      </c>
      <c r="J66" s="7">
        <v>0.08</v>
      </c>
      <c r="K66" s="8">
        <f>IF(Tablo4[[#This Row],[Vergi Oranı]]="","",Tablo4[[#This Row],[Hizmet Tutarı]]*(1+Tablo4[[#This Row],[Vergi Oranı]]))</f>
        <v>3451.6800000000003</v>
      </c>
    </row>
    <row r="67" spans="2:11" x14ac:dyDescent="0.3">
      <c r="B67" s="6">
        <v>44372</v>
      </c>
      <c r="C67" s="2" t="s">
        <v>118</v>
      </c>
      <c r="D67" s="2" t="s">
        <v>238</v>
      </c>
      <c r="E67" s="2" t="s">
        <v>25</v>
      </c>
      <c r="F67" s="2" t="s">
        <v>59</v>
      </c>
      <c r="G67" s="2" t="s">
        <v>32</v>
      </c>
      <c r="H67" s="2" t="s">
        <v>55</v>
      </c>
      <c r="I67" s="8">
        <v>7966</v>
      </c>
      <c r="J67" s="7">
        <v>0.08</v>
      </c>
      <c r="K67" s="8">
        <f>IF(Tablo4[[#This Row],[Vergi Oranı]]="","",Tablo4[[#This Row],[Hizmet Tutarı]]*(1+Tablo4[[#This Row],[Vergi Oranı]]))</f>
        <v>8603.2800000000007</v>
      </c>
    </row>
    <row r="68" spans="2:11" x14ac:dyDescent="0.3">
      <c r="B68" s="6">
        <v>44296</v>
      </c>
      <c r="C68" s="2" t="s">
        <v>119</v>
      </c>
      <c r="D68" s="2" t="s">
        <v>237</v>
      </c>
      <c r="E68" s="2" t="s">
        <v>15</v>
      </c>
      <c r="F68" s="2" t="s">
        <v>57</v>
      </c>
      <c r="G68" s="2" t="s">
        <v>35</v>
      </c>
      <c r="H68" s="2" t="s">
        <v>55</v>
      </c>
      <c r="I68" s="8">
        <v>5792</v>
      </c>
      <c r="J68" s="7">
        <v>0.02</v>
      </c>
      <c r="K68" s="8">
        <f>IF(Tablo4[[#This Row],[Vergi Oranı]]="","",Tablo4[[#This Row],[Hizmet Tutarı]]*(1+Tablo4[[#This Row],[Vergi Oranı]]))</f>
        <v>5907.84</v>
      </c>
    </row>
    <row r="69" spans="2:11" x14ac:dyDescent="0.3">
      <c r="B69" s="6">
        <v>44358</v>
      </c>
      <c r="C69" s="2" t="s">
        <v>120</v>
      </c>
      <c r="D69" s="2" t="s">
        <v>238</v>
      </c>
      <c r="E69" s="2" t="s">
        <v>25</v>
      </c>
      <c r="F69" s="2" t="s">
        <v>59</v>
      </c>
      <c r="G69" s="2" t="s">
        <v>35</v>
      </c>
      <c r="H69" s="2" t="s">
        <v>54</v>
      </c>
      <c r="I69" s="8">
        <v>6948</v>
      </c>
      <c r="J69" s="7">
        <v>0.02</v>
      </c>
      <c r="K69" s="8">
        <f>IF(Tablo4[[#This Row],[Vergi Oranı]]="","",Tablo4[[#This Row],[Hizmet Tutarı]]*(1+Tablo4[[#This Row],[Vergi Oranı]]))</f>
        <v>7086.96</v>
      </c>
    </row>
    <row r="70" spans="2:11" x14ac:dyDescent="0.3">
      <c r="B70" s="6">
        <v>44230</v>
      </c>
      <c r="C70" s="2" t="s">
        <v>121</v>
      </c>
      <c r="D70" s="2" t="s">
        <v>238</v>
      </c>
      <c r="E70" s="2" t="s">
        <v>25</v>
      </c>
      <c r="F70" s="2" t="s">
        <v>59</v>
      </c>
      <c r="G70" s="2" t="s">
        <v>32</v>
      </c>
      <c r="H70" s="2" t="s">
        <v>55</v>
      </c>
      <c r="I70" s="8">
        <v>7971</v>
      </c>
      <c r="J70" s="7">
        <v>0.18</v>
      </c>
      <c r="K70" s="8">
        <f>IF(Tablo4[[#This Row],[Vergi Oranı]]="","",Tablo4[[#This Row],[Hizmet Tutarı]]*(1+Tablo4[[#This Row],[Vergi Oranı]]))</f>
        <v>9405.7799999999988</v>
      </c>
    </row>
    <row r="71" spans="2:11" x14ac:dyDescent="0.3">
      <c r="B71" s="6">
        <v>44308</v>
      </c>
      <c r="C71" s="2" t="s">
        <v>122</v>
      </c>
      <c r="D71" s="2" t="s">
        <v>238</v>
      </c>
      <c r="E71" s="2" t="s">
        <v>23</v>
      </c>
      <c r="F71" s="2" t="s">
        <v>59</v>
      </c>
      <c r="G71" s="2" t="s">
        <v>38</v>
      </c>
      <c r="H71" s="2" t="s">
        <v>55</v>
      </c>
      <c r="I71" s="8">
        <v>2002</v>
      </c>
      <c r="J71" s="7">
        <v>0.18</v>
      </c>
      <c r="K71" s="8">
        <f>IF(Tablo4[[#This Row],[Vergi Oranı]]="","",Tablo4[[#This Row],[Hizmet Tutarı]]*(1+Tablo4[[#This Row],[Vergi Oranı]]))</f>
        <v>2362.3599999999997</v>
      </c>
    </row>
    <row r="72" spans="2:11" x14ac:dyDescent="0.3">
      <c r="B72" s="6">
        <v>44371</v>
      </c>
      <c r="C72" s="2" t="s">
        <v>123</v>
      </c>
      <c r="D72" s="2" t="s">
        <v>238</v>
      </c>
      <c r="E72" s="2" t="s">
        <v>25</v>
      </c>
      <c r="F72" s="2" t="s">
        <v>59</v>
      </c>
      <c r="G72" s="2" t="s">
        <v>35</v>
      </c>
      <c r="H72" s="2" t="s">
        <v>55</v>
      </c>
      <c r="I72" s="8">
        <v>3411</v>
      </c>
      <c r="J72" s="7">
        <v>0.18</v>
      </c>
      <c r="K72" s="8">
        <f>IF(Tablo4[[#This Row],[Vergi Oranı]]="","",Tablo4[[#This Row],[Hizmet Tutarı]]*(1+Tablo4[[#This Row],[Vergi Oranı]]))</f>
        <v>4024.9799999999996</v>
      </c>
    </row>
    <row r="73" spans="2:11" x14ac:dyDescent="0.3">
      <c r="B73" s="6">
        <v>44329</v>
      </c>
      <c r="C73" s="2" t="s">
        <v>124</v>
      </c>
      <c r="D73" s="2" t="s">
        <v>237</v>
      </c>
      <c r="E73" s="2" t="s">
        <v>11</v>
      </c>
      <c r="F73" s="2" t="s">
        <v>57</v>
      </c>
      <c r="G73" s="2" t="s">
        <v>32</v>
      </c>
      <c r="H73" s="2" t="s">
        <v>55</v>
      </c>
      <c r="I73" s="8">
        <v>4418</v>
      </c>
      <c r="J73" s="7">
        <v>0.18</v>
      </c>
      <c r="K73" s="8">
        <f>IF(Tablo4[[#This Row],[Vergi Oranı]]="","",Tablo4[[#This Row],[Hizmet Tutarı]]*(1+Tablo4[[#This Row],[Vergi Oranı]]))</f>
        <v>5213.24</v>
      </c>
    </row>
    <row r="74" spans="2:11" x14ac:dyDescent="0.3">
      <c r="B74" s="6">
        <v>44207</v>
      </c>
      <c r="C74" s="2" t="s">
        <v>125</v>
      </c>
      <c r="D74" s="2" t="s">
        <v>238</v>
      </c>
      <c r="E74" s="2" t="s">
        <v>29</v>
      </c>
      <c r="F74" s="2" t="s">
        <v>59</v>
      </c>
      <c r="G74" s="2" t="s">
        <v>32</v>
      </c>
      <c r="H74" s="2" t="s">
        <v>55</v>
      </c>
      <c r="I74" s="8">
        <v>8258</v>
      </c>
      <c r="J74" s="7">
        <v>0.08</v>
      </c>
      <c r="K74" s="8">
        <f>IF(Tablo4[[#This Row],[Vergi Oranı]]="","",Tablo4[[#This Row],[Hizmet Tutarı]]*(1+Tablo4[[#This Row],[Vergi Oranı]]))</f>
        <v>8918.6400000000012</v>
      </c>
    </row>
    <row r="75" spans="2:11" x14ac:dyDescent="0.3">
      <c r="B75" s="6">
        <v>44288</v>
      </c>
      <c r="C75" s="2" t="s">
        <v>126</v>
      </c>
      <c r="D75" s="2" t="s">
        <v>238</v>
      </c>
      <c r="E75" s="2" t="s">
        <v>23</v>
      </c>
      <c r="F75" s="2" t="s">
        <v>59</v>
      </c>
      <c r="G75" s="2" t="s">
        <v>38</v>
      </c>
      <c r="H75" s="2" t="s">
        <v>54</v>
      </c>
      <c r="I75" s="8">
        <v>9063</v>
      </c>
      <c r="J75" s="7">
        <v>0.18</v>
      </c>
      <c r="K75" s="8">
        <f>IF(Tablo4[[#This Row],[Vergi Oranı]]="","",Tablo4[[#This Row],[Hizmet Tutarı]]*(1+Tablo4[[#This Row],[Vergi Oranı]]))</f>
        <v>10694.34</v>
      </c>
    </row>
    <row r="76" spans="2:11" x14ac:dyDescent="0.3">
      <c r="B76" s="6">
        <v>44296</v>
      </c>
      <c r="C76" s="2" t="s">
        <v>127</v>
      </c>
      <c r="D76" s="2" t="s">
        <v>237</v>
      </c>
      <c r="E76" s="2" t="s">
        <v>21</v>
      </c>
      <c r="F76" s="2" t="s">
        <v>57</v>
      </c>
      <c r="G76" s="2" t="s">
        <v>35</v>
      </c>
      <c r="H76" s="2" t="s">
        <v>55</v>
      </c>
      <c r="I76" s="8">
        <v>9283</v>
      </c>
      <c r="J76" s="7">
        <v>0.08</v>
      </c>
      <c r="K76" s="8">
        <f>IF(Tablo4[[#This Row],[Vergi Oranı]]="","",Tablo4[[#This Row],[Hizmet Tutarı]]*(1+Tablo4[[#This Row],[Vergi Oranı]]))</f>
        <v>10025.640000000001</v>
      </c>
    </row>
    <row r="77" spans="2:11" x14ac:dyDescent="0.3">
      <c r="B77" s="6">
        <v>44278</v>
      </c>
      <c r="C77" s="2" t="s">
        <v>128</v>
      </c>
      <c r="D77" s="2" t="s">
        <v>238</v>
      </c>
      <c r="E77" s="2" t="s">
        <v>29</v>
      </c>
      <c r="F77" s="2" t="s">
        <v>59</v>
      </c>
      <c r="G77" s="2" t="s">
        <v>35</v>
      </c>
      <c r="H77" s="2" t="s">
        <v>55</v>
      </c>
      <c r="I77" s="8">
        <v>8061</v>
      </c>
      <c r="J77" s="7">
        <v>0.08</v>
      </c>
      <c r="K77" s="8">
        <f>IF(Tablo4[[#This Row],[Vergi Oranı]]="","",Tablo4[[#This Row],[Hizmet Tutarı]]*(1+Tablo4[[#This Row],[Vergi Oranı]]))</f>
        <v>8705.880000000001</v>
      </c>
    </row>
    <row r="78" spans="2:11" x14ac:dyDescent="0.3">
      <c r="B78" s="6">
        <v>44270</v>
      </c>
      <c r="C78" s="2" t="s">
        <v>129</v>
      </c>
      <c r="D78" s="2" t="s">
        <v>238</v>
      </c>
      <c r="E78" s="2" t="s">
        <v>25</v>
      </c>
      <c r="F78" s="2" t="s">
        <v>59</v>
      </c>
      <c r="G78" s="2" t="s">
        <v>35</v>
      </c>
      <c r="H78" s="2" t="s">
        <v>55</v>
      </c>
      <c r="I78" s="8">
        <v>4723</v>
      </c>
      <c r="J78" s="7">
        <v>0.02</v>
      </c>
      <c r="K78" s="8">
        <f>IF(Tablo4[[#This Row],[Vergi Oranı]]="","",Tablo4[[#This Row],[Hizmet Tutarı]]*(1+Tablo4[[#This Row],[Vergi Oranı]]))</f>
        <v>4817.46</v>
      </c>
    </row>
    <row r="79" spans="2:11" x14ac:dyDescent="0.3">
      <c r="B79" s="6">
        <v>44245</v>
      </c>
      <c r="C79" s="2" t="s">
        <v>130</v>
      </c>
      <c r="D79" s="2" t="s">
        <v>238</v>
      </c>
      <c r="E79" s="2" t="s">
        <v>25</v>
      </c>
      <c r="F79" s="2" t="s">
        <v>59</v>
      </c>
      <c r="G79" s="2" t="s">
        <v>35</v>
      </c>
      <c r="H79" s="2" t="s">
        <v>55</v>
      </c>
      <c r="I79" s="8">
        <v>9435</v>
      </c>
      <c r="J79" s="7">
        <v>0.08</v>
      </c>
      <c r="K79" s="8">
        <f>IF(Tablo4[[#This Row],[Vergi Oranı]]="","",Tablo4[[#This Row],[Hizmet Tutarı]]*(1+Tablo4[[#This Row],[Vergi Oranı]]))</f>
        <v>10189.800000000001</v>
      </c>
    </row>
    <row r="80" spans="2:11" x14ac:dyDescent="0.3">
      <c r="B80" s="6">
        <v>44270</v>
      </c>
      <c r="C80" s="2" t="s">
        <v>131</v>
      </c>
      <c r="D80" s="2" t="s">
        <v>238</v>
      </c>
      <c r="E80" s="2" t="s">
        <v>29</v>
      </c>
      <c r="F80" s="2" t="s">
        <v>59</v>
      </c>
      <c r="G80" s="2" t="s">
        <v>32</v>
      </c>
      <c r="H80" s="2" t="s">
        <v>55</v>
      </c>
      <c r="I80" s="8">
        <v>1171</v>
      </c>
      <c r="J80" s="7">
        <v>0.18</v>
      </c>
      <c r="K80" s="8">
        <f>IF(Tablo4[[#This Row],[Vergi Oranı]]="","",Tablo4[[#This Row],[Hizmet Tutarı]]*(1+Tablo4[[#This Row],[Vergi Oranı]]))</f>
        <v>1381.78</v>
      </c>
    </row>
    <row r="81" spans="2:11" x14ac:dyDescent="0.3">
      <c r="B81" s="6">
        <v>44235</v>
      </c>
      <c r="C81" s="2" t="s">
        <v>132</v>
      </c>
      <c r="D81" s="2" t="s">
        <v>237</v>
      </c>
      <c r="E81" s="2" t="s">
        <v>19</v>
      </c>
      <c r="F81" s="2" t="s">
        <v>57</v>
      </c>
      <c r="G81" s="2" t="s">
        <v>32</v>
      </c>
      <c r="H81" s="2" t="s">
        <v>55</v>
      </c>
      <c r="I81" s="8">
        <v>2542</v>
      </c>
      <c r="J81" s="7">
        <v>0.18</v>
      </c>
      <c r="K81" s="8">
        <f>IF(Tablo4[[#This Row],[Vergi Oranı]]="","",Tablo4[[#This Row],[Hizmet Tutarı]]*(1+Tablo4[[#This Row],[Vergi Oranı]]))</f>
        <v>2999.56</v>
      </c>
    </row>
    <row r="82" spans="2:11" x14ac:dyDescent="0.3">
      <c r="B82" s="6">
        <v>44336</v>
      </c>
      <c r="C82" s="2" t="s">
        <v>133</v>
      </c>
      <c r="D82" s="2" t="s">
        <v>238</v>
      </c>
      <c r="E82" s="2" t="s">
        <v>27</v>
      </c>
      <c r="F82" s="2" t="s">
        <v>59</v>
      </c>
      <c r="G82" s="2" t="s">
        <v>38</v>
      </c>
      <c r="H82" s="2" t="s">
        <v>55</v>
      </c>
      <c r="I82" s="8">
        <v>9931</v>
      </c>
      <c r="J82" s="7">
        <v>0.02</v>
      </c>
      <c r="K82" s="8">
        <f>IF(Tablo4[[#This Row],[Vergi Oranı]]="","",Tablo4[[#This Row],[Hizmet Tutarı]]*(1+Tablo4[[#This Row],[Vergi Oranı]]))</f>
        <v>10129.620000000001</v>
      </c>
    </row>
    <row r="83" spans="2:11" x14ac:dyDescent="0.3">
      <c r="B83" s="6">
        <v>44371</v>
      </c>
      <c r="C83" s="2" t="s">
        <v>134</v>
      </c>
      <c r="D83" s="2" t="s">
        <v>237</v>
      </c>
      <c r="E83" s="2" t="s">
        <v>21</v>
      </c>
      <c r="F83" s="2" t="s">
        <v>57</v>
      </c>
      <c r="G83" s="2" t="s">
        <v>38</v>
      </c>
      <c r="H83" s="2" t="s">
        <v>55</v>
      </c>
      <c r="I83" s="8">
        <v>3947</v>
      </c>
      <c r="J83" s="7">
        <v>0.08</v>
      </c>
      <c r="K83" s="8">
        <f>IF(Tablo4[[#This Row],[Vergi Oranı]]="","",Tablo4[[#This Row],[Hizmet Tutarı]]*(1+Tablo4[[#This Row],[Vergi Oranı]]))</f>
        <v>4262.76</v>
      </c>
    </row>
    <row r="84" spans="2:11" x14ac:dyDescent="0.3">
      <c r="B84" s="6">
        <v>44200</v>
      </c>
      <c r="C84" s="2" t="s">
        <v>135</v>
      </c>
      <c r="D84" s="2" t="s">
        <v>237</v>
      </c>
      <c r="E84" s="2" t="s">
        <v>21</v>
      </c>
      <c r="F84" s="2" t="s">
        <v>57</v>
      </c>
      <c r="G84" s="2" t="s">
        <v>35</v>
      </c>
      <c r="H84" s="2" t="s">
        <v>55</v>
      </c>
      <c r="I84" s="8">
        <v>3918</v>
      </c>
      <c r="J84" s="7">
        <v>0.02</v>
      </c>
      <c r="K84" s="8">
        <f>IF(Tablo4[[#This Row],[Vergi Oranı]]="","",Tablo4[[#This Row],[Hizmet Tutarı]]*(1+Tablo4[[#This Row],[Vergi Oranı]]))</f>
        <v>3996.36</v>
      </c>
    </row>
    <row r="85" spans="2:11" x14ac:dyDescent="0.3">
      <c r="B85" s="6">
        <v>44303</v>
      </c>
      <c r="C85" s="2" t="s">
        <v>136</v>
      </c>
      <c r="D85" s="2" t="s">
        <v>238</v>
      </c>
      <c r="E85" s="2" t="s">
        <v>27</v>
      </c>
      <c r="F85" s="2" t="s">
        <v>59</v>
      </c>
      <c r="G85" s="2" t="s">
        <v>35</v>
      </c>
      <c r="H85" s="2" t="s">
        <v>55</v>
      </c>
      <c r="I85" s="8">
        <v>4974</v>
      </c>
      <c r="J85" s="7">
        <v>0.18</v>
      </c>
      <c r="K85" s="8">
        <f>IF(Tablo4[[#This Row],[Vergi Oranı]]="","",Tablo4[[#This Row],[Hizmet Tutarı]]*(1+Tablo4[[#This Row],[Vergi Oranı]]))</f>
        <v>5869.32</v>
      </c>
    </row>
    <row r="86" spans="2:11" x14ac:dyDescent="0.3">
      <c r="B86" s="6">
        <v>44231</v>
      </c>
      <c r="C86" s="2" t="s">
        <v>137</v>
      </c>
      <c r="D86" s="2" t="s">
        <v>238</v>
      </c>
      <c r="E86" s="2" t="s">
        <v>27</v>
      </c>
      <c r="F86" s="2" t="s">
        <v>59</v>
      </c>
      <c r="G86" s="2" t="s">
        <v>35</v>
      </c>
      <c r="H86" s="2" t="s">
        <v>55</v>
      </c>
      <c r="I86" s="8">
        <v>1168</v>
      </c>
      <c r="J86" s="7">
        <v>0.08</v>
      </c>
      <c r="K86" s="8">
        <f>IF(Tablo4[[#This Row],[Vergi Oranı]]="","",Tablo4[[#This Row],[Hizmet Tutarı]]*(1+Tablo4[[#This Row],[Vergi Oranı]]))</f>
        <v>1261.44</v>
      </c>
    </row>
    <row r="87" spans="2:11" x14ac:dyDescent="0.3">
      <c r="B87" s="6">
        <v>44306</v>
      </c>
      <c r="C87" s="2" t="s">
        <v>138</v>
      </c>
      <c r="D87" s="2" t="s">
        <v>237</v>
      </c>
      <c r="E87" s="2" t="s">
        <v>11</v>
      </c>
      <c r="F87" s="2" t="s">
        <v>57</v>
      </c>
      <c r="G87" s="2" t="s">
        <v>35</v>
      </c>
      <c r="H87" s="2" t="s">
        <v>55</v>
      </c>
      <c r="I87" s="8">
        <v>9750</v>
      </c>
      <c r="J87" s="7">
        <v>0.02</v>
      </c>
      <c r="K87" s="8">
        <f>IF(Tablo4[[#This Row],[Vergi Oranı]]="","",Tablo4[[#This Row],[Hizmet Tutarı]]*(1+Tablo4[[#This Row],[Vergi Oranı]]))</f>
        <v>9945</v>
      </c>
    </row>
    <row r="88" spans="2:11" x14ac:dyDescent="0.3">
      <c r="B88" s="6">
        <v>44276</v>
      </c>
      <c r="C88" s="2" t="s">
        <v>139</v>
      </c>
      <c r="D88" s="2" t="s">
        <v>237</v>
      </c>
      <c r="E88" s="2" t="s">
        <v>17</v>
      </c>
      <c r="F88" s="2" t="s">
        <v>57</v>
      </c>
      <c r="G88" s="2" t="s">
        <v>38</v>
      </c>
      <c r="H88" s="2" t="s">
        <v>56</v>
      </c>
      <c r="I88" s="8">
        <v>5654</v>
      </c>
      <c r="J88" s="7">
        <v>0.08</v>
      </c>
      <c r="K88" s="8">
        <f>IF(Tablo4[[#This Row],[Vergi Oranı]]="","",Tablo4[[#This Row],[Hizmet Tutarı]]*(1+Tablo4[[#This Row],[Vergi Oranı]]))</f>
        <v>6106.3200000000006</v>
      </c>
    </row>
    <row r="89" spans="2:11" x14ac:dyDescent="0.3">
      <c r="B89" s="6">
        <v>44264</v>
      </c>
      <c r="C89" s="2" t="s">
        <v>140</v>
      </c>
      <c r="D89" s="2" t="s">
        <v>237</v>
      </c>
      <c r="E89" s="2" t="s">
        <v>19</v>
      </c>
      <c r="F89" s="2" t="s">
        <v>57</v>
      </c>
      <c r="G89" s="2" t="s">
        <v>32</v>
      </c>
      <c r="H89" s="2" t="s">
        <v>55</v>
      </c>
      <c r="I89" s="8">
        <v>7476</v>
      </c>
      <c r="J89" s="7">
        <v>0.18</v>
      </c>
      <c r="K89" s="8">
        <f>IF(Tablo4[[#This Row],[Vergi Oranı]]="","",Tablo4[[#This Row],[Hizmet Tutarı]]*(1+Tablo4[[#This Row],[Vergi Oranı]]))</f>
        <v>8821.68</v>
      </c>
    </row>
    <row r="90" spans="2:11" x14ac:dyDescent="0.3">
      <c r="B90" s="6">
        <v>44229</v>
      </c>
      <c r="C90" s="2" t="s">
        <v>141</v>
      </c>
      <c r="D90" s="2" t="s">
        <v>238</v>
      </c>
      <c r="E90" s="2" t="s">
        <v>27</v>
      </c>
      <c r="F90" s="2" t="s">
        <v>59</v>
      </c>
      <c r="G90" s="2" t="s">
        <v>35</v>
      </c>
      <c r="H90" s="2" t="s">
        <v>55</v>
      </c>
      <c r="I90" s="8">
        <v>5980</v>
      </c>
      <c r="J90" s="7">
        <v>0.02</v>
      </c>
      <c r="K90" s="8">
        <f>IF(Tablo4[[#This Row],[Vergi Oranı]]="","",Tablo4[[#This Row],[Hizmet Tutarı]]*(1+Tablo4[[#This Row],[Vergi Oranı]]))</f>
        <v>6099.6</v>
      </c>
    </row>
    <row r="91" spans="2:11" x14ac:dyDescent="0.3">
      <c r="B91" s="6">
        <v>44306</v>
      </c>
      <c r="C91" s="2" t="s">
        <v>142</v>
      </c>
      <c r="D91" s="2" t="s">
        <v>238</v>
      </c>
      <c r="E91" s="2" t="s">
        <v>29</v>
      </c>
      <c r="F91" s="2" t="s">
        <v>59</v>
      </c>
      <c r="G91" s="2" t="s">
        <v>35</v>
      </c>
      <c r="H91" s="2" t="s">
        <v>56</v>
      </c>
      <c r="I91" s="8">
        <v>9087</v>
      </c>
      <c r="J91" s="7">
        <v>0.08</v>
      </c>
      <c r="K91" s="8">
        <f>IF(Tablo4[[#This Row],[Vergi Oranı]]="","",Tablo4[[#This Row],[Hizmet Tutarı]]*(1+Tablo4[[#This Row],[Vergi Oranı]]))</f>
        <v>9813.9600000000009</v>
      </c>
    </row>
    <row r="92" spans="2:11" x14ac:dyDescent="0.3">
      <c r="B92" s="6">
        <v>44220</v>
      </c>
      <c r="C92" s="2" t="s">
        <v>143</v>
      </c>
      <c r="D92" s="2" t="s">
        <v>238</v>
      </c>
      <c r="E92" s="2" t="s">
        <v>23</v>
      </c>
      <c r="F92" s="2" t="s">
        <v>59</v>
      </c>
      <c r="G92" s="2" t="s">
        <v>32</v>
      </c>
      <c r="H92" s="2" t="s">
        <v>56</v>
      </c>
      <c r="I92" s="8">
        <v>9634</v>
      </c>
      <c r="J92" s="7">
        <v>0.02</v>
      </c>
      <c r="K92" s="8">
        <f>IF(Tablo4[[#This Row],[Vergi Oranı]]="","",Tablo4[[#This Row],[Hizmet Tutarı]]*(1+Tablo4[[#This Row],[Vergi Oranı]]))</f>
        <v>9826.68</v>
      </c>
    </row>
    <row r="93" spans="2:11" x14ac:dyDescent="0.3">
      <c r="B93" s="6">
        <v>44304</v>
      </c>
      <c r="C93" s="2" t="s">
        <v>144</v>
      </c>
      <c r="D93" s="2" t="s">
        <v>238</v>
      </c>
      <c r="E93" s="2" t="s">
        <v>23</v>
      </c>
      <c r="F93" s="2" t="s">
        <v>59</v>
      </c>
      <c r="G93" s="2" t="s">
        <v>38</v>
      </c>
      <c r="H93" s="2" t="s">
        <v>54</v>
      </c>
      <c r="I93" s="8">
        <v>3967</v>
      </c>
      <c r="J93" s="7">
        <v>0.08</v>
      </c>
      <c r="K93" s="8">
        <f>IF(Tablo4[[#This Row],[Vergi Oranı]]="","",Tablo4[[#This Row],[Hizmet Tutarı]]*(1+Tablo4[[#This Row],[Vergi Oranı]]))</f>
        <v>4284.3600000000006</v>
      </c>
    </row>
    <row r="94" spans="2:11" x14ac:dyDescent="0.3">
      <c r="B94" s="6">
        <v>44258</v>
      </c>
      <c r="C94" s="2" t="s">
        <v>145</v>
      </c>
      <c r="D94" s="2" t="s">
        <v>238</v>
      </c>
      <c r="E94" s="2" t="s">
        <v>29</v>
      </c>
      <c r="F94" s="2" t="s">
        <v>59</v>
      </c>
      <c r="G94" s="2" t="s">
        <v>38</v>
      </c>
      <c r="H94" s="2" t="s">
        <v>56</v>
      </c>
      <c r="I94" s="8">
        <v>7852</v>
      </c>
      <c r="J94" s="7">
        <v>0.08</v>
      </c>
      <c r="K94" s="8">
        <f>IF(Tablo4[[#This Row],[Vergi Oranı]]="","",Tablo4[[#This Row],[Hizmet Tutarı]]*(1+Tablo4[[#This Row],[Vergi Oranı]]))</f>
        <v>8480.16</v>
      </c>
    </row>
    <row r="95" spans="2:11" x14ac:dyDescent="0.3">
      <c r="B95" s="6">
        <v>44273</v>
      </c>
      <c r="C95" s="2" t="s">
        <v>146</v>
      </c>
      <c r="D95" s="2" t="s">
        <v>237</v>
      </c>
      <c r="E95" s="2" t="s">
        <v>21</v>
      </c>
      <c r="F95" s="2" t="s">
        <v>57</v>
      </c>
      <c r="G95" s="2" t="s">
        <v>38</v>
      </c>
      <c r="H95" s="2" t="s">
        <v>56</v>
      </c>
      <c r="I95" s="8">
        <v>8796</v>
      </c>
      <c r="J95" s="7">
        <v>0.08</v>
      </c>
      <c r="K95" s="8">
        <f>IF(Tablo4[[#This Row],[Vergi Oranı]]="","",Tablo4[[#This Row],[Hizmet Tutarı]]*(1+Tablo4[[#This Row],[Vergi Oranı]]))</f>
        <v>9499.68</v>
      </c>
    </row>
    <row r="96" spans="2:11" x14ac:dyDescent="0.3">
      <c r="B96" s="6">
        <v>44198</v>
      </c>
      <c r="C96" s="2" t="s">
        <v>147</v>
      </c>
      <c r="D96" s="2" t="s">
        <v>237</v>
      </c>
      <c r="E96" s="2" t="s">
        <v>13</v>
      </c>
      <c r="F96" s="2" t="s">
        <v>57</v>
      </c>
      <c r="G96" s="2" t="s">
        <v>35</v>
      </c>
      <c r="H96" s="2" t="s">
        <v>56</v>
      </c>
      <c r="I96" s="8">
        <v>4286</v>
      </c>
      <c r="J96" s="7">
        <v>0.08</v>
      </c>
      <c r="K96" s="8">
        <f>IF(Tablo4[[#This Row],[Vergi Oranı]]="","",Tablo4[[#This Row],[Hizmet Tutarı]]*(1+Tablo4[[#This Row],[Vergi Oranı]]))</f>
        <v>4628.88</v>
      </c>
    </row>
    <row r="97" spans="2:11" x14ac:dyDescent="0.3">
      <c r="B97" s="6">
        <v>44271</v>
      </c>
      <c r="C97" s="2" t="s">
        <v>148</v>
      </c>
      <c r="D97" s="2" t="s">
        <v>238</v>
      </c>
      <c r="E97" s="2" t="s">
        <v>25</v>
      </c>
      <c r="F97" s="2" t="s">
        <v>59</v>
      </c>
      <c r="G97" s="2" t="s">
        <v>32</v>
      </c>
      <c r="H97" s="2" t="s">
        <v>56</v>
      </c>
      <c r="I97" s="8">
        <v>3492</v>
      </c>
      <c r="J97" s="7">
        <v>0.18</v>
      </c>
      <c r="K97" s="8">
        <f>IF(Tablo4[[#This Row],[Vergi Oranı]]="","",Tablo4[[#This Row],[Hizmet Tutarı]]*(1+Tablo4[[#This Row],[Vergi Oranı]]))</f>
        <v>4120.5599999999995</v>
      </c>
    </row>
    <row r="98" spans="2:11" x14ac:dyDescent="0.3">
      <c r="B98" s="6">
        <v>44207</v>
      </c>
      <c r="C98" s="2" t="s">
        <v>149</v>
      </c>
      <c r="D98" s="2" t="s">
        <v>237</v>
      </c>
      <c r="E98" s="2" t="s">
        <v>21</v>
      </c>
      <c r="F98" s="2" t="s">
        <v>57</v>
      </c>
      <c r="G98" s="2" t="s">
        <v>32</v>
      </c>
      <c r="H98" s="2" t="s">
        <v>56</v>
      </c>
      <c r="I98" s="8">
        <v>8516</v>
      </c>
      <c r="J98" s="7">
        <v>0.08</v>
      </c>
      <c r="K98" s="8">
        <f>IF(Tablo4[[#This Row],[Vergi Oranı]]="","",Tablo4[[#This Row],[Hizmet Tutarı]]*(1+Tablo4[[#This Row],[Vergi Oranı]]))</f>
        <v>9197.2800000000007</v>
      </c>
    </row>
    <row r="99" spans="2:11" x14ac:dyDescent="0.3">
      <c r="B99" s="6">
        <v>44296</v>
      </c>
      <c r="C99" s="2" t="s">
        <v>150</v>
      </c>
      <c r="D99" s="2" t="s">
        <v>238</v>
      </c>
      <c r="E99" s="2" t="s">
        <v>25</v>
      </c>
      <c r="F99" s="2" t="s">
        <v>59</v>
      </c>
      <c r="G99" s="2" t="s">
        <v>32</v>
      </c>
      <c r="H99" s="2" t="s">
        <v>55</v>
      </c>
      <c r="I99" s="8">
        <v>3133</v>
      </c>
      <c r="J99" s="7">
        <v>0.08</v>
      </c>
      <c r="K99" s="8">
        <f>IF(Tablo4[[#This Row],[Vergi Oranı]]="","",Tablo4[[#This Row],[Hizmet Tutarı]]*(1+Tablo4[[#This Row],[Vergi Oranı]]))</f>
        <v>3383.6400000000003</v>
      </c>
    </row>
    <row r="100" spans="2:11" x14ac:dyDescent="0.3">
      <c r="B100" s="6">
        <v>44293</v>
      </c>
      <c r="C100" s="2" t="s">
        <v>151</v>
      </c>
      <c r="D100" s="2" t="s">
        <v>237</v>
      </c>
      <c r="E100" s="2" t="s">
        <v>19</v>
      </c>
      <c r="F100" s="2" t="s">
        <v>57</v>
      </c>
      <c r="G100" s="2" t="s">
        <v>38</v>
      </c>
      <c r="H100" s="2" t="s">
        <v>55</v>
      </c>
      <c r="I100" s="8">
        <v>9140</v>
      </c>
      <c r="J100" s="7">
        <v>0.08</v>
      </c>
      <c r="K100" s="8">
        <f>IF(Tablo4[[#This Row],[Vergi Oranı]]="","",Tablo4[[#This Row],[Hizmet Tutarı]]*(1+Tablo4[[#This Row],[Vergi Oranı]]))</f>
        <v>9871.2000000000007</v>
      </c>
    </row>
    <row r="101" spans="2:11" x14ac:dyDescent="0.3">
      <c r="B101" s="6">
        <v>44259</v>
      </c>
      <c r="C101" s="2" t="s">
        <v>152</v>
      </c>
      <c r="D101" s="2" t="s">
        <v>238</v>
      </c>
      <c r="E101" s="2" t="s">
        <v>23</v>
      </c>
      <c r="F101" s="2" t="s">
        <v>59</v>
      </c>
      <c r="G101" s="2" t="s">
        <v>38</v>
      </c>
      <c r="H101" s="2" t="s">
        <v>55</v>
      </c>
      <c r="I101" s="8">
        <v>8342</v>
      </c>
      <c r="J101" s="7">
        <v>0.18</v>
      </c>
      <c r="K101" s="8">
        <f>IF(Tablo4[[#This Row],[Vergi Oranı]]="","",Tablo4[[#This Row],[Hizmet Tutarı]]*(1+Tablo4[[#This Row],[Vergi Oranı]]))</f>
        <v>9843.56</v>
      </c>
    </row>
    <row r="102" spans="2:11" x14ac:dyDescent="0.3">
      <c r="B102" s="6">
        <v>44259</v>
      </c>
      <c r="C102" s="2" t="s">
        <v>153</v>
      </c>
      <c r="D102" s="2" t="s">
        <v>238</v>
      </c>
      <c r="E102" s="2" t="s">
        <v>25</v>
      </c>
      <c r="F102" s="2" t="s">
        <v>59</v>
      </c>
      <c r="G102" s="2" t="s">
        <v>35</v>
      </c>
      <c r="H102" s="2" t="s">
        <v>55</v>
      </c>
      <c r="I102" s="8">
        <v>524</v>
      </c>
      <c r="J102" s="7">
        <v>0.08</v>
      </c>
      <c r="K102" s="8">
        <f>IF(Tablo4[[#This Row],[Vergi Oranı]]="","",Tablo4[[#This Row],[Hizmet Tutarı]]*(1+Tablo4[[#This Row],[Vergi Oranı]]))</f>
        <v>565.92000000000007</v>
      </c>
    </row>
    <row r="103" spans="2:11" x14ac:dyDescent="0.3">
      <c r="B103" s="6">
        <v>44301</v>
      </c>
      <c r="C103" s="2" t="s">
        <v>154</v>
      </c>
      <c r="D103" s="2" t="s">
        <v>237</v>
      </c>
      <c r="E103" s="2" t="s">
        <v>13</v>
      </c>
      <c r="F103" s="2" t="s">
        <v>57</v>
      </c>
      <c r="G103" s="2" t="s">
        <v>38</v>
      </c>
      <c r="H103" s="2" t="s">
        <v>55</v>
      </c>
      <c r="I103" s="8">
        <v>2299</v>
      </c>
      <c r="J103" s="7">
        <v>0.02</v>
      </c>
      <c r="K103" s="8">
        <f>IF(Tablo4[[#This Row],[Vergi Oranı]]="","",Tablo4[[#This Row],[Hizmet Tutarı]]*(1+Tablo4[[#This Row],[Vergi Oranı]]))</f>
        <v>2344.98</v>
      </c>
    </row>
    <row r="104" spans="2:11" x14ac:dyDescent="0.3">
      <c r="B104" s="6">
        <v>44304</v>
      </c>
      <c r="C104" s="2" t="s">
        <v>155</v>
      </c>
      <c r="D104" s="2" t="s">
        <v>237</v>
      </c>
      <c r="E104" s="2" t="s">
        <v>19</v>
      </c>
      <c r="F104" s="2" t="s">
        <v>57</v>
      </c>
      <c r="G104" s="2" t="s">
        <v>32</v>
      </c>
      <c r="H104" s="2" t="s">
        <v>54</v>
      </c>
      <c r="I104" s="8">
        <v>2044</v>
      </c>
      <c r="J104" s="7">
        <v>0.02</v>
      </c>
      <c r="K104" s="8">
        <f>IF(Tablo4[[#This Row],[Vergi Oranı]]="","",Tablo4[[#This Row],[Hizmet Tutarı]]*(1+Tablo4[[#This Row],[Vergi Oranı]]))</f>
        <v>2084.88</v>
      </c>
    </row>
    <row r="105" spans="2:11" x14ac:dyDescent="0.3">
      <c r="B105" s="6">
        <v>44326</v>
      </c>
      <c r="C105" s="2" t="s">
        <v>156</v>
      </c>
      <c r="D105" s="2" t="s">
        <v>237</v>
      </c>
      <c r="E105" s="2" t="s">
        <v>13</v>
      </c>
      <c r="F105" s="2" t="s">
        <v>57</v>
      </c>
      <c r="G105" s="2" t="s">
        <v>35</v>
      </c>
      <c r="H105" s="2" t="s">
        <v>56</v>
      </c>
      <c r="I105" s="8">
        <v>3023</v>
      </c>
      <c r="J105" s="7">
        <v>0.08</v>
      </c>
      <c r="K105" s="8">
        <f>IF(Tablo4[[#This Row],[Vergi Oranı]]="","",Tablo4[[#This Row],[Hizmet Tutarı]]*(1+Tablo4[[#This Row],[Vergi Oranı]]))</f>
        <v>3264.84</v>
      </c>
    </row>
    <row r="106" spans="2:11" x14ac:dyDescent="0.3">
      <c r="B106" s="6">
        <v>44333</v>
      </c>
      <c r="C106" s="2" t="s">
        <v>157</v>
      </c>
      <c r="D106" s="2" t="s">
        <v>237</v>
      </c>
      <c r="E106" s="2" t="s">
        <v>11</v>
      </c>
      <c r="F106" s="2" t="s">
        <v>57</v>
      </c>
      <c r="G106" s="2" t="s">
        <v>38</v>
      </c>
      <c r="H106" s="2" t="s">
        <v>56</v>
      </c>
      <c r="I106" s="8">
        <v>5675</v>
      </c>
      <c r="J106" s="7">
        <v>0.02</v>
      </c>
      <c r="K106" s="8">
        <f>IF(Tablo4[[#This Row],[Vergi Oranı]]="","",Tablo4[[#This Row],[Hizmet Tutarı]]*(1+Tablo4[[#This Row],[Vergi Oranı]]))</f>
        <v>5788.5</v>
      </c>
    </row>
    <row r="107" spans="2:11" x14ac:dyDescent="0.3">
      <c r="B107" s="6">
        <v>44242</v>
      </c>
      <c r="C107" s="2" t="s">
        <v>158</v>
      </c>
      <c r="D107" s="2" t="s">
        <v>238</v>
      </c>
      <c r="E107" s="2" t="s">
        <v>25</v>
      </c>
      <c r="F107" s="2" t="s">
        <v>59</v>
      </c>
      <c r="G107" s="2" t="s">
        <v>35</v>
      </c>
      <c r="H107" s="2" t="s">
        <v>55</v>
      </c>
      <c r="I107" s="8">
        <v>1542</v>
      </c>
      <c r="J107" s="7">
        <v>0.08</v>
      </c>
      <c r="K107" s="8">
        <f>IF(Tablo4[[#This Row],[Vergi Oranı]]="","",Tablo4[[#This Row],[Hizmet Tutarı]]*(1+Tablo4[[#This Row],[Vergi Oranı]]))</f>
        <v>1665.3600000000001</v>
      </c>
    </row>
    <row r="108" spans="2:11" x14ac:dyDescent="0.3">
      <c r="B108" s="6">
        <v>44355</v>
      </c>
      <c r="C108" s="2" t="s">
        <v>159</v>
      </c>
      <c r="D108" s="2" t="s">
        <v>237</v>
      </c>
      <c r="E108" s="2" t="s">
        <v>9</v>
      </c>
      <c r="F108" s="2" t="s">
        <v>57</v>
      </c>
      <c r="G108" s="2" t="s">
        <v>38</v>
      </c>
      <c r="H108" s="2" t="s">
        <v>55</v>
      </c>
      <c r="I108" s="8">
        <v>2034</v>
      </c>
      <c r="J108" s="7">
        <v>0.18</v>
      </c>
      <c r="K108" s="8">
        <f>IF(Tablo4[[#This Row],[Vergi Oranı]]="","",Tablo4[[#This Row],[Hizmet Tutarı]]*(1+Tablo4[[#This Row],[Vergi Oranı]]))</f>
        <v>2400.12</v>
      </c>
    </row>
    <row r="109" spans="2:11" x14ac:dyDescent="0.3">
      <c r="B109" s="6">
        <v>44243</v>
      </c>
      <c r="C109" s="2" t="s">
        <v>160</v>
      </c>
      <c r="D109" s="2" t="s">
        <v>238</v>
      </c>
      <c r="E109" s="2" t="s">
        <v>23</v>
      </c>
      <c r="F109" s="2" t="s">
        <v>59</v>
      </c>
      <c r="G109" s="2" t="s">
        <v>32</v>
      </c>
      <c r="H109" s="2" t="s">
        <v>56</v>
      </c>
      <c r="I109" s="8">
        <v>5031</v>
      </c>
      <c r="J109" s="7">
        <v>0.02</v>
      </c>
      <c r="K109" s="8">
        <f>IF(Tablo4[[#This Row],[Vergi Oranı]]="","",Tablo4[[#This Row],[Hizmet Tutarı]]*(1+Tablo4[[#This Row],[Vergi Oranı]]))</f>
        <v>5131.62</v>
      </c>
    </row>
    <row r="110" spans="2:11" x14ac:dyDescent="0.3">
      <c r="B110" s="6">
        <v>44241</v>
      </c>
      <c r="C110" s="2" t="s">
        <v>161</v>
      </c>
      <c r="D110" s="2" t="s">
        <v>237</v>
      </c>
      <c r="E110" s="2" t="s">
        <v>21</v>
      </c>
      <c r="F110" s="2" t="s">
        <v>57</v>
      </c>
      <c r="G110" s="2" t="s">
        <v>32</v>
      </c>
      <c r="H110" s="2" t="s">
        <v>55</v>
      </c>
      <c r="I110" s="8">
        <v>560</v>
      </c>
      <c r="J110" s="7">
        <v>0.02</v>
      </c>
      <c r="K110" s="8">
        <f>IF(Tablo4[[#This Row],[Vergi Oranı]]="","",Tablo4[[#This Row],[Hizmet Tutarı]]*(1+Tablo4[[#This Row],[Vergi Oranı]]))</f>
        <v>571.20000000000005</v>
      </c>
    </row>
    <row r="111" spans="2:11" x14ac:dyDescent="0.3">
      <c r="B111" s="6">
        <v>44328</v>
      </c>
      <c r="C111" s="2" t="s">
        <v>162</v>
      </c>
      <c r="D111" s="2" t="s">
        <v>238</v>
      </c>
      <c r="E111" s="2" t="s">
        <v>23</v>
      </c>
      <c r="F111" s="2" t="s">
        <v>59</v>
      </c>
      <c r="G111" s="2" t="s">
        <v>38</v>
      </c>
      <c r="H111" s="2" t="s">
        <v>55</v>
      </c>
      <c r="I111" s="8">
        <v>3434</v>
      </c>
      <c r="J111" s="7">
        <v>0.18</v>
      </c>
      <c r="K111" s="8">
        <f>IF(Tablo4[[#This Row],[Vergi Oranı]]="","",Tablo4[[#This Row],[Hizmet Tutarı]]*(1+Tablo4[[#This Row],[Vergi Oranı]]))</f>
        <v>4052.12</v>
      </c>
    </row>
    <row r="112" spans="2:11" x14ac:dyDescent="0.3">
      <c r="B112" s="6">
        <v>44326</v>
      </c>
      <c r="C112" s="2" t="s">
        <v>163</v>
      </c>
      <c r="D112" s="2" t="s">
        <v>237</v>
      </c>
      <c r="E112" s="2" t="s">
        <v>13</v>
      </c>
      <c r="F112" s="2" t="s">
        <v>57</v>
      </c>
      <c r="G112" s="2" t="s">
        <v>32</v>
      </c>
      <c r="H112" s="2" t="s">
        <v>54</v>
      </c>
      <c r="I112" s="8">
        <v>9639</v>
      </c>
      <c r="J112" s="7">
        <v>0.02</v>
      </c>
      <c r="K112" s="8">
        <f>IF(Tablo4[[#This Row],[Vergi Oranı]]="","",Tablo4[[#This Row],[Hizmet Tutarı]]*(1+Tablo4[[#This Row],[Vergi Oranı]]))</f>
        <v>9831.7800000000007</v>
      </c>
    </row>
    <row r="113" spans="2:11" x14ac:dyDescent="0.3">
      <c r="B113" s="6">
        <v>44231</v>
      </c>
      <c r="C113" s="2" t="s">
        <v>164</v>
      </c>
      <c r="D113" s="2" t="s">
        <v>238</v>
      </c>
      <c r="E113" s="2" t="s">
        <v>27</v>
      </c>
      <c r="F113" s="2" t="s">
        <v>59</v>
      </c>
      <c r="G113" s="2" t="s">
        <v>32</v>
      </c>
      <c r="H113" s="2" t="s">
        <v>54</v>
      </c>
      <c r="I113" s="8">
        <v>629</v>
      </c>
      <c r="J113" s="7">
        <v>0.18</v>
      </c>
      <c r="K113" s="8">
        <f>IF(Tablo4[[#This Row],[Vergi Oranı]]="","",Tablo4[[#This Row],[Hizmet Tutarı]]*(1+Tablo4[[#This Row],[Vergi Oranı]]))</f>
        <v>742.21999999999991</v>
      </c>
    </row>
    <row r="114" spans="2:11" x14ac:dyDescent="0.3">
      <c r="B114" s="6">
        <v>44370</v>
      </c>
      <c r="C114" s="2" t="s">
        <v>165</v>
      </c>
      <c r="D114" s="2" t="s">
        <v>237</v>
      </c>
      <c r="E114" s="2" t="s">
        <v>17</v>
      </c>
      <c r="F114" s="2" t="s">
        <v>57</v>
      </c>
      <c r="G114" s="2" t="s">
        <v>38</v>
      </c>
      <c r="H114" s="2" t="s">
        <v>56</v>
      </c>
      <c r="I114" s="8">
        <v>9259</v>
      </c>
      <c r="J114" s="7">
        <v>0.02</v>
      </c>
      <c r="K114" s="8">
        <f>IF(Tablo4[[#This Row],[Vergi Oranı]]="","",Tablo4[[#This Row],[Hizmet Tutarı]]*(1+Tablo4[[#This Row],[Vergi Oranı]]))</f>
        <v>9444.18</v>
      </c>
    </row>
    <row r="115" spans="2:11" x14ac:dyDescent="0.3">
      <c r="B115" s="6">
        <v>44235</v>
      </c>
      <c r="C115" s="2" t="s">
        <v>166</v>
      </c>
      <c r="D115" s="2" t="s">
        <v>237</v>
      </c>
      <c r="E115" s="2" t="s">
        <v>9</v>
      </c>
      <c r="F115" s="2" t="s">
        <v>57</v>
      </c>
      <c r="G115" s="2" t="s">
        <v>35</v>
      </c>
      <c r="H115" s="2" t="s">
        <v>54</v>
      </c>
      <c r="I115" s="8">
        <v>3279</v>
      </c>
      <c r="J115" s="7">
        <v>0.18</v>
      </c>
      <c r="K115" s="8">
        <f>IF(Tablo4[[#This Row],[Vergi Oranı]]="","",Tablo4[[#This Row],[Hizmet Tutarı]]*(1+Tablo4[[#This Row],[Vergi Oranı]]))</f>
        <v>3869.22</v>
      </c>
    </row>
    <row r="116" spans="2:11" x14ac:dyDescent="0.3">
      <c r="B116" s="6">
        <v>44273</v>
      </c>
      <c r="C116" s="2" t="s">
        <v>167</v>
      </c>
      <c r="D116" s="2" t="s">
        <v>238</v>
      </c>
      <c r="E116" s="2" t="s">
        <v>25</v>
      </c>
      <c r="F116" s="2" t="s">
        <v>59</v>
      </c>
      <c r="G116" s="2" t="s">
        <v>35</v>
      </c>
      <c r="H116" s="2" t="s">
        <v>55</v>
      </c>
      <c r="I116" s="8">
        <v>963</v>
      </c>
      <c r="J116" s="7">
        <v>0.18</v>
      </c>
      <c r="K116" s="8">
        <f>IF(Tablo4[[#This Row],[Vergi Oranı]]="","",Tablo4[[#This Row],[Hizmet Tutarı]]*(1+Tablo4[[#This Row],[Vergi Oranı]]))</f>
        <v>1136.3399999999999</v>
      </c>
    </row>
    <row r="117" spans="2:11" x14ac:dyDescent="0.3">
      <c r="B117" s="6">
        <v>44342</v>
      </c>
      <c r="C117" s="2" t="s">
        <v>168</v>
      </c>
      <c r="D117" s="2" t="s">
        <v>237</v>
      </c>
      <c r="E117" s="2" t="s">
        <v>13</v>
      </c>
      <c r="F117" s="2" t="s">
        <v>57</v>
      </c>
      <c r="G117" s="2" t="s">
        <v>38</v>
      </c>
      <c r="H117" s="2" t="s">
        <v>56</v>
      </c>
      <c r="I117" s="8">
        <v>1933</v>
      </c>
      <c r="J117" s="7">
        <v>0.18</v>
      </c>
      <c r="K117" s="8">
        <f>IF(Tablo4[[#This Row],[Vergi Oranı]]="","",Tablo4[[#This Row],[Hizmet Tutarı]]*(1+Tablo4[[#This Row],[Vergi Oranı]]))</f>
        <v>2280.94</v>
      </c>
    </row>
    <row r="118" spans="2:11" x14ac:dyDescent="0.3">
      <c r="B118" s="6">
        <v>44232</v>
      </c>
      <c r="C118" s="2" t="s">
        <v>169</v>
      </c>
      <c r="D118" s="2" t="s">
        <v>237</v>
      </c>
      <c r="E118" s="2" t="s">
        <v>11</v>
      </c>
      <c r="F118" s="2" t="s">
        <v>57</v>
      </c>
      <c r="G118" s="2" t="s">
        <v>32</v>
      </c>
      <c r="H118" s="2" t="s">
        <v>54</v>
      </c>
      <c r="I118" s="8">
        <v>2648</v>
      </c>
      <c r="J118" s="7">
        <v>0.08</v>
      </c>
      <c r="K118" s="8">
        <f>IF(Tablo4[[#This Row],[Vergi Oranı]]="","",Tablo4[[#This Row],[Hizmet Tutarı]]*(1+Tablo4[[#This Row],[Vergi Oranı]]))</f>
        <v>2859.84</v>
      </c>
    </row>
    <row r="119" spans="2:11" x14ac:dyDescent="0.3">
      <c r="B119" s="6">
        <v>44249</v>
      </c>
      <c r="C119" s="2" t="s">
        <v>170</v>
      </c>
      <c r="D119" s="2" t="s">
        <v>237</v>
      </c>
      <c r="E119" s="2" t="s">
        <v>17</v>
      </c>
      <c r="F119" s="2" t="s">
        <v>57</v>
      </c>
      <c r="G119" s="2" t="s">
        <v>32</v>
      </c>
      <c r="H119" s="2" t="s">
        <v>54</v>
      </c>
      <c r="I119" s="8">
        <v>6227</v>
      </c>
      <c r="J119" s="7">
        <v>0.08</v>
      </c>
      <c r="K119" s="8">
        <f>IF(Tablo4[[#This Row],[Vergi Oranı]]="","",Tablo4[[#This Row],[Hizmet Tutarı]]*(1+Tablo4[[#This Row],[Vergi Oranı]]))</f>
        <v>6725.1600000000008</v>
      </c>
    </row>
    <row r="120" spans="2:11" x14ac:dyDescent="0.3">
      <c r="B120" s="6">
        <v>44278</v>
      </c>
      <c r="C120" s="2" t="s">
        <v>171</v>
      </c>
      <c r="D120" s="2" t="s">
        <v>238</v>
      </c>
      <c r="E120" s="2" t="s">
        <v>27</v>
      </c>
      <c r="F120" s="2" t="s">
        <v>59</v>
      </c>
      <c r="G120" s="2" t="s">
        <v>32</v>
      </c>
      <c r="H120" s="2" t="s">
        <v>56</v>
      </c>
      <c r="I120" s="8">
        <v>7986</v>
      </c>
      <c r="J120" s="7">
        <v>0.08</v>
      </c>
      <c r="K120" s="8">
        <f>IF(Tablo4[[#This Row],[Vergi Oranı]]="","",Tablo4[[#This Row],[Hizmet Tutarı]]*(1+Tablo4[[#This Row],[Vergi Oranı]]))</f>
        <v>8624.880000000001</v>
      </c>
    </row>
    <row r="121" spans="2:11" x14ac:dyDescent="0.3">
      <c r="B121" s="6">
        <v>44244</v>
      </c>
      <c r="C121" s="2" t="s">
        <v>172</v>
      </c>
      <c r="D121" s="2" t="s">
        <v>238</v>
      </c>
      <c r="E121" s="2" t="s">
        <v>23</v>
      </c>
      <c r="F121" s="2" t="s">
        <v>59</v>
      </c>
      <c r="G121" s="2" t="s">
        <v>35</v>
      </c>
      <c r="H121" s="2" t="s">
        <v>56</v>
      </c>
      <c r="I121" s="8">
        <v>9450</v>
      </c>
      <c r="J121" s="7">
        <v>0.02</v>
      </c>
      <c r="K121" s="8">
        <f>IF(Tablo4[[#This Row],[Vergi Oranı]]="","",Tablo4[[#This Row],[Hizmet Tutarı]]*(1+Tablo4[[#This Row],[Vergi Oranı]]))</f>
        <v>9639</v>
      </c>
    </row>
    <row r="122" spans="2:11" x14ac:dyDescent="0.3">
      <c r="B122" s="6">
        <v>44292</v>
      </c>
      <c r="C122" s="2" t="s">
        <v>173</v>
      </c>
      <c r="D122" s="2" t="s">
        <v>238</v>
      </c>
      <c r="E122" s="2" t="s">
        <v>25</v>
      </c>
      <c r="F122" s="2" t="s">
        <v>59</v>
      </c>
      <c r="G122" s="2" t="s">
        <v>35</v>
      </c>
      <c r="H122" s="2" t="s">
        <v>55</v>
      </c>
      <c r="I122" s="8">
        <v>2112</v>
      </c>
      <c r="J122" s="7">
        <v>0.08</v>
      </c>
      <c r="K122" s="8">
        <f>IF(Tablo4[[#This Row],[Vergi Oranı]]="","",Tablo4[[#This Row],[Hizmet Tutarı]]*(1+Tablo4[[#This Row],[Vergi Oranı]]))</f>
        <v>2280.96</v>
      </c>
    </row>
    <row r="123" spans="2:11" x14ac:dyDescent="0.3">
      <c r="B123" s="6">
        <v>44308</v>
      </c>
      <c r="C123" s="2" t="s">
        <v>174</v>
      </c>
      <c r="D123" s="2" t="s">
        <v>237</v>
      </c>
      <c r="E123" s="2" t="s">
        <v>13</v>
      </c>
      <c r="F123" s="2" t="s">
        <v>57</v>
      </c>
      <c r="G123" s="2" t="s">
        <v>38</v>
      </c>
      <c r="H123" s="2" t="s">
        <v>55</v>
      </c>
      <c r="I123" s="8">
        <v>8678</v>
      </c>
      <c r="J123" s="7">
        <v>0.02</v>
      </c>
      <c r="K123" s="8">
        <f>IF(Tablo4[[#This Row],[Vergi Oranı]]="","",Tablo4[[#This Row],[Hizmet Tutarı]]*(1+Tablo4[[#This Row],[Vergi Oranı]]))</f>
        <v>8851.56</v>
      </c>
    </row>
    <row r="124" spans="2:11" x14ac:dyDescent="0.3">
      <c r="B124" s="6">
        <v>44282</v>
      </c>
      <c r="C124" s="2" t="s">
        <v>175</v>
      </c>
      <c r="D124" s="2" t="s">
        <v>237</v>
      </c>
      <c r="E124" s="2" t="s">
        <v>15</v>
      </c>
      <c r="F124" s="2" t="s">
        <v>57</v>
      </c>
      <c r="G124" s="2" t="s">
        <v>38</v>
      </c>
      <c r="H124" s="2" t="s">
        <v>56</v>
      </c>
      <c r="I124" s="8">
        <v>3180</v>
      </c>
      <c r="J124" s="7">
        <v>0.08</v>
      </c>
      <c r="K124" s="8">
        <f>IF(Tablo4[[#This Row],[Vergi Oranı]]="","",Tablo4[[#This Row],[Hizmet Tutarı]]*(1+Tablo4[[#This Row],[Vergi Oranı]]))</f>
        <v>3434.4</v>
      </c>
    </row>
    <row r="125" spans="2:11" x14ac:dyDescent="0.3">
      <c r="B125" s="6">
        <v>44200</v>
      </c>
      <c r="C125" s="2" t="s">
        <v>176</v>
      </c>
      <c r="D125" s="2" t="s">
        <v>237</v>
      </c>
      <c r="E125" s="2" t="s">
        <v>15</v>
      </c>
      <c r="F125" s="2" t="s">
        <v>57</v>
      </c>
      <c r="G125" s="2" t="s">
        <v>35</v>
      </c>
      <c r="H125" s="2" t="s">
        <v>55</v>
      </c>
      <c r="I125" s="8">
        <v>5235</v>
      </c>
      <c r="J125" s="7">
        <v>0.08</v>
      </c>
      <c r="K125" s="8">
        <f>IF(Tablo4[[#This Row],[Vergi Oranı]]="","",Tablo4[[#This Row],[Hizmet Tutarı]]*(1+Tablo4[[#This Row],[Vergi Oranı]]))</f>
        <v>5653.8</v>
      </c>
    </row>
    <row r="126" spans="2:11" x14ac:dyDescent="0.3">
      <c r="B126" s="6">
        <v>44219</v>
      </c>
      <c r="C126" s="2" t="s">
        <v>177</v>
      </c>
      <c r="D126" s="2" t="s">
        <v>237</v>
      </c>
      <c r="E126" s="2" t="s">
        <v>17</v>
      </c>
      <c r="F126" s="2" t="s">
        <v>57</v>
      </c>
      <c r="G126" s="2" t="s">
        <v>38</v>
      </c>
      <c r="H126" s="2" t="s">
        <v>55</v>
      </c>
      <c r="I126" s="8">
        <v>8262</v>
      </c>
      <c r="J126" s="7">
        <v>0.08</v>
      </c>
      <c r="K126" s="8">
        <f>IF(Tablo4[[#This Row],[Vergi Oranı]]="","",Tablo4[[#This Row],[Hizmet Tutarı]]*(1+Tablo4[[#This Row],[Vergi Oranı]]))</f>
        <v>8922.9600000000009</v>
      </c>
    </row>
    <row r="127" spans="2:11" x14ac:dyDescent="0.3">
      <c r="B127" s="6">
        <v>44306</v>
      </c>
      <c r="C127" s="2" t="s">
        <v>178</v>
      </c>
      <c r="D127" s="2" t="s">
        <v>238</v>
      </c>
      <c r="E127" s="2" t="s">
        <v>29</v>
      </c>
      <c r="F127" s="2" t="s">
        <v>59</v>
      </c>
      <c r="G127" s="2" t="s">
        <v>32</v>
      </c>
      <c r="H127" s="2" t="s">
        <v>54</v>
      </c>
      <c r="I127" s="8">
        <v>8864</v>
      </c>
      <c r="J127" s="7">
        <v>0.18</v>
      </c>
      <c r="K127" s="8">
        <f>IF(Tablo4[[#This Row],[Vergi Oranı]]="","",Tablo4[[#This Row],[Hizmet Tutarı]]*(1+Tablo4[[#This Row],[Vergi Oranı]]))</f>
        <v>10459.519999999999</v>
      </c>
    </row>
    <row r="128" spans="2:11" x14ac:dyDescent="0.3">
      <c r="B128" s="6">
        <v>44323</v>
      </c>
      <c r="C128" s="2" t="s">
        <v>179</v>
      </c>
      <c r="D128" s="2" t="s">
        <v>238</v>
      </c>
      <c r="E128" s="2" t="s">
        <v>25</v>
      </c>
      <c r="F128" s="2" t="s">
        <v>59</v>
      </c>
      <c r="G128" s="2" t="s">
        <v>32</v>
      </c>
      <c r="H128" s="2" t="s">
        <v>54</v>
      </c>
      <c r="I128" s="8">
        <v>5443</v>
      </c>
      <c r="J128" s="7">
        <v>0.18</v>
      </c>
      <c r="K128" s="8">
        <f>IF(Tablo4[[#This Row],[Vergi Oranı]]="","",Tablo4[[#This Row],[Hizmet Tutarı]]*(1+Tablo4[[#This Row],[Vergi Oranı]]))</f>
        <v>6422.74</v>
      </c>
    </row>
    <row r="129" spans="2:11" x14ac:dyDescent="0.3">
      <c r="B129" s="6">
        <v>44202</v>
      </c>
      <c r="C129" s="2" t="s">
        <v>180</v>
      </c>
      <c r="D129" s="2" t="s">
        <v>238</v>
      </c>
      <c r="E129" s="2" t="s">
        <v>25</v>
      </c>
      <c r="F129" s="2" t="s">
        <v>59</v>
      </c>
      <c r="G129" s="2" t="s">
        <v>32</v>
      </c>
      <c r="H129" s="2" t="s">
        <v>56</v>
      </c>
      <c r="I129" s="8">
        <v>7736</v>
      </c>
      <c r="J129" s="7">
        <v>0.08</v>
      </c>
      <c r="K129" s="8">
        <f>IF(Tablo4[[#This Row],[Vergi Oranı]]="","",Tablo4[[#This Row],[Hizmet Tutarı]]*(1+Tablo4[[#This Row],[Vergi Oranı]]))</f>
        <v>8354.880000000001</v>
      </c>
    </row>
    <row r="130" spans="2:11" x14ac:dyDescent="0.3">
      <c r="B130" s="6">
        <v>44289</v>
      </c>
      <c r="C130" s="2" t="s">
        <v>181</v>
      </c>
      <c r="D130" s="2" t="s">
        <v>238</v>
      </c>
      <c r="E130" s="2" t="s">
        <v>23</v>
      </c>
      <c r="F130" s="2" t="s">
        <v>59</v>
      </c>
      <c r="G130" s="2" t="s">
        <v>38</v>
      </c>
      <c r="H130" s="2" t="s">
        <v>55</v>
      </c>
      <c r="I130" s="8">
        <v>428</v>
      </c>
      <c r="J130" s="7">
        <v>0.18</v>
      </c>
      <c r="K130" s="8">
        <f>IF(Tablo4[[#This Row],[Vergi Oranı]]="","",Tablo4[[#This Row],[Hizmet Tutarı]]*(1+Tablo4[[#This Row],[Vergi Oranı]]))</f>
        <v>505.03999999999996</v>
      </c>
    </row>
    <row r="131" spans="2:11" x14ac:dyDescent="0.3">
      <c r="B131" s="6">
        <v>44261</v>
      </c>
      <c r="C131" s="2" t="s">
        <v>182</v>
      </c>
      <c r="D131" s="2" t="s">
        <v>238</v>
      </c>
      <c r="E131" s="2" t="s">
        <v>29</v>
      </c>
      <c r="F131" s="2" t="s">
        <v>59</v>
      </c>
      <c r="G131" s="2" t="s">
        <v>32</v>
      </c>
      <c r="H131" s="2" t="s">
        <v>55</v>
      </c>
      <c r="I131" s="8">
        <v>8203</v>
      </c>
      <c r="J131" s="7">
        <v>0.08</v>
      </c>
      <c r="K131" s="8">
        <f>IF(Tablo4[[#This Row],[Vergi Oranı]]="","",Tablo4[[#This Row],[Hizmet Tutarı]]*(1+Tablo4[[#This Row],[Vergi Oranı]]))</f>
        <v>8859.24</v>
      </c>
    </row>
    <row r="132" spans="2:11" x14ac:dyDescent="0.3">
      <c r="B132" s="6">
        <v>44246</v>
      </c>
      <c r="C132" s="2" t="s">
        <v>183</v>
      </c>
      <c r="D132" s="2" t="s">
        <v>237</v>
      </c>
      <c r="E132" s="2" t="s">
        <v>11</v>
      </c>
      <c r="F132" s="2" t="s">
        <v>57</v>
      </c>
      <c r="G132" s="2" t="s">
        <v>35</v>
      </c>
      <c r="H132" s="2" t="s">
        <v>55</v>
      </c>
      <c r="I132" s="8">
        <v>686</v>
      </c>
      <c r="J132" s="7">
        <v>0.18</v>
      </c>
      <c r="K132" s="8">
        <f>IF(Tablo4[[#This Row],[Vergi Oranı]]="","",Tablo4[[#This Row],[Hizmet Tutarı]]*(1+Tablo4[[#This Row],[Vergi Oranı]]))</f>
        <v>809.4799999999999</v>
      </c>
    </row>
    <row r="133" spans="2:11" x14ac:dyDescent="0.3">
      <c r="B133" s="6">
        <v>44330</v>
      </c>
      <c r="C133" s="2" t="s">
        <v>184</v>
      </c>
      <c r="D133" s="2" t="s">
        <v>237</v>
      </c>
      <c r="E133" s="2" t="s">
        <v>9</v>
      </c>
      <c r="F133" s="2" t="s">
        <v>57</v>
      </c>
      <c r="G133" s="2" t="s">
        <v>32</v>
      </c>
      <c r="H133" s="2" t="s">
        <v>56</v>
      </c>
      <c r="I133" s="8">
        <v>5188</v>
      </c>
      <c r="J133" s="7">
        <v>0.02</v>
      </c>
      <c r="K133" s="8">
        <f>IF(Tablo4[[#This Row],[Vergi Oranı]]="","",Tablo4[[#This Row],[Hizmet Tutarı]]*(1+Tablo4[[#This Row],[Vergi Oranı]]))</f>
        <v>5291.76</v>
      </c>
    </row>
    <row r="134" spans="2:11" x14ac:dyDescent="0.3">
      <c r="B134" s="6">
        <v>44290</v>
      </c>
      <c r="C134" s="2" t="s">
        <v>185</v>
      </c>
      <c r="D134" s="2" t="s">
        <v>238</v>
      </c>
      <c r="E134" s="2" t="s">
        <v>25</v>
      </c>
      <c r="F134" s="2" t="s">
        <v>59</v>
      </c>
      <c r="G134" s="2" t="s">
        <v>38</v>
      </c>
      <c r="H134" s="2" t="s">
        <v>55</v>
      </c>
      <c r="I134" s="8">
        <v>2083</v>
      </c>
      <c r="J134" s="7">
        <v>0.02</v>
      </c>
      <c r="K134" s="8">
        <f>IF(Tablo4[[#This Row],[Vergi Oranı]]="","",Tablo4[[#This Row],[Hizmet Tutarı]]*(1+Tablo4[[#This Row],[Vergi Oranı]]))</f>
        <v>2124.66</v>
      </c>
    </row>
    <row r="135" spans="2:11" x14ac:dyDescent="0.3">
      <c r="B135" s="6">
        <v>44213</v>
      </c>
      <c r="C135" s="2" t="s">
        <v>186</v>
      </c>
      <c r="D135" s="2" t="s">
        <v>237</v>
      </c>
      <c r="E135" s="2" t="s">
        <v>13</v>
      </c>
      <c r="F135" s="2" t="s">
        <v>57</v>
      </c>
      <c r="G135" s="2" t="s">
        <v>32</v>
      </c>
      <c r="H135" s="2" t="s">
        <v>55</v>
      </c>
      <c r="I135" s="8">
        <v>2555</v>
      </c>
      <c r="J135" s="7">
        <v>0.08</v>
      </c>
      <c r="K135" s="8">
        <f>IF(Tablo4[[#This Row],[Vergi Oranı]]="","",Tablo4[[#This Row],[Hizmet Tutarı]]*(1+Tablo4[[#This Row],[Vergi Oranı]]))</f>
        <v>2759.4</v>
      </c>
    </row>
    <row r="136" spans="2:11" x14ac:dyDescent="0.3">
      <c r="B136" s="6">
        <v>44355</v>
      </c>
      <c r="C136" s="2" t="s">
        <v>187</v>
      </c>
      <c r="D136" s="2" t="s">
        <v>238</v>
      </c>
      <c r="E136" s="2" t="s">
        <v>23</v>
      </c>
      <c r="F136" s="2" t="s">
        <v>59</v>
      </c>
      <c r="G136" s="2" t="s">
        <v>38</v>
      </c>
      <c r="H136" s="2" t="s">
        <v>55</v>
      </c>
      <c r="I136" s="8">
        <v>3997</v>
      </c>
      <c r="J136" s="7">
        <v>0.08</v>
      </c>
      <c r="K136" s="8">
        <f>IF(Tablo4[[#This Row],[Vergi Oranı]]="","",Tablo4[[#This Row],[Hizmet Tutarı]]*(1+Tablo4[[#This Row],[Vergi Oranı]]))</f>
        <v>4316.76</v>
      </c>
    </row>
    <row r="137" spans="2:11" x14ac:dyDescent="0.3">
      <c r="B137" s="6">
        <v>44290</v>
      </c>
      <c r="C137" s="2" t="s">
        <v>188</v>
      </c>
      <c r="D137" s="2" t="s">
        <v>237</v>
      </c>
      <c r="E137" s="2" t="s">
        <v>17</v>
      </c>
      <c r="F137" s="2" t="s">
        <v>57</v>
      </c>
      <c r="G137" s="2" t="s">
        <v>35</v>
      </c>
      <c r="H137" s="2" t="s">
        <v>55</v>
      </c>
      <c r="I137" s="8">
        <v>7226</v>
      </c>
      <c r="J137" s="7">
        <v>0.02</v>
      </c>
      <c r="K137" s="8">
        <f>IF(Tablo4[[#This Row],[Vergi Oranı]]="","",Tablo4[[#This Row],[Hizmet Tutarı]]*(1+Tablo4[[#This Row],[Vergi Oranı]]))</f>
        <v>7370.52</v>
      </c>
    </row>
    <row r="138" spans="2:11" x14ac:dyDescent="0.3">
      <c r="B138" s="6">
        <v>44321</v>
      </c>
      <c r="C138" s="2" t="s">
        <v>189</v>
      </c>
      <c r="D138" s="2" t="s">
        <v>238</v>
      </c>
      <c r="E138" s="2" t="s">
        <v>27</v>
      </c>
      <c r="F138" s="2" t="s">
        <v>59</v>
      </c>
      <c r="G138" s="2" t="s">
        <v>35</v>
      </c>
      <c r="H138" s="2" t="s">
        <v>55</v>
      </c>
      <c r="I138" s="8">
        <v>2516</v>
      </c>
      <c r="J138" s="7">
        <v>0.18</v>
      </c>
      <c r="K138" s="8">
        <f>IF(Tablo4[[#This Row],[Vergi Oranı]]="","",Tablo4[[#This Row],[Hizmet Tutarı]]*(1+Tablo4[[#This Row],[Vergi Oranı]]))</f>
        <v>2968.8799999999997</v>
      </c>
    </row>
    <row r="139" spans="2:11" x14ac:dyDescent="0.3">
      <c r="B139" s="6">
        <v>44326</v>
      </c>
      <c r="C139" s="2" t="s">
        <v>190</v>
      </c>
      <c r="D139" s="2" t="s">
        <v>237</v>
      </c>
      <c r="E139" s="2" t="s">
        <v>13</v>
      </c>
      <c r="F139" s="2" t="s">
        <v>57</v>
      </c>
      <c r="G139" s="2" t="s">
        <v>32</v>
      </c>
      <c r="H139" s="2" t="s">
        <v>54</v>
      </c>
      <c r="I139" s="8">
        <v>3365</v>
      </c>
      <c r="J139" s="7">
        <v>0.02</v>
      </c>
      <c r="K139" s="8">
        <f>IF(Tablo4[[#This Row],[Vergi Oranı]]="","",Tablo4[[#This Row],[Hizmet Tutarı]]*(1+Tablo4[[#This Row],[Vergi Oranı]]))</f>
        <v>3432.3</v>
      </c>
    </row>
    <row r="140" spans="2:11" x14ac:dyDescent="0.3">
      <c r="B140" s="6">
        <v>44349</v>
      </c>
      <c r="C140" s="2" t="s">
        <v>191</v>
      </c>
      <c r="D140" s="2" t="s">
        <v>238</v>
      </c>
      <c r="E140" s="2" t="s">
        <v>29</v>
      </c>
      <c r="F140" s="2" t="s">
        <v>59</v>
      </c>
      <c r="G140" s="2" t="s">
        <v>35</v>
      </c>
      <c r="H140" s="2" t="s">
        <v>56</v>
      </c>
      <c r="I140" s="8">
        <v>5012</v>
      </c>
      <c r="J140" s="7">
        <v>0.02</v>
      </c>
      <c r="K140" s="8">
        <f>IF(Tablo4[[#This Row],[Vergi Oranı]]="","",Tablo4[[#This Row],[Hizmet Tutarı]]*(1+Tablo4[[#This Row],[Vergi Oranı]]))</f>
        <v>5112.24</v>
      </c>
    </row>
    <row r="141" spans="2:11" x14ac:dyDescent="0.3">
      <c r="B141" s="6">
        <v>44255</v>
      </c>
      <c r="C141" s="2" t="s">
        <v>192</v>
      </c>
      <c r="D141" s="2" t="s">
        <v>237</v>
      </c>
      <c r="E141" s="2" t="s">
        <v>15</v>
      </c>
      <c r="F141" s="2" t="s">
        <v>57</v>
      </c>
      <c r="G141" s="2" t="s">
        <v>38</v>
      </c>
      <c r="H141" s="2" t="s">
        <v>54</v>
      </c>
      <c r="I141" s="8">
        <v>784</v>
      </c>
      <c r="J141" s="7">
        <v>0.08</v>
      </c>
      <c r="K141" s="8">
        <f>IF(Tablo4[[#This Row],[Vergi Oranı]]="","",Tablo4[[#This Row],[Hizmet Tutarı]]*(1+Tablo4[[#This Row],[Vergi Oranı]]))</f>
        <v>846.72</v>
      </c>
    </row>
    <row r="142" spans="2:11" x14ac:dyDescent="0.3">
      <c r="B142" s="6">
        <v>44245</v>
      </c>
      <c r="C142" s="2" t="s">
        <v>193</v>
      </c>
      <c r="D142" s="2" t="s">
        <v>237</v>
      </c>
      <c r="E142" s="2" t="s">
        <v>9</v>
      </c>
      <c r="F142" s="2" t="s">
        <v>57</v>
      </c>
      <c r="G142" s="2" t="s">
        <v>38</v>
      </c>
      <c r="H142" s="2" t="s">
        <v>55</v>
      </c>
      <c r="I142" s="8">
        <v>2030</v>
      </c>
      <c r="J142" s="7">
        <v>0.18</v>
      </c>
      <c r="K142" s="8">
        <f>IF(Tablo4[[#This Row],[Vergi Oranı]]="","",Tablo4[[#This Row],[Hizmet Tutarı]]*(1+Tablo4[[#This Row],[Vergi Oranı]]))</f>
        <v>2395.4</v>
      </c>
    </row>
    <row r="143" spans="2:11" x14ac:dyDescent="0.3">
      <c r="B143" s="6">
        <v>44265</v>
      </c>
      <c r="C143" s="2" t="s">
        <v>194</v>
      </c>
      <c r="D143" s="2" t="s">
        <v>237</v>
      </c>
      <c r="E143" s="2" t="s">
        <v>11</v>
      </c>
      <c r="F143" s="2" t="s">
        <v>57</v>
      </c>
      <c r="G143" s="2" t="s">
        <v>32</v>
      </c>
      <c r="H143" s="2" t="s">
        <v>55</v>
      </c>
      <c r="I143" s="8">
        <v>7628</v>
      </c>
      <c r="J143" s="7">
        <v>0.08</v>
      </c>
      <c r="K143" s="8">
        <f>IF(Tablo4[[#This Row],[Vergi Oranı]]="","",Tablo4[[#This Row],[Hizmet Tutarı]]*(1+Tablo4[[#This Row],[Vergi Oranı]]))</f>
        <v>8238.24</v>
      </c>
    </row>
    <row r="144" spans="2:11" x14ac:dyDescent="0.3">
      <c r="B144" s="6">
        <v>44318</v>
      </c>
      <c r="C144" s="2" t="s">
        <v>195</v>
      </c>
      <c r="D144" s="2" t="s">
        <v>238</v>
      </c>
      <c r="E144" s="2" t="s">
        <v>23</v>
      </c>
      <c r="F144" s="2" t="s">
        <v>59</v>
      </c>
      <c r="G144" s="2" t="s">
        <v>35</v>
      </c>
      <c r="H144" s="2" t="s">
        <v>56</v>
      </c>
      <c r="I144" s="8">
        <v>7315</v>
      </c>
      <c r="J144" s="7">
        <v>0.18</v>
      </c>
      <c r="K144" s="8">
        <f>IF(Tablo4[[#This Row],[Vergi Oranı]]="","",Tablo4[[#This Row],[Hizmet Tutarı]]*(1+Tablo4[[#This Row],[Vergi Oranı]]))</f>
        <v>8631.6999999999989</v>
      </c>
    </row>
    <row r="145" spans="2:11" x14ac:dyDescent="0.3">
      <c r="B145" s="6">
        <v>44202</v>
      </c>
      <c r="C145" s="2" t="s">
        <v>196</v>
      </c>
      <c r="D145" s="2" t="s">
        <v>237</v>
      </c>
      <c r="E145" s="2" t="s">
        <v>13</v>
      </c>
      <c r="F145" s="2" t="s">
        <v>57</v>
      </c>
      <c r="G145" s="2" t="s">
        <v>35</v>
      </c>
      <c r="H145" s="2" t="s">
        <v>56</v>
      </c>
      <c r="I145" s="8">
        <v>2423</v>
      </c>
      <c r="J145" s="7">
        <v>0.18</v>
      </c>
      <c r="K145" s="8">
        <f>IF(Tablo4[[#This Row],[Vergi Oranı]]="","",Tablo4[[#This Row],[Hizmet Tutarı]]*(1+Tablo4[[#This Row],[Vergi Oranı]]))</f>
        <v>2859.14</v>
      </c>
    </row>
    <row r="146" spans="2:11" x14ac:dyDescent="0.3">
      <c r="B146" s="6">
        <v>44365</v>
      </c>
      <c r="C146" s="2" t="s">
        <v>197</v>
      </c>
      <c r="D146" s="2" t="s">
        <v>237</v>
      </c>
      <c r="E146" s="2" t="s">
        <v>15</v>
      </c>
      <c r="F146" s="2" t="s">
        <v>57</v>
      </c>
      <c r="G146" s="2" t="s">
        <v>38</v>
      </c>
      <c r="H146" s="2" t="s">
        <v>54</v>
      </c>
      <c r="I146" s="8">
        <v>9559</v>
      </c>
      <c r="J146" s="7">
        <v>0.02</v>
      </c>
      <c r="K146" s="8">
        <f>IF(Tablo4[[#This Row],[Vergi Oranı]]="","",Tablo4[[#This Row],[Hizmet Tutarı]]*(1+Tablo4[[#This Row],[Vergi Oranı]]))</f>
        <v>9750.18</v>
      </c>
    </row>
    <row r="147" spans="2:11" x14ac:dyDescent="0.3">
      <c r="B147" s="6">
        <v>44342</v>
      </c>
      <c r="C147" s="2" t="s">
        <v>198</v>
      </c>
      <c r="D147" s="2" t="s">
        <v>237</v>
      </c>
      <c r="E147" s="2" t="s">
        <v>9</v>
      </c>
      <c r="F147" s="2" t="s">
        <v>57</v>
      </c>
      <c r="G147" s="2" t="s">
        <v>32</v>
      </c>
      <c r="H147" s="2" t="s">
        <v>56</v>
      </c>
      <c r="I147" s="8">
        <v>8784</v>
      </c>
      <c r="J147" s="7">
        <v>0.18</v>
      </c>
      <c r="K147" s="8">
        <f>IF(Tablo4[[#This Row],[Vergi Oranı]]="","",Tablo4[[#This Row],[Hizmet Tutarı]]*(1+Tablo4[[#This Row],[Vergi Oranı]]))</f>
        <v>10365.119999999999</v>
      </c>
    </row>
    <row r="148" spans="2:11" x14ac:dyDescent="0.3">
      <c r="B148" s="6">
        <v>44249</v>
      </c>
      <c r="C148" s="2" t="s">
        <v>199</v>
      </c>
      <c r="D148" s="2" t="s">
        <v>237</v>
      </c>
      <c r="E148" s="2" t="s">
        <v>21</v>
      </c>
      <c r="F148" s="2" t="s">
        <v>57</v>
      </c>
      <c r="G148" s="2" t="s">
        <v>32</v>
      </c>
      <c r="H148" s="2" t="s">
        <v>54</v>
      </c>
      <c r="I148" s="8">
        <v>3022</v>
      </c>
      <c r="J148" s="7">
        <v>0.08</v>
      </c>
      <c r="K148" s="8">
        <f>IF(Tablo4[[#This Row],[Vergi Oranı]]="","",Tablo4[[#This Row],[Hizmet Tutarı]]*(1+Tablo4[[#This Row],[Vergi Oranı]]))</f>
        <v>3263.76</v>
      </c>
    </row>
    <row r="149" spans="2:11" x14ac:dyDescent="0.3">
      <c r="B149" s="6">
        <v>44246</v>
      </c>
      <c r="C149" s="2" t="s">
        <v>200</v>
      </c>
      <c r="D149" s="2" t="s">
        <v>237</v>
      </c>
      <c r="E149" s="2" t="s">
        <v>19</v>
      </c>
      <c r="F149" s="2" t="s">
        <v>57</v>
      </c>
      <c r="G149" s="2" t="s">
        <v>35</v>
      </c>
      <c r="H149" s="2" t="s">
        <v>56</v>
      </c>
      <c r="I149" s="8">
        <v>5540</v>
      </c>
      <c r="J149" s="7">
        <v>0.08</v>
      </c>
      <c r="K149" s="8">
        <f>IF(Tablo4[[#This Row],[Vergi Oranı]]="","",Tablo4[[#This Row],[Hizmet Tutarı]]*(1+Tablo4[[#This Row],[Vergi Oranı]]))</f>
        <v>5983.2000000000007</v>
      </c>
    </row>
    <row r="150" spans="2:11" x14ac:dyDescent="0.3">
      <c r="B150" s="6">
        <v>44340</v>
      </c>
      <c r="C150" s="2" t="s">
        <v>201</v>
      </c>
      <c r="D150" s="2" t="s">
        <v>238</v>
      </c>
      <c r="E150" s="2" t="s">
        <v>25</v>
      </c>
      <c r="F150" s="2" t="s">
        <v>59</v>
      </c>
      <c r="G150" s="2" t="s">
        <v>35</v>
      </c>
      <c r="H150" s="2" t="s">
        <v>56</v>
      </c>
      <c r="I150" s="8">
        <v>4458</v>
      </c>
      <c r="J150" s="7">
        <v>0.08</v>
      </c>
      <c r="K150" s="8">
        <f>IF(Tablo4[[#This Row],[Vergi Oranı]]="","",Tablo4[[#This Row],[Hizmet Tutarı]]*(1+Tablo4[[#This Row],[Vergi Oranı]]))</f>
        <v>4814.6400000000003</v>
      </c>
    </row>
    <row r="151" spans="2:11" x14ac:dyDescent="0.3">
      <c r="B151" s="6">
        <v>44202</v>
      </c>
      <c r="C151" s="2" t="s">
        <v>202</v>
      </c>
      <c r="D151" s="2" t="s">
        <v>237</v>
      </c>
      <c r="E151" s="2" t="s">
        <v>13</v>
      </c>
      <c r="F151" s="2" t="s">
        <v>57</v>
      </c>
      <c r="G151" s="2" t="s">
        <v>35</v>
      </c>
      <c r="H151" s="2" t="s">
        <v>56</v>
      </c>
      <c r="I151" s="8">
        <v>6646</v>
      </c>
      <c r="J151" s="7">
        <v>0.02</v>
      </c>
      <c r="K151" s="8">
        <f>IF(Tablo4[[#This Row],[Vergi Oranı]]="","",Tablo4[[#This Row],[Hizmet Tutarı]]*(1+Tablo4[[#This Row],[Vergi Oranı]]))</f>
        <v>6778.92</v>
      </c>
    </row>
    <row r="152" spans="2:11" x14ac:dyDescent="0.3">
      <c r="B152" s="6">
        <v>44234</v>
      </c>
      <c r="C152" s="2" t="s">
        <v>203</v>
      </c>
      <c r="D152" s="2" t="s">
        <v>238</v>
      </c>
      <c r="E152" s="2" t="s">
        <v>27</v>
      </c>
      <c r="F152" s="2" t="s">
        <v>59</v>
      </c>
      <c r="G152" s="2" t="s">
        <v>35</v>
      </c>
      <c r="H152" s="2" t="s">
        <v>55</v>
      </c>
      <c r="I152" s="8">
        <v>2352</v>
      </c>
      <c r="J152" s="7">
        <v>0.08</v>
      </c>
      <c r="K152" s="8">
        <f>IF(Tablo4[[#This Row],[Vergi Oranı]]="","",Tablo4[[#This Row],[Hizmet Tutarı]]*(1+Tablo4[[#This Row],[Vergi Oranı]]))</f>
        <v>2540.1600000000003</v>
      </c>
    </row>
    <row r="153" spans="2:11" x14ac:dyDescent="0.3">
      <c r="B153" s="6">
        <v>44340</v>
      </c>
      <c r="C153" s="2" t="s">
        <v>204</v>
      </c>
      <c r="D153" s="2" t="s">
        <v>238</v>
      </c>
      <c r="E153" s="2" t="s">
        <v>25</v>
      </c>
      <c r="F153" s="2" t="s">
        <v>59</v>
      </c>
      <c r="G153" s="2" t="s">
        <v>38</v>
      </c>
      <c r="H153" s="2" t="s">
        <v>56</v>
      </c>
      <c r="I153" s="8">
        <v>7458</v>
      </c>
      <c r="J153" s="7">
        <v>0.02</v>
      </c>
      <c r="K153" s="8">
        <f>IF(Tablo4[[#This Row],[Vergi Oranı]]="","",Tablo4[[#This Row],[Hizmet Tutarı]]*(1+Tablo4[[#This Row],[Vergi Oranı]]))</f>
        <v>7607.16</v>
      </c>
    </row>
    <row r="154" spans="2:11" x14ac:dyDescent="0.3">
      <c r="B154" s="6">
        <v>44202</v>
      </c>
      <c r="C154" s="2" t="s">
        <v>205</v>
      </c>
      <c r="D154" s="2" t="s">
        <v>237</v>
      </c>
      <c r="E154" s="2" t="s">
        <v>9</v>
      </c>
      <c r="F154" s="2" t="s">
        <v>57</v>
      </c>
      <c r="G154" s="2" t="s">
        <v>38</v>
      </c>
      <c r="H154" s="2" t="s">
        <v>56</v>
      </c>
      <c r="I154" s="8">
        <v>564</v>
      </c>
      <c r="J154" s="7">
        <v>0.02</v>
      </c>
      <c r="K154" s="8">
        <f>IF(Tablo4[[#This Row],[Vergi Oranı]]="","",Tablo4[[#This Row],[Hizmet Tutarı]]*(1+Tablo4[[#This Row],[Vergi Oranı]]))</f>
        <v>575.28</v>
      </c>
    </row>
    <row r="155" spans="2:11" x14ac:dyDescent="0.3">
      <c r="B155" s="6">
        <v>44319</v>
      </c>
      <c r="C155" s="2" t="s">
        <v>206</v>
      </c>
      <c r="D155" s="2" t="s">
        <v>238</v>
      </c>
      <c r="E155" s="2" t="s">
        <v>27</v>
      </c>
      <c r="F155" s="2" t="s">
        <v>59</v>
      </c>
      <c r="G155" s="2" t="s">
        <v>32</v>
      </c>
      <c r="H155" s="2" t="s">
        <v>54</v>
      </c>
      <c r="I155" s="8">
        <v>6234</v>
      </c>
      <c r="J155" s="7">
        <v>0.08</v>
      </c>
      <c r="K155" s="8">
        <f>IF(Tablo4[[#This Row],[Vergi Oranı]]="","",Tablo4[[#This Row],[Hizmet Tutarı]]*(1+Tablo4[[#This Row],[Vergi Oranı]]))</f>
        <v>6732.72</v>
      </c>
    </row>
    <row r="156" spans="2:11" x14ac:dyDescent="0.3">
      <c r="B156" s="6">
        <v>44356</v>
      </c>
      <c r="C156" s="2" t="s">
        <v>207</v>
      </c>
      <c r="D156" s="2" t="s">
        <v>237</v>
      </c>
      <c r="E156" s="2" t="s">
        <v>9</v>
      </c>
      <c r="F156" s="2" t="s">
        <v>57</v>
      </c>
      <c r="G156" s="2" t="s">
        <v>32</v>
      </c>
      <c r="H156" s="2" t="s">
        <v>54</v>
      </c>
      <c r="I156" s="8">
        <v>5067</v>
      </c>
      <c r="J156" s="7">
        <v>0.08</v>
      </c>
      <c r="K156" s="8">
        <f>IF(Tablo4[[#This Row],[Vergi Oranı]]="","",Tablo4[[#This Row],[Hizmet Tutarı]]*(1+Tablo4[[#This Row],[Vergi Oranı]]))</f>
        <v>5472.3600000000006</v>
      </c>
    </row>
    <row r="157" spans="2:11" x14ac:dyDescent="0.3">
      <c r="B157" s="6">
        <v>44328</v>
      </c>
      <c r="C157" s="2" t="s">
        <v>208</v>
      </c>
      <c r="D157" s="2" t="s">
        <v>238</v>
      </c>
      <c r="E157" s="2" t="s">
        <v>29</v>
      </c>
      <c r="F157" s="2" t="s">
        <v>59</v>
      </c>
      <c r="G157" s="2" t="s">
        <v>32</v>
      </c>
      <c r="H157" s="2" t="s">
        <v>56</v>
      </c>
      <c r="I157" s="8">
        <v>1528</v>
      </c>
      <c r="J157" s="7">
        <v>0.08</v>
      </c>
      <c r="K157" s="8">
        <f>IF(Tablo4[[#This Row],[Vergi Oranı]]="","",Tablo4[[#This Row],[Hizmet Tutarı]]*(1+Tablo4[[#This Row],[Vergi Oranı]]))</f>
        <v>1650.24</v>
      </c>
    </row>
    <row r="158" spans="2:11" x14ac:dyDescent="0.3">
      <c r="B158" s="6">
        <v>44314</v>
      </c>
      <c r="C158" s="2" t="s">
        <v>209</v>
      </c>
      <c r="D158" s="2" t="s">
        <v>238</v>
      </c>
      <c r="E158" s="2" t="s">
        <v>25</v>
      </c>
      <c r="F158" s="2" t="s">
        <v>59</v>
      </c>
      <c r="G158" s="2" t="s">
        <v>38</v>
      </c>
      <c r="H158" s="2" t="s">
        <v>56</v>
      </c>
      <c r="I158" s="8">
        <v>5271</v>
      </c>
      <c r="J158" s="7">
        <v>0.18</v>
      </c>
      <c r="K158" s="8">
        <f>IF(Tablo4[[#This Row],[Vergi Oranı]]="","",Tablo4[[#This Row],[Hizmet Tutarı]]*(1+Tablo4[[#This Row],[Vergi Oranı]]))</f>
        <v>6219.78</v>
      </c>
    </row>
    <row r="159" spans="2:11" x14ac:dyDescent="0.3">
      <c r="B159" s="6">
        <v>44205</v>
      </c>
      <c r="C159" s="2" t="s">
        <v>210</v>
      </c>
      <c r="D159" s="2" t="s">
        <v>237</v>
      </c>
      <c r="E159" s="2" t="s">
        <v>15</v>
      </c>
      <c r="F159" s="2" t="s">
        <v>57</v>
      </c>
      <c r="G159" s="2" t="s">
        <v>32</v>
      </c>
      <c r="H159" s="2" t="s">
        <v>54</v>
      </c>
      <c r="I159" s="8">
        <v>3776</v>
      </c>
      <c r="J159" s="7">
        <v>0.02</v>
      </c>
      <c r="K159" s="8">
        <f>IF(Tablo4[[#This Row],[Vergi Oranı]]="","",Tablo4[[#This Row],[Hizmet Tutarı]]*(1+Tablo4[[#This Row],[Vergi Oranı]]))</f>
        <v>3851.52</v>
      </c>
    </row>
    <row r="160" spans="2:11" x14ac:dyDescent="0.3">
      <c r="B160" s="6">
        <v>44350</v>
      </c>
      <c r="C160" s="2" t="s">
        <v>211</v>
      </c>
      <c r="D160" s="2" t="s">
        <v>238</v>
      </c>
      <c r="E160" s="2" t="s">
        <v>29</v>
      </c>
      <c r="F160" s="2" t="s">
        <v>59</v>
      </c>
      <c r="G160" s="2" t="s">
        <v>35</v>
      </c>
      <c r="H160" s="2" t="s">
        <v>54</v>
      </c>
      <c r="I160" s="8">
        <v>6353</v>
      </c>
      <c r="J160" s="7">
        <v>0.02</v>
      </c>
      <c r="K160" s="8">
        <f>IF(Tablo4[[#This Row],[Vergi Oranı]]="","",Tablo4[[#This Row],[Hizmet Tutarı]]*(1+Tablo4[[#This Row],[Vergi Oranı]]))</f>
        <v>6480.06</v>
      </c>
    </row>
    <row r="161" spans="2:11" x14ac:dyDescent="0.3">
      <c r="B161" s="6">
        <v>44240</v>
      </c>
      <c r="C161" s="2" t="s">
        <v>212</v>
      </c>
      <c r="D161" s="2" t="s">
        <v>237</v>
      </c>
      <c r="E161" s="2" t="s">
        <v>19</v>
      </c>
      <c r="F161" s="2" t="s">
        <v>57</v>
      </c>
      <c r="G161" s="2" t="s">
        <v>32</v>
      </c>
      <c r="H161" s="2" t="s">
        <v>55</v>
      </c>
      <c r="I161" s="8">
        <v>6845</v>
      </c>
      <c r="J161" s="7">
        <v>0.08</v>
      </c>
      <c r="K161" s="8">
        <f>IF(Tablo4[[#This Row],[Vergi Oranı]]="","",Tablo4[[#This Row],[Hizmet Tutarı]]*(1+Tablo4[[#This Row],[Vergi Oranı]]))</f>
        <v>7392.6</v>
      </c>
    </row>
    <row r="162" spans="2:11" x14ac:dyDescent="0.3">
      <c r="B162" s="6">
        <v>44253</v>
      </c>
      <c r="C162" s="2" t="s">
        <v>213</v>
      </c>
      <c r="D162" s="2" t="s">
        <v>237</v>
      </c>
      <c r="E162" s="2" t="s">
        <v>19</v>
      </c>
      <c r="F162" s="2" t="s">
        <v>57</v>
      </c>
      <c r="G162" s="2" t="s">
        <v>38</v>
      </c>
      <c r="H162" s="2" t="s">
        <v>55</v>
      </c>
      <c r="I162" s="8">
        <v>7499</v>
      </c>
      <c r="J162" s="7">
        <v>0.08</v>
      </c>
      <c r="K162" s="8">
        <f>IF(Tablo4[[#This Row],[Vergi Oranı]]="","",Tablo4[[#This Row],[Hizmet Tutarı]]*(1+Tablo4[[#This Row],[Vergi Oranı]]))</f>
        <v>8098.920000000001</v>
      </c>
    </row>
    <row r="163" spans="2:11" x14ac:dyDescent="0.3">
      <c r="B163" s="6">
        <v>44221</v>
      </c>
      <c r="C163" s="2" t="s">
        <v>214</v>
      </c>
      <c r="D163" s="2" t="s">
        <v>238</v>
      </c>
      <c r="E163" s="2" t="s">
        <v>27</v>
      </c>
      <c r="F163" s="2" t="s">
        <v>59</v>
      </c>
      <c r="G163" s="2" t="s">
        <v>38</v>
      </c>
      <c r="H163" s="2" t="s">
        <v>54</v>
      </c>
      <c r="I163" s="8">
        <v>2799</v>
      </c>
      <c r="J163" s="7">
        <v>0.18</v>
      </c>
      <c r="K163" s="8">
        <f>IF(Tablo4[[#This Row],[Vergi Oranı]]="","",Tablo4[[#This Row],[Hizmet Tutarı]]*(1+Tablo4[[#This Row],[Vergi Oranı]]))</f>
        <v>3302.8199999999997</v>
      </c>
    </row>
    <row r="164" spans="2:11" x14ac:dyDescent="0.3">
      <c r="B164" s="6">
        <v>44299</v>
      </c>
      <c r="C164" s="2" t="s">
        <v>215</v>
      </c>
      <c r="D164" s="2" t="s">
        <v>238</v>
      </c>
      <c r="E164" s="2" t="s">
        <v>29</v>
      </c>
      <c r="F164" s="2" t="s">
        <v>59</v>
      </c>
      <c r="G164" s="2" t="s">
        <v>38</v>
      </c>
      <c r="H164" s="2" t="s">
        <v>56</v>
      </c>
      <c r="I164" s="8">
        <v>3322</v>
      </c>
      <c r="J164" s="7">
        <v>0.08</v>
      </c>
      <c r="K164" s="8">
        <f>IF(Tablo4[[#This Row],[Vergi Oranı]]="","",Tablo4[[#This Row],[Hizmet Tutarı]]*(1+Tablo4[[#This Row],[Vergi Oranı]]))</f>
        <v>3587.76</v>
      </c>
    </row>
    <row r="165" spans="2:11" x14ac:dyDescent="0.3">
      <c r="B165" s="6">
        <v>44301</v>
      </c>
      <c r="C165" s="2" t="s">
        <v>216</v>
      </c>
      <c r="D165" s="2" t="s">
        <v>238</v>
      </c>
      <c r="E165" s="2" t="s">
        <v>25</v>
      </c>
      <c r="F165" s="2" t="s">
        <v>59</v>
      </c>
      <c r="G165" s="2" t="s">
        <v>38</v>
      </c>
      <c r="H165" s="2" t="s">
        <v>54</v>
      </c>
      <c r="I165" s="8">
        <v>683</v>
      </c>
      <c r="J165" s="7">
        <v>0.08</v>
      </c>
      <c r="K165" s="8">
        <f>IF(Tablo4[[#This Row],[Vergi Oranı]]="","",Tablo4[[#This Row],[Hizmet Tutarı]]*(1+Tablo4[[#This Row],[Vergi Oranı]]))</f>
        <v>737.6400000000001</v>
      </c>
    </row>
    <row r="166" spans="2:11" x14ac:dyDescent="0.3">
      <c r="B166" s="6">
        <v>44354</v>
      </c>
      <c r="C166" s="2" t="s">
        <v>217</v>
      </c>
      <c r="D166" s="2" t="s">
        <v>238</v>
      </c>
      <c r="E166" s="2" t="s">
        <v>25</v>
      </c>
      <c r="F166" s="2" t="s">
        <v>59</v>
      </c>
      <c r="G166" s="2" t="s">
        <v>35</v>
      </c>
      <c r="H166" s="2" t="s">
        <v>54</v>
      </c>
      <c r="I166" s="8">
        <v>2624</v>
      </c>
      <c r="J166" s="7">
        <v>0.02</v>
      </c>
      <c r="K166" s="8">
        <f>IF(Tablo4[[#This Row],[Vergi Oranı]]="","",Tablo4[[#This Row],[Hizmet Tutarı]]*(1+Tablo4[[#This Row],[Vergi Oranı]]))</f>
        <v>2676.48</v>
      </c>
    </row>
    <row r="167" spans="2:11" x14ac:dyDescent="0.3">
      <c r="B167" s="6">
        <v>44283</v>
      </c>
      <c r="C167" s="2" t="s">
        <v>218</v>
      </c>
      <c r="D167" s="2" t="s">
        <v>237</v>
      </c>
      <c r="E167" s="2" t="s">
        <v>17</v>
      </c>
      <c r="F167" s="2" t="s">
        <v>57</v>
      </c>
      <c r="G167" s="2" t="s">
        <v>32</v>
      </c>
      <c r="H167" s="2" t="s">
        <v>56</v>
      </c>
      <c r="I167" s="8">
        <v>9145</v>
      </c>
      <c r="J167" s="7">
        <v>0.18</v>
      </c>
      <c r="K167" s="8">
        <f>IF(Tablo4[[#This Row],[Vergi Oranı]]="","",Tablo4[[#This Row],[Hizmet Tutarı]]*(1+Tablo4[[#This Row],[Vergi Oranı]]))</f>
        <v>10791.099999999999</v>
      </c>
    </row>
    <row r="168" spans="2:11" x14ac:dyDescent="0.3">
      <c r="B168" s="6">
        <v>44309</v>
      </c>
      <c r="C168" s="2" t="s">
        <v>219</v>
      </c>
      <c r="D168" s="2" t="s">
        <v>238</v>
      </c>
      <c r="E168" s="2" t="s">
        <v>23</v>
      </c>
      <c r="F168" s="2" t="s">
        <v>59</v>
      </c>
      <c r="G168" s="2" t="s">
        <v>32</v>
      </c>
      <c r="H168" s="2" t="s">
        <v>56</v>
      </c>
      <c r="I168" s="8">
        <v>9098</v>
      </c>
      <c r="J168" s="7">
        <v>0.02</v>
      </c>
      <c r="K168" s="8">
        <f>IF(Tablo4[[#This Row],[Vergi Oranı]]="","",Tablo4[[#This Row],[Hizmet Tutarı]]*(1+Tablo4[[#This Row],[Vergi Oranı]]))</f>
        <v>9279.9600000000009</v>
      </c>
    </row>
    <row r="169" spans="2:11" x14ac:dyDescent="0.3">
      <c r="B169" s="6">
        <v>44318</v>
      </c>
      <c r="C169" s="2" t="s">
        <v>220</v>
      </c>
      <c r="D169" s="2" t="s">
        <v>238</v>
      </c>
      <c r="E169" s="2" t="s">
        <v>25</v>
      </c>
      <c r="F169" s="2" t="s">
        <v>59</v>
      </c>
      <c r="G169" s="2" t="s">
        <v>38</v>
      </c>
      <c r="H169" s="2" t="s">
        <v>54</v>
      </c>
      <c r="I169" s="8">
        <v>5734</v>
      </c>
      <c r="J169" s="7">
        <v>0.02</v>
      </c>
      <c r="K169" s="8">
        <f>IF(Tablo4[[#This Row],[Vergi Oranı]]="","",Tablo4[[#This Row],[Hizmet Tutarı]]*(1+Tablo4[[#This Row],[Vergi Oranı]]))</f>
        <v>5848.68</v>
      </c>
    </row>
    <row r="170" spans="2:11" x14ac:dyDescent="0.3">
      <c r="B170" s="6">
        <v>44363</v>
      </c>
      <c r="C170" s="2" t="s">
        <v>221</v>
      </c>
      <c r="D170" s="2" t="s">
        <v>238</v>
      </c>
      <c r="E170" s="2" t="s">
        <v>27</v>
      </c>
      <c r="F170" s="2" t="s">
        <v>59</v>
      </c>
      <c r="G170" s="2" t="s">
        <v>32</v>
      </c>
      <c r="H170" s="2" t="s">
        <v>54</v>
      </c>
      <c r="I170" s="8">
        <v>1761</v>
      </c>
      <c r="J170" s="7">
        <v>0.18</v>
      </c>
      <c r="K170" s="8">
        <f>IF(Tablo4[[#This Row],[Vergi Oranı]]="","",Tablo4[[#This Row],[Hizmet Tutarı]]*(1+Tablo4[[#This Row],[Vergi Oranı]]))</f>
        <v>2077.98</v>
      </c>
    </row>
    <row r="171" spans="2:11" x14ac:dyDescent="0.3">
      <c r="B171" s="6">
        <v>44247</v>
      </c>
      <c r="C171" s="2" t="s">
        <v>222</v>
      </c>
      <c r="D171" s="2" t="s">
        <v>237</v>
      </c>
      <c r="E171" s="2" t="s">
        <v>9</v>
      </c>
      <c r="F171" s="2" t="s">
        <v>57</v>
      </c>
      <c r="G171" s="2" t="s">
        <v>32</v>
      </c>
      <c r="H171" s="2" t="s">
        <v>54</v>
      </c>
      <c r="I171" s="8">
        <v>2523</v>
      </c>
      <c r="J171" s="7">
        <v>0.18</v>
      </c>
      <c r="K171" s="8">
        <f>IF(Tablo4[[#This Row],[Vergi Oranı]]="","",Tablo4[[#This Row],[Hizmet Tutarı]]*(1+Tablo4[[#This Row],[Vergi Oranı]]))</f>
        <v>2977.14</v>
      </c>
    </row>
    <row r="172" spans="2:11" x14ac:dyDescent="0.3">
      <c r="B172" s="6">
        <v>44373</v>
      </c>
      <c r="C172" s="2" t="s">
        <v>223</v>
      </c>
      <c r="D172" s="2" t="s">
        <v>238</v>
      </c>
      <c r="E172" s="2" t="s">
        <v>29</v>
      </c>
      <c r="F172" s="2" t="s">
        <v>59</v>
      </c>
      <c r="G172" s="2" t="s">
        <v>32</v>
      </c>
      <c r="H172" s="2" t="s">
        <v>54</v>
      </c>
      <c r="I172" s="8">
        <v>4744</v>
      </c>
      <c r="J172" s="7">
        <v>0.02</v>
      </c>
      <c r="K172" s="8">
        <f>IF(Tablo4[[#This Row],[Vergi Oranı]]="","",Tablo4[[#This Row],[Hizmet Tutarı]]*(1+Tablo4[[#This Row],[Vergi Oranı]]))</f>
        <v>4838.88</v>
      </c>
    </row>
    <row r="173" spans="2:11" x14ac:dyDescent="0.3">
      <c r="B173" s="6">
        <v>44248</v>
      </c>
      <c r="C173" s="2" t="s">
        <v>224</v>
      </c>
      <c r="D173" s="2" t="s">
        <v>238</v>
      </c>
      <c r="E173" s="2" t="s">
        <v>23</v>
      </c>
      <c r="F173" s="2" t="s">
        <v>59</v>
      </c>
      <c r="G173" s="2" t="s">
        <v>38</v>
      </c>
      <c r="H173" s="2" t="s">
        <v>56</v>
      </c>
      <c r="I173" s="8">
        <v>1627</v>
      </c>
      <c r="J173" s="7">
        <v>0.08</v>
      </c>
      <c r="K173" s="8">
        <f>IF(Tablo4[[#This Row],[Vergi Oranı]]="","",Tablo4[[#This Row],[Hizmet Tutarı]]*(1+Tablo4[[#This Row],[Vergi Oranı]]))</f>
        <v>1757.16</v>
      </c>
    </row>
    <row r="174" spans="2:11" x14ac:dyDescent="0.3">
      <c r="B174" s="6">
        <v>44213</v>
      </c>
      <c r="C174" s="2" t="s">
        <v>225</v>
      </c>
      <c r="D174" s="2" t="s">
        <v>238</v>
      </c>
      <c r="E174" s="2" t="s">
        <v>27</v>
      </c>
      <c r="F174" s="2" t="s">
        <v>59</v>
      </c>
      <c r="G174" s="2" t="s">
        <v>38</v>
      </c>
      <c r="H174" s="2" t="s">
        <v>55</v>
      </c>
      <c r="I174" s="8">
        <v>8196</v>
      </c>
      <c r="J174" s="7">
        <v>0.18</v>
      </c>
      <c r="K174" s="8">
        <f>IF(Tablo4[[#This Row],[Vergi Oranı]]="","",Tablo4[[#This Row],[Hizmet Tutarı]]*(1+Tablo4[[#This Row],[Vergi Oranı]]))</f>
        <v>9671.2799999999988</v>
      </c>
    </row>
    <row r="175" spans="2:11" x14ac:dyDescent="0.3">
      <c r="B175" s="6">
        <v>44230</v>
      </c>
      <c r="C175" s="2" t="s">
        <v>226</v>
      </c>
      <c r="D175" s="2" t="s">
        <v>238</v>
      </c>
      <c r="E175" s="2" t="s">
        <v>23</v>
      </c>
      <c r="F175" s="2" t="s">
        <v>59</v>
      </c>
      <c r="G175" s="2" t="s">
        <v>38</v>
      </c>
      <c r="H175" s="2" t="s">
        <v>55</v>
      </c>
      <c r="I175" s="8">
        <v>4436</v>
      </c>
      <c r="J175" s="7">
        <v>0.18</v>
      </c>
      <c r="K175" s="8">
        <f>IF(Tablo4[[#This Row],[Vergi Oranı]]="","",Tablo4[[#This Row],[Hizmet Tutarı]]*(1+Tablo4[[#This Row],[Vergi Oranı]]))</f>
        <v>5234.4799999999996</v>
      </c>
    </row>
    <row r="176" spans="2:11" x14ac:dyDescent="0.3">
      <c r="B176" s="6">
        <v>44310</v>
      </c>
      <c r="C176" s="2" t="s">
        <v>227</v>
      </c>
      <c r="D176" s="2" t="s">
        <v>237</v>
      </c>
      <c r="E176" s="2" t="s">
        <v>15</v>
      </c>
      <c r="F176" s="2" t="s">
        <v>57</v>
      </c>
      <c r="G176" s="2" t="s">
        <v>32</v>
      </c>
      <c r="H176" s="2" t="s">
        <v>55</v>
      </c>
      <c r="I176" s="8">
        <v>5689</v>
      </c>
      <c r="J176" s="7">
        <v>0.02</v>
      </c>
      <c r="K176" s="8">
        <f>IF(Tablo4[[#This Row],[Vergi Oranı]]="","",Tablo4[[#This Row],[Hizmet Tutarı]]*(1+Tablo4[[#This Row],[Vergi Oranı]]))</f>
        <v>5802.78</v>
      </c>
    </row>
    <row r="177" spans="2:11" x14ac:dyDescent="0.3">
      <c r="B177" s="6">
        <v>44360</v>
      </c>
      <c r="C177" s="2" t="s">
        <v>228</v>
      </c>
      <c r="D177" s="2" t="s">
        <v>237</v>
      </c>
      <c r="E177" s="2" t="s">
        <v>19</v>
      </c>
      <c r="F177" s="2" t="s">
        <v>57</v>
      </c>
      <c r="G177" s="2" t="s">
        <v>38</v>
      </c>
      <c r="H177" s="2" t="s">
        <v>54</v>
      </c>
      <c r="I177" s="8">
        <v>2304</v>
      </c>
      <c r="J177" s="7">
        <v>0.18</v>
      </c>
      <c r="K177" s="8">
        <f>IF(Tablo4[[#This Row],[Vergi Oranı]]="","",Tablo4[[#This Row],[Hizmet Tutarı]]*(1+Tablo4[[#This Row],[Vergi Oranı]]))</f>
        <v>2718.72</v>
      </c>
    </row>
    <row r="178" spans="2:11" x14ac:dyDescent="0.3">
      <c r="B178" s="6">
        <v>44215</v>
      </c>
      <c r="C178" s="2" t="s">
        <v>229</v>
      </c>
      <c r="D178" s="2" t="s">
        <v>238</v>
      </c>
      <c r="E178" s="2" t="s">
        <v>29</v>
      </c>
      <c r="F178" s="2" t="s">
        <v>59</v>
      </c>
      <c r="G178" s="2" t="s">
        <v>38</v>
      </c>
      <c r="H178" s="2" t="s">
        <v>54</v>
      </c>
      <c r="I178" s="8">
        <v>3606</v>
      </c>
      <c r="J178" s="7">
        <v>0.02</v>
      </c>
      <c r="K178" s="8">
        <f>IF(Tablo4[[#This Row],[Vergi Oranı]]="","",Tablo4[[#This Row],[Hizmet Tutarı]]*(1+Tablo4[[#This Row],[Vergi Oranı]]))</f>
        <v>3678.12</v>
      </c>
    </row>
    <row r="179" spans="2:11" x14ac:dyDescent="0.3">
      <c r="B179" s="6">
        <v>44340</v>
      </c>
      <c r="C179" s="2" t="s">
        <v>230</v>
      </c>
      <c r="D179" s="2" t="s">
        <v>238</v>
      </c>
      <c r="E179" s="2" t="s">
        <v>23</v>
      </c>
      <c r="F179" s="2" t="s">
        <v>59</v>
      </c>
      <c r="G179" s="2" t="s">
        <v>32</v>
      </c>
      <c r="H179" s="2" t="s">
        <v>56</v>
      </c>
      <c r="I179" s="8">
        <v>7644</v>
      </c>
      <c r="J179" s="7">
        <v>0.02</v>
      </c>
      <c r="K179" s="8">
        <f>IF(Tablo4[[#This Row],[Vergi Oranı]]="","",Tablo4[[#This Row],[Hizmet Tutarı]]*(1+Tablo4[[#This Row],[Vergi Oranı]]))</f>
        <v>7796.88</v>
      </c>
    </row>
    <row r="180" spans="2:11" x14ac:dyDescent="0.3">
      <c r="B180" s="6">
        <v>44369</v>
      </c>
      <c r="C180" s="2" t="s">
        <v>231</v>
      </c>
      <c r="D180" s="2" t="s">
        <v>238</v>
      </c>
      <c r="E180" s="2" t="s">
        <v>23</v>
      </c>
      <c r="F180" s="2" t="s">
        <v>59</v>
      </c>
      <c r="G180" s="2" t="s">
        <v>38</v>
      </c>
      <c r="H180" s="2" t="s">
        <v>56</v>
      </c>
      <c r="I180" s="8">
        <v>6310</v>
      </c>
      <c r="J180" s="7">
        <v>0.18</v>
      </c>
      <c r="K180" s="8">
        <f>IF(Tablo4[[#This Row],[Vergi Oranı]]="","",Tablo4[[#This Row],[Hizmet Tutarı]]*(1+Tablo4[[#This Row],[Vergi Oranı]]))</f>
        <v>7445.7999999999993</v>
      </c>
    </row>
    <row r="181" spans="2:11" x14ac:dyDescent="0.3">
      <c r="B181" s="6">
        <v>44278</v>
      </c>
      <c r="C181" s="2" t="s">
        <v>232</v>
      </c>
      <c r="D181" s="2" t="s">
        <v>238</v>
      </c>
      <c r="E181" s="2" t="s">
        <v>29</v>
      </c>
      <c r="F181" s="2" t="s">
        <v>59</v>
      </c>
      <c r="G181" s="2" t="s">
        <v>32</v>
      </c>
      <c r="H181" s="2" t="s">
        <v>55</v>
      </c>
      <c r="I181" s="8">
        <v>4876</v>
      </c>
      <c r="J181" s="7">
        <v>0.02</v>
      </c>
      <c r="K181" s="8">
        <f>IF(Tablo4[[#This Row],[Vergi Oranı]]="","",Tablo4[[#This Row],[Hizmet Tutarı]]*(1+Tablo4[[#This Row],[Vergi Oranı]]))</f>
        <v>4973.5200000000004</v>
      </c>
    </row>
    <row r="182" spans="2:11" x14ac:dyDescent="0.3">
      <c r="B182" s="6">
        <v>44335</v>
      </c>
      <c r="C182" s="2" t="s">
        <v>233</v>
      </c>
      <c r="D182" s="2" t="s">
        <v>237</v>
      </c>
      <c r="E182" s="2" t="s">
        <v>11</v>
      </c>
      <c r="F182" s="2" t="s">
        <v>57</v>
      </c>
      <c r="G182" s="2" t="s">
        <v>35</v>
      </c>
      <c r="H182" s="2" t="s">
        <v>55</v>
      </c>
      <c r="I182" s="8">
        <v>6906</v>
      </c>
      <c r="J182" s="7">
        <v>0.08</v>
      </c>
      <c r="K182" s="8">
        <f>IF(Tablo4[[#This Row],[Vergi Oranı]]="","",Tablo4[[#This Row],[Hizmet Tutarı]]*(1+Tablo4[[#This Row],[Vergi Oranı]]))</f>
        <v>7458.4800000000005</v>
      </c>
    </row>
    <row r="183" spans="2:11" x14ac:dyDescent="0.3">
      <c r="B183" s="6">
        <v>44360</v>
      </c>
      <c r="C183" s="2" t="s">
        <v>234</v>
      </c>
      <c r="D183" s="2" t="s">
        <v>237</v>
      </c>
      <c r="E183" s="2" t="s">
        <v>17</v>
      </c>
      <c r="F183" s="2" t="s">
        <v>57</v>
      </c>
      <c r="G183" s="2" t="s">
        <v>38</v>
      </c>
      <c r="H183" s="2" t="s">
        <v>54</v>
      </c>
      <c r="I183" s="8">
        <v>2640</v>
      </c>
      <c r="J183" s="7">
        <v>0.08</v>
      </c>
      <c r="K183" s="8">
        <f>IF(Tablo4[[#This Row],[Vergi Oranı]]="","",Tablo4[[#This Row],[Hizmet Tutarı]]*(1+Tablo4[[#This Row],[Vergi Oranı]]))</f>
        <v>2851.2000000000003</v>
      </c>
    </row>
  </sheetData>
  <mergeCells count="1">
    <mergeCell ref="E2:J2"/>
  </mergeCells>
  <dataValidations count="6">
    <dataValidation type="list" allowBlank="1" showInputMessage="1" showErrorMessage="1" sqref="F6:F183" xr:uid="{B418AB83-BD3D-436E-847B-9DE8DD7D0B4C}">
      <formula1>"Gelir,Gider"</formula1>
    </dataValidation>
    <dataValidation type="list" allowBlank="1" showInputMessage="1" showErrorMessage="1" sqref="G6:G183" xr:uid="{B354D9D2-3293-466F-A2E4-9E6E4AD307FA}">
      <formula1>Lst_Bankalarım</formula1>
    </dataValidation>
    <dataValidation type="list" allowBlank="1" showInputMessage="1" showErrorMessage="1" sqref="H6:H183" xr:uid="{4DF28CE1-A789-49A6-9E37-386A034ED6DE}">
      <formula1>Lst_ÖdemeDurumu</formula1>
    </dataValidation>
    <dataValidation type="list" allowBlank="1" showInputMessage="1" showErrorMessage="1" sqref="J6:J183" xr:uid="{5DF394AE-841E-4098-93CB-7DFB5E627AFA}">
      <formula1>Lst_VergiOranları</formula1>
    </dataValidation>
    <dataValidation type="list" allowBlank="1" showInputMessage="1" showErrorMessage="1" sqref="E6:E183" xr:uid="{D056B674-8C21-4AB3-9F64-E14F1AAE1A73}">
      <formula1>IF(D6="Müşteri",Lst_Müşteriler,Lst_Tedarikçiler)</formula1>
    </dataValidation>
    <dataValidation type="list" allowBlank="1" showInputMessage="1" showErrorMessage="1" sqref="D6:D183" xr:uid="{8EA44CC6-7743-4B6D-B0DE-F378BC636CBE}">
      <formula1>"Müşteri,Tedarikçi"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>
    <tabColor theme="8" tint="-0.249977111117893"/>
  </sheetPr>
  <dimension ref="B2:D14"/>
  <sheetViews>
    <sheetView showGridLines="0" zoomScale="145" zoomScaleNormal="145" workbookViewId="0">
      <selection activeCell="D19" sqref="D19"/>
    </sheetView>
  </sheetViews>
  <sheetFormatPr defaultRowHeight="14.4" x14ac:dyDescent="0.3"/>
  <cols>
    <col min="2" max="3" width="19" customWidth="1"/>
    <col min="4" max="4" width="68.33203125" bestFit="1" customWidth="1"/>
  </cols>
  <sheetData>
    <row r="2" spans="2:4" ht="27" customHeight="1" x14ac:dyDescent="0.3">
      <c r="B2" s="1" t="s">
        <v>0</v>
      </c>
    </row>
    <row r="5" spans="2:4" x14ac:dyDescent="0.3">
      <c r="B5" t="s">
        <v>1</v>
      </c>
      <c r="C5" t="s">
        <v>2</v>
      </c>
      <c r="D5" t="s">
        <v>3</v>
      </c>
    </row>
    <row r="6" spans="2:4" s="2" customFormat="1" ht="26.25" customHeight="1" x14ac:dyDescent="0.3">
      <c r="B6" s="2" t="s">
        <v>9</v>
      </c>
      <c r="C6" s="2">
        <v>11111111111</v>
      </c>
      <c r="D6" s="2" t="s">
        <v>10</v>
      </c>
    </row>
    <row r="7" spans="2:4" s="2" customFormat="1" ht="26.25" customHeight="1" x14ac:dyDescent="0.3">
      <c r="B7" s="2" t="s">
        <v>11</v>
      </c>
      <c r="C7" s="2">
        <v>22222222222</v>
      </c>
      <c r="D7" s="2" t="s">
        <v>12</v>
      </c>
    </row>
    <row r="8" spans="2:4" s="2" customFormat="1" ht="26.25" customHeight="1" x14ac:dyDescent="0.3">
      <c r="B8" s="2" t="s">
        <v>13</v>
      </c>
      <c r="C8" s="2">
        <v>33333333333</v>
      </c>
      <c r="D8" s="2" t="s">
        <v>14</v>
      </c>
    </row>
    <row r="9" spans="2:4" s="2" customFormat="1" ht="26.25" customHeight="1" x14ac:dyDescent="0.3">
      <c r="B9" s="2" t="s">
        <v>15</v>
      </c>
      <c r="C9" s="2">
        <v>44444444444</v>
      </c>
      <c r="D9" s="2" t="s">
        <v>16</v>
      </c>
    </row>
    <row r="10" spans="2:4" s="2" customFormat="1" ht="26.25" customHeight="1" x14ac:dyDescent="0.3">
      <c r="B10" s="2" t="s">
        <v>17</v>
      </c>
      <c r="C10" s="2">
        <v>55555555555</v>
      </c>
      <c r="D10" s="2" t="s">
        <v>18</v>
      </c>
    </row>
    <row r="11" spans="2:4" s="2" customFormat="1" ht="26.25" customHeight="1" x14ac:dyDescent="0.3">
      <c r="B11" s="2" t="s">
        <v>19</v>
      </c>
      <c r="C11" s="2">
        <v>66666666666</v>
      </c>
      <c r="D11" s="2" t="s">
        <v>20</v>
      </c>
    </row>
    <row r="12" spans="2:4" s="2" customFormat="1" ht="26.25" customHeight="1" x14ac:dyDescent="0.3">
      <c r="B12" s="2" t="s">
        <v>21</v>
      </c>
      <c r="C12" s="2">
        <v>77777777777</v>
      </c>
      <c r="D12" s="2" t="s">
        <v>22</v>
      </c>
    </row>
    <row r="13" spans="2:4" s="2" customFormat="1" ht="26.25" customHeight="1" x14ac:dyDescent="0.3"/>
    <row r="14" spans="2:4" s="2" customFormat="1" ht="26.25" customHeight="1" x14ac:dyDescent="0.3"/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D251-406E-40D8-8D7A-770A236E8420}">
  <sheetPr codeName="Sayfa3">
    <tabColor theme="8" tint="-0.249977111117893"/>
  </sheetPr>
  <dimension ref="B2:D14"/>
  <sheetViews>
    <sheetView showGridLines="0" zoomScale="145" zoomScaleNormal="145" workbookViewId="0">
      <selection activeCell="B6" sqref="B6"/>
    </sheetView>
  </sheetViews>
  <sheetFormatPr defaultRowHeight="14.4" x14ac:dyDescent="0.3"/>
  <cols>
    <col min="2" max="3" width="19" customWidth="1"/>
    <col min="4" max="4" width="39.5546875" bestFit="1" customWidth="1"/>
  </cols>
  <sheetData>
    <row r="2" spans="2:4" ht="27" customHeight="1" x14ac:dyDescent="0.3">
      <c r="B2" s="1" t="s">
        <v>4</v>
      </c>
    </row>
    <row r="5" spans="2:4" x14ac:dyDescent="0.3">
      <c r="B5" t="s">
        <v>1</v>
      </c>
      <c r="C5" t="s">
        <v>2</v>
      </c>
      <c r="D5" t="s">
        <v>3</v>
      </c>
    </row>
    <row r="6" spans="2:4" s="2" customFormat="1" ht="26.25" customHeight="1" x14ac:dyDescent="0.3">
      <c r="B6" s="2" t="s">
        <v>23</v>
      </c>
      <c r="C6" s="2">
        <v>7777777777</v>
      </c>
      <c r="D6" s="2" t="s">
        <v>24</v>
      </c>
    </row>
    <row r="7" spans="2:4" s="2" customFormat="1" ht="26.25" customHeight="1" x14ac:dyDescent="0.3">
      <c r="B7" s="2" t="s">
        <v>25</v>
      </c>
      <c r="C7" s="2">
        <v>8888888888</v>
      </c>
      <c r="D7" s="2" t="s">
        <v>26</v>
      </c>
    </row>
    <row r="8" spans="2:4" s="2" customFormat="1" ht="26.25" customHeight="1" x14ac:dyDescent="0.3">
      <c r="B8" s="2" t="s">
        <v>27</v>
      </c>
      <c r="C8" s="2">
        <v>9999999999</v>
      </c>
      <c r="D8" s="2" t="s">
        <v>28</v>
      </c>
    </row>
    <row r="9" spans="2:4" s="2" customFormat="1" ht="26.25" customHeight="1" x14ac:dyDescent="0.3">
      <c r="B9" s="2" t="s">
        <v>29</v>
      </c>
      <c r="C9" s="2">
        <v>2121212121</v>
      </c>
      <c r="D9" s="2" t="s">
        <v>30</v>
      </c>
    </row>
    <row r="10" spans="2:4" s="2" customFormat="1" ht="26.25" customHeight="1" x14ac:dyDescent="0.3"/>
    <row r="11" spans="2:4" s="2" customFormat="1" ht="26.25" customHeight="1" x14ac:dyDescent="0.3"/>
    <row r="12" spans="2:4" s="2" customFormat="1" ht="26.25" customHeight="1" x14ac:dyDescent="0.3"/>
    <row r="13" spans="2:4" s="2" customFormat="1" ht="26.25" customHeight="1" x14ac:dyDescent="0.3"/>
    <row r="14" spans="2:4" s="2" customFormat="1" ht="26.25" customHeight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55B2-7C54-4FFE-AF9D-D671A1646394}">
  <sheetPr codeName="Sayfa4">
    <tabColor theme="8" tint="-0.249977111117893"/>
  </sheetPr>
  <dimension ref="B2:D14"/>
  <sheetViews>
    <sheetView showGridLines="0" zoomScale="145" zoomScaleNormal="145" workbookViewId="0">
      <selection activeCell="E16" sqref="E16"/>
    </sheetView>
  </sheetViews>
  <sheetFormatPr defaultRowHeight="14.4" x14ac:dyDescent="0.3"/>
  <cols>
    <col min="2" max="3" width="19" customWidth="1"/>
    <col min="4" max="4" width="25.33203125" bestFit="1" customWidth="1"/>
  </cols>
  <sheetData>
    <row r="2" spans="2:4" ht="27" customHeight="1" x14ac:dyDescent="0.3">
      <c r="B2" s="1" t="s">
        <v>5</v>
      </c>
    </row>
    <row r="5" spans="2:4" x14ac:dyDescent="0.3">
      <c r="B5" t="s">
        <v>6</v>
      </c>
      <c r="C5" t="s">
        <v>7</v>
      </c>
      <c r="D5" t="s">
        <v>8</v>
      </c>
    </row>
    <row r="6" spans="2:4" s="2" customFormat="1" ht="26.25" customHeight="1" x14ac:dyDescent="0.3">
      <c r="B6" s="2" t="s">
        <v>31</v>
      </c>
      <c r="C6" s="2" t="s">
        <v>32</v>
      </c>
      <c r="D6" s="2" t="s">
        <v>33</v>
      </c>
    </row>
    <row r="7" spans="2:4" s="2" customFormat="1" ht="26.25" customHeight="1" x14ac:dyDescent="0.3">
      <c r="B7" s="2" t="s">
        <v>34</v>
      </c>
      <c r="C7" s="2" t="s">
        <v>35</v>
      </c>
      <c r="D7" s="2" t="s">
        <v>36</v>
      </c>
    </row>
    <row r="8" spans="2:4" s="2" customFormat="1" ht="26.25" customHeight="1" x14ac:dyDescent="0.3">
      <c r="B8" s="2" t="s">
        <v>37</v>
      </c>
      <c r="C8" s="2" t="s">
        <v>38</v>
      </c>
      <c r="D8" s="2" t="s">
        <v>39</v>
      </c>
    </row>
    <row r="9" spans="2:4" s="2" customFormat="1" ht="26.25" customHeight="1" x14ac:dyDescent="0.3">
      <c r="B9" s="2" t="s">
        <v>51</v>
      </c>
      <c r="C9" s="2" t="s">
        <v>52</v>
      </c>
      <c r="D9" s="2" t="s">
        <v>53</v>
      </c>
    </row>
    <row r="10" spans="2:4" s="2" customFormat="1" ht="26.25" customHeight="1" x14ac:dyDescent="0.3"/>
    <row r="11" spans="2:4" s="2" customFormat="1" ht="26.25" customHeight="1" x14ac:dyDescent="0.3"/>
    <row r="12" spans="2:4" s="2" customFormat="1" ht="26.25" customHeight="1" x14ac:dyDescent="0.3"/>
    <row r="13" spans="2:4" s="2" customFormat="1" ht="26.25" customHeight="1" x14ac:dyDescent="0.3"/>
    <row r="14" spans="2:4" s="2" customFormat="1" ht="26.25" customHeight="1" x14ac:dyDescent="0.3"/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AF26-D0A5-4E73-A099-FA8E430B3673}">
  <sheetPr codeName="Sayfa7">
    <tabColor theme="6"/>
  </sheetPr>
  <dimension ref="B2:F191"/>
  <sheetViews>
    <sheetView showGridLines="0" tabSelected="1" zoomScale="115" zoomScaleNormal="115" workbookViewId="0">
      <selection activeCell="C14" sqref="C14"/>
    </sheetView>
  </sheetViews>
  <sheetFormatPr defaultRowHeight="14.4" x14ac:dyDescent="0.3"/>
  <cols>
    <col min="2" max="4" width="32.6640625" customWidth="1"/>
    <col min="5" max="5" width="13.21875" bestFit="1" customWidth="1"/>
    <col min="6" max="6" width="18.6640625" bestFit="1" customWidth="1"/>
    <col min="7" max="12" width="12.33203125" bestFit="1" customWidth="1"/>
    <col min="13" max="13" width="13.5546875" bestFit="1" customWidth="1"/>
    <col min="14" max="114" width="11.109375" bestFit="1" customWidth="1"/>
    <col min="115" max="115" width="13.5546875" bestFit="1" customWidth="1"/>
  </cols>
  <sheetData>
    <row r="2" spans="2:6" ht="28.8" x14ac:dyDescent="0.3">
      <c r="B2" s="1" t="s">
        <v>239</v>
      </c>
    </row>
    <row r="11" spans="2:6" ht="49.5" customHeight="1" x14ac:dyDescent="0.3"/>
    <row r="12" spans="2:6" x14ac:dyDescent="0.3">
      <c r="B12" s="11" t="s">
        <v>235</v>
      </c>
      <c r="C12" s="11" t="s">
        <v>45</v>
      </c>
      <c r="D12" s="11" t="s">
        <v>41</v>
      </c>
      <c r="E12" s="11" t="s">
        <v>46</v>
      </c>
      <c r="F12" t="s">
        <v>241</v>
      </c>
    </row>
    <row r="13" spans="2:6" x14ac:dyDescent="0.3">
      <c r="B13" t="s">
        <v>17</v>
      </c>
      <c r="C13" t="s">
        <v>117</v>
      </c>
      <c r="D13" t="s">
        <v>54</v>
      </c>
      <c r="E13" t="s">
        <v>57</v>
      </c>
      <c r="F13" s="12">
        <v>3451.6800000000003</v>
      </c>
    </row>
    <row r="14" spans="2:6" x14ac:dyDescent="0.3">
      <c r="C14" t="s">
        <v>177</v>
      </c>
      <c r="D14" t="s">
        <v>55</v>
      </c>
      <c r="E14" t="s">
        <v>57</v>
      </c>
      <c r="F14" s="12">
        <v>8922.9600000000009</v>
      </c>
    </row>
    <row r="15" spans="2:6" x14ac:dyDescent="0.3">
      <c r="C15" t="s">
        <v>234</v>
      </c>
      <c r="D15" t="s">
        <v>54</v>
      </c>
      <c r="E15" t="s">
        <v>57</v>
      </c>
      <c r="F15" s="12">
        <v>2851.2000000000003</v>
      </c>
    </row>
    <row r="16" spans="2:6" x14ac:dyDescent="0.3">
      <c r="C16" t="s">
        <v>63</v>
      </c>
      <c r="D16" t="s">
        <v>56</v>
      </c>
      <c r="E16" t="s">
        <v>57</v>
      </c>
      <c r="F16" s="12">
        <v>913.92000000000007</v>
      </c>
    </row>
    <row r="17" spans="2:6" x14ac:dyDescent="0.3">
      <c r="C17" t="s">
        <v>165</v>
      </c>
      <c r="D17" t="s">
        <v>56</v>
      </c>
      <c r="E17" t="s">
        <v>57</v>
      </c>
      <c r="F17" s="12">
        <v>9444.18</v>
      </c>
    </row>
    <row r="18" spans="2:6" x14ac:dyDescent="0.3">
      <c r="C18" t="s">
        <v>95</v>
      </c>
      <c r="D18" t="s">
        <v>54</v>
      </c>
      <c r="E18" t="s">
        <v>57</v>
      </c>
      <c r="F18" s="12">
        <v>2546.94</v>
      </c>
    </row>
    <row r="19" spans="2:6" x14ac:dyDescent="0.3">
      <c r="C19" t="s">
        <v>98</v>
      </c>
      <c r="D19" t="s">
        <v>55</v>
      </c>
      <c r="E19" t="s">
        <v>57</v>
      </c>
      <c r="F19" s="12">
        <v>670.14</v>
      </c>
    </row>
    <row r="20" spans="2:6" x14ac:dyDescent="0.3">
      <c r="C20" t="s">
        <v>112</v>
      </c>
      <c r="D20" t="s">
        <v>54</v>
      </c>
      <c r="E20" t="s">
        <v>57</v>
      </c>
      <c r="F20" s="12">
        <v>11372.84</v>
      </c>
    </row>
    <row r="21" spans="2:6" x14ac:dyDescent="0.3">
      <c r="C21" t="s">
        <v>102</v>
      </c>
      <c r="D21" t="s">
        <v>55</v>
      </c>
      <c r="E21" t="s">
        <v>57</v>
      </c>
      <c r="F21" s="12">
        <v>2050.92</v>
      </c>
    </row>
    <row r="22" spans="2:6" x14ac:dyDescent="0.3">
      <c r="C22" t="s">
        <v>72</v>
      </c>
      <c r="D22" t="s">
        <v>55</v>
      </c>
      <c r="E22" t="s">
        <v>57</v>
      </c>
      <c r="F22" s="12">
        <v>9755.2800000000007</v>
      </c>
    </row>
    <row r="23" spans="2:6" x14ac:dyDescent="0.3">
      <c r="C23" t="s">
        <v>188</v>
      </c>
      <c r="D23" t="s">
        <v>55</v>
      </c>
      <c r="E23" t="s">
        <v>57</v>
      </c>
      <c r="F23" s="12">
        <v>7370.52</v>
      </c>
    </row>
    <row r="24" spans="2:6" x14ac:dyDescent="0.3">
      <c r="C24" t="s">
        <v>170</v>
      </c>
      <c r="D24" t="s">
        <v>54</v>
      </c>
      <c r="E24" t="s">
        <v>57</v>
      </c>
      <c r="F24" s="12">
        <v>6725.1600000000008</v>
      </c>
    </row>
    <row r="25" spans="2:6" x14ac:dyDescent="0.3">
      <c r="C25" t="s">
        <v>218</v>
      </c>
      <c r="D25" t="s">
        <v>56</v>
      </c>
      <c r="E25" t="s">
        <v>57</v>
      </c>
      <c r="F25" s="12">
        <v>10791.099999999999</v>
      </c>
    </row>
    <row r="26" spans="2:6" x14ac:dyDescent="0.3">
      <c r="C26" t="s">
        <v>80</v>
      </c>
      <c r="D26" t="s">
        <v>55</v>
      </c>
      <c r="E26" t="s">
        <v>57</v>
      </c>
      <c r="F26" s="12">
        <v>6033.3</v>
      </c>
    </row>
    <row r="27" spans="2:6" x14ac:dyDescent="0.3">
      <c r="C27" t="s">
        <v>139</v>
      </c>
      <c r="D27" t="s">
        <v>56</v>
      </c>
      <c r="E27" t="s">
        <v>57</v>
      </c>
      <c r="F27" s="12">
        <v>6106.3200000000006</v>
      </c>
    </row>
    <row r="28" spans="2:6" x14ac:dyDescent="0.3">
      <c r="B28" t="s">
        <v>23</v>
      </c>
      <c r="C28" t="s">
        <v>144</v>
      </c>
      <c r="D28" t="s">
        <v>54</v>
      </c>
      <c r="E28" t="s">
        <v>59</v>
      </c>
      <c r="F28" s="12">
        <v>4284.3600000000006</v>
      </c>
    </row>
    <row r="29" spans="2:6" x14ac:dyDescent="0.3">
      <c r="C29" t="s">
        <v>97</v>
      </c>
      <c r="D29" t="s">
        <v>55</v>
      </c>
      <c r="E29" t="s">
        <v>59</v>
      </c>
      <c r="F29" s="12">
        <v>7490.6399999999994</v>
      </c>
    </row>
    <row r="30" spans="2:6" x14ac:dyDescent="0.3">
      <c r="C30" t="s">
        <v>231</v>
      </c>
      <c r="D30" t="s">
        <v>56</v>
      </c>
      <c r="E30" t="s">
        <v>59</v>
      </c>
      <c r="F30" s="12">
        <v>7445.7999999999993</v>
      </c>
    </row>
    <row r="31" spans="2:6" x14ac:dyDescent="0.3">
      <c r="C31" t="s">
        <v>162</v>
      </c>
      <c r="D31" t="s">
        <v>55</v>
      </c>
      <c r="E31" t="s">
        <v>59</v>
      </c>
      <c r="F31" s="12">
        <v>4052.12</v>
      </c>
    </row>
    <row r="32" spans="2:6" x14ac:dyDescent="0.3">
      <c r="C32" t="s">
        <v>99</v>
      </c>
      <c r="D32" t="s">
        <v>55</v>
      </c>
      <c r="E32" t="s">
        <v>59</v>
      </c>
      <c r="F32" s="12">
        <v>8683.26</v>
      </c>
    </row>
    <row r="33" spans="3:6" x14ac:dyDescent="0.3">
      <c r="C33" t="s">
        <v>77</v>
      </c>
      <c r="D33" t="s">
        <v>55</v>
      </c>
      <c r="E33" t="s">
        <v>59</v>
      </c>
      <c r="F33" s="12">
        <v>5081.4000000000005</v>
      </c>
    </row>
    <row r="34" spans="3:6" x14ac:dyDescent="0.3">
      <c r="C34" t="s">
        <v>195</v>
      </c>
      <c r="D34" t="s">
        <v>56</v>
      </c>
      <c r="E34" t="s">
        <v>59</v>
      </c>
      <c r="F34" s="12">
        <v>8631.6999999999989</v>
      </c>
    </row>
    <row r="35" spans="3:6" x14ac:dyDescent="0.3">
      <c r="C35" t="s">
        <v>226</v>
      </c>
      <c r="D35" t="s">
        <v>55</v>
      </c>
      <c r="E35" t="s">
        <v>59</v>
      </c>
      <c r="F35" s="12">
        <v>5234.4799999999996</v>
      </c>
    </row>
    <row r="36" spans="3:6" x14ac:dyDescent="0.3">
      <c r="C36" t="s">
        <v>152</v>
      </c>
      <c r="D36" t="s">
        <v>55</v>
      </c>
      <c r="E36" t="s">
        <v>59</v>
      </c>
      <c r="F36" s="12">
        <v>9843.56</v>
      </c>
    </row>
    <row r="37" spans="3:6" x14ac:dyDescent="0.3">
      <c r="C37" t="s">
        <v>70</v>
      </c>
      <c r="D37" t="s">
        <v>54</v>
      </c>
      <c r="E37" t="s">
        <v>59</v>
      </c>
      <c r="F37" s="12">
        <v>7545.96</v>
      </c>
    </row>
    <row r="38" spans="3:6" x14ac:dyDescent="0.3">
      <c r="C38" t="s">
        <v>143</v>
      </c>
      <c r="D38" t="s">
        <v>56</v>
      </c>
      <c r="E38" t="s">
        <v>59</v>
      </c>
      <c r="F38" s="12">
        <v>9826.68</v>
      </c>
    </row>
    <row r="39" spans="3:6" x14ac:dyDescent="0.3">
      <c r="C39" t="s">
        <v>104</v>
      </c>
      <c r="D39" t="s">
        <v>54</v>
      </c>
      <c r="E39" t="s">
        <v>59</v>
      </c>
      <c r="F39" s="12">
        <v>11697.34</v>
      </c>
    </row>
    <row r="40" spans="3:6" x14ac:dyDescent="0.3">
      <c r="C40" t="s">
        <v>82</v>
      </c>
      <c r="D40" t="s">
        <v>54</v>
      </c>
      <c r="E40" t="s">
        <v>59</v>
      </c>
      <c r="F40" s="12">
        <v>6497.4000000000005</v>
      </c>
    </row>
    <row r="41" spans="3:6" x14ac:dyDescent="0.3">
      <c r="C41" t="s">
        <v>126</v>
      </c>
      <c r="D41" t="s">
        <v>54</v>
      </c>
      <c r="E41" t="s">
        <v>59</v>
      </c>
      <c r="F41" s="12">
        <v>10694.34</v>
      </c>
    </row>
    <row r="42" spans="3:6" x14ac:dyDescent="0.3">
      <c r="C42" t="s">
        <v>105</v>
      </c>
      <c r="D42" t="s">
        <v>54</v>
      </c>
      <c r="E42" t="s">
        <v>59</v>
      </c>
      <c r="F42" s="12">
        <v>910.95999999999992</v>
      </c>
    </row>
    <row r="43" spans="3:6" x14ac:dyDescent="0.3">
      <c r="C43" t="s">
        <v>160</v>
      </c>
      <c r="D43" t="s">
        <v>56</v>
      </c>
      <c r="E43" t="s">
        <v>59</v>
      </c>
      <c r="F43" s="12">
        <v>5131.62</v>
      </c>
    </row>
    <row r="44" spans="3:6" x14ac:dyDescent="0.3">
      <c r="C44" t="s">
        <v>172</v>
      </c>
      <c r="D44" t="s">
        <v>56</v>
      </c>
      <c r="E44" t="s">
        <v>59</v>
      </c>
      <c r="F44" s="12">
        <v>9639</v>
      </c>
    </row>
    <row r="45" spans="3:6" x14ac:dyDescent="0.3">
      <c r="C45" t="s">
        <v>230</v>
      </c>
      <c r="D45" t="s">
        <v>56</v>
      </c>
      <c r="E45" t="s">
        <v>59</v>
      </c>
      <c r="F45" s="12">
        <v>7796.88</v>
      </c>
    </row>
    <row r="46" spans="3:6" x14ac:dyDescent="0.3">
      <c r="C46" t="s">
        <v>122</v>
      </c>
      <c r="D46" t="s">
        <v>55</v>
      </c>
      <c r="E46" t="s">
        <v>59</v>
      </c>
      <c r="F46" s="12">
        <v>2362.3599999999997</v>
      </c>
    </row>
    <row r="47" spans="3:6" x14ac:dyDescent="0.3">
      <c r="C47" t="s">
        <v>116</v>
      </c>
      <c r="D47" t="s">
        <v>55</v>
      </c>
      <c r="E47" t="s">
        <v>59</v>
      </c>
      <c r="F47" s="12">
        <v>4708.32</v>
      </c>
    </row>
    <row r="48" spans="3:6" x14ac:dyDescent="0.3">
      <c r="C48" t="s">
        <v>88</v>
      </c>
      <c r="D48" t="s">
        <v>54</v>
      </c>
      <c r="E48" t="s">
        <v>59</v>
      </c>
      <c r="F48" s="12">
        <v>10280.52</v>
      </c>
    </row>
    <row r="49" spans="2:6" x14ac:dyDescent="0.3">
      <c r="C49" t="s">
        <v>219</v>
      </c>
      <c r="D49" t="s">
        <v>56</v>
      </c>
      <c r="E49" t="s">
        <v>59</v>
      </c>
      <c r="F49" s="12">
        <v>9279.9600000000009</v>
      </c>
    </row>
    <row r="50" spans="2:6" x14ac:dyDescent="0.3">
      <c r="C50" t="s">
        <v>65</v>
      </c>
      <c r="D50" t="s">
        <v>54</v>
      </c>
      <c r="E50" t="s">
        <v>59</v>
      </c>
      <c r="F50" s="12">
        <v>3611.82</v>
      </c>
    </row>
    <row r="51" spans="2:6" x14ac:dyDescent="0.3">
      <c r="C51" t="s">
        <v>224</v>
      </c>
      <c r="D51" t="s">
        <v>56</v>
      </c>
      <c r="E51" t="s">
        <v>59</v>
      </c>
      <c r="F51" s="12">
        <v>1757.16</v>
      </c>
    </row>
    <row r="52" spans="2:6" x14ac:dyDescent="0.3">
      <c r="C52" t="s">
        <v>113</v>
      </c>
      <c r="D52" t="s">
        <v>55</v>
      </c>
      <c r="E52" t="s">
        <v>59</v>
      </c>
      <c r="F52" s="12">
        <v>519.48</v>
      </c>
    </row>
    <row r="53" spans="2:6" x14ac:dyDescent="0.3">
      <c r="C53" t="s">
        <v>181</v>
      </c>
      <c r="D53" t="s">
        <v>55</v>
      </c>
      <c r="E53" t="s">
        <v>59</v>
      </c>
      <c r="F53" s="12">
        <v>505.03999999999996</v>
      </c>
    </row>
    <row r="54" spans="2:6" x14ac:dyDescent="0.3">
      <c r="C54" t="s">
        <v>187</v>
      </c>
      <c r="D54" t="s">
        <v>55</v>
      </c>
      <c r="E54" t="s">
        <v>59</v>
      </c>
      <c r="F54" s="12">
        <v>4316.76</v>
      </c>
    </row>
    <row r="55" spans="2:6" x14ac:dyDescent="0.3">
      <c r="B55" t="s">
        <v>11</v>
      </c>
      <c r="C55" t="s">
        <v>124</v>
      </c>
      <c r="D55" t="s">
        <v>55</v>
      </c>
      <c r="E55" t="s">
        <v>57</v>
      </c>
      <c r="F55" s="12">
        <v>5213.24</v>
      </c>
    </row>
    <row r="56" spans="2:6" x14ac:dyDescent="0.3">
      <c r="C56" t="s">
        <v>93</v>
      </c>
      <c r="D56" t="s">
        <v>55</v>
      </c>
      <c r="E56" t="s">
        <v>57</v>
      </c>
      <c r="F56" s="12">
        <v>800.7</v>
      </c>
    </row>
    <row r="57" spans="2:6" x14ac:dyDescent="0.3">
      <c r="C57" t="s">
        <v>183</v>
      </c>
      <c r="D57" t="s">
        <v>55</v>
      </c>
      <c r="E57" t="s">
        <v>57</v>
      </c>
      <c r="F57" s="12">
        <v>809.4799999999999</v>
      </c>
    </row>
    <row r="58" spans="2:6" x14ac:dyDescent="0.3">
      <c r="C58" t="s">
        <v>194</v>
      </c>
      <c r="D58" t="s">
        <v>55</v>
      </c>
      <c r="E58" t="s">
        <v>57</v>
      </c>
      <c r="F58" s="12">
        <v>8238.24</v>
      </c>
    </row>
    <row r="59" spans="2:6" x14ac:dyDescent="0.3">
      <c r="C59" t="s">
        <v>92</v>
      </c>
      <c r="D59" t="s">
        <v>54</v>
      </c>
      <c r="E59" t="s">
        <v>57</v>
      </c>
      <c r="F59" s="12">
        <v>6908.46</v>
      </c>
    </row>
    <row r="60" spans="2:6" x14ac:dyDescent="0.3">
      <c r="C60" t="s">
        <v>233</v>
      </c>
      <c r="D60" t="s">
        <v>55</v>
      </c>
      <c r="E60" t="s">
        <v>57</v>
      </c>
      <c r="F60" s="12">
        <v>7458.4800000000005</v>
      </c>
    </row>
    <row r="61" spans="2:6" x14ac:dyDescent="0.3">
      <c r="C61" t="s">
        <v>110</v>
      </c>
      <c r="D61" t="s">
        <v>54</v>
      </c>
      <c r="E61" t="s">
        <v>57</v>
      </c>
      <c r="F61" s="12">
        <v>2081.1600000000003</v>
      </c>
    </row>
    <row r="62" spans="2:6" x14ac:dyDescent="0.3">
      <c r="C62" t="s">
        <v>157</v>
      </c>
      <c r="D62" t="s">
        <v>56</v>
      </c>
      <c r="E62" t="s">
        <v>57</v>
      </c>
      <c r="F62" s="12">
        <v>5788.5</v>
      </c>
    </row>
    <row r="63" spans="2:6" x14ac:dyDescent="0.3">
      <c r="C63" t="s">
        <v>169</v>
      </c>
      <c r="D63" t="s">
        <v>54</v>
      </c>
      <c r="E63" t="s">
        <v>57</v>
      </c>
      <c r="F63" s="12">
        <v>2859.84</v>
      </c>
    </row>
    <row r="64" spans="2:6" x14ac:dyDescent="0.3">
      <c r="C64" t="s">
        <v>138</v>
      </c>
      <c r="D64" t="s">
        <v>55</v>
      </c>
      <c r="E64" t="s">
        <v>57</v>
      </c>
      <c r="F64" s="12">
        <v>9945</v>
      </c>
    </row>
    <row r="65" spans="2:6" x14ac:dyDescent="0.3">
      <c r="C65" t="s">
        <v>100</v>
      </c>
      <c r="D65" t="s">
        <v>54</v>
      </c>
      <c r="E65" t="s">
        <v>57</v>
      </c>
      <c r="F65" s="12">
        <v>4397.22</v>
      </c>
    </row>
    <row r="66" spans="2:6" x14ac:dyDescent="0.3">
      <c r="B66" t="s">
        <v>15</v>
      </c>
      <c r="C66" t="s">
        <v>210</v>
      </c>
      <c r="D66" t="s">
        <v>54</v>
      </c>
      <c r="E66" t="s">
        <v>57</v>
      </c>
      <c r="F66" s="12">
        <v>3851.52</v>
      </c>
    </row>
    <row r="67" spans="2:6" x14ac:dyDescent="0.3">
      <c r="C67" t="s">
        <v>119</v>
      </c>
      <c r="D67" t="s">
        <v>55</v>
      </c>
      <c r="E67" t="s">
        <v>57</v>
      </c>
      <c r="F67" s="12">
        <v>5907.84</v>
      </c>
    </row>
    <row r="68" spans="2:6" x14ac:dyDescent="0.3">
      <c r="C68" t="s">
        <v>197</v>
      </c>
      <c r="D68" t="s">
        <v>54</v>
      </c>
      <c r="E68" t="s">
        <v>57</v>
      </c>
      <c r="F68" s="12">
        <v>9750.18</v>
      </c>
    </row>
    <row r="69" spans="2:6" x14ac:dyDescent="0.3">
      <c r="C69" t="s">
        <v>176</v>
      </c>
      <c r="D69" t="s">
        <v>55</v>
      </c>
      <c r="E69" t="s">
        <v>57</v>
      </c>
      <c r="F69" s="12">
        <v>5653.8</v>
      </c>
    </row>
    <row r="70" spans="2:6" x14ac:dyDescent="0.3">
      <c r="C70" t="s">
        <v>227</v>
      </c>
      <c r="D70" t="s">
        <v>55</v>
      </c>
      <c r="E70" t="s">
        <v>57</v>
      </c>
      <c r="F70" s="12">
        <v>5802.78</v>
      </c>
    </row>
    <row r="71" spans="2:6" x14ac:dyDescent="0.3">
      <c r="C71" t="s">
        <v>175</v>
      </c>
      <c r="D71" t="s">
        <v>56</v>
      </c>
      <c r="E71" t="s">
        <v>57</v>
      </c>
      <c r="F71" s="12">
        <v>3434.4</v>
      </c>
    </row>
    <row r="72" spans="2:6" x14ac:dyDescent="0.3">
      <c r="C72" t="s">
        <v>192</v>
      </c>
      <c r="D72" t="s">
        <v>54</v>
      </c>
      <c r="E72" t="s">
        <v>57</v>
      </c>
      <c r="F72" s="12">
        <v>846.72</v>
      </c>
    </row>
    <row r="73" spans="2:6" x14ac:dyDescent="0.3">
      <c r="C73" t="s">
        <v>90</v>
      </c>
      <c r="D73" t="s">
        <v>55</v>
      </c>
      <c r="E73" t="s">
        <v>57</v>
      </c>
      <c r="F73" s="12">
        <v>7599.9600000000009</v>
      </c>
    </row>
    <row r="74" spans="2:6" x14ac:dyDescent="0.3">
      <c r="B74" t="s">
        <v>25</v>
      </c>
      <c r="C74" t="s">
        <v>69</v>
      </c>
      <c r="D74" t="s">
        <v>55</v>
      </c>
      <c r="E74" t="s">
        <v>59</v>
      </c>
      <c r="F74" s="12">
        <v>3148.2000000000003</v>
      </c>
    </row>
    <row r="75" spans="2:6" x14ac:dyDescent="0.3">
      <c r="C75" t="s">
        <v>185</v>
      </c>
      <c r="D75" t="s">
        <v>55</v>
      </c>
      <c r="E75" t="s">
        <v>59</v>
      </c>
      <c r="F75" s="12">
        <v>2124.66</v>
      </c>
    </row>
    <row r="76" spans="2:6" x14ac:dyDescent="0.3">
      <c r="C76" t="s">
        <v>74</v>
      </c>
      <c r="D76" t="s">
        <v>55</v>
      </c>
      <c r="E76" t="s">
        <v>59</v>
      </c>
      <c r="F76" s="12">
        <v>9269.76</v>
      </c>
    </row>
    <row r="77" spans="2:6" x14ac:dyDescent="0.3">
      <c r="C77" t="s">
        <v>153</v>
      </c>
      <c r="D77" t="s">
        <v>55</v>
      </c>
      <c r="E77" t="s">
        <v>59</v>
      </c>
      <c r="F77" s="12">
        <v>565.92000000000007</v>
      </c>
    </row>
    <row r="78" spans="2:6" x14ac:dyDescent="0.3">
      <c r="C78" t="s">
        <v>167</v>
      </c>
      <c r="D78" t="s">
        <v>55</v>
      </c>
      <c r="E78" t="s">
        <v>59</v>
      </c>
      <c r="F78" s="12">
        <v>1136.3399999999999</v>
      </c>
    </row>
    <row r="79" spans="2:6" x14ac:dyDescent="0.3">
      <c r="C79" t="s">
        <v>68</v>
      </c>
      <c r="D79" t="s">
        <v>55</v>
      </c>
      <c r="E79" t="s">
        <v>59</v>
      </c>
      <c r="F79" s="12">
        <v>8526.6</v>
      </c>
    </row>
    <row r="80" spans="2:6" x14ac:dyDescent="0.3">
      <c r="C80" t="s">
        <v>216</v>
      </c>
      <c r="D80" t="s">
        <v>54</v>
      </c>
      <c r="E80" t="s">
        <v>59</v>
      </c>
      <c r="F80" s="12">
        <v>737.6400000000001</v>
      </c>
    </row>
    <row r="81" spans="3:6" x14ac:dyDescent="0.3">
      <c r="C81" t="s">
        <v>123</v>
      </c>
      <c r="D81" t="s">
        <v>55</v>
      </c>
      <c r="E81" t="s">
        <v>59</v>
      </c>
      <c r="F81" s="12">
        <v>4024.9799999999996</v>
      </c>
    </row>
    <row r="82" spans="3:6" x14ac:dyDescent="0.3">
      <c r="C82" t="s">
        <v>209</v>
      </c>
      <c r="D82" t="s">
        <v>56</v>
      </c>
      <c r="E82" t="s">
        <v>59</v>
      </c>
      <c r="F82" s="12">
        <v>6219.78</v>
      </c>
    </row>
    <row r="83" spans="3:6" x14ac:dyDescent="0.3">
      <c r="C83" t="s">
        <v>220</v>
      </c>
      <c r="D83" t="s">
        <v>54</v>
      </c>
      <c r="E83" t="s">
        <v>59</v>
      </c>
      <c r="F83" s="12">
        <v>5848.68</v>
      </c>
    </row>
    <row r="84" spans="3:6" x14ac:dyDescent="0.3">
      <c r="C84" t="s">
        <v>180</v>
      </c>
      <c r="D84" t="s">
        <v>56</v>
      </c>
      <c r="E84" t="s">
        <v>59</v>
      </c>
      <c r="F84" s="12">
        <v>8354.880000000001</v>
      </c>
    </row>
    <row r="85" spans="3:6" x14ac:dyDescent="0.3">
      <c r="C85" t="s">
        <v>118</v>
      </c>
      <c r="D85" t="s">
        <v>55</v>
      </c>
      <c r="E85" t="s">
        <v>59</v>
      </c>
      <c r="F85" s="12">
        <v>8603.2800000000007</v>
      </c>
    </row>
    <row r="86" spans="3:6" x14ac:dyDescent="0.3">
      <c r="C86" t="s">
        <v>201</v>
      </c>
      <c r="D86" t="s">
        <v>56</v>
      </c>
      <c r="E86" t="s">
        <v>59</v>
      </c>
      <c r="F86" s="12">
        <v>4814.6400000000003</v>
      </c>
    </row>
    <row r="87" spans="3:6" x14ac:dyDescent="0.3">
      <c r="C87" t="s">
        <v>130</v>
      </c>
      <c r="D87" t="s">
        <v>55</v>
      </c>
      <c r="E87" t="s">
        <v>59</v>
      </c>
      <c r="F87" s="12">
        <v>10189.800000000001</v>
      </c>
    </row>
    <row r="88" spans="3:6" x14ac:dyDescent="0.3">
      <c r="C88" t="s">
        <v>150</v>
      </c>
      <c r="D88" t="s">
        <v>55</v>
      </c>
      <c r="E88" t="s">
        <v>59</v>
      </c>
      <c r="F88" s="12">
        <v>3383.6400000000003</v>
      </c>
    </row>
    <row r="89" spans="3:6" x14ac:dyDescent="0.3">
      <c r="C89" t="s">
        <v>129</v>
      </c>
      <c r="D89" t="s">
        <v>55</v>
      </c>
      <c r="E89" t="s">
        <v>59</v>
      </c>
      <c r="F89" s="12">
        <v>4817.46</v>
      </c>
    </row>
    <row r="90" spans="3:6" x14ac:dyDescent="0.3">
      <c r="C90" t="s">
        <v>148</v>
      </c>
      <c r="D90" t="s">
        <v>56</v>
      </c>
      <c r="E90" t="s">
        <v>59</v>
      </c>
      <c r="F90" s="12">
        <v>4120.5599999999995</v>
      </c>
    </row>
    <row r="91" spans="3:6" x14ac:dyDescent="0.3">
      <c r="C91" t="s">
        <v>62</v>
      </c>
      <c r="D91" t="s">
        <v>55</v>
      </c>
      <c r="E91" t="s">
        <v>59</v>
      </c>
      <c r="F91" s="12">
        <v>8639.4</v>
      </c>
    </row>
    <row r="92" spans="3:6" x14ac:dyDescent="0.3">
      <c r="C92" t="s">
        <v>173</v>
      </c>
      <c r="D92" t="s">
        <v>55</v>
      </c>
      <c r="E92" t="s">
        <v>59</v>
      </c>
      <c r="F92" s="12">
        <v>2280.96</v>
      </c>
    </row>
    <row r="93" spans="3:6" x14ac:dyDescent="0.3">
      <c r="C93" t="s">
        <v>179</v>
      </c>
      <c r="D93" t="s">
        <v>54</v>
      </c>
      <c r="E93" t="s">
        <v>59</v>
      </c>
      <c r="F93" s="12">
        <v>6422.74</v>
      </c>
    </row>
    <row r="94" spans="3:6" x14ac:dyDescent="0.3">
      <c r="C94" t="s">
        <v>61</v>
      </c>
      <c r="D94" t="s">
        <v>54</v>
      </c>
      <c r="E94" t="s">
        <v>59</v>
      </c>
      <c r="F94" s="12">
        <v>11526.24</v>
      </c>
    </row>
    <row r="95" spans="3:6" x14ac:dyDescent="0.3">
      <c r="C95" t="s">
        <v>108</v>
      </c>
      <c r="D95" t="s">
        <v>55</v>
      </c>
      <c r="E95" t="s">
        <v>59</v>
      </c>
      <c r="F95" s="12">
        <v>4921.5600000000004</v>
      </c>
    </row>
    <row r="96" spans="3:6" x14ac:dyDescent="0.3">
      <c r="C96" t="s">
        <v>120</v>
      </c>
      <c r="D96" t="s">
        <v>54</v>
      </c>
      <c r="E96" t="s">
        <v>59</v>
      </c>
      <c r="F96" s="12">
        <v>7086.96</v>
      </c>
    </row>
    <row r="97" spans="2:6" x14ac:dyDescent="0.3">
      <c r="C97" t="s">
        <v>109</v>
      </c>
      <c r="D97" t="s">
        <v>54</v>
      </c>
      <c r="E97" t="s">
        <v>59</v>
      </c>
      <c r="F97" s="12">
        <v>8481.24</v>
      </c>
    </row>
    <row r="98" spans="2:6" x14ac:dyDescent="0.3">
      <c r="C98" t="s">
        <v>204</v>
      </c>
      <c r="D98" t="s">
        <v>56</v>
      </c>
      <c r="E98" t="s">
        <v>59</v>
      </c>
      <c r="F98" s="12">
        <v>7607.16</v>
      </c>
    </row>
    <row r="99" spans="2:6" x14ac:dyDescent="0.3">
      <c r="C99" t="s">
        <v>106</v>
      </c>
      <c r="D99" t="s">
        <v>54</v>
      </c>
      <c r="E99" t="s">
        <v>59</v>
      </c>
      <c r="F99" s="12">
        <v>2860.3199999999997</v>
      </c>
    </row>
    <row r="100" spans="2:6" x14ac:dyDescent="0.3">
      <c r="C100" t="s">
        <v>107</v>
      </c>
      <c r="D100" t="s">
        <v>55</v>
      </c>
      <c r="E100" t="s">
        <v>59</v>
      </c>
      <c r="F100" s="12">
        <v>3700.56</v>
      </c>
    </row>
    <row r="101" spans="2:6" x14ac:dyDescent="0.3">
      <c r="C101" t="s">
        <v>114</v>
      </c>
      <c r="D101" t="s">
        <v>54</v>
      </c>
      <c r="E101" t="s">
        <v>59</v>
      </c>
      <c r="F101" s="12">
        <v>4744.78</v>
      </c>
    </row>
    <row r="102" spans="2:6" x14ac:dyDescent="0.3">
      <c r="C102" t="s">
        <v>217</v>
      </c>
      <c r="D102" t="s">
        <v>54</v>
      </c>
      <c r="E102" t="s">
        <v>59</v>
      </c>
      <c r="F102" s="12">
        <v>2676.48</v>
      </c>
    </row>
    <row r="103" spans="2:6" x14ac:dyDescent="0.3">
      <c r="C103" t="s">
        <v>83</v>
      </c>
      <c r="D103" t="s">
        <v>54</v>
      </c>
      <c r="E103" t="s">
        <v>59</v>
      </c>
      <c r="F103" s="12">
        <v>7217.64</v>
      </c>
    </row>
    <row r="104" spans="2:6" x14ac:dyDescent="0.3">
      <c r="C104" t="s">
        <v>121</v>
      </c>
      <c r="D104" t="s">
        <v>55</v>
      </c>
      <c r="E104" t="s">
        <v>59</v>
      </c>
      <c r="F104" s="12">
        <v>9405.7799999999988</v>
      </c>
    </row>
    <row r="105" spans="2:6" x14ac:dyDescent="0.3">
      <c r="C105" t="s">
        <v>158</v>
      </c>
      <c r="D105" t="s">
        <v>55</v>
      </c>
      <c r="E105" t="s">
        <v>59</v>
      </c>
      <c r="F105" s="12">
        <v>1665.3600000000001</v>
      </c>
    </row>
    <row r="106" spans="2:6" x14ac:dyDescent="0.3">
      <c r="B106" t="s">
        <v>13</v>
      </c>
      <c r="C106" t="s">
        <v>174</v>
      </c>
      <c r="D106" t="s">
        <v>55</v>
      </c>
      <c r="E106" t="s">
        <v>57</v>
      </c>
      <c r="F106" s="12">
        <v>8851.56</v>
      </c>
    </row>
    <row r="107" spans="2:6" x14ac:dyDescent="0.3">
      <c r="C107" t="s">
        <v>50</v>
      </c>
      <c r="D107" t="s">
        <v>56</v>
      </c>
      <c r="E107" t="s">
        <v>57</v>
      </c>
      <c r="F107" s="12">
        <v>270</v>
      </c>
    </row>
    <row r="108" spans="2:6" x14ac:dyDescent="0.3">
      <c r="C108" t="s">
        <v>186</v>
      </c>
      <c r="D108" t="s">
        <v>55</v>
      </c>
      <c r="E108" t="s">
        <v>57</v>
      </c>
      <c r="F108" s="12">
        <v>2759.4</v>
      </c>
    </row>
    <row r="109" spans="2:6" x14ac:dyDescent="0.3">
      <c r="C109" t="s">
        <v>94</v>
      </c>
      <c r="D109" t="s">
        <v>54</v>
      </c>
      <c r="E109" t="s">
        <v>57</v>
      </c>
      <c r="F109" s="12">
        <v>6003.72</v>
      </c>
    </row>
    <row r="110" spans="2:6" x14ac:dyDescent="0.3">
      <c r="C110" t="s">
        <v>202</v>
      </c>
      <c r="D110" t="s">
        <v>56</v>
      </c>
      <c r="E110" t="s">
        <v>57</v>
      </c>
      <c r="F110" s="12">
        <v>6778.92</v>
      </c>
    </row>
    <row r="111" spans="2:6" x14ac:dyDescent="0.3">
      <c r="C111" t="s">
        <v>163</v>
      </c>
      <c r="D111" t="s">
        <v>54</v>
      </c>
      <c r="E111" t="s">
        <v>57</v>
      </c>
      <c r="F111" s="12">
        <v>9831.7800000000007</v>
      </c>
    </row>
    <row r="112" spans="2:6" x14ac:dyDescent="0.3">
      <c r="C112" t="s">
        <v>190</v>
      </c>
      <c r="D112" t="s">
        <v>54</v>
      </c>
      <c r="E112" t="s">
        <v>57</v>
      </c>
      <c r="F112" s="12">
        <v>3432.3</v>
      </c>
    </row>
    <row r="113" spans="2:6" x14ac:dyDescent="0.3">
      <c r="C113" t="s">
        <v>147</v>
      </c>
      <c r="D113" t="s">
        <v>56</v>
      </c>
      <c r="E113" t="s">
        <v>57</v>
      </c>
      <c r="F113" s="12">
        <v>4628.88</v>
      </c>
    </row>
    <row r="114" spans="2:6" x14ac:dyDescent="0.3">
      <c r="C114" t="s">
        <v>196</v>
      </c>
      <c r="D114" t="s">
        <v>56</v>
      </c>
      <c r="E114" t="s">
        <v>57</v>
      </c>
      <c r="F114" s="12">
        <v>2859.14</v>
      </c>
    </row>
    <row r="115" spans="2:6" x14ac:dyDescent="0.3">
      <c r="C115" t="s">
        <v>73</v>
      </c>
      <c r="D115" t="s">
        <v>54</v>
      </c>
      <c r="E115" t="s">
        <v>57</v>
      </c>
      <c r="F115" s="12">
        <v>7535.1600000000008</v>
      </c>
    </row>
    <row r="116" spans="2:6" x14ac:dyDescent="0.3">
      <c r="C116" t="s">
        <v>168</v>
      </c>
      <c r="D116" t="s">
        <v>56</v>
      </c>
      <c r="E116" t="s">
        <v>57</v>
      </c>
      <c r="F116" s="12">
        <v>2280.94</v>
      </c>
    </row>
    <row r="117" spans="2:6" x14ac:dyDescent="0.3">
      <c r="C117" t="s">
        <v>156</v>
      </c>
      <c r="D117" t="s">
        <v>56</v>
      </c>
      <c r="E117" t="s">
        <v>57</v>
      </c>
      <c r="F117" s="12">
        <v>3264.84</v>
      </c>
    </row>
    <row r="118" spans="2:6" x14ac:dyDescent="0.3">
      <c r="C118" t="s">
        <v>154</v>
      </c>
      <c r="D118" t="s">
        <v>55</v>
      </c>
      <c r="E118" t="s">
        <v>57</v>
      </c>
      <c r="F118" s="12">
        <v>2344.98</v>
      </c>
    </row>
    <row r="119" spans="2:6" x14ac:dyDescent="0.3">
      <c r="C119" t="s">
        <v>242</v>
      </c>
      <c r="D119" t="s">
        <v>54</v>
      </c>
      <c r="E119" t="s">
        <v>57</v>
      </c>
      <c r="F119" s="12">
        <v>3888.0000000000005</v>
      </c>
    </row>
    <row r="120" spans="2:6" x14ac:dyDescent="0.3">
      <c r="B120" t="s">
        <v>27</v>
      </c>
      <c r="C120" t="s">
        <v>71</v>
      </c>
      <c r="D120" t="s">
        <v>55</v>
      </c>
      <c r="E120" t="s">
        <v>59</v>
      </c>
      <c r="F120" s="12">
        <v>598.32000000000005</v>
      </c>
    </row>
    <row r="121" spans="2:6" x14ac:dyDescent="0.3">
      <c r="C121" t="s">
        <v>58</v>
      </c>
      <c r="D121" t="s">
        <v>55</v>
      </c>
      <c r="E121" t="s">
        <v>59</v>
      </c>
      <c r="F121" s="12">
        <v>122.4</v>
      </c>
    </row>
    <row r="122" spans="2:6" x14ac:dyDescent="0.3">
      <c r="C122" t="s">
        <v>133</v>
      </c>
      <c r="D122" t="s">
        <v>55</v>
      </c>
      <c r="E122" t="s">
        <v>59</v>
      </c>
      <c r="F122" s="12">
        <v>10129.620000000001</v>
      </c>
    </row>
    <row r="123" spans="2:6" x14ac:dyDescent="0.3">
      <c r="C123" t="s">
        <v>137</v>
      </c>
      <c r="D123" t="s">
        <v>55</v>
      </c>
      <c r="E123" t="s">
        <v>59</v>
      </c>
      <c r="F123" s="12">
        <v>1261.44</v>
      </c>
    </row>
    <row r="124" spans="2:6" x14ac:dyDescent="0.3">
      <c r="C124" t="s">
        <v>67</v>
      </c>
      <c r="D124" t="s">
        <v>55</v>
      </c>
      <c r="E124" t="s">
        <v>59</v>
      </c>
      <c r="F124" s="12">
        <v>2404.0800000000004</v>
      </c>
    </row>
    <row r="125" spans="2:6" x14ac:dyDescent="0.3">
      <c r="C125" t="s">
        <v>221</v>
      </c>
      <c r="D125" t="s">
        <v>54</v>
      </c>
      <c r="E125" t="s">
        <v>59</v>
      </c>
      <c r="F125" s="12">
        <v>2077.98</v>
      </c>
    </row>
    <row r="126" spans="2:6" x14ac:dyDescent="0.3">
      <c r="C126" t="s">
        <v>164</v>
      </c>
      <c r="D126" t="s">
        <v>54</v>
      </c>
      <c r="E126" t="s">
        <v>59</v>
      </c>
      <c r="F126" s="12">
        <v>742.21999999999991</v>
      </c>
    </row>
    <row r="127" spans="2:6" x14ac:dyDescent="0.3">
      <c r="C127" t="s">
        <v>75</v>
      </c>
      <c r="D127" t="s">
        <v>55</v>
      </c>
      <c r="E127" t="s">
        <v>59</v>
      </c>
      <c r="F127" s="12">
        <v>3503.5200000000004</v>
      </c>
    </row>
    <row r="128" spans="2:6" x14ac:dyDescent="0.3">
      <c r="C128" t="s">
        <v>225</v>
      </c>
      <c r="D128" t="s">
        <v>55</v>
      </c>
      <c r="E128" t="s">
        <v>59</v>
      </c>
      <c r="F128" s="12">
        <v>9671.2799999999988</v>
      </c>
    </row>
    <row r="129" spans="2:6" x14ac:dyDescent="0.3">
      <c r="C129" t="s">
        <v>214</v>
      </c>
      <c r="D129" t="s">
        <v>54</v>
      </c>
      <c r="E129" t="s">
        <v>59</v>
      </c>
      <c r="F129" s="12">
        <v>3302.8199999999997</v>
      </c>
    </row>
    <row r="130" spans="2:6" x14ac:dyDescent="0.3">
      <c r="C130" t="s">
        <v>141</v>
      </c>
      <c r="D130" t="s">
        <v>55</v>
      </c>
      <c r="E130" t="s">
        <v>59</v>
      </c>
      <c r="F130" s="12">
        <v>6099.6</v>
      </c>
    </row>
    <row r="131" spans="2:6" x14ac:dyDescent="0.3">
      <c r="C131" t="s">
        <v>189</v>
      </c>
      <c r="D131" t="s">
        <v>55</v>
      </c>
      <c r="E131" t="s">
        <v>59</v>
      </c>
      <c r="F131" s="12">
        <v>2968.8799999999997</v>
      </c>
    </row>
    <row r="132" spans="2:6" x14ac:dyDescent="0.3">
      <c r="C132" t="s">
        <v>79</v>
      </c>
      <c r="D132" t="s">
        <v>55</v>
      </c>
      <c r="E132" t="s">
        <v>59</v>
      </c>
      <c r="F132" s="12">
        <v>1539</v>
      </c>
    </row>
    <row r="133" spans="2:6" x14ac:dyDescent="0.3">
      <c r="C133" t="s">
        <v>206</v>
      </c>
      <c r="D133" t="s">
        <v>54</v>
      </c>
      <c r="E133" t="s">
        <v>59</v>
      </c>
      <c r="F133" s="12">
        <v>6732.72</v>
      </c>
    </row>
    <row r="134" spans="2:6" x14ac:dyDescent="0.3">
      <c r="C134" t="s">
        <v>136</v>
      </c>
      <c r="D134" t="s">
        <v>55</v>
      </c>
      <c r="E134" t="s">
        <v>59</v>
      </c>
      <c r="F134" s="12">
        <v>5869.32</v>
      </c>
    </row>
    <row r="135" spans="2:6" x14ac:dyDescent="0.3">
      <c r="C135" t="s">
        <v>87</v>
      </c>
      <c r="D135" t="s">
        <v>55</v>
      </c>
      <c r="E135" t="s">
        <v>59</v>
      </c>
      <c r="F135" s="12">
        <v>9926.16</v>
      </c>
    </row>
    <row r="136" spans="2:6" x14ac:dyDescent="0.3">
      <c r="C136" t="s">
        <v>60</v>
      </c>
      <c r="D136" t="s">
        <v>55</v>
      </c>
      <c r="E136" t="s">
        <v>59</v>
      </c>
      <c r="F136" s="12">
        <v>6860.5199999999995</v>
      </c>
    </row>
    <row r="137" spans="2:6" x14ac:dyDescent="0.3">
      <c r="C137" t="s">
        <v>101</v>
      </c>
      <c r="D137" t="s">
        <v>54</v>
      </c>
      <c r="E137" t="s">
        <v>59</v>
      </c>
      <c r="F137" s="12">
        <v>7646.9400000000005</v>
      </c>
    </row>
    <row r="138" spans="2:6" x14ac:dyDescent="0.3">
      <c r="C138" t="s">
        <v>86</v>
      </c>
      <c r="D138" t="s">
        <v>54</v>
      </c>
      <c r="E138" t="s">
        <v>59</v>
      </c>
      <c r="F138" s="12">
        <v>8750.58</v>
      </c>
    </row>
    <row r="139" spans="2:6" x14ac:dyDescent="0.3">
      <c r="C139" t="s">
        <v>171</v>
      </c>
      <c r="D139" t="s">
        <v>56</v>
      </c>
      <c r="E139" t="s">
        <v>59</v>
      </c>
      <c r="F139" s="12">
        <v>8624.880000000001</v>
      </c>
    </row>
    <row r="140" spans="2:6" x14ac:dyDescent="0.3">
      <c r="C140" t="s">
        <v>203</v>
      </c>
      <c r="D140" t="s">
        <v>55</v>
      </c>
      <c r="E140" t="s">
        <v>59</v>
      </c>
      <c r="F140" s="12">
        <v>2540.1600000000003</v>
      </c>
    </row>
    <row r="141" spans="2:6" x14ac:dyDescent="0.3">
      <c r="C141" t="s">
        <v>89</v>
      </c>
      <c r="D141" t="s">
        <v>54</v>
      </c>
      <c r="E141" t="s">
        <v>59</v>
      </c>
      <c r="F141" s="12">
        <v>5809.3200000000006</v>
      </c>
    </row>
    <row r="142" spans="2:6" x14ac:dyDescent="0.3">
      <c r="C142" t="s">
        <v>64</v>
      </c>
      <c r="D142" t="s">
        <v>55</v>
      </c>
      <c r="E142" t="s">
        <v>59</v>
      </c>
      <c r="F142" s="12">
        <v>8901.36</v>
      </c>
    </row>
    <row r="143" spans="2:6" x14ac:dyDescent="0.3">
      <c r="B143" t="s">
        <v>9</v>
      </c>
      <c r="C143" t="s">
        <v>193</v>
      </c>
      <c r="D143" t="s">
        <v>55</v>
      </c>
      <c r="E143" t="s">
        <v>57</v>
      </c>
      <c r="F143" s="12">
        <v>2395.4</v>
      </c>
    </row>
    <row r="144" spans="2:6" x14ac:dyDescent="0.3">
      <c r="C144" t="s">
        <v>198</v>
      </c>
      <c r="D144" t="s">
        <v>56</v>
      </c>
      <c r="E144" t="s">
        <v>57</v>
      </c>
      <c r="F144" s="12">
        <v>10365.119999999999</v>
      </c>
    </row>
    <row r="145" spans="2:6" x14ac:dyDescent="0.3">
      <c r="C145" t="s">
        <v>115</v>
      </c>
      <c r="D145" t="s">
        <v>54</v>
      </c>
      <c r="E145" t="s">
        <v>57</v>
      </c>
      <c r="F145" s="12">
        <v>8351.76</v>
      </c>
    </row>
    <row r="146" spans="2:6" x14ac:dyDescent="0.3">
      <c r="C146" t="s">
        <v>205</v>
      </c>
      <c r="D146" t="s">
        <v>56</v>
      </c>
      <c r="E146" t="s">
        <v>57</v>
      </c>
      <c r="F146" s="12">
        <v>575.28</v>
      </c>
    </row>
    <row r="147" spans="2:6" x14ac:dyDescent="0.3">
      <c r="C147" t="s">
        <v>207</v>
      </c>
      <c r="D147" t="s">
        <v>54</v>
      </c>
      <c r="E147" t="s">
        <v>57</v>
      </c>
      <c r="F147" s="12">
        <v>5472.3600000000006</v>
      </c>
    </row>
    <row r="148" spans="2:6" x14ac:dyDescent="0.3">
      <c r="C148" t="s">
        <v>222</v>
      </c>
      <c r="D148" t="s">
        <v>54</v>
      </c>
      <c r="E148" t="s">
        <v>57</v>
      </c>
      <c r="F148" s="12">
        <v>2977.14</v>
      </c>
    </row>
    <row r="149" spans="2:6" x14ac:dyDescent="0.3">
      <c r="C149" t="s">
        <v>166</v>
      </c>
      <c r="D149" t="s">
        <v>54</v>
      </c>
      <c r="E149" t="s">
        <v>57</v>
      </c>
      <c r="F149" s="12">
        <v>3869.22</v>
      </c>
    </row>
    <row r="150" spans="2:6" x14ac:dyDescent="0.3">
      <c r="C150" t="s">
        <v>159</v>
      </c>
      <c r="D150" t="s">
        <v>55</v>
      </c>
      <c r="E150" t="s">
        <v>57</v>
      </c>
      <c r="F150" s="12">
        <v>2400.12</v>
      </c>
    </row>
    <row r="151" spans="2:6" x14ac:dyDescent="0.3">
      <c r="C151" t="s">
        <v>96</v>
      </c>
      <c r="D151" t="s">
        <v>55</v>
      </c>
      <c r="E151" t="s">
        <v>57</v>
      </c>
      <c r="F151" s="12">
        <v>4709.34</v>
      </c>
    </row>
    <row r="152" spans="2:6" x14ac:dyDescent="0.3">
      <c r="C152" t="s">
        <v>184</v>
      </c>
      <c r="D152" t="s">
        <v>56</v>
      </c>
      <c r="E152" t="s">
        <v>57</v>
      </c>
      <c r="F152" s="12">
        <v>5291.76</v>
      </c>
    </row>
    <row r="153" spans="2:6" x14ac:dyDescent="0.3">
      <c r="B153" t="s">
        <v>29</v>
      </c>
      <c r="C153" t="s">
        <v>211</v>
      </c>
      <c r="D153" t="s">
        <v>54</v>
      </c>
      <c r="E153" t="s">
        <v>59</v>
      </c>
      <c r="F153" s="12">
        <v>6480.06</v>
      </c>
    </row>
    <row r="154" spans="2:6" x14ac:dyDescent="0.3">
      <c r="C154" t="s">
        <v>78</v>
      </c>
      <c r="D154" t="s">
        <v>55</v>
      </c>
      <c r="E154" t="s">
        <v>59</v>
      </c>
      <c r="F154" s="12">
        <v>3163.58</v>
      </c>
    </row>
    <row r="155" spans="2:6" x14ac:dyDescent="0.3">
      <c r="C155" t="s">
        <v>208</v>
      </c>
      <c r="D155" t="s">
        <v>56</v>
      </c>
      <c r="E155" t="s">
        <v>59</v>
      </c>
      <c r="F155" s="12">
        <v>1650.24</v>
      </c>
    </row>
    <row r="156" spans="2:6" x14ac:dyDescent="0.3">
      <c r="C156" t="s">
        <v>223</v>
      </c>
      <c r="D156" t="s">
        <v>54</v>
      </c>
      <c r="E156" t="s">
        <v>59</v>
      </c>
      <c r="F156" s="12">
        <v>4838.88</v>
      </c>
    </row>
    <row r="157" spans="2:6" x14ac:dyDescent="0.3">
      <c r="C157" t="s">
        <v>125</v>
      </c>
      <c r="D157" t="s">
        <v>55</v>
      </c>
      <c r="E157" t="s">
        <v>59</v>
      </c>
      <c r="F157" s="12">
        <v>8918.6400000000012</v>
      </c>
    </row>
    <row r="158" spans="2:6" x14ac:dyDescent="0.3">
      <c r="C158" t="s">
        <v>76</v>
      </c>
      <c r="D158" t="s">
        <v>54</v>
      </c>
      <c r="E158" t="s">
        <v>59</v>
      </c>
      <c r="F158" s="12">
        <v>10966.92</v>
      </c>
    </row>
    <row r="159" spans="2:6" x14ac:dyDescent="0.3">
      <c r="C159" t="s">
        <v>145</v>
      </c>
      <c r="D159" t="s">
        <v>56</v>
      </c>
      <c r="E159" t="s">
        <v>59</v>
      </c>
      <c r="F159" s="12">
        <v>8480.16</v>
      </c>
    </row>
    <row r="160" spans="2:6" x14ac:dyDescent="0.3">
      <c r="C160" t="s">
        <v>215</v>
      </c>
      <c r="D160" t="s">
        <v>56</v>
      </c>
      <c r="E160" t="s">
        <v>59</v>
      </c>
      <c r="F160" s="12">
        <v>3587.76</v>
      </c>
    </row>
    <row r="161" spans="2:6" x14ac:dyDescent="0.3">
      <c r="C161" t="s">
        <v>178</v>
      </c>
      <c r="D161" t="s">
        <v>54</v>
      </c>
      <c r="E161" t="s">
        <v>59</v>
      </c>
      <c r="F161" s="12">
        <v>10459.519999999999</v>
      </c>
    </row>
    <row r="162" spans="2:6" x14ac:dyDescent="0.3">
      <c r="C162" t="s">
        <v>232</v>
      </c>
      <c r="D162" t="s">
        <v>55</v>
      </c>
      <c r="E162" t="s">
        <v>59</v>
      </c>
      <c r="F162" s="12">
        <v>4973.5200000000004</v>
      </c>
    </row>
    <row r="163" spans="2:6" x14ac:dyDescent="0.3">
      <c r="C163" t="s">
        <v>191</v>
      </c>
      <c r="D163" t="s">
        <v>56</v>
      </c>
      <c r="E163" t="s">
        <v>59</v>
      </c>
      <c r="F163" s="12">
        <v>5112.24</v>
      </c>
    </row>
    <row r="164" spans="2:6" x14ac:dyDescent="0.3">
      <c r="C164" t="s">
        <v>91</v>
      </c>
      <c r="D164" t="s">
        <v>55</v>
      </c>
      <c r="E164" t="s">
        <v>59</v>
      </c>
      <c r="F164" s="12">
        <v>4511.16</v>
      </c>
    </row>
    <row r="165" spans="2:6" x14ac:dyDescent="0.3">
      <c r="C165" t="s">
        <v>131</v>
      </c>
      <c r="D165" t="s">
        <v>55</v>
      </c>
      <c r="E165" t="s">
        <v>59</v>
      </c>
      <c r="F165" s="12">
        <v>1381.78</v>
      </c>
    </row>
    <row r="166" spans="2:6" x14ac:dyDescent="0.3">
      <c r="C166" t="s">
        <v>142</v>
      </c>
      <c r="D166" t="s">
        <v>56</v>
      </c>
      <c r="E166" t="s">
        <v>59</v>
      </c>
      <c r="F166" s="12">
        <v>9813.9600000000009</v>
      </c>
    </row>
    <row r="167" spans="2:6" x14ac:dyDescent="0.3">
      <c r="C167" t="s">
        <v>128</v>
      </c>
      <c r="D167" t="s">
        <v>55</v>
      </c>
      <c r="E167" t="s">
        <v>59</v>
      </c>
      <c r="F167" s="12">
        <v>8705.880000000001</v>
      </c>
    </row>
    <row r="168" spans="2:6" x14ac:dyDescent="0.3">
      <c r="C168" t="s">
        <v>229</v>
      </c>
      <c r="D168" t="s">
        <v>54</v>
      </c>
      <c r="E168" t="s">
        <v>59</v>
      </c>
      <c r="F168" s="12">
        <v>3678.12</v>
      </c>
    </row>
    <row r="169" spans="2:6" x14ac:dyDescent="0.3">
      <c r="C169" t="s">
        <v>182</v>
      </c>
      <c r="D169" t="s">
        <v>55</v>
      </c>
      <c r="E169" t="s">
        <v>59</v>
      </c>
      <c r="F169" s="12">
        <v>8859.24</v>
      </c>
    </row>
    <row r="170" spans="2:6" x14ac:dyDescent="0.3">
      <c r="B170" t="s">
        <v>21</v>
      </c>
      <c r="C170" t="s">
        <v>149</v>
      </c>
      <c r="D170" t="s">
        <v>56</v>
      </c>
      <c r="E170" t="s">
        <v>57</v>
      </c>
      <c r="F170" s="12">
        <v>9197.2800000000007</v>
      </c>
    </row>
    <row r="171" spans="2:6" x14ac:dyDescent="0.3">
      <c r="C171" t="s">
        <v>199</v>
      </c>
      <c r="D171" t="s">
        <v>54</v>
      </c>
      <c r="E171" t="s">
        <v>57</v>
      </c>
      <c r="F171" s="12">
        <v>3263.76</v>
      </c>
    </row>
    <row r="172" spans="2:6" x14ac:dyDescent="0.3">
      <c r="C172" t="s">
        <v>84</v>
      </c>
      <c r="D172" t="s">
        <v>55</v>
      </c>
      <c r="E172" t="s">
        <v>57</v>
      </c>
      <c r="F172" s="12">
        <v>8992.32</v>
      </c>
    </row>
    <row r="173" spans="2:6" x14ac:dyDescent="0.3">
      <c r="C173" t="s">
        <v>103</v>
      </c>
      <c r="D173" t="s">
        <v>55</v>
      </c>
      <c r="E173" t="s">
        <v>57</v>
      </c>
      <c r="F173" s="12">
        <v>7719.5599999999995</v>
      </c>
    </row>
    <row r="174" spans="2:6" x14ac:dyDescent="0.3">
      <c r="C174" t="s">
        <v>135</v>
      </c>
      <c r="D174" t="s">
        <v>55</v>
      </c>
      <c r="E174" t="s">
        <v>57</v>
      </c>
      <c r="F174" s="12">
        <v>3996.36</v>
      </c>
    </row>
    <row r="175" spans="2:6" x14ac:dyDescent="0.3">
      <c r="C175" t="s">
        <v>134</v>
      </c>
      <c r="D175" t="s">
        <v>55</v>
      </c>
      <c r="E175" t="s">
        <v>57</v>
      </c>
      <c r="F175" s="12">
        <v>4262.76</v>
      </c>
    </row>
    <row r="176" spans="2:6" x14ac:dyDescent="0.3">
      <c r="C176" t="s">
        <v>81</v>
      </c>
      <c r="D176" t="s">
        <v>54</v>
      </c>
      <c r="E176" t="s">
        <v>57</v>
      </c>
      <c r="F176" s="12">
        <v>4011.1200000000003</v>
      </c>
    </row>
    <row r="177" spans="2:6" x14ac:dyDescent="0.3">
      <c r="C177" t="s">
        <v>127</v>
      </c>
      <c r="D177" t="s">
        <v>55</v>
      </c>
      <c r="E177" t="s">
        <v>57</v>
      </c>
      <c r="F177" s="12">
        <v>10025.640000000001</v>
      </c>
    </row>
    <row r="178" spans="2:6" x14ac:dyDescent="0.3">
      <c r="C178" t="s">
        <v>161</v>
      </c>
      <c r="D178" t="s">
        <v>55</v>
      </c>
      <c r="E178" t="s">
        <v>57</v>
      </c>
      <c r="F178" s="12">
        <v>571.20000000000005</v>
      </c>
    </row>
    <row r="179" spans="2:6" x14ac:dyDescent="0.3">
      <c r="C179" t="s">
        <v>146</v>
      </c>
      <c r="D179" t="s">
        <v>56</v>
      </c>
      <c r="E179" t="s">
        <v>57</v>
      </c>
      <c r="F179" s="12">
        <v>9499.68</v>
      </c>
    </row>
    <row r="180" spans="2:6" x14ac:dyDescent="0.3">
      <c r="C180" t="s">
        <v>85</v>
      </c>
      <c r="D180" t="s">
        <v>55</v>
      </c>
      <c r="E180" t="s">
        <v>57</v>
      </c>
      <c r="F180" s="12">
        <v>3953.52</v>
      </c>
    </row>
    <row r="181" spans="2:6" x14ac:dyDescent="0.3">
      <c r="B181" t="s">
        <v>19</v>
      </c>
      <c r="C181" t="s">
        <v>213</v>
      </c>
      <c r="D181" t="s">
        <v>55</v>
      </c>
      <c r="E181" t="s">
        <v>57</v>
      </c>
      <c r="F181" s="12">
        <v>8098.920000000001</v>
      </c>
    </row>
    <row r="182" spans="2:6" x14ac:dyDescent="0.3">
      <c r="C182" t="s">
        <v>228</v>
      </c>
      <c r="D182" t="s">
        <v>54</v>
      </c>
      <c r="E182" t="s">
        <v>57</v>
      </c>
      <c r="F182" s="12">
        <v>2718.72</v>
      </c>
    </row>
    <row r="183" spans="2:6" x14ac:dyDescent="0.3">
      <c r="C183" t="s">
        <v>200</v>
      </c>
      <c r="D183" t="s">
        <v>56</v>
      </c>
      <c r="E183" t="s">
        <v>57</v>
      </c>
      <c r="F183" s="12">
        <v>5983.2000000000007</v>
      </c>
    </row>
    <row r="184" spans="2:6" x14ac:dyDescent="0.3">
      <c r="C184" t="s">
        <v>212</v>
      </c>
      <c r="D184" t="s">
        <v>55</v>
      </c>
      <c r="E184" t="s">
        <v>57</v>
      </c>
      <c r="F184" s="12">
        <v>7392.6</v>
      </c>
    </row>
    <row r="185" spans="2:6" x14ac:dyDescent="0.3">
      <c r="C185" t="s">
        <v>151</v>
      </c>
      <c r="D185" t="s">
        <v>55</v>
      </c>
      <c r="E185" t="s">
        <v>57</v>
      </c>
      <c r="F185" s="12">
        <v>9871.2000000000007</v>
      </c>
    </row>
    <row r="186" spans="2:6" x14ac:dyDescent="0.3">
      <c r="C186" t="s">
        <v>155</v>
      </c>
      <c r="D186" t="s">
        <v>54</v>
      </c>
      <c r="E186" t="s">
        <v>57</v>
      </c>
      <c r="F186" s="12">
        <v>2084.88</v>
      </c>
    </row>
    <row r="187" spans="2:6" x14ac:dyDescent="0.3">
      <c r="C187" t="s">
        <v>132</v>
      </c>
      <c r="D187" t="s">
        <v>55</v>
      </c>
      <c r="E187" t="s">
        <v>57</v>
      </c>
      <c r="F187" s="12">
        <v>2999.56</v>
      </c>
    </row>
    <row r="188" spans="2:6" x14ac:dyDescent="0.3">
      <c r="C188" t="s">
        <v>66</v>
      </c>
      <c r="D188" t="s">
        <v>55</v>
      </c>
      <c r="E188" t="s">
        <v>57</v>
      </c>
      <c r="F188" s="12">
        <v>3767.88</v>
      </c>
    </row>
    <row r="189" spans="2:6" x14ac:dyDescent="0.3">
      <c r="C189" t="s">
        <v>111</v>
      </c>
      <c r="D189" t="s">
        <v>55</v>
      </c>
      <c r="E189" t="s">
        <v>57</v>
      </c>
      <c r="F189" s="12">
        <v>8129.1600000000008</v>
      </c>
    </row>
    <row r="190" spans="2:6" x14ac:dyDescent="0.3">
      <c r="C190" t="s">
        <v>140</v>
      </c>
      <c r="D190" t="s">
        <v>55</v>
      </c>
      <c r="E190" t="s">
        <v>57</v>
      </c>
      <c r="F190" s="12">
        <v>8821.68</v>
      </c>
    </row>
    <row r="191" spans="2:6" x14ac:dyDescent="0.3">
      <c r="B191" t="s">
        <v>240</v>
      </c>
      <c r="F191" s="12">
        <v>987469.8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5BE4-E09C-4B3B-AD93-FAB40624615A}">
  <sheetPr codeName="Sayfa5">
    <tabColor theme="4"/>
  </sheetPr>
  <dimension ref="B1:D13"/>
  <sheetViews>
    <sheetView showGridLines="0" zoomScale="145" zoomScaleNormal="145" workbookViewId="0">
      <selection activeCell="D10" sqref="D10"/>
    </sheetView>
  </sheetViews>
  <sheetFormatPr defaultRowHeight="14.4" x14ac:dyDescent="0.3"/>
  <cols>
    <col min="2" max="2" width="19" customWidth="1"/>
    <col min="4" max="4" width="16.33203125" customWidth="1"/>
  </cols>
  <sheetData>
    <row r="1" spans="2:4" x14ac:dyDescent="0.3">
      <c r="B1" s="4"/>
    </row>
    <row r="2" spans="2:4" ht="31.5" customHeight="1" x14ac:dyDescent="0.3">
      <c r="B2" s="5" t="s">
        <v>40</v>
      </c>
    </row>
    <row r="5" spans="2:4" x14ac:dyDescent="0.3">
      <c r="B5" t="s">
        <v>41</v>
      </c>
      <c r="D5" s="3" t="s">
        <v>42</v>
      </c>
    </row>
    <row r="6" spans="2:4" s="2" customFormat="1" ht="21" customHeight="1" x14ac:dyDescent="0.3">
      <c r="B6" s="2" t="s">
        <v>54</v>
      </c>
      <c r="D6" s="7">
        <v>0.01</v>
      </c>
    </row>
    <row r="7" spans="2:4" s="2" customFormat="1" ht="21" customHeight="1" x14ac:dyDescent="0.3">
      <c r="B7" s="2" t="s">
        <v>56</v>
      </c>
      <c r="D7" s="7">
        <v>0.02</v>
      </c>
    </row>
    <row r="8" spans="2:4" s="2" customFormat="1" ht="21" customHeight="1" x14ac:dyDescent="0.3">
      <c r="B8" s="2" t="s">
        <v>55</v>
      </c>
      <c r="D8" s="7">
        <v>0.08</v>
      </c>
    </row>
    <row r="9" spans="2:4" s="2" customFormat="1" ht="21" customHeight="1" x14ac:dyDescent="0.3">
      <c r="D9" s="7">
        <v>0.18</v>
      </c>
    </row>
    <row r="10" spans="2:4" s="2" customFormat="1" ht="21" customHeight="1" x14ac:dyDescent="0.3"/>
    <row r="11" spans="2:4" s="2" customFormat="1" ht="21" customHeight="1" x14ac:dyDescent="0.3"/>
    <row r="12" spans="2:4" s="2" customFormat="1" ht="21" customHeight="1" x14ac:dyDescent="0.3"/>
    <row r="13" spans="2:4" s="2" customFormat="1" ht="21" customHeight="1" x14ac:dyDescent="0.3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6</vt:i4>
      </vt:variant>
    </vt:vector>
  </HeadingPairs>
  <TitlesOfParts>
    <vt:vector size="13" baseType="lpstr">
      <vt:lpstr>G_Fatura</vt:lpstr>
      <vt:lpstr>G_Müşteri</vt:lpstr>
      <vt:lpstr>G_Tedarikçi</vt:lpstr>
      <vt:lpstr>G_Banka</vt:lpstr>
      <vt:lpstr>R_CariRaporu</vt:lpstr>
      <vt:lpstr>Ayarlar</vt:lpstr>
      <vt:lpstr>Lst_Bankalarım</vt:lpstr>
      <vt:lpstr>Lst_Müşteriler</vt:lpstr>
      <vt:lpstr>Lst_ÖdemeDurumu</vt:lpstr>
      <vt:lpstr>Lst_Tedarikçiler</vt:lpstr>
      <vt:lpstr>Lst_VergiOranları</vt:lpstr>
      <vt:lpstr>rng_arama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2023-05-07T06:27:50Z</dcterms:modified>
</cp:coreProperties>
</file>