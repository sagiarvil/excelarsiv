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2086503A-82AC-4BC3-8955-521F18AA5691}" ns3:coauthVersionLast="47" ns3:coauthVersionMax="47" ns4:uidLastSave="{00000000-0000-0000-0000-000000000000}"/>
  <ns0:bookViews>
    <ns0:workbookView xWindow="-96" yWindow="0" windowWidth="11712" windowHeight="12336" ns5:uid="{E2671B2E-362B-413E-BD50-62E84D7F26EC}" activeTab="0"/>
  </ns0:bookViews>
  <ns0:sheets>
    <ns0:sheet name="Ürün_Fiyat_Listesi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D16" i="1" l="1"/>
  <c r="E16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</calcChain>
</file>

<file path=xl/sharedStrings.xml><?xml version="1.0" encoding="utf-8"?>
<sst xmlns="http://schemas.openxmlformats.org/spreadsheetml/2006/main" count="80" uniqueCount="79">
  <si>
    <t>ARTCRAFT CAN CEREZLIK 6'LI</t>
  </si>
  <si>
    <t>F NEFFIS TAHIN ILE PEKMEZ 740 GR</t>
  </si>
  <si>
    <t>HALK CORBA KREMALI MANTAR 60GR</t>
  </si>
  <si>
    <t>BERRAK TURSU SALATALIK 1700ML NO:1 PET</t>
  </si>
  <si>
    <t>CALVE  KETCAP 700GR</t>
  </si>
  <si>
    <t>K.PLAST PROFESYONEL COP TORBASI BATTAL 10 LU</t>
  </si>
  <si>
    <t>DR.OETKER KARBONAT 5 LI POSET</t>
  </si>
  <si>
    <t>ALPELLA 3 GEN CIKOLATALI GOFRET36 GR</t>
  </si>
  <si>
    <t>C&amp;C SIYAH NOKTA TEM.KALIBI 75GR.</t>
  </si>
  <si>
    <t>ARBELLA TEL SEHRIYE MAKARNA 500GR</t>
  </si>
  <si>
    <t>ICIM M.SUYU 200 ML VISNE</t>
  </si>
  <si>
    <t>BIZIM MUTFAK BUGDAY NISASTA 200G</t>
  </si>
  <si>
    <t>ETI CICI BEBE VIT.BEBE EKMEGI 125GR</t>
  </si>
  <si>
    <t>ETI TOP KEK MEYVELİ 40 GR</t>
  </si>
  <si>
    <t>EKICI SUZME PEYNIR 500 GR</t>
  </si>
  <si>
    <t>BINGO 5 KG AUTOMAT SODA</t>
  </si>
  <si>
    <t>DR.OETKER TART JOLE 3`LU POSET</t>
  </si>
  <si>
    <t>DETAN SİNEKKIRAN 275 ML</t>
  </si>
  <si>
    <t>GARNIER COLOR NATURALS 6.35 CARPICI ALTIN KAHVE</t>
  </si>
  <si>
    <t>BAHCE ELMASI</t>
  </si>
  <si>
    <t>CEBEL TULUM PEYNIRI BEZ 1KG</t>
  </si>
  <si>
    <t>DORITOS NACO PARTİ 187 GR</t>
  </si>
  <si>
    <t>DURU KIRMIZI TOP MERCIMEK 1 KG</t>
  </si>
  <si>
    <t>COTANAK FINDIK YAGI 2 LT PET</t>
  </si>
  <si>
    <t>ETI FINGER BISKUVI 900GR.</t>
  </si>
  <si>
    <t>ICIM TEREYAGI 125 GR.</t>
  </si>
  <si>
    <t>FERSAN UZUM SIRKESI 500 ML PET</t>
  </si>
  <si>
    <t>DALIN KIDS SIVI EL SABUNU 300ML. MUZ</t>
  </si>
  <si>
    <t>ARKO NATUREL KREM 100ML VAZO</t>
  </si>
  <si>
    <t>CALVE KETCAP 700 GR ACILI</t>
  </si>
  <si>
    <t>KENT MISSBON ELMA VE CILEK 43GR</t>
  </si>
  <si>
    <t>ARTCRAFT CICEK DESENLI 6 LI SU BARDAGI</t>
  </si>
  <si>
    <t>CAFE CROWN 3 U 1 FINDIKLI</t>
  </si>
  <si>
    <t>EKİN OSMANCIK PIRINC 1 KG.</t>
  </si>
  <si>
    <t>ARGEM EKONOMIK 2'LI TOPTEL</t>
  </si>
  <si>
    <t>EMEK MISIROZU YAG 10LT TNK</t>
  </si>
  <si>
    <t>ICIM SUT 2 LT PASTORIZE KUTU</t>
  </si>
  <si>
    <t>CALGONIT TUZ 1,5 KG</t>
  </si>
  <si>
    <t>BEBELAC ARMUTLU MUHALLEBI 125 GR GECE</t>
  </si>
  <si>
    <t>CAYKUR KAMELYA CAY 1KG</t>
  </si>
  <si>
    <t>BAKTAT EXTRA GEMLIK SIYAH ZEYTIN 400 GR</t>
  </si>
  <si>
    <t>FAMILIA WC KAGIDI 13+3 BEDAVA</t>
  </si>
  <si>
    <t>FIRST TWIST 22 GR CILEK VE LIMON</t>
  </si>
  <si>
    <t>ARTCRAFT DOGA DESENLI RECELLIK BALLIK</t>
  </si>
  <si>
    <t>CANPED BELBANTLI GECE HASTA BEZI 14 AD.</t>
  </si>
  <si>
    <t>BAGDAT KIRMIZI PULBIBER 250GR</t>
  </si>
  <si>
    <t>CIF KREM 750GR SUPER GUC+ AMONYAKLI</t>
  </si>
  <si>
    <t>DR.OETKER SUPANGLE 155 GR.</t>
  </si>
  <si>
    <t>AKDEM TARCIN CUBUK 75 GR</t>
  </si>
  <si>
    <t>BANAT D.F. DUO CARE</t>
  </si>
  <si>
    <t>ERNET KOKU GIDERICI ASKILI 70 GR</t>
  </si>
  <si>
    <t>ARGEM VANTUZ POMPA KUCUK</t>
  </si>
  <si>
    <t>CIF ULTRA HIJYEN 750 ML</t>
  </si>
  <si>
    <t>F SAFF ULTRA ÇAMAŞIR SUYU ÇAM KOKULU 4 KG</t>
  </si>
  <si>
    <t>BARILLA ARPA SEHRIYE 500 GR</t>
  </si>
  <si>
    <t>CALGON TOZ KIRECE KARSI 1KG KİLİTLİ PAK.</t>
  </si>
  <si>
    <t>AKDEM HATMİ ÇİÇEĞİ 50 GR</t>
  </si>
  <si>
    <t>ARGEM WC TAKIM</t>
  </si>
  <si>
    <t>BLENDAX SACKREMI 700ML SARI KANTRON</t>
  </si>
  <si>
    <t>EMEK AYCICEK YAG 10 LT TNK</t>
  </si>
  <si>
    <t>CALGONIT BUL.MAK.PARLATICI 400</t>
  </si>
  <si>
    <t>ARTCRAFT RENKLI 4'LU KASE</t>
  </si>
  <si>
    <t>ARGEM INCI SARIMSAK EZICI</t>
  </si>
  <si>
    <t>HALK GOFRET VANILYALI 150GR</t>
  </si>
  <si>
    <t>CARTE DOR KABAK TATLISI 240GR</t>
  </si>
  <si>
    <t>FINISH TAB QUANTUM 25*2 OXI</t>
  </si>
  <si>
    <t>ETI ETIMEK KLASIK 130 GR</t>
  </si>
  <si>
    <t>Ürün Adı</t>
  </si>
  <si>
    <t>Fiyat</t>
  </si>
  <si>
    <t>Yeni Fiyat</t>
  </si>
  <si>
    <t>Değişim</t>
  </si>
  <si>
    <r>
      <rPr>
        <b/>
        <sz val="11"/>
        <color theme="0" tint="-0.34998626667073579"/>
        <rFont val="Century Gothic"/>
        <family val="2"/>
        <charset val="162"/>
      </rPr>
      <t>Oran Giriniz</t>
    </r>
    <r>
      <rPr>
        <sz val="11"/>
        <color theme="0" tint="-0.34998626667073579"/>
        <rFont val="Century Gothic"/>
        <family val="2"/>
        <charset val="162"/>
      </rPr>
      <t xml:space="preserve">
</t>
    </r>
    <r>
      <rPr>
        <sz val="8"/>
        <color theme="0" tint="-0.34998626667073579"/>
        <rFont val="Century Gothic"/>
        <family val="2"/>
        <charset val="162"/>
      </rPr>
      <t>Zam için artı değer
İndirim için eksi değer</t>
    </r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</si>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</sst>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₺&quot;#,##0.00;[Red]\-&quot;₺&quot;#,##0.00"/>
  </numFmts>
  <fonts count="12" x14ac:knownFonts="1">
    <font>
      <sz val="11"/>
      <color theme="1"/>
      <name val="Century Gothic"/>
      <family val="2"/>
      <charset val="162"/>
    </font>
    <font>
      <sz val="11"/>
      <color theme="1"/>
      <name val="Abadi"/>
      <family val="2"/>
      <charset val="162"/>
      <scheme val="minor"/>
    </font>
    <font>
      <b/>
      <sz val="11"/>
      <color theme="0" tint="-0.34998626667073579"/>
      <name val="Century Gothic"/>
      <family val="2"/>
      <charset val="162"/>
    </font>
    <font>
      <b/>
      <sz val="12"/>
      <color theme="8" tint="-0.24994659260841701"/>
      <name val="Century Gothic"/>
      <family val="2"/>
      <charset val="162"/>
    </font>
    <font>
      <sz val="11"/>
      <color theme="0" tint="-0.34998626667073579"/>
      <name val="Century Gothic"/>
      <family val="2"/>
      <charset val="162"/>
    </font>
    <font>
      <sz val="8"/>
      <color theme="0" tint="-0.34998626667073579"/>
      <name val="Century Gothic"/>
      <family val="2"/>
      <charset val="162"/>
    </font>
    <font>
      <b/>
      <sz val="22"/>
      <color theme="8" tint="-0.499984740745262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Abad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Abadi"/>
      <family val="2"/>
      <scheme val="minor"/>
    </font>
    <font>
      <u/>
      <sz val="11"/>
      <color theme="10"/>
      <name val="Abad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indent="1"/>
    </xf>
    <xf numFmtId="0" fontId="4" fillId="0" borderId="0" xfId="0" applyFont="1" applyAlignment="1">
      <alignment horizontal="left" vertical="center" wrapText="1"/>
    </xf>
    <xf numFmtId="9" fontId="6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left" vertical="center" wrapText="1" indent="1"/>
    </xf>
    <xf numFmtId="8" fontId="0" fillId="0" borderId="1" xfId="0" applyNumberFormat="1" applyBorder="1" applyAlignment="1">
      <alignment horizontal="right" vertical="center" indent="1"/>
    </xf>
    <xf numFmtId="0" fontId="8" fillId="3" borderId="0" xfId="2" applyFont="1" applyFill="1" applyAlignment="1">
      <alignment horizontal="left" vertical="center" wrapText="1"/>
    </xf>
    <xf numFmtId="0" fontId="8" fillId="3" borderId="0" xfId="2" applyFont="1" applyFill="1" applyAlignment="1">
      <alignment horizontal="left" vertical="center"/>
    </xf>
    <xf numFmtId="0" fontId="9" fillId="3" borderId="2" xfId="2" applyFont="1" applyFill="1" applyBorder="1" applyAlignment="1">
      <alignment horizontal="left" vertical="center" wrapText="1" indent="1"/>
    </xf>
    <xf numFmtId="0" fontId="9" fillId="3" borderId="0" xfId="2" applyFont="1" applyFill="1" applyAlignment="1">
      <alignment horizontal="left" vertical="center" wrapText="1" indent="1"/>
    </xf>
    <xf numFmtId="0" fontId="9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10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1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ED56B8BA-2BD9-41AC-A183-06BD66C4B624}"/>
    <cellStyle name="Normal" xfId="0" builtinId="0"/>
    <cellStyle name="Normal 2" xfId="1" xr:uid="{D01800C3-0260-421E-B941-D59B95EFCA9D}"/>
    <cellStyle name="Normal 2 2" xfId="2" xr:uid="{F9C77787-48B6-43D0-8FD3-9D334FD80C65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numFmt numFmtId="12" formatCode="&quot;₺&quot;#,##0.00;[Red]\-&quot;₺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numFmt numFmtId="12" formatCode="&quot;₺&quot;#,##0.00;[Red]\-&quot;₺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numFmt numFmtId="12" formatCode="&quot;₺&quot;#,##0.00;[Red]\-&quot;₺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24994659260841701"/>
        <name val="Century Gothic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border>
        <left style="thin">
          <color theme="8"/>
        </left>
      </border>
    </dxf>
    <dxf>
      <border>
        <left style="thin">
          <color theme="8"/>
        </left>
      </border>
    </dxf>
    <dxf>
      <fill>
        <patternFill>
          <bgColor theme="8" tint="0.79998168889431442"/>
        </patternFill>
      </fill>
      <border>
        <top style="thin">
          <color theme="8"/>
        </top>
      </border>
    </dxf>
    <dxf>
      <border>
        <top style="thin">
          <color theme="8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i val="0"/>
        <color theme="8" tint="-0.24994659260841701"/>
      </font>
      <fill>
        <patternFill patternType="none">
          <fgColor indexed="64"/>
          <bgColor auto="1"/>
        </patternFill>
      </fill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StyleLight13 2" pivot="0" count="9" xr9:uid="{ABC9F70D-695A-4A07-856C-A84FF7987D7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</tableStyles>
  <colors>
    <mruColors>
      <color rgb="FFFFCCCC"/>
      <color rgb="FFFF7C80"/>
      <color rgb="FF00CC00"/>
      <color rgb="FFB0E5AD"/>
      <color rgb="FFCDFFDA"/>
      <color rgb="FFCCFFCC"/>
      <color rgb="FFA9E581"/>
      <color rgb="FF00CC66"/>
      <color rgb="FF007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svg"/><Relationship Id="rId1" Type="http://schemas.openxmlformats.org/officeDocument/2006/relationships/image" Target="../media/image12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117231</xdr:colOff>
      <xdr:row>0</xdr:row>
      <xdr:rowOff>161192</xdr:rowOff>
    </xdr:from>
    <xdr:to>
      <xdr:col>1</xdr:col>
      <xdr:colOff>2351943</xdr:colOff>
      <xdr:row>1</xdr:row>
      <xdr:rowOff>212481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47BB1088-ACE2-4012-B1B1-BEB5C26413D0}"/>
            </a:ext>
          </a:extLst>
        </xdr:cNvPr>
        <xdr:cNvSpPr txBox="1"/>
      </xdr:nvSpPr>
      <xdr:spPr>
        <a:xfrm>
          <a:off x="3311769" y="161192"/>
          <a:ext cx="2234712" cy="432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>
              <a:solidFill>
                <a:schemeClr val="accent5">
                  <a:lumMod val="50000"/>
                </a:schemeClr>
              </a:solidFill>
            </a:rPr>
            <a:t>ÜRÜN</a:t>
          </a:r>
          <a:r>
            <a:rPr lang="tr-TR" sz="1800" baseline="0">
              <a:solidFill>
                <a:schemeClr val="accent5">
                  <a:lumMod val="50000"/>
                </a:schemeClr>
              </a:solidFill>
            </a:rPr>
            <a:t> FİYAT LİSTEM</a:t>
          </a:r>
          <a:endParaRPr lang="tr-TR" sz="18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179615</xdr:colOff>
      <xdr:row>3</xdr:row>
      <xdr:rowOff>146957</xdr:rowOff>
    </xdr:from>
    <xdr:to>
      <xdr:col>1</xdr:col>
      <xdr:colOff>2134415</xdr:colOff>
      <xdr:row>4</xdr:row>
      <xdr:rowOff>208757</xdr:rowOff>
    </xdr:to>
    <xdr:grpSp>
      <xdr:nvGrpSpPr>
        <xdr:cNvPr id="9" name="Grup 8">
          <a:extLst>
            <a:ext uri="{FF2B5EF4-FFF2-40B4-BE49-F238E27FC236}">
              <a16:creationId xmlns:a16="http://schemas.microsoft.com/office/drawing/2014/main" id="{65D4DB65-FCA9-4706-A7C0-D4AD1F3D7298}"/>
            </a:ext>
          </a:extLst>
        </xdr:cNvPr>
        <xdr:cNvGrpSpPr/>
      </xdr:nvGrpSpPr>
      <xdr:grpSpPr>
        <a:xfrm>
          <a:off x="2838995" y="1808117"/>
          <a:ext cx="1954800" cy="442800"/>
          <a:chOff x="3372395" y="1842407"/>
          <a:chExt cx="1954800" cy="442800"/>
        </a:xfrm>
      </xdr:grpSpPr>
      <xdr:sp macro="[0]!Satir_Sil" textlink="">
        <xdr:nvSpPr>
          <xdr:cNvPr id="7" name="Dikdörtgen: Köşeleri Yuvarlatılmış 6">
            <a:extLst>
              <a:ext uri="{FF2B5EF4-FFF2-40B4-BE49-F238E27FC236}">
                <a16:creationId xmlns:a16="http://schemas.microsoft.com/office/drawing/2014/main" id="{B28FF910-AF45-499C-B717-035A2CECFEA1}"/>
              </a:ext>
            </a:extLst>
          </xdr:cNvPr>
          <xdr:cNvSpPr/>
        </xdr:nvSpPr>
        <xdr:spPr>
          <a:xfrm>
            <a:off x="3372395" y="1842407"/>
            <a:ext cx="1954800" cy="442800"/>
          </a:xfrm>
          <a:prstGeom prst="roundRect">
            <a:avLst>
              <a:gd name="adj" fmla="val 50000"/>
            </a:avLst>
          </a:prstGeom>
          <a:solidFill>
            <a:schemeClr val="accent2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100">
                <a:solidFill>
                  <a:srgbClr val="FF7C80"/>
                </a:solidFill>
              </a:rPr>
              <a:t>Seçili Kaydı Sil</a:t>
            </a:r>
          </a:p>
        </xdr:txBody>
      </xdr:sp>
      <xdr:cxnSp macro="[0]!Satir_Sil">
        <xdr:nvCxnSpPr>
          <xdr:cNvPr id="5" name="Düz Bağlayıcı 4">
            <a:extLst>
              <a:ext uri="{FF2B5EF4-FFF2-40B4-BE49-F238E27FC236}">
                <a16:creationId xmlns:a16="http://schemas.microsoft.com/office/drawing/2014/main" id="{D27F69E9-C53D-43CA-A210-43D2EA3F7EE2}"/>
              </a:ext>
            </a:extLst>
          </xdr:cNvPr>
          <xdr:cNvCxnSpPr/>
        </xdr:nvCxnSpPr>
        <xdr:spPr>
          <a:xfrm rot="5400000">
            <a:off x="3612152" y="1984607"/>
            <a:ext cx="0" cy="158400"/>
          </a:xfrm>
          <a:prstGeom prst="line">
            <a:avLst/>
          </a:prstGeom>
          <a:ln w="25400">
            <a:solidFill>
              <a:srgbClr val="FF7C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179615</xdr:colOff>
      <xdr:row>2</xdr:row>
      <xdr:rowOff>234043</xdr:rowOff>
    </xdr:from>
    <xdr:to>
      <xdr:col>1</xdr:col>
      <xdr:colOff>2134415</xdr:colOff>
      <xdr:row>2</xdr:row>
      <xdr:rowOff>676843</xdr:rowOff>
    </xdr:to>
    <xdr:grpSp>
      <xdr:nvGrpSpPr>
        <xdr:cNvPr id="12" name="Grup 11">
          <a:extLst>
            <a:ext uri="{FF2B5EF4-FFF2-40B4-BE49-F238E27FC236}">
              <a16:creationId xmlns:a16="http://schemas.microsoft.com/office/drawing/2014/main" id="{E8FE92B7-C802-468C-A330-198AE7BCB3CC}"/>
            </a:ext>
          </a:extLst>
        </xdr:cNvPr>
        <xdr:cNvGrpSpPr/>
      </xdr:nvGrpSpPr>
      <xdr:grpSpPr>
        <a:xfrm>
          <a:off x="2838995" y="996043"/>
          <a:ext cx="1954800" cy="442800"/>
          <a:chOff x="3372395" y="996043"/>
          <a:chExt cx="1954800" cy="442800"/>
        </a:xfrm>
      </xdr:grpSpPr>
      <xdr:sp macro="[0]!Yeni_Kayit" textlink="">
        <xdr:nvSpPr>
          <xdr:cNvPr id="3" name="Dikdörtgen: Köşeleri Yuvarlatılmış 2">
            <a:extLst>
              <a:ext uri="{FF2B5EF4-FFF2-40B4-BE49-F238E27FC236}">
                <a16:creationId xmlns:a16="http://schemas.microsoft.com/office/drawing/2014/main" id="{AA10A8F4-7BC7-42C4-9F36-8516893B9450}"/>
              </a:ext>
            </a:extLst>
          </xdr:cNvPr>
          <xdr:cNvSpPr/>
        </xdr:nvSpPr>
        <xdr:spPr>
          <a:xfrm>
            <a:off x="3372395" y="996043"/>
            <a:ext cx="1954800" cy="442800"/>
          </a:xfrm>
          <a:prstGeom prst="roundRect">
            <a:avLst>
              <a:gd name="adj" fmla="val 50000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100">
                <a:solidFill>
                  <a:srgbClr val="00CC00"/>
                </a:solidFill>
              </a:rPr>
              <a:t>Yeni Kayıt Ekle</a:t>
            </a:r>
          </a:p>
        </xdr:txBody>
      </xdr:sp>
      <xdr:grpSp>
        <xdr:nvGrpSpPr>
          <xdr:cNvPr id="6" name="Grup 5">
            <a:extLst>
              <a:ext uri="{FF2B5EF4-FFF2-40B4-BE49-F238E27FC236}">
                <a16:creationId xmlns:a16="http://schemas.microsoft.com/office/drawing/2014/main" id="{B69C6BED-AFB9-4C0E-84B2-C684D02830FB}"/>
              </a:ext>
            </a:extLst>
          </xdr:cNvPr>
          <xdr:cNvGrpSpPr/>
        </xdr:nvGrpSpPr>
        <xdr:grpSpPr>
          <a:xfrm>
            <a:off x="3532952" y="1138243"/>
            <a:ext cx="158400" cy="158400"/>
            <a:chOff x="7408538" y="1447800"/>
            <a:chExt cx="158400" cy="158400"/>
          </a:xfrm>
        </xdr:grpSpPr>
        <xdr:cxnSp macro="[0]!Yeni_Kayit">
          <xdr:nvCxnSpPr>
            <xdr:cNvPr id="10" name="Düz Bağlayıcı 9">
              <a:extLst>
                <a:ext uri="{FF2B5EF4-FFF2-40B4-BE49-F238E27FC236}">
                  <a16:creationId xmlns:a16="http://schemas.microsoft.com/office/drawing/2014/main" id="{72C63AC3-CB9A-4CBA-BBB3-48EB5252EA35}"/>
                </a:ext>
              </a:extLst>
            </xdr:cNvPr>
            <xdr:cNvCxnSpPr/>
          </xdr:nvCxnSpPr>
          <xdr:spPr>
            <a:xfrm rot="5400000">
              <a:off x="7487738" y="1447800"/>
              <a:ext cx="0" cy="158400"/>
            </a:xfrm>
            <a:prstGeom prst="line">
              <a:avLst/>
            </a:prstGeom>
            <a:ln w="25400">
              <a:solidFill>
                <a:srgbClr val="00CC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[0]!Yeni_Kayit">
          <xdr:nvCxnSpPr>
            <xdr:cNvPr id="11" name="Düz Bağlayıcı 10">
              <a:extLst>
                <a:ext uri="{FF2B5EF4-FFF2-40B4-BE49-F238E27FC236}">
                  <a16:creationId xmlns:a16="http://schemas.microsoft.com/office/drawing/2014/main" id="{0B2D70F6-526D-4CCD-B255-ADC68CDB68B3}"/>
                </a:ext>
              </a:extLst>
            </xdr:cNvPr>
            <xdr:cNvCxnSpPr/>
          </xdr:nvCxnSpPr>
          <xdr:spPr>
            <a:xfrm rot="10800000">
              <a:off x="7487738" y="1447800"/>
              <a:ext cx="0" cy="158400"/>
            </a:xfrm>
            <a:prstGeom prst="line">
              <a:avLst/>
            </a:prstGeom>
            <a:ln w="25400">
              <a:solidFill>
                <a:srgbClr val="00CC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55598</xdr:colOff>
      <xdr:row>3</xdr:row>
      <xdr:rowOff>219808</xdr:rowOff>
    </xdr:from>
    <xdr:to>
      <xdr:col>4</xdr:col>
      <xdr:colOff>1383560</xdr:colOff>
      <xdr:row>4</xdr:row>
      <xdr:rowOff>216808</xdr:rowOff>
    </xdr:to>
    <xdr:sp macro="[0]!Copy_Paste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BE119C2C-AE58-4C3F-98C7-33F61474D7ED}"/>
            </a:ext>
          </a:extLst>
        </xdr:cNvPr>
        <xdr:cNvSpPr/>
      </xdr:nvSpPr>
      <xdr:spPr>
        <a:xfrm>
          <a:off x="5143069" y="1889484"/>
          <a:ext cx="2807138" cy="378000"/>
        </a:xfrm>
        <a:prstGeom prst="roundRect">
          <a:avLst>
            <a:gd name="adj" fmla="val 14913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190500" dist="50800" dir="2760000" sx="97000" sy="97000" algn="t" rotWithShape="0">
            <a:schemeClr val="accent5">
              <a:lumMod val="50000"/>
              <a:alpha val="46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Yeni</a:t>
          </a:r>
          <a:r>
            <a:rPr lang="tr-TR" sz="1100" baseline="0"/>
            <a:t> Fiyatı Kabul Et</a:t>
          </a:r>
        </a:p>
      </xdr:txBody>
    </xdr:sp>
    <xdr:clientData/>
  </xdr:twoCellAnchor>
  <xdr:twoCellAnchor editAs="oneCell">
    <xdr:from>
      <xdr:col>2</xdr:col>
      <xdr:colOff>1162878</xdr:colOff>
      <xdr:row>1</xdr:row>
      <xdr:rowOff>90281</xdr:rowOff>
    </xdr:from>
    <xdr:to>
      <xdr:col>2</xdr:col>
      <xdr:colOff>1441174</xdr:colOff>
      <xdr:row>1</xdr:row>
      <xdr:rowOff>318881</xdr:rowOff>
    </xdr:to>
    <xdr:grpSp>
      <xdr:nvGrpSpPr>
        <xdr:cNvPr id="16" name="Btn_Menu_Open" hidden="1">
          <a:extLst>
            <a:ext uri="{FF2B5EF4-FFF2-40B4-BE49-F238E27FC236}">
              <a16:creationId xmlns:a16="http://schemas.microsoft.com/office/drawing/2014/main" id="{12E32C4B-996E-46A7-B7AF-381C28309E3C}"/>
            </a:ext>
          </a:extLst>
        </xdr:cNvPr>
        <xdr:cNvGrpSpPr/>
      </xdr:nvGrpSpPr>
      <xdr:grpSpPr>
        <a:xfrm>
          <a:off x="6496878" y="471281"/>
          <a:ext cx="278296" cy="228600"/>
          <a:chOff x="5864087" y="762000"/>
          <a:chExt cx="1113182" cy="914400"/>
        </a:xfrm>
      </xdr:grpSpPr>
      <xdr:pic macro="[0]!Menu_Open">
        <xdr:nvPicPr>
          <xdr:cNvPr id="15" name="Grafik 14" descr="Sağa Doğru Şapka Karakteri düz dolguyla" hidden="1">
            <a:extLst>
              <a:ext uri="{FF2B5EF4-FFF2-40B4-BE49-F238E27FC236}">
                <a16:creationId xmlns:a16="http://schemas.microsoft.com/office/drawing/2014/main" id="{EFF0A3EF-4B3D-4C27-8B4F-7602E2A328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864087" y="762000"/>
            <a:ext cx="914400" cy="914400"/>
          </a:xfrm>
          <a:prstGeom prst="rect">
            <a:avLst/>
          </a:prstGeom>
        </xdr:spPr>
      </xdr:pic>
      <xdr:pic macro="[0]!Menu_Open">
        <xdr:nvPicPr>
          <xdr:cNvPr id="21" name="Grafik 20" descr="Sağa Doğru Şapka Karakteri düz dolguyla" hidden="1">
            <a:extLst>
              <a:ext uri="{FF2B5EF4-FFF2-40B4-BE49-F238E27FC236}">
                <a16:creationId xmlns:a16="http://schemas.microsoft.com/office/drawing/2014/main" id="{DEFA6D75-D8A5-4413-A433-430A6360B0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062869" y="762000"/>
            <a:ext cx="914400" cy="9144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1162878</xdr:colOff>
      <xdr:row>1</xdr:row>
      <xdr:rowOff>90281</xdr:rowOff>
    </xdr:from>
    <xdr:to>
      <xdr:col>2</xdr:col>
      <xdr:colOff>1441174</xdr:colOff>
      <xdr:row>1</xdr:row>
      <xdr:rowOff>318881</xdr:rowOff>
    </xdr:to>
    <xdr:grpSp>
      <xdr:nvGrpSpPr>
        <xdr:cNvPr id="23" name="Btn_Menu_Close">
          <a:extLst>
            <a:ext uri="{FF2B5EF4-FFF2-40B4-BE49-F238E27FC236}">
              <a16:creationId xmlns:a16="http://schemas.microsoft.com/office/drawing/2014/main" id="{891FEA62-FAC9-45E7-A3E7-E01B4E799D6A}"/>
            </a:ext>
          </a:extLst>
        </xdr:cNvPr>
        <xdr:cNvGrpSpPr/>
      </xdr:nvGrpSpPr>
      <xdr:grpSpPr>
        <a:xfrm rot="10800000">
          <a:off x="6496878" y="471281"/>
          <a:ext cx="278296" cy="228600"/>
          <a:chOff x="5864087" y="762000"/>
          <a:chExt cx="1113182" cy="914400"/>
        </a:xfrm>
      </xdr:grpSpPr>
      <xdr:pic macro="[0]!Menu_Close">
        <xdr:nvPicPr>
          <xdr:cNvPr id="24" name="Grafik 23" descr="Sağa Doğru Şapka Karakteri düz dolguyla">
            <a:extLst>
              <a:ext uri="{FF2B5EF4-FFF2-40B4-BE49-F238E27FC236}">
                <a16:creationId xmlns:a16="http://schemas.microsoft.com/office/drawing/2014/main" id="{EEA71E75-487B-4CDA-A8BB-C6FFB781B5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864087" y="762000"/>
            <a:ext cx="914400" cy="914400"/>
          </a:xfrm>
          <a:prstGeom prst="rect">
            <a:avLst/>
          </a:prstGeom>
        </xdr:spPr>
      </xdr:pic>
      <xdr:pic macro="[0]!Menu_Close">
        <xdr:nvPicPr>
          <xdr:cNvPr id="27" name="Grafik 26" descr="Sağa Doğru Şapka Karakteri düz dolguyla">
            <a:extLst>
              <a:ext uri="{FF2B5EF4-FFF2-40B4-BE49-F238E27FC236}">
                <a16:creationId xmlns:a16="http://schemas.microsoft.com/office/drawing/2014/main" id="{2707509C-BC59-47A3-8487-07721C3172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062869" y="762000"/>
            <a:ext cx="914400" cy="9144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CE034-92F8-4345-8226-420136906FA3}" name="Tablo1" displayName="Tablo1" ref="B7:E76" totalsRowShown="0" headerRowDxfId="5" dataDxfId="4">
  <autoFilter ref="B7:E76" xr:uid="{C9ACE034-92F8-4345-8226-420136906FA3}"/>
  <tableColumns count="4">
    <tableColumn id="1" xr3:uid="{B80603EC-A8AF-495D-88F1-897D17E0F7E1}" name="Ürün Adı" dataDxfId="3"/>
    <tableColumn id="2" xr3:uid="{6621D118-F6E7-4047-B85F-47A9EC4D6D5C}" name="Fiyat" dataDxfId="2"/>
    <tableColumn id="3" xr3:uid="{42BFD93E-6EFA-4A4E-9D04-1FB54A2FDA8B}" name="Yeni Fiyat" dataDxfId="1">
      <calculatedColumnFormula>Tablo1[[#This Row],[Fiyat]]*(1+oran)</calculatedColumnFormula>
    </tableColumn>
    <tableColumn id="4" xr3:uid="{31D6970B-9C9B-4EB0-AD82-DAF0D8E89ADE}" name="Değişim" dataDxfId="0">
      <calculatedColumnFormula>Tablo1[[#This Row],[Yeni Fiyat]]-Tablo1[[#This Row],[Fiyat]]</calculatedColumnFormula>
    </tableColumn>
  </tableColumns>
  <tableStyleInfo name="TableStyleLight13 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badi">
      <a:majorFont>
        <a:latin typeface="Abadi"/>
        <a:ea typeface=""/>
        <a:cs typeface=""/>
      </a:majorFont>
      <a:minorFont>
        <a:latin typeface="Abad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2891-045B-4DF7-A5A6-BA66DD55CF7F}">
  <sheetPr codeName="Sayfa1"/>
  <dimension ref="B3:E76"/>
  <sheetViews>
    <sheetView showGridLines="0" zoomScaleNormal="100" workbookViewId="0">
      <pane ySplit="7" topLeftCell="A8" activePane="bottomLeft" state="frozen"/>
      <selection pane="bottomLeft" activeCell="E3" sqref="E3"/>
    </sheetView>
  </sheetViews>
  <sheetFormatPr defaultRowHeight="30" customHeight="1" x14ac:dyDescent="0.25"/>
  <cols>
    <col min="1" max="1" width="34.8984375" customWidth="1"/>
    <col min="2" max="2" width="35.09765625" style="1" customWidth="1"/>
    <col min="3" max="3" width="19.5" customWidth="1"/>
    <col min="4" max="5" width="19.3984375" customWidth="1"/>
  </cols>
  <sheetData>
    <row r="3" spans="2:5" ht="71.25" customHeight="1" x14ac:dyDescent="0.25">
      <c r="D3" s="4" t="s">
        <v>71</v>
      </c>
      <c r="E3" s="5">
        <v>0</v>
      </c>
    </row>
    <row r="6" spans="2:5" ht="39.75" customHeight="1" x14ac:dyDescent="0.25"/>
    <row r="7" spans="2:5" ht="42.75" customHeight="1" x14ac:dyDescent="0.25">
      <c r="B7" s="2" t="s">
        <v>67</v>
      </c>
      <c r="C7" s="3" t="s">
        <v>68</v>
      </c>
      <c r="D7" s="3" t="s">
        <v>69</v>
      </c>
      <c r="E7" s="3" t="s">
        <v>70</v>
      </c>
    </row>
    <row r="8" spans="2:5" ht="35.1" customHeight="1" x14ac:dyDescent="0.25">
      <c r="B8" s="6" t="s">
        <v>0</v>
      </c>
      <c r="C8" s="7">
        <v>31.09741965966796</v>
      </c>
      <c r="D8" s="7">
        <f>Tablo1[[#This Row],[Fiyat]]*(1+oran)</f>
        <v>31.09741965966796</v>
      </c>
      <c r="E8" s="7">
        <f>Tablo1[[#This Row],[Yeni Fiyat]]-Tablo1[[#This Row],[Fiyat]]</f>
        <v>0</v>
      </c>
    </row>
    <row r="9" spans="2:5" ht="35.1" customHeight="1" x14ac:dyDescent="0.25">
      <c r="B9" s="6" t="s">
        <v>1</v>
      </c>
      <c r="C9" s="7">
        <v>64.514460366210926</v>
      </c>
      <c r="D9" s="7">
        <f>Tablo1[[#This Row],[Fiyat]]*(1+oran)</f>
        <v>64.514460366210926</v>
      </c>
      <c r="E9" s="7">
        <f>Tablo1[[#This Row],[Yeni Fiyat]]-Tablo1[[#This Row],[Fiyat]]</f>
        <v>0</v>
      </c>
    </row>
    <row r="10" spans="2:5" ht="35.1" customHeight="1" x14ac:dyDescent="0.25">
      <c r="B10" s="6" t="s">
        <v>2</v>
      </c>
      <c r="C10" s="7">
        <v>4.3492894628906233</v>
      </c>
      <c r="D10" s="7">
        <f>Tablo1[[#This Row],[Fiyat]]*(1+oran)</f>
        <v>4.3492894628906233</v>
      </c>
      <c r="E10" s="7">
        <f>Tablo1[[#This Row],[Yeni Fiyat]]-Tablo1[[#This Row],[Fiyat]]</f>
        <v>0</v>
      </c>
    </row>
    <row r="11" spans="2:5" ht="35.1" customHeight="1" x14ac:dyDescent="0.25">
      <c r="B11" s="6" t="s">
        <v>3</v>
      </c>
      <c r="C11" s="7">
        <v>53.278795920410133</v>
      </c>
      <c r="D11" s="7">
        <f>Tablo1[[#This Row],[Fiyat]]*(1+oran)</f>
        <v>53.278795920410133</v>
      </c>
      <c r="E11" s="7">
        <f>Tablo1[[#This Row],[Yeni Fiyat]]-Tablo1[[#This Row],[Fiyat]]</f>
        <v>0</v>
      </c>
    </row>
    <row r="12" spans="2:5" ht="35.1" customHeight="1" x14ac:dyDescent="0.25">
      <c r="B12" s="6" t="s">
        <v>4</v>
      </c>
      <c r="C12" s="7">
        <v>23.921092045898433</v>
      </c>
      <c r="D12" s="7">
        <f>Tablo1[[#This Row],[Fiyat]]*(1+oran)</f>
        <v>23.921092045898433</v>
      </c>
      <c r="E12" s="7">
        <f>Tablo1[[#This Row],[Yeni Fiyat]]-Tablo1[[#This Row],[Fiyat]]</f>
        <v>0</v>
      </c>
    </row>
    <row r="13" spans="2:5" ht="35.1" customHeight="1" x14ac:dyDescent="0.25">
      <c r="B13" s="6" t="s">
        <v>5</v>
      </c>
      <c r="C13" s="7">
        <v>23.558651257324215</v>
      </c>
      <c r="D13" s="7">
        <f>Tablo1[[#This Row],[Fiyat]]*(1+oran)</f>
        <v>23.558651257324215</v>
      </c>
      <c r="E13" s="7">
        <f>Tablo1[[#This Row],[Yeni Fiyat]]-Tablo1[[#This Row],[Fiyat]]</f>
        <v>0</v>
      </c>
    </row>
    <row r="14" spans="2:5" ht="35.1" customHeight="1" x14ac:dyDescent="0.25">
      <c r="B14" s="6" t="s">
        <v>6</v>
      </c>
      <c r="C14" s="7">
        <v>3.2619670971679682</v>
      </c>
      <c r="D14" s="7">
        <f>Tablo1[[#This Row],[Fiyat]]*(1+oran)</f>
        <v>3.2619670971679682</v>
      </c>
      <c r="E14" s="7">
        <f>Tablo1[[#This Row],[Yeni Fiyat]]-Tablo1[[#This Row],[Fiyat]]</f>
        <v>0</v>
      </c>
    </row>
    <row r="15" spans="2:5" ht="35.1" customHeight="1" x14ac:dyDescent="0.25">
      <c r="B15" s="6" t="s">
        <v>7</v>
      </c>
      <c r="C15" s="7">
        <v>3.6244078857421869</v>
      </c>
      <c r="D15" s="7">
        <f>Tablo1[[#This Row],[Fiyat]]*(1+oran)</f>
        <v>3.6244078857421869</v>
      </c>
      <c r="E15" s="7">
        <f>Tablo1[[#This Row],[Yeni Fiyat]]-Tablo1[[#This Row],[Fiyat]]</f>
        <v>0</v>
      </c>
    </row>
    <row r="16" spans="2:5" ht="35.1" customHeight="1" x14ac:dyDescent="0.25">
      <c r="B16" s="6"/>
      <c r="C16" s="7">
        <v>0</v>
      </c>
      <c r="D16" s="7">
        <f>Tablo1[[#This Row],[Fiyat]]*(1+oran)</f>
        <v>0</v>
      </c>
      <c r="E16" s="7">
        <f>Tablo1[[#This Row],[Yeni Fiyat]]-Tablo1[[#This Row],[Fiyat]]</f>
        <v>0</v>
      </c>
    </row>
    <row r="17" spans="2:5" ht="35.1" customHeight="1" x14ac:dyDescent="0.25">
      <c r="B17" s="6" t="s">
        <v>8</v>
      </c>
      <c r="C17" s="7">
        <v>47.117302514648429</v>
      </c>
      <c r="D17" s="7">
        <f>Tablo1[[#This Row],[Fiyat]]*(1+oran)</f>
        <v>47.117302514648429</v>
      </c>
      <c r="E17" s="7">
        <f>Tablo1[[#This Row],[Yeni Fiyat]]-Tablo1[[#This Row],[Fiyat]]</f>
        <v>0</v>
      </c>
    </row>
    <row r="18" spans="2:5" ht="35.1" customHeight="1" x14ac:dyDescent="0.25">
      <c r="B18" s="6" t="s">
        <v>9</v>
      </c>
      <c r="C18" s="7">
        <v>7.17632761376953</v>
      </c>
      <c r="D18" s="7">
        <f>Tablo1[[#This Row],[Fiyat]]*(1+oran)</f>
        <v>7.17632761376953</v>
      </c>
      <c r="E18" s="7">
        <f>Tablo1[[#This Row],[Yeni Fiyat]]-Tablo1[[#This Row],[Fiyat]]</f>
        <v>0</v>
      </c>
    </row>
    <row r="19" spans="2:5" ht="35.1" customHeight="1" x14ac:dyDescent="0.25">
      <c r="B19" s="6" t="s">
        <v>10</v>
      </c>
      <c r="C19" s="7">
        <v>5.4366118286132803</v>
      </c>
      <c r="D19" s="7">
        <f>Tablo1[[#This Row],[Fiyat]]*(1+oran)</f>
        <v>5.4366118286132803</v>
      </c>
      <c r="E19" s="7">
        <f>Tablo1[[#This Row],[Yeni Fiyat]]-Tablo1[[#This Row],[Fiyat]]</f>
        <v>0</v>
      </c>
    </row>
    <row r="20" spans="2:5" ht="35.1" customHeight="1" x14ac:dyDescent="0.25">
      <c r="B20" s="6" t="s">
        <v>11</v>
      </c>
      <c r="C20" s="7">
        <v>18.122039428710938</v>
      </c>
      <c r="D20" s="7">
        <f>Tablo1[[#This Row],[Fiyat]]*(1+oran)</f>
        <v>18.122039428710938</v>
      </c>
      <c r="E20" s="7">
        <f>Tablo1[[#This Row],[Yeni Fiyat]]-Tablo1[[#This Row],[Fiyat]]</f>
        <v>0</v>
      </c>
    </row>
    <row r="21" spans="2:5" ht="35.1" customHeight="1" x14ac:dyDescent="0.25">
      <c r="B21" s="6" t="s">
        <v>12</v>
      </c>
      <c r="C21" s="7">
        <v>10.148342080078121</v>
      </c>
      <c r="D21" s="7">
        <f>Tablo1[[#This Row],[Fiyat]]*(1+oran)</f>
        <v>10.148342080078121</v>
      </c>
      <c r="E21" s="7">
        <f>Tablo1[[#This Row],[Yeni Fiyat]]-Tablo1[[#This Row],[Fiyat]]</f>
        <v>0</v>
      </c>
    </row>
    <row r="22" spans="2:5" ht="35.1" customHeight="1" x14ac:dyDescent="0.25">
      <c r="B22" s="6" t="s">
        <v>13</v>
      </c>
      <c r="C22" s="7">
        <v>2.5370855200195304</v>
      </c>
      <c r="D22" s="7">
        <f>Tablo1[[#This Row],[Fiyat]]*(1+oran)</f>
        <v>2.5370855200195304</v>
      </c>
      <c r="E22" s="7">
        <f>Tablo1[[#This Row],[Yeni Fiyat]]-Tablo1[[#This Row],[Fiyat]]</f>
        <v>0</v>
      </c>
    </row>
    <row r="23" spans="2:5" ht="35.1" customHeight="1" x14ac:dyDescent="0.25">
      <c r="B23" s="6" t="s">
        <v>14</v>
      </c>
      <c r="C23" s="7">
        <v>43.130453840332017</v>
      </c>
      <c r="D23" s="7">
        <f>Tablo1[[#This Row],[Fiyat]]*(1+oran)</f>
        <v>43.130453840332017</v>
      </c>
      <c r="E23" s="7">
        <f>Tablo1[[#This Row],[Yeni Fiyat]]-Tablo1[[#This Row],[Fiyat]]</f>
        <v>0</v>
      </c>
    </row>
    <row r="24" spans="2:5" ht="35.1" customHeight="1" x14ac:dyDescent="0.25">
      <c r="B24" s="6" t="s">
        <v>15</v>
      </c>
      <c r="C24" s="7">
        <v>115.25617076660151</v>
      </c>
      <c r="D24" s="7">
        <f>Tablo1[[#This Row],[Fiyat]]*(1+oran)</f>
        <v>115.25617076660151</v>
      </c>
      <c r="E24" s="7">
        <f>Tablo1[[#This Row],[Yeni Fiyat]]-Tablo1[[#This Row],[Fiyat]]</f>
        <v>0</v>
      </c>
    </row>
    <row r="25" spans="2:5" ht="35.1" customHeight="1" x14ac:dyDescent="0.25">
      <c r="B25" s="6" t="s">
        <v>16</v>
      </c>
      <c r="C25" s="7">
        <v>10.800735499511715</v>
      </c>
      <c r="D25" s="7">
        <f>Tablo1[[#This Row],[Fiyat]]*(1+oran)</f>
        <v>10.800735499511715</v>
      </c>
      <c r="E25" s="7">
        <f>Tablo1[[#This Row],[Yeni Fiyat]]-Tablo1[[#This Row],[Fiyat]]</f>
        <v>0</v>
      </c>
    </row>
    <row r="26" spans="2:5" ht="35.1" customHeight="1" x14ac:dyDescent="0.25">
      <c r="B26" s="6" t="s">
        <v>17</v>
      </c>
      <c r="C26" s="7">
        <v>35.881638068847664</v>
      </c>
      <c r="D26" s="7">
        <f>Tablo1[[#This Row],[Fiyat]]*(1+oran)</f>
        <v>35.881638068847664</v>
      </c>
      <c r="E26" s="7">
        <f>Tablo1[[#This Row],[Yeni Fiyat]]-Tablo1[[#This Row],[Fiyat]]</f>
        <v>0</v>
      </c>
    </row>
    <row r="27" spans="2:5" ht="35.1" customHeight="1" x14ac:dyDescent="0.25">
      <c r="B27" s="6" t="s">
        <v>18</v>
      </c>
      <c r="C27" s="7">
        <v>52.55391434326171</v>
      </c>
      <c r="D27" s="7">
        <f>Tablo1[[#This Row],[Fiyat]]*(1+oran)</f>
        <v>52.55391434326171</v>
      </c>
      <c r="E27" s="7">
        <f>Tablo1[[#This Row],[Yeni Fiyat]]-Tablo1[[#This Row],[Fiyat]]</f>
        <v>0</v>
      </c>
    </row>
    <row r="28" spans="2:5" ht="35.1" customHeight="1" x14ac:dyDescent="0.25">
      <c r="B28" s="6" t="s">
        <v>19</v>
      </c>
      <c r="C28" s="7">
        <v>7.2488157714843737</v>
      </c>
      <c r="D28" s="7">
        <f>Tablo1[[#This Row],[Fiyat]]*(1+oran)</f>
        <v>7.2488157714843737</v>
      </c>
      <c r="E28" s="7">
        <f>Tablo1[[#This Row],[Yeni Fiyat]]-Tablo1[[#This Row],[Fiyat]]</f>
        <v>0</v>
      </c>
    </row>
    <row r="29" spans="2:5" ht="35.1" customHeight="1" x14ac:dyDescent="0.25">
      <c r="B29" s="6" t="s">
        <v>20</v>
      </c>
      <c r="C29" s="7">
        <v>122.5049865380859</v>
      </c>
      <c r="D29" s="7">
        <f>Tablo1[[#This Row],[Fiyat]]*(1+oran)</f>
        <v>122.5049865380859</v>
      </c>
      <c r="E29" s="7">
        <f>Tablo1[[#This Row],[Yeni Fiyat]]-Tablo1[[#This Row],[Fiyat]]</f>
        <v>0</v>
      </c>
    </row>
    <row r="30" spans="2:5" ht="35.1" customHeight="1" x14ac:dyDescent="0.25">
      <c r="B30" s="6" t="s">
        <v>21</v>
      </c>
      <c r="C30" s="7">
        <v>23.558651257324215</v>
      </c>
      <c r="D30" s="7">
        <f>Tablo1[[#This Row],[Fiyat]]*(1+oran)</f>
        <v>23.558651257324215</v>
      </c>
      <c r="E30" s="7">
        <f>Tablo1[[#This Row],[Yeni Fiyat]]-Tablo1[[#This Row],[Fiyat]]</f>
        <v>0</v>
      </c>
    </row>
    <row r="31" spans="2:5" ht="35.1" customHeight="1" x14ac:dyDescent="0.25">
      <c r="B31" s="6" t="s">
        <v>22</v>
      </c>
      <c r="C31" s="7">
        <v>35.519197280273431</v>
      </c>
      <c r="D31" s="7">
        <f>Tablo1[[#This Row],[Fiyat]]*(1+oran)</f>
        <v>35.519197280273431</v>
      </c>
      <c r="E31" s="7">
        <f>Tablo1[[#This Row],[Yeni Fiyat]]-Tablo1[[#This Row],[Fiyat]]</f>
        <v>0</v>
      </c>
    </row>
    <row r="32" spans="2:5" ht="35.1" customHeight="1" x14ac:dyDescent="0.25">
      <c r="B32" s="6" t="s">
        <v>23</v>
      </c>
      <c r="C32" s="7">
        <v>139.53970360107414</v>
      </c>
      <c r="D32" s="7">
        <f>Tablo1[[#This Row],[Fiyat]]*(1+oran)</f>
        <v>139.53970360107414</v>
      </c>
      <c r="E32" s="7">
        <f>Tablo1[[#This Row],[Yeni Fiyat]]-Tablo1[[#This Row],[Fiyat]]</f>
        <v>0</v>
      </c>
    </row>
    <row r="33" spans="2:5" ht="35.1" customHeight="1" x14ac:dyDescent="0.25">
      <c r="B33" s="6" t="s">
        <v>24</v>
      </c>
      <c r="C33" s="7">
        <v>34.794315703124987</v>
      </c>
      <c r="D33" s="7">
        <f>Tablo1[[#This Row],[Fiyat]]*(1+oran)</f>
        <v>34.794315703124987</v>
      </c>
      <c r="E33" s="7">
        <f>Tablo1[[#This Row],[Yeni Fiyat]]-Tablo1[[#This Row],[Fiyat]]</f>
        <v>0</v>
      </c>
    </row>
    <row r="34" spans="2:5" ht="35.1" customHeight="1" x14ac:dyDescent="0.25">
      <c r="B34" s="6" t="s">
        <v>25</v>
      </c>
      <c r="C34" s="7">
        <v>23.558651257324215</v>
      </c>
      <c r="D34" s="7">
        <f>Tablo1[[#This Row],[Fiyat]]*(1+oran)</f>
        <v>23.558651257324215</v>
      </c>
      <c r="E34" s="7">
        <f>Tablo1[[#This Row],[Yeni Fiyat]]-Tablo1[[#This Row],[Fiyat]]</f>
        <v>0</v>
      </c>
    </row>
    <row r="35" spans="2:5" ht="35.1" customHeight="1" x14ac:dyDescent="0.25">
      <c r="B35" s="6" t="s">
        <v>26</v>
      </c>
      <c r="C35" s="7">
        <v>12.685427600097654</v>
      </c>
      <c r="D35" s="7">
        <f>Tablo1[[#This Row],[Fiyat]]*(1+oran)</f>
        <v>12.685427600097654</v>
      </c>
      <c r="E35" s="7">
        <f>Tablo1[[#This Row],[Yeni Fiyat]]-Tablo1[[#This Row],[Fiyat]]</f>
        <v>0</v>
      </c>
    </row>
    <row r="36" spans="2:5" ht="35.1" customHeight="1" x14ac:dyDescent="0.25">
      <c r="B36" s="6" t="s">
        <v>27</v>
      </c>
      <c r="C36" s="7">
        <v>30.807467028808585</v>
      </c>
      <c r="D36" s="7">
        <f>Tablo1[[#This Row],[Fiyat]]*(1+oran)</f>
        <v>30.807467028808585</v>
      </c>
      <c r="E36" s="7">
        <f>Tablo1[[#This Row],[Yeni Fiyat]]-Tablo1[[#This Row],[Fiyat]]</f>
        <v>0</v>
      </c>
    </row>
    <row r="37" spans="2:5" ht="35.1" customHeight="1" x14ac:dyDescent="0.25">
      <c r="B37" s="6" t="s">
        <v>28</v>
      </c>
      <c r="C37" s="7">
        <v>23.558651257324215</v>
      </c>
      <c r="D37" s="7">
        <f>Tablo1[[#This Row],[Fiyat]]*(1+oran)</f>
        <v>23.558651257324215</v>
      </c>
      <c r="E37" s="7">
        <f>Tablo1[[#This Row],[Yeni Fiyat]]-Tablo1[[#This Row],[Fiyat]]</f>
        <v>0</v>
      </c>
    </row>
    <row r="38" spans="2:5" ht="35.1" customHeight="1" x14ac:dyDescent="0.25">
      <c r="B38" s="6" t="s">
        <v>29</v>
      </c>
      <c r="C38" s="7">
        <v>23.921092045898433</v>
      </c>
      <c r="D38" s="7">
        <f>Tablo1[[#This Row],[Fiyat]]*(1+oran)</f>
        <v>23.921092045898433</v>
      </c>
      <c r="E38" s="7">
        <f>Tablo1[[#This Row],[Yeni Fiyat]]-Tablo1[[#This Row],[Fiyat]]</f>
        <v>0</v>
      </c>
    </row>
    <row r="39" spans="2:5" ht="35.1" customHeight="1" x14ac:dyDescent="0.25">
      <c r="B39" s="6" t="s">
        <v>30</v>
      </c>
      <c r="C39" s="7">
        <v>5.0741710400390607</v>
      </c>
      <c r="D39" s="7">
        <f>Tablo1[[#This Row],[Fiyat]]*(1+oran)</f>
        <v>5.0741710400390607</v>
      </c>
      <c r="E39" s="7">
        <f>Tablo1[[#This Row],[Yeni Fiyat]]-Tablo1[[#This Row],[Fiyat]]</f>
        <v>0</v>
      </c>
    </row>
    <row r="40" spans="2:5" ht="35.1" customHeight="1" x14ac:dyDescent="0.25">
      <c r="B40" s="6" t="s">
        <v>31</v>
      </c>
      <c r="C40" s="7">
        <v>36.244078857421876</v>
      </c>
      <c r="D40" s="7">
        <f>Tablo1[[#This Row],[Fiyat]]*(1+oran)</f>
        <v>36.244078857421876</v>
      </c>
      <c r="E40" s="7">
        <f>Tablo1[[#This Row],[Yeni Fiyat]]-Tablo1[[#This Row],[Fiyat]]</f>
        <v>0</v>
      </c>
    </row>
    <row r="41" spans="2:5" ht="35.1" customHeight="1" x14ac:dyDescent="0.25">
      <c r="B41" s="6" t="s">
        <v>32</v>
      </c>
      <c r="C41" s="7">
        <v>2.5370855200195304</v>
      </c>
      <c r="D41" s="7">
        <f>Tablo1[[#This Row],[Fiyat]]*(1+oran)</f>
        <v>2.5370855200195304</v>
      </c>
      <c r="E41" s="7">
        <f>Tablo1[[#This Row],[Yeni Fiyat]]-Tablo1[[#This Row],[Fiyat]]</f>
        <v>0</v>
      </c>
    </row>
    <row r="42" spans="2:5" ht="35.1" customHeight="1" x14ac:dyDescent="0.25">
      <c r="B42" s="6" t="s">
        <v>33</v>
      </c>
      <c r="C42" s="7">
        <v>35.881638068847664</v>
      </c>
      <c r="D42" s="7">
        <f>Tablo1[[#This Row],[Fiyat]]*(1+oran)</f>
        <v>35.881638068847664</v>
      </c>
      <c r="E42" s="7">
        <f>Tablo1[[#This Row],[Yeni Fiyat]]-Tablo1[[#This Row],[Fiyat]]</f>
        <v>0</v>
      </c>
    </row>
    <row r="43" spans="2:5" ht="35.1" customHeight="1" x14ac:dyDescent="0.25">
      <c r="B43" s="6" t="s">
        <v>34</v>
      </c>
      <c r="C43" s="7">
        <v>14.135190754394527</v>
      </c>
      <c r="D43" s="7">
        <f>Tablo1[[#This Row],[Fiyat]]*(1+oran)</f>
        <v>14.135190754394527</v>
      </c>
      <c r="E43" s="7">
        <f>Tablo1[[#This Row],[Yeni Fiyat]]-Tablo1[[#This Row],[Fiyat]]</f>
        <v>0</v>
      </c>
    </row>
    <row r="44" spans="2:5" ht="35.1" customHeight="1" x14ac:dyDescent="0.25">
      <c r="B44" s="6" t="s">
        <v>35</v>
      </c>
      <c r="C44" s="7">
        <v>296.47656505371083</v>
      </c>
      <c r="D44" s="7">
        <f>Tablo1[[#This Row],[Fiyat]]*(1+oran)</f>
        <v>296.47656505371083</v>
      </c>
      <c r="E44" s="7">
        <f>Tablo1[[#This Row],[Yeni Fiyat]]-Tablo1[[#This Row],[Fiyat]]</f>
        <v>0</v>
      </c>
    </row>
    <row r="45" spans="2:5" ht="35.1" customHeight="1" x14ac:dyDescent="0.25">
      <c r="B45" s="6" t="s">
        <v>36</v>
      </c>
      <c r="C45" s="7">
        <v>35.446709122558588</v>
      </c>
      <c r="D45" s="7">
        <f>Tablo1[[#This Row],[Fiyat]]*(1+oran)</f>
        <v>35.446709122558588</v>
      </c>
      <c r="E45" s="7">
        <f>Tablo1[[#This Row],[Yeni Fiyat]]-Tablo1[[#This Row],[Fiyat]]</f>
        <v>0</v>
      </c>
    </row>
    <row r="46" spans="2:5" ht="35.1" customHeight="1" x14ac:dyDescent="0.25">
      <c r="B46" s="6" t="s">
        <v>37</v>
      </c>
      <c r="C46" s="7">
        <v>39.868486743164048</v>
      </c>
      <c r="D46" s="7">
        <f>Tablo1[[#This Row],[Fiyat]]*(1+oran)</f>
        <v>39.868486743164048</v>
      </c>
      <c r="E46" s="7">
        <f>Tablo1[[#This Row],[Yeni Fiyat]]-Tablo1[[#This Row],[Fiyat]]</f>
        <v>0</v>
      </c>
    </row>
    <row r="47" spans="2:5" ht="35.1" customHeight="1" x14ac:dyDescent="0.25">
      <c r="B47" s="6" t="s">
        <v>38</v>
      </c>
      <c r="C47" s="7">
        <v>25.008414411621086</v>
      </c>
      <c r="D47" s="7">
        <f>Tablo1[[#This Row],[Fiyat]]*(1+oran)</f>
        <v>25.008414411621086</v>
      </c>
      <c r="E47" s="7">
        <f>Tablo1[[#This Row],[Yeni Fiyat]]-Tablo1[[#This Row],[Fiyat]]</f>
        <v>0</v>
      </c>
    </row>
    <row r="48" spans="2:5" ht="35.1" customHeight="1" x14ac:dyDescent="0.25">
      <c r="B48" s="6" t="s">
        <v>39</v>
      </c>
      <c r="C48" s="7">
        <v>97.786524757324173</v>
      </c>
      <c r="D48" s="7">
        <f>Tablo1[[#This Row],[Fiyat]]*(1+oran)</f>
        <v>97.786524757324173</v>
      </c>
      <c r="E48" s="7">
        <f>Tablo1[[#This Row],[Yeni Fiyat]]-Tablo1[[#This Row],[Fiyat]]</f>
        <v>0</v>
      </c>
    </row>
    <row r="49" spans="2:5" ht="35.1" customHeight="1" x14ac:dyDescent="0.25">
      <c r="B49" s="6" t="s">
        <v>40</v>
      </c>
      <c r="C49" s="7">
        <v>25.370855200195308</v>
      </c>
      <c r="D49" s="7">
        <f>Tablo1[[#This Row],[Fiyat]]*(1+oran)</f>
        <v>25.370855200195308</v>
      </c>
      <c r="E49" s="7">
        <f>Tablo1[[#This Row],[Yeni Fiyat]]-Tablo1[[#This Row],[Fiyat]]</f>
        <v>0</v>
      </c>
    </row>
    <row r="50" spans="2:5" ht="35.1" customHeight="1" x14ac:dyDescent="0.25">
      <c r="B50" s="6" t="s">
        <v>41</v>
      </c>
      <c r="C50" s="7">
        <v>76.112565600585938</v>
      </c>
      <c r="D50" s="7">
        <f>Tablo1[[#This Row],[Fiyat]]*(1+oran)</f>
        <v>76.112565600585938</v>
      </c>
      <c r="E50" s="7">
        <f>Tablo1[[#This Row],[Yeni Fiyat]]-Tablo1[[#This Row],[Fiyat]]</f>
        <v>0</v>
      </c>
    </row>
    <row r="51" spans="2:5" ht="35.1" customHeight="1" x14ac:dyDescent="0.25">
      <c r="B51" s="6" t="s">
        <v>42</v>
      </c>
      <c r="C51" s="7">
        <v>13.772749965820308</v>
      </c>
      <c r="D51" s="7">
        <f>Tablo1[[#This Row],[Fiyat]]*(1+oran)</f>
        <v>13.772749965820308</v>
      </c>
      <c r="E51" s="7">
        <f>Tablo1[[#This Row],[Yeni Fiyat]]-Tablo1[[#This Row],[Fiyat]]</f>
        <v>0</v>
      </c>
    </row>
    <row r="52" spans="2:5" ht="35.1" customHeight="1" x14ac:dyDescent="0.25">
      <c r="B52" s="6" t="s">
        <v>43</v>
      </c>
      <c r="C52" s="7">
        <v>27.907940720214839</v>
      </c>
      <c r="D52" s="7">
        <f>Tablo1[[#This Row],[Fiyat]]*(1+oran)</f>
        <v>27.907940720214839</v>
      </c>
      <c r="E52" s="7">
        <f>Tablo1[[#This Row],[Yeni Fiyat]]-Tablo1[[#This Row],[Fiyat]]</f>
        <v>0</v>
      </c>
    </row>
    <row r="53" spans="2:5" ht="35.1" customHeight="1" x14ac:dyDescent="0.25">
      <c r="B53" s="6" t="s">
        <v>44</v>
      </c>
      <c r="C53" s="7">
        <v>172.44932720361322</v>
      </c>
      <c r="D53" s="7">
        <f>Tablo1[[#This Row],[Fiyat]]*(1+oran)</f>
        <v>172.44932720361322</v>
      </c>
      <c r="E53" s="7">
        <f>Tablo1[[#This Row],[Yeni Fiyat]]-Tablo1[[#This Row],[Fiyat]]</f>
        <v>0</v>
      </c>
    </row>
    <row r="54" spans="2:5" ht="35.1" customHeight="1" x14ac:dyDescent="0.25">
      <c r="B54" s="6" t="s">
        <v>45</v>
      </c>
      <c r="C54" s="7">
        <v>54.003677497558584</v>
      </c>
      <c r="D54" s="7">
        <f>Tablo1[[#This Row],[Fiyat]]*(1+oran)</f>
        <v>54.003677497558584</v>
      </c>
      <c r="E54" s="7">
        <f>Tablo1[[#This Row],[Yeni Fiyat]]-Tablo1[[#This Row],[Fiyat]]</f>
        <v>0</v>
      </c>
    </row>
    <row r="55" spans="2:5" ht="35.1" customHeight="1" x14ac:dyDescent="0.25">
      <c r="B55" s="6" t="s">
        <v>46</v>
      </c>
      <c r="C55" s="7">
        <v>50.669222242675758</v>
      </c>
      <c r="D55" s="7">
        <f>Tablo1[[#This Row],[Fiyat]]*(1+oran)</f>
        <v>50.669222242675758</v>
      </c>
      <c r="E55" s="7">
        <f>Tablo1[[#This Row],[Yeni Fiyat]]-Tablo1[[#This Row],[Fiyat]]</f>
        <v>0</v>
      </c>
    </row>
    <row r="56" spans="2:5" ht="35.1" customHeight="1" x14ac:dyDescent="0.25">
      <c r="B56" s="6" t="s">
        <v>47</v>
      </c>
      <c r="C56" s="7">
        <v>13.410309177246091</v>
      </c>
      <c r="D56" s="7">
        <f>Tablo1[[#This Row],[Fiyat]]*(1+oran)</f>
        <v>13.410309177246091</v>
      </c>
      <c r="E56" s="7">
        <f>Tablo1[[#This Row],[Yeni Fiyat]]-Tablo1[[#This Row],[Fiyat]]</f>
        <v>0</v>
      </c>
    </row>
    <row r="57" spans="2:5" ht="35.1" customHeight="1" x14ac:dyDescent="0.25">
      <c r="B57" s="6" t="s">
        <v>48</v>
      </c>
      <c r="C57" s="7">
        <v>12.685427600097654</v>
      </c>
      <c r="D57" s="7">
        <f>Tablo1[[#This Row],[Fiyat]]*(1+oran)</f>
        <v>12.685427600097654</v>
      </c>
      <c r="E57" s="7">
        <f>Tablo1[[#This Row],[Yeni Fiyat]]-Tablo1[[#This Row],[Fiyat]]</f>
        <v>0</v>
      </c>
    </row>
    <row r="58" spans="2:5" ht="35.1" customHeight="1" x14ac:dyDescent="0.25">
      <c r="B58" s="6" t="s">
        <v>49</v>
      </c>
      <c r="C58" s="7">
        <v>14.497631542968747</v>
      </c>
      <c r="D58" s="7">
        <f>Tablo1[[#This Row],[Fiyat]]*(1+oran)</f>
        <v>14.497631542968747</v>
      </c>
      <c r="E58" s="7">
        <f>Tablo1[[#This Row],[Yeni Fiyat]]-Tablo1[[#This Row],[Fiyat]]</f>
        <v>0</v>
      </c>
    </row>
    <row r="59" spans="2:5" ht="35.1" customHeight="1" x14ac:dyDescent="0.25">
      <c r="B59" s="6" t="s">
        <v>50</v>
      </c>
      <c r="C59" s="7">
        <v>14.135190754394527</v>
      </c>
      <c r="D59" s="7">
        <f>Tablo1[[#This Row],[Fiyat]]*(1+oran)</f>
        <v>14.135190754394527</v>
      </c>
      <c r="E59" s="7">
        <f>Tablo1[[#This Row],[Yeni Fiyat]]-Tablo1[[#This Row],[Fiyat]]</f>
        <v>0</v>
      </c>
    </row>
    <row r="60" spans="2:5" ht="35.1" customHeight="1" x14ac:dyDescent="0.25">
      <c r="B60" s="6" t="s">
        <v>51</v>
      </c>
      <c r="C60" s="7">
        <v>14.497631542968747</v>
      </c>
      <c r="D60" s="7">
        <f>Tablo1[[#This Row],[Fiyat]]*(1+oran)</f>
        <v>14.497631542968747</v>
      </c>
      <c r="E60" s="7">
        <f>Tablo1[[#This Row],[Yeni Fiyat]]-Tablo1[[#This Row],[Fiyat]]</f>
        <v>0</v>
      </c>
    </row>
    <row r="61" spans="2:5" ht="35.1" customHeight="1" x14ac:dyDescent="0.25">
      <c r="B61" s="6" t="s">
        <v>52</v>
      </c>
      <c r="C61" s="7">
        <v>27.183059143066401</v>
      </c>
      <c r="D61" s="7">
        <f>Tablo1[[#This Row],[Fiyat]]*(1+oran)</f>
        <v>27.183059143066401</v>
      </c>
      <c r="E61" s="7">
        <f>Tablo1[[#This Row],[Yeni Fiyat]]-Tablo1[[#This Row],[Fiyat]]</f>
        <v>0</v>
      </c>
    </row>
    <row r="62" spans="2:5" ht="35.1" customHeight="1" x14ac:dyDescent="0.25">
      <c r="B62" s="6" t="s">
        <v>53</v>
      </c>
      <c r="C62" s="7">
        <v>36.171590699707025</v>
      </c>
      <c r="D62" s="7">
        <f>Tablo1[[#This Row],[Fiyat]]*(1+oran)</f>
        <v>36.171590699707025</v>
      </c>
      <c r="E62" s="7">
        <f>Tablo1[[#This Row],[Yeni Fiyat]]-Tablo1[[#This Row],[Fiyat]]</f>
        <v>0</v>
      </c>
    </row>
    <row r="63" spans="2:5" ht="35.1" customHeight="1" x14ac:dyDescent="0.25">
      <c r="B63" s="6" t="s">
        <v>54</v>
      </c>
      <c r="C63" s="7">
        <v>9.0610197143554689</v>
      </c>
      <c r="D63" s="7">
        <f>Tablo1[[#This Row],[Fiyat]]*(1+oran)</f>
        <v>9.0610197143554689</v>
      </c>
      <c r="E63" s="7">
        <f>Tablo1[[#This Row],[Yeni Fiyat]]-Tablo1[[#This Row],[Fiyat]]</f>
        <v>0</v>
      </c>
    </row>
    <row r="64" spans="2:5" ht="35.1" customHeight="1" x14ac:dyDescent="0.25">
      <c r="B64" s="6" t="s">
        <v>55</v>
      </c>
      <c r="C64" s="7">
        <v>93.87216424072264</v>
      </c>
      <c r="D64" s="7">
        <f>Tablo1[[#This Row],[Fiyat]]*(1+oran)</f>
        <v>93.87216424072264</v>
      </c>
      <c r="E64" s="7">
        <f>Tablo1[[#This Row],[Yeni Fiyat]]-Tablo1[[#This Row],[Fiyat]]</f>
        <v>0</v>
      </c>
    </row>
    <row r="65" spans="2:5" ht="35.1" customHeight="1" x14ac:dyDescent="0.25">
      <c r="B65" s="6" t="s">
        <v>56</v>
      </c>
      <c r="C65" s="7">
        <v>12.322986811523434</v>
      </c>
      <c r="D65" s="7">
        <f>Tablo1[[#This Row],[Fiyat]]*(1+oran)</f>
        <v>12.322986811523434</v>
      </c>
      <c r="E65" s="7">
        <f>Tablo1[[#This Row],[Yeni Fiyat]]-Tablo1[[#This Row],[Fiyat]]</f>
        <v>0</v>
      </c>
    </row>
    <row r="66" spans="2:5" ht="35.1" customHeight="1" x14ac:dyDescent="0.25">
      <c r="B66" s="6" t="s">
        <v>57</v>
      </c>
      <c r="C66" s="7">
        <v>38.056282800292969</v>
      </c>
      <c r="D66" s="7">
        <f>Tablo1[[#This Row],[Fiyat]]*(1+oran)</f>
        <v>38.056282800292969</v>
      </c>
      <c r="E66" s="7">
        <f>Tablo1[[#This Row],[Yeni Fiyat]]-Tablo1[[#This Row],[Fiyat]]</f>
        <v>0</v>
      </c>
    </row>
    <row r="67" spans="2:5" ht="35.1" customHeight="1" x14ac:dyDescent="0.25">
      <c r="B67" s="6" t="s">
        <v>58</v>
      </c>
      <c r="C67" s="7">
        <v>64.514460366210926</v>
      </c>
      <c r="D67" s="7">
        <f>Tablo1[[#This Row],[Fiyat]]*(1+oran)</f>
        <v>64.514460366210926</v>
      </c>
      <c r="E67" s="7">
        <f>Tablo1[[#This Row],[Yeni Fiyat]]-Tablo1[[#This Row],[Fiyat]]</f>
        <v>0</v>
      </c>
    </row>
    <row r="68" spans="2:5" ht="35.1" customHeight="1" x14ac:dyDescent="0.25">
      <c r="B68" s="6" t="s">
        <v>8</v>
      </c>
      <c r="C68" s="7">
        <v>47.117302514648429</v>
      </c>
      <c r="D68" s="7">
        <f>Tablo1[[#This Row],[Fiyat]]*(1+oran)</f>
        <v>47.117302514648429</v>
      </c>
      <c r="E68" s="7">
        <f>Tablo1[[#This Row],[Yeni Fiyat]]-Tablo1[[#This Row],[Fiyat]]</f>
        <v>0</v>
      </c>
    </row>
    <row r="69" spans="2:5" ht="35.1" customHeight="1" x14ac:dyDescent="0.25">
      <c r="B69" s="6" t="s">
        <v>59</v>
      </c>
      <c r="C69" s="7">
        <v>292.48971637939451</v>
      </c>
      <c r="D69" s="7">
        <f>Tablo1[[#This Row],[Fiyat]]*(1+oran)</f>
        <v>292.48971637939451</v>
      </c>
      <c r="E69" s="7">
        <f>Tablo1[[#This Row],[Yeni Fiyat]]-Tablo1[[#This Row],[Fiyat]]</f>
        <v>0</v>
      </c>
    </row>
    <row r="70" spans="2:5" ht="35.1" customHeight="1" x14ac:dyDescent="0.25">
      <c r="B70" s="6" t="s">
        <v>60</v>
      </c>
      <c r="C70" s="7">
        <v>68.501309040527332</v>
      </c>
      <c r="D70" s="7">
        <f>Tablo1[[#This Row],[Fiyat]]*(1+oran)</f>
        <v>68.501309040527332</v>
      </c>
      <c r="E70" s="7">
        <f>Tablo1[[#This Row],[Yeni Fiyat]]-Tablo1[[#This Row],[Fiyat]]</f>
        <v>0</v>
      </c>
    </row>
    <row r="71" spans="2:5" ht="35.1" customHeight="1" x14ac:dyDescent="0.25">
      <c r="B71" s="6" t="s">
        <v>61</v>
      </c>
      <c r="C71" s="7">
        <v>30.807467028808585</v>
      </c>
      <c r="D71" s="7">
        <f>Tablo1[[#This Row],[Fiyat]]*(1+oran)</f>
        <v>30.807467028808585</v>
      </c>
      <c r="E71" s="7">
        <f>Tablo1[[#This Row],[Yeni Fiyat]]-Tablo1[[#This Row],[Fiyat]]</f>
        <v>0</v>
      </c>
    </row>
    <row r="72" spans="2:5" ht="35.1" customHeight="1" x14ac:dyDescent="0.25">
      <c r="B72" s="6" t="s">
        <v>62</v>
      </c>
      <c r="C72" s="7">
        <v>21.746447314453121</v>
      </c>
      <c r="D72" s="7">
        <f>Tablo1[[#This Row],[Fiyat]]*(1+oran)</f>
        <v>21.746447314453121</v>
      </c>
      <c r="E72" s="7">
        <f>Tablo1[[#This Row],[Yeni Fiyat]]-Tablo1[[#This Row],[Fiyat]]</f>
        <v>0</v>
      </c>
    </row>
    <row r="73" spans="2:5" ht="35.1" customHeight="1" x14ac:dyDescent="0.25">
      <c r="B73" s="6" t="s">
        <v>63</v>
      </c>
      <c r="C73" s="7">
        <v>7.17632761376953</v>
      </c>
      <c r="D73" s="7">
        <f>Tablo1[[#This Row],[Fiyat]]*(1+oran)</f>
        <v>7.17632761376953</v>
      </c>
      <c r="E73" s="7">
        <f>Tablo1[[#This Row],[Yeni Fiyat]]-Tablo1[[#This Row],[Fiyat]]</f>
        <v>0</v>
      </c>
    </row>
    <row r="74" spans="2:5" ht="35.1" customHeight="1" x14ac:dyDescent="0.25">
      <c r="B74" s="6" t="s">
        <v>64</v>
      </c>
      <c r="C74" s="7">
        <v>27.907940720214839</v>
      </c>
      <c r="D74" s="7">
        <f>Tablo1[[#This Row],[Fiyat]]*(1+oran)</f>
        <v>27.907940720214839</v>
      </c>
      <c r="E74" s="7">
        <f>Tablo1[[#This Row],[Yeni Fiyat]]-Tablo1[[#This Row],[Fiyat]]</f>
        <v>0</v>
      </c>
    </row>
    <row r="75" spans="2:5" ht="35.1" customHeight="1" x14ac:dyDescent="0.25">
      <c r="B75" s="6" t="s">
        <v>65</v>
      </c>
      <c r="C75" s="7">
        <v>250.08414411621092</v>
      </c>
      <c r="D75" s="7">
        <f>Tablo1[[#This Row],[Fiyat]]*(1+oran)</f>
        <v>250.08414411621092</v>
      </c>
      <c r="E75" s="7">
        <f>Tablo1[[#This Row],[Yeni Fiyat]]-Tablo1[[#This Row],[Fiyat]]</f>
        <v>0</v>
      </c>
    </row>
    <row r="76" spans="2:5" ht="30" customHeight="1" x14ac:dyDescent="0.25">
      <c r="B76" s="6" t="s">
        <v>66</v>
      </c>
      <c r="C76" s="7">
        <v>9.0610197143554689</v>
      </c>
      <c r="D76" s="7">
        <f>Tablo1[[#This Row],[Fiyat]]*(1+oran)</f>
        <v>9.0610197143554689</v>
      </c>
      <c r="E76" s="7">
        <f>Tablo1[[#This Row],[Yeni Fiyat]]-Tablo1[[#This Row],[Fiyat]]</f>
        <v>0</v>
      </c>
    </row>
  </sheetData>
  <conditionalFormatting sqref="D8:E76">
    <cfRule type="expression" dxfId="7" priority="1">
      <formula>$E$3&lt;0</formula>
    </cfRule>
    <cfRule type="expression" dxfId="6" priority="2">
      <formula>$E$3&gt;0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Ürün_Fiyat_Listesi</vt:lpstr>
      <vt:lpstr>oran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2021-09-21T17:44:30Z</dcterms:created>
  <dcterms:modified xsi:type="dcterms:W3CDTF">2023-04-20T10:37:47Z</dcterms:modified>
</cp:coreProperties>
</file>