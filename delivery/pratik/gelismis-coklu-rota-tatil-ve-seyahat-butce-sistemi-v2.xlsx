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327" codeName="{37A63EE7-654F-3FA9-A528-636911D70600}"/>
  <ns0:workbookPr/>
  <ns2:revisionPtr revIDLastSave="0" documentId="13_ncr:1_{73A905C5-0137-4A87-BA72-DD1125432D94}" ns3:coauthVersionLast="47" ns3:coauthVersionMax="47" ns4:uidLastSave="{00000000-0000-0000-0000-000000000000}"/>
  <ns0:bookViews>
    <ns0:workbookView xWindow="-108" yWindow="-108" windowWidth="23256" windowHeight="12456" ns5:uid="{00000000-000D-0000-FFFF-FFFF00000000}" activeTab="0"/>
  </ns0:bookViews>
  <ns0:sheets>
    <ns0:sheet name="Plan" sheetId="3" ns6:id="rId2"/>
    <ns0:sheet name="Rapor" sheetId="5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CurRate">Plan!$I$5</ns0:definedName>
    <ns0:definedName name="DolarKuru">[1]Ürünlerim!$G$2</ns0:definedName>
    <ns0:definedName name="EuroKuru">[1]Ürünlerim!$G$3</ns0:definedName>
    <ns0:definedName name="Lst_Banka_Kasa">[2]!Tbl_Banka_Kasa[Banka-Kasa]</ns0:definedName>
    <ns0:definedName name="Lst_Cariler">[1]!Tablo3[Cari Adı]</ns0:definedName>
    <ns0:definedName name="lst_EmlakTipi">[3]!tbl_ayar_EmlakTipi[Emlak Tipi]</ns0:definedName>
    <ns0:definedName name="Lst_Maliye_Kategorileri">OFFSET([2]Pvt_Listeler!$A$3,1,0,COUNTA([2]Pvt_Listeler!$A:$A)-1,1)</ns0:definedName>
    <ns0:definedName name="lst_Müşteriler">[3]!Tablo1[İsim Soyisim]</ns0:definedName>
    <ns0:definedName name="Lst_Nakit_Vadeli">[1]!Tablo13[Nakit / Vadeli Seçimi]</ns0:definedName>
    <ns0:definedName name="Lst_Ödeme_Yön">[2]!Tbl_Ödeme_Yön[Ödeme Yöntemi]</ns0:definedName>
    <ns0:definedName name="lst_Satılık_Kiralık">[3]!tbl_ayar_Satılık[Satılık/Kiralık]</ns0:definedName>
    <ns0:definedName name="Lst_Satış_Per">[5]!Tablo2[Ad Soyad]</ns0:definedName>
    <ns0:definedName name="Lst_Servis">[2]!Tbl_Sektör_Kategori[Servis]</ns0:definedName>
    <ns0:definedName name="Lst_TümHisseler">[6]!TÜM_HİSSELER_1[Menkul]</ns0:definedName>
    <ns0:definedName name="Lst_Ürün_Ailesi">[2]!Tbl_Ürün_Ailesi[Ürün Ailesi]</ns0:definedName>
    <ns0:definedName name="Lst_Ürünler">[1]!Tablo4[Ürün Adı]</ns0:definedName>
    <ns0:definedName name="Lst_Ürünlerim">[7]!Tablo2[Ürün Adı]</ns0:definedName>
    <ns0:definedName name="Lst_Yıl_Ay">[2]!Tablo8[Tarihler]</ns0:definedName>
    <ns0:definedName name="oran">[8]Ürün_Fiyat_Listesi!$E$3</ns0:definedName>
    <ns0:definedName name="_xlnm.Print_Area" localSheetId="0">Plan!$A$2:$J$33</ns0:definedName>
    <ns0:definedName name="_xlnm.Print_Area" localSheetId="1">Rapor!$B$2:$F$52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E35" i="5" l="1"/>
  <c r="F35" i="5" s="1"/>
  <c r="B35" i="5"/>
  <c r="I22" i="3"/>
  <c r="E34" i="5"/>
  <c r="F34" i="5" s="1"/>
  <c r="E33" i="5"/>
  <c r="F33" i="5" s="1"/>
  <c r="B34" i="5"/>
  <c r="B33" i="5"/>
  <c r="H22" i="3"/>
  <c r="G22" i="3"/>
  <c r="E26" i="5"/>
  <c r="F26" i="5" s="1"/>
  <c r="E32" i="5"/>
  <c r="B26" i="5"/>
  <c r="C31" i="3"/>
  <c r="B32" i="5"/>
  <c r="F22" i="3"/>
  <c r="H31" i="3"/>
  <c r="F32" i="3"/>
  <c r="D31" i="3"/>
  <c r="E22" i="3"/>
  <c r="D22" i="3"/>
  <c r="C22" i="3"/>
  <c r="I14" i="3"/>
  <c r="H13" i="3"/>
  <c r="F14" i="3"/>
  <c r="D13" i="3"/>
  <c r="C13" i="3"/>
  <c r="E25" i="5"/>
  <c r="F25" i="5" s="1"/>
  <c r="B25" i="5"/>
  <c r="B16" i="5"/>
  <c r="B22" i="5"/>
  <c r="B21" i="5"/>
  <c r="B20" i="5"/>
  <c r="B19" i="5"/>
  <c r="B18" i="5"/>
  <c r="B17" i="5"/>
  <c r="B31" i="5"/>
  <c r="B30" i="5"/>
  <c r="B29" i="5"/>
  <c r="F32" i="5" l="1"/>
  <c r="E24" i="5"/>
  <c r="E16" i="5"/>
  <c r="F16" i="5" s="1"/>
  <c r="F10" i="5" l="1"/>
  <c r="C10" i="5"/>
  <c r="F9" i="5"/>
  <c r="C9" i="5"/>
  <c r="F8" i="5"/>
  <c r="F7" i="5"/>
  <c r="F6" i="5"/>
  <c r="C8" i="5"/>
  <c r="C7" i="5"/>
  <c r="C6" i="5"/>
  <c r="E31" i="5" l="1"/>
  <c r="F31" i="5" s="1"/>
  <c r="E30" i="5"/>
  <c r="F30" i="5" s="1"/>
  <c r="E29" i="5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F29" i="5" l="1"/>
  <c r="E28" i="5"/>
  <c r="F28" i="5" s="1"/>
  <c r="F24" i="5"/>
  <c r="E15" i="5"/>
  <c r="F15" i="5" s="1"/>
  <c r="E14" i="5" l="1"/>
  <c r="F14" i="5" s="1"/>
</calcChain>
</file>

<file path=xl/sharedStrings.xml><?xml version="1.0" encoding="utf-8"?>
<sst xmlns="http://schemas.openxmlformats.org/spreadsheetml/2006/main" count="60" uniqueCount="53">
  <si>
    <t>TURKISH AIRLINES</t>
  </si>
  <si>
    <t>Gecelik Konaklama Maliyeti</t>
  </si>
  <si>
    <t>Kaç Gece ?</t>
  </si>
  <si>
    <t>Mutlaka Yapılması Gerekenler</t>
  </si>
  <si>
    <t>Yiyecek &amp; İçecek</t>
  </si>
  <si>
    <t>Hediyelik &amp; Ekstralar</t>
  </si>
  <si>
    <t>Vize&amp;Pasaport</t>
  </si>
  <si>
    <t>Kalkış</t>
  </si>
  <si>
    <t>Varış</t>
  </si>
  <si>
    <t>Kalkış Saati</t>
  </si>
  <si>
    <t>Varış Saati</t>
  </si>
  <si>
    <t>Havayolu</t>
  </si>
  <si>
    <t>Konaklama</t>
  </si>
  <si>
    <t>Seyehat</t>
  </si>
  <si>
    <t>Gezme &amp; Görme</t>
  </si>
  <si>
    <t>Evden Limana Ulaşım</t>
  </si>
  <si>
    <t>Limandan Limana Ulaşım (Gidiş)</t>
  </si>
  <si>
    <t>Limandan Konaklamaya Ulaşım</t>
  </si>
  <si>
    <t>Konaklamadan Limana Ulaşım</t>
  </si>
  <si>
    <t>Limandan Limana Ulaşım (Dönüş)</t>
  </si>
  <si>
    <t>Limandan Eve Ulaşım</t>
  </si>
  <si>
    <t>Toplam</t>
  </si>
  <si>
    <t>NOTLARIM</t>
  </si>
  <si>
    <t>ISTANBUL HAVALİMANI</t>
  </si>
  <si>
    <t>NEW YORK</t>
  </si>
  <si>
    <t>AMERICAN AIRLINES</t>
  </si>
  <si>
    <t>İSTANBUL HAVALİMANI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</si>
  <si>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</si>
  <si>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</si>
  <si>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</si>
  <si>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</si>
  <si>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</si>
  <si>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t> olarak eğitim,danışmanlık ve yazılım hizmeti sunmaktayız. Ürün &amp; Hizmetlerimiz ve daha fazlası için tıklayınız.</t>
  </si>
  <si>
    <t>EV</t>
  </si>
  <si>
    <t>Tatil Yeri</t>
  </si>
  <si>
    <t>BÜTÇE DETAYI</t>
  </si>
  <si>
    <t>Kalkış Limanı</t>
  </si>
  <si>
    <t>Varış Limanı</t>
  </si>
  <si>
    <t>Kalkış Limanı ve Zamanı</t>
  </si>
  <si>
    <t>Varış Limanı ve Zamanı</t>
  </si>
  <si>
    <t>Dolar  /TRY Kurunu Giriniz</t>
  </si>
  <si>
    <t>TATİL PLANIM</t>
  </si>
  <si>
    <t>Yalnızca Beyaz kalan alanları doldurunuz</t>
  </si>
  <si>
    <t>Diğer Giderler</t>
  </si>
  <si>
    <t>GEZME</t>
  </si>
  <si>
    <t>Ev</t>
  </si>
  <si>
    <t>Konaklama İlave Ücretler</t>
  </si>
  <si>
    <t>Diğer Giderler 2</t>
  </si>
  <si>
    <t>Diğer Giderler 3</t>
  </si>
  <si>
    <t>GİDİŞ</t>
  </si>
  <si>
    <t>DÖNÜŞ</t>
  </si>
  <si>
    <t>Diğer Giderler 4</t>
  </si>
  <si>
    <t>Excel Şablonlarımızı nasıl kullanmanız gerektiğini öğrenmek için buraya tıklayarak Kullanıcı Kılavuzunu indirebilirsiniz.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</si>
</sst>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₺&quot;* #,##0.00_-;\-&quot;₺&quot;* #,##0.00_-;_-&quot;₺&quot;* &quot;-&quot;??_-;_-@_-"/>
    <numFmt numFmtId="164" formatCode="[$$-409]#,##0"/>
    <numFmt numFmtId="165" formatCode="d/m/yyyy\ hh:mm;@"/>
    <numFmt numFmtId="166" formatCode="&quot;₺&quot;#,##0"/>
    <numFmt numFmtId="167" formatCode="[$$-409]#,##0.0"/>
    <numFmt numFmtId="168" formatCode="&quot;₺&quot;#,##0.00"/>
  </numFmts>
  <fonts count="38" x14ac:knownFonts="1">
    <font>
      <sz val="11"/>
      <color theme="1"/>
      <name val="Google Sans"/>
      <family val="2"/>
      <charset val="162"/>
      <scheme val="minor"/>
    </font>
    <font>
      <sz val="11"/>
      <color theme="1"/>
      <name val="Google Sans"/>
      <family val="2"/>
      <charset val="162"/>
      <scheme val="minor"/>
    </font>
    <font>
      <b/>
      <sz val="12"/>
      <color theme="0"/>
      <name val="Google Sans"/>
      <family val="2"/>
      <scheme val="minor"/>
    </font>
    <font>
      <i/>
      <sz val="11"/>
      <color theme="0"/>
      <name val="Google Sans"/>
      <family val="2"/>
      <scheme val="minor"/>
    </font>
    <font>
      <sz val="12"/>
      <color theme="1"/>
      <name val="Google Sans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4"/>
      <color theme="1" tint="0.499984740745262"/>
      <name val="Google Sans"/>
      <family val="2"/>
      <scheme val="minor"/>
    </font>
    <font>
      <sz val="11"/>
      <color theme="0"/>
      <name val="Google Sans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Google Sans"/>
      <family val="2"/>
      <scheme val="minor"/>
    </font>
    <font>
      <u/>
      <sz val="11"/>
      <color theme="10"/>
      <name val="Google Sans"/>
      <family val="2"/>
      <charset val="162"/>
      <scheme val="minor"/>
    </font>
    <font>
      <sz val="10"/>
      <color theme="1" tint="0.34998626667073579"/>
      <name val="Google Sans"/>
      <family val="2"/>
      <charset val="162"/>
      <scheme val="minor"/>
    </font>
    <font>
      <sz val="14"/>
      <color theme="1" tint="0.34998626667073579"/>
      <name val="Google Sans"/>
      <family val="2"/>
      <scheme val="minor"/>
    </font>
    <font>
      <sz val="11"/>
      <color theme="1" tint="0.34998626667073579"/>
      <name val="Google Sans"/>
      <charset val="162"/>
      <scheme val="minor"/>
    </font>
    <font>
      <i/>
      <sz val="11"/>
      <color theme="1" tint="0.34998626667073579"/>
      <name val="Google Sans"/>
      <charset val="162"/>
      <scheme val="minor"/>
    </font>
    <font>
      <sz val="10"/>
      <color theme="1" tint="0.34998626667073579"/>
      <name val="Google Sans"/>
      <family val="2"/>
      <scheme val="minor"/>
    </font>
    <font>
      <b/>
      <sz val="11"/>
      <color theme="1" tint="0.34998626667073579"/>
      <name val="Google Sans"/>
      <family val="2"/>
      <charset val="162"/>
      <scheme val="minor"/>
    </font>
    <font>
      <b/>
      <sz val="14"/>
      <color theme="0" tint="-4.9989318521683403E-2"/>
      <name val="Google Sans"/>
      <family val="2"/>
      <scheme val="minor"/>
    </font>
    <font>
      <b/>
      <sz val="14"/>
      <color theme="1" tint="0.34998626667073579"/>
      <name val="Google Sans"/>
      <charset val="162"/>
      <scheme val="minor"/>
    </font>
    <font>
      <b/>
      <sz val="14"/>
      <color theme="1" tint="0.34998626667073579"/>
      <name val="Modern Love Grunge"/>
      <family val="5"/>
      <scheme val="major"/>
    </font>
    <font>
      <b/>
      <sz val="15"/>
      <color theme="7"/>
      <name val="Modern Love Grunge"/>
      <family val="5"/>
      <scheme val="major"/>
    </font>
    <font>
      <sz val="11"/>
      <color theme="1" tint="0.499984740745262"/>
      <name val="Google Sans"/>
      <family val="2"/>
      <charset val="162"/>
      <scheme val="minor"/>
    </font>
    <font>
      <b/>
      <sz val="15"/>
      <color theme="1" tint="0.34998626667073579"/>
      <name val="Modern Love Grunge"/>
      <family val="5"/>
      <scheme val="major"/>
    </font>
    <font>
      <sz val="16"/>
      <color theme="1" tint="0.34998626667073579"/>
      <name val="Modern Love Grunge"/>
      <family val="5"/>
      <scheme val="major"/>
    </font>
    <font>
      <b/>
      <sz val="15"/>
      <color theme="6"/>
      <name val="Modern Love Grunge"/>
      <family val="5"/>
      <scheme val="major"/>
    </font>
    <font>
      <b/>
      <sz val="14"/>
      <color theme="0"/>
      <name val="Google Sans"/>
      <family val="2"/>
      <scheme val="minor"/>
    </font>
    <font>
      <b/>
      <sz val="12"/>
      <color theme="0" tint="-4.9989318521683403E-2"/>
      <name val="Google Sans"/>
      <family val="2"/>
      <scheme val="minor"/>
    </font>
    <font>
      <sz val="11"/>
      <color theme="1" tint="0.34998626667073579"/>
      <name val="Google Sans"/>
      <family val="2"/>
      <charset val="162"/>
      <scheme val="minor"/>
    </font>
    <font>
      <sz val="48"/>
      <color theme="1"/>
      <name val="Google Sans"/>
      <family val="2"/>
      <charset val="162"/>
      <scheme val="minor"/>
    </font>
    <font>
      <b/>
      <sz val="26"/>
      <color theme="1"/>
      <name val="DM Sans Medium"/>
      <charset val="162"/>
    </font>
    <font>
      <sz val="42"/>
      <color theme="6" tint="-0.249977111117893"/>
      <name val="Google Sans"/>
      <charset val="162"/>
      <scheme val="minor"/>
    </font>
    <font>
      <sz val="42"/>
      <color theme="9" tint="-0.249977111117893"/>
      <name val="Google Sans"/>
      <charset val="162"/>
      <scheme val="minor"/>
    </font>
    <font>
      <sz val="42"/>
      <color theme="7" tint="-0.249977111117893"/>
      <name val="Google Sans"/>
      <charset val="162"/>
      <scheme val="minor"/>
    </font>
    <font>
      <b/>
      <sz val="18"/>
      <color theme="1" tint="0.34998626667073579"/>
      <name val="Modern Love Grunge"/>
      <family val="5"/>
      <scheme val="major"/>
    </font>
    <font>
      <b/>
      <sz val="14"/>
      <color theme="6"/>
      <name val="Google Sans"/>
      <family val="2"/>
      <charset val="162"/>
      <scheme val="minor"/>
    </font>
    <font>
      <b/>
      <sz val="14"/>
      <color theme="9"/>
      <name val="Google Sans"/>
      <family val="2"/>
      <charset val="162"/>
      <scheme val="minor"/>
    </font>
    <font>
      <b/>
      <sz val="14"/>
      <color theme="7"/>
      <name val="Google Sans"/>
      <family val="2"/>
      <charset val="162"/>
      <scheme val="minor"/>
    </font>
    <font>
      <sz val="11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1" fillId="0" borderId="0"/>
    <xf numFmtId="0" fontId="10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left" vertical="center"/>
    </xf>
    <xf numFmtId="0" fontId="4" fillId="0" borderId="0" xfId="0" applyFont="1"/>
    <xf numFmtId="165" fontId="4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7" fillId="4" borderId="0" xfId="3" applyFont="1" applyFill="1" applyAlignment="1">
      <alignment horizontal="left" vertical="center" wrapText="1"/>
    </xf>
    <xf numFmtId="0" fontId="7" fillId="4" borderId="0" xfId="3" applyFont="1" applyFill="1" applyAlignment="1">
      <alignment horizontal="left" vertical="center"/>
    </xf>
    <xf numFmtId="0" fontId="8" fillId="4" borderId="0" xfId="3" applyFont="1" applyFill="1" applyAlignment="1">
      <alignment horizontal="left" vertical="top" wrapText="1"/>
    </xf>
    <xf numFmtId="0" fontId="1" fillId="0" borderId="0" xfId="3" applyAlignment="1">
      <alignment horizontal="left" vertical="center" wrapText="1"/>
    </xf>
    <xf numFmtId="0" fontId="1" fillId="0" borderId="0" xfId="3" applyAlignment="1">
      <alignment horizontal="left" vertical="center"/>
    </xf>
    <xf numFmtId="0" fontId="1" fillId="2" borderId="0" xfId="3" applyFill="1" applyAlignment="1">
      <alignment horizontal="left" vertical="center"/>
    </xf>
    <xf numFmtId="0" fontId="1" fillId="2" borderId="0" xfId="3" applyFill="1" applyAlignment="1">
      <alignment horizontal="left" vertical="top"/>
    </xf>
    <xf numFmtId="0" fontId="9" fillId="2" borderId="3" xfId="3" applyFont="1" applyFill="1" applyBorder="1" applyAlignment="1">
      <alignment vertical="top"/>
    </xf>
    <xf numFmtId="0" fontId="1" fillId="2" borderId="3" xfId="3" applyFill="1" applyBorder="1" applyAlignment="1">
      <alignment vertical="top" wrapText="1"/>
    </xf>
    <xf numFmtId="0" fontId="1" fillId="0" borderId="0" xfId="3" applyAlignment="1">
      <alignment horizontal="left" vertical="top"/>
    </xf>
    <xf numFmtId="0" fontId="10" fillId="2" borderId="0" xfId="4" applyFill="1" applyAlignment="1">
      <alignment horizontal="left" vertical="center"/>
    </xf>
    <xf numFmtId="0" fontId="1" fillId="2" borderId="0" xfId="3" applyFill="1" applyAlignment="1">
      <alignment vertical="center" wrapText="1"/>
    </xf>
    <xf numFmtId="0" fontId="1" fillId="2" borderId="0" xfId="3" applyFill="1" applyAlignment="1">
      <alignment vertical="top" wrapText="1"/>
    </xf>
    <xf numFmtId="0" fontId="1" fillId="2" borderId="0" xfId="3" applyFill="1"/>
    <xf numFmtId="0" fontId="1" fillId="0" borderId="0" xfId="3"/>
    <xf numFmtId="0" fontId="1" fillId="2" borderId="0" xfId="3" applyFill="1" applyAlignment="1">
      <alignment horizontal="left" vertical="center" wrapText="1"/>
    </xf>
    <xf numFmtId="0" fontId="11" fillId="0" borderId="4" xfId="0" applyFont="1" applyBorder="1" applyAlignment="1">
      <alignment horizontal="left" vertical="center" shrinkToFit="1"/>
    </xf>
    <xf numFmtId="165" fontId="11" fillId="0" borderId="4" xfId="0" applyNumberFormat="1" applyFont="1" applyBorder="1" applyAlignment="1">
      <alignment horizontal="left" vertical="center" shrinkToFit="1"/>
    </xf>
    <xf numFmtId="0" fontId="13" fillId="0" borderId="3" xfId="0" applyFont="1" applyBorder="1" applyAlignment="1">
      <alignment horizontal="left" vertical="center" wrapText="1" indent="1"/>
    </xf>
    <xf numFmtId="0" fontId="13" fillId="2" borderId="3" xfId="0" applyFont="1" applyFill="1" applyBorder="1" applyAlignment="1">
      <alignment horizontal="left" vertical="center" wrapText="1" indent="1"/>
    </xf>
    <xf numFmtId="0" fontId="16" fillId="0" borderId="4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168" fontId="6" fillId="3" borderId="6" xfId="1" applyNumberFormat="1" applyFont="1" applyFill="1" applyBorder="1" applyAlignment="1" applyProtection="1">
      <alignment horizontal="center" vertical="center"/>
      <protection locked="0"/>
    </xf>
    <xf numFmtId="0" fontId="21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 wrapText="1"/>
    </xf>
    <xf numFmtId="0" fontId="21" fillId="2" borderId="3" xfId="0" applyFont="1" applyFill="1" applyBorder="1"/>
    <xf numFmtId="0" fontId="0" fillId="2" borderId="3" xfId="0" applyFill="1" applyBorder="1"/>
    <xf numFmtId="0" fontId="19" fillId="0" borderId="0" xfId="0" applyFont="1" applyAlignment="1">
      <alignment horizontal="center" vertical="center"/>
    </xf>
    <xf numFmtId="0" fontId="34" fillId="3" borderId="6" xfId="0" applyFont="1" applyFill="1" applyBorder="1" applyAlignment="1" applyProtection="1">
      <alignment horizontal="center" vertical="center" shrinkToFit="1"/>
      <protection locked="0"/>
    </xf>
    <xf numFmtId="166" fontId="34" fillId="3" borderId="6" xfId="1" applyNumberFormat="1" applyFont="1" applyFill="1" applyBorder="1" applyAlignment="1" applyProtection="1">
      <alignment horizontal="center" vertical="center" shrinkToFit="1"/>
      <protection locked="0"/>
    </xf>
    <xf numFmtId="165" fontId="34" fillId="3" borderId="6" xfId="0" applyNumberFormat="1" applyFont="1" applyFill="1" applyBorder="1" applyAlignment="1" applyProtection="1">
      <alignment horizontal="center" vertical="center" shrinkToFit="1"/>
      <protection locked="0"/>
    </xf>
    <xf numFmtId="1" fontId="34" fillId="3" borderId="6" xfId="1" applyNumberFormat="1" applyFont="1" applyFill="1" applyBorder="1" applyAlignment="1" applyProtection="1">
      <alignment horizontal="center" vertical="center" shrinkToFit="1"/>
      <protection locked="0"/>
    </xf>
    <xf numFmtId="166" fontId="35" fillId="3" borderId="6" xfId="1" applyNumberFormat="1" applyFont="1" applyFill="1" applyBorder="1" applyAlignment="1" applyProtection="1">
      <alignment horizontal="center" vertical="center" shrinkToFit="1"/>
      <protection locked="0"/>
    </xf>
    <xf numFmtId="166" fontId="36" fillId="3" borderId="6" xfId="1" applyNumberFormat="1" applyFont="1" applyFill="1" applyBorder="1" applyAlignment="1" applyProtection="1">
      <alignment horizontal="center" vertical="center" shrinkToFit="1"/>
      <protection locked="0"/>
    </xf>
    <xf numFmtId="0" fontId="36" fillId="3" borderId="6" xfId="0" applyFont="1" applyFill="1" applyBorder="1" applyAlignment="1" applyProtection="1">
      <alignment horizontal="center" vertical="center" shrinkToFit="1"/>
      <protection locked="0"/>
    </xf>
    <xf numFmtId="165" fontId="36" fillId="3" borderId="6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1" fillId="2" borderId="0" xfId="0" applyFont="1" applyFill="1"/>
    <xf numFmtId="0" fontId="21" fillId="2" borderId="0" xfId="0" applyFont="1" applyFill="1" applyAlignment="1">
      <alignment horizontal="center" vertical="center" shrinkToFit="1"/>
    </xf>
    <xf numFmtId="164" fontId="27" fillId="2" borderId="0" xfId="0" applyNumberFormat="1" applyFont="1" applyFill="1" applyAlignment="1">
      <alignment horizontal="center" vertical="center" shrinkToFit="1"/>
    </xf>
    <xf numFmtId="0" fontId="0" fillId="2" borderId="0" xfId="0" applyFill="1" applyAlignment="1">
      <alignment shrinkToFit="1"/>
    </xf>
    <xf numFmtId="0" fontId="0" fillId="2" borderId="11" xfId="0" applyFill="1" applyBorder="1" applyAlignment="1">
      <alignment shrinkToFit="1"/>
    </xf>
    <xf numFmtId="0" fontId="28" fillId="2" borderId="0" xfId="0" applyFont="1" applyFill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49" fontId="0" fillId="0" borderId="0" xfId="0" applyNumberFormat="1" applyAlignment="1">
      <alignment horizontal="left" indent="2"/>
    </xf>
    <xf numFmtId="49" fontId="0" fillId="0" borderId="16" xfId="0" applyNumberFormat="1" applyBorder="1" applyAlignment="1">
      <alignment horizontal="left" indent="2"/>
    </xf>
    <xf numFmtId="49" fontId="0" fillId="0" borderId="0" xfId="0" applyNumberFormat="1" applyAlignment="1">
      <alignment horizontal="left" indent="1"/>
    </xf>
    <xf numFmtId="49" fontId="0" fillId="0" borderId="16" xfId="0" applyNumberFormat="1" applyBorder="1" applyAlignment="1">
      <alignment horizontal="left" indent="1"/>
    </xf>
    <xf numFmtId="166" fontId="2" fillId="6" borderId="19" xfId="1" applyNumberFormat="1" applyFont="1" applyFill="1" applyBorder="1" applyAlignment="1">
      <alignment horizontal="center" vertical="center"/>
    </xf>
    <xf numFmtId="166" fontId="15" fillId="0" borderId="18" xfId="1" applyNumberFormat="1" applyFont="1" applyFill="1" applyBorder="1" applyAlignment="1">
      <alignment horizontal="center" vertical="center"/>
    </xf>
    <xf numFmtId="166" fontId="12" fillId="0" borderId="19" xfId="1" applyNumberFormat="1" applyFont="1" applyFill="1" applyBorder="1" applyAlignment="1">
      <alignment horizontal="center" vertical="center"/>
    </xf>
    <xf numFmtId="166" fontId="26" fillId="6" borderId="19" xfId="1" applyNumberFormat="1" applyFont="1" applyFill="1" applyBorder="1" applyAlignment="1">
      <alignment horizontal="center" vertical="center"/>
    </xf>
    <xf numFmtId="0" fontId="0" fillId="0" borderId="19" xfId="0" applyBorder="1"/>
    <xf numFmtId="0" fontId="17" fillId="5" borderId="20" xfId="0" applyFont="1" applyFill="1" applyBorder="1" applyAlignment="1">
      <alignment horizontal="left" vertical="center"/>
    </xf>
    <xf numFmtId="0" fontId="17" fillId="5" borderId="21" xfId="0" applyFont="1" applyFill="1" applyBorder="1" applyAlignment="1">
      <alignment horizontal="left" vertical="center"/>
    </xf>
    <xf numFmtId="0" fontId="17" fillId="5" borderId="22" xfId="0" applyFont="1" applyFill="1" applyBorder="1" applyAlignment="1">
      <alignment horizontal="left" vertical="center"/>
    </xf>
    <xf numFmtId="166" fontId="17" fillId="5" borderId="23" xfId="1" applyNumberFormat="1" applyFont="1" applyFill="1" applyBorder="1" applyAlignment="1">
      <alignment horizontal="center" vertical="center"/>
    </xf>
    <xf numFmtId="167" fontId="17" fillId="5" borderId="22" xfId="1" applyNumberFormat="1" applyFont="1" applyFill="1" applyBorder="1" applyAlignment="1">
      <alignment horizontal="center" vertical="center"/>
    </xf>
    <xf numFmtId="167" fontId="2" fillId="6" borderId="16" xfId="1" applyNumberFormat="1" applyFont="1" applyFill="1" applyBorder="1" applyAlignment="1">
      <alignment horizontal="center" vertical="center"/>
    </xf>
    <xf numFmtId="167" fontId="15" fillId="0" borderId="15" xfId="1" applyNumberFormat="1" applyFont="1" applyFill="1" applyBorder="1" applyAlignment="1">
      <alignment horizontal="center" vertical="center"/>
    </xf>
    <xf numFmtId="49" fontId="0" fillId="0" borderId="24" xfId="0" applyNumberFormat="1" applyBorder="1" applyAlignment="1">
      <alignment horizontal="left" indent="2"/>
    </xf>
    <xf numFmtId="167" fontId="12" fillId="0" borderId="16" xfId="1" applyNumberFormat="1" applyFont="1" applyFill="1" applyBorder="1" applyAlignment="1">
      <alignment horizontal="center" vertical="center"/>
    </xf>
    <xf numFmtId="167" fontId="26" fillId="6" borderId="16" xfId="1" applyNumberFormat="1" applyFont="1" applyFill="1" applyBorder="1" applyAlignment="1">
      <alignment horizontal="center" vertical="center"/>
    </xf>
    <xf numFmtId="49" fontId="0" fillId="0" borderId="24" xfId="0" applyNumberFormat="1" applyBorder="1" applyAlignment="1">
      <alignment horizontal="left" indent="1"/>
    </xf>
    <xf numFmtId="0" fontId="0" fillId="0" borderId="16" xfId="0" applyBorder="1"/>
    <xf numFmtId="164" fontId="21" fillId="2" borderId="0" xfId="0" applyNumberFormat="1" applyFont="1" applyFill="1" applyAlignment="1">
      <alignment horizontal="center" vertical="center" shrinkToFit="1"/>
    </xf>
    <xf numFmtId="0" fontId="8" fillId="4" borderId="2" xfId="3" applyFont="1" applyFill="1" applyBorder="1" applyAlignment="1">
      <alignment horizontal="left" vertical="center" wrapText="1" indent="1"/>
    </xf>
    <xf numFmtId="0" fontId="8" fillId="4" borderId="0" xfId="3" applyFont="1" applyFill="1" applyAlignment="1">
      <alignment horizontal="left" vertical="center" wrapText="1" indent="1"/>
    </xf>
    <xf numFmtId="0" fontId="37" fillId="2" borderId="0" xfId="3" applyFont="1" applyFill="1" applyAlignment="1">
      <alignment horizontal="left" vertical="top" wrapText="1"/>
    </xf>
    <xf numFmtId="0" fontId="31" fillId="2" borderId="0" xfId="0" applyFont="1" applyFill="1" applyAlignment="1">
      <alignment horizontal="center" vertical="center" textRotation="90"/>
    </xf>
    <xf numFmtId="0" fontId="30" fillId="2" borderId="0" xfId="0" applyFont="1" applyFill="1" applyAlignment="1">
      <alignment horizontal="center" vertical="center" textRotation="90"/>
    </xf>
    <xf numFmtId="0" fontId="32" fillId="2" borderId="0" xfId="0" applyFont="1" applyFill="1" applyAlignment="1">
      <alignment horizontal="center" vertical="center" textRotation="90"/>
    </xf>
    <xf numFmtId="0" fontId="0" fillId="2" borderId="0" xfId="0" applyFill="1"/>
    <xf numFmtId="0" fontId="29" fillId="2" borderId="0" xfId="0" applyFont="1" applyFill="1" applyAlignment="1">
      <alignment horizontal="left" vertical="center" indent="5"/>
    </xf>
    <xf numFmtId="0" fontId="0" fillId="0" borderId="3" xfId="0" applyBorder="1" applyProtection="1">
      <protection locked="0"/>
    </xf>
    <xf numFmtId="0" fontId="0" fillId="2" borderId="3" xfId="0" applyFill="1" applyBorder="1" applyProtection="1">
      <protection locked="0"/>
    </xf>
    <xf numFmtId="0" fontId="0" fillId="0" borderId="26" xfId="0" applyBorder="1" applyAlignment="1">
      <alignment horizontal="left" indent="3"/>
    </xf>
    <xf numFmtId="0" fontId="0" fillId="0" borderId="5" xfId="0" applyBorder="1" applyAlignment="1">
      <alignment horizontal="left" indent="3"/>
    </xf>
    <xf numFmtId="0" fontId="0" fillId="0" borderId="17" xfId="0" applyBorder="1" applyAlignment="1">
      <alignment horizontal="left" indent="3"/>
    </xf>
    <xf numFmtId="49" fontId="17" fillId="6" borderId="24" xfId="0" applyNumberFormat="1" applyFont="1" applyFill="1" applyBorder="1" applyAlignment="1">
      <alignment horizontal="left" vertical="center" indent="1"/>
    </xf>
    <xf numFmtId="49" fontId="17" fillId="6" borderId="0" xfId="0" applyNumberFormat="1" applyFont="1" applyFill="1" applyAlignment="1">
      <alignment horizontal="left" vertical="center" indent="1"/>
    </xf>
    <xf numFmtId="49" fontId="17" fillId="6" borderId="16" xfId="0" applyNumberFormat="1" applyFont="1" applyFill="1" applyBorder="1" applyAlignment="1">
      <alignment horizontal="left" vertical="center" indent="1"/>
    </xf>
    <xf numFmtId="0" fontId="33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49" fontId="25" fillId="6" borderId="24" xfId="0" applyNumberFormat="1" applyFont="1" applyFill="1" applyBorder="1" applyAlignment="1">
      <alignment horizontal="left" vertical="center" indent="1"/>
    </xf>
    <xf numFmtId="49" fontId="25" fillId="6" borderId="0" xfId="0" applyNumberFormat="1" applyFont="1" applyFill="1" applyAlignment="1">
      <alignment horizontal="left" vertical="center" indent="1"/>
    </xf>
    <xf numFmtId="49" fontId="25" fillId="6" borderId="16" xfId="0" applyNumberFormat="1" applyFont="1" applyFill="1" applyBorder="1" applyAlignment="1">
      <alignment horizontal="left" vertical="center" indent="1"/>
    </xf>
    <xf numFmtId="0" fontId="0" fillId="0" borderId="25" xfId="0" applyBorder="1" applyAlignment="1">
      <alignment horizontal="left" indent="3"/>
    </xf>
    <xf numFmtId="0" fontId="0" fillId="0" borderId="3" xfId="0" applyBorder="1" applyAlignment="1">
      <alignment horizontal="left" indent="3"/>
    </xf>
    <xf numFmtId="0" fontId="0" fillId="0" borderId="15" xfId="0" applyBorder="1" applyAlignment="1">
      <alignment horizontal="left" indent="3"/>
    </xf>
    <xf numFmtId="0" fontId="24" fillId="0" borderId="1" xfId="0" applyFont="1" applyBorder="1" applyAlignment="1">
      <alignment horizontal="center" vertical="center"/>
    </xf>
  </cellXfs>
  <cellStyles count="5">
    <cellStyle name="Köprü 2" xfId="4" xr:uid="{0939B775-D204-4F48-86D6-FF7875A4D971}"/>
    <cellStyle name="Normal" xfId="0" builtinId="0"/>
    <cellStyle name="Normal 2" xfId="2" xr:uid="{2B5E55E3-07B2-46DD-93B0-C2DDCF453197}"/>
    <cellStyle name="Normal 2 2" xfId="3" xr:uid="{D251601F-C8B2-46AA-B900-A18F5D5E78E9}"/>
    <cellStyle name="ParaBirimi" xfId="1" builtinId="4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calcChain" Target="calcChain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haredStrings" Target="sharedStrings.xml" /></ns0: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4.png"/><Relationship Id="rId18" Type="http://schemas.openxmlformats.org/officeDocument/2006/relationships/image" Target="../media/image29.svg"/><Relationship Id="rId26" Type="http://schemas.openxmlformats.org/officeDocument/2006/relationships/image" Target="../media/image37.svg"/><Relationship Id="rId3" Type="http://schemas.openxmlformats.org/officeDocument/2006/relationships/image" Target="../media/image14.svg"/><Relationship Id="rId21" Type="http://schemas.openxmlformats.org/officeDocument/2006/relationships/image" Target="../media/image32.png"/><Relationship Id="rId34" Type="http://schemas.openxmlformats.org/officeDocument/2006/relationships/image" Target="../media/image45.svg"/><Relationship Id="rId7" Type="http://schemas.openxmlformats.org/officeDocument/2006/relationships/image" Target="../media/image18.sv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5" Type="http://schemas.openxmlformats.org/officeDocument/2006/relationships/image" Target="../media/image36.png"/><Relationship Id="rId33" Type="http://schemas.openxmlformats.org/officeDocument/2006/relationships/image" Target="../media/image44.png"/><Relationship Id="rId2" Type="http://schemas.openxmlformats.org/officeDocument/2006/relationships/image" Target="../media/image13.png"/><Relationship Id="rId16" Type="http://schemas.openxmlformats.org/officeDocument/2006/relationships/image" Target="../media/image27.svg"/><Relationship Id="rId20" Type="http://schemas.openxmlformats.org/officeDocument/2006/relationships/image" Target="../media/image31.svg"/><Relationship Id="rId29" Type="http://schemas.openxmlformats.org/officeDocument/2006/relationships/image" Target="../media/image40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svg"/><Relationship Id="rId24" Type="http://schemas.openxmlformats.org/officeDocument/2006/relationships/image" Target="../media/image35.svg"/><Relationship Id="rId32" Type="http://schemas.openxmlformats.org/officeDocument/2006/relationships/image" Target="../media/image43.svg"/><Relationship Id="rId5" Type="http://schemas.openxmlformats.org/officeDocument/2006/relationships/image" Target="../media/image16.svg"/><Relationship Id="rId15" Type="http://schemas.openxmlformats.org/officeDocument/2006/relationships/image" Target="../media/image26.png"/><Relationship Id="rId23" Type="http://schemas.openxmlformats.org/officeDocument/2006/relationships/image" Target="../media/image34.png"/><Relationship Id="rId28" Type="http://schemas.openxmlformats.org/officeDocument/2006/relationships/image" Target="../media/image39.svg"/><Relationship Id="rId36" Type="http://schemas.openxmlformats.org/officeDocument/2006/relationships/image" Target="../media/image47.svg"/><Relationship Id="rId10" Type="http://schemas.openxmlformats.org/officeDocument/2006/relationships/image" Target="../media/image21.png"/><Relationship Id="rId19" Type="http://schemas.openxmlformats.org/officeDocument/2006/relationships/image" Target="../media/image30.png"/><Relationship Id="rId31" Type="http://schemas.openxmlformats.org/officeDocument/2006/relationships/image" Target="../media/image42.png"/><Relationship Id="rId4" Type="http://schemas.openxmlformats.org/officeDocument/2006/relationships/image" Target="../media/image15.png"/><Relationship Id="rId9" Type="http://schemas.openxmlformats.org/officeDocument/2006/relationships/image" Target="../media/image20.svg"/><Relationship Id="rId14" Type="http://schemas.openxmlformats.org/officeDocument/2006/relationships/image" Target="../media/image25.svg"/><Relationship Id="rId22" Type="http://schemas.openxmlformats.org/officeDocument/2006/relationships/image" Target="../media/image33.svg"/><Relationship Id="rId27" Type="http://schemas.openxmlformats.org/officeDocument/2006/relationships/image" Target="../media/image38.png"/><Relationship Id="rId30" Type="http://schemas.openxmlformats.org/officeDocument/2006/relationships/image" Target="../media/image41.svg"/><Relationship Id="rId35" Type="http://schemas.openxmlformats.org/officeDocument/2006/relationships/image" Target="../media/image46.png"/><Relationship Id="rId8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5.svg"/><Relationship Id="rId3" Type="http://schemas.openxmlformats.org/officeDocument/2006/relationships/image" Target="../media/image50.png"/><Relationship Id="rId7" Type="http://schemas.openxmlformats.org/officeDocument/2006/relationships/image" Target="../media/image54.png"/><Relationship Id="rId2" Type="http://schemas.openxmlformats.org/officeDocument/2006/relationships/image" Target="../media/image49.svg"/><Relationship Id="rId1" Type="http://schemas.openxmlformats.org/officeDocument/2006/relationships/image" Target="../media/image48.png"/><Relationship Id="rId6" Type="http://schemas.openxmlformats.org/officeDocument/2006/relationships/image" Target="../media/image53.svg"/><Relationship Id="rId5" Type="http://schemas.openxmlformats.org/officeDocument/2006/relationships/image" Target="../media/image52.png"/><Relationship Id="rId4" Type="http://schemas.openxmlformats.org/officeDocument/2006/relationships/image" Target="../media/image51.sv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546696</xdr:colOff>
      <xdr:row>24</xdr:row>
      <xdr:rowOff>194827</xdr:rowOff>
    </xdr:from>
    <xdr:to>
      <xdr:col>29</xdr:col>
      <xdr:colOff>405158</xdr:colOff>
      <xdr:row>37</xdr:row>
      <xdr:rowOff>260393</xdr:rowOff>
    </xdr:to>
    <xdr:sp macro="" textlink="">
      <xdr:nvSpPr>
        <xdr:cNvPr id="34" name="Block Arc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 rot="16200000">
          <a:off x="27248226" y="9127188"/>
          <a:ext cx="4568294" cy="3024226"/>
        </a:xfrm>
        <a:prstGeom prst="blockArc">
          <a:avLst>
            <a:gd name="adj1" fmla="val 10744337"/>
            <a:gd name="adj2" fmla="val 72247"/>
            <a:gd name="adj3" fmla="val 157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42</xdr:col>
      <xdr:colOff>498289</xdr:colOff>
      <xdr:row>15</xdr:row>
      <xdr:rowOff>93639</xdr:rowOff>
    </xdr:from>
    <xdr:to>
      <xdr:col>46</xdr:col>
      <xdr:colOff>13335</xdr:colOff>
      <xdr:row>23</xdr:row>
      <xdr:rowOff>26104</xdr:rowOff>
    </xdr:to>
    <xdr:sp macro="" textlink="">
      <xdr:nvSpPr>
        <xdr:cNvPr id="33" name="Block Arc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5400000">
          <a:off x="40443516" y="5147976"/>
          <a:ext cx="2703374" cy="2680810"/>
        </a:xfrm>
        <a:prstGeom prst="blockArc">
          <a:avLst>
            <a:gd name="adj1" fmla="val 10741914"/>
            <a:gd name="adj2" fmla="val 20062"/>
            <a:gd name="adj3" fmla="val 12363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731304</xdr:colOff>
      <xdr:row>14</xdr:row>
      <xdr:rowOff>154541</xdr:rowOff>
    </xdr:from>
    <xdr:to>
      <xdr:col>41</xdr:col>
      <xdr:colOff>458283</xdr:colOff>
      <xdr:row>15</xdr:row>
      <xdr:rowOff>193803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39159" y="4851232"/>
          <a:ext cx="11599458" cy="385626"/>
        </a:xfrm>
        <a:prstGeom prst="rect">
          <a:avLst/>
        </a:prstGeom>
      </xdr:spPr>
    </xdr:pic>
    <xdr:clientData/>
  </xdr:twoCellAnchor>
  <xdr:twoCellAnchor editAs="oneCell">
    <xdr:from>
      <xdr:col>29</xdr:col>
      <xdr:colOff>629546</xdr:colOff>
      <xdr:row>33</xdr:row>
      <xdr:rowOff>228666</xdr:rowOff>
    </xdr:from>
    <xdr:to>
      <xdr:col>45</xdr:col>
      <xdr:colOff>16002</xdr:colOff>
      <xdr:row>35</xdr:row>
      <xdr:rowOff>129591</xdr:rowOff>
    </xdr:to>
    <xdr:pic>
      <xdr:nvPicPr>
        <xdr:cNvPr id="47" name="Picture 56">
          <a:extLst>
            <a:ext uri="{FF2B5EF4-FFF2-40B4-BE49-F238E27FC236}">
              <a16:creationId xmlns:a16="http://schemas.microsoft.com/office/drawing/2014/main" id="{A0297CB8-6BF5-D9B4-C818-00849B945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40273" y="11852630"/>
          <a:ext cx="12050376" cy="593652"/>
        </a:xfrm>
        <a:prstGeom prst="rect">
          <a:avLst/>
        </a:prstGeom>
      </xdr:spPr>
    </xdr:pic>
    <xdr:clientData/>
  </xdr:twoCellAnchor>
  <xdr:twoCellAnchor editAs="oneCell">
    <xdr:from>
      <xdr:col>4</xdr:col>
      <xdr:colOff>686443</xdr:colOff>
      <xdr:row>8</xdr:row>
      <xdr:rowOff>251366</xdr:rowOff>
    </xdr:from>
    <xdr:to>
      <xdr:col>4</xdr:col>
      <xdr:colOff>1196693</xdr:colOff>
      <xdr:row>10</xdr:row>
      <xdr:rowOff>66445</xdr:rowOff>
    </xdr:to>
    <xdr:pic>
      <xdr:nvPicPr>
        <xdr:cNvPr id="6" name="Picture 5" descr="İşaretleyici düz dolguyl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7059534" y="2869875"/>
          <a:ext cx="510250" cy="507806"/>
        </a:xfrm>
        <a:prstGeom prst="rect">
          <a:avLst/>
        </a:prstGeom>
      </xdr:spPr>
    </xdr:pic>
    <xdr:clientData/>
  </xdr:twoCellAnchor>
  <xdr:twoCellAnchor editAs="oneCell">
    <xdr:from>
      <xdr:col>6</xdr:col>
      <xdr:colOff>752314</xdr:colOff>
      <xdr:row>8</xdr:row>
      <xdr:rowOff>251366</xdr:rowOff>
    </xdr:from>
    <xdr:to>
      <xdr:col>6</xdr:col>
      <xdr:colOff>1262564</xdr:colOff>
      <xdr:row>10</xdr:row>
      <xdr:rowOff>66445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1004678" y="2869875"/>
          <a:ext cx="510250" cy="507806"/>
        </a:xfrm>
        <a:prstGeom prst="rect">
          <a:avLst/>
        </a:prstGeom>
      </xdr:spPr>
    </xdr:pic>
    <xdr:clientData/>
  </xdr:twoCellAnchor>
  <xdr:twoCellAnchor editAs="oneCell">
    <xdr:from>
      <xdr:col>4</xdr:col>
      <xdr:colOff>1196693</xdr:colOff>
      <xdr:row>9</xdr:row>
      <xdr:rowOff>158905</xdr:rowOff>
    </xdr:from>
    <xdr:to>
      <xdr:col>6</xdr:col>
      <xdr:colOff>752314</xdr:colOff>
      <xdr:row>9</xdr:row>
      <xdr:rowOff>158905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stCxn id="6" idx="3"/>
          <a:endCxn id="30" idx="1"/>
        </xdr:cNvCxnSpPr>
      </xdr:nvCxnSpPr>
      <xdr:spPr>
        <a:xfrm>
          <a:off x="8068548" y="3123778"/>
          <a:ext cx="3767402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1262564</xdr:colOff>
      <xdr:row>9</xdr:row>
      <xdr:rowOff>158905</xdr:rowOff>
    </xdr:from>
    <xdr:to>
      <xdr:col>8</xdr:col>
      <xdr:colOff>441241</xdr:colOff>
      <xdr:row>9</xdr:row>
      <xdr:rowOff>158905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30" idx="3"/>
          <a:endCxn id="9" idx="1"/>
        </xdr:cNvCxnSpPr>
      </xdr:nvCxnSpPr>
      <xdr:spPr>
        <a:xfrm>
          <a:off x="11514928" y="3123778"/>
          <a:ext cx="3400850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694937</xdr:colOff>
      <xdr:row>8</xdr:row>
      <xdr:rowOff>219657</xdr:rowOff>
    </xdr:from>
    <xdr:to>
      <xdr:col>5</xdr:col>
      <xdr:colOff>1372645</xdr:colOff>
      <xdr:row>10</xdr:row>
      <xdr:rowOff>199754</xdr:rowOff>
    </xdr:to>
    <xdr:pic>
      <xdr:nvPicPr>
        <xdr:cNvPr id="3" name="Picture 2" descr="Kalkış düz dolguyl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rcRect/>
        <a:stretch/>
      </xdr:blipFill>
      <xdr:spPr>
        <a:xfrm>
          <a:off x="9007664" y="2838166"/>
          <a:ext cx="677708" cy="672824"/>
        </a:xfrm>
        <a:prstGeom prst="rect">
          <a:avLst/>
        </a:prstGeom>
      </xdr:spPr>
    </xdr:pic>
    <xdr:clientData/>
  </xdr:twoCellAnchor>
  <xdr:twoCellAnchor editAs="oneCell">
    <xdr:from>
      <xdr:col>2</xdr:col>
      <xdr:colOff>778458</xdr:colOff>
      <xdr:row>8</xdr:row>
      <xdr:rowOff>252158</xdr:rowOff>
    </xdr:from>
    <xdr:to>
      <xdr:col>2</xdr:col>
      <xdr:colOff>1289566</xdr:colOff>
      <xdr:row>10</xdr:row>
      <xdr:rowOff>65653</xdr:rowOff>
    </xdr:to>
    <xdr:pic>
      <xdr:nvPicPr>
        <xdr:cNvPr id="2" name="Picture 1" descr="Banliyö manzarası düz dolguyl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rcRect/>
        <a:stretch/>
      </xdr:blipFill>
      <xdr:spPr>
        <a:xfrm>
          <a:off x="3272276" y="2870667"/>
          <a:ext cx="511108" cy="506222"/>
        </a:xfrm>
        <a:prstGeom prst="rect">
          <a:avLst/>
        </a:prstGeom>
      </xdr:spPr>
    </xdr:pic>
    <xdr:clientData/>
  </xdr:twoCellAnchor>
  <xdr:twoCellAnchor editAs="oneCell">
    <xdr:from>
      <xdr:col>2</xdr:col>
      <xdr:colOff>1289566</xdr:colOff>
      <xdr:row>9</xdr:row>
      <xdr:rowOff>158905</xdr:rowOff>
    </xdr:from>
    <xdr:to>
      <xdr:col>4</xdr:col>
      <xdr:colOff>686443</xdr:colOff>
      <xdr:row>9</xdr:row>
      <xdr:rowOff>158905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2" idx="3"/>
          <a:endCxn id="6" idx="1"/>
        </xdr:cNvCxnSpPr>
      </xdr:nvCxnSpPr>
      <xdr:spPr>
        <a:xfrm>
          <a:off x="3949639" y="3123778"/>
          <a:ext cx="3608659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786585</xdr:colOff>
      <xdr:row>8</xdr:row>
      <xdr:rowOff>229936</xdr:rowOff>
    </xdr:from>
    <xdr:to>
      <xdr:col>8</xdr:col>
      <xdr:colOff>1337251</xdr:colOff>
      <xdr:row>10</xdr:row>
      <xdr:rowOff>87875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rcRect/>
        <a:stretch/>
      </xdr:blipFill>
      <xdr:spPr>
        <a:xfrm>
          <a:off x="14918221" y="2848445"/>
          <a:ext cx="550666" cy="550666"/>
        </a:xfrm>
        <a:prstGeom prst="rect">
          <a:avLst/>
        </a:prstGeom>
      </xdr:spPr>
    </xdr:pic>
    <xdr:clientData/>
  </xdr:twoCellAnchor>
  <xdr:twoCellAnchor editAs="oneCell">
    <xdr:from>
      <xdr:col>3</xdr:col>
      <xdr:colOff>694656</xdr:colOff>
      <xdr:row>8</xdr:row>
      <xdr:rowOff>248538</xdr:rowOff>
    </xdr:from>
    <xdr:to>
      <xdr:col>3</xdr:col>
      <xdr:colOff>1210840</xdr:colOff>
      <xdr:row>10</xdr:row>
      <xdr:rowOff>69273</xdr:rowOff>
    </xdr:to>
    <xdr:pic>
      <xdr:nvPicPr>
        <xdr:cNvPr id="5" name="Grafik 4" descr="Otobüs düz dolguyla">
          <a:extLst>
            <a:ext uri="{FF2B5EF4-FFF2-40B4-BE49-F238E27FC236}">
              <a16:creationId xmlns:a16="http://schemas.microsoft.com/office/drawing/2014/main" id="{3FDD0944-3C8E-48DA-9353-C1D900DB1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5128111" y="2867047"/>
          <a:ext cx="516184" cy="513462"/>
        </a:xfrm>
        <a:prstGeom prst="rect">
          <a:avLst/>
        </a:prstGeom>
      </xdr:spPr>
    </xdr:pic>
    <xdr:clientData/>
  </xdr:twoCellAnchor>
  <xdr:twoCellAnchor editAs="oneCell">
    <xdr:from>
      <xdr:col>7</xdr:col>
      <xdr:colOff>763927</xdr:colOff>
      <xdr:row>8</xdr:row>
      <xdr:rowOff>248538</xdr:rowOff>
    </xdr:from>
    <xdr:to>
      <xdr:col>7</xdr:col>
      <xdr:colOff>1280111</xdr:colOff>
      <xdr:row>10</xdr:row>
      <xdr:rowOff>69273</xdr:rowOff>
    </xdr:to>
    <xdr:pic>
      <xdr:nvPicPr>
        <xdr:cNvPr id="7" name="Grafik 6" descr="Otobüs düz dolguyla">
          <a:extLst>
            <a:ext uri="{FF2B5EF4-FFF2-40B4-BE49-F238E27FC236}">
              <a16:creationId xmlns:a16="http://schemas.microsoft.com/office/drawing/2014/main" id="{83A4EDA8-3A47-0E8F-1D3B-B7D84B85B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12955927" y="2867047"/>
          <a:ext cx="516184" cy="513462"/>
        </a:xfrm>
        <a:prstGeom prst="rect">
          <a:avLst/>
        </a:prstGeom>
      </xdr:spPr>
    </xdr:pic>
    <xdr:clientData/>
  </xdr:twoCellAnchor>
  <xdr:twoCellAnchor editAs="oneCell">
    <xdr:from>
      <xdr:col>1</xdr:col>
      <xdr:colOff>77311</xdr:colOff>
      <xdr:row>3</xdr:row>
      <xdr:rowOff>62431</xdr:rowOff>
    </xdr:from>
    <xdr:to>
      <xdr:col>1</xdr:col>
      <xdr:colOff>426695</xdr:colOff>
      <xdr:row>3</xdr:row>
      <xdr:rowOff>405655</xdr:rowOff>
    </xdr:to>
    <xdr:pic>
      <xdr:nvPicPr>
        <xdr:cNvPr id="36" name="Resim 35">
          <a:extLst>
            <a:ext uri="{FF2B5EF4-FFF2-40B4-BE49-F238E27FC236}">
              <a16:creationId xmlns:a16="http://schemas.microsoft.com/office/drawing/2014/main" id="{C59103A0-006A-1E82-7B20-051572700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493" y="824431"/>
          <a:ext cx="349384" cy="343224"/>
        </a:xfrm>
        <a:prstGeom prst="rect">
          <a:avLst/>
        </a:prstGeom>
      </xdr:spPr>
    </xdr:pic>
    <xdr:clientData/>
  </xdr:twoCellAnchor>
  <xdr:twoCellAnchor editAs="oneCell">
    <xdr:from>
      <xdr:col>2</xdr:col>
      <xdr:colOff>785423</xdr:colOff>
      <xdr:row>17</xdr:row>
      <xdr:rowOff>203501</xdr:rowOff>
    </xdr:from>
    <xdr:to>
      <xdr:col>2</xdr:col>
      <xdr:colOff>1340975</xdr:colOff>
      <xdr:row>19</xdr:row>
      <xdr:rowOff>61440</xdr:rowOff>
    </xdr:to>
    <xdr:pic>
      <xdr:nvPicPr>
        <xdr:cNvPr id="44" name="Grafik 43" descr="Ejderha dansı düz dolguyla">
          <a:extLst>
            <a:ext uri="{FF2B5EF4-FFF2-40B4-BE49-F238E27FC236}">
              <a16:creationId xmlns:a16="http://schemas.microsoft.com/office/drawing/2014/main" id="{72070207-95A5-073A-EC3D-4322CC30E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279241" y="5939283"/>
          <a:ext cx="555552" cy="550666"/>
        </a:xfrm>
        <a:prstGeom prst="rect">
          <a:avLst/>
        </a:prstGeom>
      </xdr:spPr>
    </xdr:pic>
    <xdr:clientData/>
  </xdr:twoCellAnchor>
  <xdr:twoCellAnchor editAs="oneCell">
    <xdr:from>
      <xdr:col>3</xdr:col>
      <xdr:colOff>762933</xdr:colOff>
      <xdr:row>17</xdr:row>
      <xdr:rowOff>203501</xdr:rowOff>
    </xdr:from>
    <xdr:to>
      <xdr:col>3</xdr:col>
      <xdr:colOff>1318485</xdr:colOff>
      <xdr:row>19</xdr:row>
      <xdr:rowOff>61440</xdr:rowOff>
    </xdr:to>
    <xdr:pic>
      <xdr:nvPicPr>
        <xdr:cNvPr id="58" name="Grafik 57" descr="Erişte düz dolguyla">
          <a:extLst>
            <a:ext uri="{FF2B5EF4-FFF2-40B4-BE49-F238E27FC236}">
              <a16:creationId xmlns:a16="http://schemas.microsoft.com/office/drawing/2014/main" id="{D094F25F-59F7-BA72-6E3B-DCCAC3F83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196388" y="5939283"/>
          <a:ext cx="555552" cy="550666"/>
        </a:xfrm>
        <a:prstGeom prst="rect">
          <a:avLst/>
        </a:prstGeom>
      </xdr:spPr>
    </xdr:pic>
    <xdr:clientData/>
  </xdr:twoCellAnchor>
  <xdr:twoCellAnchor editAs="oneCell">
    <xdr:from>
      <xdr:col>4</xdr:col>
      <xdr:colOff>652817</xdr:colOff>
      <xdr:row>17</xdr:row>
      <xdr:rowOff>203501</xdr:rowOff>
    </xdr:from>
    <xdr:to>
      <xdr:col>4</xdr:col>
      <xdr:colOff>1208369</xdr:colOff>
      <xdr:row>19</xdr:row>
      <xdr:rowOff>61440</xdr:rowOff>
    </xdr:to>
    <xdr:pic>
      <xdr:nvPicPr>
        <xdr:cNvPr id="60" name="Grafik 59" descr="Hediye düz dolguyla">
          <a:extLst>
            <a:ext uri="{FF2B5EF4-FFF2-40B4-BE49-F238E27FC236}">
              <a16:creationId xmlns:a16="http://schemas.microsoft.com/office/drawing/2014/main" id="{753AE773-1D27-7DCF-1B5B-A9B6DBE98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7025908" y="5939283"/>
          <a:ext cx="555552" cy="550666"/>
        </a:xfrm>
        <a:prstGeom prst="rect">
          <a:avLst/>
        </a:prstGeom>
      </xdr:spPr>
    </xdr:pic>
    <xdr:clientData/>
  </xdr:twoCellAnchor>
  <xdr:twoCellAnchor editAs="oneCell">
    <xdr:from>
      <xdr:col>5</xdr:col>
      <xdr:colOff>684483</xdr:colOff>
      <xdr:row>17</xdr:row>
      <xdr:rowOff>203501</xdr:rowOff>
    </xdr:from>
    <xdr:to>
      <xdr:col>5</xdr:col>
      <xdr:colOff>1240035</xdr:colOff>
      <xdr:row>19</xdr:row>
      <xdr:rowOff>61440</xdr:rowOff>
    </xdr:to>
    <xdr:pic>
      <xdr:nvPicPr>
        <xdr:cNvPr id="63" name="Grafik 62" descr="Bavul düz dolguyla">
          <a:extLst>
            <a:ext uri="{FF2B5EF4-FFF2-40B4-BE49-F238E27FC236}">
              <a16:creationId xmlns:a16="http://schemas.microsoft.com/office/drawing/2014/main" id="{3F2BC7EA-8DB5-3553-6B0A-B5CFB0B29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8997210" y="5939283"/>
          <a:ext cx="555552" cy="550666"/>
        </a:xfrm>
        <a:prstGeom prst="rect">
          <a:avLst/>
        </a:prstGeom>
      </xdr:spPr>
    </xdr:pic>
    <xdr:clientData/>
  </xdr:twoCellAnchor>
  <xdr:twoCellAnchor editAs="oneCell">
    <xdr:from>
      <xdr:col>2</xdr:col>
      <xdr:colOff>1340975</xdr:colOff>
      <xdr:row>18</xdr:row>
      <xdr:rowOff>132471</xdr:rowOff>
    </xdr:from>
    <xdr:to>
      <xdr:col>3</xdr:col>
      <xdr:colOff>591483</xdr:colOff>
      <xdr:row>18</xdr:row>
      <xdr:rowOff>132471</xdr:rowOff>
    </xdr:to>
    <xdr:cxnSp macro="">
      <xdr:nvCxnSpPr>
        <xdr:cNvPr id="65" name="Straight Arrow Connector 38">
          <a:extLst>
            <a:ext uri="{FF2B5EF4-FFF2-40B4-BE49-F238E27FC236}">
              <a16:creationId xmlns:a16="http://schemas.microsoft.com/office/drawing/2014/main" id="{6C2E74D2-5C61-AB6E-B2D3-8841427BB756}"/>
            </a:ext>
          </a:extLst>
        </xdr:cNvPr>
        <xdr:cNvCxnSpPr>
          <a:stCxn id="44" idx="3"/>
          <a:endCxn id="58" idx="1"/>
        </xdr:cNvCxnSpPr>
      </xdr:nvCxnSpPr>
      <xdr:spPr>
        <a:xfrm>
          <a:off x="3834793" y="6214616"/>
          <a:ext cx="1361595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731293</xdr:colOff>
      <xdr:row>22</xdr:row>
      <xdr:rowOff>295865</xdr:rowOff>
    </xdr:from>
    <xdr:to>
      <xdr:col>41</xdr:col>
      <xdr:colOff>458294</xdr:colOff>
      <xdr:row>23</xdr:row>
      <xdr:rowOff>333527</xdr:rowOff>
    </xdr:to>
    <xdr:pic>
      <xdr:nvPicPr>
        <xdr:cNvPr id="75" name="Picture 56">
          <a:extLst>
            <a:ext uri="{FF2B5EF4-FFF2-40B4-BE49-F238E27FC236}">
              <a16:creationId xmlns:a16="http://schemas.microsoft.com/office/drawing/2014/main" id="{97C0188C-BBA3-6809-4C41-91EA8CFF7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39148" y="7763465"/>
          <a:ext cx="11599480" cy="384026"/>
        </a:xfrm>
        <a:prstGeom prst="rect">
          <a:avLst/>
        </a:prstGeom>
      </xdr:spPr>
    </xdr:pic>
    <xdr:clientData/>
  </xdr:twoCellAnchor>
  <xdr:twoCellAnchor editAs="oneCell">
    <xdr:from>
      <xdr:col>4</xdr:col>
      <xdr:colOff>759968</xdr:colOff>
      <xdr:row>26</xdr:row>
      <xdr:rowOff>209092</xdr:rowOff>
    </xdr:from>
    <xdr:to>
      <xdr:col>4</xdr:col>
      <xdr:colOff>1270218</xdr:colOff>
      <xdr:row>28</xdr:row>
      <xdr:rowOff>24171</xdr:rowOff>
    </xdr:to>
    <xdr:pic>
      <xdr:nvPicPr>
        <xdr:cNvPr id="78" name="Picture 5" descr="İşaretleyici düz dolguyla">
          <a:extLst>
            <a:ext uri="{FF2B5EF4-FFF2-40B4-BE49-F238E27FC236}">
              <a16:creationId xmlns:a16="http://schemas.microsoft.com/office/drawing/2014/main" id="{31CECC55-F190-47F9-B1E3-A8DC39F34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rcRect/>
        <a:stretch/>
      </xdr:blipFill>
      <xdr:spPr>
        <a:xfrm>
          <a:off x="7133059" y="9062147"/>
          <a:ext cx="510250" cy="507806"/>
        </a:xfrm>
        <a:prstGeom prst="rect">
          <a:avLst/>
        </a:prstGeom>
      </xdr:spPr>
    </xdr:pic>
    <xdr:clientData/>
  </xdr:twoCellAnchor>
  <xdr:twoCellAnchor editAs="oneCell">
    <xdr:from>
      <xdr:col>6</xdr:col>
      <xdr:colOff>756568</xdr:colOff>
      <xdr:row>26</xdr:row>
      <xdr:rowOff>209092</xdr:rowOff>
    </xdr:from>
    <xdr:to>
      <xdr:col>6</xdr:col>
      <xdr:colOff>1266818</xdr:colOff>
      <xdr:row>28</xdr:row>
      <xdr:rowOff>24171</xdr:rowOff>
    </xdr:to>
    <xdr:pic>
      <xdr:nvPicPr>
        <xdr:cNvPr id="79" name="Picture 29">
          <a:extLst>
            <a:ext uri="{FF2B5EF4-FFF2-40B4-BE49-F238E27FC236}">
              <a16:creationId xmlns:a16="http://schemas.microsoft.com/office/drawing/2014/main" id="{7BEB696F-E53C-4CC7-8376-32124F798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rcRect/>
        <a:stretch/>
      </xdr:blipFill>
      <xdr:spPr>
        <a:xfrm>
          <a:off x="11008932" y="9062147"/>
          <a:ext cx="510250" cy="507806"/>
        </a:xfrm>
        <a:prstGeom prst="rect">
          <a:avLst/>
        </a:prstGeom>
      </xdr:spPr>
    </xdr:pic>
    <xdr:clientData/>
  </xdr:twoCellAnchor>
  <xdr:twoCellAnchor editAs="oneCell">
    <xdr:from>
      <xdr:col>4</xdr:col>
      <xdr:colOff>1270218</xdr:colOff>
      <xdr:row>27</xdr:row>
      <xdr:rowOff>116632</xdr:rowOff>
    </xdr:from>
    <xdr:to>
      <xdr:col>6</xdr:col>
      <xdr:colOff>756568</xdr:colOff>
      <xdr:row>27</xdr:row>
      <xdr:rowOff>116632</xdr:rowOff>
    </xdr:to>
    <xdr:cxnSp macro="">
      <xdr:nvCxnSpPr>
        <xdr:cNvPr id="80" name="Straight Arrow Connector 36">
          <a:extLst>
            <a:ext uri="{FF2B5EF4-FFF2-40B4-BE49-F238E27FC236}">
              <a16:creationId xmlns:a16="http://schemas.microsoft.com/office/drawing/2014/main" id="{AA8F5807-D190-4F4E-ADC9-623D098AEA8F}"/>
            </a:ext>
          </a:extLst>
        </xdr:cNvPr>
        <xdr:cNvCxnSpPr>
          <a:stCxn id="78" idx="3"/>
          <a:endCxn id="79" idx="1"/>
        </xdr:cNvCxnSpPr>
      </xdr:nvCxnSpPr>
      <xdr:spPr>
        <a:xfrm>
          <a:off x="8137743" y="9232057"/>
          <a:ext cx="3696400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1266818</xdr:colOff>
      <xdr:row>27</xdr:row>
      <xdr:rowOff>116632</xdr:rowOff>
    </xdr:from>
    <xdr:to>
      <xdr:col>8</xdr:col>
      <xdr:colOff>378664</xdr:colOff>
      <xdr:row>27</xdr:row>
      <xdr:rowOff>116632</xdr:rowOff>
    </xdr:to>
    <xdr:cxnSp macro="">
      <xdr:nvCxnSpPr>
        <xdr:cNvPr id="81" name="Straight Arrow Connector 38">
          <a:extLst>
            <a:ext uri="{FF2B5EF4-FFF2-40B4-BE49-F238E27FC236}">
              <a16:creationId xmlns:a16="http://schemas.microsoft.com/office/drawing/2014/main" id="{F6D4B195-66CA-4611-A27E-76C2A38F3B81}"/>
            </a:ext>
          </a:extLst>
        </xdr:cNvPr>
        <xdr:cNvCxnSpPr>
          <a:stCxn id="79" idx="3"/>
          <a:endCxn id="85" idx="1"/>
        </xdr:cNvCxnSpPr>
      </xdr:nvCxnSpPr>
      <xdr:spPr>
        <a:xfrm>
          <a:off x="11519182" y="9316050"/>
          <a:ext cx="3334019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713045</xdr:colOff>
      <xdr:row>26</xdr:row>
      <xdr:rowOff>167740</xdr:rowOff>
    </xdr:from>
    <xdr:to>
      <xdr:col>5</xdr:col>
      <xdr:colOff>1390753</xdr:colOff>
      <xdr:row>28</xdr:row>
      <xdr:rowOff>152113</xdr:rowOff>
    </xdr:to>
    <xdr:pic>
      <xdr:nvPicPr>
        <xdr:cNvPr id="82" name="Picture 2" descr="Kalkış düz dolguyla">
          <a:extLst>
            <a:ext uri="{FF2B5EF4-FFF2-40B4-BE49-F238E27FC236}">
              <a16:creationId xmlns:a16="http://schemas.microsoft.com/office/drawing/2014/main" id="{C192BC17-E38E-4EE5-B6BF-BE17A6094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rcRect/>
        <a:stretch/>
      </xdr:blipFill>
      <xdr:spPr>
        <a:xfrm>
          <a:off x="9025772" y="9020795"/>
          <a:ext cx="677708" cy="677100"/>
        </a:xfrm>
        <a:prstGeom prst="rect">
          <a:avLst/>
        </a:prstGeom>
      </xdr:spPr>
    </xdr:pic>
    <xdr:clientData/>
  </xdr:twoCellAnchor>
  <xdr:twoCellAnchor editAs="oneCell">
    <xdr:from>
      <xdr:col>2</xdr:col>
      <xdr:colOff>800027</xdr:colOff>
      <xdr:row>26</xdr:row>
      <xdr:rowOff>210894</xdr:rowOff>
    </xdr:from>
    <xdr:to>
      <xdr:col>2</xdr:col>
      <xdr:colOff>1304227</xdr:colOff>
      <xdr:row>28</xdr:row>
      <xdr:rowOff>22367</xdr:rowOff>
    </xdr:to>
    <xdr:pic>
      <xdr:nvPicPr>
        <xdr:cNvPr id="83" name="Picture 1">
          <a:extLst>
            <a:ext uri="{FF2B5EF4-FFF2-40B4-BE49-F238E27FC236}">
              <a16:creationId xmlns:a16="http://schemas.microsoft.com/office/drawing/2014/main" id="{46AFA5A3-9AC8-44AB-8C59-CA9F4D9C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rcRect/>
        <a:stretch/>
      </xdr:blipFill>
      <xdr:spPr>
        <a:xfrm>
          <a:off x="3293845" y="9063949"/>
          <a:ext cx="504200" cy="504200"/>
        </a:xfrm>
        <a:prstGeom prst="rect">
          <a:avLst/>
        </a:prstGeom>
      </xdr:spPr>
    </xdr:pic>
    <xdr:clientData/>
  </xdr:twoCellAnchor>
  <xdr:twoCellAnchor editAs="oneCell">
    <xdr:from>
      <xdr:col>2</xdr:col>
      <xdr:colOff>1304227</xdr:colOff>
      <xdr:row>27</xdr:row>
      <xdr:rowOff>116631</xdr:rowOff>
    </xdr:from>
    <xdr:to>
      <xdr:col>4</xdr:col>
      <xdr:colOff>759968</xdr:colOff>
      <xdr:row>27</xdr:row>
      <xdr:rowOff>116632</xdr:rowOff>
    </xdr:to>
    <xdr:cxnSp macro="">
      <xdr:nvCxnSpPr>
        <xdr:cNvPr id="84" name="Straight Arrow Connector 34">
          <a:extLst>
            <a:ext uri="{FF2B5EF4-FFF2-40B4-BE49-F238E27FC236}">
              <a16:creationId xmlns:a16="http://schemas.microsoft.com/office/drawing/2014/main" id="{D8197721-0ED9-4978-B163-D28489073EE0}"/>
            </a:ext>
          </a:extLst>
        </xdr:cNvPr>
        <xdr:cNvCxnSpPr>
          <a:stCxn id="83" idx="3"/>
          <a:endCxn id="78" idx="1"/>
        </xdr:cNvCxnSpPr>
      </xdr:nvCxnSpPr>
      <xdr:spPr>
        <a:xfrm>
          <a:off x="3961702" y="9232056"/>
          <a:ext cx="3665791" cy="1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721565</xdr:colOff>
      <xdr:row>26</xdr:row>
      <xdr:rowOff>187662</xdr:rowOff>
    </xdr:from>
    <xdr:to>
      <xdr:col>8</xdr:col>
      <xdr:colOff>1272231</xdr:colOff>
      <xdr:row>28</xdr:row>
      <xdr:rowOff>45601</xdr:rowOff>
    </xdr:to>
    <xdr:pic>
      <xdr:nvPicPr>
        <xdr:cNvPr id="85" name="Picture 8">
          <a:extLst>
            <a:ext uri="{FF2B5EF4-FFF2-40B4-BE49-F238E27FC236}">
              <a16:creationId xmlns:a16="http://schemas.microsoft.com/office/drawing/2014/main" id="{11009D6B-4D4D-4348-9A38-385D39CF2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rcRect/>
        <a:stretch/>
      </xdr:blipFill>
      <xdr:spPr>
        <a:xfrm>
          <a:off x="14853201" y="9040717"/>
          <a:ext cx="550666" cy="550666"/>
        </a:xfrm>
        <a:prstGeom prst="rect">
          <a:avLst/>
        </a:prstGeom>
      </xdr:spPr>
    </xdr:pic>
    <xdr:clientData/>
  </xdr:twoCellAnchor>
  <xdr:twoCellAnchor editAs="oneCell">
    <xdr:from>
      <xdr:col>3</xdr:col>
      <xdr:colOff>768181</xdr:colOff>
      <xdr:row>26</xdr:row>
      <xdr:rowOff>206264</xdr:rowOff>
    </xdr:from>
    <xdr:to>
      <xdr:col>3</xdr:col>
      <xdr:colOff>1284365</xdr:colOff>
      <xdr:row>28</xdr:row>
      <xdr:rowOff>26999</xdr:rowOff>
    </xdr:to>
    <xdr:pic>
      <xdr:nvPicPr>
        <xdr:cNvPr id="86" name="Grafik 85" descr="Otobüs düz dolguyla">
          <a:extLst>
            <a:ext uri="{FF2B5EF4-FFF2-40B4-BE49-F238E27FC236}">
              <a16:creationId xmlns:a16="http://schemas.microsoft.com/office/drawing/2014/main" id="{E012D5D6-9D96-431A-8101-D36A4B92A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rcRect/>
        <a:stretch/>
      </xdr:blipFill>
      <xdr:spPr>
        <a:xfrm>
          <a:off x="5201636" y="9059319"/>
          <a:ext cx="516184" cy="513462"/>
        </a:xfrm>
        <a:prstGeom prst="rect">
          <a:avLst/>
        </a:prstGeom>
      </xdr:spPr>
    </xdr:pic>
    <xdr:clientData/>
  </xdr:twoCellAnchor>
  <xdr:twoCellAnchor editAs="oneCell">
    <xdr:from>
      <xdr:col>7</xdr:col>
      <xdr:colOff>768182</xdr:colOff>
      <xdr:row>26</xdr:row>
      <xdr:rowOff>196739</xdr:rowOff>
    </xdr:from>
    <xdr:to>
      <xdr:col>7</xdr:col>
      <xdr:colOff>1284366</xdr:colOff>
      <xdr:row>28</xdr:row>
      <xdr:rowOff>17474</xdr:rowOff>
    </xdr:to>
    <xdr:pic>
      <xdr:nvPicPr>
        <xdr:cNvPr id="88" name="Grafik 87" descr="Otobüs düz dolguyla">
          <a:extLst>
            <a:ext uri="{FF2B5EF4-FFF2-40B4-BE49-F238E27FC236}">
              <a16:creationId xmlns:a16="http://schemas.microsoft.com/office/drawing/2014/main" id="{C79A85F1-921F-44A8-98E7-54006F24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rcRect/>
        <a:stretch/>
      </xdr:blipFill>
      <xdr:spPr>
        <a:xfrm>
          <a:off x="13950782" y="8969264"/>
          <a:ext cx="516184" cy="506535"/>
        </a:xfrm>
        <a:prstGeom prst="rect">
          <a:avLst/>
        </a:prstGeom>
      </xdr:spPr>
    </xdr:pic>
    <xdr:clientData/>
  </xdr:twoCellAnchor>
  <xdr:twoCellAnchor editAs="oneCell">
    <xdr:from>
      <xdr:col>3</xdr:col>
      <xdr:colOff>1318485</xdr:colOff>
      <xdr:row>18</xdr:row>
      <xdr:rowOff>132471</xdr:rowOff>
    </xdr:from>
    <xdr:to>
      <xdr:col>4</xdr:col>
      <xdr:colOff>481366</xdr:colOff>
      <xdr:row>18</xdr:row>
      <xdr:rowOff>132471</xdr:rowOff>
    </xdr:to>
    <xdr:cxnSp macro="">
      <xdr:nvCxnSpPr>
        <xdr:cNvPr id="102" name="Straight Arrow Connector 38">
          <a:extLst>
            <a:ext uri="{FF2B5EF4-FFF2-40B4-BE49-F238E27FC236}">
              <a16:creationId xmlns:a16="http://schemas.microsoft.com/office/drawing/2014/main" id="{E5B92F6D-8AD5-8010-B97C-EED5FA544AB8}"/>
            </a:ext>
          </a:extLst>
        </xdr:cNvPr>
        <xdr:cNvCxnSpPr>
          <a:stCxn id="58" idx="3"/>
          <a:endCxn id="60" idx="1"/>
        </xdr:cNvCxnSpPr>
      </xdr:nvCxnSpPr>
      <xdr:spPr>
        <a:xfrm>
          <a:off x="5751940" y="6214616"/>
          <a:ext cx="1273968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1208369</xdr:colOff>
      <xdr:row>18</xdr:row>
      <xdr:rowOff>132471</xdr:rowOff>
    </xdr:from>
    <xdr:to>
      <xdr:col>5</xdr:col>
      <xdr:colOff>513034</xdr:colOff>
      <xdr:row>18</xdr:row>
      <xdr:rowOff>132471</xdr:rowOff>
    </xdr:to>
    <xdr:cxnSp macro="">
      <xdr:nvCxnSpPr>
        <xdr:cNvPr id="106" name="Straight Arrow Connector 38">
          <a:extLst>
            <a:ext uri="{FF2B5EF4-FFF2-40B4-BE49-F238E27FC236}">
              <a16:creationId xmlns:a16="http://schemas.microsoft.com/office/drawing/2014/main" id="{3445C9DE-6963-1907-2BB6-E48F5CE64E04}"/>
            </a:ext>
          </a:extLst>
        </xdr:cNvPr>
        <xdr:cNvCxnSpPr>
          <a:stCxn id="60" idx="3"/>
          <a:endCxn id="63" idx="1"/>
        </xdr:cNvCxnSpPr>
      </xdr:nvCxnSpPr>
      <xdr:spPr>
        <a:xfrm>
          <a:off x="7581460" y="6214616"/>
          <a:ext cx="1415750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6</xdr:col>
      <xdr:colOff>718910</xdr:colOff>
      <xdr:row>17</xdr:row>
      <xdr:rowOff>204312</xdr:rowOff>
    </xdr:from>
    <xdr:ext cx="542118" cy="542118"/>
    <xdr:pic>
      <xdr:nvPicPr>
        <xdr:cNvPr id="109" name="Grafik 108" descr="Para zarfı düz dolguyla">
          <a:extLst>
            <a:ext uri="{FF2B5EF4-FFF2-40B4-BE49-F238E27FC236}">
              <a16:creationId xmlns:a16="http://schemas.microsoft.com/office/drawing/2014/main" id="{6F6B1A31-1A18-4455-9096-D683ADBF2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rcRect/>
        <a:stretch/>
      </xdr:blipFill>
      <xdr:spPr>
        <a:xfrm>
          <a:off x="10832728" y="5940094"/>
          <a:ext cx="542118" cy="542118"/>
        </a:xfrm>
        <a:prstGeom prst="rect">
          <a:avLst/>
        </a:prstGeom>
      </xdr:spPr>
    </xdr:pic>
    <xdr:clientData/>
  </xdr:oneCellAnchor>
  <xdr:oneCellAnchor>
    <xdr:from>
      <xdr:col>5</xdr:col>
      <xdr:colOff>1240035</xdr:colOff>
      <xdr:row>18</xdr:row>
      <xdr:rowOff>129008</xdr:rowOff>
    </xdr:from>
    <xdr:ext cx="1418512" cy="3463"/>
    <xdr:cxnSp macro="">
      <xdr:nvCxnSpPr>
        <xdr:cNvPr id="110" name="Straight Arrow Connector 38">
          <a:extLst>
            <a:ext uri="{FF2B5EF4-FFF2-40B4-BE49-F238E27FC236}">
              <a16:creationId xmlns:a16="http://schemas.microsoft.com/office/drawing/2014/main" id="{122C3F14-6EF7-4E03-8B60-AE8EF96BC9F6}"/>
            </a:ext>
          </a:extLst>
        </xdr:cNvPr>
        <xdr:cNvCxnSpPr>
          <a:stCxn id="63" idx="3"/>
          <a:endCxn id="109" idx="1"/>
        </xdr:cNvCxnSpPr>
      </xdr:nvCxnSpPr>
      <xdr:spPr>
        <a:xfrm flipV="1">
          <a:off x="9552762" y="6211153"/>
          <a:ext cx="1418512" cy="3463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oneCellAnchor>
  <xdr:oneCellAnchor>
    <xdr:from>
      <xdr:col>7</xdr:col>
      <xdr:colOff>691200</xdr:colOff>
      <xdr:row>17</xdr:row>
      <xdr:rowOff>204312</xdr:rowOff>
    </xdr:from>
    <xdr:ext cx="542118" cy="542118"/>
    <xdr:pic>
      <xdr:nvPicPr>
        <xdr:cNvPr id="111" name="Grafik 110" descr="Asya Tapınağı düz dolguyla">
          <a:extLst>
            <a:ext uri="{FF2B5EF4-FFF2-40B4-BE49-F238E27FC236}">
              <a16:creationId xmlns:a16="http://schemas.microsoft.com/office/drawing/2014/main" id="{22455FF4-5F2F-4D69-BD1D-2C3D5F5CE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rcRect/>
        <a:stretch/>
      </xdr:blipFill>
      <xdr:spPr>
        <a:xfrm>
          <a:off x="12883200" y="5940094"/>
          <a:ext cx="542118" cy="542118"/>
        </a:xfrm>
        <a:prstGeom prst="rect">
          <a:avLst/>
        </a:prstGeom>
      </xdr:spPr>
    </xdr:pic>
    <xdr:clientData/>
  </xdr:oneCellAnchor>
  <xdr:oneCellAnchor>
    <xdr:from>
      <xdr:col>6</xdr:col>
      <xdr:colOff>1261028</xdr:colOff>
      <xdr:row>18</xdr:row>
      <xdr:rowOff>129008</xdr:rowOff>
    </xdr:from>
    <xdr:ext cx="1369808" cy="0"/>
    <xdr:cxnSp macro="">
      <xdr:nvCxnSpPr>
        <xdr:cNvPr id="112" name="Straight Arrow Connector 38">
          <a:extLst>
            <a:ext uri="{FF2B5EF4-FFF2-40B4-BE49-F238E27FC236}">
              <a16:creationId xmlns:a16="http://schemas.microsoft.com/office/drawing/2014/main" id="{D486B32A-628D-4F49-A005-498CC7D0C958}"/>
            </a:ext>
          </a:extLst>
        </xdr:cNvPr>
        <xdr:cNvCxnSpPr>
          <a:stCxn id="109" idx="3"/>
          <a:endCxn id="111" idx="1"/>
        </xdr:cNvCxnSpPr>
      </xdr:nvCxnSpPr>
      <xdr:spPr>
        <a:xfrm>
          <a:off x="11513392" y="6211153"/>
          <a:ext cx="1369808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oneCellAnchor>
  <xdr:oneCellAnchor>
    <xdr:from>
      <xdr:col>8</xdr:col>
      <xdr:colOff>705055</xdr:colOff>
      <xdr:row>17</xdr:row>
      <xdr:rowOff>204312</xdr:rowOff>
    </xdr:from>
    <xdr:ext cx="542118" cy="542118"/>
    <xdr:pic>
      <xdr:nvPicPr>
        <xdr:cNvPr id="114" name="Grafik 113" descr="Hindistan cevizi düz dolguyla">
          <a:extLst>
            <a:ext uri="{FF2B5EF4-FFF2-40B4-BE49-F238E27FC236}">
              <a16:creationId xmlns:a16="http://schemas.microsoft.com/office/drawing/2014/main" id="{DEF0A556-7FD7-4E4A-8F38-E05434E69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6"/>
            </a:ext>
          </a:extLst>
        </a:blip>
        <a:srcRect/>
        <a:stretch/>
      </xdr:blipFill>
      <xdr:spPr>
        <a:xfrm>
          <a:off x="14642728" y="5940094"/>
          <a:ext cx="542118" cy="542118"/>
        </a:xfrm>
        <a:prstGeom prst="rect">
          <a:avLst/>
        </a:prstGeom>
      </xdr:spPr>
    </xdr:pic>
    <xdr:clientData/>
  </xdr:oneCellAnchor>
  <xdr:oneCellAnchor>
    <xdr:from>
      <xdr:col>7</xdr:col>
      <xdr:colOff>1233318</xdr:colOff>
      <xdr:row>18</xdr:row>
      <xdr:rowOff>129008</xdr:rowOff>
    </xdr:from>
    <xdr:ext cx="1411373" cy="0"/>
    <xdr:cxnSp macro="">
      <xdr:nvCxnSpPr>
        <xdr:cNvPr id="115" name="Straight Arrow Connector 38">
          <a:extLst>
            <a:ext uri="{FF2B5EF4-FFF2-40B4-BE49-F238E27FC236}">
              <a16:creationId xmlns:a16="http://schemas.microsoft.com/office/drawing/2014/main" id="{86D6449E-9EFD-4150-AD3B-4B7F1D4CD2C8}"/>
            </a:ext>
          </a:extLst>
        </xdr:cNvPr>
        <xdr:cNvCxnSpPr>
          <a:stCxn id="111" idx="3"/>
          <a:endCxn id="114" idx="1"/>
        </xdr:cNvCxnSpPr>
      </xdr:nvCxnSpPr>
      <xdr:spPr>
        <a:xfrm>
          <a:off x="13425318" y="6211153"/>
          <a:ext cx="1411373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21" name="Metin kutusu 20">
          <a:extLst>
            <a:ext uri="{FF2B5EF4-FFF2-40B4-BE49-F238E27FC236}">
              <a16:creationId xmlns:a16="http://schemas.microsoft.com/office/drawing/2014/main" id="{3B815374-3A6B-078D-041F-C22E1AA95B16}"/>
            </a:ext>
          </a:extLst>
        </xdr:cNvPr>
        <xdr:cNvSpPr txBox="1"/>
      </xdr:nvSpPr>
      <xdr:spPr>
        <a:xfrm>
          <a:off x="327660" y="175260"/>
          <a:ext cx="656844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tr-TR" sz="1600">
              <a:gradFill flip="none" rotWithShape="1">
                <a:gsLst>
                  <a:gs pos="100000">
                    <a:schemeClr val="accent3"/>
                  </a:gs>
                  <a:gs pos="0">
                    <a:schemeClr val="accent4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+mj-lt"/>
            </a:rPr>
            <a:t>TATİL PLANIM</a:t>
          </a:r>
        </a:p>
      </xdr:txBody>
    </xdr:sp>
    <xdr:clientData/>
  </xdr:twoCellAnchor>
  <xdr:twoCellAnchor editAs="oneCell">
    <xdr:from>
      <xdr:col>5</xdr:col>
      <xdr:colOff>825980</xdr:colOff>
      <xdr:row>3</xdr:row>
      <xdr:rowOff>390609</xdr:rowOff>
    </xdr:from>
    <xdr:to>
      <xdr:col>5</xdr:col>
      <xdr:colOff>1161362</xdr:colOff>
      <xdr:row>4</xdr:row>
      <xdr:rowOff>329469</xdr:rowOff>
    </xdr:to>
    <xdr:pic>
      <xdr:nvPicPr>
        <xdr:cNvPr id="6" name="Grafik 5" descr="Tatil düz dolguyla">
          <a:extLst>
            <a:ext uri="{FF2B5EF4-FFF2-40B4-BE49-F238E27FC236}">
              <a16:creationId xmlns:a16="http://schemas.microsoft.com/office/drawing/2014/main" id="{49AB3EF5-2F53-4CC5-13FC-84D619B3E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04266" y="1207038"/>
          <a:ext cx="335382" cy="330745"/>
        </a:xfrm>
        <a:prstGeom prst="rect">
          <a:avLst/>
        </a:prstGeom>
      </xdr:spPr>
    </xdr:pic>
    <xdr:clientData/>
  </xdr:twoCellAnchor>
  <xdr:twoCellAnchor>
    <xdr:from>
      <xdr:col>1</xdr:col>
      <xdr:colOff>1196163</xdr:colOff>
      <xdr:row>3</xdr:row>
      <xdr:rowOff>13008</xdr:rowOff>
    </xdr:from>
    <xdr:to>
      <xdr:col>5</xdr:col>
      <xdr:colOff>316163</xdr:colOff>
      <xdr:row>3</xdr:row>
      <xdr:rowOff>341138</xdr:rowOff>
    </xdr:to>
    <xdr:grpSp>
      <xdr:nvGrpSpPr>
        <xdr:cNvPr id="20" name="Grup 19">
          <a:extLst>
            <a:ext uri="{FF2B5EF4-FFF2-40B4-BE49-F238E27FC236}">
              <a16:creationId xmlns:a16="http://schemas.microsoft.com/office/drawing/2014/main" id="{4875B150-9FEE-5C66-2AF7-149789F44A3E}"/>
            </a:ext>
          </a:extLst>
        </xdr:cNvPr>
        <xdr:cNvGrpSpPr/>
      </xdr:nvGrpSpPr>
      <xdr:grpSpPr>
        <a:xfrm>
          <a:off x="1547346" y="834643"/>
          <a:ext cx="4666034" cy="328130"/>
          <a:chOff x="1521929" y="928302"/>
          <a:chExt cx="4207027" cy="348651"/>
        </a:xfrm>
      </xdr:grpSpPr>
      <xdr:cxnSp macro="">
        <xdr:nvCxnSpPr>
          <xdr:cNvPr id="39" name="Curved Connector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CxnSpPr/>
        </xdr:nvCxnSpPr>
        <xdr:spPr>
          <a:xfrm rot="16200000" flipH="1">
            <a:off x="3673801" y="-815670"/>
            <a:ext cx="12701" cy="3784181"/>
          </a:xfrm>
          <a:prstGeom prst="curvedConnector3">
            <a:avLst>
              <a:gd name="adj1" fmla="val -912063"/>
            </a:avLst>
          </a:prstGeom>
          <a:ln w="12700" cap="flat" cmpd="sng" algn="ctr">
            <a:gradFill flip="none" rotWithShape="1">
              <a:gsLst>
                <a:gs pos="0">
                  <a:schemeClr val="accent4"/>
                </a:gs>
                <a:gs pos="100000">
                  <a:schemeClr val="accent3"/>
                </a:gs>
              </a:gsLst>
              <a:path path="circle">
                <a:fillToRect l="100000" t="100000"/>
              </a:path>
              <a:tileRect r="-100000" b="-100000"/>
            </a:gra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pic>
        <xdr:nvPicPr>
          <xdr:cNvPr id="10" name="Picture 9" descr="Kalkış düz dolguyla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/>
        </xdr:blipFill>
        <xdr:spPr>
          <a:xfrm rot="10800000" flipH="1" flipV="1">
            <a:off x="1521929" y="933414"/>
            <a:ext cx="343539" cy="343539"/>
          </a:xfrm>
          <a:prstGeom prst="rect">
            <a:avLst/>
          </a:prstGeom>
        </xdr:spPr>
      </xdr:pic>
      <xdr:pic>
        <xdr:nvPicPr>
          <xdr:cNvPr id="12" name="Grafik 11">
            <a:extLst>
              <a:ext uri="{FF2B5EF4-FFF2-40B4-BE49-F238E27FC236}">
                <a16:creationId xmlns:a16="http://schemas.microsoft.com/office/drawing/2014/main" id="{B5937E58-6097-6A5F-E331-0930FA0A04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 rot="10800000" flipV="1">
            <a:off x="5386956" y="928302"/>
            <a:ext cx="342000" cy="34200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739585</xdr:colOff>
      <xdr:row>3</xdr:row>
      <xdr:rowOff>381683</xdr:rowOff>
    </xdr:from>
    <xdr:to>
      <xdr:col>1</xdr:col>
      <xdr:colOff>1074438</xdr:colOff>
      <xdr:row>4</xdr:row>
      <xdr:rowOff>320596</xdr:rowOff>
    </xdr:to>
    <xdr:pic>
      <xdr:nvPicPr>
        <xdr:cNvPr id="28" name="Grafik 27" descr="Banliyö manzarası düz dolguyla">
          <a:extLst>
            <a:ext uri="{FF2B5EF4-FFF2-40B4-BE49-F238E27FC236}">
              <a16:creationId xmlns:a16="http://schemas.microsoft.com/office/drawing/2014/main" id="{BF1A123A-97CB-8616-663C-A49A81E66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>
        <a:xfrm flipH="1">
          <a:off x="1066156" y="1187226"/>
          <a:ext cx="334853" cy="3307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CRM\Excel_Projeleri\1-In_Prog\2022-06-02-Mahmut_Yal&#231;&#305;n_Ayakab&#305;_Hammadde\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CRM\Excel_Projeleri\Tamamlananlar\2022-04-18-Express_Solutions_Mozambik\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-Emlak%20Takip%20Program&#305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-SATI&#350;_TAK&#304;P_PROGRAMI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-SATI&#350;_TAK&#304;P_PROGRAMI_Hamburger_Men&#252;l&#252;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-BORSA_PROGRAMI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PRODUCTS\&#350;ablonlar%2040+\Program%20&amp;%20Taslaklar\-Stok_Program&#305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PRODUCTS\Shopier\Paketler\40plus_Excel_&#350;ablon_Paketi\2022-04-25_40+_&#350;ablonlar_VBA_Kilitli\Program%20&amp;%20Taslaklar\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  <sheetName val="-Emlak Takip Programı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_Salih_fav_13.12.2022">
      <a:dk1>
        <a:sysClr val="windowText" lastClr="000000"/>
      </a:dk1>
      <a:lt1>
        <a:sysClr val="window" lastClr="FFFFFF"/>
      </a:lt1>
      <a:dk2>
        <a:srgbClr val="152D2F"/>
      </a:dk2>
      <a:lt2>
        <a:srgbClr val="FFF9F5"/>
      </a:lt2>
      <a:accent1>
        <a:srgbClr val="0FB183"/>
      </a:accent1>
      <a:accent2>
        <a:srgbClr val="1981D7"/>
      </a:accent2>
      <a:accent3>
        <a:srgbClr val="F2545B"/>
      </a:accent3>
      <a:accent4>
        <a:srgbClr val="FF8F59"/>
      </a:accent4>
      <a:accent5>
        <a:srgbClr val="F5C26B"/>
      </a:accent5>
      <a:accent6>
        <a:srgbClr val="6A78D1"/>
      </a:accent6>
      <a:hlink>
        <a:srgbClr val="E50CBC"/>
      </a:hlink>
      <a:folHlink>
        <a:srgbClr val="6257FF"/>
      </a:folHlink>
    </a:clrScheme>
    <a:fontScheme name="Tatil Paketi">
      <a:majorFont>
        <a:latin typeface="Modern Love Grunge"/>
        <a:ea typeface=""/>
        <a:cs typeface=""/>
      </a:majorFont>
      <a:minorFont>
        <a:latin typeface="Google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/>
    <pageSetUpPr fitToPage="1"/>
  </sheetPr>
  <dimension ref="A1:N39"/>
  <sheetViews>
    <sheetView showGridLines="0" topLeftCell="A4" zoomScale="70" zoomScaleNormal="70" zoomScaleSheetLayoutView="55" workbookViewId="0">
      <selection activeCell="H30" sqref="H30"/>
    </sheetView>
  </sheetViews>
  <sheetFormatPr defaultRowHeight="14.4" x14ac:dyDescent="0.3"/>
  <cols>
    <col min="1" max="1" width="6" style="5" customWidth="1"/>
    <col min="2" max="9" width="23" style="5" customWidth="1"/>
    <col min="10" max="10" width="6.5" style="5" customWidth="1"/>
    <col min="11" max="11" width="19.58203125" style="5" customWidth="1"/>
    <col min="12" max="12" width="8.6640625" style="5"/>
    <col min="13" max="13" width="6.6640625" style="5" customWidth="1"/>
    <col min="14" max="16384" width="8.6640625" style="5"/>
  </cols>
  <sheetData>
    <row r="1" spans="1:14" ht="20.399999999999999" customHeight="1" thickBot="1" x14ac:dyDescent="0.35"/>
    <row r="2" spans="1:14" ht="19.95" customHeight="1" x14ac:dyDescent="0.3">
      <c r="A2" s="44"/>
      <c r="B2" s="45"/>
      <c r="C2" s="45"/>
      <c r="D2" s="45"/>
      <c r="E2" s="45"/>
      <c r="F2" s="45"/>
      <c r="G2" s="45"/>
      <c r="H2" s="45"/>
      <c r="I2" s="45"/>
      <c r="J2" s="46"/>
    </row>
    <row r="3" spans="1:14" ht="19.95" customHeight="1" x14ac:dyDescent="0.3">
      <c r="A3" s="47"/>
      <c r="B3" s="86"/>
      <c r="C3" s="86"/>
      <c r="D3" s="86"/>
      <c r="E3" s="86"/>
      <c r="F3" s="86"/>
      <c r="G3" s="86"/>
      <c r="H3" s="86"/>
      <c r="I3" s="86"/>
      <c r="J3" s="48"/>
    </row>
    <row r="4" spans="1:14" ht="36.6" customHeight="1" x14ac:dyDescent="0.3">
      <c r="A4" s="47"/>
      <c r="B4" s="87" t="s">
        <v>41</v>
      </c>
      <c r="C4" s="87"/>
      <c r="D4" s="87"/>
      <c r="E4" s="87"/>
      <c r="F4" s="87"/>
      <c r="G4" s="87"/>
      <c r="H4" s="87"/>
      <c r="I4" s="87"/>
      <c r="J4" s="48"/>
    </row>
    <row r="5" spans="1:14" ht="28.2" customHeight="1" x14ac:dyDescent="0.3">
      <c r="A5" s="47"/>
      <c r="B5" s="49" t="s">
        <v>42</v>
      </c>
      <c r="H5" s="32" t="s">
        <v>40</v>
      </c>
      <c r="I5" s="30">
        <v>20</v>
      </c>
      <c r="J5" s="48"/>
    </row>
    <row r="6" spans="1:14" ht="28.2" customHeight="1" x14ac:dyDescent="0.3">
      <c r="A6" s="47"/>
      <c r="B6" s="33"/>
      <c r="C6" s="34"/>
      <c r="D6" s="34"/>
      <c r="E6" s="34"/>
      <c r="F6" s="34"/>
      <c r="G6" s="34"/>
      <c r="H6" s="34"/>
      <c r="I6" s="34"/>
      <c r="J6" s="48"/>
    </row>
    <row r="7" spans="1:14" ht="24.6" customHeight="1" x14ac:dyDescent="0.3">
      <c r="A7" s="47"/>
      <c r="J7" s="48"/>
      <c r="N7" s="6"/>
    </row>
    <row r="8" spans="1:14" ht="27" customHeight="1" x14ac:dyDescent="0.3">
      <c r="A8" s="47"/>
      <c r="B8" s="84" t="s">
        <v>49</v>
      </c>
      <c r="C8" s="50" t="s">
        <v>6</v>
      </c>
      <c r="D8" s="50" t="s">
        <v>15</v>
      </c>
      <c r="E8" s="50" t="s">
        <v>38</v>
      </c>
      <c r="F8" s="50" t="s">
        <v>16</v>
      </c>
      <c r="G8" s="50" t="s">
        <v>39</v>
      </c>
      <c r="H8" s="50" t="s">
        <v>17</v>
      </c>
      <c r="I8" s="50" t="s">
        <v>12</v>
      </c>
      <c r="J8" s="48"/>
    </row>
    <row r="9" spans="1:14" ht="27" customHeight="1" x14ac:dyDescent="0.3">
      <c r="A9" s="47"/>
      <c r="B9" s="84"/>
      <c r="C9" s="51"/>
      <c r="D9" s="51"/>
      <c r="E9" s="52"/>
      <c r="F9" s="51"/>
      <c r="G9" s="52"/>
      <c r="H9" s="51"/>
      <c r="I9" s="50"/>
      <c r="J9" s="48"/>
    </row>
    <row r="10" spans="1:14" ht="27" customHeight="1" x14ac:dyDescent="0.3">
      <c r="A10" s="47"/>
      <c r="B10" s="84"/>
      <c r="C10" s="52"/>
      <c r="D10" s="52"/>
      <c r="E10" s="52"/>
      <c r="F10" s="52"/>
      <c r="G10" s="52"/>
      <c r="H10" s="52"/>
      <c r="I10" s="52"/>
      <c r="J10" s="48"/>
    </row>
    <row r="11" spans="1:14" ht="27" customHeight="1" x14ac:dyDescent="0.3">
      <c r="A11" s="47"/>
      <c r="B11" s="84"/>
      <c r="C11" s="52"/>
      <c r="D11" s="52"/>
      <c r="E11" s="52"/>
      <c r="F11" s="52"/>
      <c r="G11" s="52"/>
      <c r="H11" s="52"/>
      <c r="I11" s="52"/>
      <c r="J11" s="48"/>
    </row>
    <row r="12" spans="1:14" ht="27" customHeight="1" x14ac:dyDescent="0.3">
      <c r="A12" s="47"/>
      <c r="B12" s="84"/>
      <c r="C12" s="37">
        <v>250</v>
      </c>
      <c r="D12" s="37">
        <v>50</v>
      </c>
      <c r="E12" s="38">
        <v>45209.625</v>
      </c>
      <c r="F12" s="36" t="s">
        <v>0</v>
      </c>
      <c r="G12" s="38">
        <v>45210.416666666664</v>
      </c>
      <c r="H12" s="37">
        <v>350</v>
      </c>
      <c r="I12" s="39">
        <v>4</v>
      </c>
      <c r="J12" s="53"/>
      <c r="K12" s="31" t="s">
        <v>2</v>
      </c>
    </row>
    <row r="13" spans="1:14" ht="27" customHeight="1" x14ac:dyDescent="0.3">
      <c r="A13" s="47"/>
      <c r="B13" s="84"/>
      <c r="C13" s="79">
        <f>C12/CurRate</f>
        <v>12.5</v>
      </c>
      <c r="D13" s="79">
        <f>D12/CurRate</f>
        <v>2.5</v>
      </c>
      <c r="E13" s="36" t="s">
        <v>23</v>
      </c>
      <c r="F13" s="37">
        <v>2500</v>
      </c>
      <c r="G13" s="36" t="s">
        <v>24</v>
      </c>
      <c r="H13" s="79">
        <f>H12/CurRate</f>
        <v>17.5</v>
      </c>
      <c r="I13" s="37">
        <v>500</v>
      </c>
      <c r="J13" s="53"/>
      <c r="K13" s="32" t="s">
        <v>1</v>
      </c>
    </row>
    <row r="14" spans="1:14" ht="27" customHeight="1" x14ac:dyDescent="1.2">
      <c r="A14" s="47"/>
      <c r="B14" s="54"/>
      <c r="C14" s="52"/>
      <c r="D14" s="52"/>
      <c r="E14" s="52"/>
      <c r="F14" s="79">
        <f>F13/CurRate</f>
        <v>125</v>
      </c>
      <c r="G14" s="52"/>
      <c r="H14" s="52"/>
      <c r="I14" s="79">
        <f>I13/CurRate</f>
        <v>25</v>
      </c>
      <c r="J14" s="53"/>
    </row>
    <row r="15" spans="1:14" ht="27" customHeight="1" x14ac:dyDescent="1.2">
      <c r="A15" s="47"/>
      <c r="B15" s="54"/>
      <c r="C15" s="52"/>
      <c r="D15" s="52"/>
      <c r="E15" s="52"/>
      <c r="F15" s="52"/>
      <c r="G15" s="52"/>
      <c r="H15" s="52"/>
      <c r="I15" s="52"/>
      <c r="J15" s="53"/>
    </row>
    <row r="16" spans="1:14" ht="27" customHeight="1" x14ac:dyDescent="1.2">
      <c r="A16" s="47"/>
      <c r="B16" s="54"/>
      <c r="C16" s="52"/>
      <c r="D16" s="52"/>
      <c r="E16" s="52"/>
      <c r="F16" s="52"/>
      <c r="G16" s="52"/>
      <c r="H16" s="52"/>
      <c r="I16" s="52"/>
      <c r="J16" s="53"/>
    </row>
    <row r="17" spans="1:10" ht="27" customHeight="1" x14ac:dyDescent="0.3">
      <c r="A17" s="47"/>
      <c r="B17" s="83" t="s">
        <v>44</v>
      </c>
      <c r="C17" s="50" t="s">
        <v>3</v>
      </c>
      <c r="D17" s="50" t="s">
        <v>4</v>
      </c>
      <c r="E17" s="50" t="s">
        <v>5</v>
      </c>
      <c r="F17" s="50" t="s">
        <v>43</v>
      </c>
      <c r="G17" s="50" t="s">
        <v>47</v>
      </c>
      <c r="H17" s="50" t="s">
        <v>48</v>
      </c>
      <c r="I17" s="50" t="s">
        <v>51</v>
      </c>
      <c r="J17" s="53"/>
    </row>
    <row r="18" spans="1:10" ht="27" customHeight="1" x14ac:dyDescent="0.3">
      <c r="A18" s="47"/>
      <c r="B18" s="83"/>
      <c r="C18" s="52"/>
      <c r="D18" s="52"/>
      <c r="E18" s="52"/>
      <c r="F18" s="52"/>
      <c r="G18" s="52"/>
      <c r="H18" s="52"/>
      <c r="I18" s="52"/>
      <c r="J18" s="53"/>
    </row>
    <row r="19" spans="1:10" ht="27" customHeight="1" x14ac:dyDescent="0.3">
      <c r="A19" s="47"/>
      <c r="B19" s="83"/>
      <c r="C19" s="52"/>
      <c r="D19" s="52"/>
      <c r="E19" s="52"/>
      <c r="F19" s="52"/>
      <c r="G19" s="52"/>
      <c r="H19" s="52"/>
      <c r="I19" s="52"/>
      <c r="J19" s="53"/>
    </row>
    <row r="20" spans="1:10" ht="27" customHeight="1" x14ac:dyDescent="0.3">
      <c r="A20" s="47"/>
      <c r="B20" s="83"/>
      <c r="C20" s="52"/>
      <c r="D20" s="52"/>
      <c r="E20" s="52"/>
      <c r="F20" s="52"/>
      <c r="G20" s="52"/>
      <c r="H20" s="52"/>
      <c r="I20" s="52"/>
      <c r="J20" s="53"/>
    </row>
    <row r="21" spans="1:10" ht="27" customHeight="1" x14ac:dyDescent="0.3">
      <c r="A21" s="47"/>
      <c r="B21" s="83"/>
      <c r="C21" s="40">
        <v>2500</v>
      </c>
      <c r="D21" s="40">
        <v>750</v>
      </c>
      <c r="E21" s="40">
        <v>250</v>
      </c>
      <c r="F21" s="40">
        <v>250</v>
      </c>
      <c r="G21" s="40">
        <v>250</v>
      </c>
      <c r="H21" s="40">
        <v>250</v>
      </c>
      <c r="I21" s="40">
        <v>250</v>
      </c>
      <c r="J21" s="53"/>
    </row>
    <row r="22" spans="1:10" ht="27" customHeight="1" x14ac:dyDescent="0.3">
      <c r="A22" s="47"/>
      <c r="B22" s="83"/>
      <c r="C22" s="79">
        <f t="shared" ref="C22:I22" si="0">C21/CurRate</f>
        <v>125</v>
      </c>
      <c r="D22" s="79">
        <f t="shared" si="0"/>
        <v>37.5</v>
      </c>
      <c r="E22" s="79">
        <f t="shared" si="0"/>
        <v>12.5</v>
      </c>
      <c r="F22" s="79">
        <f t="shared" si="0"/>
        <v>12.5</v>
      </c>
      <c r="G22" s="79">
        <f t="shared" si="0"/>
        <v>12.5</v>
      </c>
      <c r="H22" s="79">
        <f t="shared" si="0"/>
        <v>12.5</v>
      </c>
      <c r="I22" s="79">
        <f t="shared" si="0"/>
        <v>12.5</v>
      </c>
      <c r="J22" s="53"/>
    </row>
    <row r="23" spans="1:10" ht="27" customHeight="1" x14ac:dyDescent="1.2">
      <c r="A23" s="47"/>
      <c r="B23" s="54"/>
      <c r="C23" s="52"/>
      <c r="D23" s="52"/>
      <c r="E23" s="52"/>
      <c r="F23" s="52"/>
      <c r="G23" s="52"/>
      <c r="H23" s="52"/>
      <c r="I23" s="52"/>
      <c r="J23" s="53"/>
    </row>
    <row r="24" spans="1:10" ht="27" customHeight="1" x14ac:dyDescent="1.2">
      <c r="A24" s="47"/>
      <c r="B24" s="54"/>
      <c r="C24" s="52"/>
      <c r="D24" s="52"/>
      <c r="E24" s="52"/>
      <c r="F24" s="52"/>
      <c r="G24" s="52"/>
      <c r="H24" s="52"/>
      <c r="I24" s="52"/>
      <c r="J24" s="53"/>
    </row>
    <row r="25" spans="1:10" ht="27" customHeight="1" x14ac:dyDescent="1.2">
      <c r="A25" s="47"/>
      <c r="B25" s="54"/>
      <c r="C25" s="52"/>
      <c r="D25" s="52"/>
      <c r="E25" s="52"/>
      <c r="F25" s="52"/>
      <c r="G25" s="52"/>
      <c r="H25" s="52"/>
      <c r="I25" s="50"/>
      <c r="J25" s="53"/>
    </row>
    <row r="26" spans="1:10" ht="27" customHeight="1" x14ac:dyDescent="0.3">
      <c r="A26" s="47"/>
      <c r="B26" s="85" t="s">
        <v>50</v>
      </c>
      <c r="C26" s="50" t="s">
        <v>46</v>
      </c>
      <c r="D26" s="50" t="s">
        <v>18</v>
      </c>
      <c r="E26" s="50" t="s">
        <v>36</v>
      </c>
      <c r="F26" s="50" t="s">
        <v>19</v>
      </c>
      <c r="G26" s="50" t="s">
        <v>37</v>
      </c>
      <c r="H26" s="50" t="s">
        <v>20</v>
      </c>
      <c r="I26" s="50" t="s">
        <v>45</v>
      </c>
      <c r="J26" s="53"/>
    </row>
    <row r="27" spans="1:10" ht="27" customHeight="1" x14ac:dyDescent="0.3">
      <c r="A27" s="47"/>
      <c r="B27" s="85"/>
      <c r="C27" s="52"/>
      <c r="D27" s="52"/>
      <c r="E27" s="52"/>
      <c r="F27" s="52"/>
      <c r="G27" s="52"/>
      <c r="H27" s="52"/>
      <c r="I27" s="52"/>
      <c r="J27" s="53"/>
    </row>
    <row r="28" spans="1:10" ht="27" customHeight="1" x14ac:dyDescent="0.3">
      <c r="A28" s="47"/>
      <c r="B28" s="85"/>
      <c r="C28" s="52"/>
      <c r="D28" s="52"/>
      <c r="E28" s="52"/>
      <c r="F28" s="52"/>
      <c r="G28" s="52"/>
      <c r="H28" s="52"/>
      <c r="I28" s="52"/>
      <c r="J28" s="53"/>
    </row>
    <row r="29" spans="1:10" ht="27" customHeight="1" x14ac:dyDescent="0.3">
      <c r="A29" s="47"/>
      <c r="B29" s="85"/>
      <c r="C29" s="52"/>
      <c r="D29" s="52"/>
      <c r="E29" s="52"/>
      <c r="F29" s="52"/>
      <c r="G29" s="52"/>
      <c r="H29" s="52"/>
      <c r="I29" s="52"/>
      <c r="J29" s="53"/>
    </row>
    <row r="30" spans="1:10" ht="27" customHeight="1" x14ac:dyDescent="0.3">
      <c r="A30" s="47"/>
      <c r="B30" s="85"/>
      <c r="C30" s="41">
        <v>500</v>
      </c>
      <c r="D30" s="41">
        <v>150</v>
      </c>
      <c r="E30" s="42" t="s">
        <v>24</v>
      </c>
      <c r="F30" s="42" t="s">
        <v>25</v>
      </c>
      <c r="G30" s="42" t="s">
        <v>26</v>
      </c>
      <c r="H30" s="41">
        <v>50</v>
      </c>
      <c r="I30" s="52"/>
      <c r="J30" s="53"/>
    </row>
    <row r="31" spans="1:10" ht="27" customHeight="1" x14ac:dyDescent="0.3">
      <c r="A31" s="47"/>
      <c r="B31" s="85"/>
      <c r="C31" s="79">
        <f>C30/CurRate</f>
        <v>25</v>
      </c>
      <c r="D31" s="79">
        <f>D30/CurRate</f>
        <v>7.5</v>
      </c>
      <c r="E31" s="43">
        <v>45216.375</v>
      </c>
      <c r="F31" s="41">
        <v>2750</v>
      </c>
      <c r="G31" s="43">
        <v>45217.541666666664</v>
      </c>
      <c r="H31" s="79">
        <f>H30/CurRate</f>
        <v>2.5</v>
      </c>
      <c r="I31" s="52"/>
      <c r="J31" s="53"/>
    </row>
    <row r="32" spans="1:10" ht="27" customHeight="1" x14ac:dyDescent="0.3">
      <c r="A32" s="47"/>
      <c r="C32" s="52"/>
      <c r="D32" s="52"/>
      <c r="E32" s="52"/>
      <c r="F32" s="79">
        <f>F31/CurRate</f>
        <v>137.5</v>
      </c>
      <c r="G32" s="52"/>
      <c r="H32" s="52"/>
      <c r="I32" s="52"/>
      <c r="J32" s="53"/>
    </row>
    <row r="33" spans="1:10" ht="27" customHeight="1" thickBot="1" x14ac:dyDescent="0.35">
      <c r="A33" s="55"/>
      <c r="B33" s="56"/>
      <c r="C33" s="56"/>
      <c r="D33" s="56"/>
      <c r="E33" s="56"/>
      <c r="F33" s="56"/>
      <c r="G33" s="56"/>
      <c r="H33" s="56"/>
      <c r="I33" s="56"/>
      <c r="J33" s="57"/>
    </row>
    <row r="34" spans="1:10" ht="27" customHeight="1" x14ac:dyDescent="0.3"/>
    <row r="35" spans="1:10" ht="27" customHeight="1" x14ac:dyDescent="0.3"/>
    <row r="36" spans="1:10" ht="27" customHeight="1" x14ac:dyDescent="0.3"/>
    <row r="37" spans="1:10" ht="27" customHeight="1" x14ac:dyDescent="0.3"/>
    <row r="38" spans="1:10" ht="27" customHeight="1" x14ac:dyDescent="0.3"/>
    <row r="39" spans="1:10" ht="19.95" customHeight="1" x14ac:dyDescent="0.3"/>
  </sheetData>
  <sheetProtection selectLockedCells="1"/>
  <mergeCells count="5">
    <mergeCell ref="B17:B22"/>
    <mergeCell ref="B8:B13"/>
    <mergeCell ref="B26:B31"/>
    <mergeCell ref="B3:I3"/>
    <mergeCell ref="B4:I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7"/>
    <pageSetUpPr fitToPage="1"/>
  </sheetPr>
  <dimension ref="A2:F52"/>
  <sheetViews>
    <sheetView showGridLines="0" zoomScale="115" zoomScaleNormal="115" zoomScaleSheetLayoutView="100" workbookViewId="0">
      <selection activeCell="C43" sqref="C43:F43"/>
    </sheetView>
  </sheetViews>
  <sheetFormatPr defaultRowHeight="14.4" x14ac:dyDescent="0.3"/>
  <cols>
    <col min="1" max="1" width="3.83203125" customWidth="1"/>
    <col min="2" max="2" width="14.33203125" customWidth="1"/>
    <col min="3" max="3" width="17.58203125" customWidth="1"/>
    <col min="4" max="5" width="14.33203125" customWidth="1"/>
    <col min="6" max="6" width="17.58203125" customWidth="1"/>
    <col min="7" max="7" width="13.83203125" customWidth="1"/>
    <col min="8" max="8" width="5.9140625" customWidth="1"/>
    <col min="9" max="9" width="15.58203125" customWidth="1"/>
    <col min="10" max="10" width="11.6640625" bestFit="1" customWidth="1"/>
    <col min="11" max="12" width="7.33203125"/>
  </cols>
  <sheetData>
    <row r="2" spans="1:6" ht="31.5" customHeight="1" x14ac:dyDescent="0.9">
      <c r="B2" s="98"/>
      <c r="C2" s="98"/>
      <c r="D2" s="98"/>
      <c r="E2" s="98"/>
      <c r="F2" s="98"/>
    </row>
    <row r="3" spans="1:6" ht="18.600000000000001" customHeight="1" x14ac:dyDescent="0.3"/>
    <row r="4" spans="1:6" ht="31.5" customHeight="1" x14ac:dyDescent="0.3"/>
    <row r="5" spans="1:6" ht="32.4" customHeight="1" x14ac:dyDescent="0.3">
      <c r="B5" s="106" t="s">
        <v>33</v>
      </c>
      <c r="C5" s="106"/>
      <c r="E5" s="99" t="s">
        <v>34</v>
      </c>
      <c r="F5" s="99"/>
    </row>
    <row r="6" spans="1:6" ht="22.2" customHeight="1" x14ac:dyDescent="0.35">
      <c r="B6" s="27" t="s">
        <v>7</v>
      </c>
      <c r="C6" s="23" t="str">
        <f>Plan!E13</f>
        <v>ISTANBUL HAVALİMANI</v>
      </c>
      <c r="D6" s="2"/>
      <c r="E6" s="27" t="s">
        <v>7</v>
      </c>
      <c r="F6" s="23" t="str">
        <f>Plan!E30</f>
        <v>NEW YORK</v>
      </c>
    </row>
    <row r="7" spans="1:6" ht="22.2" customHeight="1" x14ac:dyDescent="0.35">
      <c r="B7" s="27" t="s">
        <v>8</v>
      </c>
      <c r="C7" s="23" t="str">
        <f>Plan!G13</f>
        <v>NEW YORK</v>
      </c>
      <c r="D7" s="3"/>
      <c r="E7" s="27" t="s">
        <v>8</v>
      </c>
      <c r="F7" s="23" t="str">
        <f>Plan!G30</f>
        <v>İSTANBUL HAVALİMANI</v>
      </c>
    </row>
    <row r="8" spans="1:6" ht="22.2" customHeight="1" x14ac:dyDescent="0.35">
      <c r="B8" s="27" t="s">
        <v>9</v>
      </c>
      <c r="C8" s="24">
        <f>Plan!E12</f>
        <v>45209.625</v>
      </c>
      <c r="D8" s="2"/>
      <c r="E8" s="27" t="s">
        <v>9</v>
      </c>
      <c r="F8" s="24">
        <f>Plan!E31</f>
        <v>45216.375</v>
      </c>
    </row>
    <row r="9" spans="1:6" ht="22.2" customHeight="1" x14ac:dyDescent="0.35">
      <c r="B9" s="27" t="s">
        <v>10</v>
      </c>
      <c r="C9" s="24">
        <f>Plan!G12</f>
        <v>45210.416666666664</v>
      </c>
      <c r="D9" s="2"/>
      <c r="E9" s="27" t="s">
        <v>10</v>
      </c>
      <c r="F9" s="24">
        <f>Plan!G31</f>
        <v>45217.541666666664</v>
      </c>
    </row>
    <row r="10" spans="1:6" ht="22.2" customHeight="1" x14ac:dyDescent="0.35">
      <c r="B10" s="27" t="s">
        <v>11</v>
      </c>
      <c r="C10" s="23" t="str">
        <f>Plan!F12</f>
        <v>TURKISH AIRLINES</v>
      </c>
      <c r="D10" s="2"/>
      <c r="E10" s="27" t="s">
        <v>11</v>
      </c>
      <c r="F10" s="23" t="str">
        <f>Plan!F30</f>
        <v>AMERICAN AIRLINES</v>
      </c>
    </row>
    <row r="11" spans="1:6" ht="32.4" customHeight="1" x14ac:dyDescent="0.3"/>
    <row r="12" spans="1:6" ht="30" customHeight="1" x14ac:dyDescent="0.3">
      <c r="A12" s="4"/>
      <c r="B12" s="97" t="s">
        <v>35</v>
      </c>
      <c r="C12" s="97"/>
      <c r="D12" s="97"/>
      <c r="E12" s="97"/>
      <c r="F12" s="97"/>
    </row>
    <row r="13" spans="1:6" ht="8.4" customHeight="1" x14ac:dyDescent="0.3">
      <c r="A13" s="4"/>
      <c r="B13" s="28"/>
      <c r="C13" s="28"/>
      <c r="D13" s="28"/>
      <c r="E13" s="29"/>
      <c r="F13" s="29"/>
    </row>
    <row r="14" spans="1:6" s="1" customFormat="1" ht="32.4" customHeight="1" x14ac:dyDescent="0.3">
      <c r="A14" s="4">
        <v>15</v>
      </c>
      <c r="B14" s="67" t="s">
        <v>21</v>
      </c>
      <c r="C14" s="68"/>
      <c r="D14" s="69"/>
      <c r="E14" s="70">
        <f>SUM(E28,E24,E15)</f>
        <v>11850</v>
      </c>
      <c r="F14" s="71">
        <f>E14*(1/CurRate)</f>
        <v>592.5</v>
      </c>
    </row>
    <row r="15" spans="1:6" s="1" customFormat="1" ht="25.2" customHeight="1" x14ac:dyDescent="0.3">
      <c r="A15" s="4">
        <v>1</v>
      </c>
      <c r="B15" s="100" t="s">
        <v>13</v>
      </c>
      <c r="C15" s="101"/>
      <c r="D15" s="102"/>
      <c r="E15" s="62">
        <f>SUM(E16:E22)</f>
        <v>6100</v>
      </c>
      <c r="F15" s="72">
        <f t="shared" ref="F15:F31" si="0">E15*(1/CurRate)</f>
        <v>305</v>
      </c>
    </row>
    <row r="16" spans="1:6" ht="16.350000000000001" customHeight="1" x14ac:dyDescent="0.3">
      <c r="A16" s="4">
        <v>2</v>
      </c>
      <c r="B16" s="103" t="str">
        <f>Plan!C8</f>
        <v>Vize&amp;Pasaport</v>
      </c>
      <c r="C16" s="104"/>
      <c r="D16" s="105"/>
      <c r="E16" s="63">
        <f>Plan!C12</f>
        <v>250</v>
      </c>
      <c r="F16" s="73">
        <f t="shared" si="0"/>
        <v>12.5</v>
      </c>
    </row>
    <row r="17" spans="1:6" ht="16.350000000000001" customHeight="1" x14ac:dyDescent="0.3">
      <c r="A17" s="4">
        <v>3</v>
      </c>
      <c r="B17" s="90" t="str">
        <f>Plan!D8</f>
        <v>Evden Limana Ulaşım</v>
      </c>
      <c r="C17" s="91"/>
      <c r="D17" s="92"/>
      <c r="E17" s="63">
        <f>Plan!D12</f>
        <v>50</v>
      </c>
      <c r="F17" s="73">
        <f t="shared" si="0"/>
        <v>2.5</v>
      </c>
    </row>
    <row r="18" spans="1:6" ht="16.350000000000001" customHeight="1" x14ac:dyDescent="0.3">
      <c r="A18" s="4">
        <v>4</v>
      </c>
      <c r="B18" s="90" t="str">
        <f>Plan!F8</f>
        <v>Limandan Limana Ulaşım (Gidiş)</v>
      </c>
      <c r="C18" s="91"/>
      <c r="D18" s="92"/>
      <c r="E18" s="63">
        <f>Plan!F13</f>
        <v>2500</v>
      </c>
      <c r="F18" s="73">
        <f t="shared" si="0"/>
        <v>125</v>
      </c>
    </row>
    <row r="19" spans="1:6" ht="16.350000000000001" customHeight="1" x14ac:dyDescent="0.3">
      <c r="A19" s="4">
        <v>5</v>
      </c>
      <c r="B19" s="90" t="str">
        <f>Plan!H8</f>
        <v>Limandan Konaklamaya Ulaşım</v>
      </c>
      <c r="C19" s="91"/>
      <c r="D19" s="92"/>
      <c r="E19" s="63">
        <f>Plan!H12</f>
        <v>350</v>
      </c>
      <c r="F19" s="73">
        <f t="shared" si="0"/>
        <v>17.5</v>
      </c>
    </row>
    <row r="20" spans="1:6" ht="16.350000000000001" customHeight="1" x14ac:dyDescent="0.3">
      <c r="A20" s="4">
        <v>6</v>
      </c>
      <c r="B20" s="90" t="str">
        <f>Plan!D26</f>
        <v>Konaklamadan Limana Ulaşım</v>
      </c>
      <c r="C20" s="91"/>
      <c r="D20" s="92"/>
      <c r="E20" s="63">
        <f>Plan!D30</f>
        <v>150</v>
      </c>
      <c r="F20" s="73">
        <f t="shared" si="0"/>
        <v>7.5</v>
      </c>
    </row>
    <row r="21" spans="1:6" ht="16.350000000000001" customHeight="1" x14ac:dyDescent="0.3">
      <c r="A21" s="4">
        <v>7</v>
      </c>
      <c r="B21" s="90" t="str">
        <f>Plan!F26</f>
        <v>Limandan Limana Ulaşım (Dönüş)</v>
      </c>
      <c r="C21" s="91"/>
      <c r="D21" s="92"/>
      <c r="E21" s="63">
        <f>Plan!F31</f>
        <v>2750</v>
      </c>
      <c r="F21" s="73">
        <f t="shared" si="0"/>
        <v>137.5</v>
      </c>
    </row>
    <row r="22" spans="1:6" ht="16.350000000000001" customHeight="1" x14ac:dyDescent="0.3">
      <c r="A22" s="4">
        <v>8</v>
      </c>
      <c r="B22" s="90" t="str">
        <f>Plan!H26</f>
        <v>Limandan Eve Ulaşım</v>
      </c>
      <c r="C22" s="91"/>
      <c r="D22" s="92"/>
      <c r="E22" s="63">
        <f>Plan!H30</f>
        <v>50</v>
      </c>
      <c r="F22" s="73">
        <f t="shared" si="0"/>
        <v>2.5</v>
      </c>
    </row>
    <row r="23" spans="1:6" ht="12" customHeight="1" x14ac:dyDescent="0.3">
      <c r="A23" s="4"/>
      <c r="B23" s="74"/>
      <c r="C23" s="58"/>
      <c r="D23" s="59"/>
      <c r="E23" s="64"/>
      <c r="F23" s="75"/>
    </row>
    <row r="24" spans="1:6" s="1" customFormat="1" ht="25.2" customHeight="1" x14ac:dyDescent="0.3">
      <c r="A24" s="4">
        <v>9</v>
      </c>
      <c r="B24" s="93" t="s">
        <v>12</v>
      </c>
      <c r="C24" s="94"/>
      <c r="D24" s="95"/>
      <c r="E24" s="65">
        <f>E25</f>
        <v>2000</v>
      </c>
      <c r="F24" s="76">
        <f t="shared" si="0"/>
        <v>100</v>
      </c>
    </row>
    <row r="25" spans="1:6" ht="16.350000000000001" customHeight="1" x14ac:dyDescent="0.3">
      <c r="A25" s="4">
        <v>10</v>
      </c>
      <c r="B25" s="90" t="str">
        <f>"Konaklama - "&amp;Plan!I12&amp;" Gece"</f>
        <v>Konaklama - 4 Gece</v>
      </c>
      <c r="C25" s="91"/>
      <c r="D25" s="92"/>
      <c r="E25" s="63">
        <f>Plan!I13*Plan!I12</f>
        <v>2000</v>
      </c>
      <c r="F25" s="73">
        <f t="shared" si="0"/>
        <v>100</v>
      </c>
    </row>
    <row r="26" spans="1:6" ht="16.350000000000001" customHeight="1" x14ac:dyDescent="0.3">
      <c r="A26" s="4">
        <v>10</v>
      </c>
      <c r="B26" s="90" t="str">
        <f>Plan!C26</f>
        <v>Konaklama İlave Ücretler</v>
      </c>
      <c r="C26" s="91"/>
      <c r="D26" s="92"/>
      <c r="E26" s="63">
        <f>Plan!C30</f>
        <v>500</v>
      </c>
      <c r="F26" s="73">
        <f t="shared" ref="F26" si="1">E26*(1/CurRate)</f>
        <v>25</v>
      </c>
    </row>
    <row r="27" spans="1:6" ht="12" customHeight="1" x14ac:dyDescent="0.3">
      <c r="B27" s="77"/>
      <c r="C27" s="60"/>
      <c r="D27" s="61"/>
      <c r="E27" s="66"/>
      <c r="F27" s="78"/>
    </row>
    <row r="28" spans="1:6" s="1" customFormat="1" ht="25.2" customHeight="1" x14ac:dyDescent="0.3">
      <c r="A28" s="4">
        <v>11</v>
      </c>
      <c r="B28" s="93" t="s">
        <v>14</v>
      </c>
      <c r="C28" s="94"/>
      <c r="D28" s="95"/>
      <c r="E28" s="65">
        <f>SUM(E29:E32)</f>
        <v>3750</v>
      </c>
      <c r="F28" s="76">
        <f t="shared" si="0"/>
        <v>187.5</v>
      </c>
    </row>
    <row r="29" spans="1:6" ht="16.350000000000001" customHeight="1" x14ac:dyDescent="0.3">
      <c r="A29" s="4">
        <v>12</v>
      </c>
      <c r="B29" s="103" t="str">
        <f>Plan!C17</f>
        <v>Mutlaka Yapılması Gerekenler</v>
      </c>
      <c r="C29" s="104"/>
      <c r="D29" s="105"/>
      <c r="E29" s="63">
        <f>Plan!C21</f>
        <v>2500</v>
      </c>
      <c r="F29" s="73">
        <f t="shared" si="0"/>
        <v>125</v>
      </c>
    </row>
    <row r="30" spans="1:6" ht="16.350000000000001" customHeight="1" x14ac:dyDescent="0.3">
      <c r="A30" s="4">
        <v>13</v>
      </c>
      <c r="B30" s="90" t="str">
        <f>Plan!D17</f>
        <v>Yiyecek &amp; İçecek</v>
      </c>
      <c r="C30" s="91"/>
      <c r="D30" s="92"/>
      <c r="E30" s="63">
        <f>Plan!D21</f>
        <v>750</v>
      </c>
      <c r="F30" s="73">
        <f t="shared" si="0"/>
        <v>37.5</v>
      </c>
    </row>
    <row r="31" spans="1:6" ht="16.350000000000001" customHeight="1" x14ac:dyDescent="0.3">
      <c r="A31" s="4">
        <v>14</v>
      </c>
      <c r="B31" s="90" t="str">
        <f>Plan!E17</f>
        <v>Hediyelik &amp; Ekstralar</v>
      </c>
      <c r="C31" s="91"/>
      <c r="D31" s="92"/>
      <c r="E31" s="63">
        <f>Plan!E21</f>
        <v>250</v>
      </c>
      <c r="F31" s="73">
        <f t="shared" si="0"/>
        <v>12.5</v>
      </c>
    </row>
    <row r="32" spans="1:6" ht="16.350000000000001" customHeight="1" x14ac:dyDescent="0.3">
      <c r="A32" s="4"/>
      <c r="B32" s="90" t="str">
        <f>Plan!F17</f>
        <v>Diğer Giderler</v>
      </c>
      <c r="C32" s="91"/>
      <c r="D32" s="92"/>
      <c r="E32" s="63">
        <f>Plan!F21</f>
        <v>250</v>
      </c>
      <c r="F32" s="73">
        <f t="shared" ref="F32" si="2">E32*(1/CurRate)</f>
        <v>12.5</v>
      </c>
    </row>
    <row r="33" spans="1:6" ht="16.350000000000001" customHeight="1" x14ac:dyDescent="0.3">
      <c r="A33" s="4"/>
      <c r="B33" s="90" t="str">
        <f>Plan!G17</f>
        <v>Diğer Giderler 2</v>
      </c>
      <c r="C33" s="91"/>
      <c r="D33" s="92"/>
      <c r="E33" s="63">
        <f>Plan!G21</f>
        <v>250</v>
      </c>
      <c r="F33" s="73">
        <f t="shared" ref="F33:F34" si="3">E33*(1/CurRate)</f>
        <v>12.5</v>
      </c>
    </row>
    <row r="34" spans="1:6" ht="16.350000000000001" customHeight="1" x14ac:dyDescent="0.3">
      <c r="A34" s="4"/>
      <c r="B34" s="90" t="str">
        <f>Plan!H17</f>
        <v>Diğer Giderler 3</v>
      </c>
      <c r="C34" s="91"/>
      <c r="D34" s="92"/>
      <c r="E34" s="63">
        <f>Plan!H21</f>
        <v>250</v>
      </c>
      <c r="F34" s="73">
        <f t="shared" si="3"/>
        <v>12.5</v>
      </c>
    </row>
    <row r="35" spans="1:6" ht="16.350000000000001" customHeight="1" x14ac:dyDescent="0.3">
      <c r="A35" s="4"/>
      <c r="B35" s="90" t="str">
        <f>Plan!I17</f>
        <v>Diğer Giderler 4</v>
      </c>
      <c r="C35" s="91"/>
      <c r="D35" s="92"/>
      <c r="E35" s="63">
        <f>Plan!I21</f>
        <v>250</v>
      </c>
      <c r="F35" s="73">
        <f t="shared" ref="F35" si="4">E35*(1/CurRate)</f>
        <v>12.5</v>
      </c>
    </row>
    <row r="36" spans="1:6" ht="39" customHeight="1" x14ac:dyDescent="0.3">
      <c r="B36" s="96" t="s">
        <v>22</v>
      </c>
      <c r="C36" s="96"/>
      <c r="D36" s="96"/>
      <c r="E36" s="96"/>
      <c r="F36" s="96"/>
    </row>
    <row r="37" spans="1:6" ht="27.75" customHeight="1" x14ac:dyDescent="0.3">
      <c r="B37" s="35"/>
      <c r="C37" s="35"/>
      <c r="D37" s="35"/>
      <c r="E37" s="35"/>
      <c r="F37" s="35"/>
    </row>
    <row r="38" spans="1:6" ht="40.799999999999997" customHeight="1" x14ac:dyDescent="0.3">
      <c r="B38" s="25">
        <v>1</v>
      </c>
      <c r="C38" s="88"/>
      <c r="D38" s="88"/>
      <c r="E38" s="88"/>
      <c r="F38" s="88"/>
    </row>
    <row r="39" spans="1:6" ht="40.799999999999997" customHeight="1" x14ac:dyDescent="0.3">
      <c r="B39" s="26">
        <v>2</v>
      </c>
      <c r="C39" s="89"/>
      <c r="D39" s="89"/>
      <c r="E39" s="89"/>
      <c r="F39" s="89"/>
    </row>
    <row r="40" spans="1:6" ht="40.799999999999997" customHeight="1" x14ac:dyDescent="0.3">
      <c r="B40" s="25">
        <v>3</v>
      </c>
      <c r="C40" s="88"/>
      <c r="D40" s="88"/>
      <c r="E40" s="88"/>
      <c r="F40" s="88"/>
    </row>
    <row r="41" spans="1:6" ht="40.799999999999997" customHeight="1" x14ac:dyDescent="0.3">
      <c r="B41" s="26">
        <v>4</v>
      </c>
      <c r="C41" s="89"/>
      <c r="D41" s="89"/>
      <c r="E41" s="89"/>
      <c r="F41" s="89"/>
    </row>
    <row r="42" spans="1:6" ht="40.799999999999997" customHeight="1" x14ac:dyDescent="0.3">
      <c r="B42" s="25">
        <v>5</v>
      </c>
      <c r="C42" s="88"/>
      <c r="D42" s="88"/>
      <c r="E42" s="88"/>
      <c r="F42" s="88"/>
    </row>
    <row r="43" spans="1:6" ht="40.799999999999997" customHeight="1" x14ac:dyDescent="0.3">
      <c r="B43" s="26">
        <v>6</v>
      </c>
      <c r="C43" s="89"/>
      <c r="D43" s="89"/>
      <c r="E43" s="89"/>
      <c r="F43" s="89"/>
    </row>
    <row r="44" spans="1:6" ht="40.799999999999997" customHeight="1" x14ac:dyDescent="0.3">
      <c r="B44" s="25">
        <v>7</v>
      </c>
      <c r="C44" s="88"/>
      <c r="D44" s="88"/>
      <c r="E44" s="88"/>
      <c r="F44" s="88"/>
    </row>
    <row r="45" spans="1:6" ht="40.799999999999997" customHeight="1" x14ac:dyDescent="0.3">
      <c r="B45" s="26">
        <v>8</v>
      </c>
      <c r="C45" s="89"/>
      <c r="D45" s="89"/>
      <c r="E45" s="89"/>
      <c r="F45" s="89"/>
    </row>
    <row r="46" spans="1:6" ht="40.799999999999997" customHeight="1" x14ac:dyDescent="0.3">
      <c r="B46" s="25">
        <v>9</v>
      </c>
      <c r="C46" s="88"/>
      <c r="D46" s="88"/>
      <c r="E46" s="88"/>
      <c r="F46" s="88"/>
    </row>
    <row r="47" spans="1:6" ht="40.799999999999997" customHeight="1" x14ac:dyDescent="0.3">
      <c r="B47" s="26">
        <v>10</v>
      </c>
      <c r="C47" s="89"/>
      <c r="D47" s="89"/>
      <c r="E47" s="89"/>
      <c r="F47" s="89"/>
    </row>
    <row r="48" spans="1:6" ht="40.799999999999997" customHeight="1" x14ac:dyDescent="0.3">
      <c r="B48" s="25">
        <v>11</v>
      </c>
      <c r="C48" s="88"/>
      <c r="D48" s="88"/>
      <c r="E48" s="88"/>
      <c r="F48" s="88"/>
    </row>
    <row r="49" spans="2:6" ht="40.799999999999997" customHeight="1" x14ac:dyDescent="0.3">
      <c r="B49" s="26">
        <v>12</v>
      </c>
      <c r="C49" s="89"/>
      <c r="D49" s="89"/>
      <c r="E49" s="89"/>
      <c r="F49" s="89"/>
    </row>
    <row r="50" spans="2:6" ht="40.799999999999997" customHeight="1" x14ac:dyDescent="0.3">
      <c r="B50" s="25">
        <v>13</v>
      </c>
      <c r="C50" s="88"/>
      <c r="D50" s="88"/>
      <c r="E50" s="88"/>
      <c r="F50" s="88"/>
    </row>
    <row r="51" spans="2:6" ht="40.799999999999997" customHeight="1" x14ac:dyDescent="0.3">
      <c r="B51" s="26">
        <v>14</v>
      </c>
      <c r="C51" s="89"/>
      <c r="D51" s="89"/>
      <c r="E51" s="89"/>
      <c r="F51" s="89"/>
    </row>
    <row r="52" spans="2:6" ht="40.799999999999997" customHeight="1" x14ac:dyDescent="0.3">
      <c r="B52" s="25">
        <v>15</v>
      </c>
      <c r="C52" s="88"/>
      <c r="D52" s="88"/>
      <c r="E52" s="88"/>
      <c r="F52" s="88"/>
    </row>
  </sheetData>
  <mergeCells count="39">
    <mergeCell ref="C52:F52"/>
    <mergeCell ref="E5:F5"/>
    <mergeCell ref="B19:D19"/>
    <mergeCell ref="B20:D20"/>
    <mergeCell ref="C48:F48"/>
    <mergeCell ref="B15:D15"/>
    <mergeCell ref="B16:D16"/>
    <mergeCell ref="B17:D17"/>
    <mergeCell ref="B18:D18"/>
    <mergeCell ref="B5:C5"/>
    <mergeCell ref="B29:D29"/>
    <mergeCell ref="B30:D30"/>
    <mergeCell ref="B31:D31"/>
    <mergeCell ref="C38:F38"/>
    <mergeCell ref="B21:D21"/>
    <mergeCell ref="B22:D22"/>
    <mergeCell ref="B12:F12"/>
    <mergeCell ref="B2:F2"/>
    <mergeCell ref="C49:F49"/>
    <mergeCell ref="B34:D34"/>
    <mergeCell ref="B35:D35"/>
    <mergeCell ref="C42:F42"/>
    <mergeCell ref="C43:F43"/>
    <mergeCell ref="C50:F50"/>
    <mergeCell ref="C51:F51"/>
    <mergeCell ref="B25:D25"/>
    <mergeCell ref="B24:D24"/>
    <mergeCell ref="B28:D28"/>
    <mergeCell ref="C44:F44"/>
    <mergeCell ref="C45:F45"/>
    <mergeCell ref="C46:F46"/>
    <mergeCell ref="C47:F47"/>
    <mergeCell ref="B36:F36"/>
    <mergeCell ref="C39:F39"/>
    <mergeCell ref="C40:F40"/>
    <mergeCell ref="C41:F41"/>
    <mergeCell ref="B32:D32"/>
    <mergeCell ref="B26:D26"/>
    <mergeCell ref="B33:D33"/>
  </mergeCells>
  <printOptions horizont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Plan</vt:lpstr>
      <vt:lpstr>Rapor</vt:lpstr>
      <vt:lpstr>CurRate</vt:lpstr>
      <vt:lpstr>Plan!Yazdırma_Alanı</vt:lpstr>
      <vt:lpstr>Rapor!Yazdırma_Alanı</vt:lpstr>
    </vt:vector>
  </TitlesOfParts>
  <Company>THY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2023-06-03T18:43:01Z</cp:lastPrinted>
  <dcterms:created xsi:type="dcterms:W3CDTF">2019-09-20T15:43:33Z</dcterms:created>
  <dcterms:modified xsi:type="dcterms:W3CDTF">2023-06-04T05:36:20Z</dcterms:modified>
</cp:coreProperties>
</file>