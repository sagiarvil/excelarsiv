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D871F378-5219-4CCD-B5CF-445D5ABAC651}" ns3:coauthVersionLast="47" ns3:coauthVersionMax="47" ns4:uidLastSave="{00000000-0000-0000-0000-000000000000}"/>
  <ns0:bookViews>
    <ns0:workbookView xWindow="-108" yWindow="-108" windowWidth="23256" windowHeight="12456" ns5:uid="{00000000-000D-0000-FFFF-FFFF00000000}" activeTab="0"/>
  </ns0:bookViews>
  <ns0:sheets>
    <ns0:sheet name="Yapılacaklar_Listesi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[8]!tbl_ayar_EmlakTipi[Emlak Tipi]</ns0:definedName>
    <ns0:definedName name="Lst_Maliye_Kategorileri">OFFSET([2]Pvt_Listeler!$A$3,1,0,COUNTA([2]Pvt_Listeler!$A:$A)-1,1)</ns0:definedName>
    <ns0:definedName name="lst_Müşteriler">[8]!Tablo1[İsim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[8]!tbl_ayar_Satılık[Satılık/Kiralık]</ns0:definedName>
    <ns0:definedName name="Lst_Satış_Per">[4]!Tablo2[Ad Soyad]</ns0:definedName>
    <ns0:definedName name="Lst_Servis">[2]!Tbl_Sektör_Kategori[Servis]</ns0:definedName>
    <ns0:definedName name="Lst_TümHisseler">[5]!TÜM_HİSSELER_1[Menkul]</ns0:definedName>
    <ns0:definedName name="Lst_Ürün_Ailesi">[2]!Tbl_Ürün_Ailesi[Ürün Ailesi]</ns0:definedName>
    <ns0:definedName name="Lst_Ürünler">[1]!Tablo4[Ürün Adı]</ns0:definedName>
    <ns0:definedName name="Lst_Ürünlerim">[6]!Tablo2[Ürün Adı]</ns0:definedName>
    <ns0:definedName name="Lst_Yıl_Ay">[2]!Tablo8[Tarihler]</ns0:definedName>
    <ns0:definedName name="oran">[7]Ürün_Fiyat_Listesi!$E$3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2" i="1" l="1"/>
  <c r="B5" i="1" s="1"/>
  <c r="B13" i="1" l="1"/>
  <c r="B12" i="1"/>
  <c r="B9" i="1"/>
  <c r="B8" i="1"/>
  <c r="B11" i="1"/>
  <c r="B7" i="1"/>
  <c r="B14" i="1"/>
  <c r="B10" i="1"/>
  <c r="B6" i="1"/>
</calcChain>
</file>

<file path=xl/sharedStrings.xml><?xml version="1.0" encoding="utf-8"?>
<sst xmlns="http://schemas.openxmlformats.org/spreadsheetml/2006/main" count="24" uniqueCount="24">
  <si>
    <t>YAPILACAKLAR LİSTESİ</t>
  </si>
  <si>
    <t>✔</t>
  </si>
  <si>
    <t>Yapılacaklar</t>
  </si>
  <si>
    <t>Bitiş Tarihi</t>
  </si>
  <si>
    <t>Fatura Ödemeleri</t>
  </si>
  <si>
    <t>Personel Maaş Ödemeleri</t>
  </si>
  <si>
    <t>Tahsilatlerın Toplanması</t>
  </si>
  <si>
    <t>Stopaj Ödemesi</t>
  </si>
  <si>
    <t>KDV Ödemesi</t>
  </si>
  <si>
    <t>Firma 1 Ziyareti</t>
  </si>
  <si>
    <t>Taksitler</t>
  </si>
  <si>
    <t>Eşimin Doğum Günü 🕯</t>
  </si>
  <si>
    <t>Aylık Gider Raporunun Hazırlanması</t>
  </si>
  <si>
    <t>Ay Sonu Çizelgesi</t>
  </si>
  <si>
    <t>KONTROL</t>
  </si>
  <si>
    <t>Bugün-Tarih</t>
  </si>
  <si>
    <t>Bugün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</si>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</sst>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Product Sans"/>
      <family val="2"/>
      <charset val="162"/>
    </font>
    <font>
      <sz val="11"/>
      <color theme="0" tint="-4.9989318521683403E-2"/>
      <name val="Product Sans"/>
      <family val="2"/>
      <charset val="162"/>
    </font>
    <font>
      <b/>
      <sz val="11"/>
      <color theme="0" tint="-4.9989318521683403E-2"/>
      <name val="Product Sans"/>
      <family val="2"/>
      <charset val="162"/>
    </font>
    <font>
      <b/>
      <sz val="14"/>
      <color theme="9"/>
      <name val="Product Sans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ck">
        <color theme="8" tint="0.3999755851924192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/>
    <xf numFmtId="0" fontId="7" fillId="4" borderId="0" xfId="2" applyFont="1" applyFill="1" applyAlignment="1">
      <alignment horizontal="left" vertical="center" wrapText="1"/>
    </xf>
    <xf numFmtId="0" fontId="7" fillId="4" borderId="0" xfId="2" applyFont="1" applyFill="1" applyAlignment="1">
      <alignment horizontal="left" vertical="center"/>
    </xf>
    <xf numFmtId="0" fontId="8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9" fillId="3" borderId="4" xfId="2" applyFont="1" applyFill="1" applyBorder="1" applyAlignment="1">
      <alignment vertical="top"/>
    </xf>
    <xf numFmtId="0" fontId="1" fillId="3" borderId="4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0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0" borderId="0" xfId="2"/>
    <xf numFmtId="0" fontId="1" fillId="3" borderId="0" xfId="2" applyFill="1" applyAlignment="1">
      <alignment horizontal="left" vertical="center" wrapText="1"/>
    </xf>
    <xf numFmtId="0" fontId="8" fillId="4" borderId="3" xfId="2" applyFont="1" applyFill="1" applyBorder="1" applyAlignment="1">
      <alignment horizontal="left" vertical="center" wrapText="1" indent="1"/>
    </xf>
    <xf numFmtId="0" fontId="8" fillId="4" borderId="0" xfId="2" applyFont="1" applyFill="1" applyAlignment="1">
      <alignment horizontal="left" vertical="center" wrapText="1" indent="1"/>
    </xf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5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4">
    <cellStyle name="Köprü 2" xfId="3" xr:uid="{22B8393B-A50A-4D22-BEEA-400F61D8088D}"/>
    <cellStyle name="Normal" xfId="0" builtinId="0"/>
    <cellStyle name="Normal 2" xfId="1" xr:uid="{0B403D58-A039-45E6-9222-73D07CC4403A}"/>
    <cellStyle name="Normal 2 2" xfId="2" xr:uid="{843F4430-BF60-4452-80FD-66207C682891}"/>
  </cellStyles>
  <dxfs count="4">
    <dxf>
      <font>
        <strike/>
      </font>
      <fill>
        <patternFill>
          <bgColor theme="7" tint="0.39994506668294322"/>
        </patternFill>
      </fill>
    </dxf>
    <dxf>
      <fill>
        <patternFill>
          <bgColor rgb="FFFFCC00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CC00"/>
      <color rgb="FF33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trlProps/ctrlProp1.xml><?xml version="1.0" encoding="utf-8"?>
<formControlPr xmlns="http://schemas.microsoft.com/office/spreadsheetml/2009/9/main" objectType="CheckBox" fmlaLink="$A$5" lockText="1" noThreeD="1"/>
</file>

<file path=xl/ctrlProps/ctrlProp2.xml><?xml version="1.0" encoding="utf-8"?>
<formControlPr xmlns="http://schemas.microsoft.com/office/spreadsheetml/2009/9/main" objectType="CheckBox" fmlaLink="$A$6" lockText="1" noThreeD="1"/>
</file>

<file path=xl/ctrlProps/ctrlProp3.xml><?xml version="1.0" encoding="utf-8"?>
<formControlPr xmlns="http://schemas.microsoft.com/office/spreadsheetml/2009/9/main" objectType="CheckBox" fmlaLink="$A$7" lockText="1" noThreeD="1"/>
</file>

<file path=xl/ctrlProps/ctrlProp4.xml><?xml version="1.0" encoding="utf-8"?>
<formControlPr xmlns="http://schemas.microsoft.com/office/spreadsheetml/2009/9/main" objectType="CheckBox" fmlaLink="$A$8" lockText="1" noThreeD="1"/>
</file>

<file path=xl/ctrlProps/ctrlProp5.xml><?xml version="1.0" encoding="utf-8"?>
<formControlPr xmlns="http://schemas.microsoft.com/office/spreadsheetml/2009/9/main" objectType="CheckBox" fmlaLink="$A$9" lockText="1" noThreeD="1"/>
</file>

<file path=xl/ctrlProps/ctrlProp6.xml><?xml version="1.0" encoding="utf-8"?>
<formControlPr xmlns="http://schemas.microsoft.com/office/spreadsheetml/2009/9/main" objectType="CheckBox" fmlaLink="$A$10" lockText="1" noThreeD="1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CheckBox" fmlaLink="$A$12" lockText="1" noThreeD="1"/>
</file>

<file path=xl/ctrlProps/ctrlProp9.xml><?xml version="1.0" encoding="utf-8"?>
<formControlPr xmlns="http://schemas.microsoft.com/office/spreadsheetml/2009/9/main" objectType="CheckBox" fmlaLink="$A$13" lockText="1" noThreeD="1"/>
</file>

<file path=xl/ctrlProps/ctrlProp10.xml><?xml version="1.0" encoding="utf-8"?>
<formControlPr xmlns="http://schemas.microsoft.com/office/spreadsheetml/2009/9/main" objectType="CheckBox" fmlaLink="$A$14" lockText="1" noThreeD="1"/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4</xdr:row>
          <xdr:rowOff>76200</xdr:rowOff>
        </xdr:from>
        <xdr:to>
          <xdr:col>3</xdr:col>
          <xdr:colOff>304800</xdr:colOff>
          <xdr:row>4</xdr:row>
          <xdr:rowOff>297180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5</xdr:row>
          <xdr:rowOff>76200</xdr:rowOff>
        </xdr:from>
        <xdr:to>
          <xdr:col>3</xdr:col>
          <xdr:colOff>304800</xdr:colOff>
          <xdr:row>5</xdr:row>
          <xdr:rowOff>297180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76200</xdr:rowOff>
        </xdr:from>
        <xdr:to>
          <xdr:col>3</xdr:col>
          <xdr:colOff>304800</xdr:colOff>
          <xdr:row>6</xdr:row>
          <xdr:rowOff>297180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7</xdr:row>
          <xdr:rowOff>76200</xdr:rowOff>
        </xdr:from>
        <xdr:to>
          <xdr:col>3</xdr:col>
          <xdr:colOff>304800</xdr:colOff>
          <xdr:row>7</xdr:row>
          <xdr:rowOff>297180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8</xdr:row>
          <xdr:rowOff>76200</xdr:rowOff>
        </xdr:from>
        <xdr:to>
          <xdr:col>3</xdr:col>
          <xdr:colOff>304800</xdr:colOff>
          <xdr:row>8</xdr:row>
          <xdr:rowOff>297180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9</xdr:row>
          <xdr:rowOff>76200</xdr:rowOff>
        </xdr:from>
        <xdr:to>
          <xdr:col>3</xdr:col>
          <xdr:colOff>304800</xdr:colOff>
          <xdr:row>9</xdr:row>
          <xdr:rowOff>297180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10</xdr:row>
          <xdr:rowOff>76200</xdr:rowOff>
        </xdr:from>
        <xdr:to>
          <xdr:col>3</xdr:col>
          <xdr:colOff>304800</xdr:colOff>
          <xdr:row>10</xdr:row>
          <xdr:rowOff>297180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11</xdr:row>
          <xdr:rowOff>76200</xdr:rowOff>
        </xdr:from>
        <xdr:to>
          <xdr:col>3</xdr:col>
          <xdr:colOff>304800</xdr:colOff>
          <xdr:row>11</xdr:row>
          <xdr:rowOff>297180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12</xdr:row>
          <xdr:rowOff>76200</xdr:rowOff>
        </xdr:from>
        <xdr:to>
          <xdr:col>3</xdr:col>
          <xdr:colOff>304800</xdr:colOff>
          <xdr:row>12</xdr:row>
          <xdr:rowOff>297180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13</xdr:row>
          <xdr:rowOff>76200</xdr:rowOff>
        </xdr:from>
        <xdr:to>
          <xdr:col>3</xdr:col>
          <xdr:colOff>304800</xdr:colOff>
          <xdr:row>13</xdr:row>
          <xdr:rowOff>297180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279841</xdr:colOff>
      <xdr:row>3</xdr:row>
      <xdr:rowOff>0</xdr:rowOff>
    </xdr:from>
    <xdr:to>
      <xdr:col>10</xdr:col>
      <xdr:colOff>367863</xdr:colOff>
      <xdr:row>7</xdr:row>
      <xdr:rowOff>99849</xdr:rowOff>
    </xdr:to>
    <xdr:grpSp>
      <xdr:nvGrpSpPr>
        <xdr:cNvPr id="12" name="Gr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5534328" y="477078"/>
          <a:ext cx="1936700" cy="1537710"/>
          <a:chOff x="5964620" y="1202531"/>
          <a:chExt cx="2756708" cy="1083469"/>
        </a:xfrm>
      </xdr:grpSpPr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5964620" y="1225112"/>
            <a:ext cx="308110" cy="152965"/>
          </a:xfrm>
          <a:prstGeom prst="ellipse">
            <a:avLst/>
          </a:prstGeom>
          <a:solidFill>
            <a:srgbClr val="33CC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latin typeface="Product Sans" panose="020B0403030502040203" pitchFamily="34" charset="0"/>
            </a:endParaRPr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5964620" y="1505799"/>
            <a:ext cx="308110" cy="152965"/>
          </a:xfrm>
          <a:prstGeom prst="ellipse">
            <a:avLst/>
          </a:prstGeom>
          <a:solidFill>
            <a:srgbClr val="FFC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latin typeface="Product Sans" panose="020B0403030502040203" pitchFamily="34" charset="0"/>
            </a:endParaRPr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5964620" y="1790179"/>
            <a:ext cx="308110" cy="152965"/>
          </a:xfrm>
          <a:prstGeom prst="ellipse">
            <a:avLst/>
          </a:prstGeom>
          <a:solidFill>
            <a:srgbClr val="FF7C8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latin typeface="Product Sans" panose="020B0403030502040203" pitchFamily="34" charset="0"/>
            </a:endParaRPr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5964620" y="2070866"/>
            <a:ext cx="308110" cy="152965"/>
          </a:xfrm>
          <a:prstGeom prst="ellipse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>
              <a:latin typeface="Product Sans" panose="020B0403030502040203" pitchFamily="34" charset="0"/>
            </a:endParaRPr>
          </a:p>
        </xdr:txBody>
      </xdr:sp>
      <xdr:sp macro="" textlink="">
        <xdr:nvSpPr>
          <xdr:cNvPr id="17" name="Metin kutusu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6280546" y="1202531"/>
            <a:ext cx="1708547" cy="2202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900">
                <a:latin typeface="Product Sans" panose="020B0403030502040203" pitchFamily="34" charset="0"/>
              </a:rPr>
              <a:t>7 günden fazla vakit var</a:t>
            </a:r>
          </a:p>
        </xdr:txBody>
      </xdr:sp>
      <xdr:sp macro="" textlink="">
        <xdr:nvSpPr>
          <xdr:cNvPr id="18" name="Metin kutusu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6280546" y="1488281"/>
            <a:ext cx="2440782" cy="2202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900">
                <a:latin typeface="Product Sans" panose="020B0403030502040203" pitchFamily="34" charset="0"/>
              </a:rPr>
              <a:t>0 - 7 günde</a:t>
            </a:r>
            <a:r>
              <a:rPr lang="tr-TR" sz="900" baseline="0">
                <a:latin typeface="Product Sans" panose="020B0403030502040203" pitchFamily="34" charset="0"/>
              </a:rPr>
              <a:t> tamamlanması gerekir</a:t>
            </a:r>
            <a:endParaRPr lang="tr-TR" sz="900">
              <a:latin typeface="Product Sans" panose="020B0403030502040203" pitchFamily="34" charset="0"/>
            </a:endParaRPr>
          </a:p>
        </xdr:txBody>
      </xdr:sp>
      <xdr:sp macro="" textlink="">
        <xdr:nvSpPr>
          <xdr:cNvPr id="19" name="Metin kutusu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6280546" y="1774031"/>
            <a:ext cx="2440782" cy="2202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900">
                <a:latin typeface="Product Sans" panose="020B0403030502040203" pitchFamily="34" charset="0"/>
              </a:rPr>
              <a:t>Gecikmi</a:t>
            </a:r>
            <a:r>
              <a:rPr lang="tr-TR" sz="900" baseline="0">
                <a:latin typeface="Product Sans" panose="020B0403030502040203" pitchFamily="34" charset="0"/>
              </a:rPr>
              <a:t>ş</a:t>
            </a:r>
            <a:endParaRPr lang="tr-TR" sz="900">
              <a:latin typeface="Product Sans" panose="020B0403030502040203" pitchFamily="34" charset="0"/>
            </a:endParaRPr>
          </a:p>
        </xdr:txBody>
      </xdr:sp>
      <xdr:sp macro="" textlink="">
        <xdr:nvSpPr>
          <xdr:cNvPr id="20" name="Metin kutusu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6280546" y="2065734"/>
            <a:ext cx="2440782" cy="2202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900">
                <a:latin typeface="Product Sans" panose="020B0403030502040203" pitchFamily="34" charset="0"/>
              </a:rPr>
              <a:t>Tamamlandı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Slidefind - Color Shades 02">
      <a:dk1>
        <a:srgbClr val="172144"/>
      </a:dk1>
      <a:lt1>
        <a:srgbClr val="FFFFFF"/>
      </a:lt1>
      <a:dk2>
        <a:srgbClr val="35837E"/>
      </a:dk2>
      <a:lt2>
        <a:srgbClr val="327880"/>
      </a:lt2>
      <a:accent1>
        <a:srgbClr val="4CC776"/>
      </a:accent1>
      <a:accent2>
        <a:srgbClr val="48BB77"/>
      </a:accent2>
      <a:accent3>
        <a:srgbClr val="44B078"/>
      </a:accent3>
      <a:accent4>
        <a:srgbClr val="40A57A"/>
      </a:accent4>
      <a:accent5>
        <a:srgbClr val="3D997B"/>
      </a:accent5>
      <a:accent6>
        <a:srgbClr val="398E7D"/>
      </a:accent6>
      <a:hlink>
        <a:srgbClr val="2F8299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F14"/>
  <sheetViews>
    <sheetView showGridLines="0" topLeftCell="C1" zoomScale="115" zoomScaleNormal="115" workbookViewId="0">
      <selection activeCell="F11" sqref="F11"/>
    </sheetView>
  </sheetViews>
  <sheetFormatPr defaultColWidth="9" defaultRowHeight="15" x14ac:dyDescent="0.35"/>
  <cols>
    <col min="1" max="2" width="9" style="1" hidden="1" customWidth="1"/>
    <col min="3" max="3" width="1.88671875" style="1" customWidth="1"/>
    <col min="4" max="4" width="5.44140625" style="1" customWidth="1"/>
    <col min="5" max="5" width="44.88671875" style="1" customWidth="1"/>
    <col min="6" max="6" width="15.33203125" style="1" customWidth="1"/>
    <col min="7" max="16384" width="9" style="1"/>
  </cols>
  <sheetData>
    <row r="1" spans="1:6" ht="9.75" customHeight="1" x14ac:dyDescent="0.35">
      <c r="A1" s="7"/>
      <c r="B1" s="7"/>
    </row>
    <row r="2" spans="1:6" ht="18.75" customHeight="1" x14ac:dyDescent="0.35">
      <c r="A2" s="7" t="s">
        <v>16</v>
      </c>
      <c r="B2" s="9">
        <f ca="1">TODAY()</f>
        <v>45036</v>
      </c>
      <c r="D2" s="30" t="s">
        <v>0</v>
      </c>
      <c r="E2" s="31"/>
      <c r="F2" s="31"/>
    </row>
    <row r="3" spans="1:6" ht="9.75" customHeight="1" x14ac:dyDescent="0.35">
      <c r="A3" s="7"/>
      <c r="B3" s="7"/>
    </row>
    <row r="4" spans="1:6" ht="22.5" customHeight="1" x14ac:dyDescent="0.35">
      <c r="A4" s="7" t="s">
        <v>14</v>
      </c>
      <c r="B4" s="7" t="s">
        <v>15</v>
      </c>
      <c r="D4" s="2" t="s">
        <v>1</v>
      </c>
      <c r="E4" s="3" t="s">
        <v>2</v>
      </c>
      <c r="F4" s="3" t="s">
        <v>3</v>
      </c>
    </row>
    <row r="5" spans="1:6" ht="30" customHeight="1" x14ac:dyDescent="0.35">
      <c r="A5" s="8" t="b">
        <v>0</v>
      </c>
      <c r="B5" s="8">
        <f ca="1">F5-$B$2</f>
        <v>-78</v>
      </c>
      <c r="D5" s="4"/>
      <c r="E5" s="5" t="s">
        <v>4</v>
      </c>
      <c r="F5" s="6">
        <v>44958</v>
      </c>
    </row>
    <row r="6" spans="1:6" ht="30" customHeight="1" x14ac:dyDescent="0.35">
      <c r="A6" s="8" t="b">
        <v>0</v>
      </c>
      <c r="B6" s="8">
        <f t="shared" ref="B6:B14" ca="1" si="0">F6-$B$2</f>
        <v>-69</v>
      </c>
      <c r="D6" s="4"/>
      <c r="E6" s="5" t="s">
        <v>5</v>
      </c>
      <c r="F6" s="6">
        <v>44967</v>
      </c>
    </row>
    <row r="7" spans="1:6" ht="30" customHeight="1" x14ac:dyDescent="0.35">
      <c r="A7" s="8" t="b">
        <v>0</v>
      </c>
      <c r="B7" s="8">
        <f t="shared" ca="1" si="0"/>
        <v>-67</v>
      </c>
      <c r="D7" s="4"/>
      <c r="E7" s="5" t="s">
        <v>6</v>
      </c>
      <c r="F7" s="6">
        <v>44969</v>
      </c>
    </row>
    <row r="8" spans="1:6" ht="30" customHeight="1" x14ac:dyDescent="0.35">
      <c r="A8" s="8" t="b">
        <v>0</v>
      </c>
      <c r="B8" s="8">
        <f t="shared" ca="1" si="0"/>
        <v>-63</v>
      </c>
      <c r="D8" s="4"/>
      <c r="E8" s="5" t="s">
        <v>7</v>
      </c>
      <c r="F8" s="6">
        <v>44973</v>
      </c>
    </row>
    <row r="9" spans="1:6" ht="30" customHeight="1" x14ac:dyDescent="0.35">
      <c r="A9" s="8" t="b">
        <v>0</v>
      </c>
      <c r="B9" s="8">
        <f t="shared" ca="1" si="0"/>
        <v>-63</v>
      </c>
      <c r="D9" s="4"/>
      <c r="E9" s="5" t="s">
        <v>8</v>
      </c>
      <c r="F9" s="6">
        <v>44973</v>
      </c>
    </row>
    <row r="10" spans="1:6" ht="30" customHeight="1" x14ac:dyDescent="0.35">
      <c r="A10" s="8" t="b">
        <v>0</v>
      </c>
      <c r="B10" s="8">
        <f t="shared" ca="1" si="0"/>
        <v>-61</v>
      </c>
      <c r="D10" s="4"/>
      <c r="E10" s="5" t="s">
        <v>9</v>
      </c>
      <c r="F10" s="6">
        <v>44975</v>
      </c>
    </row>
    <row r="11" spans="1:6" ht="30" customHeight="1" x14ac:dyDescent="0.35">
      <c r="A11" s="8" t="b">
        <v>0</v>
      </c>
      <c r="B11" s="8">
        <f t="shared" ca="1" si="0"/>
        <v>-57</v>
      </c>
      <c r="D11" s="4"/>
      <c r="E11" s="5" t="s">
        <v>10</v>
      </c>
      <c r="F11" s="6">
        <v>44979</v>
      </c>
    </row>
    <row r="12" spans="1:6" ht="30" customHeight="1" x14ac:dyDescent="0.35">
      <c r="A12" s="8" t="b">
        <v>0</v>
      </c>
      <c r="B12" s="8">
        <f t="shared" ca="1" si="0"/>
        <v>-58</v>
      </c>
      <c r="D12" s="4"/>
      <c r="E12" s="5" t="s">
        <v>11</v>
      </c>
      <c r="F12" s="6">
        <v>44978</v>
      </c>
    </row>
    <row r="13" spans="1:6" ht="30" customHeight="1" x14ac:dyDescent="0.35">
      <c r="A13" s="8" t="b">
        <v>0</v>
      </c>
      <c r="B13" s="8">
        <f t="shared" ca="1" si="0"/>
        <v>-52</v>
      </c>
      <c r="D13" s="4"/>
      <c r="E13" s="5" t="s">
        <v>12</v>
      </c>
      <c r="F13" s="6">
        <v>44984</v>
      </c>
    </row>
    <row r="14" spans="1:6" ht="30" customHeight="1" x14ac:dyDescent="0.35">
      <c r="A14" s="8" t="b">
        <v>0</v>
      </c>
      <c r="B14" s="8">
        <f t="shared" ca="1" si="0"/>
        <v>-51</v>
      </c>
      <c r="D14" s="4"/>
      <c r="E14" s="5" t="s">
        <v>13</v>
      </c>
      <c r="F14" s="6">
        <v>44985</v>
      </c>
    </row>
  </sheetData>
  <mergeCells count="1">
    <mergeCell ref="D2:F2"/>
  </mergeCells>
  <conditionalFormatting sqref="D5:F14">
    <cfRule type="expression" dxfId="3" priority="4">
      <formula>$B5&lt;0</formula>
    </cfRule>
    <cfRule type="expression" dxfId="2" priority="3">
      <formula>$B5&gt;7</formula>
    </cfRule>
    <cfRule type="expression" dxfId="1" priority="2">
      <formula>AND($B5&lt;=7,$B5&gt;=0)</formula>
    </cfRule>
    <cfRule type="expression" dxfId="0" priority="1">
      <formula>$A5=TRUE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76200</xdr:colOff>
                    <xdr:row>4</xdr:row>
                    <xdr:rowOff>76200</xdr:rowOff>
                  </from>
                  <to>
                    <xdr:col>3</xdr:col>
                    <xdr:colOff>304800</xdr:colOff>
                    <xdr:row>4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76200</xdr:colOff>
                    <xdr:row>5</xdr:row>
                    <xdr:rowOff>76200</xdr:rowOff>
                  </from>
                  <to>
                    <xdr:col>3</xdr:col>
                    <xdr:colOff>304800</xdr:colOff>
                    <xdr:row>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76200</xdr:colOff>
                    <xdr:row>6</xdr:row>
                    <xdr:rowOff>76200</xdr:rowOff>
                  </from>
                  <to>
                    <xdr:col>3</xdr:col>
                    <xdr:colOff>304800</xdr:colOff>
                    <xdr:row>6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76200</xdr:colOff>
                    <xdr:row>7</xdr:row>
                    <xdr:rowOff>76200</xdr:rowOff>
                  </from>
                  <to>
                    <xdr:col>3</xdr:col>
                    <xdr:colOff>304800</xdr:colOff>
                    <xdr:row>7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76200</xdr:colOff>
                    <xdr:row>8</xdr:row>
                    <xdr:rowOff>76200</xdr:rowOff>
                  </from>
                  <to>
                    <xdr:col>3</xdr:col>
                    <xdr:colOff>304800</xdr:colOff>
                    <xdr:row>8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76200</xdr:colOff>
                    <xdr:row>9</xdr:row>
                    <xdr:rowOff>76200</xdr:rowOff>
                  </from>
                  <to>
                    <xdr:col>3</xdr:col>
                    <xdr:colOff>304800</xdr:colOff>
                    <xdr:row>9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76200</xdr:colOff>
                    <xdr:row>10</xdr:row>
                    <xdr:rowOff>76200</xdr:rowOff>
                  </from>
                  <to>
                    <xdr:col>3</xdr:col>
                    <xdr:colOff>304800</xdr:colOff>
                    <xdr:row>10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76200</xdr:colOff>
                    <xdr:row>11</xdr:row>
                    <xdr:rowOff>76200</xdr:rowOff>
                  </from>
                  <to>
                    <xdr:col>3</xdr:col>
                    <xdr:colOff>304800</xdr:colOff>
                    <xdr:row>11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76200</xdr:colOff>
                    <xdr:row>12</xdr:row>
                    <xdr:rowOff>76200</xdr:rowOff>
                  </from>
                  <to>
                    <xdr:col>3</xdr:col>
                    <xdr:colOff>304800</xdr:colOff>
                    <xdr:row>12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76200</xdr:colOff>
                    <xdr:row>13</xdr:row>
                    <xdr:rowOff>76200</xdr:rowOff>
                  </from>
                  <to>
                    <xdr:col>3</xdr:col>
                    <xdr:colOff>304800</xdr:colOff>
                    <xdr:row>13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Yapılacaklar_Listesi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2023-04-20T10:50:12Z</dcterms:modified>
</cp:coreProperties>
</file>