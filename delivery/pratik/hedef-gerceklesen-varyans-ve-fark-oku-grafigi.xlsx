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/>
  <ns2:revisionPtr revIDLastSave="0" documentId="13_ncr:1_{239E718E-A7DF-4054-9022-A8C7B5BC848A}" ns3:coauthVersionLast="47" ns3:coauthVersionMax="47" ns4:uidLastSave="{00000000-0000-0000-0000-000000000000}"/>
  <ns0:bookViews>
    <ns0:workbookView xWindow="-96" yWindow="0" windowWidth="11712" windowHeight="12336" ns5:uid="{8570CC0A-2704-4BBC-A2D1-5AE64CB3DCE6}" activeTab="0"/>
  </ns0:bookViews>
  <ns0:sheets>
    <ns0:sheet name="VaryansGrafik" sheetId="1" ns6:id="rId2"/>
  </ns0:sheets>
  <ns0:externalReferences>
    <ns0:externalReference ns6:id="rId3"/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</ns0:externalReferences>
  <ns0:definedNames>
    <ns0:definedName name="DolarKuru">[2]Ürünlerim!$G$2</ns0:definedName>
    <ns0:definedName name="EuroKuru">[2]Ürünlerim!$G$3</ns0:definedName>
    <ns0:definedName name="Lst_Banka_Kasa">[3]!Tbl_Banka_Kasa[Banka-Kasa]</ns0:definedName>
    <ns0:definedName name="Lst_Cariler">[2]!Tablo3[Cari Adı]</ns0:definedName>
    <ns0:definedName name="lst_EmlakTipi">[4]!tbl_ayar_EmlakTipi[Emlak Tipi]</ns0:definedName>
    <ns0:definedName name="Lst_Maliye_Kategorileri">OFFSET([3]Pvt_Listeler!$A$3,1,0,COUNTA([3]Pvt_Listeler!$A:$A)-1,1)</ns0:definedName>
    <ns0:definedName name="lst_Müşteriler">[4]!Tablo1[İsim Soyisim]</ns0:definedName>
    <ns0:definedName name="Lst_Nakit_Vadeli">[2]!Tablo13[Nakit / Vadeli Seçimi]</ns0:definedName>
    <ns0:definedName name="Lst_Ödeme_Yön">[3]!Tbl_Ödeme_Yön[Ödeme Yöntemi]</ns0:definedName>
    <ns0:definedName name="lst_Satılık_Kiralık">[4]!tbl_ayar_Satılık[Satılık/Kiralık]</ns0:definedName>
    <ns0:definedName name="Lst_Satış_Per">[6]!Tablo2[Ad Soyad]</ns0:definedName>
    <ns0:definedName name="Lst_Servis">[3]!Tbl_Sektör_Kategori[Servis]</ns0:definedName>
    <ns0:definedName name="Lst_TümHisseler">[7]!TÜM_HİSSELER_1[Menkul]</ns0:definedName>
    <ns0:definedName name="Lst_Ürün_Ailesi">[3]!Tbl_Ürün_Ailesi[Ürün Ailesi]</ns0:definedName>
    <ns0:definedName name="Lst_Ürünler">[2]!Tablo4[Ürün Adı]</ns0:definedName>
    <ns0:definedName name="Lst_Ürünlerim">[1]!Tablo2[Ürün Adı]</ns0:definedName>
    <ns0:definedName name="Lst_Yıl_Ay">[3]!Tablo8[Tarihler]</ns0:definedName>
    <ns0:definedName name="oran">[8]Ürün_Fiyat_Listesi!$E$3</ns0:definedName>
  </ns0:definedNames>
  <ns0:calcPr calcId="191029"/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4" i="1"/>
  <c r="Q5" i="1"/>
  <c r="Q6" i="1"/>
  <c r="Q7" i="1"/>
  <c r="Q8" i="1"/>
  <c r="Q9" i="1"/>
  <c r="Q10" i="1"/>
  <c r="Q11" i="1"/>
  <c r="Q12" i="1"/>
  <c r="Q13" i="1"/>
  <c r="Q14" i="1"/>
  <c r="Q15" i="1"/>
  <c r="Q4" i="1"/>
  <c r="O5" i="1"/>
  <c r="O6" i="1"/>
  <c r="O7" i="1"/>
  <c r="O8" i="1"/>
  <c r="O9" i="1"/>
  <c r="O10" i="1"/>
  <c r="O11" i="1"/>
  <c r="O12" i="1"/>
  <c r="O13" i="1"/>
  <c r="O14" i="1"/>
  <c r="O15" i="1"/>
  <c r="O4" i="1"/>
  <c r="N5" i="1"/>
  <c r="N6" i="1"/>
  <c r="N7" i="1"/>
  <c r="N8" i="1"/>
  <c r="N9" i="1"/>
  <c r="N10" i="1"/>
  <c r="N11" i="1"/>
  <c r="N12" i="1"/>
  <c r="N13" i="1"/>
  <c r="N14" i="1"/>
  <c r="N15" i="1"/>
  <c r="N4" i="1"/>
</calcChain>
</file>

<file path=xl/sharedStrings.xml><?xml version="1.0" encoding="utf-8"?>
<sst xmlns="http://schemas.openxmlformats.org/spreadsheetml/2006/main" count="25" uniqueCount="25">
  <si>
    <t>Aralık</t>
  </si>
  <si>
    <t>Kasım</t>
  </si>
  <si>
    <t>Ekim</t>
  </si>
  <si>
    <t>Eylül</t>
  </si>
  <si>
    <t>Ağustos</t>
  </si>
  <si>
    <t>Temmuz</t>
  </si>
  <si>
    <t>Haziran</t>
  </si>
  <si>
    <t>Mayıs</t>
  </si>
  <si>
    <t>Nisan</t>
  </si>
  <si>
    <t>Mart</t>
  </si>
  <si>
    <t>Şubat</t>
  </si>
  <si>
    <t>Ocak</t>
  </si>
  <si>
    <t>Aşağı Veri Etiketi</t>
  </si>
  <si>
    <t>Yukarı Veri Etiketi</t>
  </si>
  <si>
    <t>Aşağı Yönlü Hata Çubuğu</t>
  </si>
  <si>
    <t>Yukarı Yönlü Hata Çubuğu</t>
  </si>
  <si>
    <t>Aylar</t>
  </si>
  <si>
    <t>Fark (Varyans) Grafiği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</si>
  <si>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</si>
  <si>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</si>
  <si>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</si>
  <si>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</si>
  <si>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</si>
  <si>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charset val="162"/>
      </rPr>
      <t>Kullanıcı Kılavuzunu in</t>
    </r>
    <r>
      <rPr>
        <sz val="11"/>
        <color theme="1"/>
        <rFont val="Century Gothic"/>
        <family val="2"/>
        <charset val="162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</si>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</sst>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₺&quot;#,##0;[Red]\-&quot;₺&quot;#,##0"/>
    <numFmt numFmtId="164" formatCode="\-0%;\(0%\)"/>
  </numFmts>
  <fonts count="12" x14ac:knownFonts="1">
    <font>
      <sz val="11"/>
      <color theme="1"/>
      <name val="Century Gothic"/>
      <family val="2"/>
      <charset val="162"/>
    </font>
    <font>
      <sz val="11"/>
      <color theme="1"/>
      <name val="Calibri"/>
      <family val="2"/>
      <charset val="162"/>
      <scheme val="minor"/>
    </font>
    <font>
      <sz val="11"/>
      <color theme="6"/>
      <name val="Century Gothic"/>
      <family val="2"/>
      <charset val="162"/>
    </font>
    <font>
      <b/>
      <sz val="18"/>
      <color theme="7"/>
      <name val="Century Gothic"/>
      <family val="2"/>
      <charset val="162"/>
    </font>
    <font>
      <b/>
      <sz val="12"/>
      <color theme="0"/>
      <name val="Arial"/>
      <family val="2"/>
      <charset val="204"/>
    </font>
    <font>
      <sz val="12"/>
      <color theme="8" tint="-0.249977111117893"/>
      <name val="Arial"/>
      <family val="2"/>
      <charset val="204"/>
    </font>
    <font>
      <sz val="12"/>
      <color theme="1"/>
      <name val="Arial"/>
      <family val="2"/>
      <charset val="204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7" fillId="0" borderId="0"/>
    <xf numFmtId="0" fontId="1" fillId="0" borderId="0"/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6" fontId="5" fillId="0" borderId="1" xfId="0" applyNumberFormat="1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9" fontId="6" fillId="2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6" fillId="2" borderId="1" xfId="0" applyNumberFormat="1" applyFont="1" applyFill="1" applyBorder="1" applyAlignment="1">
      <alignment horizontal="left" vertical="center"/>
    </xf>
    <xf numFmtId="0" fontId="8" fillId="4" borderId="0" xfId="2" applyFont="1" applyFill="1" applyAlignment="1">
      <alignment horizontal="left" vertical="center" wrapText="1"/>
    </xf>
    <xf numFmtId="0" fontId="8" fillId="4" borderId="0" xfId="2" applyFont="1" applyFill="1" applyAlignment="1">
      <alignment horizontal="left" vertical="center"/>
    </xf>
    <xf numFmtId="0" fontId="9" fillId="4" borderId="2" xfId="2" applyFont="1" applyFill="1" applyBorder="1" applyAlignment="1">
      <alignment horizontal="left" vertical="center" wrapText="1" indent="1"/>
    </xf>
    <xf numFmtId="0" fontId="9" fillId="4" borderId="0" xfId="2" applyFont="1" applyFill="1" applyAlignment="1">
      <alignment horizontal="left" vertical="center" wrapText="1" indent="1"/>
    </xf>
    <xf numFmtId="0" fontId="9" fillId="4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2" borderId="0" xfId="2" applyFill="1" applyAlignment="1">
      <alignment horizontal="left" vertical="center"/>
    </xf>
    <xf numFmtId="0" fontId="1" fillId="2" borderId="0" xfId="2" applyFill="1" applyAlignment="1">
      <alignment horizontal="left" vertical="top"/>
    </xf>
    <xf numFmtId="0" fontId="10" fillId="2" borderId="3" xfId="2" applyFont="1" applyFill="1" applyBorder="1" applyAlignment="1">
      <alignment vertical="top"/>
    </xf>
    <xf numFmtId="0" fontId="1" fillId="2" borderId="3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11" fillId="2" borderId="0" xfId="3" applyFill="1" applyAlignment="1">
      <alignment horizontal="left" vertical="center"/>
    </xf>
    <xf numFmtId="0" fontId="1" fillId="2" borderId="0" xfId="2" applyFill="1" applyAlignment="1">
      <alignment vertical="center" wrapText="1"/>
    </xf>
    <xf numFmtId="0" fontId="1" fillId="2" borderId="0" xfId="2" applyFill="1" applyAlignment="1">
      <alignment vertical="top" wrapText="1"/>
    </xf>
    <xf numFmtId="0" fontId="1" fillId="2" borderId="0" xfId="2" applyFill="1"/>
    <xf numFmtId="0" fontId="1" fillId="2" borderId="0" xfId="2" applyFill="1" applyAlignment="1">
      <alignment horizontal="left" vertical="top" wrapText="1"/>
    </xf>
    <xf numFmtId="0" fontId="0" fillId="2" borderId="0" xfId="2" applyFont="1" applyFill="1" applyAlignment="1">
      <alignment horizontal="left" vertical="top" wrapText="1"/>
    </xf>
    <xf numFmtId="0" fontId="1" fillId="0" borderId="0" xfId="2"/>
    <xf numFmtId="0" fontId="1" fillId="2" borderId="0" xfId="2" applyFill="1" applyAlignment="1">
      <alignment horizontal="left" vertical="center" wrapText="1"/>
    </xf>
  </cellXfs>
  <cellStyles count="4">
    <cellStyle name="Köprü 2" xfId="3" xr:uid="{84A86BC5-6D4E-4971-AAEE-91FBFFF85FAD}"/>
    <cellStyle name="Normal" xfId="0" builtinId="0"/>
    <cellStyle name="Normal 2" xfId="1" xr:uid="{D066C0C6-968B-43E3-96B1-128447BD14EC}"/>
    <cellStyle name="Normal 2 2" xfId="2" xr:uid="{CF301437-CAAA-460F-9F58-DE4458F65C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6.xml" /><ns0:Relationship Id="rId13" Type="http://schemas.openxmlformats.org/officeDocument/2006/relationships/sharedStrings" Target="sharedStrings.xml" /><ns0:Relationship Id="rId3" Type="http://schemas.openxmlformats.org/officeDocument/2006/relationships/externalLink" Target="externalLinks/externalLink1.xml" /><ns0:Relationship Id="rId7" Type="http://schemas.openxmlformats.org/officeDocument/2006/relationships/externalLink" Target="externalLinks/externalLink5.xml" /><ns0:Relationship Id="rId12" Type="http://schemas.openxmlformats.org/officeDocument/2006/relationships/styles" Target="styles.xml" /><ns0:Relationship Id="rId2" Type="http://schemas.openxmlformats.org/officeDocument/2006/relationships/worksheet" Target="worksheets/sheet2.xml" /><ns0:Relationship Id="rId6" Type="http://schemas.openxmlformats.org/officeDocument/2006/relationships/externalLink" Target="externalLinks/externalLink4.xml" /><ns0:Relationship Id="rId11" Type="http://schemas.openxmlformats.org/officeDocument/2006/relationships/theme" Target="theme/theme1.xml" /><ns0:Relationship Id="rId5" Type="http://schemas.openxmlformats.org/officeDocument/2006/relationships/externalLink" Target="externalLinks/externalLink3.xml" /><ns0:Relationship Id="rId10" Type="http://schemas.openxmlformats.org/officeDocument/2006/relationships/externalLink" Target="externalLinks/externalLink8.xml" /><ns0:Relationship Id="rId4" Type="http://schemas.openxmlformats.org/officeDocument/2006/relationships/externalLink" Target="externalLinks/externalLink2.xml" /><ns0:Relationship Id="rId9" Type="http://schemas.openxmlformats.org/officeDocument/2006/relationships/externalLink" Target="externalLinks/externalLink7.xml" /><ns0:Relationship Id="rId14" Type="http://schemas.openxmlformats.org/officeDocument/2006/relationships/calcChain" Target="calcChain.xml" /></ns0: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accent5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5">
                    <a:lumMod val="75000"/>
                  </a:schemeClr>
                </a:solidFill>
              </a:rPr>
              <a:t>Ay Bazlı Yıllık Karşılaştırma Grafiği</a:t>
            </a:r>
            <a:endParaRPr lang="tr-TR" b="1">
              <a:solidFill>
                <a:schemeClr val="accent5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6246719160105E-2"/>
          <c:y val="0.11848129536571746"/>
          <c:w val="0.90183860492014767"/>
          <c:h val="0.670636933304937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VaryansGrafik!$L$3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8C24084-A890-45C7-B0DE-B9193F9A45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0C8-455E-A3CD-41BAFFFF8CC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8D8FBC6-DBFC-4DB7-9B2D-11983B04CA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0C8-455E-A3CD-41BAFFFF8CC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96F0B4C-6F60-4E62-AA9A-C497AFCB3E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0C8-455E-A3CD-41BAFFFF8CC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A70E8BE-D132-4B17-BD10-FD45F79996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0C8-455E-A3CD-41BAFFFF8CC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BD1512A-6AC0-4A94-84AC-6217647F8F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0C8-455E-A3CD-41BAFFFF8CC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65E7495-7768-406F-BB04-42026D91BA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0C8-455E-A3CD-41BAFFFF8CC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6F22D29-F2D9-4618-86FE-9B80AD5771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0C8-455E-A3CD-41BAFFFF8CC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DA0E097-C4E0-4B44-BFBA-2D518362F2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0C8-455E-A3CD-41BAFFFF8CC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6314BF2-3BA0-48F7-8876-11D51E82D1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0C8-455E-A3CD-41BAFFFF8CC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DDA643D-B8CE-4F23-87FF-1C7DF93C1D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0C8-455E-A3CD-41BAFFFF8CC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B6972C6-5EE7-4F83-A223-BF6E384EC8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0C8-455E-A3CD-41BAFFFF8CC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D4882E5-6051-4DE7-930D-84C86780E0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0C8-455E-A3CD-41BAFFFF8C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plus"/>
            <c:errValType val="cust"/>
            <c:noEndCap val="1"/>
            <c:plus>
              <c:numRef>
                <c:f>VaryansGrafik!$N$4:$N$15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134</c:v>
                  </c:pt>
                  <c:pt idx="2">
                    <c:v>393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58</c:v>
                  </c:pt>
                  <c:pt idx="8">
                    <c:v>0</c:v>
                  </c:pt>
                  <c:pt idx="9">
                    <c:v>47</c:v>
                  </c:pt>
                  <c:pt idx="10">
                    <c:v>230</c:v>
                  </c:pt>
                  <c:pt idx="11">
                    <c:v>181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9050" cap="flat" cmpd="sng" algn="ctr">
                <a:solidFill>
                  <a:srgbClr val="00B050"/>
                </a:solidFill>
                <a:round/>
                <a:tailEnd type="triangle"/>
              </a:ln>
              <a:effectLst/>
            </c:spPr>
          </c:errBars>
          <c:cat>
            <c:strRef>
              <c:f>VaryansGrafik!$K$4:$K$15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VaryansGrafik!$L$4:$L$15</c:f>
              <c:numCache>
                <c:formatCode>"₺"#,##0_);[Red]\("₺"#,##0\)</c:formatCode>
                <c:ptCount val="12"/>
                <c:pt idx="0">
                  <c:v>924</c:v>
                </c:pt>
                <c:pt idx="1">
                  <c:v>558</c:v>
                </c:pt>
                <c:pt idx="2">
                  <c:v>530</c:v>
                </c:pt>
                <c:pt idx="3">
                  <c:v>953</c:v>
                </c:pt>
                <c:pt idx="4">
                  <c:v>850</c:v>
                </c:pt>
                <c:pt idx="5">
                  <c:v>890</c:v>
                </c:pt>
                <c:pt idx="6">
                  <c:v>890</c:v>
                </c:pt>
                <c:pt idx="7">
                  <c:v>942</c:v>
                </c:pt>
                <c:pt idx="8">
                  <c:v>850</c:v>
                </c:pt>
                <c:pt idx="9">
                  <c:v>953</c:v>
                </c:pt>
                <c:pt idx="10">
                  <c:v>568</c:v>
                </c:pt>
                <c:pt idx="11">
                  <c:v>595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VaryansGrafik!$Q$4:$Q$15</c15:f>
                <c15:dlblRangeCache>
                  <c:ptCount val="12"/>
                  <c:pt idx="0">
                    <c:v>-19%</c:v>
                  </c:pt>
                  <c:pt idx="3">
                    <c:v>-6%</c:v>
                  </c:pt>
                  <c:pt idx="4">
                    <c:v>-12%</c:v>
                  </c:pt>
                  <c:pt idx="5">
                    <c:v>-37%</c:v>
                  </c:pt>
                  <c:pt idx="6">
                    <c:v>-22%</c:v>
                  </c:pt>
                  <c:pt idx="8">
                    <c:v>-21%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0C8-455E-A3CD-41BAFFFF8CCD}"/>
            </c:ext>
          </c:extLst>
        </c:ser>
        <c:ser>
          <c:idx val="1"/>
          <c:order val="1"/>
          <c:tx>
            <c:strRef>
              <c:f>VaryansGrafik!$M$3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185FB54-E1B4-4787-A331-A92F5BB81D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B0C8-455E-A3CD-41BAFFFF8CC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0042B0F-BBAD-4816-B634-376BA93968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0C8-455E-A3CD-41BAFFFF8CC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00705E9-4258-4333-923A-6DA68DC743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0C8-455E-A3CD-41BAFFFF8CC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09C8D1D-6532-476F-AECB-29FF0C2F36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0C8-455E-A3CD-41BAFFFF8CC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1437033-0573-4AF7-9E11-00D60EC644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0C8-455E-A3CD-41BAFFFF8CC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03B0DF5-D14E-4C7D-8310-F19F7D6A85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B0C8-455E-A3CD-41BAFFFF8CC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F736734-BF43-4FFD-A435-6064EE77F3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0C8-455E-A3CD-41BAFFFF8CC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B5F9703-0168-4BDF-AE8F-8189D0CE5D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0C8-455E-A3CD-41BAFFFF8CC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CF011B5-75E2-4352-962B-DA228A1ADE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0C8-455E-A3CD-41BAFFFF8CC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E732F52-FFCC-4DC5-8B34-62D6C596A1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0C8-455E-A3CD-41BAFFFF8CC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9EA17A1-A792-4651-9E94-D01D9CF7B1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0C8-455E-A3CD-41BAFFFF8CC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68FE253-625C-4BFA-9F4F-A956C6EE38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0C8-455E-A3CD-41BAFFFF8C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plus"/>
            <c:errValType val="cust"/>
            <c:noEndCap val="1"/>
            <c:plus>
              <c:numRef>
                <c:f>VaryansGrafik!$O$4:$O$15</c:f>
                <c:numCache>
                  <c:formatCode>General</c:formatCode>
                  <c:ptCount val="12"/>
                  <c:pt idx="0">
                    <c:v>174</c:v>
                  </c:pt>
                  <c:pt idx="1">
                    <c:v>0</c:v>
                  </c:pt>
                  <c:pt idx="2">
                    <c:v>0</c:v>
                  </c:pt>
                  <c:pt idx="3">
                    <c:v>57</c:v>
                  </c:pt>
                  <c:pt idx="4">
                    <c:v>104</c:v>
                  </c:pt>
                  <c:pt idx="5">
                    <c:v>327</c:v>
                  </c:pt>
                  <c:pt idx="6">
                    <c:v>197</c:v>
                  </c:pt>
                  <c:pt idx="7">
                    <c:v>0</c:v>
                  </c:pt>
                  <c:pt idx="8">
                    <c:v>177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9050" cap="flat" cmpd="sng" algn="ctr">
                <a:solidFill>
                  <a:schemeClr val="accent2"/>
                </a:solidFill>
                <a:round/>
                <a:headEnd type="triangle"/>
              </a:ln>
              <a:effectLst/>
            </c:spPr>
          </c:errBars>
          <c:cat>
            <c:strRef>
              <c:f>VaryansGrafik!$K$4:$K$15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VaryansGrafik!$M$4:$M$15</c:f>
              <c:numCache>
                <c:formatCode>"₺"#,##0_);[Red]\("₺"#,##0\)</c:formatCode>
                <c:ptCount val="12"/>
                <c:pt idx="0">
                  <c:v>750</c:v>
                </c:pt>
                <c:pt idx="1">
                  <c:v>692</c:v>
                </c:pt>
                <c:pt idx="2">
                  <c:v>923</c:v>
                </c:pt>
                <c:pt idx="3">
                  <c:v>896</c:v>
                </c:pt>
                <c:pt idx="4">
                  <c:v>746</c:v>
                </c:pt>
                <c:pt idx="5">
                  <c:v>563</c:v>
                </c:pt>
                <c:pt idx="6">
                  <c:v>693</c:v>
                </c:pt>
                <c:pt idx="7">
                  <c:v>1000</c:v>
                </c:pt>
                <c:pt idx="8">
                  <c:v>673</c:v>
                </c:pt>
                <c:pt idx="9">
                  <c:v>1000</c:v>
                </c:pt>
                <c:pt idx="10">
                  <c:v>798</c:v>
                </c:pt>
                <c:pt idx="11">
                  <c:v>776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VaryansGrafik!$P$4:$P$15</c15:f>
                <c15:dlblRangeCache>
                  <c:ptCount val="12"/>
                  <c:pt idx="1">
                    <c:v>24%</c:v>
                  </c:pt>
                  <c:pt idx="2">
                    <c:v>74%</c:v>
                  </c:pt>
                  <c:pt idx="7">
                    <c:v>6%</c:v>
                  </c:pt>
                  <c:pt idx="9">
                    <c:v>5%</c:v>
                  </c:pt>
                  <c:pt idx="10">
                    <c:v>40%</c:v>
                  </c:pt>
                  <c:pt idx="11">
                    <c:v>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B0C8-455E-A3CD-41BAFFFF8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overlap val="13"/>
        <c:axId val="1458009871"/>
        <c:axId val="1458010287"/>
      </c:barChart>
      <c:catAx>
        <c:axId val="145800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010287"/>
        <c:crosses val="autoZero"/>
        <c:auto val="1"/>
        <c:lblAlgn val="ctr"/>
        <c:lblOffset val="100"/>
        <c:noMultiLvlLbl val="0"/>
      </c:catAx>
      <c:valAx>
        <c:axId val="1458010287"/>
        <c:scaling>
          <c:orientation val="minMax"/>
        </c:scaling>
        <c:delete val="0"/>
        <c:axPos val="l"/>
        <c:numFmt formatCode="&quot;₺&quot;#,##0_);[Red]\(&quot;₺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009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147837982116638"/>
          <c:y val="0.92201233639764879"/>
          <c:w val="0.14801545318093215"/>
          <c:h val="5.152849158015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3.svg"/><Relationship Id="rId1" Type="http://schemas.openxmlformats.org/officeDocument/2006/relationships/image" Target="../media/image12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142874</xdr:rowOff>
    </xdr:from>
    <xdr:to>
      <xdr:col>0</xdr:col>
      <xdr:colOff>533400</xdr:colOff>
      <xdr:row>0</xdr:row>
      <xdr:rowOff>514349</xdr:rowOff>
    </xdr:to>
    <xdr:pic>
      <xdr:nvPicPr>
        <xdr:cNvPr id="4" name="Grafik 3" descr="Aktarma düz dolguyla">
          <a:extLst>
            <a:ext uri="{FF2B5EF4-FFF2-40B4-BE49-F238E27FC236}">
              <a16:creationId xmlns:a16="http://schemas.microsoft.com/office/drawing/2014/main" id="{515E91E8-3A98-45FA-AD46-CD0B93064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6200000">
          <a:off x="161925" y="142874"/>
          <a:ext cx="371475" cy="3714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28574</xdr:rowOff>
    </xdr:from>
    <xdr:to>
      <xdr:col>9</xdr:col>
      <xdr:colOff>0</xdr:colOff>
      <xdr:row>14</xdr:row>
      <xdr:rowOff>409574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539D0F81-7269-477F-9192-3BB575CCE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EXCEL%20751\\Free_Resources\-Stok_Program&#30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107C41"/>
      </a:accent1>
      <a:accent2>
        <a:srgbClr val="DD2F45"/>
      </a:accent2>
      <a:accent3>
        <a:srgbClr val="FFDF2B"/>
      </a:accent3>
      <a:accent4>
        <a:srgbClr val="F7F6F6"/>
      </a:accent4>
      <a:accent5>
        <a:srgbClr val="2B5A92"/>
      </a:accent5>
      <a:accent6>
        <a:srgbClr val="7B1EA4"/>
      </a:accent6>
      <a:hlink>
        <a:srgbClr val="EB8803"/>
      </a:hlink>
      <a:folHlink>
        <a:srgbClr val="5F77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91BB-2A48-4ACA-963B-E9DD756D6AD3}">
  <sheetPr codeName="Sayfa2">
    <tabColor theme="2" tint="-0.749992370372631"/>
  </sheetPr>
  <dimension ref="B1:Q15"/>
  <sheetViews>
    <sheetView showGridLines="0" zoomScale="80" zoomScaleNormal="80" workbookViewId="0">
      <selection activeCell="A10" sqref="A10"/>
    </sheetView>
  </sheetViews>
  <sheetFormatPr defaultRowHeight="13.8" x14ac:dyDescent="0.25"/>
  <cols>
    <col min="2" max="9" width="14.69921875" customWidth="1"/>
    <col min="10" max="10" width="5.3984375" customWidth="1"/>
    <col min="11" max="11" width="14.8984375" customWidth="1"/>
    <col min="12" max="13" width="15.09765625" customWidth="1"/>
    <col min="14" max="17" width="9.5" hidden="1" customWidth="1"/>
  </cols>
  <sheetData>
    <row r="1" spans="2:17" s="8" customFormat="1" ht="50.25" customHeight="1" x14ac:dyDescent="0.25">
      <c r="B1" s="7" t="s">
        <v>17</v>
      </c>
    </row>
    <row r="2" spans="2:17" ht="12" customHeight="1" x14ac:dyDescent="0.25"/>
    <row r="3" spans="2:17" ht="62.4" x14ac:dyDescent="0.25">
      <c r="K3" s="1" t="s">
        <v>16</v>
      </c>
      <c r="L3" s="1">
        <v>2020</v>
      </c>
      <c r="M3" s="1">
        <v>2021</v>
      </c>
      <c r="N3" s="1" t="s">
        <v>15</v>
      </c>
      <c r="O3" s="1" t="s">
        <v>14</v>
      </c>
      <c r="P3" s="1" t="s">
        <v>13</v>
      </c>
      <c r="Q3" s="1" t="s">
        <v>12</v>
      </c>
    </row>
    <row r="4" spans="2:17" s="2" customFormat="1" ht="32.25" customHeight="1" x14ac:dyDescent="0.25">
      <c r="K4" s="3" t="s">
        <v>11</v>
      </c>
      <c r="L4" s="4">
        <v>924</v>
      </c>
      <c r="M4" s="4">
        <v>750</v>
      </c>
      <c r="N4" s="5" t="str">
        <f>IF(M4&gt;L4,M4-L4,"")</f>
        <v/>
      </c>
      <c r="O4" s="5">
        <f>IF(M4&lt;L4,L4-M4,"")</f>
        <v>174</v>
      </c>
      <c r="P4" s="6" t="str">
        <f>IF(N4&lt;&gt;"",N4/L4,"")</f>
        <v/>
      </c>
      <c r="Q4" s="9">
        <f>IF(O4&lt;&gt;"",O4/L4,"")</f>
        <v>0.18831168831168832</v>
      </c>
    </row>
    <row r="5" spans="2:17" s="2" customFormat="1" ht="32.25" customHeight="1" x14ac:dyDescent="0.25">
      <c r="K5" s="3" t="s">
        <v>10</v>
      </c>
      <c r="L5" s="4">
        <v>558</v>
      </c>
      <c r="M5" s="4">
        <v>692</v>
      </c>
      <c r="N5" s="5">
        <f t="shared" ref="N5:N15" si="0">IF(M5&gt;L5,M5-L5,"")</f>
        <v>134</v>
      </c>
      <c r="O5" s="5" t="str">
        <f t="shared" ref="O5:O15" si="1">IF(M5&lt;L5,L5-M5,"")</f>
        <v/>
      </c>
      <c r="P5" s="6">
        <f t="shared" ref="P5:P15" si="2">IF(N5&lt;&gt;"",N5/L5,"")</f>
        <v>0.24014336917562723</v>
      </c>
      <c r="Q5" s="9" t="str">
        <f t="shared" ref="Q5:Q15" si="3">IF(O5&lt;&gt;"",O5/L5,"")</f>
        <v/>
      </c>
    </row>
    <row r="6" spans="2:17" s="2" customFormat="1" ht="32.25" customHeight="1" x14ac:dyDescent="0.25">
      <c r="K6" s="3" t="s">
        <v>9</v>
      </c>
      <c r="L6" s="4">
        <v>530</v>
      </c>
      <c r="M6" s="4">
        <v>923</v>
      </c>
      <c r="N6" s="5">
        <f t="shared" si="0"/>
        <v>393</v>
      </c>
      <c r="O6" s="5" t="str">
        <f t="shared" si="1"/>
        <v/>
      </c>
      <c r="P6" s="6">
        <f t="shared" si="2"/>
        <v>0.7415094339622641</v>
      </c>
      <c r="Q6" s="9" t="str">
        <f t="shared" si="3"/>
        <v/>
      </c>
    </row>
    <row r="7" spans="2:17" s="2" customFormat="1" ht="32.25" customHeight="1" x14ac:dyDescent="0.25">
      <c r="K7" s="3" t="s">
        <v>8</v>
      </c>
      <c r="L7" s="4">
        <v>953</v>
      </c>
      <c r="M7" s="4">
        <v>896</v>
      </c>
      <c r="N7" s="5" t="str">
        <f t="shared" si="0"/>
        <v/>
      </c>
      <c r="O7" s="5">
        <f t="shared" si="1"/>
        <v>57</v>
      </c>
      <c r="P7" s="6" t="str">
        <f t="shared" si="2"/>
        <v/>
      </c>
      <c r="Q7" s="9">
        <f t="shared" si="3"/>
        <v>5.9811122770199371E-2</v>
      </c>
    </row>
    <row r="8" spans="2:17" s="2" customFormat="1" ht="32.25" customHeight="1" x14ac:dyDescent="0.25">
      <c r="K8" s="3" t="s">
        <v>7</v>
      </c>
      <c r="L8" s="4">
        <v>850</v>
      </c>
      <c r="M8" s="4">
        <v>746</v>
      </c>
      <c r="N8" s="5" t="str">
        <f t="shared" si="0"/>
        <v/>
      </c>
      <c r="O8" s="5">
        <f t="shared" si="1"/>
        <v>104</v>
      </c>
      <c r="P8" s="6" t="str">
        <f t="shared" si="2"/>
        <v/>
      </c>
      <c r="Q8" s="9">
        <f t="shared" si="3"/>
        <v>0.12235294117647059</v>
      </c>
    </row>
    <row r="9" spans="2:17" s="2" customFormat="1" ht="32.25" customHeight="1" x14ac:dyDescent="0.25">
      <c r="K9" s="3" t="s">
        <v>6</v>
      </c>
      <c r="L9" s="4">
        <v>890</v>
      </c>
      <c r="M9" s="4">
        <v>563</v>
      </c>
      <c r="N9" s="5" t="str">
        <f t="shared" si="0"/>
        <v/>
      </c>
      <c r="O9" s="5">
        <f t="shared" si="1"/>
        <v>327</v>
      </c>
      <c r="P9" s="6" t="str">
        <f t="shared" si="2"/>
        <v/>
      </c>
      <c r="Q9" s="9">
        <f t="shared" si="3"/>
        <v>0.36741573033707864</v>
      </c>
    </row>
    <row r="10" spans="2:17" s="2" customFormat="1" ht="32.25" customHeight="1" x14ac:dyDescent="0.25">
      <c r="K10" s="3" t="s">
        <v>5</v>
      </c>
      <c r="L10" s="4">
        <v>890</v>
      </c>
      <c r="M10" s="4">
        <v>693</v>
      </c>
      <c r="N10" s="5" t="str">
        <f t="shared" si="0"/>
        <v/>
      </c>
      <c r="O10" s="5">
        <f t="shared" si="1"/>
        <v>197</v>
      </c>
      <c r="P10" s="6" t="str">
        <f t="shared" si="2"/>
        <v/>
      </c>
      <c r="Q10" s="9">
        <f t="shared" si="3"/>
        <v>0.22134831460674156</v>
      </c>
    </row>
    <row r="11" spans="2:17" s="2" customFormat="1" ht="32.25" customHeight="1" x14ac:dyDescent="0.25">
      <c r="K11" s="3" t="s">
        <v>4</v>
      </c>
      <c r="L11" s="4">
        <v>942</v>
      </c>
      <c r="M11" s="4">
        <v>1000</v>
      </c>
      <c r="N11" s="5">
        <f t="shared" si="0"/>
        <v>58</v>
      </c>
      <c r="O11" s="5" t="str">
        <f t="shared" si="1"/>
        <v/>
      </c>
      <c r="P11" s="6">
        <f t="shared" si="2"/>
        <v>6.1571125265392782E-2</v>
      </c>
      <c r="Q11" s="9" t="str">
        <f t="shared" si="3"/>
        <v/>
      </c>
    </row>
    <row r="12" spans="2:17" s="2" customFormat="1" ht="32.25" customHeight="1" x14ac:dyDescent="0.25">
      <c r="K12" s="3" t="s">
        <v>3</v>
      </c>
      <c r="L12" s="4">
        <v>850</v>
      </c>
      <c r="M12" s="4">
        <v>673</v>
      </c>
      <c r="N12" s="5" t="str">
        <f t="shared" si="0"/>
        <v/>
      </c>
      <c r="O12" s="5">
        <f t="shared" si="1"/>
        <v>177</v>
      </c>
      <c r="P12" s="6" t="str">
        <f t="shared" si="2"/>
        <v/>
      </c>
      <c r="Q12" s="9">
        <f t="shared" si="3"/>
        <v>0.20823529411764705</v>
      </c>
    </row>
    <row r="13" spans="2:17" s="2" customFormat="1" ht="32.25" customHeight="1" x14ac:dyDescent="0.25">
      <c r="K13" s="3" t="s">
        <v>2</v>
      </c>
      <c r="L13" s="4">
        <v>953</v>
      </c>
      <c r="M13" s="4">
        <v>1000</v>
      </c>
      <c r="N13" s="5">
        <f t="shared" si="0"/>
        <v>47</v>
      </c>
      <c r="O13" s="5" t="str">
        <f t="shared" si="1"/>
        <v/>
      </c>
      <c r="P13" s="6">
        <f t="shared" si="2"/>
        <v>4.9317943336831059E-2</v>
      </c>
      <c r="Q13" s="9" t="str">
        <f t="shared" si="3"/>
        <v/>
      </c>
    </row>
    <row r="14" spans="2:17" s="2" customFormat="1" ht="32.25" customHeight="1" x14ac:dyDescent="0.25">
      <c r="K14" s="3" t="s">
        <v>1</v>
      </c>
      <c r="L14" s="4">
        <v>568</v>
      </c>
      <c r="M14" s="4">
        <v>798</v>
      </c>
      <c r="N14" s="5">
        <f t="shared" si="0"/>
        <v>230</v>
      </c>
      <c r="O14" s="5" t="str">
        <f t="shared" si="1"/>
        <v/>
      </c>
      <c r="P14" s="6">
        <f t="shared" si="2"/>
        <v>0.40492957746478875</v>
      </c>
      <c r="Q14" s="9" t="str">
        <f t="shared" si="3"/>
        <v/>
      </c>
    </row>
    <row r="15" spans="2:17" s="2" customFormat="1" ht="32.25" customHeight="1" x14ac:dyDescent="0.25">
      <c r="K15" s="3" t="s">
        <v>0</v>
      </c>
      <c r="L15" s="4">
        <v>595</v>
      </c>
      <c r="M15" s="4">
        <v>776</v>
      </c>
      <c r="N15" s="5">
        <f t="shared" si="0"/>
        <v>181</v>
      </c>
      <c r="O15" s="5" t="str">
        <f t="shared" si="1"/>
        <v/>
      </c>
      <c r="P15" s="6">
        <f t="shared" si="2"/>
        <v>0.30420168067226888</v>
      </c>
      <c r="Q15" s="9" t="str">
        <f t="shared" si="3"/>
        <v/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2" baseType="lpstr">
      <vt:lpstr>VaryansGrafik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2021-12-11T11:42:51Z</dcterms:created>
  <dcterms:modified xsi:type="dcterms:W3CDTF">2023-04-20T10:02:08Z</dcterms:modified>
</cp:coreProperties>
</file>