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 defaultThemeVersion="166925"/>
  <ns2:revisionPtr revIDLastSave="0" documentId="13_ncr:1_{1437864C-5209-4444-9E79-1C01A51CAE3A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Giriş_Ekranı" sheetId="2" ns6:id="rId2"/>
    <ns0:sheet name="data" sheetId="4" state="hidden" ns6:id="rId3"/>
  </ns0:sheets>
  <ns0:externalReferences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E1" i="4" l="1"/>
  <c r="U10" i="4"/>
  <c r="T11" i="4"/>
  <c r="T7" i="4"/>
  <c r="S6" i="4"/>
  <c r="S10" i="4"/>
  <c r="S2" i="4"/>
  <c r="N2" i="4"/>
  <c r="N1" i="4"/>
  <c r="U2" i="4" l="1"/>
  <c r="T10" i="4" s="1"/>
  <c r="T12" i="4" s="1"/>
  <c r="U11" i="4"/>
  <c r="E2" i="4"/>
  <c r="I3" i="4" s="1"/>
  <c r="H6" i="4" s="1"/>
  <c r="S7" i="4" l="1"/>
  <c r="S12" i="4" s="1"/>
  <c r="U12" i="4" s="1"/>
  <c r="I6" i="4"/>
  <c r="I2" i="4"/>
</calcChain>
</file>

<file path=xl/sharedStrings.xml><?xml version="1.0" encoding="utf-8"?>
<sst xmlns="http://schemas.openxmlformats.org/spreadsheetml/2006/main" count="43" uniqueCount="40">
  <si>
    <t>Gebelik Oranı</t>
  </si>
  <si>
    <t>SGS</t>
  </si>
  <si>
    <t>Gebelik</t>
  </si>
  <si>
    <t>Müşteri Adı</t>
  </si>
  <si>
    <t>SGS Yukarı Yuvarla</t>
  </si>
  <si>
    <t>Gebelik Oranı Hazırlık</t>
  </si>
  <si>
    <t>Giriş</t>
  </si>
  <si>
    <t>Kalan</t>
  </si>
  <si>
    <t>X</t>
  </si>
  <si>
    <t>Y</t>
  </si>
  <si>
    <t>Gösterge</t>
  </si>
  <si>
    <t>Başlangıç</t>
  </si>
  <si>
    <t>1. Bölme Sonu</t>
  </si>
  <si>
    <t>2. Bölme Sonu</t>
  </si>
  <si>
    <t>3. Bölme Sonu</t>
  </si>
  <si>
    <t>4. Bölme Sonu</t>
  </si>
  <si>
    <t>İşaretçi</t>
  </si>
  <si>
    <t>Değer</t>
  </si>
  <si>
    <t>İşaretçi Kalınlığı</t>
  </si>
  <si>
    <t>Bitiş</t>
  </si>
  <si>
    <t>TOPLAM</t>
  </si>
  <si>
    <t>Otomamik / Manuel</t>
  </si>
  <si>
    <t>Çarpan</t>
  </si>
  <si>
    <t>İşaretçi - Graph</t>
  </si>
  <si>
    <t>İşaretçi-Hesaplama</t>
  </si>
  <si>
    <t>Grafik Başlığı :</t>
  </si>
  <si>
    <t>Çubuk</t>
  </si>
  <si>
    <t>Dummy</t>
  </si>
  <si>
    <t>Seri</t>
  </si>
  <si>
    <t>Üretim</t>
  </si>
  <si>
    <t>Verimlilik Göstergesi</t>
  </si>
  <si>
    <t>Personel</t>
  </si>
  <si>
    <t>Parametre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</si>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</sst>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1"/>
      <color theme="0"/>
      <name val="Century Gothic"/>
      <family val="2"/>
      <charset val="162"/>
    </font>
    <font>
      <b/>
      <sz val="11"/>
      <color theme="1"/>
      <name val="Century Gothic"/>
      <family val="2"/>
      <charset val="162"/>
    </font>
    <font>
      <sz val="11"/>
      <color theme="0"/>
      <name val="Century Gothic"/>
      <family val="2"/>
      <charset val="162"/>
    </font>
    <font>
      <sz val="8"/>
      <name val="Century Gothic"/>
      <family val="2"/>
      <charset val="162"/>
    </font>
    <font>
      <b/>
      <sz val="12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4"/>
      <name val="Calibri"/>
      <family val="2"/>
      <charset val="162"/>
      <scheme val="minor"/>
    </font>
    <font>
      <b/>
      <sz val="11"/>
      <color theme="1"/>
      <name val="Century Gothic"/>
      <family val="2"/>
    </font>
    <font>
      <b/>
      <sz val="11"/>
      <name val="Century Gothic"/>
      <family val="2"/>
      <charset val="162"/>
    </font>
    <font>
      <sz val="1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5" fillId="2" borderId="0" applyNumberFormat="0" applyBorder="0" applyAlignment="0" applyProtection="0"/>
    <xf numFmtId="0" fontId="2" fillId="0" borderId="0"/>
    <xf numFmtId="0" fontId="1" fillId="0" borderId="0"/>
    <xf numFmtId="0" fontId="16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9" fontId="0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/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2" borderId="1" xfId="2" applyFont="1" applyBorder="1" applyAlignment="1" applyProtection="1">
      <alignment horizontal="left" vertical="center" wrapText="1"/>
    </xf>
    <xf numFmtId="0" fontId="3" fillId="2" borderId="1" xfId="2" applyFont="1" applyBorder="1" applyAlignment="1" applyProtection="1">
      <alignment horizontal="center" vertical="center" wrapText="1"/>
    </xf>
    <xf numFmtId="0" fontId="11" fillId="0" borderId="0" xfId="2" applyFont="1" applyFill="1" applyBorder="1" applyAlignment="1" applyProtection="1">
      <alignment horizontal="left" vertical="center"/>
    </xf>
    <xf numFmtId="0" fontId="12" fillId="0" borderId="0" xfId="2" applyFont="1" applyFill="1" applyBorder="1" applyAlignment="1" applyProtection="1">
      <alignment vertical="center"/>
    </xf>
    <xf numFmtId="0" fontId="0" fillId="0" borderId="1" xfId="0" applyBorder="1" applyAlignment="1" applyProtection="1">
      <alignment horizontal="left" vertical="center" wrapText="1" indent="1"/>
      <protection locked="0"/>
    </xf>
    <xf numFmtId="0" fontId="3" fillId="2" borderId="1" xfId="2" applyFont="1" applyBorder="1" applyAlignment="1" applyProtection="1">
      <alignment horizontal="left" vertical="center" wrapText="1" indent="1"/>
    </xf>
    <xf numFmtId="0" fontId="7" fillId="4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4" borderId="0" xfId="4" applyFont="1" applyFill="1" applyAlignment="1">
      <alignment horizontal="left" vertical="center" wrapText="1"/>
    </xf>
    <xf numFmtId="0" fontId="13" fillId="4" borderId="0" xfId="4" applyFont="1" applyFill="1" applyAlignment="1">
      <alignment horizontal="left" vertical="center"/>
    </xf>
    <xf numFmtId="0" fontId="14" fillId="4" borderId="4" xfId="4" applyFont="1" applyFill="1" applyBorder="1" applyAlignment="1">
      <alignment horizontal="left" vertical="center" wrapText="1" indent="1"/>
    </xf>
    <xf numFmtId="0" fontId="14" fillId="4" borderId="0" xfId="4" applyFont="1" applyFill="1" applyAlignment="1">
      <alignment horizontal="left" vertical="center" wrapText="1" indent="1"/>
    </xf>
    <xf numFmtId="0" fontId="14" fillId="4" borderId="0" xfId="4" applyFont="1" applyFill="1" applyAlignment="1">
      <alignment horizontal="left" vertical="top" wrapText="1"/>
    </xf>
    <xf numFmtId="0" fontId="1" fillId="0" borderId="0" xfId="4" applyAlignment="1">
      <alignment horizontal="left" vertical="center" wrapText="1"/>
    </xf>
    <xf numFmtId="0" fontId="1" fillId="0" borderId="0" xfId="4" applyAlignment="1">
      <alignment horizontal="left" vertical="center"/>
    </xf>
    <xf numFmtId="0" fontId="1" fillId="3" borderId="0" xfId="4" applyFill="1" applyAlignment="1">
      <alignment horizontal="left" vertical="center"/>
    </xf>
    <xf numFmtId="0" fontId="1" fillId="3" borderId="0" xfId="4" applyFill="1" applyAlignment="1">
      <alignment horizontal="left" vertical="top"/>
    </xf>
    <xf numFmtId="0" fontId="15" fillId="3" borderId="5" xfId="4" applyFont="1" applyFill="1" applyBorder="1" applyAlignment="1">
      <alignment vertical="top"/>
    </xf>
    <xf numFmtId="0" fontId="1" fillId="3" borderId="5" xfId="4" applyFill="1" applyBorder="1" applyAlignment="1">
      <alignment vertical="top" wrapText="1"/>
    </xf>
    <xf numFmtId="0" fontId="1" fillId="0" borderId="0" xfId="4" applyAlignment="1">
      <alignment horizontal="left" vertical="top"/>
    </xf>
    <xf numFmtId="0" fontId="16" fillId="3" borderId="0" xfId="5" applyFill="1" applyAlignment="1">
      <alignment horizontal="left" vertical="center"/>
    </xf>
    <xf numFmtId="0" fontId="1" fillId="3" borderId="0" xfId="4" applyFill="1" applyAlignment="1">
      <alignment vertical="center" wrapText="1"/>
    </xf>
    <xf numFmtId="0" fontId="1" fillId="3" borderId="0" xfId="4" applyFill="1" applyAlignment="1">
      <alignment vertical="top" wrapText="1"/>
    </xf>
    <xf numFmtId="0" fontId="1" fillId="3" borderId="0" xfId="4" applyFill="1"/>
    <xf numFmtId="0" fontId="1" fillId="3" borderId="0" xfId="4" applyFill="1" applyAlignment="1">
      <alignment horizontal="left" vertical="top" wrapText="1"/>
    </xf>
    <xf numFmtId="0" fontId="0" fillId="3" borderId="0" xfId="4" applyFont="1" applyFill="1" applyAlignment="1">
      <alignment horizontal="left" vertical="top" wrapText="1"/>
    </xf>
    <xf numFmtId="0" fontId="1" fillId="0" borderId="0" xfId="4"/>
    <xf numFmtId="0" fontId="1" fillId="3" borderId="0" xfId="4" applyFill="1" applyAlignment="1">
      <alignment horizontal="left" vertical="center" wrapText="1"/>
    </xf>
  </cellXfs>
  <cellStyles count="6">
    <cellStyle name="Accent1" xfId="2" builtinId="29"/>
    <cellStyle name="Köprü 2" xfId="5" xr:uid="{D31E3F7D-7315-4FD8-959E-FC143BF8291B}"/>
    <cellStyle name="Normal" xfId="0" builtinId="0"/>
    <cellStyle name="Normal 2" xfId="3" xr:uid="{D785A8FB-0547-47C3-AEEB-EA889BDBE317}"/>
    <cellStyle name="Normal 2 2" xfId="4" xr:uid="{1CF2C4FC-71AB-4CCA-9F72-E417AE5777E8}"/>
    <cellStyle name="Percent" xfId="1" builtinId="5"/>
  </cellStyles>
  <dxfs count="0"/>
  <tableStyles count="0" defaultTableStyle="TableStyleMedium2" defaultPivotStyle="PivotStyleLight16"/>
  <colors>
    <mruColors>
      <color rgb="FF00FF00"/>
      <color rgb="FF00CC66"/>
      <color rgb="FFFF3300"/>
      <color rgb="FF5BFFAD"/>
      <color rgb="FFFF5050"/>
      <color rgb="FF3399FF"/>
      <color rgb="FFFF7C80"/>
      <color rgb="FF00CC99"/>
      <color rgb="FFC5FFE2"/>
      <color rgb="FFF04A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5.xml" /><ns0:Relationship Id="rId13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4.xml" /><ns0:Relationship Id="rId12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3.xml" /><ns0:Relationship Id="rId11" Type="http://schemas.openxmlformats.org/officeDocument/2006/relationships/externalLink" Target="externalLinks/externalLink8.xml" /><ns0:Relationship Id="rId5" Type="http://schemas.openxmlformats.org/officeDocument/2006/relationships/externalLink" Target="externalLinks/externalLink2.xml" /><ns0:Relationship Id="rId15" Type="http://schemas.openxmlformats.org/officeDocument/2006/relationships/calcChain" Target="calcChain.xml" /><ns0:Relationship Id="rId10" Type="http://schemas.openxmlformats.org/officeDocument/2006/relationships/externalLink" Target="externalLinks/externalLink7.xml" /><ns0:Relationship Id="rId4" Type="http://schemas.openxmlformats.org/officeDocument/2006/relationships/externalLink" Target="externalLinks/externalLink1.xml" /><ns0:Relationship Id="rId9" Type="http://schemas.openxmlformats.org/officeDocument/2006/relationships/externalLink" Target="externalLinks/externalLink6.xml" /><ns0:Relationship Id="rId14" Type="http://schemas.openxmlformats.org/officeDocument/2006/relationships/sharedStrings" Target="sharedStrings.xml" /></ns0: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46722169080764E-2"/>
          <c:y val="0.38004629629629633"/>
          <c:w val="0.87500291629951199"/>
          <c:h val="0.512554465679510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Giriş_Ekranı!$C$11</c:f>
              <c:strCache>
                <c:ptCount val="1"/>
                <c:pt idx="0">
                  <c:v>Değer</c:v>
                </c:pt>
              </c:strCache>
            </c:strRef>
          </c:tx>
          <c:spPr>
            <a:gradFill flip="none" rotWithShape="1">
              <a:gsLst>
                <a:gs pos="0">
                  <a:srgbClr val="FF3300"/>
                </a:gs>
                <a:gs pos="25000">
                  <a:schemeClr val="accent2"/>
                </a:gs>
                <a:gs pos="50000">
                  <a:srgbClr val="00FF00"/>
                </a:gs>
                <a:gs pos="100000">
                  <a:srgbClr val="FF3300"/>
                </a:gs>
                <a:gs pos="75000">
                  <a:schemeClr val="accent2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cat>
            <c:strRef>
              <c:f>Giriş_Ekranı!$B$12:$B$13</c:f>
              <c:strCache>
                <c:ptCount val="2"/>
                <c:pt idx="0">
                  <c:v>Dummy</c:v>
                </c:pt>
                <c:pt idx="1">
                  <c:v>Çubuk</c:v>
                </c:pt>
              </c:strCache>
            </c:strRef>
          </c:cat>
          <c:val>
            <c:numRef>
              <c:f>Giriş_Ekranı!$C$12:$C$13</c:f>
              <c:numCache>
                <c:formatCode>General</c:formatCode>
                <c:ptCount val="2"/>
                <c:pt idx="0">
                  <c:v>0</c:v>
                </c:pt>
                <c:pt idx="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5-498C-A9EA-EEC225A0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axId val="432280328"/>
        <c:axId val="640332080"/>
      </c:barChart>
      <c:scatterChart>
        <c:scatterStyle val="lineMarker"/>
        <c:varyColors val="0"/>
        <c:ser>
          <c:idx val="1"/>
          <c:order val="1"/>
          <c:tx>
            <c:strRef>
              <c:f>Giriş_Ekranı!$B$7:$B$8</c:f>
              <c:strCache>
                <c:ptCount val="2"/>
                <c:pt idx="0">
                  <c:v>Üretim</c:v>
                </c:pt>
                <c:pt idx="1">
                  <c:v>Personel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635-498C-A9EA-EEC225A0A420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E635-498C-A9EA-EEC225A0A420}"/>
              </c:ext>
            </c:extLst>
          </c:dPt>
          <c:dLbls>
            <c:dLbl>
              <c:idx val="0"/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635-498C-A9EA-EEC225A0A42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635-498C-A9EA-EEC225A0A4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Giriş_Ekranı!$C$7:$C$8</c:f>
              <c:numCache>
                <c:formatCode>General</c:formatCode>
                <c:ptCount val="2"/>
                <c:pt idx="0">
                  <c:v>250</c:v>
                </c:pt>
                <c:pt idx="1">
                  <c:v>150</c:v>
                </c:pt>
              </c:numCache>
            </c:numRef>
          </c:xVal>
          <c:yVal>
            <c:numRef>
              <c:f>Giriş_Ekranı!$D$7:$D$8</c:f>
              <c:numCache>
                <c:formatCode>General</c:formatCode>
                <c:ptCount val="2"/>
                <c:pt idx="0">
                  <c:v>200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635-498C-A9EA-EEC225A0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681520"/>
        <c:axId val="427683816"/>
      </c:scatterChart>
      <c:valAx>
        <c:axId val="427681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7683816"/>
        <c:crosses val="autoZero"/>
        <c:crossBetween val="midCat"/>
      </c:valAx>
      <c:valAx>
        <c:axId val="427683816"/>
        <c:scaling>
          <c:orientation val="minMax"/>
          <c:max val="200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427681520"/>
        <c:crosses val="autoZero"/>
        <c:crossBetween val="midCat"/>
        <c:majorUnit val="100"/>
      </c:valAx>
      <c:valAx>
        <c:axId val="640332080"/>
        <c:scaling>
          <c:orientation val="minMax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80328"/>
        <c:crosses val="max"/>
        <c:crossBetween val="between"/>
      </c:valAx>
      <c:catAx>
        <c:axId val="4322803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40332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514636</xdr:colOff>
      <xdr:row>2</xdr:row>
      <xdr:rowOff>102229</xdr:rowOff>
    </xdr:from>
    <xdr:to>
      <xdr:col>10</xdr:col>
      <xdr:colOff>425340</xdr:colOff>
      <xdr:row>14</xdr:row>
      <xdr:rowOff>157655</xdr:rowOff>
    </xdr:to>
    <xdr:grpSp>
      <xdr:nvGrpSpPr>
        <xdr:cNvPr id="8" name="Grup 7">
          <a:extLst>
            <a:ext uri="{FF2B5EF4-FFF2-40B4-BE49-F238E27FC236}">
              <a16:creationId xmlns:a16="http://schemas.microsoft.com/office/drawing/2014/main" id="{EAED99FD-1F8B-446F-9595-530B4F5A74D5}"/>
            </a:ext>
          </a:extLst>
        </xdr:cNvPr>
        <xdr:cNvGrpSpPr/>
      </xdr:nvGrpSpPr>
      <xdr:grpSpPr>
        <a:xfrm>
          <a:off x="3823893" y="450572"/>
          <a:ext cx="4025504" cy="2678883"/>
          <a:chOff x="3833812" y="773906"/>
          <a:chExt cx="4018360" cy="3059906"/>
        </a:xfrm>
      </xdr:grpSpPr>
      <xdr:sp macro="" textlink="">
        <xdr:nvSpPr>
          <xdr:cNvPr id="3" name="Dikdörtgen: Köşeleri Yuvarlatılmış 2">
            <a:extLst>
              <a:ext uri="{FF2B5EF4-FFF2-40B4-BE49-F238E27FC236}">
                <a16:creationId xmlns:a16="http://schemas.microsoft.com/office/drawing/2014/main" id="{A44959F0-0535-46A7-A596-D4899F96E5F7}"/>
              </a:ext>
            </a:extLst>
          </xdr:cNvPr>
          <xdr:cNvSpPr/>
        </xdr:nvSpPr>
        <xdr:spPr>
          <a:xfrm>
            <a:off x="3833812" y="773906"/>
            <a:ext cx="4018360" cy="3059906"/>
          </a:xfrm>
          <a:prstGeom prst="roundRect">
            <a:avLst>
              <a:gd name="adj" fmla="val 4994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254000" dist="50800" dir="5400000" sx="99000" sy="99000" algn="ctr" rotWithShape="0">
              <a:prstClr val="black">
                <a:alpha val="3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graphicFrame macro="">
        <xdr:nvGraphicFramePr>
          <xdr:cNvPr id="2" name="Grafik 1">
            <a:extLst>
              <a:ext uri="{FF2B5EF4-FFF2-40B4-BE49-F238E27FC236}">
                <a16:creationId xmlns:a16="http://schemas.microsoft.com/office/drawing/2014/main" id="{5339ADF0-F93F-41AF-90B9-C27D164ACF2B}"/>
              </a:ext>
            </a:extLst>
          </xdr:cNvPr>
          <xdr:cNvGraphicFramePr/>
        </xdr:nvGraphicFramePr>
        <xdr:xfrm>
          <a:off x="4691063" y="1589485"/>
          <a:ext cx="2393156" cy="12775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C$4">
        <xdr:nvSpPr>
          <xdr:cNvPr id="4" name="Metin kutusu 3">
            <a:extLst>
              <a:ext uri="{FF2B5EF4-FFF2-40B4-BE49-F238E27FC236}">
                <a16:creationId xmlns:a16="http://schemas.microsoft.com/office/drawing/2014/main" id="{2381514A-6EAC-4011-9347-F5A2613D1069}"/>
              </a:ext>
            </a:extLst>
          </xdr:cNvPr>
          <xdr:cNvSpPr txBox="1"/>
        </xdr:nvSpPr>
        <xdr:spPr>
          <a:xfrm>
            <a:off x="4506516" y="964406"/>
            <a:ext cx="2887266" cy="398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BE1D38B-5451-45E9-B1EA-2BD41AD31C4B}" type="TxLink">
              <a:rPr lang="en-US" sz="2000" b="1" i="0" u="none" strike="noStrike">
                <a:solidFill>
                  <a:schemeClr val="bg1">
                    <a:lumMod val="50000"/>
                  </a:schemeClr>
                </a:solidFill>
                <a:latin typeface="Century Gothic"/>
              </a:rPr>
              <a:pPr algn="ctr"/>
              <a:t>Verimlilik Göstergesi</a:t>
            </a:fld>
            <a:endParaRPr lang="tr-TR" sz="2000" b="1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5" name="İkizkenar Üçgen 4">
            <a:extLst>
              <a:ext uri="{FF2B5EF4-FFF2-40B4-BE49-F238E27FC236}">
                <a16:creationId xmlns:a16="http://schemas.microsoft.com/office/drawing/2014/main" id="{14598B69-81F7-4F7B-A33A-E9E13561EE1F}"/>
              </a:ext>
            </a:extLst>
          </xdr:cNvPr>
          <xdr:cNvSpPr/>
        </xdr:nvSpPr>
        <xdr:spPr>
          <a:xfrm rot="10800000">
            <a:off x="4685457" y="3324399"/>
            <a:ext cx="108000" cy="108000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" textlink="$B$7">
        <xdr:nvSpPr>
          <xdr:cNvPr id="6" name="Metin kutusu 5">
            <a:extLst>
              <a:ext uri="{FF2B5EF4-FFF2-40B4-BE49-F238E27FC236}">
                <a16:creationId xmlns:a16="http://schemas.microsoft.com/office/drawing/2014/main" id="{E81921DE-3127-4DB1-9A45-566B015FE729}"/>
              </a:ext>
            </a:extLst>
          </xdr:cNvPr>
          <xdr:cNvSpPr txBox="1"/>
        </xdr:nvSpPr>
        <xdr:spPr>
          <a:xfrm>
            <a:off x="4893468" y="3283149"/>
            <a:ext cx="797719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38B39939-89F0-4338-812E-5EA50798864B}" type="TxLink">
              <a:rPr lang="en-US" sz="1100" b="0" i="0" u="none" strike="noStrike">
                <a:solidFill>
                  <a:srgbClr val="000000"/>
                </a:solidFill>
                <a:latin typeface="Century Gothic"/>
              </a:rPr>
              <a:pPr algn="l"/>
              <a:t>Üretim</a:t>
            </a:fld>
            <a:endParaRPr lang="tr-TR" sz="1100"/>
          </a:p>
        </xdr:txBody>
      </xdr:sp>
      <xdr:sp macro="" textlink="">
        <xdr:nvSpPr>
          <xdr:cNvPr id="7" name="Ok: Köşeli Çift Ayraç 6">
            <a:extLst>
              <a:ext uri="{FF2B5EF4-FFF2-40B4-BE49-F238E27FC236}">
                <a16:creationId xmlns:a16="http://schemas.microsoft.com/office/drawing/2014/main" id="{ED94A30D-0240-4DE8-A356-299D22A8492D}"/>
              </a:ext>
            </a:extLst>
          </xdr:cNvPr>
          <xdr:cNvSpPr/>
        </xdr:nvSpPr>
        <xdr:spPr>
          <a:xfrm rot="16200000">
            <a:off x="6197204" y="3324400"/>
            <a:ext cx="108000" cy="108000"/>
          </a:xfrm>
          <a:prstGeom prst="chevr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>
              <a:solidFill>
                <a:schemeClr val="tx1"/>
              </a:solidFill>
            </a:endParaRPr>
          </a:p>
        </xdr:txBody>
      </xdr:sp>
      <xdr:sp macro="" textlink="$B$8">
        <xdr:nvSpPr>
          <xdr:cNvPr id="16" name="Metin kutusu 15">
            <a:extLst>
              <a:ext uri="{FF2B5EF4-FFF2-40B4-BE49-F238E27FC236}">
                <a16:creationId xmlns:a16="http://schemas.microsoft.com/office/drawing/2014/main" id="{393DC7AF-39DA-4328-B713-0F853BFCA30D}"/>
              </a:ext>
            </a:extLst>
          </xdr:cNvPr>
          <xdr:cNvSpPr txBox="1"/>
        </xdr:nvSpPr>
        <xdr:spPr>
          <a:xfrm>
            <a:off x="6465093" y="3283149"/>
            <a:ext cx="797719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AEFCC14D-1FAD-4582-806A-0658813ABE09}" type="TxLink">
              <a:rPr lang="en-US" sz="1100" b="0" i="0" u="none" strike="noStrike">
                <a:solidFill>
                  <a:schemeClr val="accent1">
                    <a:lumMod val="75000"/>
                  </a:schemeClr>
                </a:solidFill>
                <a:latin typeface="Century Gothic"/>
              </a:rPr>
              <a:pPr algn="l"/>
              <a:t>Personel</a:t>
            </a:fld>
            <a:endParaRPr lang="tr-TR" sz="1100">
              <a:solidFill>
                <a:schemeClr val="accent1">
                  <a:lumMod val="75000"/>
                </a:schemeClr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>
    <pageSetUpPr fitToPage="1"/>
  </sheetPr>
  <dimension ref="A4:I13"/>
  <sheetViews>
    <sheetView showGridLines="0" zoomScale="140" zoomScaleNormal="140" workbookViewId="0">
      <selection activeCell="E17" sqref="E17"/>
    </sheetView>
  </sheetViews>
  <sheetFormatPr defaultColWidth="9" defaultRowHeight="13.8" x14ac:dyDescent="0.25"/>
  <cols>
    <col min="1" max="1" width="5.5" customWidth="1"/>
    <col min="2" max="2" width="18.3984375" customWidth="1"/>
    <col min="3" max="3" width="19.5" customWidth="1"/>
    <col min="4" max="4" width="9" hidden="1" customWidth="1"/>
  </cols>
  <sheetData>
    <row r="4" spans="1:9" ht="28.5" customHeight="1" x14ac:dyDescent="0.25">
      <c r="B4" s="20" t="s">
        <v>25</v>
      </c>
      <c r="C4" s="21" t="s">
        <v>30</v>
      </c>
    </row>
    <row r="5" spans="1:9" ht="20.25" customHeight="1" x14ac:dyDescent="0.25"/>
    <row r="6" spans="1:9" ht="32.25" customHeight="1" x14ac:dyDescent="0.25">
      <c r="B6" s="23" t="s">
        <v>32</v>
      </c>
      <c r="C6" s="19" t="s">
        <v>6</v>
      </c>
      <c r="D6" s="19" t="s">
        <v>9</v>
      </c>
      <c r="E6" s="2"/>
      <c r="F6" s="2"/>
      <c r="G6" s="2"/>
      <c r="H6" s="2"/>
      <c r="I6" s="2"/>
    </row>
    <row r="7" spans="1:9" ht="36" customHeight="1" x14ac:dyDescent="0.25">
      <c r="A7" s="13"/>
      <c r="B7" s="22" t="s">
        <v>29</v>
      </c>
      <c r="C7" s="8">
        <v>250</v>
      </c>
      <c r="D7" s="3">
        <v>200</v>
      </c>
      <c r="E7" s="2"/>
      <c r="F7" s="2"/>
      <c r="G7" s="2"/>
      <c r="H7" s="2"/>
      <c r="I7" s="2"/>
    </row>
    <row r="8" spans="1:9" ht="36" customHeight="1" x14ac:dyDescent="0.25">
      <c r="A8" s="13"/>
      <c r="B8" s="22" t="s">
        <v>31</v>
      </c>
      <c r="C8" s="8">
        <v>150</v>
      </c>
      <c r="D8" s="3">
        <v>100</v>
      </c>
      <c r="E8" s="2"/>
      <c r="F8" s="2"/>
      <c r="G8" s="2"/>
      <c r="H8" s="2"/>
      <c r="I8" s="2"/>
    </row>
    <row r="9" spans="1:9" x14ac:dyDescent="0.25">
      <c r="C9" s="2"/>
      <c r="D9" s="2"/>
      <c r="E9" s="2"/>
      <c r="F9" s="2"/>
      <c r="G9" s="2"/>
      <c r="H9" s="2"/>
      <c r="I9" s="2"/>
    </row>
    <row r="11" spans="1:9" hidden="1" x14ac:dyDescent="0.25">
      <c r="B11" s="18" t="s">
        <v>28</v>
      </c>
      <c r="C11" s="19" t="s">
        <v>17</v>
      </c>
    </row>
    <row r="12" spans="1:9" hidden="1" x14ac:dyDescent="0.25">
      <c r="B12" s="17" t="s">
        <v>27</v>
      </c>
      <c r="C12" s="3">
        <v>0</v>
      </c>
    </row>
    <row r="13" spans="1:9" hidden="1" x14ac:dyDescent="0.25">
      <c r="B13" s="17" t="s">
        <v>26</v>
      </c>
      <c r="C13" s="3">
        <v>400</v>
      </c>
    </row>
  </sheetData>
  <phoneticPr fontId="6" type="noConversion"/>
  <dataValidations count="1">
    <dataValidation type="whole" allowBlank="1" showInputMessage="1" showErrorMessage="1" errorTitle="HATALI GİRİŞ" error="Mak = 0_x000a_Min = 400 _x000a__x000a_Aralığında değerler girilmelidir." sqref="C7:C8" xr:uid="{0D116EF2-9550-4B0E-83E2-C55296BAF037}">
      <formula1>#REF!</formula1>
      <formula2>G7</formula2>
    </dataValidation>
  </dataValidations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Header>&amp;RSayfa Adı: &amp;A</oddHeader>
    <oddFooter>&amp;L tarafından Hilmi Öztürk adına geliştirilmiştir.&amp;RSayfa: 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V42"/>
  <sheetViews>
    <sheetView showGridLines="0" zoomScale="130" zoomScaleNormal="130" workbookViewId="0">
      <selection activeCell="P16" sqref="P16"/>
    </sheetView>
  </sheetViews>
  <sheetFormatPr defaultRowHeight="13.8" x14ac:dyDescent="0.25"/>
  <cols>
    <col min="1" max="1" width="9" style="1"/>
    <col min="2" max="2" width="8" style="1" bestFit="1" customWidth="1"/>
    <col min="4" max="4" width="28.5" bestFit="1" customWidth="1"/>
    <col min="8" max="9" width="10.8984375" customWidth="1"/>
    <col min="13" max="13" width="11.8984375" customWidth="1"/>
    <col min="18" max="18" width="14.3984375" customWidth="1"/>
    <col min="19" max="22" width="11.8984375" customWidth="1"/>
  </cols>
  <sheetData>
    <row r="1" spans="1:22" ht="40.5" customHeight="1" x14ac:dyDescent="0.25">
      <c r="A1" s="4" t="s">
        <v>1</v>
      </c>
      <c r="B1" s="4" t="s">
        <v>2</v>
      </c>
      <c r="D1" s="10" t="s">
        <v>4</v>
      </c>
      <c r="E1" s="3" t="e">
        <f>ROUNDUP(Giriş_Ekranı!#REF!,-1)</f>
        <v>#REF!</v>
      </c>
      <c r="H1" s="26" t="s">
        <v>5</v>
      </c>
      <c r="I1" s="26"/>
      <c r="M1" s="11" t="s">
        <v>3</v>
      </c>
      <c r="N1" t="e">
        <f>Giriş_Ekranı!#REF!&amp;" Raporu"</f>
        <v>#REF!</v>
      </c>
      <c r="R1" s="24" t="s">
        <v>10</v>
      </c>
      <c r="S1" s="24"/>
      <c r="T1" s="16" t="s">
        <v>24</v>
      </c>
      <c r="U1" s="2" t="s">
        <v>22</v>
      </c>
      <c r="V1" s="2"/>
    </row>
    <row r="2" spans="1:22" ht="25.5" customHeight="1" x14ac:dyDescent="0.25">
      <c r="A2" s="3">
        <v>0</v>
      </c>
      <c r="B2" s="5">
        <v>0</v>
      </c>
      <c r="D2" s="10" t="s">
        <v>0</v>
      </c>
      <c r="E2" s="9" t="e">
        <f>IF(E3=2,VLOOKUP(E1,A1:B42,2,0),Giriş_Ekranı!#REF!)</f>
        <v>#REF!</v>
      </c>
      <c r="H2" s="3" t="s">
        <v>7</v>
      </c>
      <c r="I2" s="12" t="e">
        <f>Giriş_Ekranı!#REF!-I3</f>
        <v>#REF!</v>
      </c>
      <c r="N2" t="e">
        <f>Giriş_Ekranı!#REF!&amp;": "&amp;TEXT(Giriş_Ekranı!#REF!,"gg.aa.yyyy")</f>
        <v>#REF!</v>
      </c>
      <c r="R2" s="6" t="s">
        <v>11</v>
      </c>
      <c r="S2" s="3" t="e">
        <f>Giriş_Ekranı!#REF!</f>
        <v>#REF!</v>
      </c>
      <c r="T2" s="3">
        <v>0</v>
      </c>
      <c r="U2" t="e">
        <f>100/(S6-S2)</f>
        <v>#REF!</v>
      </c>
    </row>
    <row r="3" spans="1:22" ht="25.5" customHeight="1" x14ac:dyDescent="0.25">
      <c r="A3" s="3">
        <v>10</v>
      </c>
      <c r="B3" s="5">
        <v>2.5000000000000001E-2</v>
      </c>
      <c r="D3" s="10" t="s">
        <v>21</v>
      </c>
      <c r="E3" s="3">
        <v>2</v>
      </c>
      <c r="H3" s="3" t="s">
        <v>6</v>
      </c>
      <c r="I3" s="12" t="e">
        <f>E2</f>
        <v>#REF!</v>
      </c>
      <c r="R3" s="6" t="s">
        <v>12</v>
      </c>
      <c r="S3" s="3">
        <v>0</v>
      </c>
      <c r="T3" s="3">
        <v>25</v>
      </c>
    </row>
    <row r="4" spans="1:22" ht="14.4" x14ac:dyDescent="0.25">
      <c r="A4" s="3">
        <v>20</v>
      </c>
      <c r="B4" s="5">
        <v>0.05</v>
      </c>
      <c r="H4" s="3" t="s">
        <v>8</v>
      </c>
      <c r="I4" s="3" t="s">
        <v>9</v>
      </c>
      <c r="R4" s="6" t="s">
        <v>13</v>
      </c>
      <c r="S4" s="3">
        <v>0</v>
      </c>
      <c r="T4" s="3">
        <v>25</v>
      </c>
    </row>
    <row r="5" spans="1:22" ht="14.4" x14ac:dyDescent="0.25">
      <c r="A5" s="3">
        <v>30</v>
      </c>
      <c r="B5" s="5">
        <v>7.4999999999999997E-2</v>
      </c>
      <c r="H5" s="3">
        <v>0</v>
      </c>
      <c r="I5" s="3">
        <v>1</v>
      </c>
      <c r="R5" s="6" t="s">
        <v>14</v>
      </c>
      <c r="S5" s="3">
        <v>0</v>
      </c>
      <c r="T5" s="3">
        <v>25</v>
      </c>
    </row>
    <row r="6" spans="1:22" ht="14.4" x14ac:dyDescent="0.25">
      <c r="A6" s="3">
        <v>40</v>
      </c>
      <c r="B6" s="5">
        <v>0.1</v>
      </c>
      <c r="H6" s="3" t="e">
        <f>SIN(I3*2*PI())</f>
        <v>#REF!</v>
      </c>
      <c r="I6" s="3" t="e">
        <f>COS(I3*2*PI())</f>
        <v>#REF!</v>
      </c>
      <c r="R6" s="6" t="s">
        <v>15</v>
      </c>
      <c r="S6" s="7" t="e">
        <f>Giriş_Ekranı!#REF!</f>
        <v>#REF!</v>
      </c>
      <c r="T6" s="3">
        <v>25</v>
      </c>
    </row>
    <row r="7" spans="1:22" ht="14.4" x14ac:dyDescent="0.25">
      <c r="A7" s="3">
        <v>50</v>
      </c>
      <c r="B7" s="5">
        <v>0.125</v>
      </c>
      <c r="R7" s="6" t="s">
        <v>20</v>
      </c>
      <c r="S7" s="7" t="e">
        <f>SUM(S2:S6)</f>
        <v>#REF!</v>
      </c>
      <c r="T7" s="3">
        <f>SUM(T2:T6)</f>
        <v>100</v>
      </c>
    </row>
    <row r="8" spans="1:22" x14ac:dyDescent="0.25">
      <c r="A8" s="3">
        <v>60</v>
      </c>
      <c r="B8" s="5">
        <v>0.15</v>
      </c>
    </row>
    <row r="9" spans="1:22" ht="40.5" customHeight="1" x14ac:dyDescent="0.25">
      <c r="A9" s="3">
        <v>70</v>
      </c>
      <c r="B9" s="5">
        <v>0.17499999999999999</v>
      </c>
      <c r="R9" s="25" t="s">
        <v>16</v>
      </c>
      <c r="S9" s="25"/>
      <c r="T9" s="16" t="s">
        <v>23</v>
      </c>
    </row>
    <row r="10" spans="1:22" ht="14.4" x14ac:dyDescent="0.25">
      <c r="A10" s="3">
        <v>80</v>
      </c>
      <c r="B10" s="5">
        <v>0.2</v>
      </c>
      <c r="R10" s="6" t="s">
        <v>17</v>
      </c>
      <c r="S10" s="3" t="e">
        <f>Giriş_Ekranı!#REF!</f>
        <v>#REF!</v>
      </c>
      <c r="T10" s="15" t="e">
        <f>(S10-S2)*U2</f>
        <v>#REF!</v>
      </c>
      <c r="U10">
        <f>S11</f>
        <v>2</v>
      </c>
    </row>
    <row r="11" spans="1:22" ht="14.4" x14ac:dyDescent="0.25">
      <c r="A11" s="3">
        <v>90</v>
      </c>
      <c r="B11" s="5">
        <v>0.22500000000000001</v>
      </c>
      <c r="R11" s="6" t="s">
        <v>18</v>
      </c>
      <c r="S11" s="3">
        <v>2</v>
      </c>
      <c r="T11" s="14">
        <f>S11</f>
        <v>2</v>
      </c>
      <c r="U11" t="e">
        <f>S10</f>
        <v>#REF!</v>
      </c>
    </row>
    <row r="12" spans="1:22" ht="14.4" x14ac:dyDescent="0.25">
      <c r="A12" s="3">
        <v>100</v>
      </c>
      <c r="B12" s="5">
        <v>0.25</v>
      </c>
      <c r="R12" s="6" t="s">
        <v>19</v>
      </c>
      <c r="S12" s="3" t="e">
        <f>(S7*2)-S10-S11</f>
        <v>#REF!</v>
      </c>
      <c r="T12" s="14" t="e">
        <f>(T7*2)-T10-T11</f>
        <v>#REF!</v>
      </c>
      <c r="U12" t="e">
        <f>S12</f>
        <v>#REF!</v>
      </c>
    </row>
    <row r="13" spans="1:22" x14ac:dyDescent="0.25">
      <c r="A13" s="3">
        <v>110</v>
      </c>
      <c r="B13" s="5">
        <v>0.27500000000000002</v>
      </c>
    </row>
    <row r="14" spans="1:22" x14ac:dyDescent="0.25">
      <c r="A14" s="3">
        <v>120</v>
      </c>
      <c r="B14" s="5">
        <v>0.3</v>
      </c>
    </row>
    <row r="15" spans="1:22" x14ac:dyDescent="0.25">
      <c r="A15" s="3">
        <v>130</v>
      </c>
      <c r="B15" s="5">
        <v>0.32500000000000001</v>
      </c>
    </row>
    <row r="16" spans="1:22" x14ac:dyDescent="0.25">
      <c r="A16" s="3">
        <v>140</v>
      </c>
      <c r="B16" s="5">
        <v>0.35</v>
      </c>
    </row>
    <row r="17" spans="1:2" x14ac:dyDescent="0.25">
      <c r="A17" s="3">
        <v>150</v>
      </c>
      <c r="B17" s="5">
        <v>0.375</v>
      </c>
    </row>
    <row r="18" spans="1:2" x14ac:dyDescent="0.25">
      <c r="A18" s="3">
        <v>160</v>
      </c>
      <c r="B18" s="5">
        <v>0.4</v>
      </c>
    </row>
    <row r="19" spans="1:2" x14ac:dyDescent="0.25">
      <c r="A19" s="3">
        <v>170</v>
      </c>
      <c r="B19" s="5">
        <v>0.42499999999999999</v>
      </c>
    </row>
    <row r="20" spans="1:2" x14ac:dyDescent="0.25">
      <c r="A20" s="3">
        <v>180</v>
      </c>
      <c r="B20" s="5">
        <v>0.45</v>
      </c>
    </row>
    <row r="21" spans="1:2" x14ac:dyDescent="0.25">
      <c r="A21" s="3">
        <v>190</v>
      </c>
      <c r="B21" s="5">
        <v>0.47499999999999998</v>
      </c>
    </row>
    <row r="22" spans="1:2" x14ac:dyDescent="0.25">
      <c r="A22" s="3">
        <v>200</v>
      </c>
      <c r="B22" s="5">
        <v>0.5</v>
      </c>
    </row>
    <row r="23" spans="1:2" x14ac:dyDescent="0.25">
      <c r="A23" s="3">
        <v>210</v>
      </c>
      <c r="B23" s="5">
        <v>0.52500000000000002</v>
      </c>
    </row>
    <row r="24" spans="1:2" x14ac:dyDescent="0.25">
      <c r="A24" s="3">
        <v>220</v>
      </c>
      <c r="B24" s="5">
        <v>0.55000000000000004</v>
      </c>
    </row>
    <row r="25" spans="1:2" x14ac:dyDescent="0.25">
      <c r="A25" s="3">
        <v>230</v>
      </c>
      <c r="B25" s="5">
        <v>0.57499999999999996</v>
      </c>
    </row>
    <row r="26" spans="1:2" x14ac:dyDescent="0.25">
      <c r="A26" s="3">
        <v>240</v>
      </c>
      <c r="B26" s="5">
        <v>0.6</v>
      </c>
    </row>
    <row r="27" spans="1:2" x14ac:dyDescent="0.25">
      <c r="A27" s="3">
        <v>250</v>
      </c>
      <c r="B27" s="5">
        <v>0.625</v>
      </c>
    </row>
    <row r="28" spans="1:2" x14ac:dyDescent="0.25">
      <c r="A28" s="3">
        <v>260</v>
      </c>
      <c r="B28" s="5">
        <v>0.65</v>
      </c>
    </row>
    <row r="29" spans="1:2" x14ac:dyDescent="0.25">
      <c r="A29" s="3">
        <v>270</v>
      </c>
      <c r="B29" s="5">
        <v>0.67500000000000004</v>
      </c>
    </row>
    <row r="30" spans="1:2" x14ac:dyDescent="0.25">
      <c r="A30" s="3">
        <v>280</v>
      </c>
      <c r="B30" s="5">
        <v>0.7</v>
      </c>
    </row>
    <row r="31" spans="1:2" x14ac:dyDescent="0.25">
      <c r="A31" s="3">
        <v>290</v>
      </c>
      <c r="B31" s="5">
        <v>0.72499999999999998</v>
      </c>
    </row>
    <row r="32" spans="1:2" x14ac:dyDescent="0.25">
      <c r="A32" s="3">
        <v>300</v>
      </c>
      <c r="B32" s="5">
        <v>0.75</v>
      </c>
    </row>
    <row r="33" spans="1:2" x14ac:dyDescent="0.25">
      <c r="A33" s="3">
        <v>310</v>
      </c>
      <c r="B33" s="5">
        <v>0.77500000000000002</v>
      </c>
    </row>
    <row r="34" spans="1:2" x14ac:dyDescent="0.25">
      <c r="A34" s="3">
        <v>320</v>
      </c>
      <c r="B34" s="5">
        <v>0.8</v>
      </c>
    </row>
    <row r="35" spans="1:2" x14ac:dyDescent="0.25">
      <c r="A35" s="3">
        <v>330</v>
      </c>
      <c r="B35" s="5">
        <v>0.82499999999999996</v>
      </c>
    </row>
    <row r="36" spans="1:2" x14ac:dyDescent="0.25">
      <c r="A36" s="3">
        <v>340</v>
      </c>
      <c r="B36" s="5">
        <v>0.85</v>
      </c>
    </row>
    <row r="37" spans="1:2" x14ac:dyDescent="0.25">
      <c r="A37" s="3">
        <v>350</v>
      </c>
      <c r="B37" s="5">
        <v>0.875</v>
      </c>
    </row>
    <row r="38" spans="1:2" x14ac:dyDescent="0.25">
      <c r="A38" s="3">
        <v>360</v>
      </c>
      <c r="B38" s="5">
        <v>0.9</v>
      </c>
    </row>
    <row r="39" spans="1:2" x14ac:dyDescent="0.25">
      <c r="A39" s="3">
        <v>370</v>
      </c>
      <c r="B39" s="5">
        <v>0.92500000000000004</v>
      </c>
    </row>
    <row r="40" spans="1:2" x14ac:dyDescent="0.25">
      <c r="A40" s="3">
        <v>380</v>
      </c>
      <c r="B40" s="5">
        <v>0.95</v>
      </c>
    </row>
    <row r="41" spans="1:2" x14ac:dyDescent="0.25">
      <c r="A41" s="3">
        <v>390</v>
      </c>
      <c r="B41" s="5">
        <v>0.97499999999999998</v>
      </c>
    </row>
    <row r="42" spans="1:2" x14ac:dyDescent="0.25">
      <c r="A42" s="3">
        <v>400</v>
      </c>
      <c r="B42" s="5">
        <v>1</v>
      </c>
    </row>
  </sheetData>
  <mergeCells count="3">
    <mergeCell ref="R1:S1"/>
    <mergeCell ref="R9:S9"/>
    <mergeCell ref="H1:I1"/>
  </mergeCells>
  <conditionalFormatting sqref="R1:T1 V1">
    <cfRule type="colorScale" priority="1">
      <colorScale>
        <cfvo type="min"/>
        <cfvo type="percentile" val="50"/>
        <cfvo type="max"/>
        <color rgb="FFF8696B"/>
        <color rgb="FF00FF00"/>
        <color rgb="FFFF5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3" baseType="lpstr">
      <vt:lpstr>Giriş_Ekranı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2021-02-28T07:44:11Z</cp:lastPrinted>
  <dcterms:created xsi:type="dcterms:W3CDTF">2021-02-22T17:01:19Z</dcterms:created>
  <dcterms:modified xsi:type="dcterms:W3CDTF">2023-04-20T09:59:31Z</dcterms:modified>
</cp:coreProperties>
</file>