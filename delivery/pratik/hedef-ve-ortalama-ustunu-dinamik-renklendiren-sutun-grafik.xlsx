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6" rupBuild="26227" codeName="{37A63EE7-654F-3FA9-A528-636911D70600}"/>
  <ns0:workbookPr filterPrivacy="1"/>
  <ns2:revisionPtr revIDLastSave="0" documentId="13_ncr:1_{F7A6D2AE-72AD-497D-9121-B8C752B3109C}" ns3:coauthVersionLast="47" ns3:coauthVersionMax="47" ns4:uidLastSave="{00000000-0000-0000-0000-000000000000}"/>
  <ns0:bookViews>
    <ns0:workbookView xWindow="-96" yWindow="0" windowWidth="11712" windowHeight="12336" ns5:uid="{00000000-000D-0000-FFFF-FFFF00000000}" activeTab="0"/>
  </ns0:bookViews>
  <ns0:sheets>
    <ns0:sheet name="Grafik" sheetId="1" ns6:id="rId2"/>
  </ns0:sheets>
  <ns0:externalReferences>
    <ns0:externalReference ns6:id="rId3"/>
    <ns0:externalReference ns6:id="rId4"/>
    <ns0:externalReference ns6:id="rId5"/>
    <ns0:externalReference ns6:id="rId6"/>
    <ns0:externalReference ns6:id="rId7"/>
    <ns0:externalReference ns6:id="rId8"/>
    <ns0:externalReference ns6:id="rId9"/>
    <ns0:externalReference ns6:id="rId10"/>
  </ns0:externalReferences>
  <ns0:definedNames>
    <ns0:definedName name="DolarKuru">[1]Ürünlerim!$G$2</ns0:definedName>
    <ns0:definedName name="EuroKuru">[1]Ürünlerim!$G$3</ns0:definedName>
    <ns0:definedName name="Lst_Banka_Kasa">[2]!Tbl_Banka_Kasa[Banka-Kasa]</ns0:definedName>
    <ns0:definedName name="Lst_Cariler">[1]!Tablo3[Cari Adı]</ns0:definedName>
    <ns0:definedName name="lst_EmlakTipi">[8]!tbl_ayar_EmlakTipi[Emlak Tipi]</ns0:definedName>
    <ns0:definedName name="Lst_Maliye_Kategorileri">OFFSET([2]Pvt_Listeler!$A$3,1,0,COUNTA([2]Pvt_Listeler!$A:$A)-1,1)</ns0:definedName>
    <ns0:definedName name="lst_Müşteriler">[8]!Tablo1[İsim Soyisim]</ns0:definedName>
    <ns0:definedName name="Lst_Nakit_Vadeli">[1]!Tablo13[Nakit / Vadeli Seçimi]</ns0:definedName>
    <ns0:definedName name="Lst_Ödeme_Yön">[2]!Tbl_Ödeme_Yön[Ödeme Yöntemi]</ns0:definedName>
    <ns0:definedName name="lst_Satılık_Kiralık">[8]!tbl_ayar_Satılık[Satılık/Kiralık]</ns0:definedName>
    <ns0:definedName name="Lst_Satış_Per">[4]!Tablo2[Ad Soyad]</ns0:definedName>
    <ns0:definedName name="Lst_Servis">[2]!Tbl_Sektör_Kategori[Servis]</ns0:definedName>
    <ns0:definedName name="Lst_TümHisseler">[5]!TÜM_HİSSELER_1[Menkul]</ns0:definedName>
    <ns0:definedName name="Lst_Ürün_Ailesi">[2]!Tbl_Ürün_Ailesi[Ürün Ailesi]</ns0:definedName>
    <ns0:definedName name="Lst_Ürünler">[1]!Tablo4[Ürün Adı]</ns0:definedName>
    <ns0:definedName name="Lst_Ürünlerim">[6]!Tablo2[Ürün Adı]</ns0:definedName>
    <ns0:definedName name="Lst_Yıl_Ay">[2]!Tablo8[Tarihler]</ns0:definedName>
    <ns0:definedName name="oran">[7]Ürün_Fiyat_Listesi!$E$3</ns0:definedName>
  </ns0:definedNames>
  <ns0:calcPr calcId="191029"/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ns0:ext>
  </ns0:extLst>
</ns0:workbook>
</file>

<file path=xl/calcChain.xml><?xml version="1.0" encoding="utf-8"?>
<calcChain xmlns="http://schemas.openxmlformats.org/spreadsheetml/2006/main">
  <c r="B20" i="1" l="1"/>
  <c r="B21" i="1"/>
  <c r="B19" i="1"/>
  <c r="B16" i="1"/>
  <c r="B17" i="1"/>
  <c r="B15" i="1"/>
  <c r="B12" i="1"/>
  <c r="B13" i="1"/>
  <c r="B11" i="1"/>
  <c r="B8" i="1"/>
  <c r="B9" i="1"/>
  <c r="B7" i="1"/>
  <c r="J17" i="1"/>
  <c r="C21" i="1" s="1"/>
  <c r="J16" i="1"/>
  <c r="C20" i="1" s="1"/>
  <c r="J15" i="1"/>
  <c r="C19" i="1" s="1"/>
  <c r="J14" i="1"/>
  <c r="C17" i="1" s="1"/>
  <c r="J13" i="1"/>
  <c r="C16" i="1" s="1"/>
  <c r="J12" i="1"/>
  <c r="C15" i="1" s="1"/>
  <c r="J11" i="1"/>
  <c r="C13" i="1" s="1"/>
  <c r="J10" i="1"/>
  <c r="C12" i="1" s="1"/>
  <c r="J9" i="1"/>
  <c r="C11" i="1" s="1"/>
  <c r="J8" i="1"/>
  <c r="C9" i="1" s="1"/>
  <c r="J7" i="1"/>
  <c r="C8" i="1" s="1"/>
  <c r="J6" i="1"/>
  <c r="C7" i="1" s="1"/>
  <c r="J2" i="1" l="1"/>
  <c r="D9" i="1" s="1"/>
  <c r="E9" i="1" s="1"/>
  <c r="G9" i="1" s="1"/>
  <c r="D8" i="1" l="1"/>
  <c r="E8" i="1" s="1"/>
  <c r="G8" i="1" s="1"/>
  <c r="D7" i="1"/>
  <c r="E7" i="1" s="1"/>
  <c r="G7" i="1" s="1"/>
  <c r="D21" i="1"/>
  <c r="E21" i="1" s="1"/>
  <c r="G21" i="1" s="1"/>
  <c r="D19" i="1"/>
  <c r="E19" i="1" s="1"/>
  <c r="G19" i="1" s="1"/>
  <c r="D18" i="1"/>
  <c r="D13" i="1"/>
  <c r="E13" i="1" s="1"/>
  <c r="G13" i="1" s="1"/>
  <c r="D20" i="1"/>
  <c r="E20" i="1" s="1"/>
  <c r="G20" i="1" s="1"/>
  <c r="D10" i="1"/>
  <c r="D17" i="1"/>
  <c r="E17" i="1" s="1"/>
  <c r="G17" i="1" s="1"/>
  <c r="D16" i="1"/>
  <c r="E16" i="1" s="1"/>
  <c r="G16" i="1" s="1"/>
  <c r="D15" i="1"/>
  <c r="E15" i="1" s="1"/>
  <c r="G15" i="1" s="1"/>
  <c r="D14" i="1"/>
  <c r="D12" i="1"/>
  <c r="E12" i="1" s="1"/>
  <c r="G12" i="1" s="1"/>
  <c r="D11" i="1"/>
  <c r="E11" i="1" s="1"/>
  <c r="G11" i="1" s="1"/>
  <c r="D22" i="1"/>
  <c r="D6" i="1"/>
  <c r="G6" i="1"/>
  <c r="F9" i="1"/>
  <c r="F20" i="1" l="1"/>
  <c r="F13" i="1"/>
  <c r="F21" i="1"/>
  <c r="F17" i="1"/>
  <c r="F7" i="1"/>
  <c r="F15" i="1"/>
  <c r="F19" i="1"/>
  <c r="F16" i="1"/>
  <c r="F11" i="1"/>
  <c r="F12" i="1"/>
  <c r="F8" i="1"/>
</calcChain>
</file>

<file path=xl/sharedStrings.xml><?xml version="1.0" encoding="utf-8"?>
<sst xmlns="http://schemas.openxmlformats.org/spreadsheetml/2006/main" count="28" uniqueCount="26">
  <si>
    <t>Kategori A</t>
  </si>
  <si>
    <t>Kategori B</t>
  </si>
  <si>
    <t>Kategori C</t>
  </si>
  <si>
    <t>Kategori D</t>
  </si>
  <si>
    <t>Kategori E</t>
  </si>
  <si>
    <t>Ort.</t>
  </si>
  <si>
    <t>Kategori</t>
  </si>
  <si>
    <t>Fark</t>
  </si>
  <si>
    <t>Üst Kısım</t>
  </si>
  <si>
    <t>Alt Kısım</t>
  </si>
  <si>
    <t>Kategori F</t>
  </si>
  <si>
    <t>Kategori G</t>
  </si>
  <si>
    <t>Kategori H</t>
  </si>
  <si>
    <t>Kategori I</t>
  </si>
  <si>
    <t>Kategori J</t>
  </si>
  <si>
    <t>Kategori K</t>
  </si>
  <si>
    <t>Kategori L</t>
  </si>
  <si>
    <t>Ortalama / Hedef</t>
  </si>
  <si>
    <t>Değer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</si>
  <si>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</si>
  <si>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</si>
  <si>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</si>
  <si>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</si>
  <si>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</si>
  <si>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alibri"/>
        <family val="2"/>
        <scheme val="minor"/>
      </rPr>
      <t>Kullanıcı Kılavuzunu in</t>
    </r>
    <r>
      <rPr>
        <sz val="11"/>
        <color theme="1"/>
        <rFont val="Calibri"/>
        <family val="2"/>
        <scheme val="minor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</si>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</sst>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entury Gothic"/>
      <family val="2"/>
      <charset val="162"/>
    </font>
    <font>
      <sz val="11"/>
      <color theme="0"/>
      <name val="Calibri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alibri"/>
      <family val="2"/>
      <scheme val="minor"/>
    </font>
    <font>
      <u/>
      <sz val="11"/>
      <color theme="1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4">
    <xf numFmtId="0" fontId="0" fillId="0" borderId="0"/>
    <xf numFmtId="0" fontId="4" fillId="0" borderId="0"/>
    <xf numFmtId="0" fontId="1" fillId="0" borderId="0"/>
    <xf numFmtId="0" fontId="8" fillId="0" borderId="0" applyNumberFormat="0" applyFill="0" applyBorder="0" applyAlignment="0" applyProtection="0"/>
  </cellStyleXfs>
  <cellXfs count="42">
    <xf numFmtId="0" fontId="0" fillId="0" borderId="0" xfId="0"/>
    <xf numFmtId="0" fontId="3" fillId="3" borderId="4" xfId="0" applyFont="1" applyFill="1" applyBorder="1"/>
    <xf numFmtId="0" fontId="3" fillId="3" borderId="3" xfId="0" applyFont="1" applyFill="1" applyBorder="1"/>
    <xf numFmtId="164" fontId="2" fillId="2" borderId="4" xfId="0" applyNumberFormat="1" applyFont="1" applyFill="1" applyBorder="1"/>
    <xf numFmtId="164" fontId="2" fillId="2" borderId="3" xfId="0" applyNumberFormat="1" applyFont="1" applyFill="1" applyBorder="1"/>
    <xf numFmtId="0" fontId="0" fillId="0" borderId="4" xfId="0" applyBorder="1"/>
    <xf numFmtId="164" fontId="0" fillId="2" borderId="4" xfId="0" applyNumberFormat="1" applyFill="1" applyBorder="1"/>
    <xf numFmtId="164" fontId="0" fillId="2" borderId="3" xfId="0" applyNumberFormat="1" applyFill="1" applyBorder="1"/>
    <xf numFmtId="0" fontId="0" fillId="0" borderId="2" xfId="0" applyBorder="1"/>
    <xf numFmtId="164" fontId="0" fillId="2" borderId="2" xfId="0" applyNumberFormat="1" applyFill="1" applyBorder="1"/>
    <xf numFmtId="164" fontId="0" fillId="2" borderId="1" xfId="0" applyNumberFormat="1" applyFill="1" applyBorder="1"/>
    <xf numFmtId="164" fontId="0" fillId="0" borderId="0" xfId="0" applyNumberFormat="1"/>
    <xf numFmtId="164" fontId="2" fillId="2" borderId="1" xfId="0" applyNumberFormat="1" applyFont="1" applyFill="1" applyBorder="1"/>
    <xf numFmtId="0" fontId="0" fillId="0" borderId="1" xfId="0" applyBorder="1"/>
    <xf numFmtId="0" fontId="2" fillId="0" borderId="4" xfId="0" applyFont="1" applyBorder="1"/>
    <xf numFmtId="0" fontId="2" fillId="0" borderId="1" xfId="0" applyFont="1" applyBorder="1"/>
    <xf numFmtId="0" fontId="0" fillId="5" borderId="4" xfId="0" applyFill="1" applyBorder="1"/>
    <xf numFmtId="0" fontId="3" fillId="3" borderId="4" xfId="0" applyFont="1" applyFill="1" applyBorder="1" applyAlignment="1">
      <alignment horizontal="right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5" fillId="6" borderId="0" xfId="2" applyFont="1" applyFill="1" applyAlignment="1">
      <alignment horizontal="left" vertical="center" wrapText="1"/>
    </xf>
    <xf numFmtId="0" fontId="5" fillId="6" borderId="0" xfId="2" applyFont="1" applyFill="1" applyAlignment="1">
      <alignment horizontal="left" vertical="center"/>
    </xf>
    <xf numFmtId="0" fontId="6" fillId="6" borderId="0" xfId="2" applyFont="1" applyFill="1" applyAlignment="1">
      <alignment horizontal="left" vertical="top" wrapText="1"/>
    </xf>
    <xf numFmtId="0" fontId="1" fillId="0" borderId="0" xfId="2" applyAlignment="1">
      <alignment horizontal="left" vertical="center" wrapText="1"/>
    </xf>
    <xf numFmtId="0" fontId="1" fillId="0" borderId="0" xfId="2" applyAlignment="1">
      <alignment horizontal="left" vertical="center"/>
    </xf>
    <xf numFmtId="0" fontId="1" fillId="2" borderId="0" xfId="2" applyFill="1" applyAlignment="1">
      <alignment horizontal="left" vertical="center"/>
    </xf>
    <xf numFmtId="0" fontId="1" fillId="2" borderId="0" xfId="2" applyFill="1" applyAlignment="1">
      <alignment horizontal="left" vertical="top"/>
    </xf>
    <xf numFmtId="0" fontId="7" fillId="2" borderId="6" xfId="2" applyFont="1" applyFill="1" applyBorder="1" applyAlignment="1">
      <alignment vertical="top"/>
    </xf>
    <xf numFmtId="0" fontId="1" fillId="2" borderId="6" xfId="2" applyFill="1" applyBorder="1" applyAlignment="1">
      <alignment vertical="top" wrapText="1"/>
    </xf>
    <xf numFmtId="0" fontId="1" fillId="0" borderId="0" xfId="2" applyAlignment="1">
      <alignment horizontal="left" vertical="top"/>
    </xf>
    <xf numFmtId="0" fontId="8" fillId="2" borderId="0" xfId="3" applyFill="1" applyAlignment="1">
      <alignment horizontal="left" vertical="center"/>
    </xf>
    <xf numFmtId="0" fontId="1" fillId="2" borderId="0" xfId="2" applyFill="1" applyAlignment="1">
      <alignment vertical="center" wrapText="1"/>
    </xf>
    <xf numFmtId="0" fontId="1" fillId="2" borderId="0" xfId="2" applyFill="1" applyAlignment="1">
      <alignment vertical="top" wrapText="1"/>
    </xf>
    <xf numFmtId="0" fontId="1" fillId="2" borderId="0" xfId="2" applyFill="1"/>
    <xf numFmtId="0" fontId="1" fillId="0" borderId="0" xfId="2"/>
    <xf numFmtId="0" fontId="1" fillId="2" borderId="0" xfId="2" applyFill="1" applyAlignment="1">
      <alignment horizontal="left" vertical="center" wrapText="1"/>
    </xf>
    <xf numFmtId="0" fontId="6" fillId="6" borderId="5" xfId="2" applyFont="1" applyFill="1" applyBorder="1" applyAlignment="1">
      <alignment horizontal="left" vertical="center" wrapText="1" indent="1"/>
    </xf>
    <xf numFmtId="0" fontId="6" fillId="6" borderId="0" xfId="2" applyFont="1" applyFill="1" applyAlignment="1">
      <alignment horizontal="left" vertical="center" wrapText="1" indent="1"/>
    </xf>
    <xf numFmtId="0" fontId="1" fillId="2" borderId="0" xfId="2" applyFill="1" applyAlignment="1">
      <alignment horizontal="left" vertical="top" wrapText="1"/>
    </xf>
    <xf numFmtId="0" fontId="0" fillId="2" borderId="0" xfId="2" applyFont="1" applyFill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164" fontId="0" fillId="0" borderId="0" xfId="0" applyNumberFormat="1" applyAlignment="1">
      <alignment horizontal="right" vertical="center" wrapText="1"/>
    </xf>
  </cellXfs>
  <cellStyles count="4">
    <cellStyle name="Köprü 2" xfId="3" xr:uid="{F7F31CCA-B6DF-469C-96DB-C27CD22BC11F}"/>
    <cellStyle name="Normal" xfId="0" builtinId="0"/>
    <cellStyle name="Normal 2" xfId="1" xr:uid="{D135D1A7-D0C9-42B4-805C-D48EF71A8CFF}"/>
    <cellStyle name="Normal 2 2" xfId="2" xr:uid="{CA6DD834-B266-48C2-88B1-DBF5070BD864}"/>
  </cellStyles>
  <dxfs count="0"/>
  <tableStyles count="0" defaultTableStyle="TableStyleMedium2" defaultPivotStyle="PivotStyleLight16"/>
  <colors>
    <mruColors>
      <color rgb="FF107C41"/>
      <color rgb="FF8DE7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6.xml" /><ns0:Relationship Id="rId13" Type="http://schemas.openxmlformats.org/officeDocument/2006/relationships/sharedStrings" Target="sharedStrings.xml" /><ns0:Relationship Id="rId3" Type="http://schemas.openxmlformats.org/officeDocument/2006/relationships/externalLink" Target="externalLinks/externalLink1.xml" /><ns0:Relationship Id="rId7" Type="http://schemas.openxmlformats.org/officeDocument/2006/relationships/externalLink" Target="externalLinks/externalLink5.xml" /><ns0:Relationship Id="rId12" Type="http://schemas.openxmlformats.org/officeDocument/2006/relationships/styles" Target="styles.xml" /><ns0:Relationship Id="rId2" Type="http://schemas.openxmlformats.org/officeDocument/2006/relationships/worksheet" Target="worksheets/sheet2.xml" /><ns0:Relationship Id="rId6" Type="http://schemas.openxmlformats.org/officeDocument/2006/relationships/externalLink" Target="externalLinks/externalLink4.xml" /><ns0:Relationship Id="rId11" Type="http://schemas.openxmlformats.org/officeDocument/2006/relationships/theme" Target="theme/theme1.xml" /><ns0:Relationship Id="rId5" Type="http://schemas.openxmlformats.org/officeDocument/2006/relationships/externalLink" Target="externalLinks/externalLink3.xml" /><ns0:Relationship Id="rId10" Type="http://schemas.openxmlformats.org/officeDocument/2006/relationships/externalLink" Target="externalLinks/externalLink8.xml" /><ns0:Relationship Id="rId4" Type="http://schemas.openxmlformats.org/officeDocument/2006/relationships/externalLink" Target="externalLinks/externalLink2.xml" /><ns0:Relationship Id="rId9" Type="http://schemas.openxmlformats.org/officeDocument/2006/relationships/externalLink" Target="externalLinks/externalLink7.xml" /><ns0:Relationship Id="rId14" Type="http://schemas.openxmlformats.org/officeDocument/2006/relationships/calcChain" Target="calcChain.xml" /></ns0: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1"/>
              <a:t>Grafik</a:t>
            </a:r>
            <a:r>
              <a:rPr lang="tr-TR" sz="1400" b="1" baseline="0"/>
              <a:t> Başlığı</a:t>
            </a:r>
            <a:endParaRPr lang="en-US" sz="1400" b="1"/>
          </a:p>
        </c:rich>
      </c:tx>
      <c:layout>
        <c:manualLayout>
          <c:xMode val="edge"/>
          <c:yMode val="edge"/>
          <c:x val="0.40014694305753878"/>
          <c:y val="4.65078807054549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213960787008024E-2"/>
          <c:y val="0.19825251153950585"/>
          <c:w val="0.88941116439153245"/>
          <c:h val="0.5315293691736808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Grafik!$F$5</c:f>
              <c:strCache>
                <c:ptCount val="1"/>
                <c:pt idx="0">
                  <c:v>Alt Kısım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AD6E-406F-B72C-5E9C6B15DFE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0766317-1D33-4416-86C6-B9C721BC6B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D6E-406F-B72C-5E9C6B15DFE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9DDD916-7E9A-4C7B-A7F2-96AE24540D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D6E-406F-B72C-5E9C6B15DFE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F3F46E9-411A-467D-B0A1-F81CC219D4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D6E-406F-B72C-5E9C6B15DFE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D6E-406F-B72C-5E9C6B15DFE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C6AD2AD-EC97-4A82-973B-9D7BBC53C8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D6E-406F-B72C-5E9C6B15DFE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733958A-BBA5-47CB-89FC-A47499A98D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D6E-406F-B72C-5E9C6B15DFE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C7CB73B-E271-4C9D-831A-AC49706AF6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D6E-406F-B72C-5E9C6B15DFE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D6E-406F-B72C-5E9C6B15DFE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28B6273-F3AB-484E-8B1E-FD897B540E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D6E-406F-B72C-5E9C6B15DFE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EB9EEA0-03D5-4B98-9400-2148D02CA2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D6E-406F-B72C-5E9C6B15DFE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35CC036-9A93-46FA-BA2B-2940A45507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D6E-406F-B72C-5E9C6B15DFE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D6E-406F-B72C-5E9C6B15DFE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F47BDD1-983F-4D53-ABDC-D9AE83EBF3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D6E-406F-B72C-5E9C6B15DFE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E17C3AA-80DD-4046-A98C-97B9DDC5D4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5DA-477A-AA13-39C67F76D3A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DDF9854-ABE9-4452-A88A-A1DE62820E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5DA-477A-AA13-39C67F76D3A2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963D-45AF-A387-3830BD80A349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Grafik!$B$6:$B$22</c:f>
              <c:strCache>
                <c:ptCount val="16"/>
                <c:pt idx="1">
                  <c:v>Kategori A</c:v>
                </c:pt>
                <c:pt idx="2">
                  <c:v>Kategori B</c:v>
                </c:pt>
                <c:pt idx="3">
                  <c:v>Kategori C</c:v>
                </c:pt>
                <c:pt idx="5">
                  <c:v>Kategori D</c:v>
                </c:pt>
                <c:pt idx="6">
                  <c:v>Kategori E</c:v>
                </c:pt>
                <c:pt idx="7">
                  <c:v>Kategori F</c:v>
                </c:pt>
                <c:pt idx="9">
                  <c:v>Kategori G</c:v>
                </c:pt>
                <c:pt idx="10">
                  <c:v>Kategori H</c:v>
                </c:pt>
                <c:pt idx="11">
                  <c:v>Kategori I</c:v>
                </c:pt>
                <c:pt idx="13">
                  <c:v>Kategori J</c:v>
                </c:pt>
                <c:pt idx="14">
                  <c:v>Kategori K</c:v>
                </c:pt>
                <c:pt idx="15">
                  <c:v>Kategori L</c:v>
                </c:pt>
              </c:strCache>
            </c:strRef>
          </c:cat>
          <c:val>
            <c:numRef>
              <c:f>Grafik!$F$6:$F$22</c:f>
              <c:numCache>
                <c:formatCode>0.0</c:formatCode>
                <c:ptCount val="17"/>
                <c:pt idx="1">
                  <c:v>7</c:v>
                </c:pt>
                <c:pt idx="2">
                  <c:v>20.416666666666668</c:v>
                </c:pt>
                <c:pt idx="3">
                  <c:v>20.416666666666668</c:v>
                </c:pt>
                <c:pt idx="5">
                  <c:v>19</c:v>
                </c:pt>
                <c:pt idx="6">
                  <c:v>20.416666666666668</c:v>
                </c:pt>
                <c:pt idx="7">
                  <c:v>20.416666666666668</c:v>
                </c:pt>
                <c:pt idx="9">
                  <c:v>20.416666666666668</c:v>
                </c:pt>
                <c:pt idx="10">
                  <c:v>9</c:v>
                </c:pt>
                <c:pt idx="11">
                  <c:v>7</c:v>
                </c:pt>
                <c:pt idx="13">
                  <c:v>20.416666666666668</c:v>
                </c:pt>
                <c:pt idx="14">
                  <c:v>20.416666666666668</c:v>
                </c:pt>
                <c:pt idx="15">
                  <c:v>20.416666666666668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Grafik!$C$6:$C$22</c15:f>
                <c15:dlblRangeCache>
                  <c:ptCount val="17"/>
                  <c:pt idx="1">
                    <c:v>7</c:v>
                  </c:pt>
                  <c:pt idx="2">
                    <c:v>37</c:v>
                  </c:pt>
                  <c:pt idx="3">
                    <c:v>30</c:v>
                  </c:pt>
                  <c:pt idx="5">
                    <c:v>19</c:v>
                  </c:pt>
                  <c:pt idx="6">
                    <c:v>30</c:v>
                  </c:pt>
                  <c:pt idx="7">
                    <c:v>23</c:v>
                  </c:pt>
                  <c:pt idx="9">
                    <c:v>35</c:v>
                  </c:pt>
                  <c:pt idx="10">
                    <c:v>9</c:v>
                  </c:pt>
                  <c:pt idx="11">
                    <c:v>7</c:v>
                  </c:pt>
                  <c:pt idx="13">
                    <c:v>41</c:v>
                  </c:pt>
                  <c:pt idx="14">
                    <c:v>31</c:v>
                  </c:pt>
                  <c:pt idx="15">
                    <c:v>48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D6E-406F-B72C-5E9C6B15DFE5}"/>
            </c:ext>
          </c:extLst>
        </c:ser>
        <c:ser>
          <c:idx val="1"/>
          <c:order val="2"/>
          <c:tx>
            <c:strRef>
              <c:f>Grafik!$G$5</c:f>
              <c:strCache>
                <c:ptCount val="1"/>
                <c:pt idx="0">
                  <c:v>Üst Kısım</c:v>
                </c:pt>
              </c:strCache>
            </c:strRef>
          </c:tx>
          <c:spPr>
            <a:solidFill>
              <a:srgbClr val="8DE7AF"/>
            </a:solidFill>
            <a:ln>
              <a:noFill/>
            </a:ln>
            <a:effectLst/>
          </c:spPr>
          <c:invertIfNegative val="0"/>
          <c:dLbls>
            <c:numFmt formatCode="\+#.0;\-#.0;&quot; 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107C4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Grafik!$B$6:$B$22</c:f>
              <c:strCache>
                <c:ptCount val="16"/>
                <c:pt idx="1">
                  <c:v>Kategori A</c:v>
                </c:pt>
                <c:pt idx="2">
                  <c:v>Kategori B</c:v>
                </c:pt>
                <c:pt idx="3">
                  <c:v>Kategori C</c:v>
                </c:pt>
                <c:pt idx="5">
                  <c:v>Kategori D</c:v>
                </c:pt>
                <c:pt idx="6">
                  <c:v>Kategori E</c:v>
                </c:pt>
                <c:pt idx="7">
                  <c:v>Kategori F</c:v>
                </c:pt>
                <c:pt idx="9">
                  <c:v>Kategori G</c:v>
                </c:pt>
                <c:pt idx="10">
                  <c:v>Kategori H</c:v>
                </c:pt>
                <c:pt idx="11">
                  <c:v>Kategori I</c:v>
                </c:pt>
                <c:pt idx="13">
                  <c:v>Kategori J</c:v>
                </c:pt>
                <c:pt idx="14">
                  <c:v>Kategori K</c:v>
                </c:pt>
                <c:pt idx="15">
                  <c:v>Kategori L</c:v>
                </c:pt>
              </c:strCache>
            </c:strRef>
          </c:cat>
          <c:val>
            <c:numRef>
              <c:f>Grafik!$G$6:$G$22</c:f>
              <c:numCache>
                <c:formatCode>0.0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16.583333333333332</c:v>
                </c:pt>
                <c:pt idx="3">
                  <c:v>9.5833333333333321</c:v>
                </c:pt>
                <c:pt idx="5">
                  <c:v>0</c:v>
                </c:pt>
                <c:pt idx="6">
                  <c:v>9.5833333333333321</c:v>
                </c:pt>
                <c:pt idx="7">
                  <c:v>2.5833333333333321</c:v>
                </c:pt>
                <c:pt idx="9">
                  <c:v>14.583333333333332</c:v>
                </c:pt>
                <c:pt idx="10">
                  <c:v>0</c:v>
                </c:pt>
                <c:pt idx="11">
                  <c:v>0</c:v>
                </c:pt>
                <c:pt idx="13">
                  <c:v>20.583333333333332</c:v>
                </c:pt>
                <c:pt idx="14">
                  <c:v>10.583333333333332</c:v>
                </c:pt>
                <c:pt idx="15">
                  <c:v>27.583333333333332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6E-406F-B72C-5E9C6B15D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320028431"/>
        <c:axId val="1320448895"/>
      </c:barChart>
      <c:lineChart>
        <c:grouping val="standard"/>
        <c:varyColors val="0"/>
        <c:ser>
          <c:idx val="2"/>
          <c:order val="1"/>
          <c:tx>
            <c:strRef>
              <c:f>Grafik!$D$5</c:f>
              <c:strCache>
                <c:ptCount val="1"/>
                <c:pt idx="0">
                  <c:v>Ort.</c:v>
                </c:pt>
              </c:strCache>
            </c:strRef>
          </c:tx>
          <c:spPr>
            <a:ln w="9525" cap="rnd">
              <a:solidFill>
                <a:schemeClr val="accent2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16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63D-45AF-A387-3830BD80A349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Grafik!$B$6:$B$22</c:f>
              <c:strCache>
                <c:ptCount val="16"/>
                <c:pt idx="1">
                  <c:v>Kategori A</c:v>
                </c:pt>
                <c:pt idx="2">
                  <c:v>Kategori B</c:v>
                </c:pt>
                <c:pt idx="3">
                  <c:v>Kategori C</c:v>
                </c:pt>
                <c:pt idx="5">
                  <c:v>Kategori D</c:v>
                </c:pt>
                <c:pt idx="6">
                  <c:v>Kategori E</c:v>
                </c:pt>
                <c:pt idx="7">
                  <c:v>Kategori F</c:v>
                </c:pt>
                <c:pt idx="9">
                  <c:v>Kategori G</c:v>
                </c:pt>
                <c:pt idx="10">
                  <c:v>Kategori H</c:v>
                </c:pt>
                <c:pt idx="11">
                  <c:v>Kategori I</c:v>
                </c:pt>
                <c:pt idx="13">
                  <c:v>Kategori J</c:v>
                </c:pt>
                <c:pt idx="14">
                  <c:v>Kategori K</c:v>
                </c:pt>
                <c:pt idx="15">
                  <c:v>Kategori L</c:v>
                </c:pt>
              </c:strCache>
            </c:strRef>
          </c:cat>
          <c:val>
            <c:numRef>
              <c:f>Grafik!$D$6:$D$22</c:f>
              <c:numCache>
                <c:formatCode>0.0</c:formatCode>
                <c:ptCount val="17"/>
                <c:pt idx="0">
                  <c:v>20.416666666666668</c:v>
                </c:pt>
                <c:pt idx="1">
                  <c:v>20.416666666666668</c:v>
                </c:pt>
                <c:pt idx="2">
                  <c:v>20.416666666666668</c:v>
                </c:pt>
                <c:pt idx="3">
                  <c:v>20.416666666666668</c:v>
                </c:pt>
                <c:pt idx="4">
                  <c:v>20.416666666666668</c:v>
                </c:pt>
                <c:pt idx="5">
                  <c:v>20.416666666666668</c:v>
                </c:pt>
                <c:pt idx="6">
                  <c:v>20.416666666666668</c:v>
                </c:pt>
                <c:pt idx="7">
                  <c:v>20.416666666666668</c:v>
                </c:pt>
                <c:pt idx="8">
                  <c:v>20.416666666666668</c:v>
                </c:pt>
                <c:pt idx="9">
                  <c:v>20.416666666666668</c:v>
                </c:pt>
                <c:pt idx="10">
                  <c:v>20.416666666666668</c:v>
                </c:pt>
                <c:pt idx="11">
                  <c:v>20.416666666666668</c:v>
                </c:pt>
                <c:pt idx="12">
                  <c:v>20.416666666666668</c:v>
                </c:pt>
                <c:pt idx="13">
                  <c:v>20.416666666666668</c:v>
                </c:pt>
                <c:pt idx="14">
                  <c:v>20.416666666666668</c:v>
                </c:pt>
                <c:pt idx="15">
                  <c:v>20.416666666666668</c:v>
                </c:pt>
                <c:pt idx="16">
                  <c:v>20.416666666666668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6E-406F-B72C-5E9C6B15D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0028431"/>
        <c:axId val="1320448895"/>
      </c:lineChart>
      <c:catAx>
        <c:axId val="132002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448895"/>
        <c:crosses val="autoZero"/>
        <c:auto val="1"/>
        <c:lblAlgn val="ctr"/>
        <c:lblOffset val="100"/>
        <c:noMultiLvlLbl val="0"/>
      </c:catAx>
      <c:valAx>
        <c:axId val="1320448895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320028431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311151</xdr:colOff>
      <xdr:row>4</xdr:row>
      <xdr:rowOff>0</xdr:rowOff>
    </xdr:from>
    <xdr:to>
      <xdr:col>19</xdr:col>
      <xdr:colOff>6350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5CE325-DF32-4472-8216-16825BAEE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158750</xdr:colOff>
      <xdr:row>4</xdr:row>
      <xdr:rowOff>0</xdr:rowOff>
    </xdr:from>
    <xdr:to>
      <xdr:col>21</xdr:col>
      <xdr:colOff>254000</xdr:colOff>
      <xdr:row>17</xdr:row>
      <xdr:rowOff>0</xdr:rowOff>
    </xdr:to>
    <xdr:grpSp>
      <xdr:nvGrpSpPr>
        <xdr:cNvPr id="3" name="Grup 2">
          <a:extLst>
            <a:ext uri="{FF2B5EF4-FFF2-40B4-BE49-F238E27FC236}">
              <a16:creationId xmlns:a16="http://schemas.microsoft.com/office/drawing/2014/main" id="{7072FC88-4263-43A8-A38D-16BFC007C347}"/>
            </a:ext>
          </a:extLst>
        </xdr:cNvPr>
        <xdr:cNvGrpSpPr/>
      </xdr:nvGrpSpPr>
      <xdr:grpSpPr>
        <a:xfrm>
          <a:off x="7816850" y="731520"/>
          <a:ext cx="1314450" cy="3200400"/>
          <a:chOff x="7813919" y="726831"/>
          <a:chExt cx="1314450" cy="3270738"/>
        </a:xfrm>
      </xdr:grpSpPr>
      <xdr:sp macro="" textlink="">
        <xdr:nvSpPr>
          <xdr:cNvPr id="26" name="Rectangle: Rounded Corners 25">
            <a:extLst>
              <a:ext uri="{FF2B5EF4-FFF2-40B4-BE49-F238E27FC236}">
                <a16:creationId xmlns:a16="http://schemas.microsoft.com/office/drawing/2014/main" id="{687EBA9D-ED5F-41DE-A25E-236D67A63695}"/>
              </a:ext>
            </a:extLst>
          </xdr:cNvPr>
          <xdr:cNvSpPr/>
        </xdr:nvSpPr>
        <xdr:spPr>
          <a:xfrm>
            <a:off x="7813919" y="726831"/>
            <a:ext cx="1314450" cy="3270738"/>
          </a:xfrm>
          <a:prstGeom prst="roundRect">
            <a:avLst>
              <a:gd name="adj" fmla="val 7971"/>
            </a:avLst>
          </a:prstGeom>
          <a:solidFill>
            <a:sysClr val="window" lastClr="FFFFFF"/>
          </a:solidFill>
          <a:ln w="9525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6598D6A6-F65D-47E7-8F3C-32CDAE5E07B4}"/>
              </a:ext>
            </a:extLst>
          </xdr:cNvPr>
          <xdr:cNvGrpSpPr/>
        </xdr:nvGrpSpPr>
        <xdr:grpSpPr>
          <a:xfrm>
            <a:off x="7872036" y="1399311"/>
            <a:ext cx="1163940" cy="1941276"/>
            <a:chOff x="8998790" y="921107"/>
            <a:chExt cx="1163940" cy="1418114"/>
          </a:xfrm>
        </xdr:grpSpPr>
        <xdr:grpSp>
          <xdr:nvGrpSpPr>
            <xdr:cNvPr id="11" name="Group 10">
              <a:extLst>
                <a:ext uri="{FF2B5EF4-FFF2-40B4-BE49-F238E27FC236}">
                  <a16:creationId xmlns:a16="http://schemas.microsoft.com/office/drawing/2014/main" id="{BF235043-3888-4B33-8A5C-5FE043BF9F42}"/>
                </a:ext>
              </a:extLst>
            </xdr:cNvPr>
            <xdr:cNvGrpSpPr/>
          </xdr:nvGrpSpPr>
          <xdr:grpSpPr>
            <a:xfrm>
              <a:off x="8998790" y="1010088"/>
              <a:ext cx="472394" cy="1278539"/>
              <a:chOff x="8934585" y="567558"/>
              <a:chExt cx="758162" cy="2049517"/>
            </a:xfrm>
          </xdr:grpSpPr>
          <xdr:sp macro="" textlink="">
            <xdr:nvSpPr>
              <xdr:cNvPr id="7" name="Rectangle 6">
                <a:extLst>
                  <a:ext uri="{FF2B5EF4-FFF2-40B4-BE49-F238E27FC236}">
                    <a16:creationId xmlns:a16="http://schemas.microsoft.com/office/drawing/2014/main" id="{D1D33A86-9610-4441-8016-8458BA84F32C}"/>
                  </a:ext>
                </a:extLst>
              </xdr:cNvPr>
              <xdr:cNvSpPr/>
            </xdr:nvSpPr>
            <xdr:spPr>
              <a:xfrm>
                <a:off x="9108955" y="567558"/>
                <a:ext cx="474739" cy="1030014"/>
              </a:xfrm>
              <a:prstGeom prst="rect">
                <a:avLst/>
              </a:prstGeom>
              <a:solidFill>
                <a:srgbClr val="8DE7AF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8" name="Rectangle 7">
                <a:extLst>
                  <a:ext uri="{FF2B5EF4-FFF2-40B4-BE49-F238E27FC236}">
                    <a16:creationId xmlns:a16="http://schemas.microsoft.com/office/drawing/2014/main" id="{7B302BE2-381D-4E1A-B286-503CC6B27672}"/>
                  </a:ext>
                </a:extLst>
              </xdr:cNvPr>
              <xdr:cNvSpPr/>
            </xdr:nvSpPr>
            <xdr:spPr>
              <a:xfrm>
                <a:off x="9108955" y="1457778"/>
                <a:ext cx="474739" cy="1159297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cxnSp macro="">
            <xdr:nvCxnSpPr>
              <xdr:cNvPr id="4" name="Straight Connector 3">
                <a:extLst>
                  <a:ext uri="{FF2B5EF4-FFF2-40B4-BE49-F238E27FC236}">
                    <a16:creationId xmlns:a16="http://schemas.microsoft.com/office/drawing/2014/main" id="{8AB387B7-FC61-4BD0-A65F-1EDC4B9272E1}"/>
                  </a:ext>
                </a:extLst>
              </xdr:cNvPr>
              <xdr:cNvCxnSpPr/>
            </xdr:nvCxnSpPr>
            <xdr:spPr>
              <a:xfrm flipV="1">
                <a:off x="8934585" y="1461426"/>
                <a:ext cx="758162" cy="1"/>
              </a:xfrm>
              <a:prstGeom prst="line">
                <a:avLst/>
              </a:prstGeom>
              <a:ln w="12700">
                <a:solidFill>
                  <a:schemeClr val="accent2">
                    <a:lumMod val="60000"/>
                    <a:lumOff val="40000"/>
                  </a:schemeClr>
                </a:solidFill>
                <a:prstDash val="dash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FB2EAF0-0550-4F07-978F-E4517333BAE9}"/>
                </a:ext>
              </a:extLst>
            </xdr:cNvPr>
            <xdr:cNvSpPr txBox="1"/>
          </xdr:nvSpPr>
          <xdr:spPr>
            <a:xfrm>
              <a:off x="9463791" y="1477096"/>
              <a:ext cx="698939" cy="15294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tr-TR" sz="900">
                  <a:solidFill>
                    <a:schemeClr val="accent2">
                      <a:lumMod val="75000"/>
                    </a:schemeClr>
                  </a:solidFill>
                </a:rPr>
                <a:t>Ortalama</a:t>
              </a:r>
              <a:endParaRPr lang="en-US" sz="9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428B1F9-3685-4E6D-BAAE-477F9D8D585F}"/>
                </a:ext>
              </a:extLst>
            </xdr:cNvPr>
            <xdr:cNvSpPr txBox="1"/>
          </xdr:nvSpPr>
          <xdr:spPr>
            <a:xfrm>
              <a:off x="9463791" y="2055547"/>
              <a:ext cx="698939" cy="28367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tr-TR" sz="900">
                  <a:solidFill>
                    <a:schemeClr val="bg1">
                      <a:lumMod val="65000"/>
                    </a:schemeClr>
                  </a:solidFill>
                </a:rPr>
                <a:t>Ortalama</a:t>
              </a:r>
              <a:r>
                <a:rPr lang="tr-TR" sz="900" baseline="0">
                  <a:solidFill>
                    <a:schemeClr val="bg1">
                      <a:lumMod val="65000"/>
                    </a:schemeClr>
                  </a:solidFill>
                </a:rPr>
                <a:t> Altı</a:t>
              </a:r>
              <a:endParaRPr lang="en-US" sz="900">
                <a:solidFill>
                  <a:schemeClr val="bg1">
                    <a:lumMod val="65000"/>
                  </a:schemeClr>
                </a:solidFill>
              </a:endParaRPr>
            </a:p>
          </xdr:txBody>
        </xdr: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9679604-3010-411A-A39D-E44029C47025}"/>
                </a:ext>
              </a:extLst>
            </xdr:cNvPr>
            <xdr:cNvSpPr txBox="1"/>
          </xdr:nvSpPr>
          <xdr:spPr>
            <a:xfrm>
              <a:off x="9463791" y="921107"/>
              <a:ext cx="698939" cy="37845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tr-TR" sz="900">
                  <a:solidFill>
                    <a:srgbClr val="107C41"/>
                  </a:solidFill>
                </a:rPr>
                <a:t>Ortalama</a:t>
              </a:r>
              <a:r>
                <a:rPr lang="tr-TR" sz="900" baseline="0">
                  <a:solidFill>
                    <a:srgbClr val="107C41"/>
                  </a:solidFill>
                </a:rPr>
                <a:t> Üstü</a:t>
              </a:r>
              <a:endParaRPr lang="en-US" sz="900">
                <a:solidFill>
                  <a:srgbClr val="107C41"/>
                </a:solidFill>
              </a:endParaRPr>
            </a:p>
          </xdr:txBody>
        </xdr:sp>
      </xdr:grp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04B5A2D-4244-423B-AADE-77B7AAAABB2D}"/>
              </a:ext>
            </a:extLst>
          </xdr:cNvPr>
          <xdr:cNvSpPr txBox="1"/>
        </xdr:nvSpPr>
        <xdr:spPr>
          <a:xfrm>
            <a:off x="7966319" y="815731"/>
            <a:ext cx="958850" cy="2261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tr-TR" sz="1000" b="1">
                <a:solidFill>
                  <a:sysClr val="windowText" lastClr="000000"/>
                </a:solidFill>
              </a:rPr>
              <a:t>Gösterge</a:t>
            </a:r>
            <a:endParaRPr lang="en-US" sz="1000" b="1">
              <a:solidFill>
                <a:sysClr val="windowText" lastClr="000000"/>
              </a:solidFill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WEBSITES/BLOG./Free_Resources/-Stok_Program&#305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2"/>
  <dimension ref="A1:J22"/>
  <sheetViews>
    <sheetView showGridLines="0" topLeftCell="H1" zoomScaleNormal="100" workbookViewId="0">
      <selection activeCell="I10" sqref="I10"/>
    </sheetView>
  </sheetViews>
  <sheetFormatPr defaultRowHeight="14.4" x14ac:dyDescent="0.3"/>
  <cols>
    <col min="1" max="1" width="3.44140625" hidden="1" customWidth="1"/>
    <col min="2" max="2" width="11" hidden="1" customWidth="1"/>
    <col min="3" max="5" width="8.88671875" hidden="1" customWidth="1"/>
    <col min="6" max="6" width="10.6640625" hidden="1" customWidth="1"/>
    <col min="7" max="7" width="10.109375" hidden="1" customWidth="1"/>
    <col min="8" max="8" width="2.6640625" customWidth="1"/>
    <col min="9" max="9" width="18.88671875" customWidth="1"/>
    <col min="10" max="10" width="10.109375" customWidth="1"/>
  </cols>
  <sheetData>
    <row r="1" spans="2:10" x14ac:dyDescent="0.3">
      <c r="D1" s="11"/>
    </row>
    <row r="2" spans="2:10" x14ac:dyDescent="0.3">
      <c r="I2" s="40" t="s">
        <v>17</v>
      </c>
      <c r="J2" s="41">
        <f ca="1">AVERAGE(C6:C22)-6</f>
        <v>20.416666666666668</v>
      </c>
    </row>
    <row r="3" spans="2:10" x14ac:dyDescent="0.3">
      <c r="I3" s="40"/>
      <c r="J3" s="41"/>
    </row>
    <row r="5" spans="2:10" x14ac:dyDescent="0.3">
      <c r="B5" s="1" t="s">
        <v>6</v>
      </c>
      <c r="C5" s="1" t="s">
        <v>18</v>
      </c>
      <c r="D5" s="1" t="s">
        <v>5</v>
      </c>
      <c r="E5" s="1" t="s">
        <v>7</v>
      </c>
      <c r="F5" s="1" t="s">
        <v>9</v>
      </c>
      <c r="G5" s="2" t="s">
        <v>8</v>
      </c>
      <c r="I5" s="1" t="s">
        <v>6</v>
      </c>
      <c r="J5" s="17" t="s">
        <v>18</v>
      </c>
    </row>
    <row r="6" spans="2:10" ht="19.8" customHeight="1" x14ac:dyDescent="0.3">
      <c r="B6" s="14"/>
      <c r="C6" s="15"/>
      <c r="D6" s="10">
        <f t="shared" ref="D6:D22" ca="1" si="0">$J$2</f>
        <v>20.416666666666668</v>
      </c>
      <c r="E6" s="12"/>
      <c r="F6" s="3"/>
      <c r="G6" s="4" t="str">
        <f>IF(E6&gt;0,E6," ")</f>
        <v xml:space="preserve"> </v>
      </c>
      <c r="I6" s="18" t="s">
        <v>0</v>
      </c>
      <c r="J6" s="18">
        <f t="shared" ref="J6:J17" ca="1" si="1">RANDBETWEEN(5,50)</f>
        <v>7</v>
      </c>
    </row>
    <row r="7" spans="2:10" ht="19.8" customHeight="1" x14ac:dyDescent="0.3">
      <c r="B7" s="16" t="str">
        <f>I6</f>
        <v>Kategori A</v>
      </c>
      <c r="C7" s="16">
        <f ca="1">J6</f>
        <v>7</v>
      </c>
      <c r="D7" s="10">
        <f t="shared" ca="1" si="0"/>
        <v>20.416666666666668</v>
      </c>
      <c r="E7" s="10">
        <f ca="1">C7-D7</f>
        <v>-13.416666666666668</v>
      </c>
      <c r="F7" s="6">
        <f ca="1">IF(E7&gt;0,D7,C7)</f>
        <v>7</v>
      </c>
      <c r="G7" s="7" t="str">
        <f t="shared" ref="G7:G21" ca="1" si="2">IF(E7&gt;0,E7," ")</f>
        <v xml:space="preserve"> </v>
      </c>
      <c r="I7" s="19" t="s">
        <v>1</v>
      </c>
      <c r="J7" s="19">
        <f t="shared" ca="1" si="1"/>
        <v>37</v>
      </c>
    </row>
    <row r="8" spans="2:10" ht="19.8" customHeight="1" x14ac:dyDescent="0.3">
      <c r="B8" s="16" t="str">
        <f t="shared" ref="B8:C9" si="3">I7</f>
        <v>Kategori B</v>
      </c>
      <c r="C8" s="16">
        <f t="shared" ca="1" si="3"/>
        <v>37</v>
      </c>
      <c r="D8" s="10">
        <f t="shared" ca="1" si="0"/>
        <v>20.416666666666668</v>
      </c>
      <c r="E8" s="10">
        <f ca="1">C8-D8</f>
        <v>16.583333333333332</v>
      </c>
      <c r="F8" s="6">
        <f t="shared" ref="F8:F12" ca="1" si="4">IF(E8&gt;0,D8,C8)</f>
        <v>20.416666666666668</v>
      </c>
      <c r="G8" s="7">
        <f t="shared" ca="1" si="2"/>
        <v>16.583333333333332</v>
      </c>
      <c r="I8" s="18" t="s">
        <v>2</v>
      </c>
      <c r="J8" s="18">
        <f t="shared" ca="1" si="1"/>
        <v>30</v>
      </c>
    </row>
    <row r="9" spans="2:10" ht="19.8" customHeight="1" x14ac:dyDescent="0.3">
      <c r="B9" s="16" t="str">
        <f t="shared" si="3"/>
        <v>Kategori C</v>
      </c>
      <c r="C9" s="16">
        <f t="shared" ca="1" si="3"/>
        <v>30</v>
      </c>
      <c r="D9" s="10">
        <f t="shared" ca="1" si="0"/>
        <v>20.416666666666668</v>
      </c>
      <c r="E9" s="10">
        <f ca="1">C9-D9</f>
        <v>9.5833333333333321</v>
      </c>
      <c r="F9" s="6">
        <f t="shared" ca="1" si="4"/>
        <v>20.416666666666668</v>
      </c>
      <c r="G9" s="7">
        <f t="shared" ca="1" si="2"/>
        <v>9.5833333333333321</v>
      </c>
      <c r="I9" s="19" t="s">
        <v>3</v>
      </c>
      <c r="J9" s="19">
        <f t="shared" ca="1" si="1"/>
        <v>19</v>
      </c>
    </row>
    <row r="10" spans="2:10" ht="19.8" customHeight="1" x14ac:dyDescent="0.3">
      <c r="B10" s="5"/>
      <c r="C10" s="5"/>
      <c r="D10" s="10">
        <f t="shared" ca="1" si="0"/>
        <v>20.416666666666668</v>
      </c>
      <c r="E10" s="10"/>
      <c r="F10" s="6"/>
      <c r="G10" s="7"/>
      <c r="I10" s="18" t="s">
        <v>4</v>
      </c>
      <c r="J10" s="18">
        <f t="shared" ca="1" si="1"/>
        <v>30</v>
      </c>
    </row>
    <row r="11" spans="2:10" ht="19.8" customHeight="1" x14ac:dyDescent="0.3">
      <c r="B11" s="5" t="str">
        <f>I9</f>
        <v>Kategori D</v>
      </c>
      <c r="C11" s="5">
        <f ca="1">J9</f>
        <v>19</v>
      </c>
      <c r="D11" s="10">
        <f t="shared" ca="1" si="0"/>
        <v>20.416666666666668</v>
      </c>
      <c r="E11" s="10">
        <f ca="1">C11-D11</f>
        <v>-1.4166666666666679</v>
      </c>
      <c r="F11" s="6">
        <f t="shared" ca="1" si="4"/>
        <v>19</v>
      </c>
      <c r="G11" s="7" t="str">
        <f t="shared" ca="1" si="2"/>
        <v xml:space="preserve"> </v>
      </c>
      <c r="I11" s="19" t="s">
        <v>10</v>
      </c>
      <c r="J11" s="19">
        <f t="shared" ca="1" si="1"/>
        <v>23</v>
      </c>
    </row>
    <row r="12" spans="2:10" ht="19.8" customHeight="1" x14ac:dyDescent="0.3">
      <c r="B12" s="5" t="str">
        <f t="shared" ref="B12:C13" si="5">I10</f>
        <v>Kategori E</v>
      </c>
      <c r="C12" s="5">
        <f t="shared" ca="1" si="5"/>
        <v>30</v>
      </c>
      <c r="D12" s="10">
        <f t="shared" ca="1" si="0"/>
        <v>20.416666666666668</v>
      </c>
      <c r="E12" s="10">
        <f ca="1">C12-D12</f>
        <v>9.5833333333333321</v>
      </c>
      <c r="F12" s="6">
        <f t="shared" ca="1" si="4"/>
        <v>20.416666666666668</v>
      </c>
      <c r="G12" s="7">
        <f t="shared" ca="1" si="2"/>
        <v>9.5833333333333321</v>
      </c>
      <c r="I12" s="18" t="s">
        <v>11</v>
      </c>
      <c r="J12" s="18">
        <f t="shared" ca="1" si="1"/>
        <v>35</v>
      </c>
    </row>
    <row r="13" spans="2:10" ht="19.8" customHeight="1" x14ac:dyDescent="0.3">
      <c r="B13" s="5" t="str">
        <f t="shared" si="5"/>
        <v>Kategori F</v>
      </c>
      <c r="C13" s="5">
        <f t="shared" ca="1" si="5"/>
        <v>23</v>
      </c>
      <c r="D13" s="10">
        <f t="shared" ca="1" si="0"/>
        <v>20.416666666666668</v>
      </c>
      <c r="E13" s="10">
        <f t="shared" ref="E13:E21" ca="1" si="6">C13-D13</f>
        <v>2.5833333333333321</v>
      </c>
      <c r="F13" s="6">
        <f t="shared" ref="F13:F21" ca="1" si="7">IF(E13&gt;0,D13,C13)</f>
        <v>20.416666666666668</v>
      </c>
      <c r="G13" s="7">
        <f t="shared" ca="1" si="2"/>
        <v>2.5833333333333321</v>
      </c>
      <c r="I13" s="19" t="s">
        <v>12</v>
      </c>
      <c r="J13" s="19">
        <f t="shared" ca="1" si="1"/>
        <v>9</v>
      </c>
    </row>
    <row r="14" spans="2:10" ht="19.8" customHeight="1" x14ac:dyDescent="0.3">
      <c r="B14" s="5"/>
      <c r="C14" s="5"/>
      <c r="D14" s="10">
        <f t="shared" ca="1" si="0"/>
        <v>20.416666666666668</v>
      </c>
      <c r="E14" s="10"/>
      <c r="F14" s="6"/>
      <c r="G14" s="7"/>
      <c r="I14" s="18" t="s">
        <v>13</v>
      </c>
      <c r="J14" s="18">
        <f t="shared" ca="1" si="1"/>
        <v>7</v>
      </c>
    </row>
    <row r="15" spans="2:10" ht="19.8" customHeight="1" x14ac:dyDescent="0.3">
      <c r="B15" s="16" t="str">
        <f>I12</f>
        <v>Kategori G</v>
      </c>
      <c r="C15" s="16">
        <f ca="1">J12</f>
        <v>35</v>
      </c>
      <c r="D15" s="10">
        <f t="shared" ca="1" si="0"/>
        <v>20.416666666666668</v>
      </c>
      <c r="E15" s="10">
        <f t="shared" ca="1" si="6"/>
        <v>14.583333333333332</v>
      </c>
      <c r="F15" s="6">
        <f t="shared" ca="1" si="7"/>
        <v>20.416666666666668</v>
      </c>
      <c r="G15" s="7">
        <f t="shared" ca="1" si="2"/>
        <v>14.583333333333332</v>
      </c>
      <c r="I15" s="19" t="s">
        <v>14</v>
      </c>
      <c r="J15" s="19">
        <f t="shared" ca="1" si="1"/>
        <v>41</v>
      </c>
    </row>
    <row r="16" spans="2:10" ht="19.8" customHeight="1" x14ac:dyDescent="0.3">
      <c r="B16" s="16" t="str">
        <f t="shared" ref="B16:C17" si="8">I13</f>
        <v>Kategori H</v>
      </c>
      <c r="C16" s="16">
        <f t="shared" ca="1" si="8"/>
        <v>9</v>
      </c>
      <c r="D16" s="10">
        <f t="shared" ca="1" si="0"/>
        <v>20.416666666666668</v>
      </c>
      <c r="E16" s="10">
        <f t="shared" ca="1" si="6"/>
        <v>-11.416666666666668</v>
      </c>
      <c r="F16" s="6">
        <f t="shared" ca="1" si="7"/>
        <v>9</v>
      </c>
      <c r="G16" s="7" t="str">
        <f t="shared" ca="1" si="2"/>
        <v xml:space="preserve"> </v>
      </c>
      <c r="I16" s="18" t="s">
        <v>15</v>
      </c>
      <c r="J16" s="18">
        <f t="shared" ca="1" si="1"/>
        <v>31</v>
      </c>
    </row>
    <row r="17" spans="2:10" ht="19.8" customHeight="1" x14ac:dyDescent="0.3">
      <c r="B17" s="16" t="str">
        <f t="shared" si="8"/>
        <v>Kategori I</v>
      </c>
      <c r="C17" s="16">
        <f t="shared" ca="1" si="8"/>
        <v>7</v>
      </c>
      <c r="D17" s="10">
        <f t="shared" ca="1" si="0"/>
        <v>20.416666666666668</v>
      </c>
      <c r="E17" s="10">
        <f t="shared" ca="1" si="6"/>
        <v>-13.416666666666668</v>
      </c>
      <c r="F17" s="6">
        <f t="shared" ca="1" si="7"/>
        <v>7</v>
      </c>
      <c r="G17" s="7" t="str">
        <f t="shared" ca="1" si="2"/>
        <v xml:space="preserve"> </v>
      </c>
      <c r="I17" s="19" t="s">
        <v>16</v>
      </c>
      <c r="J17" s="19">
        <f t="shared" ca="1" si="1"/>
        <v>48</v>
      </c>
    </row>
    <row r="18" spans="2:10" x14ac:dyDescent="0.3">
      <c r="B18" s="5"/>
      <c r="C18" s="5"/>
      <c r="D18" s="10">
        <f t="shared" ca="1" si="0"/>
        <v>20.416666666666668</v>
      </c>
      <c r="E18" s="10"/>
      <c r="F18" s="6"/>
      <c r="G18" s="7"/>
    </row>
    <row r="19" spans="2:10" x14ac:dyDescent="0.3">
      <c r="B19" s="5" t="str">
        <f>I15</f>
        <v>Kategori J</v>
      </c>
      <c r="C19" s="5">
        <f ca="1">J15</f>
        <v>41</v>
      </c>
      <c r="D19" s="10">
        <f t="shared" ca="1" si="0"/>
        <v>20.416666666666668</v>
      </c>
      <c r="E19" s="10">
        <f t="shared" ca="1" si="6"/>
        <v>20.583333333333332</v>
      </c>
      <c r="F19" s="6">
        <f t="shared" ca="1" si="7"/>
        <v>20.416666666666668</v>
      </c>
      <c r="G19" s="7">
        <f t="shared" ca="1" si="2"/>
        <v>20.583333333333332</v>
      </c>
    </row>
    <row r="20" spans="2:10" x14ac:dyDescent="0.3">
      <c r="B20" s="5" t="str">
        <f t="shared" ref="B20:C21" si="9">I16</f>
        <v>Kategori K</v>
      </c>
      <c r="C20" s="5">
        <f t="shared" ca="1" si="9"/>
        <v>31</v>
      </c>
      <c r="D20" s="10">
        <f t="shared" ca="1" si="0"/>
        <v>20.416666666666668</v>
      </c>
      <c r="E20" s="10">
        <f t="shared" ca="1" si="6"/>
        <v>10.583333333333332</v>
      </c>
      <c r="F20" s="6">
        <f t="shared" ca="1" si="7"/>
        <v>20.416666666666668</v>
      </c>
      <c r="G20" s="7">
        <f t="shared" ca="1" si="2"/>
        <v>10.583333333333332</v>
      </c>
    </row>
    <row r="21" spans="2:10" x14ac:dyDescent="0.3">
      <c r="B21" s="5" t="str">
        <f t="shared" si="9"/>
        <v>Kategori L</v>
      </c>
      <c r="C21" s="5">
        <f t="shared" ca="1" si="9"/>
        <v>48</v>
      </c>
      <c r="D21" s="10">
        <f t="shared" ca="1" si="0"/>
        <v>20.416666666666668</v>
      </c>
      <c r="E21" s="10">
        <f t="shared" ca="1" si="6"/>
        <v>27.583333333333332</v>
      </c>
      <c r="F21" s="6">
        <f t="shared" ca="1" si="7"/>
        <v>20.416666666666668</v>
      </c>
      <c r="G21" s="7">
        <f t="shared" ca="1" si="2"/>
        <v>27.583333333333332</v>
      </c>
    </row>
    <row r="22" spans="2:10" x14ac:dyDescent="0.3">
      <c r="B22" s="8"/>
      <c r="C22" s="13"/>
      <c r="D22" s="10">
        <f t="shared" ca="1" si="0"/>
        <v>20.416666666666668</v>
      </c>
      <c r="E22" s="10"/>
      <c r="F22" s="9"/>
      <c r="G22" s="10"/>
    </row>
  </sheetData>
  <mergeCells count="2">
    <mergeCell ref="I2:I3"/>
    <mergeCell ref="J2:J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2" baseType="lpstr">
      <vt:lpstr>Grafik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2023-04-20T10:16:56Z</dcterms:modified>
</cp:coreProperties>
</file>