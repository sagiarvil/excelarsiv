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6" xmlns:ns4="http://schemas.microsoft.com/office/spreadsheetml/2016/revision10" xmlns:ns5="http://schemas.microsoft.com/office/spreadsheetml/2015/revision2" xmlns:ns6="http://schemas.openxmlformats.org/officeDocument/2006/relationships" xmlns:ns7="http://schemas.microsoft.com/office/spreadsheetml/2010/11/main" xmlns:ns8="http://schemas.microsoft.com/office/spreadsheetml/2018/calcfeatures" ns1:Ignorable="x15 xr xr6 xr10 xr2">
  <ns0:fileVersion appName="xl" lastEdited="7" lowestEdited="6" rupBuild="26227" codeName="{37A63EE7-654F-3FA9-A528-636911D70600}"/>
  <ns0:workbookPr/>
  <ns2:revisionPtr revIDLastSave="0" documentId="13_ncr:1_{5EA7CD09-33FF-455E-9954-A1053FA71ABB}" ns3:coauthVersionLast="47" ns3:coauthVersionMax="47" ns4:uidLastSave="{00000000-0000-0000-0000-000000000000}"/>
  <ns0:bookViews>
    <ns0:workbookView xWindow="-96" yWindow="0" windowWidth="11712" windowHeight="12336" ns5:uid="{00000000-000D-0000-FFFF-FFFF00000000}" activeTab="0"/>
  </ns0:bookViews>
  <ns0:sheets>
    <ns0:sheet name="AnaSayfa" sheetId="1" ns6:id="rId2"/>
    <ns0:sheet name="data" sheetId="2" ns6:id="rId3"/>
  </ns0:sheets>
  <ns0:externalReferences>
    <ns0:externalReference ns6:id="rId4"/>
    <ns0:externalReference ns6:id="rId5"/>
    <ns0:externalReference ns6:id="rId6"/>
    <ns0:externalReference ns6:id="rId7"/>
    <ns0:externalReference ns6:id="rId8"/>
    <ns0:externalReference ns6:id="rId9"/>
    <ns0:externalReference ns6:id="rId10"/>
    <ns0:externalReference ns6:id="rId11"/>
  </ns0:externalReferences>
  <ns0:definedNames>
    <ns0:definedName name="DolarKuru">[1]Ürünlerim!$G$2</ns0:definedName>
    <ns0:definedName name="EuroKuru">[1]Ürünlerim!$G$3</ns0:definedName>
    <ns0:definedName name="Lst_Banka_Kasa">[2]!Tbl_Banka_Kasa[Banka-Kasa]</ns0:definedName>
    <ns0:definedName name="Lst_Cariler">[1]!Tablo3[Cari Adı]</ns0:definedName>
    <ns0:definedName name="lst_EmlakTipi">[3]!tbl_ayar_EmlakTipi[Emlak Tipi]</ns0:definedName>
    <ns0:definedName name="Lst_Maliye_Kategorileri">OFFSET([2]Pvt_Listeler!$A$3,1,0,COUNTA([2]Pvt_Listeler!$A:$A)-1,1)</ns0:definedName>
    <ns0:definedName name="lst_Müşteriler">[3]!Tablo1[İsim Soyisim]</ns0:definedName>
    <ns0:definedName name="Lst_Nakit_Vadeli">[1]!Tablo13[Nakit / Vadeli Seçimi]</ns0:definedName>
    <ns0:definedName name="Lst_Ödeme_Yön">[2]!Tbl_Ödeme_Yön[Ödeme Yöntemi]</ns0:definedName>
    <ns0:definedName name="lst_Satılık_Kiralık">[3]!tbl_ayar_Satılık[Satılık/Kiralık]</ns0:definedName>
    <ns0:definedName name="Lst_Satış_Per">[5]!Tablo2[Ad Soyad]</ns0:definedName>
    <ns0:definedName name="Lst_Servis">[2]!Tbl_Sektör_Kategori[Servis]</ns0:definedName>
    <ns0:definedName name="Lst_TümHisseler">[6]!TÜM_HİSSELER_1[Menkul]</ns0:definedName>
    <ns0:definedName name="Lst_Ürün_Ailesi">[2]!Tbl_Ürün_Ailesi[Ürün Ailesi]</ns0:definedName>
    <ns0:definedName name="Lst_Ürünler">[1]!Tablo4[Ürün Adı]</ns0:definedName>
    <ns0:definedName name="Lst_Ürünlerim">[7]!Tablo2[Ürün Adı]</ns0:definedName>
    <ns0:definedName name="Lst_Yıl_Ay">[2]!Tablo8[Tarihler]</ns0:definedName>
    <ns0:definedName name="oran">[8]Ürün_Fiyat_Listesi!$E$3</ns0:definedName>
  </ns0:definedNames>
  <ns0:calcPr calcId="191029"/>
  <ns0:extLst>
    <ns0:ext uri="{140A7094-0E35-4892-8432-C4D2E57EDEB5}">
      <ns7:workbookPr chartTrackingRefBase="1"/>
    </ns0:ext>
    <ns0:ext uri="{B58B0392-4F1F-4190-BB64-5DF3571DCE5F}">
      <ns8:calcFeatures>
        <ns8:feature name="microsoft.com:RD"/>
        <ns8:feature name="microsoft.com:Single"/>
        <ns8:feature name="microsoft.com:FV"/>
        <ns8:feature name="microsoft.com:CNMTM"/>
        <ns8:feature name="microsoft.com:LET_WF"/>
        <ns8:feature name="microsoft.com:LAMBDA_WF"/>
      </ns8:calcFeatures>
    </ns0:ext>
  </ns0:extLst>
</ns0:workbook>
</file>

<file path=xl/calcChain.xml><?xml version="1.0" encoding="utf-8"?>
<calcChain xmlns="http://schemas.openxmlformats.org/spreadsheetml/2006/main">
  <c r="K2" i="1" l="1"/>
  <c r="I6" i="1"/>
  <c r="I7" i="1"/>
  <c r="B7" i="1" s="1"/>
  <c r="I8" i="1"/>
  <c r="B8" i="1" s="1"/>
  <c r="I9" i="1"/>
  <c r="B9" i="1" s="1"/>
  <c r="I10" i="1"/>
  <c r="B10" i="1" s="1"/>
  <c r="I11" i="1"/>
  <c r="B11" i="1" s="1"/>
  <c r="I12" i="1"/>
  <c r="B12" i="1" s="1"/>
  <c r="I13" i="1"/>
  <c r="B13" i="1" s="1"/>
  <c r="I14" i="1"/>
  <c r="B14" i="1" s="1"/>
  <c r="I15" i="1"/>
  <c r="B15" i="1" s="1"/>
  <c r="I16" i="1"/>
  <c r="B16" i="1" s="1"/>
  <c r="I5" i="1"/>
  <c r="B5" i="1" s="1"/>
  <c r="B6" i="1"/>
  <c r="C10" i="1" l="1"/>
  <c r="D10" i="1" s="1"/>
  <c r="E10" i="1" s="1"/>
  <c r="C9" i="1"/>
  <c r="D9" i="1" s="1"/>
  <c r="E9" i="1" s="1"/>
  <c r="C8" i="1"/>
  <c r="D8" i="1" s="1"/>
  <c r="E8" i="1" s="1"/>
  <c r="C7" i="1"/>
  <c r="D7" i="1" s="1"/>
  <c r="E7" i="1" s="1"/>
  <c r="C6" i="1"/>
  <c r="D6" i="1" s="1"/>
  <c r="E6" i="1" s="1"/>
  <c r="C5" i="1"/>
  <c r="D5" i="1" s="1"/>
  <c r="E5" i="1" s="1"/>
  <c r="C16" i="1"/>
  <c r="D16" i="1" s="1"/>
  <c r="E16" i="1" s="1"/>
  <c r="C15" i="1"/>
  <c r="D15" i="1" s="1"/>
  <c r="E15" i="1" s="1"/>
  <c r="C14" i="1"/>
  <c r="D14" i="1" s="1"/>
  <c r="E14" i="1" s="1"/>
  <c r="C13" i="1"/>
  <c r="D13" i="1" s="1"/>
  <c r="E13" i="1" s="1"/>
  <c r="C12" i="1"/>
  <c r="D12" i="1" s="1"/>
  <c r="E12" i="1" s="1"/>
  <c r="C11" i="1"/>
  <c r="D11" i="1" s="1"/>
  <c r="E11" i="1" s="1"/>
</calcChain>
</file>

<file path=xl/sharedStrings.xml><?xml version="1.0" encoding="utf-8"?>
<sst xmlns="http://schemas.openxmlformats.org/spreadsheetml/2006/main" count="64" uniqueCount="38">
  <si>
    <t>Kategoriler</t>
  </si>
  <si>
    <t>Değer</t>
  </si>
  <si>
    <t>Kategori1</t>
  </si>
  <si>
    <t>Kategori2</t>
  </si>
  <si>
    <t>Kategori3</t>
  </si>
  <si>
    <t>Kategori4</t>
  </si>
  <si>
    <t>Kategori5</t>
  </si>
  <si>
    <t>Kategori6</t>
  </si>
  <si>
    <t>Kategori7</t>
  </si>
  <si>
    <t>Kategori8</t>
  </si>
  <si>
    <t>Kategori9</t>
  </si>
  <si>
    <t>Kategori10</t>
  </si>
  <si>
    <t>Gösterilecek Değer</t>
  </si>
  <si>
    <t>Oca</t>
  </si>
  <si>
    <t>Şub</t>
  </si>
  <si>
    <t>Mar</t>
  </si>
  <si>
    <t>Nis</t>
  </si>
  <si>
    <t>May</t>
  </si>
  <si>
    <t>Haz</t>
  </si>
  <si>
    <t>Tem</t>
  </si>
  <si>
    <t>Ağu</t>
  </si>
  <si>
    <t>Eyl</t>
  </si>
  <si>
    <t>Eki</t>
  </si>
  <si>
    <t>Kas</t>
  </si>
  <si>
    <t>Ara</t>
  </si>
  <si>
    <t>Aylar</t>
  </si>
  <si>
    <t>HAZIRLIK</t>
  </si>
  <si>
    <t>Değerler</t>
  </si>
  <si>
    <t>Değer2</t>
  </si>
  <si>
    <t>Çizgide Gösterilecek Değerler</t>
  </si>
  <si>
    <t>Kategori Seçiniz</t>
  </si>
  <si>
    <t>KILAVUZ</t>
  </si>
  <si>
    <t>EĞİTİM VİDEOSU</t>
  </si>
  <si>
    <t>KULLANICI KILAVUZU</t>
  </si>
  <si>
    <t>HAKKIMIZDA</t>
  </si>
  <si>
    <t>Bu şablonun nasıl kullanıldığını videolu ve detaylı bir şekilde öğrenmek için aşağıdaki düğmeye tıklayabilirsiniz.</t>
  </si>
  <si>
    <r>
      <t xml:space="preserve">Excel Şablonlarımızı nasıl kullanmanız gerektiğini öğrenmek için buraya tıklayarak </t>
    </r>
    <r>
      <rPr>
        <sz val="11"/>
        <color theme="1"/>
        <rFont val="Calibri"/>
        <family val="2"/>
        <scheme val="minor"/>
      </rPr>
      <t>Kullanıcı Kılavuzunu in</t>
    </r>
    <r>
      <rPr>
        <sz val="11"/>
        <color theme="1"/>
        <rFont val="Calibri"/>
        <family val="2"/>
        <scheme val="minor"/>
      </rPr>
      <t>direbilirsiniz.</t>
    </r>
  </si>
  <si>
    <t> olarak eğitim,danışmanlık ve yazılım hizmeti sunmaktayız. Ürün &amp; Hizmetlerimiz ve daha fazlası için tıklayınız.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</si>
</sst>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8"/>
      <color rgb="FF00B05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rgb="FF00B050"/>
      <name val="Calibri"/>
      <family val="2"/>
      <scheme val="minor"/>
    </font>
    <font>
      <sz val="11"/>
      <color theme="0"/>
      <name val="Calibri"/>
      <family val="2"/>
      <charset val="162"/>
      <scheme val="minor"/>
    </font>
    <font>
      <b/>
      <sz val="24"/>
      <color theme="0"/>
      <name val="Montserrat"/>
    </font>
    <font>
      <b/>
      <sz val="11"/>
      <color theme="4"/>
      <name val="Calibri"/>
      <family val="2"/>
      <scheme val="minor"/>
    </font>
    <font>
      <u/>
      <sz val="11"/>
      <color theme="10"/>
      <name val="Calibri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0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</borders>
  <cellStyleXfs count="3">
    <xf numFmtId="0" fontId="0" fillId="0" borderId="0"/>
    <xf numFmtId="0" fontId="1" fillId="0" borderId="0"/>
    <xf numFmtId="0" fontId="11" fillId="0" borderId="0" applyNumberFormat="0" applyFill="0" applyBorder="0" applyAlignment="0" applyProtection="0"/>
  </cellStyleXfs>
  <cellXfs count="34">
    <xf numFmtId="0" fontId="0" fillId="0" borderId="0" xfId="0"/>
    <xf numFmtId="0" fontId="0" fillId="0" borderId="1" xfId="0" applyBorder="1"/>
    <xf numFmtId="0" fontId="4" fillId="2" borderId="1" xfId="0" applyFont="1" applyFill="1" applyBorder="1"/>
    <xf numFmtId="0" fontId="0" fillId="3" borderId="0" xfId="0" applyFill="1"/>
    <xf numFmtId="0" fontId="5" fillId="3" borderId="0" xfId="0" applyFont="1" applyFill="1"/>
    <xf numFmtId="0" fontId="0" fillId="3" borderId="0" xfId="0" applyFill="1" applyAlignment="1">
      <alignment horizontal="center" vertical="center"/>
    </xf>
    <xf numFmtId="0" fontId="0" fillId="3" borderId="2" xfId="0" applyFill="1" applyBorder="1"/>
    <xf numFmtId="0" fontId="6" fillId="3" borderId="0" xfId="0" applyFont="1" applyFill="1" applyAlignment="1">
      <alignment horizontal="left" vertical="center"/>
    </xf>
    <xf numFmtId="0" fontId="3" fillId="3" borderId="2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4" borderId="2" xfId="0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7" fillId="3" borderId="0" xfId="0" applyFont="1" applyFill="1" applyAlignment="1">
      <alignment horizontal="left" vertical="center"/>
    </xf>
    <xf numFmtId="0" fontId="8" fillId="5" borderId="0" xfId="1" applyFont="1" applyFill="1" applyAlignment="1">
      <alignment horizontal="left" vertical="center" wrapText="1"/>
    </xf>
    <xf numFmtId="0" fontId="8" fillId="5" borderId="0" xfId="1" applyFont="1" applyFill="1" applyAlignment="1">
      <alignment horizontal="left" vertical="center"/>
    </xf>
    <xf numFmtId="0" fontId="9" fillId="5" borderId="3" xfId="1" applyFont="1" applyFill="1" applyBorder="1" applyAlignment="1">
      <alignment horizontal="left" vertical="center" wrapText="1" indent="1"/>
    </xf>
    <xf numFmtId="0" fontId="9" fillId="5" borderId="0" xfId="1" applyFont="1" applyFill="1" applyAlignment="1">
      <alignment horizontal="left" vertical="center" wrapText="1" indent="1"/>
    </xf>
    <xf numFmtId="0" fontId="9" fillId="5" borderId="0" xfId="1" applyFont="1" applyFill="1" applyAlignment="1">
      <alignment horizontal="left" vertical="top" wrapText="1"/>
    </xf>
    <xf numFmtId="0" fontId="1" fillId="0" borderId="0" xfId="1" applyAlignment="1">
      <alignment horizontal="left" vertical="center" wrapText="1"/>
    </xf>
    <xf numFmtId="0" fontId="1" fillId="0" borderId="0" xfId="1" applyAlignment="1">
      <alignment horizontal="left" vertical="center"/>
    </xf>
    <xf numFmtId="0" fontId="1" fillId="3" borderId="0" xfId="1" applyFill="1" applyAlignment="1">
      <alignment horizontal="left" vertical="center"/>
    </xf>
    <xf numFmtId="0" fontId="1" fillId="3" borderId="0" xfId="1" applyFill="1" applyAlignment="1">
      <alignment horizontal="left" vertical="top"/>
    </xf>
    <xf numFmtId="0" fontId="10" fillId="3" borderId="4" xfId="1" applyFont="1" applyFill="1" applyBorder="1" applyAlignment="1">
      <alignment vertical="top"/>
    </xf>
    <xf numFmtId="0" fontId="1" fillId="3" borderId="4" xfId="1" applyFill="1" applyBorder="1" applyAlignment="1">
      <alignment vertical="top" wrapText="1"/>
    </xf>
    <xf numFmtId="0" fontId="1" fillId="0" borderId="0" xfId="1" applyAlignment="1">
      <alignment horizontal="left" vertical="top"/>
    </xf>
    <xf numFmtId="0" fontId="11" fillId="3" borderId="0" xfId="2" applyFill="1" applyAlignment="1">
      <alignment horizontal="left" vertical="center"/>
    </xf>
    <xf numFmtId="0" fontId="1" fillId="3" borderId="0" xfId="1" applyFill="1" applyAlignment="1">
      <alignment vertical="center" wrapText="1"/>
    </xf>
    <xf numFmtId="0" fontId="1" fillId="3" borderId="0" xfId="1" applyFill="1" applyAlignment="1">
      <alignment vertical="top" wrapText="1"/>
    </xf>
    <xf numFmtId="0" fontId="1" fillId="3" borderId="0" xfId="1" applyFill="1"/>
    <xf numFmtId="0" fontId="1" fillId="3" borderId="0" xfId="1" applyFill="1" applyAlignment="1">
      <alignment horizontal="left" vertical="top" wrapText="1"/>
    </xf>
    <xf numFmtId="0" fontId="0" fillId="3" borderId="0" xfId="1" applyFont="1" applyFill="1" applyAlignment="1">
      <alignment horizontal="left" vertical="top" wrapText="1"/>
    </xf>
    <xf numFmtId="0" fontId="1" fillId="0" borderId="0" xfId="1"/>
    <xf numFmtId="0" fontId="1" fillId="3" borderId="0" xfId="1" applyFill="1" applyAlignment="1">
      <alignment horizontal="left" vertical="center" wrapText="1"/>
    </xf>
  </cellXfs>
  <cellStyles count="3">
    <cellStyle name="Köprü 2" xfId="2" xr:uid="{D3817633-2376-4958-8FE8-2066D5AECBC3}"/>
    <cellStyle name="Normal" xfId="0" builtinId="0"/>
    <cellStyle name="Normal 2" xfId="1" xr:uid="{DB2D0627-480D-4C55-B937-6F641290EF91}"/>
  </cellStyles>
  <dxfs count="0"/>
  <tableStyles count="0" defaultTableStyle="TableStyleMedium2" defaultPivotStyle="PivotStyleLight16"/>
  <colors>
    <mruColors>
      <color rgb="FF006C31"/>
      <color rgb="FF15FF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8" Type="http://schemas.openxmlformats.org/officeDocument/2006/relationships/externalLink" Target="externalLinks/externalLink5.xml" /><ns0:Relationship Id="rId13" Type="http://schemas.openxmlformats.org/officeDocument/2006/relationships/styles" Target="styles.xml" /><ns0:Relationship Id="rId3" Type="http://schemas.openxmlformats.org/officeDocument/2006/relationships/worksheet" Target="worksheets/sheet3.xml" /><ns0:Relationship Id="rId7" Type="http://schemas.openxmlformats.org/officeDocument/2006/relationships/externalLink" Target="externalLinks/externalLink4.xml" /><ns0:Relationship Id="rId12" Type="http://schemas.openxmlformats.org/officeDocument/2006/relationships/theme" Target="theme/theme1.xml" /><ns0:Relationship Id="rId2" Type="http://schemas.openxmlformats.org/officeDocument/2006/relationships/worksheet" Target="worksheets/sheet2.xml" /><ns0:Relationship Id="rId6" Type="http://schemas.openxmlformats.org/officeDocument/2006/relationships/externalLink" Target="externalLinks/externalLink3.xml" /><ns0:Relationship Id="rId11" Type="http://schemas.openxmlformats.org/officeDocument/2006/relationships/externalLink" Target="externalLinks/externalLink8.xml" /><ns0:Relationship Id="rId5" Type="http://schemas.openxmlformats.org/officeDocument/2006/relationships/externalLink" Target="externalLinks/externalLink2.xml" /><ns0:Relationship Id="rId15" Type="http://schemas.openxmlformats.org/officeDocument/2006/relationships/calcChain" Target="calcChain.xml" /><ns0:Relationship Id="rId10" Type="http://schemas.openxmlformats.org/officeDocument/2006/relationships/externalLink" Target="externalLinks/externalLink7.xml" /><ns0:Relationship Id="rId4" Type="http://schemas.openxmlformats.org/officeDocument/2006/relationships/externalLink" Target="externalLinks/externalLink1.xml" /><ns0:Relationship Id="rId9" Type="http://schemas.openxmlformats.org/officeDocument/2006/relationships/externalLink" Target="externalLinks/externalLink6.xml" /><ns0:Relationship Id="rId14" Type="http://schemas.openxmlformats.org/officeDocument/2006/relationships/sharedStrings" Target="sharedStrings.xml" /></ns0: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AnaSayfa!$C$4</c:f>
              <c:strCache>
                <c:ptCount val="1"/>
                <c:pt idx="0">
                  <c:v>Değer2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317699BF-9931-4B05-BA81-57FF61751D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FFBE-4868-B43D-5039745FC62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11EDF92-8796-4991-8EAD-1B209930A4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FBE-4868-B43D-5039745FC62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9782776-508F-4ACF-8A87-FFB94AE491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FBE-4868-B43D-5039745FC62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2D99E58-0C2A-4140-977E-E0B4B68CEE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FBE-4868-B43D-5039745FC62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D76B13D-D892-490B-A26E-C9075F8125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FBE-4868-B43D-5039745FC62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7557BAC-CEE7-4EF2-A541-FF8CD01EED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FBE-4868-B43D-5039745FC62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79B0F29-C602-4884-AF3A-FE5644B039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FBE-4868-B43D-5039745FC62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DEF0AEE-2517-415E-B80E-D6C5F584E2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FBE-4868-B43D-5039745FC62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6949D1C1-C118-4D88-8F19-D798711EBF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FBE-4868-B43D-5039745FC62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31D789AE-4D7E-404B-B5EF-EC8E1C6658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FBE-4868-B43D-5039745FC62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2AE6C598-C442-4B5C-B98F-53931604AA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FFBE-4868-B43D-5039745FC62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514D53B0-4FC7-487F-8BE6-690BDE8668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FFBE-4868-B43D-5039745FC6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6C3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AnaSayfa!$C$5:$C$16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411.58333333333337</c:v>
                </c:pt>
                <c:pt idx="10">
                  <c:v>389.58333333333337</c:v>
                </c:pt>
                <c:pt idx="11">
                  <c:v>413.58333333333337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AnaSayfa!$D$5:$D$16</c15:f>
                <c15:dlblRangeCache>
                  <c:ptCount val="12"/>
                  <c:pt idx="9">
                    <c:v>236</c:v>
                  </c:pt>
                  <c:pt idx="10">
                    <c:v>214</c:v>
                  </c:pt>
                  <c:pt idx="11">
                    <c:v>238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FFBE-4868-B43D-5039745FC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7"/>
        <c:axId val="1660618975"/>
        <c:axId val="1653696863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bg1">
                  <a:lumMod val="95000"/>
                </a:schemeClr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rgbClr val="00B050"/>
              </a:solidFill>
              <a:ln w="31750">
                <a:solidFill>
                  <a:schemeClr val="bg1">
                    <a:lumMod val="95000"/>
                  </a:schemeClr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7B444179-69C6-4E9C-947D-B356BA700F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FFBE-4868-B43D-5039745FC62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05792A1-D824-4130-9CD0-F85C645B0B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FFBE-4868-B43D-5039745FC62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C4A1F58-B8C1-4A77-9DA1-230CBAD264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FFBE-4868-B43D-5039745FC62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3EEB4A2-C413-4507-9B58-AA846743DD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FFBE-4868-B43D-5039745FC62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4A3F330-7DBD-4D07-802E-034FBA9BCB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FFBE-4868-B43D-5039745FC62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4C5358E-141B-44CA-9C13-E61EA921D6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FBE-4868-B43D-5039745FC62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1A6094E-FEF2-4F56-A17D-8C75C7D9F6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FFBE-4868-B43D-5039745FC62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4985C3D-5120-4594-BF77-BF49CB7494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FFBE-4868-B43D-5039745FC62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87A18E0C-C7FB-46AA-A6A1-3D5AE35D87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FFBE-4868-B43D-5039745FC62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01861EB0-EA01-4CA6-80B4-9E576107E8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FFBE-4868-B43D-5039745FC62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53CA5510-BA95-4770-90D5-58BDC2FE4D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FFBE-4868-B43D-5039745FC62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CA7338E3-86F5-48CB-B790-80A3714405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FFBE-4868-B43D-5039745FC6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AnaSayfa!$A$5:$A$16</c:f>
              <c:strCache>
                <c:ptCount val="12"/>
                <c:pt idx="0">
                  <c:v>Oca</c:v>
                </c:pt>
                <c:pt idx="1">
                  <c:v>Şub</c:v>
                </c:pt>
                <c:pt idx="2">
                  <c:v>Mar</c:v>
                </c:pt>
                <c:pt idx="3">
                  <c:v>Nis</c:v>
                </c:pt>
                <c:pt idx="4">
                  <c:v>May</c:v>
                </c:pt>
                <c:pt idx="5">
                  <c:v>Haz</c:v>
                </c:pt>
                <c:pt idx="6">
                  <c:v>Tem</c:v>
                </c:pt>
                <c:pt idx="7">
                  <c:v>Ağu</c:v>
                </c:pt>
                <c:pt idx="8">
                  <c:v>Eyl</c:v>
                </c:pt>
                <c:pt idx="9">
                  <c:v>Eki</c:v>
                </c:pt>
                <c:pt idx="10">
                  <c:v>Kas</c:v>
                </c:pt>
                <c:pt idx="11">
                  <c:v>Ara</c:v>
                </c:pt>
              </c:strCache>
            </c:strRef>
          </c:cat>
          <c:val>
            <c:numRef>
              <c:f>AnaSayfa!$B$5:$B$16</c:f>
              <c:numCache>
                <c:formatCode>General</c:formatCode>
                <c:ptCount val="12"/>
                <c:pt idx="0">
                  <c:v>183</c:v>
                </c:pt>
                <c:pt idx="1">
                  <c:v>182</c:v>
                </c:pt>
                <c:pt idx="2">
                  <c:v>97</c:v>
                </c:pt>
                <c:pt idx="3">
                  <c:v>74</c:v>
                </c:pt>
                <c:pt idx="4">
                  <c:v>96</c:v>
                </c:pt>
                <c:pt idx="5">
                  <c:v>194</c:v>
                </c:pt>
                <c:pt idx="6">
                  <c:v>182</c:v>
                </c:pt>
                <c:pt idx="7">
                  <c:v>208</c:v>
                </c:pt>
                <c:pt idx="8">
                  <c:v>203</c:v>
                </c:pt>
                <c:pt idx="9">
                  <c:v>236</c:v>
                </c:pt>
                <c:pt idx="10">
                  <c:v>214</c:v>
                </c:pt>
                <c:pt idx="11">
                  <c:v>238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datalabelsRange>
                <c15:f>AnaSayfa!$E$5:$E$16</c15:f>
                <c15:dlblRangeCache>
                  <c:ptCount val="12"/>
                  <c:pt idx="0">
                    <c:v>183</c:v>
                  </c:pt>
                  <c:pt idx="1">
                    <c:v>182</c:v>
                  </c:pt>
                  <c:pt idx="2">
                    <c:v>97</c:v>
                  </c:pt>
                  <c:pt idx="3">
                    <c:v>74</c:v>
                  </c:pt>
                  <c:pt idx="4">
                    <c:v>96</c:v>
                  </c:pt>
                  <c:pt idx="5">
                    <c:v>194</c:v>
                  </c:pt>
                  <c:pt idx="6">
                    <c:v>182</c:v>
                  </c:pt>
                  <c:pt idx="7">
                    <c:v>208</c:v>
                  </c:pt>
                  <c:pt idx="8">
                    <c:v>203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FFBE-4868-B43D-5039745FC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0618975"/>
        <c:axId val="1653696863"/>
      </c:lineChart>
      <c:catAx>
        <c:axId val="16606189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bg1">
                <a:lumMod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696863"/>
        <c:crosses val="autoZero"/>
        <c:auto val="1"/>
        <c:lblAlgn val="ctr"/>
        <c:lblOffset val="100"/>
        <c:noMultiLvlLbl val="0"/>
      </c:catAx>
      <c:valAx>
        <c:axId val="16536968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660618975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85000"/>
        <a:lumOff val="15000"/>
      </a:schemeClr>
    </a:solidFill>
    <a:ln w="9525" cap="flat" cmpd="sng" algn="ctr">
      <a:solidFill>
        <a:schemeClr val="bg1">
          <a:lumMod val="85000"/>
          <a:alpha val="0"/>
        </a:schemeClr>
      </a:solidFill>
      <a:round/>
    </a:ln>
    <a:effectLst>
      <a:outerShdw blurRad="152400" dir="3360000" sx="102000" sy="102000" algn="ctr" rotWithShape="0">
        <a:srgbClr val="000000">
          <a:alpha val="34000"/>
        </a:srgb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567396</xdr:colOff>
      <xdr:row>2</xdr:row>
      <xdr:rowOff>267699</xdr:rowOff>
    </xdr:from>
    <xdr:to>
      <xdr:col>18</xdr:col>
      <xdr:colOff>590256</xdr:colOff>
      <xdr:row>17</xdr:row>
      <xdr:rowOff>101991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44E7E1E5-A8F2-404B-82A2-44A942D1B0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1-In_Prog/2022-06-02-Mahmut_Yal&#231;&#305;n_Ayakab&#305;_Hammadde/Main_Sipari&#351;_Fi&#351;i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Tamamlananlar/2022-04-18-Express_Solutions_Mozambik/ES-Sat&#305;&#351;-Al&#305;&#351;-Maliyet_Program&#305;_v0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Emlak%20Takip%20Program&#305;.xlsm" TargetMode="External"/><Relationship Id="rId1" Type="http://schemas.openxmlformats.org/officeDocument/2006/relationships/externalLinkPath" Target="file:///C:\Users\salih\Desktop\-Emlak%20Takip%20Program&#305;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_Hamburger_Men&#252;l&#252;.xlsm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BORSA_PROGRAMI.xlsm" TargetMode="External"/><Relationship Id="rId1" Type="http://schemas.openxmlformats.org/officeDocument/2006/relationships/externalLinkPath" Target="file:///C:\Users\salih\Desktop\-BORSA_PROGRAMI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WEBSITES/BLOG./Free_Resources/-Stok_Program&#305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PRODUCTS/Shopier/Paketler/40plus_Excel_&#350;ablon_Paketi/2022-04-25_40+_&#350;ablonlar_VBA_Kilitli/Program%20&amp;%20Taslaklar/-Fiyatlara_Zam-&#304;ndirim_Uygulama_Program&#305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ipariş Fişi"/>
      <sheetName val="Siparişler"/>
      <sheetName val="Ürünlerim"/>
      <sheetName val="Carilerim"/>
      <sheetName val="Döküm Raporu"/>
      <sheetName val="Ayarlar"/>
      <sheetName val="Kılavuz"/>
      <sheetName val="Sayfa3"/>
      <sheetName val="Main_Sipariş_Fişi"/>
    </sheetNames>
    <sheetDataSet>
      <sheetData sheetId="0"/>
      <sheetData sheetId="1"/>
      <sheetData sheetId="2">
        <row r="2">
          <cell r="G2">
            <v>15</v>
          </cell>
        </row>
        <row r="3">
          <cell r="G3">
            <v>16</v>
          </cell>
        </row>
      </sheetData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atışlar"/>
      <sheetName val="G_Alışlar"/>
      <sheetName val="G_Maliyetler"/>
      <sheetName val="R_DashBoard"/>
      <sheetName val="R_Servis"/>
      <sheetName val="R_Banka-Kasa"/>
      <sheetName val="R_Müş-Ted"/>
      <sheetName val="R_Vade"/>
      <sheetName val="Ayarlar"/>
      <sheetName val="Personeller"/>
      <sheetName val="Kılavuz"/>
      <sheetName val="data"/>
      <sheetName val="pvt_Dashh"/>
      <sheetName val="Pvt_Listeler"/>
      <sheetName val="ES-Satış-Alış-Maliyet_Programı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>
        <row r="3">
          <cell r="A3" t="str">
            <v>Maliyet Kategorisi</v>
          </cell>
        </row>
        <row r="4">
          <cell r="A4" t="str">
            <v>Ofis</v>
          </cell>
        </row>
        <row r="5">
          <cell r="A5" t="str">
            <v>Personel Giderleri</v>
          </cell>
        </row>
        <row r="6">
          <cell r="A6" t="str">
            <v>Yatırım Giderleri</v>
          </cell>
        </row>
      </sheetData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ılavuz"/>
      <sheetName val="✚ Giriş"/>
      <sheetName val="✚ Müşteriler"/>
      <sheetName val="◔ Rapor"/>
      <sheetName val="❖ Ayarlar"/>
      <sheetName val="pv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_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etim"/>
      <sheetName val="Rapor"/>
      <sheetName val="BIST 100"/>
      <sheetName val="TÜM HİSSELER"/>
      <sheetName val="Kaynaklar"/>
      <sheetName val="-BORSA_PROGRAMI"/>
      <sheetName val="Kılavuz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Stok Hareketleri"/>
      <sheetName val="Ürünlerim"/>
      <sheetName val="Rapor"/>
      <sheetName val="-Stok_Programı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Ürün_Fiyat_Listesi"/>
    </sheetNames>
    <sheetDataSet>
      <sheetData sheetId="0" refreshError="1"/>
      <sheetData sheetId="1">
        <row r="3">
          <cell r="E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K16"/>
  <sheetViews>
    <sheetView showGridLines="0" topLeftCell="F1" zoomScale="130" zoomScaleNormal="130" workbookViewId="0">
      <selection activeCell="U4" sqref="U4"/>
    </sheetView>
  </sheetViews>
  <sheetFormatPr defaultRowHeight="14.4" x14ac:dyDescent="0.3"/>
  <cols>
    <col min="1" max="1" width="10.109375" style="3" hidden="1" customWidth="1"/>
    <col min="2" max="2" width="9.21875" style="3" hidden="1" customWidth="1"/>
    <col min="3" max="3" width="11.6640625" style="3" hidden="1" customWidth="1"/>
    <col min="4" max="4" width="17.77734375" style="3" hidden="1" customWidth="1"/>
    <col min="5" max="5" width="25.77734375" style="3" hidden="1" customWidth="1"/>
    <col min="6" max="7" width="3.109375" style="3" customWidth="1"/>
    <col min="8" max="8" width="14.5546875" style="3" customWidth="1"/>
    <col min="9" max="9" width="12" style="3" customWidth="1"/>
    <col min="10" max="16384" width="8.88671875" style="3"/>
  </cols>
  <sheetData>
    <row r="2" spans="1:11" s="5" customFormat="1" ht="27" customHeight="1" x14ac:dyDescent="0.45">
      <c r="A2" s="7" t="s">
        <v>26</v>
      </c>
      <c r="F2" s="4"/>
      <c r="H2" s="5" t="s">
        <v>30</v>
      </c>
      <c r="I2" s="10" t="s">
        <v>7</v>
      </c>
      <c r="K2" s="13" t="str">
        <f>I2&amp;" Satışları"</f>
        <v>Kategori6 Satışları</v>
      </c>
    </row>
    <row r="3" spans="1:11" ht="23.4" customHeight="1" x14ac:dyDescent="0.3"/>
    <row r="4" spans="1:11" s="9" customFormat="1" x14ac:dyDescent="0.3">
      <c r="A4" s="8" t="s">
        <v>25</v>
      </c>
      <c r="B4" s="8" t="s">
        <v>1</v>
      </c>
      <c r="C4" s="8" t="s">
        <v>28</v>
      </c>
      <c r="D4" s="8" t="s">
        <v>12</v>
      </c>
      <c r="E4" s="8" t="s">
        <v>29</v>
      </c>
      <c r="H4" s="11" t="s">
        <v>25</v>
      </c>
      <c r="I4" s="12" t="s">
        <v>27</v>
      </c>
    </row>
    <row r="5" spans="1:11" x14ac:dyDescent="0.3">
      <c r="A5" s="6" t="s">
        <v>13</v>
      </c>
      <c r="B5" s="6">
        <f>I5</f>
        <v>183</v>
      </c>
      <c r="C5" s="6" t="str">
        <f>IF(OR(B5=LARGE($B$5:$B$16,1),B5=LARGE($B$5:$B$16,2),B5=LARGE($B$5:$B$16,3)),B5+AVERAGE($B$5:$B$16),"")</f>
        <v/>
      </c>
      <c r="D5" s="6" t="str">
        <f>IF(C5="","",B5)</f>
        <v/>
      </c>
      <c r="E5" s="6">
        <f>IF(D5="",B5,"")</f>
        <v>183</v>
      </c>
      <c r="H5" s="6" t="s">
        <v>13</v>
      </c>
      <c r="I5" s="6">
        <f>INDEX(data!$B$2:$M$11,MATCH(AnaSayfa!$I$2,data!$A$2:$A$11,0),MATCH(AnaSayfa!H5,data!$B$1:$M$1,0))</f>
        <v>183</v>
      </c>
    </row>
    <row r="6" spans="1:11" x14ac:dyDescent="0.3">
      <c r="A6" s="6" t="s">
        <v>14</v>
      </c>
      <c r="B6" s="6">
        <f t="shared" ref="B6:B16" si="0">I6</f>
        <v>182</v>
      </c>
      <c r="C6" s="6" t="str">
        <f t="shared" ref="C6:C16" si="1">IF(OR(B6=LARGE($B$5:$B$16,1),B6=LARGE($B$5:$B$16,2),B6=LARGE($B$5:$B$16,3)),B6+AVERAGE($B$5:$B$16),"")</f>
        <v/>
      </c>
      <c r="D6" s="6" t="str">
        <f t="shared" ref="D6:D16" si="2">IF(C6="","",B6)</f>
        <v/>
      </c>
      <c r="E6" s="6">
        <f t="shared" ref="E6:E16" si="3">IF(D6="",B6,"")</f>
        <v>182</v>
      </c>
      <c r="H6" s="6" t="s">
        <v>14</v>
      </c>
      <c r="I6" s="6">
        <f>INDEX(data!$B$2:$M$11,MATCH(AnaSayfa!$I$2,data!$A$2:$A$11,0),MATCH(AnaSayfa!H6,data!$B$1:$M$1,0))</f>
        <v>182</v>
      </c>
    </row>
    <row r="7" spans="1:11" x14ac:dyDescent="0.3">
      <c r="A7" s="6" t="s">
        <v>15</v>
      </c>
      <c r="B7" s="6">
        <f t="shared" si="0"/>
        <v>97</v>
      </c>
      <c r="C7" s="6" t="str">
        <f t="shared" si="1"/>
        <v/>
      </c>
      <c r="D7" s="6" t="str">
        <f t="shared" si="2"/>
        <v/>
      </c>
      <c r="E7" s="6">
        <f t="shared" si="3"/>
        <v>97</v>
      </c>
      <c r="H7" s="6" t="s">
        <v>15</v>
      </c>
      <c r="I7" s="6">
        <f>INDEX(data!$B$2:$M$11,MATCH(AnaSayfa!$I$2,data!$A$2:$A$11,0),MATCH(AnaSayfa!H7,data!$B$1:$M$1,0))</f>
        <v>97</v>
      </c>
    </row>
    <row r="8" spans="1:11" x14ac:dyDescent="0.3">
      <c r="A8" s="6" t="s">
        <v>16</v>
      </c>
      <c r="B8" s="6">
        <f t="shared" si="0"/>
        <v>74</v>
      </c>
      <c r="C8" s="6" t="str">
        <f t="shared" si="1"/>
        <v/>
      </c>
      <c r="D8" s="6" t="str">
        <f t="shared" si="2"/>
        <v/>
      </c>
      <c r="E8" s="6">
        <f t="shared" si="3"/>
        <v>74</v>
      </c>
      <c r="H8" s="6" t="s">
        <v>16</v>
      </c>
      <c r="I8" s="6">
        <f>INDEX(data!$B$2:$M$11,MATCH(AnaSayfa!$I$2,data!$A$2:$A$11,0),MATCH(AnaSayfa!H8,data!$B$1:$M$1,0))</f>
        <v>74</v>
      </c>
    </row>
    <row r="9" spans="1:11" x14ac:dyDescent="0.3">
      <c r="A9" s="6" t="s">
        <v>17</v>
      </c>
      <c r="B9" s="6">
        <f t="shared" si="0"/>
        <v>96</v>
      </c>
      <c r="C9" s="6" t="str">
        <f t="shared" si="1"/>
        <v/>
      </c>
      <c r="D9" s="6" t="str">
        <f t="shared" si="2"/>
        <v/>
      </c>
      <c r="E9" s="6">
        <f t="shared" si="3"/>
        <v>96</v>
      </c>
      <c r="H9" s="6" t="s">
        <v>17</v>
      </c>
      <c r="I9" s="6">
        <f>INDEX(data!$B$2:$M$11,MATCH(AnaSayfa!$I$2,data!$A$2:$A$11,0),MATCH(AnaSayfa!H9,data!$B$1:$M$1,0))</f>
        <v>96</v>
      </c>
    </row>
    <row r="10" spans="1:11" x14ac:dyDescent="0.3">
      <c r="A10" s="6" t="s">
        <v>18</v>
      </c>
      <c r="B10" s="6">
        <f t="shared" si="0"/>
        <v>194</v>
      </c>
      <c r="C10" s="6" t="str">
        <f t="shared" si="1"/>
        <v/>
      </c>
      <c r="D10" s="6" t="str">
        <f t="shared" si="2"/>
        <v/>
      </c>
      <c r="E10" s="6">
        <f t="shared" si="3"/>
        <v>194</v>
      </c>
      <c r="H10" s="6" t="s">
        <v>18</v>
      </c>
      <c r="I10" s="6">
        <f>INDEX(data!$B$2:$M$11,MATCH(AnaSayfa!$I$2,data!$A$2:$A$11,0),MATCH(AnaSayfa!H10,data!$B$1:$M$1,0))</f>
        <v>194</v>
      </c>
    </row>
    <row r="11" spans="1:11" x14ac:dyDescent="0.3">
      <c r="A11" s="6" t="s">
        <v>19</v>
      </c>
      <c r="B11" s="6">
        <f t="shared" si="0"/>
        <v>182</v>
      </c>
      <c r="C11" s="6" t="str">
        <f t="shared" si="1"/>
        <v/>
      </c>
      <c r="D11" s="6" t="str">
        <f t="shared" si="2"/>
        <v/>
      </c>
      <c r="E11" s="6">
        <f t="shared" si="3"/>
        <v>182</v>
      </c>
      <c r="H11" s="6" t="s">
        <v>19</v>
      </c>
      <c r="I11" s="6">
        <f>INDEX(data!$B$2:$M$11,MATCH(AnaSayfa!$I$2,data!$A$2:$A$11,0),MATCH(AnaSayfa!H11,data!$B$1:$M$1,0))</f>
        <v>182</v>
      </c>
    </row>
    <row r="12" spans="1:11" x14ac:dyDescent="0.3">
      <c r="A12" s="6" t="s">
        <v>20</v>
      </c>
      <c r="B12" s="6">
        <f t="shared" si="0"/>
        <v>208</v>
      </c>
      <c r="C12" s="6" t="str">
        <f t="shared" si="1"/>
        <v/>
      </c>
      <c r="D12" s="6" t="str">
        <f t="shared" si="2"/>
        <v/>
      </c>
      <c r="E12" s="6">
        <f t="shared" si="3"/>
        <v>208</v>
      </c>
      <c r="H12" s="6" t="s">
        <v>20</v>
      </c>
      <c r="I12" s="6">
        <f>INDEX(data!$B$2:$M$11,MATCH(AnaSayfa!$I$2,data!$A$2:$A$11,0),MATCH(AnaSayfa!H12,data!$B$1:$M$1,0))</f>
        <v>208</v>
      </c>
    </row>
    <row r="13" spans="1:11" x14ac:dyDescent="0.3">
      <c r="A13" s="6" t="s">
        <v>21</v>
      </c>
      <c r="B13" s="6">
        <f t="shared" si="0"/>
        <v>203</v>
      </c>
      <c r="C13" s="6" t="str">
        <f t="shared" si="1"/>
        <v/>
      </c>
      <c r="D13" s="6" t="str">
        <f t="shared" si="2"/>
        <v/>
      </c>
      <c r="E13" s="6">
        <f t="shared" si="3"/>
        <v>203</v>
      </c>
      <c r="H13" s="6" t="s">
        <v>21</v>
      </c>
      <c r="I13" s="6">
        <f>INDEX(data!$B$2:$M$11,MATCH(AnaSayfa!$I$2,data!$A$2:$A$11,0),MATCH(AnaSayfa!H13,data!$B$1:$M$1,0))</f>
        <v>203</v>
      </c>
    </row>
    <row r="14" spans="1:11" x14ac:dyDescent="0.3">
      <c r="A14" s="6" t="s">
        <v>22</v>
      </c>
      <c r="B14" s="6">
        <f t="shared" si="0"/>
        <v>236</v>
      </c>
      <c r="C14" s="6">
        <f t="shared" si="1"/>
        <v>411.58333333333337</v>
      </c>
      <c r="D14" s="6">
        <f t="shared" si="2"/>
        <v>236</v>
      </c>
      <c r="E14" s="6" t="str">
        <f t="shared" si="3"/>
        <v/>
      </c>
      <c r="H14" s="6" t="s">
        <v>22</v>
      </c>
      <c r="I14" s="6">
        <f>INDEX(data!$B$2:$M$11,MATCH(AnaSayfa!$I$2,data!$A$2:$A$11,0),MATCH(AnaSayfa!H14,data!$B$1:$M$1,0))</f>
        <v>236</v>
      </c>
    </row>
    <row r="15" spans="1:11" x14ac:dyDescent="0.3">
      <c r="A15" s="6" t="s">
        <v>23</v>
      </c>
      <c r="B15" s="6">
        <f t="shared" si="0"/>
        <v>214</v>
      </c>
      <c r="C15" s="6">
        <f t="shared" si="1"/>
        <v>389.58333333333337</v>
      </c>
      <c r="D15" s="6">
        <f t="shared" si="2"/>
        <v>214</v>
      </c>
      <c r="E15" s="6" t="str">
        <f t="shared" si="3"/>
        <v/>
      </c>
      <c r="H15" s="6" t="s">
        <v>23</v>
      </c>
      <c r="I15" s="6">
        <f>INDEX(data!$B$2:$M$11,MATCH(AnaSayfa!$I$2,data!$A$2:$A$11,0),MATCH(AnaSayfa!H15,data!$B$1:$M$1,0))</f>
        <v>214</v>
      </c>
    </row>
    <row r="16" spans="1:11" x14ac:dyDescent="0.3">
      <c r="A16" s="6" t="s">
        <v>24</v>
      </c>
      <c r="B16" s="6">
        <f t="shared" si="0"/>
        <v>238</v>
      </c>
      <c r="C16" s="6">
        <f t="shared" si="1"/>
        <v>413.58333333333337</v>
      </c>
      <c r="D16" s="6">
        <f t="shared" si="2"/>
        <v>238</v>
      </c>
      <c r="E16" s="6" t="str">
        <f t="shared" si="3"/>
        <v/>
      </c>
      <c r="H16" s="6" t="s">
        <v>24</v>
      </c>
      <c r="I16" s="6">
        <f>INDEX(data!$B$2:$M$11,MATCH(AnaSayfa!$I$2,data!$A$2:$A$11,0),MATCH(AnaSayfa!H16,data!$B$1:$M$1,0))</f>
        <v>238</v>
      </c>
    </row>
  </sheetData>
  <phoneticPr fontId="2" type="noConversion"/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7D15609-8FAF-4C6C-BD8E-9DEE1B329DA7}">
          <x14:formula1>
            <xm:f>data!$A$2:$A$11</xm:f>
          </x14:formula1>
          <xm:sqref>I2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77C90-486A-4438-BCF1-4F6B7773D110}">
  <sheetPr codeName="Sheet2"/>
  <dimension ref="A1:M11"/>
  <sheetViews>
    <sheetView showGridLines="0" zoomScale="160" zoomScaleNormal="160" workbookViewId="0">
      <selection activeCell="B6" sqref="B6:M6"/>
    </sheetView>
  </sheetViews>
  <sheetFormatPr defaultRowHeight="14.4" x14ac:dyDescent="0.3"/>
  <cols>
    <col min="1" max="1" width="12.77734375" customWidth="1"/>
  </cols>
  <sheetData>
    <row r="1" spans="1:13" x14ac:dyDescent="0.3">
      <c r="A1" s="2" t="s">
        <v>0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</row>
    <row r="2" spans="1:13" x14ac:dyDescent="0.3">
      <c r="A2" s="1" t="s">
        <v>2</v>
      </c>
      <c r="B2" s="1">
        <v>66</v>
      </c>
      <c r="C2" s="1">
        <v>173</v>
      </c>
      <c r="D2" s="1">
        <v>88</v>
      </c>
      <c r="E2" s="1">
        <v>176</v>
      </c>
      <c r="F2" s="1">
        <v>116</v>
      </c>
      <c r="G2" s="1">
        <v>80</v>
      </c>
      <c r="H2" s="1">
        <v>241</v>
      </c>
      <c r="I2" s="1">
        <v>141</v>
      </c>
      <c r="J2" s="1">
        <v>204</v>
      </c>
      <c r="K2" s="1">
        <v>83</v>
      </c>
      <c r="L2" s="1">
        <v>175</v>
      </c>
      <c r="M2" s="1">
        <v>123</v>
      </c>
    </row>
    <row r="3" spans="1:13" x14ac:dyDescent="0.3">
      <c r="A3" s="1" t="s">
        <v>3</v>
      </c>
      <c r="B3" s="1">
        <v>128</v>
      </c>
      <c r="C3" s="1">
        <v>94</v>
      </c>
      <c r="D3" s="1">
        <v>78</v>
      </c>
      <c r="E3" s="1">
        <v>182</v>
      </c>
      <c r="F3" s="1">
        <v>135</v>
      </c>
      <c r="G3" s="1">
        <v>127</v>
      </c>
      <c r="H3" s="1">
        <v>164</v>
      </c>
      <c r="I3" s="1">
        <v>149</v>
      </c>
      <c r="J3" s="1">
        <v>245</v>
      </c>
      <c r="K3" s="1">
        <v>102</v>
      </c>
      <c r="L3" s="1">
        <v>202</v>
      </c>
      <c r="M3" s="1">
        <v>220</v>
      </c>
    </row>
    <row r="4" spans="1:13" x14ac:dyDescent="0.3">
      <c r="A4" s="1" t="s">
        <v>4</v>
      </c>
      <c r="B4" s="1">
        <v>180</v>
      </c>
      <c r="C4" s="1">
        <v>202</v>
      </c>
      <c r="D4" s="1">
        <v>191</v>
      </c>
      <c r="E4" s="1">
        <v>228</v>
      </c>
      <c r="F4" s="1">
        <v>118</v>
      </c>
      <c r="G4" s="1">
        <v>238</v>
      </c>
      <c r="H4" s="1">
        <v>60</v>
      </c>
      <c r="I4" s="1">
        <v>222</v>
      </c>
      <c r="J4" s="1">
        <v>122</v>
      </c>
      <c r="K4" s="1">
        <v>169</v>
      </c>
      <c r="L4" s="1">
        <v>165</v>
      </c>
      <c r="M4" s="1">
        <v>102</v>
      </c>
    </row>
    <row r="5" spans="1:13" x14ac:dyDescent="0.3">
      <c r="A5" s="1" t="s">
        <v>5</v>
      </c>
      <c r="B5" s="1">
        <v>167</v>
      </c>
      <c r="C5" s="1">
        <v>175</v>
      </c>
      <c r="D5" s="1">
        <v>203</v>
      </c>
      <c r="E5" s="1">
        <v>114</v>
      </c>
      <c r="F5" s="1">
        <v>150</v>
      </c>
      <c r="G5" s="1">
        <v>131</v>
      </c>
      <c r="H5" s="1">
        <v>151</v>
      </c>
      <c r="I5" s="1">
        <v>187</v>
      </c>
      <c r="J5" s="1">
        <v>177</v>
      </c>
      <c r="K5" s="1">
        <v>75</v>
      </c>
      <c r="L5" s="1">
        <v>163</v>
      </c>
      <c r="M5" s="1">
        <v>139</v>
      </c>
    </row>
    <row r="6" spans="1:13" x14ac:dyDescent="0.3">
      <c r="A6" s="1" t="s">
        <v>6</v>
      </c>
      <c r="B6" s="1">
        <v>70</v>
      </c>
      <c r="C6" s="1">
        <v>226</v>
      </c>
      <c r="D6" s="1">
        <v>162</v>
      </c>
      <c r="E6" s="1">
        <v>88</v>
      </c>
      <c r="F6" s="1">
        <v>88</v>
      </c>
      <c r="G6" s="1">
        <v>218</v>
      </c>
      <c r="H6" s="1">
        <v>123</v>
      </c>
      <c r="I6" s="1">
        <v>120</v>
      </c>
      <c r="J6" s="1">
        <v>117</v>
      </c>
      <c r="K6" s="1">
        <v>171</v>
      </c>
      <c r="L6" s="1">
        <v>120</v>
      </c>
      <c r="M6" s="1">
        <v>230</v>
      </c>
    </row>
    <row r="7" spans="1:13" x14ac:dyDescent="0.3">
      <c r="A7" s="1" t="s">
        <v>7</v>
      </c>
      <c r="B7" s="1">
        <v>183</v>
      </c>
      <c r="C7" s="1">
        <v>182</v>
      </c>
      <c r="D7" s="1">
        <v>97</v>
      </c>
      <c r="E7" s="1">
        <v>74</v>
      </c>
      <c r="F7" s="1">
        <v>96</v>
      </c>
      <c r="G7" s="1">
        <v>194</v>
      </c>
      <c r="H7" s="1">
        <v>182</v>
      </c>
      <c r="I7" s="1">
        <v>208</v>
      </c>
      <c r="J7" s="1">
        <v>203</v>
      </c>
      <c r="K7" s="1">
        <v>236</v>
      </c>
      <c r="L7" s="1">
        <v>214</v>
      </c>
      <c r="M7" s="1">
        <v>238</v>
      </c>
    </row>
    <row r="8" spans="1:13" x14ac:dyDescent="0.3">
      <c r="A8" s="1" t="s">
        <v>8</v>
      </c>
      <c r="B8" s="1">
        <v>77</v>
      </c>
      <c r="C8" s="1">
        <v>57</v>
      </c>
      <c r="D8" s="1">
        <v>232</v>
      </c>
      <c r="E8" s="1">
        <v>165</v>
      </c>
      <c r="F8" s="1">
        <v>111</v>
      </c>
      <c r="G8" s="1">
        <v>55</v>
      </c>
      <c r="H8" s="1">
        <v>62</v>
      </c>
      <c r="I8" s="1">
        <v>203</v>
      </c>
      <c r="J8" s="1">
        <v>230</v>
      </c>
      <c r="K8" s="1">
        <v>109</v>
      </c>
      <c r="L8" s="1">
        <v>87</v>
      </c>
      <c r="M8" s="1">
        <v>202</v>
      </c>
    </row>
    <row r="9" spans="1:13" x14ac:dyDescent="0.3">
      <c r="A9" s="1" t="s">
        <v>9</v>
      </c>
      <c r="B9" s="1">
        <v>128</v>
      </c>
      <c r="C9" s="1">
        <v>74</v>
      </c>
      <c r="D9" s="1">
        <v>240</v>
      </c>
      <c r="E9" s="1">
        <v>215</v>
      </c>
      <c r="F9" s="1">
        <v>139</v>
      </c>
      <c r="G9" s="1">
        <v>236</v>
      </c>
      <c r="H9" s="1">
        <v>247</v>
      </c>
      <c r="I9" s="1">
        <v>207</v>
      </c>
      <c r="J9" s="1">
        <v>137</v>
      </c>
      <c r="K9" s="1">
        <v>125</v>
      </c>
      <c r="L9" s="1">
        <v>232</v>
      </c>
      <c r="M9" s="1">
        <v>240</v>
      </c>
    </row>
    <row r="10" spans="1:13" x14ac:dyDescent="0.3">
      <c r="A10" s="1" t="s">
        <v>10</v>
      </c>
      <c r="B10" s="1">
        <v>195</v>
      </c>
      <c r="C10" s="1">
        <v>194</v>
      </c>
      <c r="D10" s="1">
        <v>232</v>
      </c>
      <c r="E10" s="1">
        <v>204</v>
      </c>
      <c r="F10" s="1">
        <v>168</v>
      </c>
      <c r="G10" s="1">
        <v>66</v>
      </c>
      <c r="H10" s="1">
        <v>162</v>
      </c>
      <c r="I10" s="1">
        <v>121</v>
      </c>
      <c r="J10" s="1">
        <v>218</v>
      </c>
      <c r="K10" s="1">
        <v>202</v>
      </c>
      <c r="L10" s="1">
        <v>91</v>
      </c>
      <c r="M10" s="1">
        <v>133</v>
      </c>
    </row>
    <row r="11" spans="1:13" x14ac:dyDescent="0.3">
      <c r="A11" s="1" t="s">
        <v>11</v>
      </c>
      <c r="B11" s="1">
        <v>139</v>
      </c>
      <c r="C11" s="1">
        <v>170</v>
      </c>
      <c r="D11" s="1">
        <v>52</v>
      </c>
      <c r="E11" s="1">
        <v>97</v>
      </c>
      <c r="F11" s="1">
        <v>235</v>
      </c>
      <c r="G11" s="1">
        <v>233</v>
      </c>
      <c r="H11" s="1">
        <v>87</v>
      </c>
      <c r="I11" s="1">
        <v>82</v>
      </c>
      <c r="J11" s="1">
        <v>114</v>
      </c>
      <c r="K11" s="1">
        <v>167</v>
      </c>
      <c r="L11" s="1">
        <v>153</v>
      </c>
      <c r="M11" s="1">
        <v>91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3" baseType="lpstr">
      <vt:lpstr>AnaSayfa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2023-04-20T10:09:32Z</dcterms:modified>
</cp:coreProperties>
</file>