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xl/vbaProject.bin" ContentType="application/vnd.ms-office.vbaPro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ns0:workbook xmlns:ns0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6" xmlns:ns4="http://schemas.microsoft.com/office/spreadsheetml/2016/revision10" xmlns:ns5="http://schemas.microsoft.com/office/spreadsheetml/2015/revision2" xmlns:ns6="http://schemas.openxmlformats.org/officeDocument/2006/relationships" xmlns:ns7="http://schemas.microsoft.com/office/spreadsheetml/2010/11/main" xmlns:ns8="http://schemas.microsoft.com/office/spreadsheetml/2018/calcfeatures" ns1:Ignorable="x15 xr xr6 xr10 xr2">
  <ns0:fileVersion appName="xl" lastEdited="7" lowestEdited="7" rupBuild="26227" codeName="{37A63EE7-654F-3FA9-A528-636911D70600}"/>
  <ns0:workbookPr hidePivotFieldList="1"/>
  <ns2:revisionPtr revIDLastSave="0" documentId="13_ncr:1_{E32BC282-DE3E-4E8F-9D21-35B5E8D8A2FA}" ns3:coauthVersionLast="47" ns3:coauthVersionMax="47" ns4:uidLastSave="{00000000-0000-0000-0000-000000000000}"/>
  <ns0:bookViews>
    <ns0:workbookView xWindow="-96" yWindow="0" windowWidth="11712" windowHeight="12336" tabRatio="668" ns5:uid="{03B4C409-26EB-46AC-9322-301FBB825EE8}" activeTab="0"/>
  </ns0:bookViews>
  <ns0:sheets>
    <ns0:sheet name="G_Puantaj" sheetId="1" ns6:id="rId2"/>
    <ns0:sheet name="G_Personellerim" sheetId="3" ns6:id="rId3"/>
    <ns0:sheet name="R_Yıllık_Hakediş" sheetId="7" ns6:id="rId4"/>
    <ns0:sheet name="R_Durum_Raporu" sheetId="8" ns6:id="rId5"/>
    <ns0:sheet name="Ayarlar" sheetId="2" ns6:id="rId6"/>
    <ns0:sheet name="DB" sheetId="5" ns6:id="rId7"/>
  </ns0:sheets>
  <ns0:externalReferences>
    <ns0:externalReference ns6:id="rId8"/>
    <ns0:externalReference ns6:id="rId9"/>
    <ns0:externalReference ns6:id="rId10"/>
    <ns0:externalReference ns6:id="rId11"/>
    <ns0:externalReference ns6:id="rId12"/>
    <ns0:externalReference ns6:id="rId13"/>
    <ns0:externalReference ns6:id="rId14"/>
    <ns0:externalReference ns6:id="rId15"/>
  </ns0:externalReferences>
  <ns0:definedNames>
    <ns0:definedName name="DolarKuru">[2]Ürünlerim!$G$2</ns0:definedName>
    <ns0:definedName name="EuroKuru">[2]Ürünlerim!$G$3</ns0:definedName>
    <ns0:definedName name="Lst_Banka_Kasa">[3]!Tbl_Banka_Kasa[Banka-Kasa]</ns0:definedName>
    <ns0:definedName name="Lst_Cariler">[2]!Tablo3[Cari Adı]</ns0:definedName>
    <ns0:definedName name="lst_EmlakTipi">[4]!tbl_ayar_EmlakTipi[Emlak Tipi]</ns0:definedName>
    <ns0:definedName name="Lst_Maliye_Kategorileri">OFFSET([3]Pvt_Listeler!$A$3,1,0,COUNTA([3]Pvt_Listeler!$A:$A)-1,1)</ns0:definedName>
    <ns0:definedName name="lst_Müşteriler">[4]!Tablo1[İsim Soyisim]</ns0:definedName>
    <ns0:definedName name="Lst_Nakit_Vadeli">[2]!Tablo13[Nakit / Vadeli Seçimi]</ns0:definedName>
    <ns0:definedName name="Lst_Ödeme_Yön">[3]!Tbl_Ödeme_Yön[Ödeme Yöntemi]</ns0:definedName>
    <ns0:definedName name="lst_Satılık_Kiralık">[4]!tbl_ayar_Satılık[Satılık/Kiralık]</ns0:definedName>
    <ns0:definedName name="Lst_Satış_Per">[6]!Tablo2[Ad Soyad]</ns0:definedName>
    <ns0:definedName name="Lst_Servis">[3]!Tbl_Sektör_Kategori[Servis]</ns0:definedName>
    <ns0:definedName name="Lst_TümHisseler">[7]!TÜM_HİSSELER_1[Menkul]</ns0:definedName>
    <ns0:definedName name="Lst_Ürün_Ailesi">[3]!Tbl_Ürün_Ailesi[Ürün Ailesi]</ns0:definedName>
    <ns0:definedName name="Lst_Ürünler">[2]!Tablo4[Ürün Adı]</ns0:definedName>
    <ns0:definedName name="Lst_Ürünlerim">[1]!Tablo2[Ürün Adı]</ns0:definedName>
    <ns0:definedName name="Lst_Yıl_Ay">[3]!Tablo8[Tarihler]</ns0:definedName>
    <ns0:definedName name="oran">[8]Ürün_Fiyat_Listesi!$E$3</ns0:definedName>
  </ns0:definedNames>
  <ns0:calcPr calcId="191029"/>
  <ns0:pivotCaches>
    <ns0:pivotCache cacheId="3" ns6:id="rId16"/>
  </ns0:pivotCaches>
  <ns0:extLst>
    <ns0:ext uri="{140A7094-0E35-4892-8432-C4D2E57EDEB5}">
      <ns7:workbookPr chartTrackingRefBase="1"/>
    </ns0:ext>
    <ns0:ext uri="{B58B0392-4F1F-4190-BB64-5DF3571DCE5F}">
      <ns8:calcFeatures>
        <ns8:feature name="microsoft.com:RD"/>
        <ns8:feature name="microsoft.com:Single"/>
        <ns8:feature name="microsoft.com:FV"/>
        <ns8:feature name="microsoft.com:CNMTM"/>
        <ns8:feature name="microsoft.com:LET_WF"/>
      </ns8:calcFeatures>
    </ns0:ext>
  </ns0:extLst>
</ns0:workbook>
</file>

<file path=xl/calcChain.xml><?xml version="1.0" encoding="utf-8"?>
<calcChain xmlns="http://schemas.openxmlformats.org/spreadsheetml/2006/main">
  <c r="AS13" i="1" l="1"/>
  <c r="AS14" i="1"/>
  <c r="AS15" i="1"/>
  <c r="AS16" i="1"/>
  <c r="AS17" i="1"/>
  <c r="AS18" i="1"/>
  <c r="AS19" i="1"/>
  <c r="AS20" i="1"/>
  <c r="AS21" i="1"/>
  <c r="AS22" i="1"/>
  <c r="AS23" i="1"/>
  <c r="AS24" i="1"/>
  <c r="AS25" i="1"/>
  <c r="AS26" i="1"/>
  <c r="AS27" i="1"/>
  <c r="AS28" i="1"/>
  <c r="AS29" i="1"/>
  <c r="AS30" i="1"/>
  <c r="AS31" i="1"/>
  <c r="AS32" i="1"/>
  <c r="AS33" i="1"/>
  <c r="AS34" i="1"/>
  <c r="AS35" i="1"/>
  <c r="AS36" i="1"/>
  <c r="AS37" i="1"/>
  <c r="AS38" i="1"/>
  <c r="AS39" i="1"/>
  <c r="AS40" i="1"/>
  <c r="AS41" i="1"/>
  <c r="AS42" i="1"/>
  <c r="AS43" i="1"/>
  <c r="AS44" i="1"/>
  <c r="AS45" i="1"/>
  <c r="AS46" i="1"/>
  <c r="AS47" i="1"/>
  <c r="AS48" i="1"/>
  <c r="AS49" i="1"/>
  <c r="AS50" i="1"/>
  <c r="AS51" i="1"/>
  <c r="AS52" i="1"/>
  <c r="AS53" i="1"/>
  <c r="AS54" i="1"/>
  <c r="AS55" i="1"/>
  <c r="AS56" i="1"/>
  <c r="AS57" i="1"/>
  <c r="AS58" i="1"/>
  <c r="AS59" i="1"/>
  <c r="AS60" i="1"/>
  <c r="AS61" i="1"/>
  <c r="AS62" i="1"/>
  <c r="AS63" i="1"/>
  <c r="AS64" i="1"/>
  <c r="AS65" i="1"/>
  <c r="AS66" i="1"/>
  <c r="AS67" i="1"/>
  <c r="AS68" i="1"/>
  <c r="AS69" i="1"/>
  <c r="AS70" i="1"/>
  <c r="AS71" i="1"/>
  <c r="AS72" i="1"/>
  <c r="AS73" i="1"/>
  <c r="AS74" i="1"/>
  <c r="AS75" i="1"/>
  <c r="AS76" i="1"/>
  <c r="AS77" i="1"/>
  <c r="AS78" i="1"/>
  <c r="AS79" i="1"/>
  <c r="AS80" i="1"/>
  <c r="AS81" i="1"/>
  <c r="AS82" i="1"/>
  <c r="AS83" i="1"/>
  <c r="AS84" i="1"/>
  <c r="AS85" i="1"/>
  <c r="AS86" i="1"/>
  <c r="AS87" i="1"/>
  <c r="AS88" i="1"/>
  <c r="AS89" i="1"/>
  <c r="AS90" i="1"/>
  <c r="AS91" i="1"/>
  <c r="AS92" i="1"/>
  <c r="AS93" i="1"/>
  <c r="AS94" i="1"/>
  <c r="AS95" i="1"/>
  <c r="AS96" i="1"/>
  <c r="AS97" i="1"/>
  <c r="AS98" i="1"/>
  <c r="AS99" i="1"/>
  <c r="AS100" i="1"/>
  <c r="AS101" i="1"/>
  <c r="AS102" i="1"/>
  <c r="AS103" i="1"/>
  <c r="AS104" i="1"/>
  <c r="AS105" i="1"/>
  <c r="AS106" i="1"/>
  <c r="AS107" i="1"/>
  <c r="AS108" i="1"/>
  <c r="AS109" i="1"/>
  <c r="AS110" i="1"/>
  <c r="AS111" i="1"/>
  <c r="AS112" i="1"/>
  <c r="AR10" i="1"/>
  <c r="AQ10" i="1"/>
  <c r="AP10" i="1"/>
  <c r="AO10" i="1"/>
  <c r="AM10" i="1"/>
  <c r="AL10" i="1"/>
  <c r="AN10" i="1"/>
  <c r="AK10" i="1"/>
  <c r="AJ10" i="1"/>
  <c r="AI10" i="1"/>
  <c r="AC6" i="1"/>
  <c r="AC4" i="1"/>
  <c r="AR16" i="1" s="1"/>
  <c r="X6" i="1"/>
  <c r="AQ16" i="1" s="1"/>
  <c r="X4" i="1"/>
  <c r="P6" i="1"/>
  <c r="AN13" i="1" s="1"/>
  <c r="K6" i="1"/>
  <c r="AM13" i="1" s="1"/>
  <c r="P4" i="1"/>
  <c r="K4" i="1"/>
  <c r="E6" i="1"/>
  <c r="E4" i="1"/>
  <c r="AO13" i="1"/>
  <c r="AO14" i="1"/>
  <c r="AO15" i="1"/>
  <c r="AO16" i="1"/>
  <c r="AO17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34" i="1"/>
  <c r="AO35" i="1"/>
  <c r="AO36" i="1"/>
  <c r="AO37" i="1"/>
  <c r="AO38" i="1"/>
  <c r="AO39" i="1"/>
  <c r="AO40" i="1"/>
  <c r="AO41" i="1"/>
  <c r="AO42" i="1"/>
  <c r="AO43" i="1"/>
  <c r="AO44" i="1"/>
  <c r="AO45" i="1"/>
  <c r="AO46" i="1"/>
  <c r="AO47" i="1"/>
  <c r="AO48" i="1"/>
  <c r="AO49" i="1"/>
  <c r="AO50" i="1"/>
  <c r="AO51" i="1"/>
  <c r="AO52" i="1"/>
  <c r="AO53" i="1"/>
  <c r="AO54" i="1"/>
  <c r="AO55" i="1"/>
  <c r="AO56" i="1"/>
  <c r="AO57" i="1"/>
  <c r="AO58" i="1"/>
  <c r="AO59" i="1"/>
  <c r="AO60" i="1"/>
  <c r="AO61" i="1"/>
  <c r="AO62" i="1"/>
  <c r="AO63" i="1"/>
  <c r="AO64" i="1"/>
  <c r="AO65" i="1"/>
  <c r="AO66" i="1"/>
  <c r="AO67" i="1"/>
  <c r="AO68" i="1"/>
  <c r="AO69" i="1"/>
  <c r="AO70" i="1"/>
  <c r="AO71" i="1"/>
  <c r="AO72" i="1"/>
  <c r="AO73" i="1"/>
  <c r="AO74" i="1"/>
  <c r="AO75" i="1"/>
  <c r="AO76" i="1"/>
  <c r="AO77" i="1"/>
  <c r="AO78" i="1"/>
  <c r="AO79" i="1"/>
  <c r="AO80" i="1"/>
  <c r="AO81" i="1"/>
  <c r="AO82" i="1"/>
  <c r="AO83" i="1"/>
  <c r="AO84" i="1"/>
  <c r="AO85" i="1"/>
  <c r="AO86" i="1"/>
  <c r="AO87" i="1"/>
  <c r="AO88" i="1"/>
  <c r="AO89" i="1"/>
  <c r="AO90" i="1"/>
  <c r="AO91" i="1"/>
  <c r="AO92" i="1"/>
  <c r="AO93" i="1"/>
  <c r="AO94" i="1"/>
  <c r="AO95" i="1"/>
  <c r="AO96" i="1"/>
  <c r="AO97" i="1"/>
  <c r="AO98" i="1"/>
  <c r="AO99" i="1"/>
  <c r="AO100" i="1"/>
  <c r="AO101" i="1"/>
  <c r="AO102" i="1"/>
  <c r="AO103" i="1"/>
  <c r="AO104" i="1"/>
  <c r="AO105" i="1"/>
  <c r="AO106" i="1"/>
  <c r="AO107" i="1"/>
  <c r="AO108" i="1"/>
  <c r="AO109" i="1"/>
  <c r="AO110" i="1"/>
  <c r="AO111" i="1"/>
  <c r="AO112" i="1"/>
  <c r="AO12" i="1"/>
  <c r="AJ13" i="1"/>
  <c r="AK13" i="1"/>
  <c r="AL13" i="1"/>
  <c r="AP13" i="1"/>
  <c r="AQ13" i="1"/>
  <c r="AJ14" i="1"/>
  <c r="AK14" i="1"/>
  <c r="AL14" i="1"/>
  <c r="AM14" i="1"/>
  <c r="AP14" i="1"/>
  <c r="AQ14" i="1"/>
  <c r="AJ15" i="1"/>
  <c r="AK15" i="1"/>
  <c r="AL15" i="1"/>
  <c r="AN15" i="1"/>
  <c r="AP15" i="1"/>
  <c r="AJ16" i="1"/>
  <c r="AK16" i="1"/>
  <c r="AL16" i="1"/>
  <c r="AP16" i="1"/>
  <c r="AJ17" i="1"/>
  <c r="AK17" i="1"/>
  <c r="AL17" i="1"/>
  <c r="AM17" i="1"/>
  <c r="AN17" i="1"/>
  <c r="AP17" i="1"/>
  <c r="AJ18" i="1"/>
  <c r="AK18" i="1"/>
  <c r="AL18" i="1"/>
  <c r="AP18" i="1"/>
  <c r="AJ19" i="1"/>
  <c r="AK19" i="1"/>
  <c r="AL19" i="1"/>
  <c r="AP19" i="1"/>
  <c r="AJ20" i="1"/>
  <c r="AK20" i="1"/>
  <c r="AL20" i="1"/>
  <c r="AM20" i="1"/>
  <c r="AP20" i="1"/>
  <c r="AQ20" i="1"/>
  <c r="AJ21" i="1"/>
  <c r="AK21" i="1"/>
  <c r="AL21" i="1"/>
  <c r="AN21" i="1"/>
  <c r="AP21" i="1"/>
  <c r="AJ22" i="1"/>
  <c r="AK22" i="1"/>
  <c r="AL22" i="1"/>
  <c r="AN22" i="1"/>
  <c r="AP22" i="1"/>
  <c r="AJ23" i="1"/>
  <c r="AK23" i="1"/>
  <c r="AL23" i="1"/>
  <c r="AM23" i="1"/>
  <c r="AN23" i="1"/>
  <c r="AP23" i="1"/>
  <c r="AJ24" i="1"/>
  <c r="AK24" i="1"/>
  <c r="AL24" i="1"/>
  <c r="AP24" i="1"/>
  <c r="AJ25" i="1"/>
  <c r="AK25" i="1"/>
  <c r="AL25" i="1"/>
  <c r="AP25" i="1"/>
  <c r="AJ26" i="1"/>
  <c r="AK26" i="1"/>
  <c r="AL26" i="1"/>
  <c r="AM26" i="1"/>
  <c r="AP26" i="1"/>
  <c r="AR26" i="1"/>
  <c r="AJ27" i="1"/>
  <c r="AK27" i="1"/>
  <c r="AL27" i="1"/>
  <c r="AN27" i="1"/>
  <c r="AP27" i="1"/>
  <c r="AQ27" i="1"/>
  <c r="AJ28" i="1"/>
  <c r="AK28" i="1"/>
  <c r="AL28" i="1"/>
  <c r="AN28" i="1"/>
  <c r="AP28" i="1"/>
  <c r="AJ29" i="1"/>
  <c r="AK29" i="1"/>
  <c r="AL29" i="1"/>
  <c r="AM29" i="1"/>
  <c r="AP29" i="1"/>
  <c r="AJ30" i="1"/>
  <c r="AK30" i="1"/>
  <c r="AL30" i="1"/>
  <c r="AP30" i="1"/>
  <c r="AQ30" i="1"/>
  <c r="AJ31" i="1"/>
  <c r="AK31" i="1"/>
  <c r="AL31" i="1"/>
  <c r="AP31" i="1"/>
  <c r="AJ32" i="1"/>
  <c r="AK32" i="1"/>
  <c r="AL32" i="1"/>
  <c r="AM32" i="1"/>
  <c r="AP32" i="1"/>
  <c r="AR32" i="1"/>
  <c r="AJ33" i="1"/>
  <c r="AK33" i="1"/>
  <c r="AL33" i="1"/>
  <c r="AN33" i="1"/>
  <c r="AP33" i="1"/>
  <c r="AJ34" i="1"/>
  <c r="AK34" i="1"/>
  <c r="AL34" i="1"/>
  <c r="AP34" i="1"/>
  <c r="AJ35" i="1"/>
  <c r="AK35" i="1"/>
  <c r="AL35" i="1"/>
  <c r="AM35" i="1"/>
  <c r="AN35" i="1"/>
  <c r="AP35" i="1"/>
  <c r="AJ36" i="1"/>
  <c r="AK36" i="1"/>
  <c r="AL36" i="1"/>
  <c r="AP36" i="1"/>
  <c r="AQ36" i="1"/>
  <c r="AR36" i="1"/>
  <c r="AJ37" i="1"/>
  <c r="AK37" i="1"/>
  <c r="AL37" i="1"/>
  <c r="AP37" i="1"/>
  <c r="AJ38" i="1"/>
  <c r="AK38" i="1"/>
  <c r="AL38" i="1"/>
  <c r="AM38" i="1"/>
  <c r="AP38" i="1"/>
  <c r="AQ38" i="1"/>
  <c r="AR38" i="1"/>
  <c r="AJ39" i="1"/>
  <c r="AK39" i="1"/>
  <c r="AL39" i="1"/>
  <c r="AN39" i="1"/>
  <c r="AP39" i="1"/>
  <c r="AQ39" i="1"/>
  <c r="AJ40" i="1"/>
  <c r="AK40" i="1"/>
  <c r="AL40" i="1"/>
  <c r="AN40" i="1"/>
  <c r="AP40" i="1"/>
  <c r="AJ41" i="1"/>
  <c r="AK41" i="1"/>
  <c r="AL41" i="1"/>
  <c r="AM41" i="1"/>
  <c r="AN41" i="1"/>
  <c r="AP41" i="1"/>
  <c r="AJ42" i="1"/>
  <c r="AK42" i="1"/>
  <c r="AL42" i="1"/>
  <c r="AP42" i="1"/>
  <c r="AJ43" i="1"/>
  <c r="AK43" i="1"/>
  <c r="AL43" i="1"/>
  <c r="AP43" i="1"/>
  <c r="AJ44" i="1"/>
  <c r="AK44" i="1"/>
  <c r="AL44" i="1"/>
  <c r="AM44" i="1"/>
  <c r="AP44" i="1"/>
  <c r="AR44" i="1"/>
  <c r="AJ45" i="1"/>
  <c r="AK45" i="1"/>
  <c r="AL45" i="1"/>
  <c r="AN45" i="1"/>
  <c r="AP45" i="1"/>
  <c r="AQ45" i="1"/>
  <c r="AJ46" i="1"/>
  <c r="AK46" i="1"/>
  <c r="AL46" i="1"/>
  <c r="AN46" i="1"/>
  <c r="AP46" i="1"/>
  <c r="AQ46" i="1"/>
  <c r="AJ47" i="1"/>
  <c r="AK47" i="1"/>
  <c r="AL47" i="1"/>
  <c r="AM47" i="1"/>
  <c r="AP47" i="1"/>
  <c r="AJ48" i="1"/>
  <c r="AK48" i="1"/>
  <c r="AL48" i="1"/>
  <c r="AP48" i="1"/>
  <c r="AJ49" i="1"/>
  <c r="AK49" i="1"/>
  <c r="AL49" i="1"/>
  <c r="AP49" i="1"/>
  <c r="AJ50" i="1"/>
  <c r="AK50" i="1"/>
  <c r="AL50" i="1"/>
  <c r="AM50" i="1"/>
  <c r="AP50" i="1"/>
  <c r="AR50" i="1"/>
  <c r="AJ51" i="1"/>
  <c r="AK51" i="1"/>
  <c r="AL51" i="1"/>
  <c r="AN51" i="1"/>
  <c r="AP51" i="1"/>
  <c r="AJ52" i="1"/>
  <c r="AK52" i="1"/>
  <c r="AL52" i="1"/>
  <c r="AP52" i="1"/>
  <c r="AJ53" i="1"/>
  <c r="AK53" i="1"/>
  <c r="AL53" i="1"/>
  <c r="AM53" i="1"/>
  <c r="AN53" i="1"/>
  <c r="AP53" i="1"/>
  <c r="AJ54" i="1"/>
  <c r="AK54" i="1"/>
  <c r="AL54" i="1"/>
  <c r="AP54" i="1"/>
  <c r="AQ54" i="1"/>
  <c r="AR54" i="1"/>
  <c r="AJ55" i="1"/>
  <c r="AK55" i="1"/>
  <c r="AL55" i="1"/>
  <c r="AP55" i="1"/>
  <c r="AJ56" i="1"/>
  <c r="AK56" i="1"/>
  <c r="AL56" i="1"/>
  <c r="AM56" i="1"/>
  <c r="AP56" i="1"/>
  <c r="AJ57" i="1"/>
  <c r="AK57" i="1"/>
  <c r="AL57" i="1"/>
  <c r="AN57" i="1"/>
  <c r="AP57" i="1"/>
  <c r="AJ58" i="1"/>
  <c r="AK58" i="1"/>
  <c r="AL58" i="1"/>
  <c r="AN58" i="1"/>
  <c r="AP58" i="1"/>
  <c r="AJ59" i="1"/>
  <c r="AK59" i="1"/>
  <c r="AL59" i="1"/>
  <c r="AM59" i="1"/>
  <c r="AN59" i="1"/>
  <c r="AP59" i="1"/>
  <c r="AQ59" i="1"/>
  <c r="AJ60" i="1"/>
  <c r="AK60" i="1"/>
  <c r="AL60" i="1"/>
  <c r="AP60" i="1"/>
  <c r="AR60" i="1"/>
  <c r="AJ61" i="1"/>
  <c r="AK61" i="1"/>
  <c r="AL61" i="1"/>
  <c r="AP61" i="1"/>
  <c r="AQ61" i="1"/>
  <c r="AJ62" i="1"/>
  <c r="AK62" i="1"/>
  <c r="AL62" i="1"/>
  <c r="AM62" i="1"/>
  <c r="AP62" i="1"/>
  <c r="AR62" i="1"/>
  <c r="AJ63" i="1"/>
  <c r="AK63" i="1"/>
  <c r="AL63" i="1"/>
  <c r="AN63" i="1"/>
  <c r="AP63" i="1"/>
  <c r="AJ64" i="1"/>
  <c r="AK64" i="1"/>
  <c r="AL64" i="1"/>
  <c r="AN64" i="1"/>
  <c r="AP64" i="1"/>
  <c r="AR64" i="1"/>
  <c r="AJ65" i="1"/>
  <c r="AK65" i="1"/>
  <c r="AL65" i="1"/>
  <c r="AM65" i="1"/>
  <c r="AP65" i="1"/>
  <c r="AJ66" i="1"/>
  <c r="AK66" i="1"/>
  <c r="AL66" i="1"/>
  <c r="AP66" i="1"/>
  <c r="AJ67" i="1"/>
  <c r="AK67" i="1"/>
  <c r="AL67" i="1"/>
  <c r="AP67" i="1"/>
  <c r="AJ68" i="1"/>
  <c r="AK68" i="1"/>
  <c r="AL68" i="1"/>
  <c r="AM68" i="1"/>
  <c r="AP68" i="1"/>
  <c r="AJ69" i="1"/>
  <c r="AK69" i="1"/>
  <c r="AL69" i="1"/>
  <c r="AN69" i="1"/>
  <c r="AP69" i="1"/>
  <c r="AJ70" i="1"/>
  <c r="AK70" i="1"/>
  <c r="AL70" i="1"/>
  <c r="AP70" i="1"/>
  <c r="AQ70" i="1"/>
  <c r="AJ71" i="1"/>
  <c r="AK71" i="1"/>
  <c r="AL71" i="1"/>
  <c r="AM71" i="1"/>
  <c r="AN71" i="1"/>
  <c r="AP71" i="1"/>
  <c r="AQ71" i="1"/>
  <c r="AJ72" i="1"/>
  <c r="AK72" i="1"/>
  <c r="AL72" i="1"/>
  <c r="AP72" i="1"/>
  <c r="AJ73" i="1"/>
  <c r="AK73" i="1"/>
  <c r="AL73" i="1"/>
  <c r="AP73" i="1"/>
  <c r="AQ73" i="1"/>
  <c r="AJ74" i="1"/>
  <c r="AK74" i="1"/>
  <c r="AL74" i="1"/>
  <c r="AM74" i="1"/>
  <c r="AP74" i="1"/>
  <c r="AJ75" i="1"/>
  <c r="AK75" i="1"/>
  <c r="AL75" i="1"/>
  <c r="AN75" i="1"/>
  <c r="AP75" i="1"/>
  <c r="AJ76" i="1"/>
  <c r="AK76" i="1"/>
  <c r="AL76" i="1"/>
  <c r="AN76" i="1"/>
  <c r="AP76" i="1"/>
  <c r="AR76" i="1"/>
  <c r="AJ77" i="1"/>
  <c r="AK77" i="1"/>
  <c r="AL77" i="1"/>
  <c r="AM77" i="1"/>
  <c r="AN77" i="1"/>
  <c r="AP77" i="1"/>
  <c r="AQ77" i="1"/>
  <c r="AJ78" i="1"/>
  <c r="AK78" i="1"/>
  <c r="AL78" i="1"/>
  <c r="AP78" i="1"/>
  <c r="AR78" i="1"/>
  <c r="AJ79" i="1"/>
  <c r="AK79" i="1"/>
  <c r="AL79" i="1"/>
  <c r="AP79" i="1"/>
  <c r="AQ79" i="1"/>
  <c r="AJ80" i="1"/>
  <c r="AK80" i="1"/>
  <c r="AL80" i="1"/>
  <c r="AM80" i="1"/>
  <c r="AP80" i="1"/>
  <c r="AQ80" i="1"/>
  <c r="AJ81" i="1"/>
  <c r="AK81" i="1"/>
  <c r="AL81" i="1"/>
  <c r="AN81" i="1"/>
  <c r="AP81" i="1"/>
  <c r="AJ82" i="1"/>
  <c r="AK82" i="1"/>
  <c r="AL82" i="1"/>
  <c r="AN82" i="1"/>
  <c r="AP82" i="1"/>
  <c r="AJ83" i="1"/>
  <c r="AK83" i="1"/>
  <c r="AL83" i="1"/>
  <c r="AM83" i="1"/>
  <c r="AP83" i="1"/>
  <c r="AQ83" i="1"/>
  <c r="AJ84" i="1"/>
  <c r="AK84" i="1"/>
  <c r="AL84" i="1"/>
  <c r="AP84" i="1"/>
  <c r="AJ85" i="1"/>
  <c r="AK85" i="1"/>
  <c r="AL85" i="1"/>
  <c r="AP85" i="1"/>
  <c r="AQ85" i="1"/>
  <c r="AJ86" i="1"/>
  <c r="AK86" i="1"/>
  <c r="AL86" i="1"/>
  <c r="AM86" i="1"/>
  <c r="AP86" i="1"/>
  <c r="AQ86" i="1"/>
  <c r="AJ87" i="1"/>
  <c r="AK87" i="1"/>
  <c r="AL87" i="1"/>
  <c r="AN87" i="1"/>
  <c r="AP87" i="1"/>
  <c r="AJ88" i="1"/>
  <c r="AK88" i="1"/>
  <c r="AL88" i="1"/>
  <c r="AP88" i="1"/>
  <c r="AQ88" i="1"/>
  <c r="AJ89" i="1"/>
  <c r="AK89" i="1"/>
  <c r="AL89" i="1"/>
  <c r="AM89" i="1"/>
  <c r="AN89" i="1"/>
  <c r="AP89" i="1"/>
  <c r="AQ89" i="1"/>
  <c r="AJ90" i="1"/>
  <c r="AK90" i="1"/>
  <c r="AL90" i="1"/>
  <c r="AP90" i="1"/>
  <c r="AQ90" i="1"/>
  <c r="AJ91" i="1"/>
  <c r="AK91" i="1"/>
  <c r="AL91" i="1"/>
  <c r="AP91" i="1"/>
  <c r="AQ91" i="1"/>
  <c r="AJ92" i="1"/>
  <c r="AK92" i="1"/>
  <c r="AL92" i="1"/>
  <c r="AM92" i="1"/>
  <c r="AP92" i="1"/>
  <c r="AJ93" i="1"/>
  <c r="AK93" i="1"/>
  <c r="AL93" i="1"/>
  <c r="AN93" i="1"/>
  <c r="AP93" i="1"/>
  <c r="AJ94" i="1"/>
  <c r="AK94" i="1"/>
  <c r="AL94" i="1"/>
  <c r="AN94" i="1"/>
  <c r="AP94" i="1"/>
  <c r="AJ95" i="1"/>
  <c r="AK95" i="1"/>
  <c r="AL95" i="1"/>
  <c r="AM95" i="1"/>
  <c r="AN95" i="1"/>
  <c r="AP95" i="1"/>
  <c r="AR95" i="1"/>
  <c r="AJ96" i="1"/>
  <c r="AK96" i="1"/>
  <c r="AL96" i="1"/>
  <c r="AP96" i="1"/>
  <c r="AQ96" i="1"/>
  <c r="AJ97" i="1"/>
  <c r="AK97" i="1"/>
  <c r="AL97" i="1"/>
  <c r="AP97" i="1"/>
  <c r="AJ98" i="1"/>
  <c r="AK98" i="1"/>
  <c r="AL98" i="1"/>
  <c r="AM98" i="1"/>
  <c r="AP98" i="1"/>
  <c r="AQ98" i="1"/>
  <c r="AJ99" i="1"/>
  <c r="AK99" i="1"/>
  <c r="AL99" i="1"/>
  <c r="AN99" i="1"/>
  <c r="AP99" i="1"/>
  <c r="AR99" i="1"/>
  <c r="AJ100" i="1"/>
  <c r="AK100" i="1"/>
  <c r="AL100" i="1"/>
  <c r="AN100" i="1"/>
  <c r="AP100" i="1"/>
  <c r="AJ101" i="1"/>
  <c r="AK101" i="1"/>
  <c r="AL101" i="1"/>
  <c r="AM101" i="1"/>
  <c r="AP101" i="1"/>
  <c r="AR101" i="1"/>
  <c r="AJ102" i="1"/>
  <c r="AK102" i="1"/>
  <c r="AL102" i="1"/>
  <c r="AP102" i="1"/>
  <c r="AQ102" i="1"/>
  <c r="AJ103" i="1"/>
  <c r="AK103" i="1"/>
  <c r="AL103" i="1"/>
  <c r="AP103" i="1"/>
  <c r="AJ104" i="1"/>
  <c r="AK104" i="1"/>
  <c r="AL104" i="1"/>
  <c r="AM104" i="1"/>
  <c r="AP104" i="1"/>
  <c r="AQ104" i="1"/>
  <c r="AJ105" i="1"/>
  <c r="AK105" i="1"/>
  <c r="AL105" i="1"/>
  <c r="AM105" i="1"/>
  <c r="AP105" i="1"/>
  <c r="AQ105" i="1"/>
  <c r="AR105" i="1"/>
  <c r="AJ106" i="1"/>
  <c r="AK106" i="1"/>
  <c r="AL106" i="1"/>
  <c r="AM106" i="1"/>
  <c r="AP106" i="1"/>
  <c r="AQ106" i="1"/>
  <c r="AJ107" i="1"/>
  <c r="AK107" i="1"/>
  <c r="AL107" i="1"/>
  <c r="AM107" i="1"/>
  <c r="AP107" i="1"/>
  <c r="AJ108" i="1"/>
  <c r="AK108" i="1"/>
  <c r="AL108" i="1"/>
  <c r="AM108" i="1"/>
  <c r="AP108" i="1"/>
  <c r="AQ108" i="1"/>
  <c r="AJ109" i="1"/>
  <c r="AK109" i="1"/>
  <c r="AL109" i="1"/>
  <c r="AM109" i="1"/>
  <c r="AP109" i="1"/>
  <c r="AQ109" i="1"/>
  <c r="AJ110" i="1"/>
  <c r="AK110" i="1"/>
  <c r="AL110" i="1"/>
  <c r="AM110" i="1"/>
  <c r="AP110" i="1"/>
  <c r="AJ111" i="1"/>
  <c r="AK111" i="1"/>
  <c r="AL111" i="1"/>
  <c r="AM111" i="1"/>
  <c r="AP111" i="1"/>
  <c r="AJ112" i="1"/>
  <c r="AK112" i="1"/>
  <c r="AL112" i="1"/>
  <c r="AM112" i="1"/>
  <c r="AP112" i="1"/>
  <c r="AQ112" i="1"/>
  <c r="AK12" i="1"/>
  <c r="AJ12" i="1"/>
  <c r="AL12" i="1"/>
  <c r="B29" i="1"/>
  <c r="B103" i="1"/>
  <c r="B104" i="1"/>
  <c r="B105" i="1"/>
  <c r="B106" i="1"/>
  <c r="B107" i="1"/>
  <c r="B108" i="1"/>
  <c r="B109" i="1"/>
  <c r="B110" i="1"/>
  <c r="B111" i="1"/>
  <c r="B112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AR74" i="1" l="1"/>
  <c r="AR58" i="1"/>
  <c r="AR56" i="1"/>
  <c r="AR52" i="1"/>
  <c r="AR34" i="1"/>
  <c r="AR112" i="1"/>
  <c r="AR103" i="1"/>
  <c r="AR97" i="1"/>
  <c r="AR93" i="1"/>
  <c r="AR91" i="1"/>
  <c r="AR89" i="1"/>
  <c r="AR70" i="1"/>
  <c r="AR68" i="1"/>
  <c r="AR110" i="1"/>
  <c r="AR83" i="1"/>
  <c r="AR41" i="1"/>
  <c r="AR23" i="1"/>
  <c r="AR15" i="1"/>
  <c r="AR47" i="1"/>
  <c r="AR17" i="1"/>
  <c r="AR106" i="1"/>
  <c r="AR85" i="1"/>
  <c r="AR81" i="1"/>
  <c r="AR77" i="1"/>
  <c r="AR59" i="1"/>
  <c r="AR45" i="1"/>
  <c r="AR39" i="1"/>
  <c r="AR29" i="1"/>
  <c r="AR27" i="1"/>
  <c r="AR21" i="1"/>
  <c r="AR13" i="1"/>
  <c r="AR63" i="1"/>
  <c r="AR53" i="1"/>
  <c r="AR51" i="1"/>
  <c r="AR49" i="1"/>
  <c r="AR35" i="1"/>
  <c r="AR31" i="1"/>
  <c r="AR25" i="1"/>
  <c r="AR19" i="1"/>
  <c r="AR66" i="1"/>
  <c r="AR61" i="1"/>
  <c r="AR33" i="1"/>
  <c r="AR104" i="1"/>
  <c r="AR102" i="1"/>
  <c r="AR100" i="1"/>
  <c r="AR98" i="1"/>
  <c r="AR96" i="1"/>
  <c r="AR75" i="1"/>
  <c r="AR73" i="1"/>
  <c r="AR57" i="1"/>
  <c r="AR55" i="1"/>
  <c r="AR37" i="1"/>
  <c r="AR108" i="1"/>
  <c r="AR65" i="1"/>
  <c r="AR94" i="1"/>
  <c r="AR92" i="1"/>
  <c r="AR90" i="1"/>
  <c r="AR69" i="1"/>
  <c r="AR67" i="1"/>
  <c r="AR87" i="1"/>
  <c r="AR79" i="1"/>
  <c r="AR71" i="1"/>
  <c r="AR43" i="1"/>
  <c r="AR111" i="1"/>
  <c r="AR109" i="1"/>
  <c r="AR86" i="1"/>
  <c r="AR14" i="1"/>
  <c r="AR72" i="1"/>
  <c r="AR88" i="1"/>
  <c r="AR46" i="1"/>
  <c r="AR107" i="1"/>
  <c r="AR84" i="1"/>
  <c r="AR82" i="1"/>
  <c r="AR80" i="1"/>
  <c r="AR48" i="1"/>
  <c r="AR42" i="1"/>
  <c r="AR40" i="1"/>
  <c r="AR30" i="1"/>
  <c r="AR28" i="1"/>
  <c r="AR24" i="1"/>
  <c r="AR22" i="1"/>
  <c r="AR20" i="1"/>
  <c r="AR18" i="1"/>
  <c r="AQ110" i="1"/>
  <c r="AQ87" i="1"/>
  <c r="AQ78" i="1"/>
  <c r="AQ62" i="1"/>
  <c r="AQ55" i="1"/>
  <c r="AQ53" i="1"/>
  <c r="AQ28" i="1"/>
  <c r="AQ21" i="1"/>
  <c r="AQ103" i="1"/>
  <c r="AQ101" i="1"/>
  <c r="AQ94" i="1"/>
  <c r="AQ69" i="1"/>
  <c r="AQ60" i="1"/>
  <c r="AQ44" i="1"/>
  <c r="AQ37" i="1"/>
  <c r="AQ35" i="1"/>
  <c r="AQ76" i="1"/>
  <c r="AQ51" i="1"/>
  <c r="AQ42" i="1"/>
  <c r="AQ26" i="1"/>
  <c r="AQ19" i="1"/>
  <c r="AQ17" i="1"/>
  <c r="AQ99" i="1"/>
  <c r="AQ92" i="1"/>
  <c r="AQ67" i="1"/>
  <c r="AQ65" i="1"/>
  <c r="AQ58" i="1"/>
  <c r="AQ33" i="1"/>
  <c r="AQ24" i="1"/>
  <c r="AQ81" i="1"/>
  <c r="AQ74" i="1"/>
  <c r="AQ49" i="1"/>
  <c r="AQ47" i="1"/>
  <c r="AQ40" i="1"/>
  <c r="AQ15" i="1"/>
  <c r="AQ111" i="1"/>
  <c r="AQ97" i="1"/>
  <c r="AQ95" i="1"/>
  <c r="AQ72" i="1"/>
  <c r="AQ63" i="1"/>
  <c r="AQ56" i="1"/>
  <c r="AQ31" i="1"/>
  <c r="AQ29" i="1"/>
  <c r="AQ22" i="1"/>
  <c r="AQ100" i="1"/>
  <c r="AQ93" i="1"/>
  <c r="AQ84" i="1"/>
  <c r="AQ68" i="1"/>
  <c r="AQ52" i="1"/>
  <c r="AQ43" i="1"/>
  <c r="AQ41" i="1"/>
  <c r="AQ18" i="1"/>
  <c r="AQ107" i="1"/>
  <c r="AQ82" i="1"/>
  <c r="AQ75" i="1"/>
  <c r="AQ66" i="1"/>
  <c r="AQ50" i="1"/>
  <c r="AQ34" i="1"/>
  <c r="AQ25" i="1"/>
  <c r="AQ23" i="1"/>
  <c r="AQ64" i="1"/>
  <c r="AQ57" i="1"/>
  <c r="AQ48" i="1"/>
  <c r="AQ32" i="1"/>
  <c r="AN96" i="1"/>
  <c r="AN78" i="1"/>
  <c r="AN60" i="1"/>
  <c r="AN42" i="1"/>
  <c r="AN24" i="1"/>
  <c r="AN101" i="1"/>
  <c r="AN88" i="1"/>
  <c r="AN83" i="1"/>
  <c r="AN70" i="1"/>
  <c r="AN65" i="1"/>
  <c r="AN52" i="1"/>
  <c r="AN47" i="1"/>
  <c r="AN34" i="1"/>
  <c r="AN29" i="1"/>
  <c r="AN16" i="1"/>
  <c r="AN110" i="1"/>
  <c r="AN107" i="1"/>
  <c r="AN104" i="1"/>
  <c r="AN91" i="1"/>
  <c r="AN86" i="1"/>
  <c r="AN73" i="1"/>
  <c r="AN68" i="1"/>
  <c r="AN55" i="1"/>
  <c r="AN50" i="1"/>
  <c r="AN37" i="1"/>
  <c r="AN32" i="1"/>
  <c r="AN19" i="1"/>
  <c r="AN14" i="1"/>
  <c r="AN102" i="1"/>
  <c r="AN84" i="1"/>
  <c r="AN66" i="1"/>
  <c r="AN48" i="1"/>
  <c r="AN30" i="1"/>
  <c r="AN12" i="1"/>
  <c r="AN111" i="1"/>
  <c r="AN108" i="1"/>
  <c r="AN105" i="1"/>
  <c r="AN97" i="1"/>
  <c r="AN92" i="1"/>
  <c r="AN79" i="1"/>
  <c r="AN74" i="1"/>
  <c r="AN61" i="1"/>
  <c r="AN56" i="1"/>
  <c r="AN43" i="1"/>
  <c r="AN38" i="1"/>
  <c r="AN25" i="1"/>
  <c r="AN20" i="1"/>
  <c r="AN90" i="1"/>
  <c r="AN72" i="1"/>
  <c r="AN54" i="1"/>
  <c r="AN36" i="1"/>
  <c r="AN18" i="1"/>
  <c r="AN112" i="1"/>
  <c r="AN109" i="1"/>
  <c r="AN106" i="1"/>
  <c r="AN103" i="1"/>
  <c r="AN98" i="1"/>
  <c r="AN85" i="1"/>
  <c r="AN80" i="1"/>
  <c r="AN67" i="1"/>
  <c r="AN62" i="1"/>
  <c r="AN49" i="1"/>
  <c r="AN44" i="1"/>
  <c r="AN31" i="1"/>
  <c r="AN26" i="1"/>
  <c r="AM102" i="1"/>
  <c r="AM99" i="1"/>
  <c r="AM96" i="1"/>
  <c r="AM93" i="1"/>
  <c r="AM90" i="1"/>
  <c r="AM87" i="1"/>
  <c r="AM84" i="1"/>
  <c r="AM81" i="1"/>
  <c r="AM78" i="1"/>
  <c r="AM75" i="1"/>
  <c r="AM72" i="1"/>
  <c r="AM69" i="1"/>
  <c r="AM66" i="1"/>
  <c r="AM63" i="1"/>
  <c r="AM60" i="1"/>
  <c r="AM57" i="1"/>
  <c r="AM54" i="1"/>
  <c r="AM51" i="1"/>
  <c r="AM48" i="1"/>
  <c r="AM45" i="1"/>
  <c r="AM42" i="1"/>
  <c r="AM39" i="1"/>
  <c r="AM36" i="1"/>
  <c r="AM33" i="1"/>
  <c r="AM30" i="1"/>
  <c r="AM27" i="1"/>
  <c r="AM24" i="1"/>
  <c r="AM21" i="1"/>
  <c r="AM18" i="1"/>
  <c r="AM15" i="1"/>
  <c r="AM103" i="1"/>
  <c r="AM100" i="1"/>
  <c r="AM97" i="1"/>
  <c r="AM94" i="1"/>
  <c r="AM91" i="1"/>
  <c r="AM88" i="1"/>
  <c r="AM85" i="1"/>
  <c r="AM82" i="1"/>
  <c r="AM79" i="1"/>
  <c r="AM76" i="1"/>
  <c r="AM73" i="1"/>
  <c r="AM70" i="1"/>
  <c r="AM67" i="1"/>
  <c r="AM64" i="1"/>
  <c r="AM61" i="1"/>
  <c r="AM58" i="1"/>
  <c r="AM55" i="1"/>
  <c r="AM52" i="1"/>
  <c r="AM49" i="1"/>
  <c r="AM46" i="1"/>
  <c r="AM43" i="1"/>
  <c r="AM40" i="1"/>
  <c r="AM37" i="1"/>
  <c r="AM34" i="1"/>
  <c r="AM31" i="1"/>
  <c r="AM28" i="1"/>
  <c r="AM25" i="1"/>
  <c r="AM22" i="1"/>
  <c r="AM19" i="1"/>
  <c r="AM16" i="1"/>
  <c r="AM12" i="1"/>
  <c r="B20" i="1"/>
  <c r="B31" i="1"/>
  <c r="B32" i="1"/>
  <c r="B33" i="1"/>
  <c r="B34" i="1"/>
  <c r="B27" i="1"/>
  <c r="B28" i="1"/>
  <c r="B30" i="1"/>
  <c r="AR12" i="1"/>
  <c r="AQ12" i="1"/>
  <c r="AP12" i="1"/>
  <c r="C11" i="1"/>
  <c r="D11" i="1" s="1"/>
  <c r="D9" i="1" s="1"/>
  <c r="C5" i="2"/>
  <c r="C6" i="2" s="1"/>
  <c r="C7" i="2" s="1"/>
  <c r="C8" i="2" s="1"/>
  <c r="C9" i="2" s="1"/>
  <c r="C10" i="2" s="1"/>
  <c r="C11" i="2" s="1"/>
  <c r="C12" i="2" s="1"/>
  <c r="C13" i="2" s="1"/>
  <c r="C14" i="2" s="1"/>
  <c r="C15" i="2" s="1"/>
  <c r="C16" i="2" s="1"/>
  <c r="B6" i="2"/>
  <c r="B5" i="2" s="1"/>
  <c r="B17" i="1"/>
  <c r="B12" i="1"/>
  <c r="B13" i="1"/>
  <c r="B14" i="1"/>
  <c r="B15" i="1"/>
  <c r="B16" i="1"/>
  <c r="B18" i="1"/>
  <c r="B19" i="1"/>
  <c r="B21" i="1"/>
  <c r="B22" i="1"/>
  <c r="B23" i="1"/>
  <c r="B24" i="1"/>
  <c r="B25" i="1"/>
  <c r="B26" i="1"/>
  <c r="C9" i="1" l="1"/>
  <c r="D10" i="1"/>
  <c r="E11" i="1"/>
  <c r="E9" i="1" s="1"/>
  <c r="C10" i="1"/>
  <c r="B7" i="2"/>
  <c r="B8" i="2" s="1"/>
  <c r="B9" i="2" s="1"/>
  <c r="B10" i="2" s="1"/>
  <c r="F11" i="1" l="1"/>
  <c r="F9" i="1" s="1"/>
  <c r="E10" i="1"/>
  <c r="G11" i="1" l="1"/>
  <c r="G9" i="1" s="1"/>
  <c r="F10" i="1"/>
  <c r="H11" i="1" l="1"/>
  <c r="H9" i="1" s="1"/>
  <c r="G10" i="1"/>
  <c r="I11" i="1" l="1"/>
  <c r="I9" i="1" s="1"/>
  <c r="H10" i="1"/>
  <c r="J11" i="1" l="1"/>
  <c r="J9" i="1" s="1"/>
  <c r="I10" i="1"/>
  <c r="K11" i="1" l="1"/>
  <c r="K9" i="1" s="1"/>
  <c r="J10" i="1"/>
  <c r="L11" i="1" l="1"/>
  <c r="L9" i="1" s="1"/>
  <c r="K10" i="1"/>
  <c r="M11" i="1" l="1"/>
  <c r="M9" i="1" s="1"/>
  <c r="L10" i="1"/>
  <c r="N11" i="1" l="1"/>
  <c r="N9" i="1" s="1"/>
  <c r="M10" i="1"/>
  <c r="O11" i="1" l="1"/>
  <c r="O9" i="1" s="1"/>
  <c r="N10" i="1"/>
  <c r="P11" i="1" l="1"/>
  <c r="P9" i="1" s="1"/>
  <c r="O10" i="1"/>
  <c r="Q11" i="1" l="1"/>
  <c r="Q9" i="1" s="1"/>
  <c r="P10" i="1"/>
  <c r="R11" i="1" l="1"/>
  <c r="R9" i="1" s="1"/>
  <c r="Q10" i="1"/>
  <c r="S11" i="1" l="1"/>
  <c r="S9" i="1" s="1"/>
  <c r="R10" i="1"/>
  <c r="T11" i="1" l="1"/>
  <c r="T9" i="1" s="1"/>
  <c r="S10" i="1"/>
  <c r="U11" i="1" l="1"/>
  <c r="U9" i="1" s="1"/>
  <c r="T10" i="1"/>
  <c r="V11" i="1" l="1"/>
  <c r="V9" i="1" s="1"/>
  <c r="U10" i="1"/>
  <c r="W11" i="1" l="1"/>
  <c r="W9" i="1" s="1"/>
  <c r="V10" i="1"/>
  <c r="X11" i="1" l="1"/>
  <c r="X9" i="1" s="1"/>
  <c r="W10" i="1"/>
  <c r="Y11" i="1" l="1"/>
  <c r="Y9" i="1" s="1"/>
  <c r="X10" i="1"/>
  <c r="Z11" i="1" l="1"/>
  <c r="Z9" i="1" s="1"/>
  <c r="Y10" i="1"/>
  <c r="AA11" i="1" l="1"/>
  <c r="AA9" i="1" s="1"/>
  <c r="Z10" i="1"/>
  <c r="AB11" i="1" l="1"/>
  <c r="AB9" i="1" s="1"/>
  <c r="AA10" i="1"/>
  <c r="AC11" i="1" l="1"/>
  <c r="AC9" i="1" s="1"/>
  <c r="AB10" i="1"/>
  <c r="AD11" i="1" l="1"/>
  <c r="AC10" i="1"/>
  <c r="AG10" i="1" l="1"/>
  <c r="AF10" i="1"/>
  <c r="AG9" i="1"/>
  <c r="AF9" i="1"/>
  <c r="AG11" i="1"/>
  <c r="AF11" i="1"/>
  <c r="AD9" i="1"/>
  <c r="AE11" i="1"/>
  <c r="AE9" i="1"/>
  <c r="AE10" i="1"/>
  <c r="AD10" i="1"/>
  <c r="AI12" i="1"/>
  <c r="AS12" i="1" s="1"/>
  <c r="AI28" i="1"/>
  <c r="AI69" i="1"/>
  <c r="AI84" i="1"/>
  <c r="AI75" i="1"/>
  <c r="AI33" i="1"/>
  <c r="AI99" i="1"/>
  <c r="AI107" i="1"/>
  <c r="AI104" i="1"/>
  <c r="AI77" i="1"/>
  <c r="AI31" i="1"/>
  <c r="AI81" i="1"/>
  <c r="AI24" i="1"/>
  <c r="AI63" i="1"/>
  <c r="AI56" i="1"/>
  <c r="AI66" i="1"/>
  <c r="AI38" i="1"/>
  <c r="AI46" i="1"/>
  <c r="AI92" i="1"/>
  <c r="AI102" i="1"/>
  <c r="AI70" i="1"/>
  <c r="AI19" i="1"/>
  <c r="AI94" i="1"/>
  <c r="AI49" i="1"/>
  <c r="AI52" i="1"/>
  <c r="AI89" i="1"/>
  <c r="AI43" i="1"/>
  <c r="AI93" i="1"/>
  <c r="AI96" i="1"/>
  <c r="AI109" i="1"/>
  <c r="AI103" i="1"/>
  <c r="AI26" i="1"/>
  <c r="AI83" i="1"/>
  <c r="AI80" i="1"/>
  <c r="AI41" i="1"/>
  <c r="AI58" i="1"/>
  <c r="AI53" i="1"/>
  <c r="AI25" i="1"/>
  <c r="AI65" i="1"/>
  <c r="AI37" i="1"/>
  <c r="AI40" i="1"/>
  <c r="AI98" i="1"/>
  <c r="AI106" i="1"/>
  <c r="AI61" i="1"/>
  <c r="AI110" i="1"/>
  <c r="AI64" i="1"/>
  <c r="AI101" i="1"/>
  <c r="AI55" i="1"/>
  <c r="AI105" i="1"/>
  <c r="AI48" i="1"/>
  <c r="AI59" i="1"/>
  <c r="AI54" i="1"/>
  <c r="AI22" i="1"/>
  <c r="AI17" i="1"/>
  <c r="AI34" i="1"/>
  <c r="AI29" i="1"/>
  <c r="AI45" i="1"/>
  <c r="AI62" i="1"/>
  <c r="AI57" i="1"/>
  <c r="AI74" i="1"/>
  <c r="AI82" i="1"/>
  <c r="AI86" i="1"/>
  <c r="AI13" i="1"/>
  <c r="AI23" i="1"/>
  <c r="AI73" i="1"/>
  <c r="AI27" i="1"/>
  <c r="AI76" i="1"/>
  <c r="AI18" i="1"/>
  <c r="AI67" i="1"/>
  <c r="AI20" i="1"/>
  <c r="AI36" i="1"/>
  <c r="AI21" i="1"/>
  <c r="AI78" i="1"/>
  <c r="AI50" i="1"/>
  <c r="AI15" i="1"/>
  <c r="AI30" i="1"/>
  <c r="AI79" i="1"/>
  <c r="AI32" i="1"/>
  <c r="AI72" i="1"/>
  <c r="AI16" i="1"/>
  <c r="AI112" i="1"/>
  <c r="AI71" i="1"/>
  <c r="AI68" i="1"/>
  <c r="AI87" i="1"/>
  <c r="AI95" i="1"/>
  <c r="AI90" i="1"/>
  <c r="AI111" i="1"/>
  <c r="AI35" i="1"/>
  <c r="AI85" i="1"/>
  <c r="AI39" i="1"/>
  <c r="AI88" i="1"/>
  <c r="AI14" i="1"/>
  <c r="AI47" i="1"/>
  <c r="AI97" i="1"/>
  <c r="AI51" i="1"/>
  <c r="AI100" i="1"/>
  <c r="AI42" i="1"/>
  <c r="AI91" i="1"/>
  <c r="AI44" i="1"/>
  <c r="AI108" i="1"/>
  <c r="AI60" i="1"/>
  <c r="D72" i="5"/>
  <c r="D205" i="5" l="1"/>
  <c r="D122" i="5"/>
  <c r="D159" i="5"/>
  <c r="D28" i="5"/>
  <c r="D73" i="5"/>
  <c r="D217" i="5"/>
  <c r="D276" i="5"/>
  <c r="D134" i="5"/>
  <c r="D27" i="5"/>
  <c r="D171" i="5"/>
  <c r="D88" i="5"/>
  <c r="D40" i="5"/>
  <c r="D5" i="5"/>
  <c r="D149" i="5"/>
  <c r="D293" i="5"/>
  <c r="D54" i="5"/>
  <c r="D198" i="5"/>
  <c r="D153" i="5"/>
  <c r="D79" i="5"/>
  <c r="D223" i="5"/>
  <c r="D285" i="5"/>
  <c r="D116" i="5"/>
  <c r="D260" i="5"/>
  <c r="D10" i="5"/>
  <c r="D154" i="5"/>
  <c r="D167" i="5"/>
  <c r="D47" i="5"/>
  <c r="D215" i="5"/>
  <c r="D84" i="5"/>
  <c r="D2" i="5"/>
  <c r="D39" i="5"/>
  <c r="D112" i="5"/>
  <c r="D17" i="5"/>
  <c r="D57" i="5"/>
  <c r="D66" i="5"/>
  <c r="D210" i="5"/>
  <c r="D201" i="5"/>
  <c r="D91" i="5"/>
  <c r="D235" i="5"/>
  <c r="D168" i="5"/>
  <c r="D128" i="5"/>
  <c r="D272" i="5"/>
  <c r="D22" i="5"/>
  <c r="D166" i="5"/>
  <c r="D203" i="5"/>
  <c r="D59" i="5"/>
  <c r="D251" i="5"/>
  <c r="D96" i="5"/>
  <c r="D146" i="5"/>
  <c r="D183" i="5"/>
  <c r="D64" i="5"/>
  <c r="D161" i="5"/>
  <c r="D97" i="5"/>
  <c r="D241" i="5"/>
  <c r="D14" i="5"/>
  <c r="D158" i="5"/>
  <c r="D51" i="5"/>
  <c r="D195" i="5"/>
  <c r="D136" i="5"/>
  <c r="D76" i="5"/>
  <c r="D29" i="5"/>
  <c r="D173" i="5"/>
  <c r="D117" i="5"/>
  <c r="D78" i="5"/>
  <c r="D222" i="5"/>
  <c r="D237" i="5"/>
  <c r="D103" i="5"/>
  <c r="D247" i="5"/>
  <c r="D252" i="5"/>
  <c r="D140" i="5"/>
  <c r="D284" i="5"/>
  <c r="D34" i="5"/>
  <c r="D178" i="5"/>
  <c r="D227" i="5"/>
  <c r="D71" i="5"/>
  <c r="D275" i="5"/>
  <c r="D297" i="5"/>
  <c r="D109" i="5"/>
  <c r="D26" i="5"/>
  <c r="D63" i="5"/>
  <c r="D160" i="5"/>
  <c r="D41" i="5"/>
  <c r="D185" i="5"/>
  <c r="D165" i="5"/>
  <c r="D90" i="5"/>
  <c r="D234" i="5"/>
  <c r="D273" i="5"/>
  <c r="D115" i="5"/>
  <c r="D259" i="5"/>
  <c r="D8" i="5"/>
  <c r="D152" i="5"/>
  <c r="D296" i="5"/>
  <c r="D46" i="5"/>
  <c r="D190" i="5"/>
  <c r="D239" i="5"/>
  <c r="D83" i="5"/>
  <c r="D120" i="5"/>
  <c r="D85" i="5"/>
  <c r="D253" i="5"/>
  <c r="D170" i="5"/>
  <c r="D207" i="5"/>
  <c r="D100" i="5"/>
  <c r="D121" i="5"/>
  <c r="D265" i="5"/>
  <c r="D38" i="5"/>
  <c r="D182" i="5"/>
  <c r="D75" i="5"/>
  <c r="D219" i="5"/>
  <c r="D184" i="5"/>
  <c r="D124" i="5"/>
  <c r="D53" i="5"/>
  <c r="D197" i="5"/>
  <c r="D213" i="5"/>
  <c r="D102" i="5"/>
  <c r="D246" i="5"/>
  <c r="D144" i="5"/>
  <c r="D127" i="5"/>
  <c r="D271" i="5"/>
  <c r="D20" i="5"/>
  <c r="D164" i="5"/>
  <c r="D21" i="5"/>
  <c r="D58" i="5"/>
  <c r="D202" i="5"/>
  <c r="D263" i="5"/>
  <c r="D95" i="5"/>
  <c r="D192" i="5"/>
  <c r="D133" i="5"/>
  <c r="D50" i="5"/>
  <c r="D87" i="5"/>
  <c r="D208" i="5"/>
  <c r="D148" i="5"/>
  <c r="D65" i="5"/>
  <c r="D209" i="5"/>
  <c r="D261" i="5"/>
  <c r="D114" i="5"/>
  <c r="D258" i="5"/>
  <c r="D240" i="5"/>
  <c r="D139" i="5"/>
  <c r="D283" i="5"/>
  <c r="D32" i="5"/>
  <c r="D176" i="5"/>
  <c r="D93" i="5"/>
  <c r="D70" i="5"/>
  <c r="D214" i="5"/>
  <c r="D287" i="5"/>
  <c r="D107" i="5"/>
  <c r="D204" i="5"/>
  <c r="D229" i="5"/>
  <c r="D277" i="5"/>
  <c r="D194" i="5"/>
  <c r="D231" i="5"/>
  <c r="D13" i="5"/>
  <c r="D145" i="5"/>
  <c r="D289" i="5"/>
  <c r="D62" i="5"/>
  <c r="D206" i="5"/>
  <c r="D99" i="5"/>
  <c r="D243" i="5"/>
  <c r="D232" i="5"/>
  <c r="D172" i="5"/>
  <c r="D77" i="5"/>
  <c r="D221" i="5"/>
  <c r="D132" i="5"/>
  <c r="D126" i="5"/>
  <c r="D270" i="5"/>
  <c r="D7" i="5"/>
  <c r="D151" i="5"/>
  <c r="D295" i="5"/>
  <c r="D44" i="5"/>
  <c r="D188" i="5"/>
  <c r="D141" i="5"/>
  <c r="D82" i="5"/>
  <c r="D226" i="5"/>
  <c r="D108" i="5"/>
  <c r="D119" i="5"/>
  <c r="D12" i="5"/>
  <c r="D157" i="5"/>
  <c r="D74" i="5"/>
  <c r="D111" i="5"/>
  <c r="D268" i="5"/>
  <c r="D89" i="5"/>
  <c r="D233" i="5"/>
  <c r="D228" i="5"/>
  <c r="D138" i="5"/>
  <c r="D282" i="5"/>
  <c r="D19" i="5"/>
  <c r="D163" i="5"/>
  <c r="D33" i="5"/>
  <c r="D56" i="5"/>
  <c r="D200" i="5"/>
  <c r="D189" i="5"/>
  <c r="D94" i="5"/>
  <c r="D238" i="5"/>
  <c r="D180" i="5"/>
  <c r="D131" i="5"/>
  <c r="D24" i="5"/>
  <c r="D254" i="5"/>
  <c r="D218" i="5"/>
  <c r="D255" i="5"/>
  <c r="D196" i="5"/>
  <c r="D25" i="5"/>
  <c r="D169" i="5"/>
  <c r="D266" i="5"/>
  <c r="D86" i="5"/>
  <c r="D230" i="5"/>
  <c r="D123" i="5"/>
  <c r="D267" i="5"/>
  <c r="D292" i="5"/>
  <c r="D220" i="5"/>
  <c r="D101" i="5"/>
  <c r="D245" i="5"/>
  <c r="D6" i="5"/>
  <c r="D150" i="5"/>
  <c r="D294" i="5"/>
  <c r="D31" i="5"/>
  <c r="D175" i="5"/>
  <c r="D81" i="5"/>
  <c r="D68" i="5"/>
  <c r="D212" i="5"/>
  <c r="D249" i="5"/>
  <c r="D106" i="5"/>
  <c r="D250" i="5"/>
  <c r="D216" i="5"/>
  <c r="D143" i="5"/>
  <c r="D36" i="5"/>
  <c r="D37" i="5"/>
  <c r="D278" i="5"/>
  <c r="D242" i="5"/>
  <c r="D279" i="5"/>
  <c r="D256" i="5"/>
  <c r="D113" i="5"/>
  <c r="D257" i="5"/>
  <c r="D18" i="5"/>
  <c r="D162" i="5"/>
  <c r="D45" i="5"/>
  <c r="D43" i="5"/>
  <c r="D187" i="5"/>
  <c r="D129" i="5"/>
  <c r="D80" i="5"/>
  <c r="D224" i="5"/>
  <c r="D156" i="5"/>
  <c r="D118" i="5"/>
  <c r="D262" i="5"/>
  <c r="D11" i="5"/>
  <c r="D155" i="5"/>
  <c r="D48" i="5"/>
  <c r="D181" i="5"/>
  <c r="D98" i="5"/>
  <c r="D135" i="5"/>
  <c r="D4" i="5"/>
  <c r="D49" i="5"/>
  <c r="D193" i="5"/>
  <c r="D290" i="5"/>
  <c r="D110" i="5"/>
  <c r="D3" i="5"/>
  <c r="D147" i="5"/>
  <c r="D291" i="5"/>
  <c r="D16" i="5"/>
  <c r="D280" i="5"/>
  <c r="D125" i="5"/>
  <c r="D269" i="5"/>
  <c r="D30" i="5"/>
  <c r="D174" i="5"/>
  <c r="D69" i="5"/>
  <c r="D55" i="5"/>
  <c r="D199" i="5"/>
  <c r="D177" i="5"/>
  <c r="D92" i="5"/>
  <c r="D236" i="5"/>
  <c r="D264" i="5"/>
  <c r="D130" i="5"/>
  <c r="D274" i="5"/>
  <c r="D23" i="5"/>
  <c r="D179" i="5"/>
  <c r="D60" i="5"/>
  <c r="D61" i="5"/>
  <c r="D244" i="5"/>
  <c r="D15" i="5"/>
  <c r="D52" i="5"/>
  <c r="D288" i="5"/>
  <c r="D137" i="5"/>
  <c r="D281" i="5"/>
  <c r="D42" i="5"/>
  <c r="D186" i="5"/>
  <c r="D105" i="5"/>
  <c r="D67" i="5"/>
  <c r="D211" i="5"/>
  <c r="D225" i="5"/>
  <c r="D104" i="5"/>
  <c r="D248" i="5"/>
  <c r="D9" i="5"/>
  <c r="D142" i="5"/>
  <c r="D286" i="5"/>
  <c r="D35" i="5"/>
  <c r="D191" i="5"/>
</calcChain>
</file>

<file path=xl/sharedStrings.xml><?xml version="1.0" encoding="utf-8"?>
<sst xmlns="http://schemas.openxmlformats.org/spreadsheetml/2006/main" count="697" uniqueCount="88">
  <si>
    <t>Personel Adı</t>
  </si>
  <si>
    <t>No</t>
  </si>
  <si>
    <t>Durum</t>
  </si>
  <si>
    <t>Günlük Ücreti</t>
  </si>
  <si>
    <t>Aylar</t>
  </si>
  <si>
    <t>Yıllar</t>
  </si>
  <si>
    <t>Çalışıyor</t>
  </si>
  <si>
    <t>Ç</t>
  </si>
  <si>
    <t>Yıllık İzin</t>
  </si>
  <si>
    <t>Yİ</t>
  </si>
  <si>
    <t>Raporlu</t>
  </si>
  <si>
    <t>Hakediş</t>
  </si>
  <si>
    <t>R</t>
  </si>
  <si>
    <t>Resmi Tatil</t>
  </si>
  <si>
    <t>RT</t>
  </si>
  <si>
    <t>Ücretsiz İzin</t>
  </si>
  <si>
    <t>Üİ</t>
  </si>
  <si>
    <t>Ad Soyad</t>
  </si>
  <si>
    <t>Özlem Avcıoğlu</t>
  </si>
  <si>
    <t>Emel Cennet Gürsoy</t>
  </si>
  <si>
    <t>Hatice Eylül Yegen Yılmaz</t>
  </si>
  <si>
    <t>Sultan Efe</t>
  </si>
  <si>
    <t>Murat Şen</t>
  </si>
  <si>
    <t>Yıl Seçiniz:</t>
  </si>
  <si>
    <t>Ay Seçiniz:</t>
  </si>
  <si>
    <t>Tarih</t>
  </si>
  <si>
    <t>Maaş</t>
  </si>
  <si>
    <t>K</t>
  </si>
  <si>
    <t>Kesinti</t>
  </si>
  <si>
    <t>Genel Toplam</t>
  </si>
  <si>
    <t>Toplam Maaş</t>
  </si>
  <si>
    <t>Sütun Etiketleri</t>
  </si>
  <si>
    <t>İsim Soyisim</t>
  </si>
  <si>
    <t>Kısa Açıklaması</t>
  </si>
  <si>
    <t>Etki</t>
  </si>
  <si>
    <t>AYARLAR</t>
  </si>
  <si>
    <t>Say Maaş</t>
  </si>
  <si>
    <t>YILLIK HAKEDİŞ RAPORU</t>
  </si>
  <si>
    <t>DURUM RAPORU</t>
  </si>
  <si>
    <t>Çalışıyor (x1)</t>
  </si>
  <si>
    <t>Yıllık İzin (x1)</t>
  </si>
  <si>
    <t>Resmi Tatil (x1)</t>
  </si>
  <si>
    <t>Raporlu (x1)</t>
  </si>
  <si>
    <t>Ücretsiz İzin (x0)</t>
  </si>
  <si>
    <t>Kesinti (x-1)</t>
  </si>
  <si>
    <t>M</t>
  </si>
  <si>
    <t>FM</t>
  </si>
  <si>
    <t>YK</t>
  </si>
  <si>
    <t>Mesai</t>
  </si>
  <si>
    <t>Fazla Mesai</t>
  </si>
  <si>
    <t>Günlük Hakedişinin 1,5 katını alır</t>
  </si>
  <si>
    <t>Günlük Hakedişini alır</t>
  </si>
  <si>
    <t>Günlük Hakedişinin 2 katını alır</t>
  </si>
  <si>
    <t>Günlük Hakedişinin yarısını alır</t>
  </si>
  <si>
    <t>Yarım Kesinti</t>
  </si>
  <si>
    <t>Günlük Hakedişi eksilir</t>
  </si>
  <si>
    <t>Hiç ücret almaz.</t>
  </si>
  <si>
    <t>Mesai (x1,5)</t>
  </si>
  <si>
    <t>Fazla Mesai (x2)</t>
  </si>
  <si>
    <t>Yarım Kes (x0,5)</t>
  </si>
  <si>
    <t>Çarpan</t>
  </si>
  <si>
    <t>Toplam Fazla Mesai (x2)</t>
  </si>
  <si>
    <t>Toplam Mesai (x1,5)</t>
  </si>
  <si>
    <t>Toplam Çalıştığı (x1)</t>
  </si>
  <si>
    <t>Toplam Yarım Kesinti (x0,5)</t>
  </si>
  <si>
    <t>Toplam Kesinti (x-1)</t>
  </si>
  <si>
    <t>Toplam Ücretsiz İzin (x0)</t>
  </si>
  <si>
    <t>Toplam Yıllık İzinli (x1)</t>
  </si>
  <si>
    <t>Toplam Raporlu (x1)</t>
  </si>
  <si>
    <t>Toplam Resmi Tatil (x1)</t>
  </si>
  <si>
    <t>Toplam Haftasonu (x1)</t>
  </si>
  <si>
    <t>HS</t>
  </si>
  <si>
    <t>HaftaSonu (x1)</t>
  </si>
  <si>
    <t>Haftasonu İzni</t>
  </si>
  <si>
    <t>1: Cumartesi ve Pazar</t>
  </si>
  <si>
    <t>2: Pazar</t>
  </si>
  <si>
    <t>Haftasonu Ayarı :</t>
  </si>
  <si>
    <t>Çalışma Durumları</t>
  </si>
  <si>
    <t>İzin Durumları</t>
  </si>
  <si>
    <t>Oca</t>
  </si>
  <si>
    <t>Şub</t>
  </si>
  <si>
    <t>KILAVUZ</t>
  </si>
  <si>
    <t>EĞİTİM VİDEOSU</t>
  </si>
  <si>
    <t>KULLANICI KILAVUZU</t>
  </si>
  <si>
    <t>HAKKIMIZDA</t>
  </si>
  <si>
    <t>Bu şablonun nasıl kullanıldığını videolu ve detaylı bir şekilde öğrenmek için aşağıdaki düğmeye tıklayabilirsiniz.</t>
  </si>
  <si>
    <r>
      <t xml:space="preserve">Excel Şablonlarımızı nasıl kullanmanız gerektiğini öğrenmek için buraya tıklayarak </t>
    </r>
    <r>
      <rPr>
        <sz val="11"/>
        <color theme="1"/>
        <rFont val="Century Gothic"/>
        <family val="2"/>
        <charset val="162"/>
      </rPr>
      <t>Kullanıcı Kılavuzunu in</t>
    </r>
    <r>
      <rPr>
        <sz val="11"/>
        <color theme="1"/>
        <rFont val="Century Gothic"/>
        <family val="2"/>
        <charset val="162"/>
      </rPr>
      <t>direbilirsiniz.</t>
    </r>
  </si>
  <si>
    <t> olarak eğitim,danışmanlık ve yazılım hizmeti sunmaktayız. Ürün &amp; Hizmetlerimiz ve daha fazlası için tıklayınız.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</si>
</sst>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&quot;₺&quot;#,##0.00;[Red]\-&quot;₺&quot;#,##0.00"/>
    <numFmt numFmtId="164" formatCode="[$-41F]mmmm\ yyyy;@"/>
    <numFmt numFmtId="165" formatCode="d\ mmm\ ddd"/>
    <numFmt numFmtId="166" formatCode="dd\.mm\.yyyy"/>
    <numFmt numFmtId="167" formatCode="&quot;₺&quot;#,##0.00"/>
    <numFmt numFmtId="168" formatCode="0.0"/>
  </numFmts>
  <fonts count="36" x14ac:knownFonts="1">
    <font>
      <sz val="11"/>
      <color theme="1"/>
      <name val="Century Gothic"/>
      <family val="2"/>
      <charset val="162"/>
    </font>
    <font>
      <sz val="11"/>
      <color theme="1"/>
      <name val="Calibri"/>
      <family val="2"/>
      <charset val="162"/>
      <scheme val="minor"/>
    </font>
    <font>
      <b/>
      <sz val="10"/>
      <color theme="7" tint="-0.499984740745262"/>
      <name val="Century Gothic"/>
      <family val="2"/>
      <charset val="162"/>
    </font>
    <font>
      <sz val="11"/>
      <color theme="1"/>
      <name val="Century Gothic"/>
      <family val="2"/>
      <charset val="162"/>
    </font>
    <font>
      <b/>
      <sz val="11"/>
      <color theme="4"/>
      <name val="Century Gothic"/>
      <family val="2"/>
      <charset val="162"/>
    </font>
    <font>
      <sz val="11"/>
      <color theme="4"/>
      <name val="Century Gothic"/>
      <family val="2"/>
      <charset val="162"/>
    </font>
    <font>
      <b/>
      <sz val="10"/>
      <color theme="4"/>
      <name val="Century Gothic"/>
      <family val="2"/>
      <charset val="162"/>
    </font>
    <font>
      <b/>
      <sz val="11"/>
      <color theme="7" tint="-0.499984740745262"/>
      <name val="Century Gothic"/>
      <family val="2"/>
    </font>
    <font>
      <sz val="11"/>
      <color rgb="FF107C41"/>
      <name val="Century Gothic"/>
      <family val="2"/>
      <charset val="162"/>
    </font>
    <font>
      <b/>
      <sz val="11"/>
      <color rgb="FF107C41"/>
      <name val="Century Gothic"/>
      <family val="2"/>
      <charset val="162"/>
    </font>
    <font>
      <sz val="11"/>
      <color rgb="FFFF0000"/>
      <name val="Century Gothic"/>
      <family val="2"/>
      <charset val="162"/>
    </font>
    <font>
      <b/>
      <sz val="11"/>
      <color rgb="FFFF0000"/>
      <name val="Century Gothic"/>
      <family val="2"/>
      <charset val="162"/>
    </font>
    <font>
      <b/>
      <sz val="10"/>
      <color rgb="FF107C41"/>
      <name val="Century Gothic"/>
      <family val="2"/>
    </font>
    <font>
      <b/>
      <sz val="11"/>
      <color rgb="FF107C41"/>
      <name val="Century Gothic"/>
      <family val="2"/>
    </font>
    <font>
      <sz val="11"/>
      <color theme="1" tint="0.34998626667073579"/>
      <name val="Century Gothic"/>
      <family val="2"/>
      <charset val="162"/>
    </font>
    <font>
      <b/>
      <sz val="11"/>
      <color theme="1" tint="0.34998626667073579"/>
      <name val="Century Gothic"/>
      <family val="2"/>
      <charset val="162"/>
    </font>
    <font>
      <b/>
      <sz val="10"/>
      <color theme="1" tint="0.34998626667073579"/>
      <name val="Century Gothic"/>
      <family val="2"/>
    </font>
    <font>
      <b/>
      <sz val="11"/>
      <color theme="1" tint="0.34998626667073579"/>
      <name val="Century Gothic"/>
      <family val="2"/>
    </font>
    <font>
      <b/>
      <sz val="24"/>
      <color theme="4" tint="-0.249977111117893"/>
      <name val="Century Gothic"/>
      <family val="2"/>
    </font>
    <font>
      <b/>
      <sz val="36"/>
      <color theme="6"/>
      <name val="Century Gothic"/>
      <family val="2"/>
    </font>
    <font>
      <sz val="10"/>
      <color rgb="FF107C41"/>
      <name val="Century Gothic"/>
      <family val="2"/>
    </font>
    <font>
      <sz val="11"/>
      <color theme="1" tint="0.34998626667073579"/>
      <name val="Century Gothic"/>
      <family val="2"/>
    </font>
    <font>
      <sz val="10"/>
      <color rgb="FFFF0000"/>
      <name val="Century Gothic"/>
      <family val="2"/>
    </font>
    <font>
      <b/>
      <sz val="10"/>
      <color rgb="FFFF0000"/>
      <name val="Century Gothic"/>
      <family val="2"/>
    </font>
    <font>
      <b/>
      <sz val="11"/>
      <color theme="9" tint="-0.249977111117893"/>
      <name val="Century Gothic"/>
      <family val="2"/>
      <charset val="162"/>
    </font>
    <font>
      <sz val="11"/>
      <color theme="9" tint="-0.249977111117893"/>
      <name val="Century Gothic"/>
      <family val="2"/>
      <charset val="162"/>
    </font>
    <font>
      <b/>
      <sz val="10"/>
      <color theme="9" tint="-0.249977111117893"/>
      <name val="Century Gothic"/>
      <family val="2"/>
    </font>
    <font>
      <b/>
      <sz val="11"/>
      <color theme="9" tint="-0.249977111117893"/>
      <name val="Century Gothic"/>
      <family val="2"/>
    </font>
    <font>
      <b/>
      <sz val="11"/>
      <color theme="7" tint="0.79998168889431442"/>
      <name val="Century Gothic"/>
      <family val="2"/>
      <charset val="162"/>
    </font>
    <font>
      <b/>
      <sz val="11"/>
      <color rgb="FFFF0000"/>
      <name val="Century Gothic"/>
      <family val="2"/>
    </font>
    <font>
      <sz val="10"/>
      <color theme="9" tint="-0.249977111117893"/>
      <name val="Century Gothic"/>
      <family val="2"/>
    </font>
    <font>
      <sz val="10"/>
      <color theme="1" tint="0.249977111117893"/>
      <name val="Century Gothic"/>
      <family val="2"/>
    </font>
    <font>
      <sz val="11"/>
      <color theme="0"/>
      <name val="Calibri"/>
      <family val="2"/>
      <charset val="162"/>
      <scheme val="minor"/>
    </font>
    <font>
      <b/>
      <sz val="24"/>
      <color theme="0"/>
      <name val="Montserrat"/>
    </font>
    <font>
      <b/>
      <sz val="11"/>
      <color theme="4"/>
      <name val="Calibri"/>
      <family val="2"/>
      <scheme val="minor"/>
    </font>
    <font>
      <u/>
      <sz val="11"/>
      <color theme="10"/>
      <name val="Calibri"/>
      <family val="2"/>
      <charset val="16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B4E6C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/>
        <bgColor indexed="64"/>
      </patternFill>
    </fill>
  </fills>
  <borders count="17">
    <border>
      <left/>
      <right/>
      <top/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107C41"/>
      </left>
      <right style="thin">
        <color rgb="FF107C41"/>
      </right>
      <top style="thin">
        <color rgb="FF107C41"/>
      </top>
      <bottom style="thin">
        <color rgb="FF107C41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/>
      <top style="thin">
        <color theme="1" tint="0.34998626667073579"/>
      </top>
      <bottom/>
      <diagonal/>
    </border>
    <border>
      <left/>
      <right/>
      <top style="thin">
        <color theme="1" tint="0.34998626667073579"/>
      </top>
      <bottom/>
      <diagonal/>
    </border>
    <border>
      <left/>
      <right style="thin">
        <color theme="1" tint="0.34998626667073579"/>
      </right>
      <top style="thin">
        <color theme="1" tint="0.34998626667073579"/>
      </top>
      <bottom/>
      <diagonal/>
    </border>
    <border>
      <left style="thin">
        <color theme="1" tint="0.34998626667073579"/>
      </left>
      <right/>
      <top/>
      <bottom/>
      <diagonal/>
    </border>
    <border>
      <left/>
      <right style="thin">
        <color theme="1" tint="0.34998626667073579"/>
      </right>
      <top/>
      <bottom/>
      <diagonal/>
    </border>
    <border>
      <left style="thin">
        <color theme="1" tint="0.34998626667073579"/>
      </left>
      <right/>
      <top/>
      <bottom style="thin">
        <color theme="1" tint="0.34998626667073579"/>
      </bottom>
      <diagonal/>
    </border>
    <border>
      <left/>
      <right/>
      <top/>
      <bottom style="thin">
        <color theme="1" tint="0.34998626667073579"/>
      </bottom>
      <diagonal/>
    </border>
    <border>
      <left/>
      <right style="thin">
        <color theme="1" tint="0.34998626667073579"/>
      </right>
      <top/>
      <bottom style="thin">
        <color theme="1" tint="0.34998626667073579"/>
      </bottom>
      <diagonal/>
    </border>
    <border>
      <left style="thin">
        <color theme="9" tint="-0.249977111117893"/>
      </left>
      <right style="thin">
        <color theme="9" tint="-0.249977111117893"/>
      </right>
      <top style="thin">
        <color theme="9" tint="-0.249977111117893"/>
      </top>
      <bottom style="thin">
        <color theme="9" tint="-0.249977111117893"/>
      </bottom>
      <diagonal/>
    </border>
    <border>
      <left style="thin">
        <color theme="1" tint="0.34998626667073579"/>
      </left>
      <right/>
      <top style="thin">
        <color theme="1" tint="0.34998626667073579"/>
      </top>
      <bottom style="thin">
        <color theme="1" tint="0.34998626667073579"/>
      </bottom>
      <diagonal/>
    </border>
    <border>
      <left style="thick">
        <color theme="0"/>
      </left>
      <right/>
      <top/>
      <bottom/>
      <diagonal/>
    </border>
    <border>
      <left/>
      <right/>
      <top/>
      <bottom style="thin">
        <color theme="0" tint="-0.249977111117893"/>
      </bottom>
      <diagonal/>
    </border>
  </borders>
  <cellStyleXfs count="4">
    <xf numFmtId="0" fontId="0" fillId="0" borderId="0"/>
    <xf numFmtId="0" fontId="3" fillId="0" borderId="0"/>
    <xf numFmtId="0" fontId="1" fillId="0" borderId="0"/>
    <xf numFmtId="0" fontId="35" fillId="0" borderId="0" applyNumberFormat="0" applyFill="0" applyBorder="0" applyAlignment="0" applyProtection="0"/>
  </cellStyleXfs>
  <cellXfs count="95">
    <xf numFmtId="0" fontId="0" fillId="0" borderId="0" xfId="0"/>
    <xf numFmtId="0" fontId="0" fillId="0" borderId="0" xfId="0" applyAlignment="1">
      <alignment horizontal="center" vertical="center"/>
    </xf>
    <xf numFmtId="8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 applyProtection="1">
      <alignment horizontal="center" vertical="center"/>
      <protection locked="0"/>
    </xf>
    <xf numFmtId="164" fontId="0" fillId="0" borderId="1" xfId="0" applyNumberFormat="1" applyBorder="1" applyAlignment="1" applyProtection="1">
      <alignment horizontal="center" vertical="center"/>
      <protection locked="0"/>
    </xf>
    <xf numFmtId="0" fontId="0" fillId="3" borderId="0" xfId="0" applyFill="1"/>
    <xf numFmtId="0" fontId="0" fillId="3" borderId="0" xfId="0" applyFill="1" applyAlignment="1">
      <alignment textRotation="90"/>
    </xf>
    <xf numFmtId="0" fontId="4" fillId="3" borderId="0" xfId="0" applyFont="1" applyFill="1" applyAlignment="1">
      <alignment horizontal="right" vertical="center" indent="3"/>
    </xf>
    <xf numFmtId="0" fontId="5" fillId="3" borderId="0" xfId="0" applyFont="1" applyFill="1" applyAlignment="1">
      <alignment vertical="center"/>
    </xf>
    <xf numFmtId="0" fontId="5" fillId="3" borderId="0" xfId="0" applyFont="1" applyFill="1" applyAlignment="1">
      <alignment horizontal="left" vertical="center" wrapText="1"/>
    </xf>
    <xf numFmtId="0" fontId="0" fillId="3" borderId="0" xfId="0" applyFill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165" fontId="6" fillId="3" borderId="1" xfId="0" applyNumberFormat="1" applyFont="1" applyFill="1" applyBorder="1" applyAlignment="1">
      <alignment horizontal="center" vertical="center" textRotation="90"/>
    </xf>
    <xf numFmtId="0" fontId="5" fillId="3" borderId="1" xfId="0" applyFont="1" applyFill="1" applyBorder="1" applyAlignment="1">
      <alignment horizontal="left" vertical="center"/>
    </xf>
    <xf numFmtId="166" fontId="0" fillId="0" borderId="0" xfId="0" applyNumberFormat="1" applyAlignment="1">
      <alignment horizontal="left" vertical="center"/>
    </xf>
    <xf numFmtId="0" fontId="0" fillId="3" borderId="0" xfId="0" applyFill="1" applyAlignment="1">
      <alignment vertical="center"/>
    </xf>
    <xf numFmtId="0" fontId="8" fillId="3" borderId="0" xfId="0" applyFont="1" applyFill="1" applyAlignment="1">
      <alignment vertical="center"/>
    </xf>
    <xf numFmtId="0" fontId="9" fillId="0" borderId="2" xfId="0" applyFont="1" applyBorder="1" applyAlignment="1" applyProtection="1">
      <alignment horizontal="center" vertical="center"/>
      <protection locked="0"/>
    </xf>
    <xf numFmtId="0" fontId="10" fillId="3" borderId="0" xfId="0" applyFont="1" applyFill="1" applyAlignment="1">
      <alignment vertical="center"/>
    </xf>
    <xf numFmtId="0" fontId="11" fillId="0" borderId="3" xfId="0" applyFont="1" applyBorder="1" applyAlignment="1" applyProtection="1">
      <alignment horizontal="center" vertical="center"/>
      <protection locked="0"/>
    </xf>
    <xf numFmtId="165" fontId="12" fillId="4" borderId="1" xfId="0" applyNumberFormat="1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/>
    </xf>
    <xf numFmtId="165" fontId="2" fillId="5" borderId="1" xfId="0" applyNumberFormat="1" applyFont="1" applyFill="1" applyBorder="1" applyAlignment="1">
      <alignment horizontal="center" vertical="center" wrapText="1"/>
    </xf>
    <xf numFmtId="8" fontId="7" fillId="5" borderId="1" xfId="0" applyNumberFormat="1" applyFont="1" applyFill="1" applyBorder="1" applyAlignment="1">
      <alignment horizontal="center" vertical="center"/>
    </xf>
    <xf numFmtId="0" fontId="8" fillId="0" borderId="1" xfId="0" applyFont="1" applyBorder="1" applyAlignment="1" applyProtection="1">
      <alignment horizontal="center" vertical="center"/>
      <protection locked="0"/>
    </xf>
    <xf numFmtId="0" fontId="14" fillId="3" borderId="0" xfId="0" applyFont="1" applyFill="1" applyAlignment="1">
      <alignment vertical="center"/>
    </xf>
    <xf numFmtId="0" fontId="15" fillId="0" borderId="4" xfId="0" applyFont="1" applyBorder="1" applyAlignment="1" applyProtection="1">
      <alignment horizontal="center" vertical="center"/>
      <protection locked="0"/>
    </xf>
    <xf numFmtId="165" fontId="16" fillId="6" borderId="1" xfId="0" applyNumberFormat="1" applyFont="1" applyFill="1" applyBorder="1" applyAlignment="1">
      <alignment horizontal="center" vertical="center" wrapText="1"/>
    </xf>
    <xf numFmtId="0" fontId="17" fillId="6" borderId="1" xfId="0" applyFont="1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vertical="center"/>
    </xf>
    <xf numFmtId="167" fontId="0" fillId="0" borderId="0" xfId="0" applyNumberFormat="1" applyAlignment="1">
      <alignment horizontal="center" vertical="center"/>
    </xf>
    <xf numFmtId="0" fontId="0" fillId="0" borderId="0" xfId="0" pivotButton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4" fillId="3" borderId="0" xfId="0" applyFont="1" applyFill="1" applyAlignment="1">
      <alignment horizontal="center" vertical="center"/>
    </xf>
    <xf numFmtId="0" fontId="19" fillId="0" borderId="0" xfId="0" applyFont="1"/>
    <xf numFmtId="0" fontId="0" fillId="3" borderId="5" xfId="0" applyFill="1" applyBorder="1" applyAlignment="1">
      <alignment textRotation="90"/>
    </xf>
    <xf numFmtId="0" fontId="0" fillId="3" borderId="6" xfId="0" applyFill="1" applyBorder="1" applyAlignment="1">
      <alignment textRotation="90"/>
    </xf>
    <xf numFmtId="0" fontId="0" fillId="3" borderId="7" xfId="0" applyFill="1" applyBorder="1"/>
    <xf numFmtId="0" fontId="0" fillId="3" borderId="8" xfId="0" applyFill="1" applyBorder="1" applyAlignment="1">
      <alignment textRotation="90"/>
    </xf>
    <xf numFmtId="0" fontId="0" fillId="3" borderId="9" xfId="0" applyFill="1" applyBorder="1"/>
    <xf numFmtId="0" fontId="4" fillId="3" borderId="10" xfId="0" applyFont="1" applyFill="1" applyBorder="1" applyAlignment="1">
      <alignment horizontal="right" vertical="center" indent="3"/>
    </xf>
    <xf numFmtId="0" fontId="4" fillId="3" borderId="11" xfId="0" applyFont="1" applyFill="1" applyBorder="1" applyAlignment="1">
      <alignment horizontal="right" vertical="center" indent="3"/>
    </xf>
    <xf numFmtId="0" fontId="4" fillId="3" borderId="12" xfId="0" applyFont="1" applyFill="1" applyBorder="1" applyAlignment="1">
      <alignment horizontal="right" vertical="center" indent="3"/>
    </xf>
    <xf numFmtId="0" fontId="0" fillId="3" borderId="7" xfId="0" applyFill="1" applyBorder="1" applyAlignment="1">
      <alignment textRotation="90"/>
    </xf>
    <xf numFmtId="0" fontId="0" fillId="3" borderId="9" xfId="0" applyFill="1" applyBorder="1" applyAlignment="1">
      <alignment textRotation="90"/>
    </xf>
    <xf numFmtId="0" fontId="4" fillId="3" borderId="8" xfId="0" applyFont="1" applyFill="1" applyBorder="1" applyAlignment="1">
      <alignment horizontal="right" vertical="center" indent="3"/>
    </xf>
    <xf numFmtId="0" fontId="25" fillId="3" borderId="0" xfId="0" applyFont="1" applyFill="1" applyAlignment="1">
      <alignment horizontal="left" vertical="center"/>
    </xf>
    <xf numFmtId="0" fontId="25" fillId="3" borderId="0" xfId="0" applyFont="1" applyFill="1" applyAlignment="1">
      <alignment vertical="center"/>
    </xf>
    <xf numFmtId="0" fontId="24" fillId="0" borderId="13" xfId="0" applyFont="1" applyBorder="1" applyAlignment="1" applyProtection="1">
      <alignment horizontal="center" vertical="center"/>
      <protection locked="0"/>
    </xf>
    <xf numFmtId="165" fontId="26" fillId="7" borderId="1" xfId="0" applyNumberFormat="1" applyFont="1" applyFill="1" applyBorder="1" applyAlignment="1">
      <alignment horizontal="center" vertical="center" wrapText="1"/>
    </xf>
    <xf numFmtId="0" fontId="27" fillId="7" borderId="1" xfId="0" applyFont="1" applyFill="1" applyBorder="1" applyAlignment="1">
      <alignment horizontal="center" vertical="center"/>
    </xf>
    <xf numFmtId="165" fontId="12" fillId="4" borderId="4" xfId="0" applyNumberFormat="1" applyFont="1" applyFill="1" applyBorder="1" applyAlignment="1">
      <alignment horizontal="center" vertical="center" wrapText="1"/>
    </xf>
    <xf numFmtId="168" fontId="20" fillId="4" borderId="4" xfId="0" applyNumberFormat="1" applyFont="1" applyFill="1" applyBorder="1" applyAlignment="1">
      <alignment horizontal="center" vertical="center" wrapText="1"/>
    </xf>
    <xf numFmtId="165" fontId="20" fillId="4" borderId="4" xfId="0" applyNumberFormat="1" applyFont="1" applyFill="1" applyBorder="1" applyAlignment="1">
      <alignment horizontal="left" vertical="center" wrapText="1"/>
    </xf>
    <xf numFmtId="165" fontId="26" fillId="7" borderId="4" xfId="0" applyNumberFormat="1" applyFont="1" applyFill="1" applyBorder="1" applyAlignment="1">
      <alignment horizontal="center" vertical="center" wrapText="1"/>
    </xf>
    <xf numFmtId="165" fontId="26" fillId="7" borderId="4" xfId="0" applyNumberFormat="1" applyFont="1" applyFill="1" applyBorder="1" applyAlignment="1">
      <alignment horizontal="left" vertical="center" wrapText="1"/>
    </xf>
    <xf numFmtId="0" fontId="17" fillId="6" borderId="4" xfId="0" applyFont="1" applyFill="1" applyBorder="1" applyAlignment="1">
      <alignment horizontal="center" vertical="center"/>
    </xf>
    <xf numFmtId="0" fontId="21" fillId="6" borderId="4" xfId="0" applyFont="1" applyFill="1" applyBorder="1" applyAlignment="1">
      <alignment horizontal="left" vertical="center"/>
    </xf>
    <xf numFmtId="0" fontId="0" fillId="0" borderId="14" xfId="0" applyBorder="1" applyAlignment="1">
      <alignment horizontal="center"/>
    </xf>
    <xf numFmtId="164" fontId="0" fillId="0" borderId="4" xfId="0" applyNumberFormat="1" applyBorder="1" applyAlignment="1">
      <alignment horizontal="center" vertical="center"/>
    </xf>
    <xf numFmtId="0" fontId="28" fillId="2" borderId="4" xfId="0" applyFont="1" applyFill="1" applyBorder="1" applyAlignment="1">
      <alignment horizontal="center" vertical="center"/>
    </xf>
    <xf numFmtId="0" fontId="28" fillId="2" borderId="4" xfId="0" applyFont="1" applyFill="1" applyBorder="1" applyAlignment="1">
      <alignment horizontal="left" vertical="center"/>
    </xf>
    <xf numFmtId="0" fontId="28" fillId="2" borderId="14" xfId="0" applyFont="1" applyFill="1" applyBorder="1" applyAlignment="1">
      <alignment horizontal="center" vertical="center"/>
    </xf>
    <xf numFmtId="165" fontId="23" fillId="8" borderId="1" xfId="0" applyNumberFormat="1" applyFont="1" applyFill="1" applyBorder="1" applyAlignment="1">
      <alignment horizontal="center" vertical="center" wrapText="1"/>
    </xf>
    <xf numFmtId="0" fontId="29" fillId="8" borderId="1" xfId="0" applyFont="1" applyFill="1" applyBorder="1" applyAlignment="1">
      <alignment horizontal="center" vertical="center"/>
    </xf>
    <xf numFmtId="165" fontId="23" fillId="8" borderId="4" xfId="0" applyNumberFormat="1" applyFont="1" applyFill="1" applyBorder="1" applyAlignment="1">
      <alignment horizontal="center" vertical="center" wrapText="1"/>
    </xf>
    <xf numFmtId="168" fontId="22" fillId="8" borderId="4" xfId="0" applyNumberFormat="1" applyFont="1" applyFill="1" applyBorder="1" applyAlignment="1">
      <alignment horizontal="center" vertical="center" wrapText="1"/>
    </xf>
    <xf numFmtId="165" fontId="22" fillId="8" borderId="4" xfId="0" applyNumberFormat="1" applyFont="1" applyFill="1" applyBorder="1" applyAlignment="1">
      <alignment horizontal="left" vertical="center" wrapText="1"/>
    </xf>
    <xf numFmtId="168" fontId="30" fillId="7" borderId="4" xfId="0" applyNumberFormat="1" applyFont="1" applyFill="1" applyBorder="1" applyAlignment="1">
      <alignment horizontal="center" vertical="center" wrapText="1"/>
    </xf>
    <xf numFmtId="168" fontId="31" fillId="6" borderId="4" xfId="0" applyNumberFormat="1" applyFont="1" applyFill="1" applyBorder="1" applyAlignment="1">
      <alignment horizontal="center" vertical="center" wrapText="1"/>
    </xf>
    <xf numFmtId="0" fontId="0" fillId="3" borderId="0" xfId="0" applyFill="1" applyAlignment="1">
      <alignment horizontal="left" vertical="center"/>
    </xf>
    <xf numFmtId="0" fontId="14" fillId="3" borderId="0" xfId="0" applyFont="1" applyFill="1" applyAlignment="1">
      <alignment horizontal="left" vertical="center"/>
    </xf>
    <xf numFmtId="0" fontId="0" fillId="3" borderId="0" xfId="0" applyFill="1" applyAlignment="1">
      <alignment vertical="top"/>
    </xf>
    <xf numFmtId="0" fontId="32" fillId="9" borderId="0" xfId="2" applyFont="1" applyFill="1" applyAlignment="1">
      <alignment horizontal="left" vertical="center" wrapText="1"/>
    </xf>
    <xf numFmtId="0" fontId="32" fillId="9" borderId="0" xfId="2" applyFont="1" applyFill="1" applyAlignment="1">
      <alignment horizontal="left" vertical="center"/>
    </xf>
    <xf numFmtId="0" fontId="33" fillId="9" borderId="15" xfId="2" applyFont="1" applyFill="1" applyBorder="1" applyAlignment="1">
      <alignment horizontal="left" vertical="center" wrapText="1" indent="1"/>
    </xf>
    <xf numFmtId="0" fontId="33" fillId="9" borderId="0" xfId="2" applyFont="1" applyFill="1" applyAlignment="1">
      <alignment horizontal="left" vertical="center" wrapText="1" indent="1"/>
    </xf>
    <xf numFmtId="0" fontId="33" fillId="9" borderId="0" xfId="2" applyFont="1" applyFill="1" applyAlignment="1">
      <alignment horizontal="left" vertical="top" wrapText="1"/>
    </xf>
    <xf numFmtId="0" fontId="1" fillId="0" borderId="0" xfId="2" applyAlignment="1">
      <alignment horizontal="left" vertical="center" wrapText="1"/>
    </xf>
    <xf numFmtId="0" fontId="1" fillId="0" borderId="0" xfId="2" applyAlignment="1">
      <alignment horizontal="left" vertical="center"/>
    </xf>
    <xf numFmtId="0" fontId="1" fillId="3" borderId="0" xfId="2" applyFill="1" applyAlignment="1">
      <alignment horizontal="left" vertical="center"/>
    </xf>
    <xf numFmtId="0" fontId="1" fillId="3" borderId="0" xfId="2" applyFill="1" applyAlignment="1">
      <alignment horizontal="left" vertical="top"/>
    </xf>
    <xf numFmtId="0" fontId="34" fillId="3" borderId="16" xfId="2" applyFont="1" applyFill="1" applyBorder="1" applyAlignment="1">
      <alignment vertical="top"/>
    </xf>
    <xf numFmtId="0" fontId="1" fillId="3" borderId="16" xfId="2" applyFill="1" applyBorder="1" applyAlignment="1">
      <alignment vertical="top" wrapText="1"/>
    </xf>
    <xf numFmtId="0" fontId="1" fillId="0" borderId="0" xfId="2" applyAlignment="1">
      <alignment horizontal="left" vertical="top"/>
    </xf>
    <xf numFmtId="0" fontId="35" fillId="3" borderId="0" xfId="3" applyFill="1" applyAlignment="1">
      <alignment horizontal="left" vertical="center"/>
    </xf>
    <xf numFmtId="0" fontId="1" fillId="3" borderId="0" xfId="2" applyFill="1" applyAlignment="1">
      <alignment vertical="center" wrapText="1"/>
    </xf>
    <xf numFmtId="0" fontId="1" fillId="3" borderId="0" xfId="2" applyFill="1" applyAlignment="1">
      <alignment vertical="top" wrapText="1"/>
    </xf>
    <xf numFmtId="0" fontId="1" fillId="3" borderId="0" xfId="2" applyFill="1"/>
    <xf numFmtId="0" fontId="1" fillId="3" borderId="0" xfId="2" applyFill="1" applyAlignment="1">
      <alignment horizontal="left" vertical="top" wrapText="1"/>
    </xf>
    <xf numFmtId="0" fontId="0" fillId="3" borderId="0" xfId="2" applyFont="1" applyFill="1" applyAlignment="1">
      <alignment horizontal="left" vertical="top" wrapText="1"/>
    </xf>
    <xf numFmtId="0" fontId="1" fillId="0" borderId="0" xfId="2"/>
    <xf numFmtId="0" fontId="1" fillId="3" borderId="0" xfId="2" applyFill="1" applyAlignment="1">
      <alignment horizontal="left" vertical="center" wrapText="1"/>
    </xf>
  </cellXfs>
  <cellStyles count="4">
    <cellStyle name="Köprü 2" xfId="3" xr:uid="{05507FE9-9151-45D6-A8BB-734688BAD86C}"/>
    <cellStyle name="Normal" xfId="0" builtinId="0"/>
    <cellStyle name="Normal 2" xfId="1" xr:uid="{408B6629-0A68-4E5A-BF0B-258B61ED2C27}"/>
    <cellStyle name="Normal 2 2" xfId="2" xr:uid="{7F5C66E4-0C04-4277-A7BE-C463252E8AF7}"/>
  </cellStyles>
  <dxfs count="43">
    <dxf>
      <numFmt numFmtId="0" formatCode="General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166" formatCode="dd\.mm\.yyyy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169" formatCode=";;;"/>
    </dxf>
    <dxf>
      <numFmt numFmtId="169" formatCode=";;;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bottom"/>
    </dxf>
    <dxf>
      <alignment vertical="bottom"/>
    </dxf>
    <dxf>
      <alignment vertical="bottom"/>
    </dxf>
    <dxf>
      <alignment horizontal="general"/>
    </dxf>
    <dxf>
      <alignment horizontal="general"/>
    </dxf>
    <dxf>
      <alignment horizontal="general"/>
    </dxf>
    <dxf>
      <alignment horizontal="center"/>
    </dxf>
    <dxf>
      <alignment vertic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2" formatCode="&quot;₺&quot;#,##0.00;[Red]\-&quot;₺&quot;#,##0.00"/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>
          <bgColor theme="0" tint="-4.9989318521683403E-2"/>
        </patternFill>
      </fill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</border>
    </dxf>
    <dxf>
      <fill>
        <patternFill>
          <bgColor theme="4" tint="0.79998168889431442"/>
        </patternFill>
      </fill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</border>
    </dxf>
    <dxf>
      <numFmt numFmtId="169" formatCode=";;;"/>
    </dxf>
    <dxf>
      <numFmt numFmtId="169" formatCode=";;;"/>
    </dxf>
    <dxf>
      <numFmt numFmtId="169" formatCode=";;;"/>
    </dxf>
    <dxf>
      <font>
        <color rgb="FFFF0000"/>
      </font>
    </dxf>
    <dxf>
      <font>
        <color theme="1" tint="0.24994659260841701"/>
      </font>
    </dxf>
    <dxf>
      <font>
        <color theme="9" tint="-0.24994659260841701"/>
      </font>
    </dxf>
    <dxf>
      <numFmt numFmtId="169" formatCode=";;;"/>
    </dxf>
  </dxfs>
  <tableStyles count="0" defaultTableStyle="TableStyleMedium2" defaultPivotStyle="PivotStyleLight16"/>
  <colors>
    <mruColors>
      <color rgb="FF107C41"/>
      <color rgb="FFB4E6C2"/>
      <color rgb="FFA3FFCD"/>
      <color rgb="FFCFEFCD"/>
      <color rgb="FFFF5050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?>
<ns0:Relationships xmlns:ns0="http://schemas.openxmlformats.org/package/2006/relationships"><ns0:Relationship Id="rId8" Type="http://schemas.openxmlformats.org/officeDocument/2006/relationships/externalLink" Target="externalLinks/externalLink1.xml" /><ns0:Relationship Id="rId13" Type="http://schemas.openxmlformats.org/officeDocument/2006/relationships/externalLink" Target="externalLinks/externalLink6.xml" /><ns0:Relationship Id="rId18" Type="http://schemas.openxmlformats.org/officeDocument/2006/relationships/styles" Target="styles.xml" /><ns0:Relationship Id="rId3" Type="http://schemas.openxmlformats.org/officeDocument/2006/relationships/worksheet" Target="worksheets/sheet3.xml" /><ns0:Relationship Id="rId7" Type="http://schemas.openxmlformats.org/officeDocument/2006/relationships/worksheet" Target="worksheets/sheet7.xml" /><ns0:Relationship Id="rId12" Type="http://schemas.openxmlformats.org/officeDocument/2006/relationships/externalLink" Target="externalLinks/externalLink5.xml" /><ns0:Relationship Id="rId17" Type="http://schemas.openxmlformats.org/officeDocument/2006/relationships/theme" Target="theme/theme1.xml" /><ns0:Relationship Id="rId2" Type="http://schemas.openxmlformats.org/officeDocument/2006/relationships/worksheet" Target="worksheets/sheet2.xml" /><ns0:Relationship Id="rId16" Type="http://schemas.openxmlformats.org/officeDocument/2006/relationships/pivotCacheDefinition" Target="pivotCache/pivotCacheDefinition1.xml" /><ns0:Relationship Id="rId20" Type="http://schemas.openxmlformats.org/officeDocument/2006/relationships/calcChain" Target="calcChain.xml" /><ns0:Relationship Id="rId6" Type="http://schemas.openxmlformats.org/officeDocument/2006/relationships/worksheet" Target="worksheets/sheet6.xml" /><ns0:Relationship Id="rId11" Type="http://schemas.openxmlformats.org/officeDocument/2006/relationships/externalLink" Target="externalLinks/externalLink4.xml" /><ns0:Relationship Id="rId5" Type="http://schemas.openxmlformats.org/officeDocument/2006/relationships/worksheet" Target="worksheets/sheet5.xml" /><ns0:Relationship Id="rId15" Type="http://schemas.openxmlformats.org/officeDocument/2006/relationships/externalLink" Target="externalLinks/externalLink8.xml" /><ns0:Relationship Id="rId10" Type="http://schemas.openxmlformats.org/officeDocument/2006/relationships/externalLink" Target="externalLinks/externalLink3.xml" /><ns0:Relationship Id="rId19" Type="http://schemas.openxmlformats.org/officeDocument/2006/relationships/sharedStrings" Target="sharedStrings.xml" /><ns0:Relationship Id="rId4" Type="http://schemas.openxmlformats.org/officeDocument/2006/relationships/worksheet" Target="worksheets/sheet4.xml" /><ns0:Relationship Id="rId9" Type="http://schemas.openxmlformats.org/officeDocument/2006/relationships/externalLink" Target="externalLinks/externalLink2.xml" /><ns0:Relationship Id="rId14" Type="http://schemas.openxmlformats.org/officeDocument/2006/relationships/externalLink" Target="externalLinks/externalLink7.xml" /></ns0:Relationships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0</xdr:colOff>
      <xdr:row>3</xdr:row>
      <xdr:rowOff>0</xdr:rowOff>
    </xdr:from>
    <xdr:to>
      <xdr:col>38</xdr:col>
      <xdr:colOff>148318</xdr:colOff>
      <xdr:row>5</xdr:row>
      <xdr:rowOff>78255</xdr:rowOff>
    </xdr:to>
    <xdr:sp macro="[0]!Save_And_New_Month" textlink="">
      <xdr:nvSpPr>
        <xdr:cNvPr id="2" name="Dikdörtgen: Köşeleri Yuvarlatılmış 1">
          <a:extLst>
            <a:ext uri="{FF2B5EF4-FFF2-40B4-BE49-F238E27FC236}">
              <a16:creationId xmlns:a16="http://schemas.microsoft.com/office/drawing/2014/main" id="{C4525608-706F-48E9-980C-A150AE5E8B12}"/>
            </a:ext>
          </a:extLst>
        </xdr:cNvPr>
        <xdr:cNvSpPr/>
      </xdr:nvSpPr>
      <xdr:spPr>
        <a:xfrm>
          <a:off x="2857500" y="447675"/>
          <a:ext cx="2034268" cy="611655"/>
        </a:xfrm>
        <a:prstGeom prst="roundRect">
          <a:avLst>
            <a:gd name="adj" fmla="val 10438"/>
          </a:avLst>
        </a:prstGeom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1200" b="0"/>
            <a:t>Kaydet ve Yeni Aya Geç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WEBSITES/BLOG./Free_Resources/-Stok_Program&#305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CRM/Excel_Projeleri/1-In_Prog/2022-06-02-Mahmut_Yal&#231;&#305;n_Ayakab&#305;_Hammadde/Main_Sipari&#351;_Fi&#351;i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CRM/Excel_Projeleri/Tamamlananlar/2022-04-18-Express_Solutions_Mozambik/ES-Sat&#305;&#351;-Al&#305;&#351;-Maliyet_Program&#305;_v0.xlsm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lih\Desktop\-Emlak%20Takip%20Program&#305;.xlsm" TargetMode="External"/><Relationship Id="rId1" Type="http://schemas.openxmlformats.org/officeDocument/2006/relationships/externalLinkPath" Target="file:///C:\Users\salih\Desktop\-Emlak%20Takip%20Program&#305;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alih\Desktop\-SATI&#350;_TAK&#304;P_PROGRAMI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alih\Desktop\-SATI&#350;_TAK&#304;P_PROGRAMI_Hamburger_Men&#252;l&#252;.xlsm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lih\Desktop\-BORSA_PROGRAMI.xlsm" TargetMode="External"/><Relationship Id="rId1" Type="http://schemas.openxmlformats.org/officeDocument/2006/relationships/externalLinkPath" Target="file:///C:\Users\salih\Desktop\-BORSA_PROGRAMI.xlsm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PRODUCTS/Shopier/Paketler/40plus_Excel_&#350;ablon_Paketi/2022-04-25_40+_&#350;ablonlar_VBA_Kilitli/Program%20&amp;%20Taslaklar/-Fiyatlara_Zam-&#304;ndirim_Uygulama_Program&#305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"/>
      <sheetName val="Stok Hareketleri"/>
      <sheetName val="Ürünlerim"/>
      <sheetName val="Rapor"/>
      <sheetName val="-Stok_Programı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_Sipariş Fişi"/>
      <sheetName val="Siparişler"/>
      <sheetName val="Ürünlerim"/>
      <sheetName val="Carilerim"/>
      <sheetName val="Döküm Raporu"/>
      <sheetName val="Ayarlar"/>
      <sheetName val="Kılavuz"/>
      <sheetName val="Sayfa3"/>
      <sheetName val="Main_Sipariş_Fişi"/>
    </sheetNames>
    <sheetDataSet>
      <sheetData sheetId="0"/>
      <sheetData sheetId="1"/>
      <sheetData sheetId="2">
        <row r="2">
          <cell r="G2">
            <v>15</v>
          </cell>
        </row>
        <row r="3">
          <cell r="G3">
            <v>16</v>
          </cell>
        </row>
      </sheetData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_Satışlar"/>
      <sheetName val="G_Alışlar"/>
      <sheetName val="G_Maliyetler"/>
      <sheetName val="R_DashBoard"/>
      <sheetName val="R_Servis"/>
      <sheetName val="R_Banka-Kasa"/>
      <sheetName val="R_Müş-Ted"/>
      <sheetName val="R_Vade"/>
      <sheetName val="Ayarlar"/>
      <sheetName val="Personeller"/>
      <sheetName val="Kılavuz"/>
      <sheetName val="data"/>
      <sheetName val="pvt_Dashh"/>
      <sheetName val="Pvt_Listeler"/>
      <sheetName val="ES-Satış-Alış-Maliyet_Programı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/>
      <sheetData sheetId="12" refreshError="1"/>
      <sheetData sheetId="13">
        <row r="3">
          <cell r="A3" t="str">
            <v>Maliyet Kategorisi</v>
          </cell>
        </row>
        <row r="4">
          <cell r="A4" t="str">
            <v>Ofis</v>
          </cell>
        </row>
        <row r="5">
          <cell r="A5" t="str">
            <v>Personel Giderleri</v>
          </cell>
        </row>
        <row r="6">
          <cell r="A6" t="str">
            <v>Yatırım Giderleri</v>
          </cell>
        </row>
      </sheetData>
      <sheetData sheetId="1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ılavuz"/>
      <sheetName val="✚ Giriş"/>
      <sheetName val="✚ Müşteriler"/>
      <sheetName val="◔ Rapor"/>
      <sheetName val="❖ Ayarlar"/>
      <sheetName val="pvt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l_Durum"/>
      <sheetName val="Ürünler"/>
      <sheetName val="Satışlar"/>
      <sheetName val="Personeller"/>
      <sheetName val="Kaynaklar"/>
      <sheetName val="ayarlar"/>
      <sheetName val="pvt_dash"/>
      <sheetName val="-SATIŞ_TAKİP_PROGRAM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l_Durum"/>
      <sheetName val="Ürünler"/>
      <sheetName val="Satışlar"/>
      <sheetName val="Personeller"/>
      <sheetName val="Kaynaklar"/>
      <sheetName val="Ayarlar"/>
      <sheetName val="pvt_dash"/>
      <sheetName val="-SATIŞ_TAKİP_PROGRAMI_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petim"/>
      <sheetName val="Rapor"/>
      <sheetName val="BIST 100"/>
      <sheetName val="TÜM HİSSELER"/>
      <sheetName val="Kaynaklar"/>
      <sheetName val="-BORSA_PROGRAMI"/>
      <sheetName val="Kılavuz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"/>
      <sheetName val="Ürün_Fiyat_Listesi"/>
    </sheetNames>
    <sheetDataSet>
      <sheetData sheetId="0" refreshError="1"/>
      <sheetData sheetId="1">
        <row r="3">
          <cell r="E3">
            <v>0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lih Hocaoğlu" refreshedDate="44596.905332175927" createdVersion="7" refreshedVersion="7" minRefreshableVersion="3" recordCount="296" xr:uid="{9EFDC398-5C81-4415-AC03-39641A578571}">
  <cacheSource type="worksheet">
    <worksheetSource name="Tablo3"/>
  </cacheSource>
  <cacheFields count="5">
    <cacheField name="Tarih" numFmtId="166">
      <sharedItems containsNonDate="0" containsDate="1" containsString="0" containsBlank="1" minDate="2022-01-01T00:00:00" maxDate="2022-03-01T00:00:00" count="60">
        <d v="2022-02-28T00:00:00"/>
        <d v="2022-02-27T00:00:00"/>
        <d v="2022-02-26T00:00:00"/>
        <d v="2022-02-25T00:00:00"/>
        <d v="2022-02-24T00:00:00"/>
        <d v="2022-02-23T00:00:00"/>
        <d v="2022-02-22T00:00:00"/>
        <d v="2022-02-21T00:00:00"/>
        <d v="2022-02-20T00:00:00"/>
        <d v="2022-02-19T00:00:00"/>
        <d v="2022-02-18T00:00:00"/>
        <d v="2022-02-17T00:00:00"/>
        <d v="2022-02-16T00:00:00"/>
        <d v="2022-02-15T00:00:00"/>
        <d v="2022-02-14T00:00:00"/>
        <d v="2022-02-13T00:00:00"/>
        <d v="2022-02-12T00:00:00"/>
        <d v="2022-02-11T00:00:00"/>
        <d v="2022-02-10T00:00:00"/>
        <d v="2022-02-09T00:00:00"/>
        <d v="2022-02-08T00:00:00"/>
        <d v="2022-02-07T00:00:00"/>
        <d v="2022-02-06T00:00:00"/>
        <d v="2022-02-05T00:00:00"/>
        <d v="2022-02-04T00:00:00"/>
        <d v="2022-02-03T00:00:00"/>
        <d v="2022-02-02T00:00:00"/>
        <d v="2022-02-01T00:00:00"/>
        <d v="2022-01-31T00:00:00"/>
        <d v="2022-01-30T00:00:00"/>
        <d v="2022-01-29T00:00:00"/>
        <d v="2022-01-28T00:00:00"/>
        <d v="2022-01-27T00:00:00"/>
        <d v="2022-01-26T00:00:00"/>
        <d v="2022-01-25T00:00:00"/>
        <d v="2022-01-24T00:00:00"/>
        <d v="2022-01-23T00:00:00"/>
        <d v="2022-01-22T00:00:00"/>
        <d v="2022-01-21T00:00:00"/>
        <d v="2022-01-20T00:00:00"/>
        <d v="2022-01-19T00:00:00"/>
        <d v="2022-01-18T00:00:00"/>
        <d v="2022-01-17T00:00:00"/>
        <d v="2022-01-16T00:00:00"/>
        <d v="2022-01-15T00:00:00"/>
        <d v="2022-01-14T00:00:00"/>
        <d v="2022-01-13T00:00:00"/>
        <d v="2022-01-12T00:00:00"/>
        <d v="2022-01-11T00:00:00"/>
        <d v="2022-01-10T00:00:00"/>
        <d v="2022-01-09T00:00:00"/>
        <d v="2022-01-08T00:00:00"/>
        <d v="2022-01-07T00:00:00"/>
        <d v="2022-01-06T00:00:00"/>
        <d v="2022-01-05T00:00:00"/>
        <d v="2022-01-04T00:00:00"/>
        <d v="2022-01-03T00:00:00"/>
        <d v="2022-01-02T00:00:00"/>
        <d v="2022-01-01T00:00:00"/>
        <m/>
      </sharedItems>
      <fieldGroup par="4" base="0">
        <rangePr groupBy="days" startDate="2022-01-01T00:00:00" endDate="2022-03-01T00:00:00"/>
        <groupItems count="368">
          <s v="(boş)"/>
          <s v="1.Oca"/>
          <s v="2.Oca"/>
          <s v="3.Oca"/>
          <s v="4.Oca"/>
          <s v="5.Oca"/>
          <s v="6.Oca"/>
          <s v="7.Oca"/>
          <s v="8.Oca"/>
          <s v="9.Oca"/>
          <s v="10.Oca"/>
          <s v="11.Oca"/>
          <s v="12.Oca"/>
          <s v="13.Oca"/>
          <s v="14.Oca"/>
          <s v="15.Oca"/>
          <s v="16.Oca"/>
          <s v="17.Oca"/>
          <s v="18.Oca"/>
          <s v="19.Oca"/>
          <s v="20.Oca"/>
          <s v="21.Oca"/>
          <s v="22.Oca"/>
          <s v="23.Oca"/>
          <s v="24.Oca"/>
          <s v="25.Oca"/>
          <s v="26.Oca"/>
          <s v="27.Oca"/>
          <s v="28.Oca"/>
          <s v="29.Oca"/>
          <s v="30.Oca"/>
          <s v="31.Oca"/>
          <s v="1.Şub"/>
          <s v="2.Şub"/>
          <s v="3.Şub"/>
          <s v="4.Şub"/>
          <s v="5.Şub"/>
          <s v="6.Şub"/>
          <s v="7.Şub"/>
          <s v="8.Şub"/>
          <s v="9.Şub"/>
          <s v="10.Şub"/>
          <s v="11.Şub"/>
          <s v="12.Şub"/>
          <s v="13.Şub"/>
          <s v="14.Şub"/>
          <s v="15.Şub"/>
          <s v="16.Şub"/>
          <s v="17.Şub"/>
          <s v="18.Şub"/>
          <s v="19.Şub"/>
          <s v="20.Şub"/>
          <s v="21.Şub"/>
          <s v="22.Şub"/>
          <s v="23.Şub"/>
          <s v="24.Şub"/>
          <s v="25.Şub"/>
          <s v="26.Şub"/>
          <s v="27.Şub"/>
          <s v="28.Şub"/>
          <s v="29.Şub"/>
          <s v="1.Mar"/>
          <s v="2.Mar"/>
          <s v="3.Mar"/>
          <s v="4.Mar"/>
          <s v="5.Mar"/>
          <s v="6.Mar"/>
          <s v="7.Mar"/>
          <s v="8.Mar"/>
          <s v="9.Mar"/>
          <s v="10.Mar"/>
          <s v="11.Mar"/>
          <s v="12.Mar"/>
          <s v="13.Mar"/>
          <s v="14.Mar"/>
          <s v="15.Mar"/>
          <s v="16.Mar"/>
          <s v="17.Mar"/>
          <s v="18.Mar"/>
          <s v="19.Mar"/>
          <s v="20.Mar"/>
          <s v="21.Mar"/>
          <s v="22.Mar"/>
          <s v="23.Mar"/>
          <s v="24.Mar"/>
          <s v="25.Mar"/>
          <s v="26.Mar"/>
          <s v="27.Mar"/>
          <s v="28.Mar"/>
          <s v="29.Mar"/>
          <s v="30.Mar"/>
          <s v="31.Mar"/>
          <s v="1.Nis"/>
          <s v="2.Nis"/>
          <s v="3.Nis"/>
          <s v="4.Nis"/>
          <s v="5.Nis"/>
          <s v="6.Nis"/>
          <s v="7.Nis"/>
          <s v="8.Nis"/>
          <s v="9.Nis"/>
          <s v="10.Nis"/>
          <s v="11.Nis"/>
          <s v="12.Nis"/>
          <s v="13.Nis"/>
          <s v="14.Nis"/>
          <s v="15.Nis"/>
          <s v="16.Nis"/>
          <s v="17.Nis"/>
          <s v="18.Nis"/>
          <s v="19.Nis"/>
          <s v="20.Nis"/>
          <s v="21.Nis"/>
          <s v="22.Nis"/>
          <s v="23.Nis"/>
          <s v="24.Nis"/>
          <s v="25.Nis"/>
          <s v="26.Nis"/>
          <s v="27.Nis"/>
          <s v="28.Nis"/>
          <s v="29.Nis"/>
          <s v="30.Nis"/>
          <s v="1.May"/>
          <s v="2.May"/>
          <s v="3.May"/>
          <s v="4.May"/>
          <s v="5.May"/>
          <s v="6.May"/>
          <s v="7.May"/>
          <s v="8.May"/>
          <s v="9.May"/>
          <s v="10.May"/>
          <s v="11.May"/>
          <s v="12.May"/>
          <s v="13.May"/>
          <s v="14.May"/>
          <s v="15.May"/>
          <s v="16.May"/>
          <s v="17.May"/>
          <s v="18.May"/>
          <s v="19.May"/>
          <s v="20.May"/>
          <s v="21.May"/>
          <s v="22.May"/>
          <s v="23.May"/>
          <s v="24.May"/>
          <s v="25.May"/>
          <s v="26.May"/>
          <s v="27.May"/>
          <s v="28.May"/>
          <s v="29.May"/>
          <s v="30.May"/>
          <s v="31.May"/>
          <s v="1.Haz"/>
          <s v="2.Haz"/>
          <s v="3.Haz"/>
          <s v="4.Haz"/>
          <s v="5.Haz"/>
          <s v="6.Haz"/>
          <s v="7.Haz"/>
          <s v="8.Haz"/>
          <s v="9.Haz"/>
          <s v="10.Haz"/>
          <s v="11.Haz"/>
          <s v="12.Haz"/>
          <s v="13.Haz"/>
          <s v="14.Haz"/>
          <s v="15.Haz"/>
          <s v="16.Haz"/>
          <s v="17.Haz"/>
          <s v="18.Haz"/>
          <s v="19.Haz"/>
          <s v="20.Haz"/>
          <s v="21.Haz"/>
          <s v="22.Haz"/>
          <s v="23.Haz"/>
          <s v="24.Haz"/>
          <s v="25.Haz"/>
          <s v="26.Haz"/>
          <s v="27.Haz"/>
          <s v="28.Haz"/>
          <s v="29.Haz"/>
          <s v="30.Haz"/>
          <s v="1.Tem"/>
          <s v="2.Tem"/>
          <s v="3.Tem"/>
          <s v="4.Tem"/>
          <s v="5.Tem"/>
          <s v="6.Tem"/>
          <s v="7.Tem"/>
          <s v="8.Tem"/>
          <s v="9.Tem"/>
          <s v="10.Tem"/>
          <s v="11.Tem"/>
          <s v="12.Tem"/>
          <s v="13.Tem"/>
          <s v="14.Tem"/>
          <s v="15.Tem"/>
          <s v="16.Tem"/>
          <s v="17.Tem"/>
          <s v="18.Tem"/>
          <s v="19.Tem"/>
          <s v="20.Tem"/>
          <s v="21.Tem"/>
          <s v="22.Tem"/>
          <s v="23.Tem"/>
          <s v="24.Tem"/>
          <s v="25.Tem"/>
          <s v="26.Tem"/>
          <s v="27.Tem"/>
          <s v="28.Tem"/>
          <s v="29.Tem"/>
          <s v="30.Tem"/>
          <s v="31.Tem"/>
          <s v="1.Ağu"/>
          <s v="2.Ağu"/>
          <s v="3.Ağu"/>
          <s v="4.Ağu"/>
          <s v="5.Ağu"/>
          <s v="6.Ağu"/>
          <s v="7.Ağu"/>
          <s v="8.Ağu"/>
          <s v="9.Ağu"/>
          <s v="10.Ağu"/>
          <s v="11.Ağu"/>
          <s v="12.Ağu"/>
          <s v="13.Ağu"/>
          <s v="14.Ağu"/>
          <s v="15.Ağu"/>
          <s v="16.Ağu"/>
          <s v="17.Ağu"/>
          <s v="18.Ağu"/>
          <s v="19.Ağu"/>
          <s v="20.Ağu"/>
          <s v="21.Ağu"/>
          <s v="22.Ağu"/>
          <s v="23.Ağu"/>
          <s v="24.Ağu"/>
          <s v="25.Ağu"/>
          <s v="26.Ağu"/>
          <s v="27.Ağu"/>
          <s v="28.Ağu"/>
          <s v="29.Ağu"/>
          <s v="30.Ağu"/>
          <s v="31.Ağu"/>
          <s v="1.Eyl"/>
          <s v="2.Eyl"/>
          <s v="3.Eyl"/>
          <s v="4.Eyl"/>
          <s v="5.Eyl"/>
          <s v="6.Eyl"/>
          <s v="7.Eyl"/>
          <s v="8.Eyl"/>
          <s v="9.Eyl"/>
          <s v="10.Eyl"/>
          <s v="11.Eyl"/>
          <s v="12.Eyl"/>
          <s v="13.Eyl"/>
          <s v="14.Eyl"/>
          <s v="15.Eyl"/>
          <s v="16.Eyl"/>
          <s v="17.Eyl"/>
          <s v="18.Eyl"/>
          <s v="19.Eyl"/>
          <s v="20.Eyl"/>
          <s v="21.Eyl"/>
          <s v="22.Eyl"/>
          <s v="23.Eyl"/>
          <s v="24.Eyl"/>
          <s v="25.Eyl"/>
          <s v="26.Eyl"/>
          <s v="27.Eyl"/>
          <s v="28.Eyl"/>
          <s v="29.Eyl"/>
          <s v="30.Eyl"/>
          <s v="1.Eki"/>
          <s v="2.Eki"/>
          <s v="3.Eki"/>
          <s v="4.Eki"/>
          <s v="5.Eki"/>
          <s v="6.Eki"/>
          <s v="7.Eki"/>
          <s v="8.Eki"/>
          <s v="9.Eki"/>
          <s v="10.Eki"/>
          <s v="11.Eki"/>
          <s v="12.Eki"/>
          <s v="13.Eki"/>
          <s v="14.Eki"/>
          <s v="15.Eki"/>
          <s v="16.Eki"/>
          <s v="17.Eki"/>
          <s v="18.Eki"/>
          <s v="19.Eki"/>
          <s v="20.Eki"/>
          <s v="21.Eki"/>
          <s v="22.Eki"/>
          <s v="23.Eki"/>
          <s v="24.Eki"/>
          <s v="25.Eki"/>
          <s v="26.Eki"/>
          <s v="27.Eki"/>
          <s v="28.Eki"/>
          <s v="29.Eki"/>
          <s v="30.Eki"/>
          <s v="31.Eki"/>
          <s v="1.Kas"/>
          <s v="2.Kas"/>
          <s v="3.Kas"/>
          <s v="4.Kas"/>
          <s v="5.Kas"/>
          <s v="6.Kas"/>
          <s v="7.Kas"/>
          <s v="8.Kas"/>
          <s v="9.Kas"/>
          <s v="10.Kas"/>
          <s v="11.Kas"/>
          <s v="12.Kas"/>
          <s v="13.Kas"/>
          <s v="14.Kas"/>
          <s v="15.Kas"/>
          <s v="16.Kas"/>
          <s v="17.Kas"/>
          <s v="18.Kas"/>
          <s v="19.Kas"/>
          <s v="20.Kas"/>
          <s v="21.Kas"/>
          <s v="22.Kas"/>
          <s v="23.Kas"/>
          <s v="24.Kas"/>
          <s v="25.Kas"/>
          <s v="26.Kas"/>
          <s v="27.Kas"/>
          <s v="28.Kas"/>
          <s v="29.Kas"/>
          <s v="30.Kas"/>
          <s v="1.Ara"/>
          <s v="2.Ara"/>
          <s v="3.Ara"/>
          <s v="4.Ara"/>
          <s v="5.Ara"/>
          <s v="6.Ara"/>
          <s v="7.Ara"/>
          <s v="8.Ara"/>
          <s v="9.Ara"/>
          <s v="10.Ara"/>
          <s v="11.Ara"/>
          <s v="12.Ara"/>
          <s v="13.Ara"/>
          <s v="14.Ara"/>
          <s v="15.Ara"/>
          <s v="16.Ara"/>
          <s v="17.Ara"/>
          <s v="18.Ara"/>
          <s v="19.Ara"/>
          <s v="20.Ara"/>
          <s v="21.Ara"/>
          <s v="22.Ara"/>
          <s v="23.Ara"/>
          <s v="24.Ara"/>
          <s v="25.Ara"/>
          <s v="26.Ara"/>
          <s v="27.Ara"/>
          <s v="28.Ara"/>
          <s v="29.Ara"/>
          <s v="30.Ara"/>
          <s v="31.Ara"/>
          <s v="&gt;1.03.2022"/>
        </groupItems>
      </fieldGroup>
    </cacheField>
    <cacheField name="Durum" numFmtId="0">
      <sharedItems containsBlank="1" count="11">
        <s v="Ç"/>
        <s v="HS"/>
        <s v="R"/>
        <s v="YK"/>
        <s v="K"/>
        <s v="Üİ"/>
        <s v="FM"/>
        <s v="Yİ"/>
        <m/>
        <s v="RT" u="1"/>
        <s v="M" u="1"/>
      </sharedItems>
    </cacheField>
    <cacheField name="Personel Adı" numFmtId="0">
      <sharedItems containsBlank="1" count="6">
        <s v="Murat Şen"/>
        <s v="Sultan Efe"/>
        <s v="Hatice Eylül Yegen Yılmaz"/>
        <s v="Emel Cennet Gürsoy"/>
        <s v="Özlem Avcıoğlu"/>
        <m/>
      </sharedItems>
    </cacheField>
    <cacheField name="Maaş" numFmtId="0">
      <sharedItems containsMixedTypes="1" containsNumber="1" containsInteger="1" minValue="-100" maxValue="200"/>
    </cacheField>
    <cacheField name="Ay" numFmtId="0" databaseField="0">
      <fieldGroup base="0">
        <rangePr groupBy="months" startDate="2022-01-01T00:00:00" endDate="2022-03-01T00:00:00"/>
        <groupItems count="14">
          <s v="&lt;1.01.2022"/>
          <s v="Oca"/>
          <s v="Şub"/>
          <s v="Mar"/>
          <s v="Nis"/>
          <s v="May"/>
          <s v="Haz"/>
          <s v="Tem"/>
          <s v="Ağu"/>
          <s v="Eyl"/>
          <s v="Eki"/>
          <s v="Kas"/>
          <s v="Ara"/>
          <s v="&gt;1.03.202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6">
  <r>
    <x v="0"/>
    <x v="0"/>
    <x v="0"/>
    <n v="100"/>
  </r>
  <r>
    <x v="1"/>
    <x v="1"/>
    <x v="0"/>
    <n v="100"/>
  </r>
  <r>
    <x v="2"/>
    <x v="1"/>
    <x v="0"/>
    <n v="100"/>
  </r>
  <r>
    <x v="3"/>
    <x v="0"/>
    <x v="0"/>
    <n v="100"/>
  </r>
  <r>
    <x v="4"/>
    <x v="2"/>
    <x v="0"/>
    <n v="100"/>
  </r>
  <r>
    <x v="5"/>
    <x v="2"/>
    <x v="0"/>
    <n v="100"/>
  </r>
  <r>
    <x v="6"/>
    <x v="2"/>
    <x v="0"/>
    <n v="100"/>
  </r>
  <r>
    <x v="7"/>
    <x v="0"/>
    <x v="0"/>
    <n v="100"/>
  </r>
  <r>
    <x v="8"/>
    <x v="1"/>
    <x v="0"/>
    <n v="100"/>
  </r>
  <r>
    <x v="9"/>
    <x v="1"/>
    <x v="0"/>
    <n v="100"/>
  </r>
  <r>
    <x v="10"/>
    <x v="0"/>
    <x v="0"/>
    <n v="100"/>
  </r>
  <r>
    <x v="11"/>
    <x v="0"/>
    <x v="0"/>
    <n v="100"/>
  </r>
  <r>
    <x v="12"/>
    <x v="0"/>
    <x v="0"/>
    <n v="100"/>
  </r>
  <r>
    <x v="13"/>
    <x v="3"/>
    <x v="0"/>
    <n v="50"/>
  </r>
  <r>
    <x v="14"/>
    <x v="0"/>
    <x v="0"/>
    <n v="100"/>
  </r>
  <r>
    <x v="15"/>
    <x v="1"/>
    <x v="0"/>
    <n v="100"/>
  </r>
  <r>
    <x v="16"/>
    <x v="1"/>
    <x v="0"/>
    <n v="100"/>
  </r>
  <r>
    <x v="17"/>
    <x v="0"/>
    <x v="0"/>
    <n v="100"/>
  </r>
  <r>
    <x v="18"/>
    <x v="0"/>
    <x v="0"/>
    <n v="100"/>
  </r>
  <r>
    <x v="19"/>
    <x v="4"/>
    <x v="0"/>
    <n v="-100"/>
  </r>
  <r>
    <x v="20"/>
    <x v="0"/>
    <x v="0"/>
    <n v="100"/>
  </r>
  <r>
    <x v="21"/>
    <x v="0"/>
    <x v="0"/>
    <n v="100"/>
  </r>
  <r>
    <x v="22"/>
    <x v="1"/>
    <x v="0"/>
    <n v="100"/>
  </r>
  <r>
    <x v="23"/>
    <x v="1"/>
    <x v="0"/>
    <n v="100"/>
  </r>
  <r>
    <x v="24"/>
    <x v="0"/>
    <x v="0"/>
    <n v="100"/>
  </r>
  <r>
    <x v="25"/>
    <x v="0"/>
    <x v="0"/>
    <n v="100"/>
  </r>
  <r>
    <x v="26"/>
    <x v="0"/>
    <x v="0"/>
    <n v="100"/>
  </r>
  <r>
    <x v="27"/>
    <x v="0"/>
    <x v="0"/>
    <n v="100"/>
  </r>
  <r>
    <x v="0"/>
    <x v="0"/>
    <x v="1"/>
    <n v="110"/>
  </r>
  <r>
    <x v="1"/>
    <x v="1"/>
    <x v="1"/>
    <n v="110"/>
  </r>
  <r>
    <x v="2"/>
    <x v="1"/>
    <x v="1"/>
    <n v="110"/>
  </r>
  <r>
    <x v="3"/>
    <x v="0"/>
    <x v="1"/>
    <n v="110"/>
  </r>
  <r>
    <x v="4"/>
    <x v="0"/>
    <x v="1"/>
    <n v="110"/>
  </r>
  <r>
    <x v="5"/>
    <x v="0"/>
    <x v="1"/>
    <n v="110"/>
  </r>
  <r>
    <x v="6"/>
    <x v="0"/>
    <x v="1"/>
    <n v="110"/>
  </r>
  <r>
    <x v="7"/>
    <x v="0"/>
    <x v="1"/>
    <n v="110"/>
  </r>
  <r>
    <x v="8"/>
    <x v="1"/>
    <x v="1"/>
    <n v="110"/>
  </r>
  <r>
    <x v="9"/>
    <x v="1"/>
    <x v="1"/>
    <n v="110"/>
  </r>
  <r>
    <x v="10"/>
    <x v="0"/>
    <x v="1"/>
    <n v="110"/>
  </r>
  <r>
    <x v="11"/>
    <x v="0"/>
    <x v="1"/>
    <n v="110"/>
  </r>
  <r>
    <x v="12"/>
    <x v="0"/>
    <x v="1"/>
    <n v="110"/>
  </r>
  <r>
    <x v="13"/>
    <x v="0"/>
    <x v="1"/>
    <n v="110"/>
  </r>
  <r>
    <x v="14"/>
    <x v="0"/>
    <x v="1"/>
    <n v="110"/>
  </r>
  <r>
    <x v="15"/>
    <x v="1"/>
    <x v="1"/>
    <n v="110"/>
  </r>
  <r>
    <x v="16"/>
    <x v="1"/>
    <x v="1"/>
    <n v="110"/>
  </r>
  <r>
    <x v="17"/>
    <x v="0"/>
    <x v="1"/>
    <n v="110"/>
  </r>
  <r>
    <x v="18"/>
    <x v="0"/>
    <x v="1"/>
    <n v="110"/>
  </r>
  <r>
    <x v="19"/>
    <x v="0"/>
    <x v="1"/>
    <n v="110"/>
  </r>
  <r>
    <x v="20"/>
    <x v="0"/>
    <x v="1"/>
    <n v="110"/>
  </r>
  <r>
    <x v="21"/>
    <x v="0"/>
    <x v="1"/>
    <n v="110"/>
  </r>
  <r>
    <x v="22"/>
    <x v="1"/>
    <x v="1"/>
    <n v="110"/>
  </r>
  <r>
    <x v="23"/>
    <x v="1"/>
    <x v="1"/>
    <n v="110"/>
  </r>
  <r>
    <x v="24"/>
    <x v="0"/>
    <x v="1"/>
    <n v="110"/>
  </r>
  <r>
    <x v="25"/>
    <x v="0"/>
    <x v="1"/>
    <n v="110"/>
  </r>
  <r>
    <x v="26"/>
    <x v="0"/>
    <x v="1"/>
    <n v="110"/>
  </r>
  <r>
    <x v="27"/>
    <x v="0"/>
    <x v="1"/>
    <n v="110"/>
  </r>
  <r>
    <x v="0"/>
    <x v="5"/>
    <x v="2"/>
    <n v="0"/>
  </r>
  <r>
    <x v="1"/>
    <x v="5"/>
    <x v="2"/>
    <n v="0"/>
  </r>
  <r>
    <x v="2"/>
    <x v="5"/>
    <x v="2"/>
    <n v="0"/>
  </r>
  <r>
    <x v="3"/>
    <x v="5"/>
    <x v="2"/>
    <n v="0"/>
  </r>
  <r>
    <x v="4"/>
    <x v="5"/>
    <x v="2"/>
    <n v="0"/>
  </r>
  <r>
    <x v="5"/>
    <x v="5"/>
    <x v="2"/>
    <n v="0"/>
  </r>
  <r>
    <x v="6"/>
    <x v="5"/>
    <x v="2"/>
    <n v="0"/>
  </r>
  <r>
    <x v="7"/>
    <x v="5"/>
    <x v="2"/>
    <n v="0"/>
  </r>
  <r>
    <x v="8"/>
    <x v="5"/>
    <x v="2"/>
    <n v="0"/>
  </r>
  <r>
    <x v="9"/>
    <x v="5"/>
    <x v="2"/>
    <n v="0"/>
  </r>
  <r>
    <x v="10"/>
    <x v="5"/>
    <x v="2"/>
    <n v="0"/>
  </r>
  <r>
    <x v="11"/>
    <x v="5"/>
    <x v="2"/>
    <n v="0"/>
  </r>
  <r>
    <x v="12"/>
    <x v="5"/>
    <x v="2"/>
    <n v="0"/>
  </r>
  <r>
    <x v="13"/>
    <x v="5"/>
    <x v="2"/>
    <n v="0"/>
  </r>
  <r>
    <x v="14"/>
    <x v="5"/>
    <x v="2"/>
    <n v="0"/>
  </r>
  <r>
    <x v="15"/>
    <x v="5"/>
    <x v="2"/>
    <n v="0"/>
  </r>
  <r>
    <x v="16"/>
    <x v="5"/>
    <x v="2"/>
    <n v="0"/>
  </r>
  <r>
    <x v="17"/>
    <x v="5"/>
    <x v="2"/>
    <n v="0"/>
  </r>
  <r>
    <x v="18"/>
    <x v="5"/>
    <x v="2"/>
    <n v="0"/>
  </r>
  <r>
    <x v="19"/>
    <x v="5"/>
    <x v="2"/>
    <n v="0"/>
  </r>
  <r>
    <x v="20"/>
    <x v="5"/>
    <x v="2"/>
    <n v="0"/>
  </r>
  <r>
    <x v="21"/>
    <x v="5"/>
    <x v="2"/>
    <n v="0"/>
  </r>
  <r>
    <x v="22"/>
    <x v="5"/>
    <x v="2"/>
    <n v="0"/>
  </r>
  <r>
    <x v="23"/>
    <x v="5"/>
    <x v="2"/>
    <n v="0"/>
  </r>
  <r>
    <x v="24"/>
    <x v="5"/>
    <x v="2"/>
    <n v="0"/>
  </r>
  <r>
    <x v="25"/>
    <x v="5"/>
    <x v="2"/>
    <n v="0"/>
  </r>
  <r>
    <x v="26"/>
    <x v="5"/>
    <x v="2"/>
    <n v="0"/>
  </r>
  <r>
    <x v="27"/>
    <x v="5"/>
    <x v="2"/>
    <n v="0"/>
  </r>
  <r>
    <x v="0"/>
    <x v="0"/>
    <x v="3"/>
    <n v="150"/>
  </r>
  <r>
    <x v="1"/>
    <x v="1"/>
    <x v="3"/>
    <n v="150"/>
  </r>
  <r>
    <x v="2"/>
    <x v="1"/>
    <x v="3"/>
    <n v="150"/>
  </r>
  <r>
    <x v="3"/>
    <x v="0"/>
    <x v="3"/>
    <n v="150"/>
  </r>
  <r>
    <x v="4"/>
    <x v="0"/>
    <x v="3"/>
    <n v="150"/>
  </r>
  <r>
    <x v="5"/>
    <x v="0"/>
    <x v="3"/>
    <n v="150"/>
  </r>
  <r>
    <x v="6"/>
    <x v="0"/>
    <x v="3"/>
    <n v="150"/>
  </r>
  <r>
    <x v="7"/>
    <x v="0"/>
    <x v="3"/>
    <n v="150"/>
  </r>
  <r>
    <x v="8"/>
    <x v="1"/>
    <x v="3"/>
    <n v="150"/>
  </r>
  <r>
    <x v="9"/>
    <x v="1"/>
    <x v="3"/>
    <n v="150"/>
  </r>
  <r>
    <x v="10"/>
    <x v="0"/>
    <x v="3"/>
    <n v="150"/>
  </r>
  <r>
    <x v="11"/>
    <x v="0"/>
    <x v="3"/>
    <n v="150"/>
  </r>
  <r>
    <x v="12"/>
    <x v="0"/>
    <x v="3"/>
    <n v="150"/>
  </r>
  <r>
    <x v="13"/>
    <x v="0"/>
    <x v="3"/>
    <n v="150"/>
  </r>
  <r>
    <x v="14"/>
    <x v="0"/>
    <x v="3"/>
    <n v="150"/>
  </r>
  <r>
    <x v="15"/>
    <x v="1"/>
    <x v="3"/>
    <n v="150"/>
  </r>
  <r>
    <x v="16"/>
    <x v="1"/>
    <x v="3"/>
    <n v="150"/>
  </r>
  <r>
    <x v="17"/>
    <x v="0"/>
    <x v="3"/>
    <n v="150"/>
  </r>
  <r>
    <x v="18"/>
    <x v="0"/>
    <x v="3"/>
    <n v="150"/>
  </r>
  <r>
    <x v="19"/>
    <x v="0"/>
    <x v="3"/>
    <n v="150"/>
  </r>
  <r>
    <x v="20"/>
    <x v="0"/>
    <x v="3"/>
    <n v="150"/>
  </r>
  <r>
    <x v="21"/>
    <x v="0"/>
    <x v="3"/>
    <n v="150"/>
  </r>
  <r>
    <x v="22"/>
    <x v="1"/>
    <x v="3"/>
    <n v="150"/>
  </r>
  <r>
    <x v="23"/>
    <x v="1"/>
    <x v="3"/>
    <n v="150"/>
  </r>
  <r>
    <x v="24"/>
    <x v="0"/>
    <x v="3"/>
    <n v="150"/>
  </r>
  <r>
    <x v="25"/>
    <x v="0"/>
    <x v="3"/>
    <n v="150"/>
  </r>
  <r>
    <x v="26"/>
    <x v="0"/>
    <x v="3"/>
    <n v="150"/>
  </r>
  <r>
    <x v="27"/>
    <x v="0"/>
    <x v="3"/>
    <n v="150"/>
  </r>
  <r>
    <x v="0"/>
    <x v="0"/>
    <x v="4"/>
    <n v="100"/>
  </r>
  <r>
    <x v="1"/>
    <x v="1"/>
    <x v="4"/>
    <n v="100"/>
  </r>
  <r>
    <x v="2"/>
    <x v="1"/>
    <x v="4"/>
    <n v="100"/>
  </r>
  <r>
    <x v="3"/>
    <x v="0"/>
    <x v="4"/>
    <n v="100"/>
  </r>
  <r>
    <x v="4"/>
    <x v="0"/>
    <x v="4"/>
    <n v="100"/>
  </r>
  <r>
    <x v="5"/>
    <x v="0"/>
    <x v="4"/>
    <n v="100"/>
  </r>
  <r>
    <x v="6"/>
    <x v="0"/>
    <x v="4"/>
    <n v="100"/>
  </r>
  <r>
    <x v="7"/>
    <x v="0"/>
    <x v="4"/>
    <n v="100"/>
  </r>
  <r>
    <x v="8"/>
    <x v="1"/>
    <x v="4"/>
    <n v="100"/>
  </r>
  <r>
    <x v="9"/>
    <x v="1"/>
    <x v="4"/>
    <n v="100"/>
  </r>
  <r>
    <x v="10"/>
    <x v="0"/>
    <x v="4"/>
    <n v="100"/>
  </r>
  <r>
    <x v="11"/>
    <x v="0"/>
    <x v="4"/>
    <n v="100"/>
  </r>
  <r>
    <x v="12"/>
    <x v="0"/>
    <x v="4"/>
    <n v="100"/>
  </r>
  <r>
    <x v="13"/>
    <x v="0"/>
    <x v="4"/>
    <n v="100"/>
  </r>
  <r>
    <x v="14"/>
    <x v="0"/>
    <x v="4"/>
    <n v="100"/>
  </r>
  <r>
    <x v="15"/>
    <x v="1"/>
    <x v="4"/>
    <n v="100"/>
  </r>
  <r>
    <x v="16"/>
    <x v="1"/>
    <x v="4"/>
    <n v="100"/>
  </r>
  <r>
    <x v="17"/>
    <x v="0"/>
    <x v="4"/>
    <n v="100"/>
  </r>
  <r>
    <x v="18"/>
    <x v="0"/>
    <x v="4"/>
    <n v="100"/>
  </r>
  <r>
    <x v="19"/>
    <x v="0"/>
    <x v="4"/>
    <n v="100"/>
  </r>
  <r>
    <x v="20"/>
    <x v="0"/>
    <x v="4"/>
    <n v="100"/>
  </r>
  <r>
    <x v="21"/>
    <x v="0"/>
    <x v="4"/>
    <n v="100"/>
  </r>
  <r>
    <x v="22"/>
    <x v="1"/>
    <x v="4"/>
    <n v="100"/>
  </r>
  <r>
    <x v="23"/>
    <x v="1"/>
    <x v="4"/>
    <n v="100"/>
  </r>
  <r>
    <x v="24"/>
    <x v="0"/>
    <x v="4"/>
    <n v="100"/>
  </r>
  <r>
    <x v="25"/>
    <x v="0"/>
    <x v="4"/>
    <n v="100"/>
  </r>
  <r>
    <x v="26"/>
    <x v="0"/>
    <x v="4"/>
    <n v="100"/>
  </r>
  <r>
    <x v="27"/>
    <x v="0"/>
    <x v="4"/>
    <n v="100"/>
  </r>
  <r>
    <x v="28"/>
    <x v="0"/>
    <x v="0"/>
    <n v="100"/>
  </r>
  <r>
    <x v="29"/>
    <x v="1"/>
    <x v="0"/>
    <n v="100"/>
  </r>
  <r>
    <x v="30"/>
    <x v="1"/>
    <x v="0"/>
    <n v="100"/>
  </r>
  <r>
    <x v="31"/>
    <x v="0"/>
    <x v="0"/>
    <n v="100"/>
  </r>
  <r>
    <x v="32"/>
    <x v="0"/>
    <x v="0"/>
    <n v="100"/>
  </r>
  <r>
    <x v="33"/>
    <x v="0"/>
    <x v="0"/>
    <n v="100"/>
  </r>
  <r>
    <x v="34"/>
    <x v="0"/>
    <x v="0"/>
    <n v="100"/>
  </r>
  <r>
    <x v="35"/>
    <x v="0"/>
    <x v="0"/>
    <n v="100"/>
  </r>
  <r>
    <x v="36"/>
    <x v="1"/>
    <x v="0"/>
    <n v="100"/>
  </r>
  <r>
    <x v="37"/>
    <x v="1"/>
    <x v="0"/>
    <n v="100"/>
  </r>
  <r>
    <x v="38"/>
    <x v="0"/>
    <x v="0"/>
    <n v="100"/>
  </r>
  <r>
    <x v="39"/>
    <x v="0"/>
    <x v="0"/>
    <n v="100"/>
  </r>
  <r>
    <x v="40"/>
    <x v="0"/>
    <x v="0"/>
    <n v="100"/>
  </r>
  <r>
    <x v="41"/>
    <x v="0"/>
    <x v="0"/>
    <n v="100"/>
  </r>
  <r>
    <x v="42"/>
    <x v="0"/>
    <x v="0"/>
    <n v="100"/>
  </r>
  <r>
    <x v="43"/>
    <x v="1"/>
    <x v="0"/>
    <n v="100"/>
  </r>
  <r>
    <x v="44"/>
    <x v="1"/>
    <x v="0"/>
    <n v="100"/>
  </r>
  <r>
    <x v="45"/>
    <x v="0"/>
    <x v="0"/>
    <n v="100"/>
  </r>
  <r>
    <x v="46"/>
    <x v="0"/>
    <x v="0"/>
    <n v="100"/>
  </r>
  <r>
    <x v="47"/>
    <x v="0"/>
    <x v="0"/>
    <n v="100"/>
  </r>
  <r>
    <x v="48"/>
    <x v="0"/>
    <x v="0"/>
    <n v="100"/>
  </r>
  <r>
    <x v="49"/>
    <x v="0"/>
    <x v="0"/>
    <n v="100"/>
  </r>
  <r>
    <x v="50"/>
    <x v="1"/>
    <x v="0"/>
    <n v="100"/>
  </r>
  <r>
    <x v="51"/>
    <x v="6"/>
    <x v="0"/>
    <n v="200"/>
  </r>
  <r>
    <x v="52"/>
    <x v="3"/>
    <x v="0"/>
    <n v="50"/>
  </r>
  <r>
    <x v="53"/>
    <x v="3"/>
    <x v="0"/>
    <n v="50"/>
  </r>
  <r>
    <x v="54"/>
    <x v="0"/>
    <x v="0"/>
    <n v="100"/>
  </r>
  <r>
    <x v="55"/>
    <x v="0"/>
    <x v="0"/>
    <n v="100"/>
  </r>
  <r>
    <x v="56"/>
    <x v="0"/>
    <x v="0"/>
    <n v="100"/>
  </r>
  <r>
    <x v="57"/>
    <x v="1"/>
    <x v="0"/>
    <n v="100"/>
  </r>
  <r>
    <x v="58"/>
    <x v="1"/>
    <x v="0"/>
    <n v="100"/>
  </r>
  <r>
    <x v="28"/>
    <x v="0"/>
    <x v="1"/>
    <n v="110"/>
  </r>
  <r>
    <x v="29"/>
    <x v="1"/>
    <x v="1"/>
    <n v="110"/>
  </r>
  <r>
    <x v="30"/>
    <x v="1"/>
    <x v="1"/>
    <n v="110"/>
  </r>
  <r>
    <x v="31"/>
    <x v="0"/>
    <x v="1"/>
    <n v="110"/>
  </r>
  <r>
    <x v="32"/>
    <x v="0"/>
    <x v="1"/>
    <n v="110"/>
  </r>
  <r>
    <x v="33"/>
    <x v="0"/>
    <x v="1"/>
    <n v="110"/>
  </r>
  <r>
    <x v="34"/>
    <x v="0"/>
    <x v="1"/>
    <n v="110"/>
  </r>
  <r>
    <x v="35"/>
    <x v="0"/>
    <x v="1"/>
    <n v="110"/>
  </r>
  <r>
    <x v="36"/>
    <x v="1"/>
    <x v="1"/>
    <n v="110"/>
  </r>
  <r>
    <x v="37"/>
    <x v="1"/>
    <x v="1"/>
    <n v="110"/>
  </r>
  <r>
    <x v="38"/>
    <x v="0"/>
    <x v="1"/>
    <n v="110"/>
  </r>
  <r>
    <x v="39"/>
    <x v="0"/>
    <x v="1"/>
    <n v="110"/>
  </r>
  <r>
    <x v="40"/>
    <x v="0"/>
    <x v="1"/>
    <n v="110"/>
  </r>
  <r>
    <x v="41"/>
    <x v="0"/>
    <x v="1"/>
    <n v="110"/>
  </r>
  <r>
    <x v="42"/>
    <x v="0"/>
    <x v="1"/>
    <n v="110"/>
  </r>
  <r>
    <x v="43"/>
    <x v="1"/>
    <x v="1"/>
    <n v="110"/>
  </r>
  <r>
    <x v="44"/>
    <x v="1"/>
    <x v="1"/>
    <n v="110"/>
  </r>
  <r>
    <x v="45"/>
    <x v="7"/>
    <x v="1"/>
    <n v="110"/>
  </r>
  <r>
    <x v="46"/>
    <x v="7"/>
    <x v="1"/>
    <n v="110"/>
  </r>
  <r>
    <x v="47"/>
    <x v="7"/>
    <x v="1"/>
    <n v="110"/>
  </r>
  <r>
    <x v="48"/>
    <x v="7"/>
    <x v="1"/>
    <n v="110"/>
  </r>
  <r>
    <x v="49"/>
    <x v="7"/>
    <x v="1"/>
    <n v="110"/>
  </r>
  <r>
    <x v="50"/>
    <x v="1"/>
    <x v="1"/>
    <n v="110"/>
  </r>
  <r>
    <x v="51"/>
    <x v="1"/>
    <x v="1"/>
    <n v="110"/>
  </r>
  <r>
    <x v="52"/>
    <x v="0"/>
    <x v="1"/>
    <n v="110"/>
  </r>
  <r>
    <x v="53"/>
    <x v="0"/>
    <x v="1"/>
    <n v="110"/>
  </r>
  <r>
    <x v="54"/>
    <x v="0"/>
    <x v="1"/>
    <n v="110"/>
  </r>
  <r>
    <x v="55"/>
    <x v="0"/>
    <x v="1"/>
    <n v="110"/>
  </r>
  <r>
    <x v="56"/>
    <x v="0"/>
    <x v="1"/>
    <n v="110"/>
  </r>
  <r>
    <x v="57"/>
    <x v="1"/>
    <x v="1"/>
    <n v="110"/>
  </r>
  <r>
    <x v="58"/>
    <x v="1"/>
    <x v="1"/>
    <n v="110"/>
  </r>
  <r>
    <x v="28"/>
    <x v="0"/>
    <x v="2"/>
    <n v="170"/>
  </r>
  <r>
    <x v="29"/>
    <x v="1"/>
    <x v="2"/>
    <n v="170"/>
  </r>
  <r>
    <x v="30"/>
    <x v="1"/>
    <x v="2"/>
    <n v="170"/>
  </r>
  <r>
    <x v="31"/>
    <x v="0"/>
    <x v="2"/>
    <n v="170"/>
  </r>
  <r>
    <x v="32"/>
    <x v="0"/>
    <x v="2"/>
    <n v="170"/>
  </r>
  <r>
    <x v="33"/>
    <x v="0"/>
    <x v="2"/>
    <n v="170"/>
  </r>
  <r>
    <x v="34"/>
    <x v="0"/>
    <x v="2"/>
    <n v="170"/>
  </r>
  <r>
    <x v="35"/>
    <x v="0"/>
    <x v="2"/>
    <n v="170"/>
  </r>
  <r>
    <x v="36"/>
    <x v="1"/>
    <x v="2"/>
    <n v="170"/>
  </r>
  <r>
    <x v="37"/>
    <x v="1"/>
    <x v="2"/>
    <n v="170"/>
  </r>
  <r>
    <x v="38"/>
    <x v="0"/>
    <x v="2"/>
    <n v="170"/>
  </r>
  <r>
    <x v="39"/>
    <x v="0"/>
    <x v="2"/>
    <n v="170"/>
  </r>
  <r>
    <x v="40"/>
    <x v="0"/>
    <x v="2"/>
    <n v="170"/>
  </r>
  <r>
    <x v="41"/>
    <x v="0"/>
    <x v="2"/>
    <n v="170"/>
  </r>
  <r>
    <x v="42"/>
    <x v="0"/>
    <x v="2"/>
    <n v="170"/>
  </r>
  <r>
    <x v="43"/>
    <x v="1"/>
    <x v="2"/>
    <n v="170"/>
  </r>
  <r>
    <x v="44"/>
    <x v="1"/>
    <x v="2"/>
    <n v="170"/>
  </r>
  <r>
    <x v="45"/>
    <x v="0"/>
    <x v="2"/>
    <n v="170"/>
  </r>
  <r>
    <x v="46"/>
    <x v="0"/>
    <x v="2"/>
    <n v="170"/>
  </r>
  <r>
    <x v="47"/>
    <x v="0"/>
    <x v="2"/>
    <n v="170"/>
  </r>
  <r>
    <x v="48"/>
    <x v="0"/>
    <x v="2"/>
    <n v="170"/>
  </r>
  <r>
    <x v="49"/>
    <x v="0"/>
    <x v="2"/>
    <n v="170"/>
  </r>
  <r>
    <x v="50"/>
    <x v="1"/>
    <x v="2"/>
    <n v="170"/>
  </r>
  <r>
    <x v="51"/>
    <x v="1"/>
    <x v="2"/>
    <n v="170"/>
  </r>
  <r>
    <x v="52"/>
    <x v="0"/>
    <x v="2"/>
    <n v="170"/>
  </r>
  <r>
    <x v="53"/>
    <x v="3"/>
    <x v="2"/>
    <n v="85"/>
  </r>
  <r>
    <x v="54"/>
    <x v="0"/>
    <x v="2"/>
    <n v="170"/>
  </r>
  <r>
    <x v="55"/>
    <x v="0"/>
    <x v="2"/>
    <n v="170"/>
  </r>
  <r>
    <x v="56"/>
    <x v="0"/>
    <x v="2"/>
    <n v="170"/>
  </r>
  <r>
    <x v="57"/>
    <x v="1"/>
    <x v="2"/>
    <n v="170"/>
  </r>
  <r>
    <x v="58"/>
    <x v="1"/>
    <x v="2"/>
    <n v="170"/>
  </r>
  <r>
    <x v="28"/>
    <x v="0"/>
    <x v="3"/>
    <n v="150"/>
  </r>
  <r>
    <x v="29"/>
    <x v="1"/>
    <x v="3"/>
    <n v="150"/>
  </r>
  <r>
    <x v="30"/>
    <x v="1"/>
    <x v="3"/>
    <n v="150"/>
  </r>
  <r>
    <x v="31"/>
    <x v="0"/>
    <x v="3"/>
    <n v="150"/>
  </r>
  <r>
    <x v="32"/>
    <x v="0"/>
    <x v="3"/>
    <n v="150"/>
  </r>
  <r>
    <x v="33"/>
    <x v="0"/>
    <x v="3"/>
    <n v="150"/>
  </r>
  <r>
    <x v="34"/>
    <x v="0"/>
    <x v="3"/>
    <n v="150"/>
  </r>
  <r>
    <x v="35"/>
    <x v="0"/>
    <x v="3"/>
    <n v="150"/>
  </r>
  <r>
    <x v="36"/>
    <x v="1"/>
    <x v="3"/>
    <n v="150"/>
  </r>
  <r>
    <x v="37"/>
    <x v="1"/>
    <x v="3"/>
    <n v="150"/>
  </r>
  <r>
    <x v="38"/>
    <x v="0"/>
    <x v="3"/>
    <n v="150"/>
  </r>
  <r>
    <x v="39"/>
    <x v="3"/>
    <x v="3"/>
    <n v="75"/>
  </r>
  <r>
    <x v="40"/>
    <x v="0"/>
    <x v="3"/>
    <n v="150"/>
  </r>
  <r>
    <x v="41"/>
    <x v="0"/>
    <x v="3"/>
    <n v="150"/>
  </r>
  <r>
    <x v="42"/>
    <x v="0"/>
    <x v="3"/>
    <n v="150"/>
  </r>
  <r>
    <x v="43"/>
    <x v="1"/>
    <x v="3"/>
    <n v="150"/>
  </r>
  <r>
    <x v="44"/>
    <x v="1"/>
    <x v="3"/>
    <n v="150"/>
  </r>
  <r>
    <x v="45"/>
    <x v="0"/>
    <x v="3"/>
    <n v="150"/>
  </r>
  <r>
    <x v="46"/>
    <x v="0"/>
    <x v="3"/>
    <n v="150"/>
  </r>
  <r>
    <x v="47"/>
    <x v="0"/>
    <x v="3"/>
    <n v="150"/>
  </r>
  <r>
    <x v="48"/>
    <x v="0"/>
    <x v="3"/>
    <n v="150"/>
  </r>
  <r>
    <x v="49"/>
    <x v="0"/>
    <x v="3"/>
    <n v="150"/>
  </r>
  <r>
    <x v="50"/>
    <x v="1"/>
    <x v="3"/>
    <n v="150"/>
  </r>
  <r>
    <x v="51"/>
    <x v="1"/>
    <x v="3"/>
    <n v="150"/>
  </r>
  <r>
    <x v="52"/>
    <x v="0"/>
    <x v="3"/>
    <n v="150"/>
  </r>
  <r>
    <x v="53"/>
    <x v="0"/>
    <x v="3"/>
    <n v="150"/>
  </r>
  <r>
    <x v="54"/>
    <x v="0"/>
    <x v="3"/>
    <n v="150"/>
  </r>
  <r>
    <x v="55"/>
    <x v="0"/>
    <x v="3"/>
    <n v="150"/>
  </r>
  <r>
    <x v="56"/>
    <x v="0"/>
    <x v="3"/>
    <n v="150"/>
  </r>
  <r>
    <x v="57"/>
    <x v="1"/>
    <x v="3"/>
    <n v="150"/>
  </r>
  <r>
    <x v="58"/>
    <x v="1"/>
    <x v="3"/>
    <n v="150"/>
  </r>
  <r>
    <x v="28"/>
    <x v="0"/>
    <x v="4"/>
    <n v="100"/>
  </r>
  <r>
    <x v="29"/>
    <x v="1"/>
    <x v="4"/>
    <n v="100"/>
  </r>
  <r>
    <x v="30"/>
    <x v="1"/>
    <x v="4"/>
    <n v="100"/>
  </r>
  <r>
    <x v="31"/>
    <x v="0"/>
    <x v="4"/>
    <n v="100"/>
  </r>
  <r>
    <x v="32"/>
    <x v="0"/>
    <x v="4"/>
    <n v="100"/>
  </r>
  <r>
    <x v="33"/>
    <x v="0"/>
    <x v="4"/>
    <n v="100"/>
  </r>
  <r>
    <x v="34"/>
    <x v="0"/>
    <x v="4"/>
    <n v="100"/>
  </r>
  <r>
    <x v="35"/>
    <x v="0"/>
    <x v="4"/>
    <n v="100"/>
  </r>
  <r>
    <x v="36"/>
    <x v="1"/>
    <x v="4"/>
    <n v="100"/>
  </r>
  <r>
    <x v="37"/>
    <x v="1"/>
    <x v="4"/>
    <n v="100"/>
  </r>
  <r>
    <x v="38"/>
    <x v="0"/>
    <x v="4"/>
    <n v="100"/>
  </r>
  <r>
    <x v="39"/>
    <x v="0"/>
    <x v="4"/>
    <n v="100"/>
  </r>
  <r>
    <x v="40"/>
    <x v="0"/>
    <x v="4"/>
    <n v="100"/>
  </r>
  <r>
    <x v="41"/>
    <x v="0"/>
    <x v="4"/>
    <n v="100"/>
  </r>
  <r>
    <x v="42"/>
    <x v="0"/>
    <x v="4"/>
    <n v="100"/>
  </r>
  <r>
    <x v="43"/>
    <x v="1"/>
    <x v="4"/>
    <n v="100"/>
  </r>
  <r>
    <x v="44"/>
    <x v="1"/>
    <x v="4"/>
    <n v="100"/>
  </r>
  <r>
    <x v="45"/>
    <x v="0"/>
    <x v="4"/>
    <n v="100"/>
  </r>
  <r>
    <x v="46"/>
    <x v="0"/>
    <x v="4"/>
    <n v="100"/>
  </r>
  <r>
    <x v="47"/>
    <x v="0"/>
    <x v="4"/>
    <n v="100"/>
  </r>
  <r>
    <x v="48"/>
    <x v="0"/>
    <x v="4"/>
    <n v="100"/>
  </r>
  <r>
    <x v="49"/>
    <x v="0"/>
    <x v="4"/>
    <n v="100"/>
  </r>
  <r>
    <x v="50"/>
    <x v="1"/>
    <x v="4"/>
    <n v="100"/>
  </r>
  <r>
    <x v="51"/>
    <x v="1"/>
    <x v="4"/>
    <n v="100"/>
  </r>
  <r>
    <x v="52"/>
    <x v="0"/>
    <x v="4"/>
    <n v="100"/>
  </r>
  <r>
    <x v="53"/>
    <x v="0"/>
    <x v="4"/>
    <n v="100"/>
  </r>
  <r>
    <x v="54"/>
    <x v="0"/>
    <x v="4"/>
    <n v="100"/>
  </r>
  <r>
    <x v="55"/>
    <x v="0"/>
    <x v="4"/>
    <n v="100"/>
  </r>
  <r>
    <x v="56"/>
    <x v="0"/>
    <x v="4"/>
    <n v="100"/>
  </r>
  <r>
    <x v="57"/>
    <x v="1"/>
    <x v="4"/>
    <n v="100"/>
  </r>
  <r>
    <x v="58"/>
    <x v="1"/>
    <x v="4"/>
    <n v="100"/>
  </r>
  <r>
    <x v="59"/>
    <x v="8"/>
    <x v="5"/>
    <e v="#N/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98A84A-60F7-4F2B-B123-BDCD847F9FFD}" name="PivotTable1" cacheId="3" applyNumberFormats="0" applyBorderFormats="0" applyFontFormats="0" applyPatternFormats="0" applyAlignmentFormats="0" applyWidthHeightFormats="1" dataCaption="Değerler" updatedVersion="7" minRefreshableVersion="3" itemPrintTitles="1" createdVersion="7" indent="0" outline="1" outlineData="1" multipleFieldFilters="0" rowHeaderCaption="İsim Soyisim">
  <location ref="B5:E12" firstHeaderRow="1" firstDataRow="2" firstDataCol="1"/>
  <pivotFields count="5"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axis="axisRow" showAll="0">
      <items count="7">
        <item x="3"/>
        <item x="2"/>
        <item x="0"/>
        <item x="4"/>
        <item x="1"/>
        <item h="1" x="5"/>
        <item t="default"/>
      </items>
    </pivotField>
    <pivotField dataField="1" showAll="0"/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4"/>
  </colFields>
  <colItems count="3">
    <i>
      <x v="1"/>
    </i>
    <i>
      <x v="2"/>
    </i>
    <i t="grand">
      <x/>
    </i>
  </colItems>
  <dataFields count="1">
    <dataField name="Toplam Maaş" fld="3" baseField="2" baseItem="0" numFmtId="167"/>
  </dataFields>
  <formats count="13">
    <format dxfId="28">
      <pivotArea grandRow="1" outline="0" collapsedLevelsAreSubtotals="1" fieldPosition="0"/>
    </format>
    <format dxfId="27">
      <pivotArea dataOnly="0" labelOnly="1" grandRow="1" outline="0" fieldPosition="0"/>
    </format>
    <format dxfId="26">
      <pivotArea collapsedLevelsAreSubtotals="1" fieldPosition="0">
        <references count="1">
          <reference field="2" count="0"/>
        </references>
      </pivotArea>
    </format>
    <format dxfId="25">
      <pivotArea dataOnly="0" labelOnly="1" fieldPosition="0">
        <references count="1">
          <reference field="2" count="0"/>
        </references>
      </pivotArea>
    </format>
    <format dxfId="24">
      <pivotArea outline="0" collapsedLevelsAreSubtotals="1" fieldPosition="0"/>
    </format>
    <format dxfId="23">
      <pivotArea dataOnly="0" labelOnly="1" fieldPosition="0">
        <references count="1">
          <reference field="4" count="4">
            <x v="5"/>
            <x v="6"/>
            <x v="10"/>
            <x v="12"/>
          </reference>
        </references>
      </pivotArea>
    </format>
    <format dxfId="22">
      <pivotArea dataOnly="0" labelOnly="1" fieldPosition="0">
        <references count="1">
          <reference field="4" count="4">
            <x v="5"/>
            <x v="6"/>
            <x v="10"/>
            <x v="12"/>
          </reference>
        </references>
      </pivotArea>
    </format>
    <format dxfId="21">
      <pivotArea field="2" type="button" dataOnly="0" labelOnly="1" outline="0" axis="axisRow" fieldPosition="0"/>
    </format>
    <format dxfId="20">
      <pivotArea dataOnly="0" labelOnly="1" fieldPosition="0">
        <references count="1">
          <reference field="4" count="3">
            <x v="3"/>
            <x v="7"/>
            <x v="9"/>
          </reference>
        </references>
      </pivotArea>
    </format>
    <format dxfId="19">
      <pivotArea dataOnly="0" labelOnly="1" grandCol="1" outline="0" fieldPosition="0"/>
    </format>
    <format dxfId="18">
      <pivotArea field="2" type="button" dataOnly="0" labelOnly="1" outline="0" axis="axisRow" fieldPosition="0"/>
    </format>
    <format dxfId="17">
      <pivotArea dataOnly="0" labelOnly="1" fieldPosition="0">
        <references count="1">
          <reference field="4" count="3">
            <x v="3"/>
            <x v="7"/>
            <x v="9"/>
          </reference>
        </references>
      </pivotArea>
    </format>
    <format dxfId="16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4B9E42-371B-4A4D-A322-4FBD80BB8F5A}" name="PivotTable1" cacheId="3" applyNumberFormats="0" applyBorderFormats="0" applyFontFormats="0" applyPatternFormats="0" applyAlignmentFormats="0" applyWidthHeightFormats="1" dataCaption="Değerler" updatedVersion="7" minRefreshableVersion="3" itemPrintTitles="1" createdVersion="7" indent="0" outline="1" outlineData="1" multipleFieldFilters="0" rowHeaderCaption="İsim Soyisim">
  <location ref="B7:C11" firstHeaderRow="1" firstDataRow="1" firstDataCol="1" rowPageCount="1" colPageCount="1"/>
  <pivotFields count="5"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Page" multipleItemSelectionAllowed="1" showAll="0">
      <items count="12">
        <item h="1" x="0"/>
        <item h="1" x="4"/>
        <item h="1" x="2"/>
        <item h="1" x="5"/>
        <item h="1" x="7"/>
        <item h="1" x="8"/>
        <item h="1" x="6"/>
        <item x="3"/>
        <item h="1" m="1" x="10"/>
        <item h="1" m="1" x="9"/>
        <item h="1" x="1"/>
        <item t="default"/>
      </items>
    </pivotField>
    <pivotField axis="axisRow" showAll="0">
      <items count="7">
        <item x="3"/>
        <item x="2"/>
        <item x="0"/>
        <item x="4"/>
        <item x="1"/>
        <item h="1" x="5"/>
        <item t="default"/>
      </items>
    </pivotField>
    <pivotField dataField="1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" hier="-1"/>
  </pageFields>
  <dataFields count="1">
    <dataField name="Say Maaş" fld="3" subtotal="count" baseField="0" baseItem="0"/>
  </dataFields>
  <formats count="9">
    <format dxfId="15">
      <pivotArea grandRow="1" outline="0" collapsedLevelsAreSubtotals="1" fieldPosition="0"/>
    </format>
    <format dxfId="14">
      <pivotArea dataOnly="0" labelOnly="1" grandRow="1" outline="0" fieldPosition="0"/>
    </format>
    <format dxfId="13">
      <pivotArea collapsedLevelsAreSubtotals="1" fieldPosition="0">
        <references count="1">
          <reference field="2" count="0"/>
        </references>
      </pivotArea>
    </format>
    <format dxfId="12">
      <pivotArea dataOnly="0" labelOnly="1" fieldPosition="0">
        <references count="1">
          <reference field="2" count="0"/>
        </references>
      </pivotArea>
    </format>
    <format dxfId="11">
      <pivotArea outline="0" collapsedLevelsAreSubtotals="1" fieldPosition="0"/>
    </format>
    <format dxfId="10">
      <pivotArea field="2" type="button" dataOnly="0" labelOnly="1" outline="0" axis="axisRow" fieldPosition="0"/>
    </format>
    <format dxfId="9">
      <pivotArea dataOnly="0" labelOnly="1" grandCol="1" outline="0" fieldPosition="0"/>
    </format>
    <format dxfId="8">
      <pivotArea field="2" type="button" dataOnly="0" labelOnly="1" outline="0" axis="axisRow" fieldPosition="0"/>
    </format>
    <format dxfId="7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75CB32-0BB1-459D-93EF-DBDAB8DDBBD1}" name="Tablo1" displayName="Tablo1" ref="A1:C102" totalsRowShown="0" headerRowDxfId="33" dataDxfId="32">
  <tableColumns count="3">
    <tableColumn id="1" xr3:uid="{F9229CD7-305E-445D-AF07-FE58DF190C55}" name="No" dataDxfId="31"/>
    <tableColumn id="5" xr3:uid="{2D010765-B3F8-4EA7-BD53-0CA56F74D40B}" name="Ad Soyad" dataDxfId="30"/>
    <tableColumn id="4" xr3:uid="{761D26AD-47F8-41DB-ADAA-BF471FF6465A}" name="Günlük Ücreti" dataDxfId="29"/>
  </tableColumns>
  <tableStyleInfo name="TableStyleLight12" showFirstColumn="0" showLastColumn="0" showRowStripes="1" showColumnStripes="1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790AB91-E29C-4492-AED6-3402CFAFE995}" name="Tablo3" displayName="Tablo3" ref="A1:D297" totalsRowShown="0" headerRowDxfId="4">
  <autoFilter ref="A1:D297" xr:uid="{4790AB91-E29C-4492-AED6-3402CFAFE995}"/>
  <tableColumns count="4">
    <tableColumn id="1" xr3:uid="{3623D65F-BF11-435D-8472-9292772AA457}" name="Tarih" dataDxfId="3"/>
    <tableColumn id="2" xr3:uid="{E2A06FC2-F9E3-4FE1-AAC3-FA9EBE9C2903}" name="Durum" dataDxfId="2"/>
    <tableColumn id="3" xr3:uid="{99181A93-7301-4997-9F71-5EEB1C77BE57}" name="Personel Adı" dataDxfId="1"/>
    <tableColumn id="4" xr3:uid="{A024E2C8-579A-4F64-B08D-E0A88985A3F5}" name="Maaş" dataDxfId="0">
      <calculatedColumnFormula>IFERROR(VLOOKUP(Tablo3[[#This Row],[Personel Adı]],Tablo1[[Ad Soyad]:[Günlük Ücreti]],2,0)*VLOOKUP(Tablo3[[#This Row],[Durum]],Ayarlar!$E:$F,2,0),VLOOKUP(Tablo3[[#This Row],[Personel Adı]],Tablo1[[Ad Soyad]:[Günlük Ücreti]],2,0))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Özel 1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7F375F"/>
      </a:accent1>
      <a:accent2>
        <a:srgbClr val="C8566D"/>
      </a:accent2>
      <a:accent3>
        <a:srgbClr val="D75225"/>
      </a:accent3>
      <a:accent4>
        <a:srgbClr val="FF9048"/>
      </a:accent4>
      <a:accent5>
        <a:srgbClr val="8B4430"/>
      </a:accent5>
      <a:accent6>
        <a:srgbClr val="FACA88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5B159-C9B1-48EF-908D-27E4C0718AD0}">
  <sheetPr codeName="shEntry">
    <tabColor theme="5" tint="0.79998168889431442"/>
  </sheetPr>
  <dimension ref="B2:AS112"/>
  <sheetViews>
    <sheetView showGridLines="0" zoomScale="80" zoomScaleNormal="80" workbookViewId="0">
      <selection activeCell="D13" sqref="D13"/>
    </sheetView>
  </sheetViews>
  <sheetFormatPr defaultColWidth="9" defaultRowHeight="13.8" outlineLevelCol="1" x14ac:dyDescent="0.25"/>
  <cols>
    <col min="1" max="1" width="2.19921875" style="6" customWidth="1"/>
    <col min="2" max="2" width="26.59765625" style="6" bestFit="1" customWidth="1"/>
    <col min="3" max="31" width="4" style="7" customWidth="1" outlineLevel="1"/>
    <col min="32" max="34" width="4" style="6" customWidth="1" outlineLevel="1"/>
    <col min="35" max="35" width="8.59765625" style="6" customWidth="1"/>
    <col min="36" max="38" width="8.19921875" style="6" customWidth="1"/>
    <col min="39" max="39" width="9" style="6" customWidth="1"/>
    <col min="40" max="44" width="8.19921875" style="6" customWidth="1"/>
    <col min="45" max="45" width="14.59765625" style="6" customWidth="1"/>
    <col min="46" max="111" width="8.796875" style="6" customWidth="1"/>
    <col min="112" max="16384" width="9" style="6"/>
  </cols>
  <sheetData>
    <row r="2" spans="2:45" ht="18.600000000000001" customHeight="1" x14ac:dyDescent="0.25">
      <c r="B2" s="35" t="s">
        <v>23</v>
      </c>
      <c r="D2" s="74" t="s">
        <v>77</v>
      </c>
      <c r="W2" s="74" t="s">
        <v>78</v>
      </c>
    </row>
    <row r="3" spans="2:45" ht="9" customHeight="1" x14ac:dyDescent="0.25">
      <c r="D3" s="37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45"/>
      <c r="V3" s="6"/>
      <c r="W3" s="37"/>
      <c r="X3" s="38"/>
      <c r="Y3" s="38"/>
      <c r="Z3" s="38"/>
      <c r="AA3" s="38"/>
      <c r="AB3" s="38"/>
      <c r="AC3" s="38"/>
      <c r="AD3" s="38"/>
      <c r="AE3" s="38"/>
      <c r="AF3" s="38"/>
      <c r="AG3" s="39"/>
    </row>
    <row r="4" spans="2:45" ht="21" customHeight="1" x14ac:dyDescent="0.25">
      <c r="B4" s="4">
        <v>2022</v>
      </c>
      <c r="D4" s="40"/>
      <c r="E4" s="18" t="str">
        <f>Ayarlar!E5</f>
        <v>Ç</v>
      </c>
      <c r="F4" s="17" t="s">
        <v>39</v>
      </c>
      <c r="G4" s="9"/>
      <c r="K4" s="18" t="str">
        <f>Ayarlar!E6</f>
        <v>M</v>
      </c>
      <c r="L4" s="17" t="s">
        <v>57</v>
      </c>
      <c r="P4" s="18" t="str">
        <f>Ayarlar!E7</f>
        <v>FM</v>
      </c>
      <c r="Q4" s="17" t="s">
        <v>58</v>
      </c>
      <c r="U4" s="46"/>
      <c r="V4" s="6"/>
      <c r="W4" s="40"/>
      <c r="X4" s="50" t="str">
        <f>Ayarlar!E10</f>
        <v>Yİ</v>
      </c>
      <c r="Y4" s="48" t="s">
        <v>40</v>
      </c>
      <c r="AC4" s="50" t="str">
        <f>Ayarlar!E12</f>
        <v>RT</v>
      </c>
      <c r="AD4" s="48" t="s">
        <v>41</v>
      </c>
      <c r="AF4" s="7"/>
      <c r="AG4" s="41"/>
      <c r="AP4" s="72" t="s">
        <v>76</v>
      </c>
      <c r="AQ4" s="72"/>
      <c r="AS4" s="4">
        <v>1</v>
      </c>
    </row>
    <row r="5" spans="2:45" ht="21" customHeight="1" x14ac:dyDescent="0.25">
      <c r="B5" s="35" t="s">
        <v>24</v>
      </c>
      <c r="D5" s="40"/>
      <c r="Q5" s="17"/>
      <c r="U5" s="46"/>
      <c r="V5" s="6"/>
      <c r="W5" s="40"/>
      <c r="AF5" s="7"/>
      <c r="AG5" s="41"/>
      <c r="AP5" s="73" t="s">
        <v>74</v>
      </c>
      <c r="AQ5" s="72"/>
      <c r="AR5" s="72"/>
    </row>
    <row r="6" spans="2:45" ht="21" customHeight="1" x14ac:dyDescent="0.25">
      <c r="B6" s="5">
        <v>44621</v>
      </c>
      <c r="C6" s="8"/>
      <c r="D6" s="47"/>
      <c r="E6" s="20" t="str">
        <f>Ayarlar!E16</f>
        <v>YK</v>
      </c>
      <c r="F6" s="19" t="s">
        <v>59</v>
      </c>
      <c r="G6" s="10"/>
      <c r="K6" s="20" t="str">
        <f>Ayarlar!E17</f>
        <v>K</v>
      </c>
      <c r="L6" s="19" t="s">
        <v>44</v>
      </c>
      <c r="P6" s="27" t="str">
        <f>Ayarlar!E14</f>
        <v>Üİ</v>
      </c>
      <c r="Q6" s="26" t="s">
        <v>43</v>
      </c>
      <c r="R6" s="8"/>
      <c r="S6" s="8"/>
      <c r="T6" s="8"/>
      <c r="U6" s="46"/>
      <c r="V6" s="6"/>
      <c r="W6" s="40"/>
      <c r="X6" s="50" t="str">
        <f>Ayarlar!E11</f>
        <v>R</v>
      </c>
      <c r="Y6" s="49" t="s">
        <v>42</v>
      </c>
      <c r="AC6" s="50" t="str">
        <f>Ayarlar!E9</f>
        <v>HS</v>
      </c>
      <c r="AD6" s="48" t="s">
        <v>72</v>
      </c>
      <c r="AF6" s="7"/>
      <c r="AG6" s="41"/>
      <c r="AP6" s="73" t="s">
        <v>75</v>
      </c>
      <c r="AQ6" s="72"/>
      <c r="AR6" s="72"/>
    </row>
    <row r="7" spans="2:45" ht="9" customHeight="1" x14ac:dyDescent="0.25">
      <c r="B7" s="8"/>
      <c r="C7" s="8"/>
      <c r="D7" s="42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4"/>
      <c r="V7" s="6"/>
      <c r="W7" s="42"/>
      <c r="X7" s="43"/>
      <c r="Y7" s="43"/>
      <c r="Z7" s="43"/>
      <c r="AA7" s="43"/>
      <c r="AB7" s="43"/>
      <c r="AC7" s="43"/>
      <c r="AD7" s="43"/>
      <c r="AE7" s="43"/>
      <c r="AF7" s="43"/>
      <c r="AG7" s="44"/>
    </row>
    <row r="8" spans="2:45" ht="26.4" customHeight="1" x14ac:dyDescent="0.25"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</row>
    <row r="9" spans="2:45" ht="15.75" hidden="1" customHeight="1" x14ac:dyDescent="0.25">
      <c r="C9" s="11">
        <f>MONTH(C11)</f>
        <v>3</v>
      </c>
      <c r="D9" s="11">
        <f t="shared" ref="D9:AD9" si="0">MONTH(D11)</f>
        <v>3</v>
      </c>
      <c r="E9" s="11">
        <f t="shared" si="0"/>
        <v>3</v>
      </c>
      <c r="F9" s="11">
        <f t="shared" si="0"/>
        <v>3</v>
      </c>
      <c r="G9" s="11">
        <f t="shared" si="0"/>
        <v>3</v>
      </c>
      <c r="H9" s="11">
        <f t="shared" si="0"/>
        <v>3</v>
      </c>
      <c r="I9" s="11">
        <f t="shared" si="0"/>
        <v>3</v>
      </c>
      <c r="J9" s="11">
        <f t="shared" si="0"/>
        <v>3</v>
      </c>
      <c r="K9" s="11">
        <f t="shared" si="0"/>
        <v>3</v>
      </c>
      <c r="L9" s="11">
        <f t="shared" si="0"/>
        <v>3</v>
      </c>
      <c r="M9" s="11">
        <f t="shared" si="0"/>
        <v>3</v>
      </c>
      <c r="N9" s="11">
        <f t="shared" si="0"/>
        <v>3</v>
      </c>
      <c r="O9" s="11">
        <f t="shared" si="0"/>
        <v>3</v>
      </c>
      <c r="P9" s="11">
        <f t="shared" si="0"/>
        <v>3</v>
      </c>
      <c r="Q9" s="11">
        <f t="shared" si="0"/>
        <v>3</v>
      </c>
      <c r="R9" s="11">
        <f t="shared" si="0"/>
        <v>3</v>
      </c>
      <c r="S9" s="11">
        <f t="shared" si="0"/>
        <v>3</v>
      </c>
      <c r="T9" s="11">
        <f t="shared" si="0"/>
        <v>3</v>
      </c>
      <c r="U9" s="11">
        <f t="shared" si="0"/>
        <v>3</v>
      </c>
      <c r="V9" s="11">
        <f t="shared" si="0"/>
        <v>3</v>
      </c>
      <c r="W9" s="11">
        <f t="shared" si="0"/>
        <v>3</v>
      </c>
      <c r="X9" s="11">
        <f t="shared" si="0"/>
        <v>3</v>
      </c>
      <c r="Y9" s="11">
        <f t="shared" si="0"/>
        <v>3</v>
      </c>
      <c r="Z9" s="11">
        <f t="shared" si="0"/>
        <v>3</v>
      </c>
      <c r="AA9" s="11">
        <f t="shared" si="0"/>
        <v>3</v>
      </c>
      <c r="AB9" s="11">
        <f t="shared" si="0"/>
        <v>3</v>
      </c>
      <c r="AC9" s="11">
        <f t="shared" si="0"/>
        <v>3</v>
      </c>
      <c r="AD9" s="11">
        <f t="shared" si="0"/>
        <v>3</v>
      </c>
      <c r="AE9" s="11">
        <f t="shared" ref="AE9" si="1">MONTH(AD11+1)</f>
        <v>3</v>
      </c>
      <c r="AF9" s="11">
        <f>MONTH(AD11+2)</f>
        <v>3</v>
      </c>
      <c r="AG9" s="11">
        <f>MONTH(AD11+3)</f>
        <v>3</v>
      </c>
      <c r="AH9" s="11"/>
    </row>
    <row r="10" spans="2:45" hidden="1" x14ac:dyDescent="0.25">
      <c r="C10" s="11">
        <f>WEEKDAY(C11,2)</f>
        <v>2</v>
      </c>
      <c r="D10" s="11">
        <f t="shared" ref="D10:AD10" si="2">WEEKDAY(D11,2)</f>
        <v>3</v>
      </c>
      <c r="E10" s="11">
        <f t="shared" si="2"/>
        <v>4</v>
      </c>
      <c r="F10" s="11">
        <f t="shared" si="2"/>
        <v>5</v>
      </c>
      <c r="G10" s="11">
        <f t="shared" si="2"/>
        <v>6</v>
      </c>
      <c r="H10" s="11">
        <f t="shared" si="2"/>
        <v>7</v>
      </c>
      <c r="I10" s="11">
        <f t="shared" si="2"/>
        <v>1</v>
      </c>
      <c r="J10" s="11">
        <f t="shared" si="2"/>
        <v>2</v>
      </c>
      <c r="K10" s="11">
        <f t="shared" si="2"/>
        <v>3</v>
      </c>
      <c r="L10" s="11">
        <f t="shared" si="2"/>
        <v>4</v>
      </c>
      <c r="M10" s="11">
        <f t="shared" si="2"/>
        <v>5</v>
      </c>
      <c r="N10" s="11">
        <f t="shared" si="2"/>
        <v>6</v>
      </c>
      <c r="O10" s="11">
        <f t="shared" si="2"/>
        <v>7</v>
      </c>
      <c r="P10" s="11">
        <f t="shared" si="2"/>
        <v>1</v>
      </c>
      <c r="Q10" s="11">
        <f t="shared" si="2"/>
        <v>2</v>
      </c>
      <c r="R10" s="11">
        <f t="shared" si="2"/>
        <v>3</v>
      </c>
      <c r="S10" s="11">
        <f t="shared" si="2"/>
        <v>4</v>
      </c>
      <c r="T10" s="11">
        <f t="shared" si="2"/>
        <v>5</v>
      </c>
      <c r="U10" s="11">
        <f t="shared" si="2"/>
        <v>6</v>
      </c>
      <c r="V10" s="11">
        <f t="shared" si="2"/>
        <v>7</v>
      </c>
      <c r="W10" s="11">
        <f t="shared" si="2"/>
        <v>1</v>
      </c>
      <c r="X10" s="11">
        <f t="shared" si="2"/>
        <v>2</v>
      </c>
      <c r="Y10" s="11">
        <f t="shared" si="2"/>
        <v>3</v>
      </c>
      <c r="Z10" s="11">
        <f t="shared" si="2"/>
        <v>4</v>
      </c>
      <c r="AA10" s="11">
        <f t="shared" si="2"/>
        <v>5</v>
      </c>
      <c r="AB10" s="11">
        <f t="shared" si="2"/>
        <v>6</v>
      </c>
      <c r="AC10" s="11">
        <f t="shared" si="2"/>
        <v>7</v>
      </c>
      <c r="AD10" s="11">
        <f t="shared" si="2"/>
        <v>1</v>
      </c>
      <c r="AE10" s="11">
        <f t="shared" ref="AE10" si="3">WEEKDAY(AD11+1,2)</f>
        <v>2</v>
      </c>
      <c r="AF10" s="11">
        <f>WEEKDAY(AD11+2,2)</f>
        <v>3</v>
      </c>
      <c r="AG10" s="11">
        <f>WEEKDAY(AD11+3,2)</f>
        <v>4</v>
      </c>
      <c r="AH10" s="11"/>
      <c r="AI10" s="11">
        <f>Ayarlar!$F$5</f>
        <v>1</v>
      </c>
      <c r="AJ10" s="11">
        <f>Ayarlar!$F$6</f>
        <v>1.5</v>
      </c>
      <c r="AK10" s="11">
        <f>Ayarlar!$F$7</f>
        <v>2</v>
      </c>
      <c r="AL10" s="11">
        <f>Ayarlar!$F$16</f>
        <v>0.5</v>
      </c>
      <c r="AM10" s="11">
        <f>Ayarlar!$F$17</f>
        <v>-1</v>
      </c>
      <c r="AN10" s="11">
        <f>Ayarlar!F$14</f>
        <v>0</v>
      </c>
      <c r="AO10" s="11">
        <f>Ayarlar!$F$9</f>
        <v>1</v>
      </c>
      <c r="AP10" s="11">
        <f>Ayarlar!$F$10</f>
        <v>1</v>
      </c>
      <c r="AQ10" s="11">
        <f>Ayarlar!$F$11</f>
        <v>1</v>
      </c>
      <c r="AR10" s="11">
        <f>Ayarlar!$F$12</f>
        <v>1</v>
      </c>
    </row>
    <row r="11" spans="2:45" ht="69" customHeight="1" x14ac:dyDescent="0.25">
      <c r="B11" s="12" t="s">
        <v>0</v>
      </c>
      <c r="C11" s="13">
        <f>B6</f>
        <v>44621</v>
      </c>
      <c r="D11" s="13">
        <f>C11+1</f>
        <v>44622</v>
      </c>
      <c r="E11" s="13">
        <f t="shared" ref="E11:AD11" si="4">D11+1</f>
        <v>44623</v>
      </c>
      <c r="F11" s="13">
        <f t="shared" si="4"/>
        <v>44624</v>
      </c>
      <c r="G11" s="13">
        <f t="shared" si="4"/>
        <v>44625</v>
      </c>
      <c r="H11" s="13">
        <f t="shared" si="4"/>
        <v>44626</v>
      </c>
      <c r="I11" s="13">
        <f t="shared" si="4"/>
        <v>44627</v>
      </c>
      <c r="J11" s="13">
        <f t="shared" si="4"/>
        <v>44628</v>
      </c>
      <c r="K11" s="13">
        <f t="shared" si="4"/>
        <v>44629</v>
      </c>
      <c r="L11" s="13">
        <f t="shared" si="4"/>
        <v>44630</v>
      </c>
      <c r="M11" s="13">
        <f t="shared" si="4"/>
        <v>44631</v>
      </c>
      <c r="N11" s="13">
        <f t="shared" si="4"/>
        <v>44632</v>
      </c>
      <c r="O11" s="13">
        <f t="shared" si="4"/>
        <v>44633</v>
      </c>
      <c r="P11" s="13">
        <f t="shared" si="4"/>
        <v>44634</v>
      </c>
      <c r="Q11" s="13">
        <f t="shared" si="4"/>
        <v>44635</v>
      </c>
      <c r="R11" s="13">
        <f t="shared" si="4"/>
        <v>44636</v>
      </c>
      <c r="S11" s="13">
        <f t="shared" si="4"/>
        <v>44637</v>
      </c>
      <c r="T11" s="13">
        <f t="shared" si="4"/>
        <v>44638</v>
      </c>
      <c r="U11" s="13">
        <f t="shared" si="4"/>
        <v>44639</v>
      </c>
      <c r="V11" s="13">
        <f t="shared" si="4"/>
        <v>44640</v>
      </c>
      <c r="W11" s="13">
        <f t="shared" si="4"/>
        <v>44641</v>
      </c>
      <c r="X11" s="13">
        <f t="shared" si="4"/>
        <v>44642</v>
      </c>
      <c r="Y11" s="13">
        <f t="shared" si="4"/>
        <v>44643</v>
      </c>
      <c r="Z11" s="13">
        <f t="shared" si="4"/>
        <v>44644</v>
      </c>
      <c r="AA11" s="13">
        <f t="shared" si="4"/>
        <v>44645</v>
      </c>
      <c r="AB11" s="13">
        <f t="shared" si="4"/>
        <v>44646</v>
      </c>
      <c r="AC11" s="13">
        <f t="shared" si="4"/>
        <v>44647</v>
      </c>
      <c r="AD11" s="13">
        <f t="shared" si="4"/>
        <v>44648</v>
      </c>
      <c r="AE11" s="13">
        <f>IF(MONTH(AD11+1)=MONTH(AD11),AD11+1,"")</f>
        <v>44649</v>
      </c>
      <c r="AF11" s="13">
        <f>IF(MONTH(AD11+2)=MONTH(AD11),AD11+2,"")</f>
        <v>44650</v>
      </c>
      <c r="AG11" s="13">
        <f>IF(MONTH(AD11+3)=MONTH(AD11),AD11+3,"")</f>
        <v>44651</v>
      </c>
      <c r="AH11" s="13"/>
      <c r="AI11" s="21" t="s">
        <v>63</v>
      </c>
      <c r="AJ11" s="21" t="s">
        <v>62</v>
      </c>
      <c r="AK11" s="21" t="s">
        <v>61</v>
      </c>
      <c r="AL11" s="65" t="s">
        <v>64</v>
      </c>
      <c r="AM11" s="65" t="s">
        <v>65</v>
      </c>
      <c r="AN11" s="28" t="s">
        <v>66</v>
      </c>
      <c r="AO11" s="51" t="s">
        <v>70</v>
      </c>
      <c r="AP11" s="51" t="s">
        <v>67</v>
      </c>
      <c r="AQ11" s="51" t="s">
        <v>68</v>
      </c>
      <c r="AR11" s="51" t="s">
        <v>69</v>
      </c>
      <c r="AS11" s="23" t="s">
        <v>11</v>
      </c>
    </row>
    <row r="12" spans="2:45" s="16" customFormat="1" ht="20.399999999999999" customHeight="1" x14ac:dyDescent="0.25">
      <c r="B12" s="14" t="str">
        <f>IF(G_Personellerim!B2="","",G_Personellerim!B2)</f>
        <v>Özlem Avcıoğlu</v>
      </c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2">
        <f>COUNTIF(C12:AG12,$E$4)</f>
        <v>0</v>
      </c>
      <c r="AJ12" s="22">
        <f>COUNTIF(C12:AG12,$K$4)</f>
        <v>0</v>
      </c>
      <c r="AK12" s="22">
        <f>COUNTIF(C12:AG12,$P$4)</f>
        <v>0</v>
      </c>
      <c r="AL12" s="66">
        <f>COUNTIF(C12:AG12,$E$6)</f>
        <v>0</v>
      </c>
      <c r="AM12" s="66">
        <f>COUNTIF(C12:AG12,$K$6)</f>
        <v>0</v>
      </c>
      <c r="AN12" s="29">
        <f>COUNTIF(C12:AG12,$P$6)</f>
        <v>0</v>
      </c>
      <c r="AO12" s="52">
        <f>COUNTIF(C12:AG12,$AC$6)</f>
        <v>0</v>
      </c>
      <c r="AP12" s="52">
        <f>COUNTIF(C12:AG12,$X$4)</f>
        <v>0</v>
      </c>
      <c r="AQ12" s="52">
        <f>COUNTIF(C12:AG12,$X$6)</f>
        <v>0</v>
      </c>
      <c r="AR12" s="52">
        <f>COUNTIF(C12:AG12,$AC$4)</f>
        <v>0</v>
      </c>
      <c r="AS12" s="24">
        <f>IFERROR(
VLOOKUP(B12,Tablo1[[Ad Soyad]:[Günlük Ücreti]],2,0)*SUMPRODUCT(AI12:AR12,$AI$10:$AR$10),
"")</f>
        <v>0</v>
      </c>
    </row>
    <row r="13" spans="2:45" s="16" customFormat="1" ht="20.399999999999999" customHeight="1" x14ac:dyDescent="0.25">
      <c r="B13" s="14" t="str">
        <f>IF(G_Personellerim!B3="","",G_Personellerim!B3)</f>
        <v>Emel Cennet Gürsoy</v>
      </c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2">
        <f t="shared" ref="AI13:AI76" si="5">COUNTIF(C13:AG13,$E$4)</f>
        <v>0</v>
      </c>
      <c r="AJ13" s="22">
        <f t="shared" ref="AJ13:AJ76" si="6">COUNTIF(C13:AG13,$K$4)</f>
        <v>0</v>
      </c>
      <c r="AK13" s="22">
        <f t="shared" ref="AK13:AK76" si="7">COUNTIF(C13:AG13,$P$4)</f>
        <v>0</v>
      </c>
      <c r="AL13" s="66">
        <f t="shared" ref="AL13:AL76" si="8">COUNTIF(C13:AG13,$E$6)</f>
        <v>0</v>
      </c>
      <c r="AM13" s="66">
        <f t="shared" ref="AM13:AM76" si="9">COUNTIF(C13:AG13,$K$6)</f>
        <v>0</v>
      </c>
      <c r="AN13" s="29">
        <f t="shared" ref="AN13:AN76" si="10">COUNTIF(C13:AG13,$P$6)</f>
        <v>0</v>
      </c>
      <c r="AO13" s="52">
        <f t="shared" ref="AO13:AO76" si="11">COUNTIF(C13:AG13,$AC$6)</f>
        <v>0</v>
      </c>
      <c r="AP13" s="52">
        <f t="shared" ref="AP13:AP76" si="12">COUNTIF(C13:AG13,$X$4)</f>
        <v>0</v>
      </c>
      <c r="AQ13" s="52">
        <f t="shared" ref="AQ13:AQ76" si="13">COUNTIF(C13:AG13,$X$6)</f>
        <v>0</v>
      </c>
      <c r="AR13" s="52">
        <f t="shared" ref="AR13:AR76" si="14">COUNTIF(C13:AG13,$AC$4)</f>
        <v>0</v>
      </c>
      <c r="AS13" s="24">
        <f>IFERROR(
VLOOKUP(B13,Tablo1[[Ad Soyad]:[Günlük Ücreti]],2,0)*SUMPRODUCT(AI13:AR13,$AI$10:$AR$10),
"")</f>
        <v>0</v>
      </c>
    </row>
    <row r="14" spans="2:45" s="16" customFormat="1" ht="20.399999999999999" customHeight="1" x14ac:dyDescent="0.25">
      <c r="B14" s="14" t="str">
        <f>IF(G_Personellerim!B4="","",G_Personellerim!B4)</f>
        <v>Hatice Eylül Yegen Yılmaz</v>
      </c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2">
        <f t="shared" si="5"/>
        <v>0</v>
      </c>
      <c r="AJ14" s="22">
        <f t="shared" si="6"/>
        <v>0</v>
      </c>
      <c r="AK14" s="22">
        <f t="shared" si="7"/>
        <v>0</v>
      </c>
      <c r="AL14" s="66">
        <f t="shared" si="8"/>
        <v>0</v>
      </c>
      <c r="AM14" s="66">
        <f t="shared" si="9"/>
        <v>0</v>
      </c>
      <c r="AN14" s="29">
        <f t="shared" si="10"/>
        <v>0</v>
      </c>
      <c r="AO14" s="52">
        <f t="shared" si="11"/>
        <v>0</v>
      </c>
      <c r="AP14" s="52">
        <f t="shared" si="12"/>
        <v>0</v>
      </c>
      <c r="AQ14" s="52">
        <f t="shared" si="13"/>
        <v>0</v>
      </c>
      <c r="AR14" s="52">
        <f t="shared" si="14"/>
        <v>0</v>
      </c>
      <c r="AS14" s="24">
        <f>IFERROR(
VLOOKUP(B14,Tablo1[[Ad Soyad]:[Günlük Ücreti]],2,0)*SUMPRODUCT(AI14:AR14,$AI$10:$AR$10),
"")</f>
        <v>0</v>
      </c>
    </row>
    <row r="15" spans="2:45" s="16" customFormat="1" ht="20.399999999999999" customHeight="1" x14ac:dyDescent="0.25">
      <c r="B15" s="14" t="str">
        <f>IF(G_Personellerim!B5="","",G_Personellerim!B5)</f>
        <v>Sultan Efe</v>
      </c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2">
        <f t="shared" si="5"/>
        <v>0</v>
      </c>
      <c r="AJ15" s="22">
        <f t="shared" si="6"/>
        <v>0</v>
      </c>
      <c r="AK15" s="22">
        <f t="shared" si="7"/>
        <v>0</v>
      </c>
      <c r="AL15" s="66">
        <f t="shared" si="8"/>
        <v>0</v>
      </c>
      <c r="AM15" s="66">
        <f t="shared" si="9"/>
        <v>0</v>
      </c>
      <c r="AN15" s="29">
        <f t="shared" si="10"/>
        <v>0</v>
      </c>
      <c r="AO15" s="52">
        <f t="shared" si="11"/>
        <v>0</v>
      </c>
      <c r="AP15" s="52">
        <f t="shared" si="12"/>
        <v>0</v>
      </c>
      <c r="AQ15" s="52">
        <f t="shared" si="13"/>
        <v>0</v>
      </c>
      <c r="AR15" s="52">
        <f t="shared" si="14"/>
        <v>0</v>
      </c>
      <c r="AS15" s="24">
        <f>IFERROR(
VLOOKUP(B15,Tablo1[[Ad Soyad]:[Günlük Ücreti]],2,0)*SUMPRODUCT(AI15:AR15,$AI$10:$AR$10),
"")</f>
        <v>0</v>
      </c>
    </row>
    <row r="16" spans="2:45" s="16" customFormat="1" ht="20.399999999999999" customHeight="1" x14ac:dyDescent="0.25">
      <c r="B16" s="14" t="str">
        <f>IF(G_Personellerim!B6="","",G_Personellerim!B6)</f>
        <v>Murat Şen</v>
      </c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2">
        <f t="shared" si="5"/>
        <v>0</v>
      </c>
      <c r="AJ16" s="22">
        <f t="shared" si="6"/>
        <v>0</v>
      </c>
      <c r="AK16" s="22">
        <f t="shared" si="7"/>
        <v>0</v>
      </c>
      <c r="AL16" s="66">
        <f t="shared" si="8"/>
        <v>0</v>
      </c>
      <c r="AM16" s="66">
        <f t="shared" si="9"/>
        <v>0</v>
      </c>
      <c r="AN16" s="29">
        <f t="shared" si="10"/>
        <v>0</v>
      </c>
      <c r="AO16" s="52">
        <f t="shared" si="11"/>
        <v>0</v>
      </c>
      <c r="AP16" s="52">
        <f t="shared" si="12"/>
        <v>0</v>
      </c>
      <c r="AQ16" s="52">
        <f t="shared" si="13"/>
        <v>0</v>
      </c>
      <c r="AR16" s="52">
        <f t="shared" si="14"/>
        <v>0</v>
      </c>
      <c r="AS16" s="24">
        <f>IFERROR(
VLOOKUP(B16,Tablo1[[Ad Soyad]:[Günlük Ücreti]],2,0)*SUMPRODUCT(AI16:AR16,$AI$10:$AR$10),
"")</f>
        <v>0</v>
      </c>
    </row>
    <row r="17" spans="2:45" s="16" customFormat="1" ht="20.399999999999999" customHeight="1" x14ac:dyDescent="0.25">
      <c r="B17" s="14" t="str">
        <f>IF(G_Personellerim!B7="","",G_Personellerim!B7)</f>
        <v/>
      </c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2">
        <f t="shared" si="5"/>
        <v>0</v>
      </c>
      <c r="AJ17" s="22">
        <f t="shared" si="6"/>
        <v>0</v>
      </c>
      <c r="AK17" s="22">
        <f t="shared" si="7"/>
        <v>0</v>
      </c>
      <c r="AL17" s="66">
        <f t="shared" si="8"/>
        <v>0</v>
      </c>
      <c r="AM17" s="66">
        <f t="shared" si="9"/>
        <v>0</v>
      </c>
      <c r="AN17" s="29">
        <f t="shared" si="10"/>
        <v>0</v>
      </c>
      <c r="AO17" s="52">
        <f t="shared" si="11"/>
        <v>0</v>
      </c>
      <c r="AP17" s="52">
        <f t="shared" si="12"/>
        <v>0</v>
      </c>
      <c r="AQ17" s="52">
        <f t="shared" si="13"/>
        <v>0</v>
      </c>
      <c r="AR17" s="52">
        <f t="shared" si="14"/>
        <v>0</v>
      </c>
      <c r="AS17" s="24" t="str">
        <f>IFERROR(
VLOOKUP(B17,Tablo1[[Ad Soyad]:[Günlük Ücreti]],2,0)*SUMPRODUCT(AI17:AR17,$AI$10:$AR$10),
"")</f>
        <v/>
      </c>
    </row>
    <row r="18" spans="2:45" s="16" customFormat="1" ht="20.399999999999999" customHeight="1" x14ac:dyDescent="0.25">
      <c r="B18" s="14" t="str">
        <f>IF(G_Personellerim!B8="","",G_Personellerim!B8)</f>
        <v/>
      </c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2">
        <f t="shared" si="5"/>
        <v>0</v>
      </c>
      <c r="AJ18" s="22">
        <f t="shared" si="6"/>
        <v>0</v>
      </c>
      <c r="AK18" s="22">
        <f t="shared" si="7"/>
        <v>0</v>
      </c>
      <c r="AL18" s="66">
        <f t="shared" si="8"/>
        <v>0</v>
      </c>
      <c r="AM18" s="66">
        <f t="shared" si="9"/>
        <v>0</v>
      </c>
      <c r="AN18" s="29">
        <f t="shared" si="10"/>
        <v>0</v>
      </c>
      <c r="AO18" s="52">
        <f t="shared" si="11"/>
        <v>0</v>
      </c>
      <c r="AP18" s="52">
        <f t="shared" si="12"/>
        <v>0</v>
      </c>
      <c r="AQ18" s="52">
        <f t="shared" si="13"/>
        <v>0</v>
      </c>
      <c r="AR18" s="52">
        <f t="shared" si="14"/>
        <v>0</v>
      </c>
      <c r="AS18" s="24" t="str">
        <f>IFERROR(
VLOOKUP(B18,Tablo1[[Ad Soyad]:[Günlük Ücreti]],2,0)*SUMPRODUCT(AI18:AR18,$AI$10:$AR$10),
"")</f>
        <v/>
      </c>
    </row>
    <row r="19" spans="2:45" s="16" customFormat="1" ht="20.399999999999999" customHeight="1" x14ac:dyDescent="0.25">
      <c r="B19" s="14" t="str">
        <f>IF(G_Personellerim!B9="","",G_Personellerim!B9)</f>
        <v/>
      </c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2">
        <f t="shared" si="5"/>
        <v>0</v>
      </c>
      <c r="AJ19" s="22">
        <f t="shared" si="6"/>
        <v>0</v>
      </c>
      <c r="AK19" s="22">
        <f t="shared" si="7"/>
        <v>0</v>
      </c>
      <c r="AL19" s="66">
        <f t="shared" si="8"/>
        <v>0</v>
      </c>
      <c r="AM19" s="66">
        <f t="shared" si="9"/>
        <v>0</v>
      </c>
      <c r="AN19" s="29">
        <f t="shared" si="10"/>
        <v>0</v>
      </c>
      <c r="AO19" s="52">
        <f t="shared" si="11"/>
        <v>0</v>
      </c>
      <c r="AP19" s="52">
        <f t="shared" si="12"/>
        <v>0</v>
      </c>
      <c r="AQ19" s="52">
        <f t="shared" si="13"/>
        <v>0</v>
      </c>
      <c r="AR19" s="52">
        <f t="shared" si="14"/>
        <v>0</v>
      </c>
      <c r="AS19" s="24" t="str">
        <f>IFERROR(
VLOOKUP(B19,Tablo1[[Ad Soyad]:[Günlük Ücreti]],2,0)*SUMPRODUCT(AI19:AR19,$AI$10:$AR$10),
"")</f>
        <v/>
      </c>
    </row>
    <row r="20" spans="2:45" s="16" customFormat="1" ht="20.399999999999999" customHeight="1" x14ac:dyDescent="0.25">
      <c r="B20" s="14" t="str">
        <f>IF(G_Personellerim!B10="","",G_Personellerim!B10)</f>
        <v/>
      </c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2">
        <f t="shared" si="5"/>
        <v>0</v>
      </c>
      <c r="AJ20" s="22">
        <f t="shared" si="6"/>
        <v>0</v>
      </c>
      <c r="AK20" s="22">
        <f t="shared" si="7"/>
        <v>0</v>
      </c>
      <c r="AL20" s="66">
        <f t="shared" si="8"/>
        <v>0</v>
      </c>
      <c r="AM20" s="66">
        <f t="shared" si="9"/>
        <v>0</v>
      </c>
      <c r="AN20" s="29">
        <f t="shared" si="10"/>
        <v>0</v>
      </c>
      <c r="AO20" s="52">
        <f t="shared" si="11"/>
        <v>0</v>
      </c>
      <c r="AP20" s="52">
        <f t="shared" si="12"/>
        <v>0</v>
      </c>
      <c r="AQ20" s="52">
        <f t="shared" si="13"/>
        <v>0</v>
      </c>
      <c r="AR20" s="52">
        <f t="shared" si="14"/>
        <v>0</v>
      </c>
      <c r="AS20" s="24" t="str">
        <f>IFERROR(
VLOOKUP(B20,Tablo1[[Ad Soyad]:[Günlük Ücreti]],2,0)*SUMPRODUCT(AI20:AR20,$AI$10:$AR$10),
"")</f>
        <v/>
      </c>
    </row>
    <row r="21" spans="2:45" s="16" customFormat="1" ht="20.399999999999999" customHeight="1" x14ac:dyDescent="0.25">
      <c r="B21" s="14" t="str">
        <f>IF(G_Personellerim!B11="","",G_Personellerim!B11)</f>
        <v/>
      </c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2">
        <f t="shared" si="5"/>
        <v>0</v>
      </c>
      <c r="AJ21" s="22">
        <f t="shared" si="6"/>
        <v>0</v>
      </c>
      <c r="AK21" s="22">
        <f t="shared" si="7"/>
        <v>0</v>
      </c>
      <c r="AL21" s="66">
        <f t="shared" si="8"/>
        <v>0</v>
      </c>
      <c r="AM21" s="66">
        <f t="shared" si="9"/>
        <v>0</v>
      </c>
      <c r="AN21" s="29">
        <f t="shared" si="10"/>
        <v>0</v>
      </c>
      <c r="AO21" s="52">
        <f t="shared" si="11"/>
        <v>0</v>
      </c>
      <c r="AP21" s="52">
        <f t="shared" si="12"/>
        <v>0</v>
      </c>
      <c r="AQ21" s="52">
        <f t="shared" si="13"/>
        <v>0</v>
      </c>
      <c r="AR21" s="52">
        <f t="shared" si="14"/>
        <v>0</v>
      </c>
      <c r="AS21" s="24" t="str">
        <f>IFERROR(
VLOOKUP(B21,Tablo1[[Ad Soyad]:[Günlük Ücreti]],2,0)*SUMPRODUCT(AI21:AR21,$AI$10:$AR$10),
"")</f>
        <v/>
      </c>
    </row>
    <row r="22" spans="2:45" s="16" customFormat="1" ht="20.399999999999999" customHeight="1" x14ac:dyDescent="0.25">
      <c r="B22" s="14" t="str">
        <f>IF(G_Personellerim!B12="","",G_Personellerim!B12)</f>
        <v/>
      </c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2">
        <f t="shared" si="5"/>
        <v>0</v>
      </c>
      <c r="AJ22" s="22">
        <f t="shared" si="6"/>
        <v>0</v>
      </c>
      <c r="AK22" s="22">
        <f t="shared" si="7"/>
        <v>0</v>
      </c>
      <c r="AL22" s="66">
        <f t="shared" si="8"/>
        <v>0</v>
      </c>
      <c r="AM22" s="66">
        <f t="shared" si="9"/>
        <v>0</v>
      </c>
      <c r="AN22" s="29">
        <f t="shared" si="10"/>
        <v>0</v>
      </c>
      <c r="AO22" s="52">
        <f t="shared" si="11"/>
        <v>0</v>
      </c>
      <c r="AP22" s="52">
        <f t="shared" si="12"/>
        <v>0</v>
      </c>
      <c r="AQ22" s="52">
        <f t="shared" si="13"/>
        <v>0</v>
      </c>
      <c r="AR22" s="52">
        <f t="shared" si="14"/>
        <v>0</v>
      </c>
      <c r="AS22" s="24" t="str">
        <f>IFERROR(
VLOOKUP(B22,Tablo1[[Ad Soyad]:[Günlük Ücreti]],2,0)*SUMPRODUCT(AI22:AR22,$AI$10:$AR$10),
"")</f>
        <v/>
      </c>
    </row>
    <row r="23" spans="2:45" s="16" customFormat="1" ht="20.399999999999999" customHeight="1" x14ac:dyDescent="0.25">
      <c r="B23" s="14" t="str">
        <f>IF(G_Personellerim!B13="","",G_Personellerim!B13)</f>
        <v/>
      </c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2">
        <f t="shared" si="5"/>
        <v>0</v>
      </c>
      <c r="AJ23" s="22">
        <f t="shared" si="6"/>
        <v>0</v>
      </c>
      <c r="AK23" s="22">
        <f t="shared" si="7"/>
        <v>0</v>
      </c>
      <c r="AL23" s="66">
        <f t="shared" si="8"/>
        <v>0</v>
      </c>
      <c r="AM23" s="66">
        <f t="shared" si="9"/>
        <v>0</v>
      </c>
      <c r="AN23" s="29">
        <f t="shared" si="10"/>
        <v>0</v>
      </c>
      <c r="AO23" s="52">
        <f t="shared" si="11"/>
        <v>0</v>
      </c>
      <c r="AP23" s="52">
        <f t="shared" si="12"/>
        <v>0</v>
      </c>
      <c r="AQ23" s="52">
        <f t="shared" si="13"/>
        <v>0</v>
      </c>
      <c r="AR23" s="52">
        <f t="shared" si="14"/>
        <v>0</v>
      </c>
      <c r="AS23" s="24" t="str">
        <f>IFERROR(
VLOOKUP(B23,Tablo1[[Ad Soyad]:[Günlük Ücreti]],2,0)*SUMPRODUCT(AI23:AR23,$AI$10:$AR$10),
"")</f>
        <v/>
      </c>
    </row>
    <row r="24" spans="2:45" s="16" customFormat="1" ht="20.399999999999999" customHeight="1" x14ac:dyDescent="0.25">
      <c r="B24" s="14" t="str">
        <f>IF(G_Personellerim!B14="","",G_Personellerim!B14)</f>
        <v/>
      </c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2">
        <f t="shared" si="5"/>
        <v>0</v>
      </c>
      <c r="AJ24" s="22">
        <f t="shared" si="6"/>
        <v>0</v>
      </c>
      <c r="AK24" s="22">
        <f t="shared" si="7"/>
        <v>0</v>
      </c>
      <c r="AL24" s="66">
        <f t="shared" si="8"/>
        <v>0</v>
      </c>
      <c r="AM24" s="66">
        <f t="shared" si="9"/>
        <v>0</v>
      </c>
      <c r="AN24" s="29">
        <f t="shared" si="10"/>
        <v>0</v>
      </c>
      <c r="AO24" s="52">
        <f t="shared" si="11"/>
        <v>0</v>
      </c>
      <c r="AP24" s="52">
        <f t="shared" si="12"/>
        <v>0</v>
      </c>
      <c r="AQ24" s="52">
        <f t="shared" si="13"/>
        <v>0</v>
      </c>
      <c r="AR24" s="52">
        <f t="shared" si="14"/>
        <v>0</v>
      </c>
      <c r="AS24" s="24" t="str">
        <f>IFERROR(
VLOOKUP(B24,Tablo1[[Ad Soyad]:[Günlük Ücreti]],2,0)*SUMPRODUCT(AI24:AR24,$AI$10:$AR$10),
"")</f>
        <v/>
      </c>
    </row>
    <row r="25" spans="2:45" s="16" customFormat="1" ht="20.399999999999999" customHeight="1" x14ac:dyDescent="0.25">
      <c r="B25" s="14" t="str">
        <f>IF(G_Personellerim!B15="","",G_Personellerim!B15)</f>
        <v/>
      </c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2">
        <f t="shared" si="5"/>
        <v>0</v>
      </c>
      <c r="AJ25" s="22">
        <f t="shared" si="6"/>
        <v>0</v>
      </c>
      <c r="AK25" s="22">
        <f t="shared" si="7"/>
        <v>0</v>
      </c>
      <c r="AL25" s="66">
        <f t="shared" si="8"/>
        <v>0</v>
      </c>
      <c r="AM25" s="66">
        <f t="shared" si="9"/>
        <v>0</v>
      </c>
      <c r="AN25" s="29">
        <f t="shared" si="10"/>
        <v>0</v>
      </c>
      <c r="AO25" s="52">
        <f t="shared" si="11"/>
        <v>0</v>
      </c>
      <c r="AP25" s="52">
        <f t="shared" si="12"/>
        <v>0</v>
      </c>
      <c r="AQ25" s="52">
        <f t="shared" si="13"/>
        <v>0</v>
      </c>
      <c r="AR25" s="52">
        <f t="shared" si="14"/>
        <v>0</v>
      </c>
      <c r="AS25" s="24" t="str">
        <f>IFERROR(
VLOOKUP(B25,Tablo1[[Ad Soyad]:[Günlük Ücreti]],2,0)*SUMPRODUCT(AI25:AR25,$AI$10:$AR$10),
"")</f>
        <v/>
      </c>
    </row>
    <row r="26" spans="2:45" s="16" customFormat="1" ht="20.399999999999999" customHeight="1" x14ac:dyDescent="0.25">
      <c r="B26" s="14" t="str">
        <f>IF(G_Personellerim!B16="","",G_Personellerim!B16)</f>
        <v/>
      </c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2">
        <f t="shared" si="5"/>
        <v>0</v>
      </c>
      <c r="AJ26" s="22">
        <f t="shared" si="6"/>
        <v>0</v>
      </c>
      <c r="AK26" s="22">
        <f t="shared" si="7"/>
        <v>0</v>
      </c>
      <c r="AL26" s="66">
        <f t="shared" si="8"/>
        <v>0</v>
      </c>
      <c r="AM26" s="66">
        <f t="shared" si="9"/>
        <v>0</v>
      </c>
      <c r="AN26" s="29">
        <f t="shared" si="10"/>
        <v>0</v>
      </c>
      <c r="AO26" s="52">
        <f t="shared" si="11"/>
        <v>0</v>
      </c>
      <c r="AP26" s="52">
        <f t="shared" si="12"/>
        <v>0</v>
      </c>
      <c r="AQ26" s="52">
        <f t="shared" si="13"/>
        <v>0</v>
      </c>
      <c r="AR26" s="52">
        <f t="shared" si="14"/>
        <v>0</v>
      </c>
      <c r="AS26" s="24" t="str">
        <f>IFERROR(
VLOOKUP(B26,Tablo1[[Ad Soyad]:[Günlük Ücreti]],2,0)*SUMPRODUCT(AI26:AR26,$AI$10:$AR$10),
"")</f>
        <v/>
      </c>
    </row>
    <row r="27" spans="2:45" s="16" customFormat="1" ht="20.399999999999999" customHeight="1" x14ac:dyDescent="0.25">
      <c r="B27" s="14" t="str">
        <f>IF(G_Personellerim!B17="","",G_Personellerim!B17)</f>
        <v/>
      </c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2">
        <f t="shared" si="5"/>
        <v>0</v>
      </c>
      <c r="AJ27" s="22">
        <f t="shared" si="6"/>
        <v>0</v>
      </c>
      <c r="AK27" s="22">
        <f t="shared" si="7"/>
        <v>0</v>
      </c>
      <c r="AL27" s="66">
        <f t="shared" si="8"/>
        <v>0</v>
      </c>
      <c r="AM27" s="66">
        <f t="shared" si="9"/>
        <v>0</v>
      </c>
      <c r="AN27" s="29">
        <f t="shared" si="10"/>
        <v>0</v>
      </c>
      <c r="AO27" s="52">
        <f t="shared" si="11"/>
        <v>0</v>
      </c>
      <c r="AP27" s="52">
        <f t="shared" si="12"/>
        <v>0</v>
      </c>
      <c r="AQ27" s="52">
        <f t="shared" si="13"/>
        <v>0</v>
      </c>
      <c r="AR27" s="52">
        <f t="shared" si="14"/>
        <v>0</v>
      </c>
      <c r="AS27" s="24" t="str">
        <f>IFERROR(
VLOOKUP(B27,Tablo1[[Ad Soyad]:[Günlük Ücreti]],2,0)*SUMPRODUCT(AI27:AR27,$AI$10:$AR$10),
"")</f>
        <v/>
      </c>
    </row>
    <row r="28" spans="2:45" s="16" customFormat="1" ht="20.399999999999999" customHeight="1" x14ac:dyDescent="0.25">
      <c r="B28" s="14" t="str">
        <f>IF(G_Personellerim!B18="","",G_Personellerim!B18)</f>
        <v/>
      </c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2">
        <f t="shared" si="5"/>
        <v>0</v>
      </c>
      <c r="AJ28" s="22">
        <f t="shared" si="6"/>
        <v>0</v>
      </c>
      <c r="AK28" s="22">
        <f t="shared" si="7"/>
        <v>0</v>
      </c>
      <c r="AL28" s="66">
        <f t="shared" si="8"/>
        <v>0</v>
      </c>
      <c r="AM28" s="66">
        <f t="shared" si="9"/>
        <v>0</v>
      </c>
      <c r="AN28" s="29">
        <f t="shared" si="10"/>
        <v>0</v>
      </c>
      <c r="AO28" s="52">
        <f t="shared" si="11"/>
        <v>0</v>
      </c>
      <c r="AP28" s="52">
        <f t="shared" si="12"/>
        <v>0</v>
      </c>
      <c r="AQ28" s="52">
        <f t="shared" si="13"/>
        <v>0</v>
      </c>
      <c r="AR28" s="52">
        <f t="shared" si="14"/>
        <v>0</v>
      </c>
      <c r="AS28" s="24" t="str">
        <f>IFERROR(
VLOOKUP(B28,Tablo1[[Ad Soyad]:[Günlük Ücreti]],2,0)*SUMPRODUCT(AI28:AR28,$AI$10:$AR$10),
"")</f>
        <v/>
      </c>
    </row>
    <row r="29" spans="2:45" s="16" customFormat="1" ht="20.399999999999999" customHeight="1" x14ac:dyDescent="0.25">
      <c r="B29" s="14" t="str">
        <f>IF(G_Personellerim!B19="","",G_Personellerim!B19)</f>
        <v/>
      </c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2">
        <f t="shared" si="5"/>
        <v>0</v>
      </c>
      <c r="AJ29" s="22">
        <f t="shared" si="6"/>
        <v>0</v>
      </c>
      <c r="AK29" s="22">
        <f t="shared" si="7"/>
        <v>0</v>
      </c>
      <c r="AL29" s="66">
        <f t="shared" si="8"/>
        <v>0</v>
      </c>
      <c r="AM29" s="66">
        <f t="shared" si="9"/>
        <v>0</v>
      </c>
      <c r="AN29" s="29">
        <f t="shared" si="10"/>
        <v>0</v>
      </c>
      <c r="AO29" s="52">
        <f t="shared" si="11"/>
        <v>0</v>
      </c>
      <c r="AP29" s="52">
        <f t="shared" si="12"/>
        <v>0</v>
      </c>
      <c r="AQ29" s="52">
        <f t="shared" si="13"/>
        <v>0</v>
      </c>
      <c r="AR29" s="52">
        <f t="shared" si="14"/>
        <v>0</v>
      </c>
      <c r="AS29" s="24" t="str">
        <f>IFERROR(
VLOOKUP(B29,Tablo1[[Ad Soyad]:[Günlük Ücreti]],2,0)*SUMPRODUCT(AI29:AR29,$AI$10:$AR$10),
"")</f>
        <v/>
      </c>
    </row>
    <row r="30" spans="2:45" s="16" customFormat="1" ht="20.399999999999999" customHeight="1" x14ac:dyDescent="0.25">
      <c r="B30" s="14" t="str">
        <f>IF(G_Personellerim!B20="","",G_Personellerim!B20)</f>
        <v/>
      </c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2">
        <f t="shared" si="5"/>
        <v>0</v>
      </c>
      <c r="AJ30" s="22">
        <f t="shared" si="6"/>
        <v>0</v>
      </c>
      <c r="AK30" s="22">
        <f t="shared" si="7"/>
        <v>0</v>
      </c>
      <c r="AL30" s="66">
        <f t="shared" si="8"/>
        <v>0</v>
      </c>
      <c r="AM30" s="66">
        <f t="shared" si="9"/>
        <v>0</v>
      </c>
      <c r="AN30" s="29">
        <f t="shared" si="10"/>
        <v>0</v>
      </c>
      <c r="AO30" s="52">
        <f t="shared" si="11"/>
        <v>0</v>
      </c>
      <c r="AP30" s="52">
        <f t="shared" si="12"/>
        <v>0</v>
      </c>
      <c r="AQ30" s="52">
        <f t="shared" si="13"/>
        <v>0</v>
      </c>
      <c r="AR30" s="52">
        <f t="shared" si="14"/>
        <v>0</v>
      </c>
      <c r="AS30" s="24" t="str">
        <f>IFERROR(
VLOOKUP(B30,Tablo1[[Ad Soyad]:[Günlük Ücreti]],2,0)*SUMPRODUCT(AI30:AR30,$AI$10:$AR$10),
"")</f>
        <v/>
      </c>
    </row>
    <row r="31" spans="2:45" s="16" customFormat="1" ht="20.399999999999999" customHeight="1" x14ac:dyDescent="0.25">
      <c r="B31" s="14" t="str">
        <f>IF(G_Personellerim!B21="","",G_Personellerim!B21)</f>
        <v/>
      </c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2">
        <f t="shared" si="5"/>
        <v>0</v>
      </c>
      <c r="AJ31" s="22">
        <f t="shared" si="6"/>
        <v>0</v>
      </c>
      <c r="AK31" s="22">
        <f t="shared" si="7"/>
        <v>0</v>
      </c>
      <c r="AL31" s="66">
        <f t="shared" si="8"/>
        <v>0</v>
      </c>
      <c r="AM31" s="66">
        <f t="shared" si="9"/>
        <v>0</v>
      </c>
      <c r="AN31" s="29">
        <f t="shared" si="10"/>
        <v>0</v>
      </c>
      <c r="AO31" s="52">
        <f t="shared" si="11"/>
        <v>0</v>
      </c>
      <c r="AP31" s="52">
        <f t="shared" si="12"/>
        <v>0</v>
      </c>
      <c r="AQ31" s="52">
        <f t="shared" si="13"/>
        <v>0</v>
      </c>
      <c r="AR31" s="52">
        <f t="shared" si="14"/>
        <v>0</v>
      </c>
      <c r="AS31" s="24" t="str">
        <f>IFERROR(
VLOOKUP(B31,Tablo1[[Ad Soyad]:[Günlük Ücreti]],2,0)*SUMPRODUCT(AI31:AR31,$AI$10:$AR$10),
"")</f>
        <v/>
      </c>
    </row>
    <row r="32" spans="2:45" s="16" customFormat="1" ht="20.399999999999999" customHeight="1" x14ac:dyDescent="0.25">
      <c r="B32" s="14" t="str">
        <f>IF(G_Personellerim!B22="","",G_Personellerim!B22)</f>
        <v/>
      </c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2">
        <f t="shared" si="5"/>
        <v>0</v>
      </c>
      <c r="AJ32" s="22">
        <f t="shared" si="6"/>
        <v>0</v>
      </c>
      <c r="AK32" s="22">
        <f t="shared" si="7"/>
        <v>0</v>
      </c>
      <c r="AL32" s="66">
        <f t="shared" si="8"/>
        <v>0</v>
      </c>
      <c r="AM32" s="66">
        <f t="shared" si="9"/>
        <v>0</v>
      </c>
      <c r="AN32" s="29">
        <f t="shared" si="10"/>
        <v>0</v>
      </c>
      <c r="AO32" s="52">
        <f t="shared" si="11"/>
        <v>0</v>
      </c>
      <c r="AP32" s="52">
        <f t="shared" si="12"/>
        <v>0</v>
      </c>
      <c r="AQ32" s="52">
        <f t="shared" si="13"/>
        <v>0</v>
      </c>
      <c r="AR32" s="52">
        <f t="shared" si="14"/>
        <v>0</v>
      </c>
      <c r="AS32" s="24" t="str">
        <f>IFERROR(
VLOOKUP(B32,Tablo1[[Ad Soyad]:[Günlük Ücreti]],2,0)*SUMPRODUCT(AI32:AR32,$AI$10:$AR$10),
"")</f>
        <v/>
      </c>
    </row>
    <row r="33" spans="2:45" s="16" customFormat="1" ht="20.399999999999999" customHeight="1" x14ac:dyDescent="0.25">
      <c r="B33" s="14" t="str">
        <f>IF(G_Personellerim!B23="","",G_Personellerim!B23)</f>
        <v/>
      </c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2">
        <f t="shared" si="5"/>
        <v>0</v>
      </c>
      <c r="AJ33" s="22">
        <f t="shared" si="6"/>
        <v>0</v>
      </c>
      <c r="AK33" s="22">
        <f t="shared" si="7"/>
        <v>0</v>
      </c>
      <c r="AL33" s="66">
        <f t="shared" si="8"/>
        <v>0</v>
      </c>
      <c r="AM33" s="66">
        <f t="shared" si="9"/>
        <v>0</v>
      </c>
      <c r="AN33" s="29">
        <f t="shared" si="10"/>
        <v>0</v>
      </c>
      <c r="AO33" s="52">
        <f t="shared" si="11"/>
        <v>0</v>
      </c>
      <c r="AP33" s="52">
        <f t="shared" si="12"/>
        <v>0</v>
      </c>
      <c r="AQ33" s="52">
        <f t="shared" si="13"/>
        <v>0</v>
      </c>
      <c r="AR33" s="52">
        <f t="shared" si="14"/>
        <v>0</v>
      </c>
      <c r="AS33" s="24" t="str">
        <f>IFERROR(
VLOOKUP(B33,Tablo1[[Ad Soyad]:[Günlük Ücreti]],2,0)*SUMPRODUCT(AI33:AR33,$AI$10:$AR$10),
"")</f>
        <v/>
      </c>
    </row>
    <row r="34" spans="2:45" s="16" customFormat="1" ht="20.399999999999999" customHeight="1" x14ac:dyDescent="0.25">
      <c r="B34" s="14" t="str">
        <f>IF(G_Personellerim!B24="","",G_Personellerim!B24)</f>
        <v/>
      </c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2">
        <f t="shared" si="5"/>
        <v>0</v>
      </c>
      <c r="AJ34" s="22">
        <f t="shared" si="6"/>
        <v>0</v>
      </c>
      <c r="AK34" s="22">
        <f t="shared" si="7"/>
        <v>0</v>
      </c>
      <c r="AL34" s="66">
        <f t="shared" si="8"/>
        <v>0</v>
      </c>
      <c r="AM34" s="66">
        <f t="shared" si="9"/>
        <v>0</v>
      </c>
      <c r="AN34" s="29">
        <f t="shared" si="10"/>
        <v>0</v>
      </c>
      <c r="AO34" s="52">
        <f t="shared" si="11"/>
        <v>0</v>
      </c>
      <c r="AP34" s="52">
        <f t="shared" si="12"/>
        <v>0</v>
      </c>
      <c r="AQ34" s="52">
        <f t="shared" si="13"/>
        <v>0</v>
      </c>
      <c r="AR34" s="52">
        <f t="shared" si="14"/>
        <v>0</v>
      </c>
      <c r="AS34" s="24" t="str">
        <f>IFERROR(
VLOOKUP(B34,Tablo1[[Ad Soyad]:[Günlük Ücreti]],2,0)*SUMPRODUCT(AI34:AR34,$AI$10:$AR$10),
"")</f>
        <v/>
      </c>
    </row>
    <row r="35" spans="2:45" ht="20.399999999999999" customHeight="1" x14ac:dyDescent="0.25">
      <c r="B35" s="14" t="str">
        <f>IF(G_Personellerim!B103="","",G_Personellerim!B103)</f>
        <v/>
      </c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2">
        <f t="shared" si="5"/>
        <v>0</v>
      </c>
      <c r="AJ35" s="22">
        <f t="shared" si="6"/>
        <v>0</v>
      </c>
      <c r="AK35" s="22">
        <f t="shared" si="7"/>
        <v>0</v>
      </c>
      <c r="AL35" s="66">
        <f t="shared" si="8"/>
        <v>0</v>
      </c>
      <c r="AM35" s="66">
        <f t="shared" si="9"/>
        <v>0</v>
      </c>
      <c r="AN35" s="29">
        <f t="shared" si="10"/>
        <v>0</v>
      </c>
      <c r="AO35" s="52">
        <f t="shared" si="11"/>
        <v>0</v>
      </c>
      <c r="AP35" s="52">
        <f t="shared" si="12"/>
        <v>0</v>
      </c>
      <c r="AQ35" s="52">
        <f t="shared" si="13"/>
        <v>0</v>
      </c>
      <c r="AR35" s="52">
        <f t="shared" si="14"/>
        <v>0</v>
      </c>
      <c r="AS35" s="24" t="str">
        <f>IFERROR(
VLOOKUP(B35,Tablo1[[Ad Soyad]:[Günlük Ücreti]],2,0)*SUMPRODUCT(AI35:AR35,$AI$10:$AR$10),
"")</f>
        <v/>
      </c>
    </row>
    <row r="36" spans="2:45" ht="20.399999999999999" customHeight="1" x14ac:dyDescent="0.25">
      <c r="B36" s="14" t="str">
        <f>IF(G_Personellerim!B104="","",G_Personellerim!B104)</f>
        <v/>
      </c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2">
        <f t="shared" si="5"/>
        <v>0</v>
      </c>
      <c r="AJ36" s="22">
        <f t="shared" si="6"/>
        <v>0</v>
      </c>
      <c r="AK36" s="22">
        <f t="shared" si="7"/>
        <v>0</v>
      </c>
      <c r="AL36" s="66">
        <f t="shared" si="8"/>
        <v>0</v>
      </c>
      <c r="AM36" s="66">
        <f t="shared" si="9"/>
        <v>0</v>
      </c>
      <c r="AN36" s="29">
        <f t="shared" si="10"/>
        <v>0</v>
      </c>
      <c r="AO36" s="52">
        <f t="shared" si="11"/>
        <v>0</v>
      </c>
      <c r="AP36" s="52">
        <f t="shared" si="12"/>
        <v>0</v>
      </c>
      <c r="AQ36" s="52">
        <f t="shared" si="13"/>
        <v>0</v>
      </c>
      <c r="AR36" s="52">
        <f t="shared" si="14"/>
        <v>0</v>
      </c>
      <c r="AS36" s="24" t="str">
        <f>IFERROR(
VLOOKUP(B36,Tablo1[[Ad Soyad]:[Günlük Ücreti]],2,0)*SUMPRODUCT(AI36:AR36,$AI$10:$AR$10),
"")</f>
        <v/>
      </c>
    </row>
    <row r="37" spans="2:45" ht="20.399999999999999" customHeight="1" x14ac:dyDescent="0.25">
      <c r="B37" s="14" t="str">
        <f>IF(G_Personellerim!B105="","",G_Personellerim!B105)</f>
        <v/>
      </c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2">
        <f t="shared" si="5"/>
        <v>0</v>
      </c>
      <c r="AJ37" s="22">
        <f t="shared" si="6"/>
        <v>0</v>
      </c>
      <c r="AK37" s="22">
        <f t="shared" si="7"/>
        <v>0</v>
      </c>
      <c r="AL37" s="66">
        <f t="shared" si="8"/>
        <v>0</v>
      </c>
      <c r="AM37" s="66">
        <f t="shared" si="9"/>
        <v>0</v>
      </c>
      <c r="AN37" s="29">
        <f t="shared" si="10"/>
        <v>0</v>
      </c>
      <c r="AO37" s="52">
        <f t="shared" si="11"/>
        <v>0</v>
      </c>
      <c r="AP37" s="52">
        <f t="shared" si="12"/>
        <v>0</v>
      </c>
      <c r="AQ37" s="52">
        <f t="shared" si="13"/>
        <v>0</v>
      </c>
      <c r="AR37" s="52">
        <f t="shared" si="14"/>
        <v>0</v>
      </c>
      <c r="AS37" s="24" t="str">
        <f>IFERROR(
VLOOKUP(B37,Tablo1[[Ad Soyad]:[Günlük Ücreti]],2,0)*SUMPRODUCT(AI37:AR37,$AI$10:$AR$10),
"")</f>
        <v/>
      </c>
    </row>
    <row r="38" spans="2:45" ht="20.399999999999999" customHeight="1" x14ac:dyDescent="0.25">
      <c r="B38" s="14" t="str">
        <f>IF(G_Personellerim!B106="","",G_Personellerim!B106)</f>
        <v/>
      </c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2">
        <f t="shared" si="5"/>
        <v>0</v>
      </c>
      <c r="AJ38" s="22">
        <f t="shared" si="6"/>
        <v>0</v>
      </c>
      <c r="AK38" s="22">
        <f t="shared" si="7"/>
        <v>0</v>
      </c>
      <c r="AL38" s="66">
        <f t="shared" si="8"/>
        <v>0</v>
      </c>
      <c r="AM38" s="66">
        <f t="shared" si="9"/>
        <v>0</v>
      </c>
      <c r="AN38" s="29">
        <f t="shared" si="10"/>
        <v>0</v>
      </c>
      <c r="AO38" s="52">
        <f t="shared" si="11"/>
        <v>0</v>
      </c>
      <c r="AP38" s="52">
        <f t="shared" si="12"/>
        <v>0</v>
      </c>
      <c r="AQ38" s="52">
        <f t="shared" si="13"/>
        <v>0</v>
      </c>
      <c r="AR38" s="52">
        <f t="shared" si="14"/>
        <v>0</v>
      </c>
      <c r="AS38" s="24" t="str">
        <f>IFERROR(
VLOOKUP(B38,Tablo1[[Ad Soyad]:[Günlük Ücreti]],2,0)*SUMPRODUCT(AI38:AR38,$AI$10:$AR$10),
"")</f>
        <v/>
      </c>
    </row>
    <row r="39" spans="2:45" ht="20.399999999999999" customHeight="1" x14ac:dyDescent="0.25">
      <c r="B39" s="14" t="str">
        <f>IF(G_Personellerim!B107="","",G_Personellerim!B107)</f>
        <v/>
      </c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2">
        <f t="shared" si="5"/>
        <v>0</v>
      </c>
      <c r="AJ39" s="22">
        <f t="shared" si="6"/>
        <v>0</v>
      </c>
      <c r="AK39" s="22">
        <f t="shared" si="7"/>
        <v>0</v>
      </c>
      <c r="AL39" s="66">
        <f t="shared" si="8"/>
        <v>0</v>
      </c>
      <c r="AM39" s="66">
        <f t="shared" si="9"/>
        <v>0</v>
      </c>
      <c r="AN39" s="29">
        <f t="shared" si="10"/>
        <v>0</v>
      </c>
      <c r="AO39" s="52">
        <f t="shared" si="11"/>
        <v>0</v>
      </c>
      <c r="AP39" s="52">
        <f t="shared" si="12"/>
        <v>0</v>
      </c>
      <c r="AQ39" s="52">
        <f t="shared" si="13"/>
        <v>0</v>
      </c>
      <c r="AR39" s="52">
        <f t="shared" si="14"/>
        <v>0</v>
      </c>
      <c r="AS39" s="24" t="str">
        <f>IFERROR(
VLOOKUP(B39,Tablo1[[Ad Soyad]:[Günlük Ücreti]],2,0)*SUMPRODUCT(AI39:AR39,$AI$10:$AR$10),
"")</f>
        <v/>
      </c>
    </row>
    <row r="40" spans="2:45" ht="20.399999999999999" customHeight="1" x14ac:dyDescent="0.25">
      <c r="B40" s="14" t="str">
        <f>IF(G_Personellerim!B108="","",G_Personellerim!B108)</f>
        <v/>
      </c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2">
        <f t="shared" si="5"/>
        <v>0</v>
      </c>
      <c r="AJ40" s="22">
        <f t="shared" si="6"/>
        <v>0</v>
      </c>
      <c r="AK40" s="22">
        <f t="shared" si="7"/>
        <v>0</v>
      </c>
      <c r="AL40" s="66">
        <f t="shared" si="8"/>
        <v>0</v>
      </c>
      <c r="AM40" s="66">
        <f t="shared" si="9"/>
        <v>0</v>
      </c>
      <c r="AN40" s="29">
        <f t="shared" si="10"/>
        <v>0</v>
      </c>
      <c r="AO40" s="52">
        <f t="shared" si="11"/>
        <v>0</v>
      </c>
      <c r="AP40" s="52">
        <f t="shared" si="12"/>
        <v>0</v>
      </c>
      <c r="AQ40" s="52">
        <f t="shared" si="13"/>
        <v>0</v>
      </c>
      <c r="AR40" s="52">
        <f t="shared" si="14"/>
        <v>0</v>
      </c>
      <c r="AS40" s="24" t="str">
        <f>IFERROR(
VLOOKUP(B40,Tablo1[[Ad Soyad]:[Günlük Ücreti]],2,0)*SUMPRODUCT(AI40:AR40,$AI$10:$AR$10),
"")</f>
        <v/>
      </c>
    </row>
    <row r="41" spans="2:45" ht="20.399999999999999" customHeight="1" x14ac:dyDescent="0.25">
      <c r="B41" s="14" t="str">
        <f>IF(G_Personellerim!B109="","",G_Personellerim!B109)</f>
        <v/>
      </c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2">
        <f t="shared" si="5"/>
        <v>0</v>
      </c>
      <c r="AJ41" s="22">
        <f t="shared" si="6"/>
        <v>0</v>
      </c>
      <c r="AK41" s="22">
        <f t="shared" si="7"/>
        <v>0</v>
      </c>
      <c r="AL41" s="66">
        <f t="shared" si="8"/>
        <v>0</v>
      </c>
      <c r="AM41" s="66">
        <f t="shared" si="9"/>
        <v>0</v>
      </c>
      <c r="AN41" s="29">
        <f t="shared" si="10"/>
        <v>0</v>
      </c>
      <c r="AO41" s="52">
        <f t="shared" si="11"/>
        <v>0</v>
      </c>
      <c r="AP41" s="52">
        <f t="shared" si="12"/>
        <v>0</v>
      </c>
      <c r="AQ41" s="52">
        <f t="shared" si="13"/>
        <v>0</v>
      </c>
      <c r="AR41" s="52">
        <f t="shared" si="14"/>
        <v>0</v>
      </c>
      <c r="AS41" s="24" t="str">
        <f>IFERROR(
VLOOKUP(B41,Tablo1[[Ad Soyad]:[Günlük Ücreti]],2,0)*SUMPRODUCT(AI41:AR41,$AI$10:$AR$10),
"")</f>
        <v/>
      </c>
    </row>
    <row r="42" spans="2:45" ht="20.399999999999999" customHeight="1" x14ac:dyDescent="0.25">
      <c r="B42" s="14" t="str">
        <f>IF(G_Personellerim!B110="","",G_Personellerim!B110)</f>
        <v/>
      </c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2">
        <f t="shared" si="5"/>
        <v>0</v>
      </c>
      <c r="AJ42" s="22">
        <f t="shared" si="6"/>
        <v>0</v>
      </c>
      <c r="AK42" s="22">
        <f t="shared" si="7"/>
        <v>0</v>
      </c>
      <c r="AL42" s="66">
        <f t="shared" si="8"/>
        <v>0</v>
      </c>
      <c r="AM42" s="66">
        <f t="shared" si="9"/>
        <v>0</v>
      </c>
      <c r="AN42" s="29">
        <f t="shared" si="10"/>
        <v>0</v>
      </c>
      <c r="AO42" s="52">
        <f t="shared" si="11"/>
        <v>0</v>
      </c>
      <c r="AP42" s="52">
        <f t="shared" si="12"/>
        <v>0</v>
      </c>
      <c r="AQ42" s="52">
        <f t="shared" si="13"/>
        <v>0</v>
      </c>
      <c r="AR42" s="52">
        <f t="shared" si="14"/>
        <v>0</v>
      </c>
      <c r="AS42" s="24" t="str">
        <f>IFERROR(
VLOOKUP(B42,Tablo1[[Ad Soyad]:[Günlük Ücreti]],2,0)*SUMPRODUCT(AI42:AR42,$AI$10:$AR$10),
"")</f>
        <v/>
      </c>
    </row>
    <row r="43" spans="2:45" ht="20.399999999999999" customHeight="1" x14ac:dyDescent="0.25">
      <c r="B43" s="14" t="str">
        <f>IF(G_Personellerim!B111="","",G_Personellerim!B111)</f>
        <v/>
      </c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2">
        <f t="shared" si="5"/>
        <v>0</v>
      </c>
      <c r="AJ43" s="22">
        <f t="shared" si="6"/>
        <v>0</v>
      </c>
      <c r="AK43" s="22">
        <f t="shared" si="7"/>
        <v>0</v>
      </c>
      <c r="AL43" s="66">
        <f t="shared" si="8"/>
        <v>0</v>
      </c>
      <c r="AM43" s="66">
        <f t="shared" si="9"/>
        <v>0</v>
      </c>
      <c r="AN43" s="29">
        <f t="shared" si="10"/>
        <v>0</v>
      </c>
      <c r="AO43" s="52">
        <f t="shared" si="11"/>
        <v>0</v>
      </c>
      <c r="AP43" s="52">
        <f t="shared" si="12"/>
        <v>0</v>
      </c>
      <c r="AQ43" s="52">
        <f t="shared" si="13"/>
        <v>0</v>
      </c>
      <c r="AR43" s="52">
        <f t="shared" si="14"/>
        <v>0</v>
      </c>
      <c r="AS43" s="24" t="str">
        <f>IFERROR(
VLOOKUP(B43,Tablo1[[Ad Soyad]:[Günlük Ücreti]],2,0)*SUMPRODUCT(AI43:AR43,$AI$10:$AR$10),
"")</f>
        <v/>
      </c>
    </row>
    <row r="44" spans="2:45" ht="20.399999999999999" customHeight="1" x14ac:dyDescent="0.25">
      <c r="B44" s="14" t="str">
        <f>IF(G_Personellerim!B112="","",G_Personellerim!B112)</f>
        <v/>
      </c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2">
        <f t="shared" si="5"/>
        <v>0</v>
      </c>
      <c r="AJ44" s="22">
        <f t="shared" si="6"/>
        <v>0</v>
      </c>
      <c r="AK44" s="22">
        <f t="shared" si="7"/>
        <v>0</v>
      </c>
      <c r="AL44" s="66">
        <f t="shared" si="8"/>
        <v>0</v>
      </c>
      <c r="AM44" s="66">
        <f t="shared" si="9"/>
        <v>0</v>
      </c>
      <c r="AN44" s="29">
        <f t="shared" si="10"/>
        <v>0</v>
      </c>
      <c r="AO44" s="52">
        <f t="shared" si="11"/>
        <v>0</v>
      </c>
      <c r="AP44" s="52">
        <f t="shared" si="12"/>
        <v>0</v>
      </c>
      <c r="AQ44" s="52">
        <f t="shared" si="13"/>
        <v>0</v>
      </c>
      <c r="AR44" s="52">
        <f t="shared" si="14"/>
        <v>0</v>
      </c>
      <c r="AS44" s="24" t="str">
        <f>IFERROR(
VLOOKUP(B44,Tablo1[[Ad Soyad]:[Günlük Ücreti]],2,0)*SUMPRODUCT(AI44:AR44,$AI$10:$AR$10),
"")</f>
        <v/>
      </c>
    </row>
    <row r="45" spans="2:45" ht="20.399999999999999" customHeight="1" x14ac:dyDescent="0.25">
      <c r="B45" s="14" t="str">
        <f>IF(G_Personellerim!B113="","",G_Personellerim!B113)</f>
        <v/>
      </c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2">
        <f t="shared" si="5"/>
        <v>0</v>
      </c>
      <c r="AJ45" s="22">
        <f t="shared" si="6"/>
        <v>0</v>
      </c>
      <c r="AK45" s="22">
        <f t="shared" si="7"/>
        <v>0</v>
      </c>
      <c r="AL45" s="66">
        <f t="shared" si="8"/>
        <v>0</v>
      </c>
      <c r="AM45" s="66">
        <f t="shared" si="9"/>
        <v>0</v>
      </c>
      <c r="AN45" s="29">
        <f t="shared" si="10"/>
        <v>0</v>
      </c>
      <c r="AO45" s="52">
        <f t="shared" si="11"/>
        <v>0</v>
      </c>
      <c r="AP45" s="52">
        <f t="shared" si="12"/>
        <v>0</v>
      </c>
      <c r="AQ45" s="52">
        <f t="shared" si="13"/>
        <v>0</v>
      </c>
      <c r="AR45" s="52">
        <f t="shared" si="14"/>
        <v>0</v>
      </c>
      <c r="AS45" s="24" t="str">
        <f>IFERROR(
VLOOKUP(B45,Tablo1[[Ad Soyad]:[Günlük Ücreti]],2,0)*SUMPRODUCT(AI45:AR45,$AI$10:$AR$10),
"")</f>
        <v/>
      </c>
    </row>
    <row r="46" spans="2:45" ht="20.399999999999999" customHeight="1" x14ac:dyDescent="0.25">
      <c r="B46" s="14" t="str">
        <f>IF(G_Personellerim!B114="","",G_Personellerim!B114)</f>
        <v/>
      </c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2">
        <f t="shared" si="5"/>
        <v>0</v>
      </c>
      <c r="AJ46" s="22">
        <f t="shared" si="6"/>
        <v>0</v>
      </c>
      <c r="AK46" s="22">
        <f t="shared" si="7"/>
        <v>0</v>
      </c>
      <c r="AL46" s="66">
        <f t="shared" si="8"/>
        <v>0</v>
      </c>
      <c r="AM46" s="66">
        <f t="shared" si="9"/>
        <v>0</v>
      </c>
      <c r="AN46" s="29">
        <f t="shared" si="10"/>
        <v>0</v>
      </c>
      <c r="AO46" s="52">
        <f t="shared" si="11"/>
        <v>0</v>
      </c>
      <c r="AP46" s="52">
        <f t="shared" si="12"/>
        <v>0</v>
      </c>
      <c r="AQ46" s="52">
        <f t="shared" si="13"/>
        <v>0</v>
      </c>
      <c r="AR46" s="52">
        <f t="shared" si="14"/>
        <v>0</v>
      </c>
      <c r="AS46" s="24" t="str">
        <f>IFERROR(
VLOOKUP(B46,Tablo1[[Ad Soyad]:[Günlük Ücreti]],2,0)*SUMPRODUCT(AI46:AR46,$AI$10:$AR$10),
"")</f>
        <v/>
      </c>
    </row>
    <row r="47" spans="2:45" ht="20.399999999999999" customHeight="1" x14ac:dyDescent="0.25">
      <c r="B47" s="14" t="str">
        <f>IF(G_Personellerim!B115="","",G_Personellerim!B115)</f>
        <v/>
      </c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2">
        <f t="shared" si="5"/>
        <v>0</v>
      </c>
      <c r="AJ47" s="22">
        <f t="shared" si="6"/>
        <v>0</v>
      </c>
      <c r="AK47" s="22">
        <f t="shared" si="7"/>
        <v>0</v>
      </c>
      <c r="AL47" s="66">
        <f t="shared" si="8"/>
        <v>0</v>
      </c>
      <c r="AM47" s="66">
        <f t="shared" si="9"/>
        <v>0</v>
      </c>
      <c r="AN47" s="29">
        <f t="shared" si="10"/>
        <v>0</v>
      </c>
      <c r="AO47" s="52">
        <f t="shared" si="11"/>
        <v>0</v>
      </c>
      <c r="AP47" s="52">
        <f t="shared" si="12"/>
        <v>0</v>
      </c>
      <c r="AQ47" s="52">
        <f t="shared" si="13"/>
        <v>0</v>
      </c>
      <c r="AR47" s="52">
        <f t="shared" si="14"/>
        <v>0</v>
      </c>
      <c r="AS47" s="24" t="str">
        <f>IFERROR(
VLOOKUP(B47,Tablo1[[Ad Soyad]:[Günlük Ücreti]],2,0)*SUMPRODUCT(AI47:AR47,$AI$10:$AR$10),
"")</f>
        <v/>
      </c>
    </row>
    <row r="48" spans="2:45" ht="20.399999999999999" customHeight="1" x14ac:dyDescent="0.25">
      <c r="B48" s="14" t="str">
        <f>IF(G_Personellerim!B116="","",G_Personellerim!B116)</f>
        <v/>
      </c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2">
        <f t="shared" si="5"/>
        <v>0</v>
      </c>
      <c r="AJ48" s="22">
        <f t="shared" si="6"/>
        <v>0</v>
      </c>
      <c r="AK48" s="22">
        <f t="shared" si="7"/>
        <v>0</v>
      </c>
      <c r="AL48" s="66">
        <f t="shared" si="8"/>
        <v>0</v>
      </c>
      <c r="AM48" s="66">
        <f t="shared" si="9"/>
        <v>0</v>
      </c>
      <c r="AN48" s="29">
        <f t="shared" si="10"/>
        <v>0</v>
      </c>
      <c r="AO48" s="52">
        <f t="shared" si="11"/>
        <v>0</v>
      </c>
      <c r="AP48" s="52">
        <f t="shared" si="12"/>
        <v>0</v>
      </c>
      <c r="AQ48" s="52">
        <f t="shared" si="13"/>
        <v>0</v>
      </c>
      <c r="AR48" s="52">
        <f t="shared" si="14"/>
        <v>0</v>
      </c>
      <c r="AS48" s="24" t="str">
        <f>IFERROR(
VLOOKUP(B48,Tablo1[[Ad Soyad]:[Günlük Ücreti]],2,0)*SUMPRODUCT(AI48:AR48,$AI$10:$AR$10),
"")</f>
        <v/>
      </c>
    </row>
    <row r="49" spans="2:45" ht="20.399999999999999" customHeight="1" x14ac:dyDescent="0.25">
      <c r="B49" s="14" t="str">
        <f>IF(G_Personellerim!B117="","",G_Personellerim!B117)</f>
        <v/>
      </c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2">
        <f t="shared" si="5"/>
        <v>0</v>
      </c>
      <c r="AJ49" s="22">
        <f t="shared" si="6"/>
        <v>0</v>
      </c>
      <c r="AK49" s="22">
        <f t="shared" si="7"/>
        <v>0</v>
      </c>
      <c r="AL49" s="66">
        <f t="shared" si="8"/>
        <v>0</v>
      </c>
      <c r="AM49" s="66">
        <f t="shared" si="9"/>
        <v>0</v>
      </c>
      <c r="AN49" s="29">
        <f t="shared" si="10"/>
        <v>0</v>
      </c>
      <c r="AO49" s="52">
        <f t="shared" si="11"/>
        <v>0</v>
      </c>
      <c r="AP49" s="52">
        <f t="shared" si="12"/>
        <v>0</v>
      </c>
      <c r="AQ49" s="52">
        <f t="shared" si="13"/>
        <v>0</v>
      </c>
      <c r="AR49" s="52">
        <f t="shared" si="14"/>
        <v>0</v>
      </c>
      <c r="AS49" s="24" t="str">
        <f>IFERROR(
VLOOKUP(B49,Tablo1[[Ad Soyad]:[Günlük Ücreti]],2,0)*SUMPRODUCT(AI49:AR49,$AI$10:$AR$10),
"")</f>
        <v/>
      </c>
    </row>
    <row r="50" spans="2:45" ht="20.399999999999999" customHeight="1" x14ac:dyDescent="0.25">
      <c r="B50" s="14" t="str">
        <f>IF(G_Personellerim!B118="","",G_Personellerim!B118)</f>
        <v/>
      </c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2">
        <f t="shared" si="5"/>
        <v>0</v>
      </c>
      <c r="AJ50" s="22">
        <f t="shared" si="6"/>
        <v>0</v>
      </c>
      <c r="AK50" s="22">
        <f t="shared" si="7"/>
        <v>0</v>
      </c>
      <c r="AL50" s="66">
        <f t="shared" si="8"/>
        <v>0</v>
      </c>
      <c r="AM50" s="66">
        <f t="shared" si="9"/>
        <v>0</v>
      </c>
      <c r="AN50" s="29">
        <f t="shared" si="10"/>
        <v>0</v>
      </c>
      <c r="AO50" s="52">
        <f t="shared" si="11"/>
        <v>0</v>
      </c>
      <c r="AP50" s="52">
        <f t="shared" si="12"/>
        <v>0</v>
      </c>
      <c r="AQ50" s="52">
        <f t="shared" si="13"/>
        <v>0</v>
      </c>
      <c r="AR50" s="52">
        <f t="shared" si="14"/>
        <v>0</v>
      </c>
      <c r="AS50" s="24" t="str">
        <f>IFERROR(
VLOOKUP(B50,Tablo1[[Ad Soyad]:[Günlük Ücreti]],2,0)*SUMPRODUCT(AI50:AR50,$AI$10:$AR$10),
"")</f>
        <v/>
      </c>
    </row>
    <row r="51" spans="2:45" ht="20.399999999999999" customHeight="1" x14ac:dyDescent="0.25">
      <c r="B51" s="14" t="str">
        <f>IF(G_Personellerim!B119="","",G_Personellerim!B119)</f>
        <v/>
      </c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2">
        <f t="shared" si="5"/>
        <v>0</v>
      </c>
      <c r="AJ51" s="22">
        <f t="shared" si="6"/>
        <v>0</v>
      </c>
      <c r="AK51" s="22">
        <f t="shared" si="7"/>
        <v>0</v>
      </c>
      <c r="AL51" s="66">
        <f t="shared" si="8"/>
        <v>0</v>
      </c>
      <c r="AM51" s="66">
        <f t="shared" si="9"/>
        <v>0</v>
      </c>
      <c r="AN51" s="29">
        <f t="shared" si="10"/>
        <v>0</v>
      </c>
      <c r="AO51" s="52">
        <f t="shared" si="11"/>
        <v>0</v>
      </c>
      <c r="AP51" s="52">
        <f t="shared" si="12"/>
        <v>0</v>
      </c>
      <c r="AQ51" s="52">
        <f t="shared" si="13"/>
        <v>0</v>
      </c>
      <c r="AR51" s="52">
        <f t="shared" si="14"/>
        <v>0</v>
      </c>
      <c r="AS51" s="24" t="str">
        <f>IFERROR(
VLOOKUP(B51,Tablo1[[Ad Soyad]:[Günlük Ücreti]],2,0)*SUMPRODUCT(AI51:AR51,$AI$10:$AR$10),
"")</f>
        <v/>
      </c>
    </row>
    <row r="52" spans="2:45" ht="20.399999999999999" customHeight="1" x14ac:dyDescent="0.25">
      <c r="B52" s="14" t="str">
        <f>IF(G_Personellerim!B120="","",G_Personellerim!B120)</f>
        <v/>
      </c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2">
        <f t="shared" si="5"/>
        <v>0</v>
      </c>
      <c r="AJ52" s="22">
        <f t="shared" si="6"/>
        <v>0</v>
      </c>
      <c r="AK52" s="22">
        <f t="shared" si="7"/>
        <v>0</v>
      </c>
      <c r="AL52" s="66">
        <f t="shared" si="8"/>
        <v>0</v>
      </c>
      <c r="AM52" s="66">
        <f t="shared" si="9"/>
        <v>0</v>
      </c>
      <c r="AN52" s="29">
        <f t="shared" si="10"/>
        <v>0</v>
      </c>
      <c r="AO52" s="52">
        <f t="shared" si="11"/>
        <v>0</v>
      </c>
      <c r="AP52" s="52">
        <f t="shared" si="12"/>
        <v>0</v>
      </c>
      <c r="AQ52" s="52">
        <f t="shared" si="13"/>
        <v>0</v>
      </c>
      <c r="AR52" s="52">
        <f t="shared" si="14"/>
        <v>0</v>
      </c>
      <c r="AS52" s="24" t="str">
        <f>IFERROR(
VLOOKUP(B52,Tablo1[[Ad Soyad]:[Günlük Ücreti]],2,0)*SUMPRODUCT(AI52:AR52,$AI$10:$AR$10),
"")</f>
        <v/>
      </c>
    </row>
    <row r="53" spans="2:45" ht="20.399999999999999" customHeight="1" x14ac:dyDescent="0.25">
      <c r="B53" s="14" t="str">
        <f>IF(G_Personellerim!B121="","",G_Personellerim!B121)</f>
        <v/>
      </c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2">
        <f t="shared" si="5"/>
        <v>0</v>
      </c>
      <c r="AJ53" s="22">
        <f t="shared" si="6"/>
        <v>0</v>
      </c>
      <c r="AK53" s="22">
        <f t="shared" si="7"/>
        <v>0</v>
      </c>
      <c r="AL53" s="66">
        <f t="shared" si="8"/>
        <v>0</v>
      </c>
      <c r="AM53" s="66">
        <f t="shared" si="9"/>
        <v>0</v>
      </c>
      <c r="AN53" s="29">
        <f t="shared" si="10"/>
        <v>0</v>
      </c>
      <c r="AO53" s="52">
        <f t="shared" si="11"/>
        <v>0</v>
      </c>
      <c r="AP53" s="52">
        <f t="shared" si="12"/>
        <v>0</v>
      </c>
      <c r="AQ53" s="52">
        <f t="shared" si="13"/>
        <v>0</v>
      </c>
      <c r="AR53" s="52">
        <f t="shared" si="14"/>
        <v>0</v>
      </c>
      <c r="AS53" s="24" t="str">
        <f>IFERROR(
VLOOKUP(B53,Tablo1[[Ad Soyad]:[Günlük Ücreti]],2,0)*SUMPRODUCT(AI53:AR53,$AI$10:$AR$10),
"")</f>
        <v/>
      </c>
    </row>
    <row r="54" spans="2:45" ht="20.399999999999999" customHeight="1" x14ac:dyDescent="0.25">
      <c r="B54" s="14" t="str">
        <f>IF(G_Personellerim!B122="","",G_Personellerim!B122)</f>
        <v/>
      </c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2">
        <f t="shared" si="5"/>
        <v>0</v>
      </c>
      <c r="AJ54" s="22">
        <f t="shared" si="6"/>
        <v>0</v>
      </c>
      <c r="AK54" s="22">
        <f t="shared" si="7"/>
        <v>0</v>
      </c>
      <c r="AL54" s="66">
        <f t="shared" si="8"/>
        <v>0</v>
      </c>
      <c r="AM54" s="66">
        <f t="shared" si="9"/>
        <v>0</v>
      </c>
      <c r="AN54" s="29">
        <f t="shared" si="10"/>
        <v>0</v>
      </c>
      <c r="AO54" s="52">
        <f t="shared" si="11"/>
        <v>0</v>
      </c>
      <c r="AP54" s="52">
        <f t="shared" si="12"/>
        <v>0</v>
      </c>
      <c r="AQ54" s="52">
        <f t="shared" si="13"/>
        <v>0</v>
      </c>
      <c r="AR54" s="52">
        <f t="shared" si="14"/>
        <v>0</v>
      </c>
      <c r="AS54" s="24" t="str">
        <f>IFERROR(
VLOOKUP(B54,Tablo1[[Ad Soyad]:[Günlük Ücreti]],2,0)*SUMPRODUCT(AI54:AR54,$AI$10:$AR$10),
"")</f>
        <v/>
      </c>
    </row>
    <row r="55" spans="2:45" ht="20.399999999999999" customHeight="1" x14ac:dyDescent="0.25">
      <c r="B55" s="14" t="str">
        <f>IF(G_Personellerim!B123="","",G_Personellerim!B123)</f>
        <v/>
      </c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2">
        <f t="shared" si="5"/>
        <v>0</v>
      </c>
      <c r="AJ55" s="22">
        <f t="shared" si="6"/>
        <v>0</v>
      </c>
      <c r="AK55" s="22">
        <f t="shared" si="7"/>
        <v>0</v>
      </c>
      <c r="AL55" s="66">
        <f t="shared" si="8"/>
        <v>0</v>
      </c>
      <c r="AM55" s="66">
        <f t="shared" si="9"/>
        <v>0</v>
      </c>
      <c r="AN55" s="29">
        <f t="shared" si="10"/>
        <v>0</v>
      </c>
      <c r="AO55" s="52">
        <f t="shared" si="11"/>
        <v>0</v>
      </c>
      <c r="AP55" s="52">
        <f t="shared" si="12"/>
        <v>0</v>
      </c>
      <c r="AQ55" s="52">
        <f t="shared" si="13"/>
        <v>0</v>
      </c>
      <c r="AR55" s="52">
        <f t="shared" si="14"/>
        <v>0</v>
      </c>
      <c r="AS55" s="24" t="str">
        <f>IFERROR(
VLOOKUP(B55,Tablo1[[Ad Soyad]:[Günlük Ücreti]],2,0)*SUMPRODUCT(AI55:AR55,$AI$10:$AR$10),
"")</f>
        <v/>
      </c>
    </row>
    <row r="56" spans="2:45" ht="20.399999999999999" customHeight="1" x14ac:dyDescent="0.25">
      <c r="B56" s="14" t="str">
        <f>IF(G_Personellerim!B124="","",G_Personellerim!B124)</f>
        <v/>
      </c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2">
        <f t="shared" si="5"/>
        <v>0</v>
      </c>
      <c r="AJ56" s="22">
        <f t="shared" si="6"/>
        <v>0</v>
      </c>
      <c r="AK56" s="22">
        <f t="shared" si="7"/>
        <v>0</v>
      </c>
      <c r="AL56" s="66">
        <f t="shared" si="8"/>
        <v>0</v>
      </c>
      <c r="AM56" s="66">
        <f t="shared" si="9"/>
        <v>0</v>
      </c>
      <c r="AN56" s="29">
        <f t="shared" si="10"/>
        <v>0</v>
      </c>
      <c r="AO56" s="52">
        <f t="shared" si="11"/>
        <v>0</v>
      </c>
      <c r="AP56" s="52">
        <f t="shared" si="12"/>
        <v>0</v>
      </c>
      <c r="AQ56" s="52">
        <f t="shared" si="13"/>
        <v>0</v>
      </c>
      <c r="AR56" s="52">
        <f t="shared" si="14"/>
        <v>0</v>
      </c>
      <c r="AS56" s="24" t="str">
        <f>IFERROR(
VLOOKUP(B56,Tablo1[[Ad Soyad]:[Günlük Ücreti]],2,0)*SUMPRODUCT(AI56:AR56,$AI$10:$AR$10),
"")</f>
        <v/>
      </c>
    </row>
    <row r="57" spans="2:45" ht="20.399999999999999" customHeight="1" x14ac:dyDescent="0.25">
      <c r="B57" s="14" t="str">
        <f>IF(G_Personellerim!B125="","",G_Personellerim!B125)</f>
        <v/>
      </c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2">
        <f t="shared" si="5"/>
        <v>0</v>
      </c>
      <c r="AJ57" s="22">
        <f t="shared" si="6"/>
        <v>0</v>
      </c>
      <c r="AK57" s="22">
        <f t="shared" si="7"/>
        <v>0</v>
      </c>
      <c r="AL57" s="66">
        <f t="shared" si="8"/>
        <v>0</v>
      </c>
      <c r="AM57" s="66">
        <f t="shared" si="9"/>
        <v>0</v>
      </c>
      <c r="AN57" s="29">
        <f t="shared" si="10"/>
        <v>0</v>
      </c>
      <c r="AO57" s="52">
        <f t="shared" si="11"/>
        <v>0</v>
      </c>
      <c r="AP57" s="52">
        <f t="shared" si="12"/>
        <v>0</v>
      </c>
      <c r="AQ57" s="52">
        <f t="shared" si="13"/>
        <v>0</v>
      </c>
      <c r="AR57" s="52">
        <f t="shared" si="14"/>
        <v>0</v>
      </c>
      <c r="AS57" s="24" t="str">
        <f>IFERROR(
VLOOKUP(B57,Tablo1[[Ad Soyad]:[Günlük Ücreti]],2,0)*SUMPRODUCT(AI57:AR57,$AI$10:$AR$10),
"")</f>
        <v/>
      </c>
    </row>
    <row r="58" spans="2:45" ht="20.399999999999999" customHeight="1" x14ac:dyDescent="0.25">
      <c r="B58" s="14" t="str">
        <f>IF(G_Personellerim!B126="","",G_Personellerim!B126)</f>
        <v/>
      </c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2">
        <f t="shared" si="5"/>
        <v>0</v>
      </c>
      <c r="AJ58" s="22">
        <f t="shared" si="6"/>
        <v>0</v>
      </c>
      <c r="AK58" s="22">
        <f t="shared" si="7"/>
        <v>0</v>
      </c>
      <c r="AL58" s="66">
        <f t="shared" si="8"/>
        <v>0</v>
      </c>
      <c r="AM58" s="66">
        <f t="shared" si="9"/>
        <v>0</v>
      </c>
      <c r="AN58" s="29">
        <f t="shared" si="10"/>
        <v>0</v>
      </c>
      <c r="AO58" s="52">
        <f t="shared" si="11"/>
        <v>0</v>
      </c>
      <c r="AP58" s="52">
        <f t="shared" si="12"/>
        <v>0</v>
      </c>
      <c r="AQ58" s="52">
        <f t="shared" si="13"/>
        <v>0</v>
      </c>
      <c r="AR58" s="52">
        <f t="shared" si="14"/>
        <v>0</v>
      </c>
      <c r="AS58" s="24" t="str">
        <f>IFERROR(
VLOOKUP(B58,Tablo1[[Ad Soyad]:[Günlük Ücreti]],2,0)*SUMPRODUCT(AI58:AR58,$AI$10:$AR$10),
"")</f>
        <v/>
      </c>
    </row>
    <row r="59" spans="2:45" ht="20.399999999999999" customHeight="1" x14ac:dyDescent="0.25">
      <c r="B59" s="14" t="str">
        <f>IF(G_Personellerim!B127="","",G_Personellerim!B127)</f>
        <v/>
      </c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2">
        <f t="shared" si="5"/>
        <v>0</v>
      </c>
      <c r="AJ59" s="22">
        <f t="shared" si="6"/>
        <v>0</v>
      </c>
      <c r="AK59" s="22">
        <f t="shared" si="7"/>
        <v>0</v>
      </c>
      <c r="AL59" s="66">
        <f t="shared" si="8"/>
        <v>0</v>
      </c>
      <c r="AM59" s="66">
        <f t="shared" si="9"/>
        <v>0</v>
      </c>
      <c r="AN59" s="29">
        <f t="shared" si="10"/>
        <v>0</v>
      </c>
      <c r="AO59" s="52">
        <f t="shared" si="11"/>
        <v>0</v>
      </c>
      <c r="AP59" s="52">
        <f t="shared" si="12"/>
        <v>0</v>
      </c>
      <c r="AQ59" s="52">
        <f t="shared" si="13"/>
        <v>0</v>
      </c>
      <c r="AR59" s="52">
        <f t="shared" si="14"/>
        <v>0</v>
      </c>
      <c r="AS59" s="24" t="str">
        <f>IFERROR(
VLOOKUP(B59,Tablo1[[Ad Soyad]:[Günlük Ücreti]],2,0)*SUMPRODUCT(AI59:AR59,$AI$10:$AR$10),
"")</f>
        <v/>
      </c>
    </row>
    <row r="60" spans="2:45" ht="20.399999999999999" customHeight="1" x14ac:dyDescent="0.25">
      <c r="B60" s="14" t="str">
        <f>IF(G_Personellerim!B128="","",G_Personellerim!B128)</f>
        <v/>
      </c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2">
        <f t="shared" si="5"/>
        <v>0</v>
      </c>
      <c r="AJ60" s="22">
        <f t="shared" si="6"/>
        <v>0</v>
      </c>
      <c r="AK60" s="22">
        <f t="shared" si="7"/>
        <v>0</v>
      </c>
      <c r="AL60" s="66">
        <f t="shared" si="8"/>
        <v>0</v>
      </c>
      <c r="AM60" s="66">
        <f t="shared" si="9"/>
        <v>0</v>
      </c>
      <c r="AN60" s="29">
        <f t="shared" si="10"/>
        <v>0</v>
      </c>
      <c r="AO60" s="52">
        <f t="shared" si="11"/>
        <v>0</v>
      </c>
      <c r="AP60" s="52">
        <f t="shared" si="12"/>
        <v>0</v>
      </c>
      <c r="AQ60" s="52">
        <f t="shared" si="13"/>
        <v>0</v>
      </c>
      <c r="AR60" s="52">
        <f t="shared" si="14"/>
        <v>0</v>
      </c>
      <c r="AS60" s="24" t="str">
        <f>IFERROR(
VLOOKUP(B60,Tablo1[[Ad Soyad]:[Günlük Ücreti]],2,0)*SUMPRODUCT(AI60:AR60,$AI$10:$AR$10),
"")</f>
        <v/>
      </c>
    </row>
    <row r="61" spans="2:45" ht="20.399999999999999" customHeight="1" x14ac:dyDescent="0.25">
      <c r="B61" s="14" t="str">
        <f>IF(G_Personellerim!B129="","",G_Personellerim!B129)</f>
        <v/>
      </c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2">
        <f t="shared" si="5"/>
        <v>0</v>
      </c>
      <c r="AJ61" s="22">
        <f t="shared" si="6"/>
        <v>0</v>
      </c>
      <c r="AK61" s="22">
        <f t="shared" si="7"/>
        <v>0</v>
      </c>
      <c r="AL61" s="66">
        <f t="shared" si="8"/>
        <v>0</v>
      </c>
      <c r="AM61" s="66">
        <f t="shared" si="9"/>
        <v>0</v>
      </c>
      <c r="AN61" s="29">
        <f t="shared" si="10"/>
        <v>0</v>
      </c>
      <c r="AO61" s="52">
        <f t="shared" si="11"/>
        <v>0</v>
      </c>
      <c r="AP61" s="52">
        <f t="shared" si="12"/>
        <v>0</v>
      </c>
      <c r="AQ61" s="52">
        <f t="shared" si="13"/>
        <v>0</v>
      </c>
      <c r="AR61" s="52">
        <f t="shared" si="14"/>
        <v>0</v>
      </c>
      <c r="AS61" s="24" t="str">
        <f>IFERROR(
VLOOKUP(B61,Tablo1[[Ad Soyad]:[Günlük Ücreti]],2,0)*SUMPRODUCT(AI61:AR61,$AI$10:$AR$10),
"")</f>
        <v/>
      </c>
    </row>
    <row r="62" spans="2:45" ht="20.399999999999999" customHeight="1" x14ac:dyDescent="0.25">
      <c r="B62" s="14" t="str">
        <f>IF(G_Personellerim!B130="","",G_Personellerim!B130)</f>
        <v/>
      </c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2">
        <f t="shared" si="5"/>
        <v>0</v>
      </c>
      <c r="AJ62" s="22">
        <f t="shared" si="6"/>
        <v>0</v>
      </c>
      <c r="AK62" s="22">
        <f t="shared" si="7"/>
        <v>0</v>
      </c>
      <c r="AL62" s="66">
        <f t="shared" si="8"/>
        <v>0</v>
      </c>
      <c r="AM62" s="66">
        <f t="shared" si="9"/>
        <v>0</v>
      </c>
      <c r="AN62" s="29">
        <f t="shared" si="10"/>
        <v>0</v>
      </c>
      <c r="AO62" s="52">
        <f t="shared" si="11"/>
        <v>0</v>
      </c>
      <c r="AP62" s="52">
        <f t="shared" si="12"/>
        <v>0</v>
      </c>
      <c r="AQ62" s="52">
        <f t="shared" si="13"/>
        <v>0</v>
      </c>
      <c r="AR62" s="52">
        <f t="shared" si="14"/>
        <v>0</v>
      </c>
      <c r="AS62" s="24" t="str">
        <f>IFERROR(
VLOOKUP(B62,Tablo1[[Ad Soyad]:[Günlük Ücreti]],2,0)*SUMPRODUCT(AI62:AR62,$AI$10:$AR$10),
"")</f>
        <v/>
      </c>
    </row>
    <row r="63" spans="2:45" ht="20.399999999999999" customHeight="1" x14ac:dyDescent="0.25">
      <c r="B63" s="14" t="str">
        <f>IF(G_Personellerim!B131="","",G_Personellerim!B131)</f>
        <v/>
      </c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2">
        <f t="shared" si="5"/>
        <v>0</v>
      </c>
      <c r="AJ63" s="22">
        <f t="shared" si="6"/>
        <v>0</v>
      </c>
      <c r="AK63" s="22">
        <f t="shared" si="7"/>
        <v>0</v>
      </c>
      <c r="AL63" s="66">
        <f t="shared" si="8"/>
        <v>0</v>
      </c>
      <c r="AM63" s="66">
        <f t="shared" si="9"/>
        <v>0</v>
      </c>
      <c r="AN63" s="29">
        <f t="shared" si="10"/>
        <v>0</v>
      </c>
      <c r="AO63" s="52">
        <f t="shared" si="11"/>
        <v>0</v>
      </c>
      <c r="AP63" s="52">
        <f t="shared" si="12"/>
        <v>0</v>
      </c>
      <c r="AQ63" s="52">
        <f t="shared" si="13"/>
        <v>0</v>
      </c>
      <c r="AR63" s="52">
        <f t="shared" si="14"/>
        <v>0</v>
      </c>
      <c r="AS63" s="24" t="str">
        <f>IFERROR(
VLOOKUP(B63,Tablo1[[Ad Soyad]:[Günlük Ücreti]],2,0)*SUMPRODUCT(AI63:AR63,$AI$10:$AR$10),
"")</f>
        <v/>
      </c>
    </row>
    <row r="64" spans="2:45" ht="20.399999999999999" customHeight="1" x14ac:dyDescent="0.25">
      <c r="B64" s="14" t="str">
        <f>IF(G_Personellerim!B132="","",G_Personellerim!B132)</f>
        <v/>
      </c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2">
        <f t="shared" si="5"/>
        <v>0</v>
      </c>
      <c r="AJ64" s="22">
        <f t="shared" si="6"/>
        <v>0</v>
      </c>
      <c r="AK64" s="22">
        <f t="shared" si="7"/>
        <v>0</v>
      </c>
      <c r="AL64" s="66">
        <f t="shared" si="8"/>
        <v>0</v>
      </c>
      <c r="AM64" s="66">
        <f t="shared" si="9"/>
        <v>0</v>
      </c>
      <c r="AN64" s="29">
        <f t="shared" si="10"/>
        <v>0</v>
      </c>
      <c r="AO64" s="52">
        <f t="shared" si="11"/>
        <v>0</v>
      </c>
      <c r="AP64" s="52">
        <f t="shared" si="12"/>
        <v>0</v>
      </c>
      <c r="AQ64" s="52">
        <f t="shared" si="13"/>
        <v>0</v>
      </c>
      <c r="AR64" s="52">
        <f t="shared" si="14"/>
        <v>0</v>
      </c>
      <c r="AS64" s="24" t="str">
        <f>IFERROR(
VLOOKUP(B64,Tablo1[[Ad Soyad]:[Günlük Ücreti]],2,0)*SUMPRODUCT(AI64:AR64,$AI$10:$AR$10),
"")</f>
        <v/>
      </c>
    </row>
    <row r="65" spans="2:45" ht="20.399999999999999" customHeight="1" x14ac:dyDescent="0.25">
      <c r="B65" s="14" t="str">
        <f>IF(G_Personellerim!B133="","",G_Personellerim!B133)</f>
        <v/>
      </c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2">
        <f t="shared" si="5"/>
        <v>0</v>
      </c>
      <c r="AJ65" s="22">
        <f t="shared" si="6"/>
        <v>0</v>
      </c>
      <c r="AK65" s="22">
        <f t="shared" si="7"/>
        <v>0</v>
      </c>
      <c r="AL65" s="66">
        <f t="shared" si="8"/>
        <v>0</v>
      </c>
      <c r="AM65" s="66">
        <f t="shared" si="9"/>
        <v>0</v>
      </c>
      <c r="AN65" s="29">
        <f t="shared" si="10"/>
        <v>0</v>
      </c>
      <c r="AO65" s="52">
        <f t="shared" si="11"/>
        <v>0</v>
      </c>
      <c r="AP65" s="52">
        <f t="shared" si="12"/>
        <v>0</v>
      </c>
      <c r="AQ65" s="52">
        <f t="shared" si="13"/>
        <v>0</v>
      </c>
      <c r="AR65" s="52">
        <f t="shared" si="14"/>
        <v>0</v>
      </c>
      <c r="AS65" s="24" t="str">
        <f>IFERROR(
VLOOKUP(B65,Tablo1[[Ad Soyad]:[Günlük Ücreti]],2,0)*SUMPRODUCT(AI65:AR65,$AI$10:$AR$10),
"")</f>
        <v/>
      </c>
    </row>
    <row r="66" spans="2:45" ht="20.399999999999999" customHeight="1" x14ac:dyDescent="0.25">
      <c r="B66" s="14" t="str">
        <f>IF(G_Personellerim!B134="","",G_Personellerim!B134)</f>
        <v/>
      </c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2">
        <f t="shared" si="5"/>
        <v>0</v>
      </c>
      <c r="AJ66" s="22">
        <f t="shared" si="6"/>
        <v>0</v>
      </c>
      <c r="AK66" s="22">
        <f t="shared" si="7"/>
        <v>0</v>
      </c>
      <c r="AL66" s="66">
        <f t="shared" si="8"/>
        <v>0</v>
      </c>
      <c r="AM66" s="66">
        <f t="shared" si="9"/>
        <v>0</v>
      </c>
      <c r="AN66" s="29">
        <f t="shared" si="10"/>
        <v>0</v>
      </c>
      <c r="AO66" s="52">
        <f t="shared" si="11"/>
        <v>0</v>
      </c>
      <c r="AP66" s="52">
        <f t="shared" si="12"/>
        <v>0</v>
      </c>
      <c r="AQ66" s="52">
        <f t="shared" si="13"/>
        <v>0</v>
      </c>
      <c r="AR66" s="52">
        <f t="shared" si="14"/>
        <v>0</v>
      </c>
      <c r="AS66" s="24" t="str">
        <f>IFERROR(
VLOOKUP(B66,Tablo1[[Ad Soyad]:[Günlük Ücreti]],2,0)*SUMPRODUCT(AI66:AR66,$AI$10:$AR$10),
"")</f>
        <v/>
      </c>
    </row>
    <row r="67" spans="2:45" ht="20.399999999999999" customHeight="1" x14ac:dyDescent="0.25">
      <c r="B67" s="14" t="str">
        <f>IF(G_Personellerim!B135="","",G_Personellerim!B135)</f>
        <v/>
      </c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2">
        <f t="shared" si="5"/>
        <v>0</v>
      </c>
      <c r="AJ67" s="22">
        <f t="shared" si="6"/>
        <v>0</v>
      </c>
      <c r="AK67" s="22">
        <f t="shared" si="7"/>
        <v>0</v>
      </c>
      <c r="AL67" s="66">
        <f t="shared" si="8"/>
        <v>0</v>
      </c>
      <c r="AM67" s="66">
        <f t="shared" si="9"/>
        <v>0</v>
      </c>
      <c r="AN67" s="29">
        <f t="shared" si="10"/>
        <v>0</v>
      </c>
      <c r="AO67" s="52">
        <f t="shared" si="11"/>
        <v>0</v>
      </c>
      <c r="AP67" s="52">
        <f t="shared" si="12"/>
        <v>0</v>
      </c>
      <c r="AQ67" s="52">
        <f t="shared" si="13"/>
        <v>0</v>
      </c>
      <c r="AR67" s="52">
        <f t="shared" si="14"/>
        <v>0</v>
      </c>
      <c r="AS67" s="24" t="str">
        <f>IFERROR(
VLOOKUP(B67,Tablo1[[Ad Soyad]:[Günlük Ücreti]],2,0)*SUMPRODUCT(AI67:AR67,$AI$10:$AR$10),
"")</f>
        <v/>
      </c>
    </row>
    <row r="68" spans="2:45" ht="20.399999999999999" customHeight="1" x14ac:dyDescent="0.25">
      <c r="B68" s="14" t="str">
        <f>IF(G_Personellerim!B136="","",G_Personellerim!B136)</f>
        <v/>
      </c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2">
        <f t="shared" si="5"/>
        <v>0</v>
      </c>
      <c r="AJ68" s="22">
        <f t="shared" si="6"/>
        <v>0</v>
      </c>
      <c r="AK68" s="22">
        <f t="shared" si="7"/>
        <v>0</v>
      </c>
      <c r="AL68" s="66">
        <f t="shared" si="8"/>
        <v>0</v>
      </c>
      <c r="AM68" s="66">
        <f t="shared" si="9"/>
        <v>0</v>
      </c>
      <c r="AN68" s="29">
        <f t="shared" si="10"/>
        <v>0</v>
      </c>
      <c r="AO68" s="52">
        <f t="shared" si="11"/>
        <v>0</v>
      </c>
      <c r="AP68" s="52">
        <f t="shared" si="12"/>
        <v>0</v>
      </c>
      <c r="AQ68" s="52">
        <f t="shared" si="13"/>
        <v>0</v>
      </c>
      <c r="AR68" s="52">
        <f t="shared" si="14"/>
        <v>0</v>
      </c>
      <c r="AS68" s="24" t="str">
        <f>IFERROR(
VLOOKUP(B68,Tablo1[[Ad Soyad]:[Günlük Ücreti]],2,0)*SUMPRODUCT(AI68:AR68,$AI$10:$AR$10),
"")</f>
        <v/>
      </c>
    </row>
    <row r="69" spans="2:45" ht="20.399999999999999" customHeight="1" x14ac:dyDescent="0.25">
      <c r="B69" s="14" t="str">
        <f>IF(G_Personellerim!B137="","",G_Personellerim!B137)</f>
        <v/>
      </c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2">
        <f t="shared" si="5"/>
        <v>0</v>
      </c>
      <c r="AJ69" s="22">
        <f t="shared" si="6"/>
        <v>0</v>
      </c>
      <c r="AK69" s="22">
        <f t="shared" si="7"/>
        <v>0</v>
      </c>
      <c r="AL69" s="66">
        <f t="shared" si="8"/>
        <v>0</v>
      </c>
      <c r="AM69" s="66">
        <f t="shared" si="9"/>
        <v>0</v>
      </c>
      <c r="AN69" s="29">
        <f t="shared" si="10"/>
        <v>0</v>
      </c>
      <c r="AO69" s="52">
        <f t="shared" si="11"/>
        <v>0</v>
      </c>
      <c r="AP69" s="52">
        <f t="shared" si="12"/>
        <v>0</v>
      </c>
      <c r="AQ69" s="52">
        <f t="shared" si="13"/>
        <v>0</v>
      </c>
      <c r="AR69" s="52">
        <f t="shared" si="14"/>
        <v>0</v>
      </c>
      <c r="AS69" s="24" t="str">
        <f>IFERROR(
VLOOKUP(B69,Tablo1[[Ad Soyad]:[Günlük Ücreti]],2,0)*SUMPRODUCT(AI69:AR69,$AI$10:$AR$10),
"")</f>
        <v/>
      </c>
    </row>
    <row r="70" spans="2:45" ht="20.399999999999999" customHeight="1" x14ac:dyDescent="0.25">
      <c r="B70" s="14" t="str">
        <f>IF(G_Personellerim!B138="","",G_Personellerim!B138)</f>
        <v/>
      </c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2">
        <f t="shared" si="5"/>
        <v>0</v>
      </c>
      <c r="AJ70" s="22">
        <f t="shared" si="6"/>
        <v>0</v>
      </c>
      <c r="AK70" s="22">
        <f t="shared" si="7"/>
        <v>0</v>
      </c>
      <c r="AL70" s="66">
        <f t="shared" si="8"/>
        <v>0</v>
      </c>
      <c r="AM70" s="66">
        <f t="shared" si="9"/>
        <v>0</v>
      </c>
      <c r="AN70" s="29">
        <f t="shared" si="10"/>
        <v>0</v>
      </c>
      <c r="AO70" s="52">
        <f t="shared" si="11"/>
        <v>0</v>
      </c>
      <c r="AP70" s="52">
        <f t="shared" si="12"/>
        <v>0</v>
      </c>
      <c r="AQ70" s="52">
        <f t="shared" si="13"/>
        <v>0</v>
      </c>
      <c r="AR70" s="52">
        <f t="shared" si="14"/>
        <v>0</v>
      </c>
      <c r="AS70" s="24" t="str">
        <f>IFERROR(
VLOOKUP(B70,Tablo1[[Ad Soyad]:[Günlük Ücreti]],2,0)*SUMPRODUCT(AI70:AR70,$AI$10:$AR$10),
"")</f>
        <v/>
      </c>
    </row>
    <row r="71" spans="2:45" ht="20.399999999999999" customHeight="1" x14ac:dyDescent="0.25">
      <c r="B71" s="14" t="str">
        <f>IF(G_Personellerim!B139="","",G_Personellerim!B139)</f>
        <v/>
      </c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  <c r="AG71" s="25"/>
      <c r="AH71" s="25"/>
      <c r="AI71" s="22">
        <f t="shared" si="5"/>
        <v>0</v>
      </c>
      <c r="AJ71" s="22">
        <f t="shared" si="6"/>
        <v>0</v>
      </c>
      <c r="AK71" s="22">
        <f t="shared" si="7"/>
        <v>0</v>
      </c>
      <c r="AL71" s="66">
        <f t="shared" si="8"/>
        <v>0</v>
      </c>
      <c r="AM71" s="66">
        <f t="shared" si="9"/>
        <v>0</v>
      </c>
      <c r="AN71" s="29">
        <f t="shared" si="10"/>
        <v>0</v>
      </c>
      <c r="AO71" s="52">
        <f t="shared" si="11"/>
        <v>0</v>
      </c>
      <c r="AP71" s="52">
        <f t="shared" si="12"/>
        <v>0</v>
      </c>
      <c r="AQ71" s="52">
        <f t="shared" si="13"/>
        <v>0</v>
      </c>
      <c r="AR71" s="52">
        <f t="shared" si="14"/>
        <v>0</v>
      </c>
      <c r="AS71" s="24" t="str">
        <f>IFERROR(
VLOOKUP(B71,Tablo1[[Ad Soyad]:[Günlük Ücreti]],2,0)*SUMPRODUCT(AI71:AR71,$AI$10:$AR$10),
"")</f>
        <v/>
      </c>
    </row>
    <row r="72" spans="2:45" ht="20.399999999999999" customHeight="1" x14ac:dyDescent="0.25">
      <c r="B72" s="14" t="str">
        <f>IF(G_Personellerim!B140="","",G_Personellerim!B140)</f>
        <v/>
      </c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  <c r="AI72" s="22">
        <f t="shared" si="5"/>
        <v>0</v>
      </c>
      <c r="AJ72" s="22">
        <f t="shared" si="6"/>
        <v>0</v>
      </c>
      <c r="AK72" s="22">
        <f t="shared" si="7"/>
        <v>0</v>
      </c>
      <c r="AL72" s="66">
        <f t="shared" si="8"/>
        <v>0</v>
      </c>
      <c r="AM72" s="66">
        <f t="shared" si="9"/>
        <v>0</v>
      </c>
      <c r="AN72" s="29">
        <f t="shared" si="10"/>
        <v>0</v>
      </c>
      <c r="AO72" s="52">
        <f t="shared" si="11"/>
        <v>0</v>
      </c>
      <c r="AP72" s="52">
        <f t="shared" si="12"/>
        <v>0</v>
      </c>
      <c r="AQ72" s="52">
        <f t="shared" si="13"/>
        <v>0</v>
      </c>
      <c r="AR72" s="52">
        <f t="shared" si="14"/>
        <v>0</v>
      </c>
      <c r="AS72" s="24" t="str">
        <f>IFERROR(
VLOOKUP(B72,Tablo1[[Ad Soyad]:[Günlük Ücreti]],2,0)*SUMPRODUCT(AI72:AR72,$AI$10:$AR$10),
"")</f>
        <v/>
      </c>
    </row>
    <row r="73" spans="2:45" ht="20.399999999999999" customHeight="1" x14ac:dyDescent="0.25">
      <c r="B73" s="14" t="str">
        <f>IF(G_Personellerim!B141="","",G_Personellerim!B141)</f>
        <v/>
      </c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  <c r="AG73" s="25"/>
      <c r="AH73" s="25"/>
      <c r="AI73" s="22">
        <f t="shared" si="5"/>
        <v>0</v>
      </c>
      <c r="AJ73" s="22">
        <f t="shared" si="6"/>
        <v>0</v>
      </c>
      <c r="AK73" s="22">
        <f t="shared" si="7"/>
        <v>0</v>
      </c>
      <c r="AL73" s="66">
        <f t="shared" si="8"/>
        <v>0</v>
      </c>
      <c r="AM73" s="66">
        <f t="shared" si="9"/>
        <v>0</v>
      </c>
      <c r="AN73" s="29">
        <f t="shared" si="10"/>
        <v>0</v>
      </c>
      <c r="AO73" s="52">
        <f t="shared" si="11"/>
        <v>0</v>
      </c>
      <c r="AP73" s="52">
        <f t="shared" si="12"/>
        <v>0</v>
      </c>
      <c r="AQ73" s="52">
        <f t="shared" si="13"/>
        <v>0</v>
      </c>
      <c r="AR73" s="52">
        <f t="shared" si="14"/>
        <v>0</v>
      </c>
      <c r="AS73" s="24" t="str">
        <f>IFERROR(
VLOOKUP(B73,Tablo1[[Ad Soyad]:[Günlük Ücreti]],2,0)*SUMPRODUCT(AI73:AR73,$AI$10:$AR$10),
"")</f>
        <v/>
      </c>
    </row>
    <row r="74" spans="2:45" ht="20.399999999999999" customHeight="1" x14ac:dyDescent="0.25">
      <c r="B74" s="14" t="str">
        <f>IF(G_Personellerim!B142="","",G_Personellerim!B142)</f>
        <v/>
      </c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  <c r="AI74" s="22">
        <f t="shared" si="5"/>
        <v>0</v>
      </c>
      <c r="AJ74" s="22">
        <f t="shared" si="6"/>
        <v>0</v>
      </c>
      <c r="AK74" s="22">
        <f t="shared" si="7"/>
        <v>0</v>
      </c>
      <c r="AL74" s="66">
        <f t="shared" si="8"/>
        <v>0</v>
      </c>
      <c r="AM74" s="66">
        <f t="shared" si="9"/>
        <v>0</v>
      </c>
      <c r="AN74" s="29">
        <f t="shared" si="10"/>
        <v>0</v>
      </c>
      <c r="AO74" s="52">
        <f t="shared" si="11"/>
        <v>0</v>
      </c>
      <c r="AP74" s="52">
        <f t="shared" si="12"/>
        <v>0</v>
      </c>
      <c r="AQ74" s="52">
        <f t="shared" si="13"/>
        <v>0</v>
      </c>
      <c r="AR74" s="52">
        <f t="shared" si="14"/>
        <v>0</v>
      </c>
      <c r="AS74" s="24" t="str">
        <f>IFERROR(
VLOOKUP(B74,Tablo1[[Ad Soyad]:[Günlük Ücreti]],2,0)*SUMPRODUCT(AI74:AR74,$AI$10:$AR$10),
"")</f>
        <v/>
      </c>
    </row>
    <row r="75" spans="2:45" ht="20.399999999999999" customHeight="1" x14ac:dyDescent="0.25">
      <c r="B75" s="14" t="str">
        <f>IF(G_Personellerim!B143="","",G_Personellerim!B143)</f>
        <v/>
      </c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22">
        <f t="shared" si="5"/>
        <v>0</v>
      </c>
      <c r="AJ75" s="22">
        <f t="shared" si="6"/>
        <v>0</v>
      </c>
      <c r="AK75" s="22">
        <f t="shared" si="7"/>
        <v>0</v>
      </c>
      <c r="AL75" s="66">
        <f t="shared" si="8"/>
        <v>0</v>
      </c>
      <c r="AM75" s="66">
        <f t="shared" si="9"/>
        <v>0</v>
      </c>
      <c r="AN75" s="29">
        <f t="shared" si="10"/>
        <v>0</v>
      </c>
      <c r="AO75" s="52">
        <f t="shared" si="11"/>
        <v>0</v>
      </c>
      <c r="AP75" s="52">
        <f t="shared" si="12"/>
        <v>0</v>
      </c>
      <c r="AQ75" s="52">
        <f t="shared" si="13"/>
        <v>0</v>
      </c>
      <c r="AR75" s="52">
        <f t="shared" si="14"/>
        <v>0</v>
      </c>
      <c r="AS75" s="24" t="str">
        <f>IFERROR(
VLOOKUP(B75,Tablo1[[Ad Soyad]:[Günlük Ücreti]],2,0)*SUMPRODUCT(AI75:AR75,$AI$10:$AR$10),
"")</f>
        <v/>
      </c>
    </row>
    <row r="76" spans="2:45" ht="20.399999999999999" customHeight="1" x14ac:dyDescent="0.25">
      <c r="B76" s="14" t="str">
        <f>IF(G_Personellerim!B144="","",G_Personellerim!B144)</f>
        <v/>
      </c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25"/>
      <c r="AI76" s="22">
        <f t="shared" si="5"/>
        <v>0</v>
      </c>
      <c r="AJ76" s="22">
        <f t="shared" si="6"/>
        <v>0</v>
      </c>
      <c r="AK76" s="22">
        <f t="shared" si="7"/>
        <v>0</v>
      </c>
      <c r="AL76" s="66">
        <f t="shared" si="8"/>
        <v>0</v>
      </c>
      <c r="AM76" s="66">
        <f t="shared" si="9"/>
        <v>0</v>
      </c>
      <c r="AN76" s="29">
        <f t="shared" si="10"/>
        <v>0</v>
      </c>
      <c r="AO76" s="52">
        <f t="shared" si="11"/>
        <v>0</v>
      </c>
      <c r="AP76" s="52">
        <f t="shared" si="12"/>
        <v>0</v>
      </c>
      <c r="AQ76" s="52">
        <f t="shared" si="13"/>
        <v>0</v>
      </c>
      <c r="AR76" s="52">
        <f t="shared" si="14"/>
        <v>0</v>
      </c>
      <c r="AS76" s="24" t="str">
        <f>IFERROR(
VLOOKUP(B76,Tablo1[[Ad Soyad]:[Günlük Ücreti]],2,0)*SUMPRODUCT(AI76:AR76,$AI$10:$AR$10),
"")</f>
        <v/>
      </c>
    </row>
    <row r="77" spans="2:45" ht="20.399999999999999" customHeight="1" x14ac:dyDescent="0.25">
      <c r="B77" s="14" t="str">
        <f>IF(G_Personellerim!B145="","",G_Personellerim!B145)</f>
        <v/>
      </c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2">
        <f t="shared" ref="AI77:AI112" si="15">COUNTIF(C77:AG77,$E$4)</f>
        <v>0</v>
      </c>
      <c r="AJ77" s="22">
        <f t="shared" ref="AJ77:AJ112" si="16">COUNTIF(C77:AG77,$K$4)</f>
        <v>0</v>
      </c>
      <c r="AK77" s="22">
        <f t="shared" ref="AK77:AK112" si="17">COUNTIF(C77:AG77,$P$4)</f>
        <v>0</v>
      </c>
      <c r="AL77" s="66">
        <f t="shared" ref="AL77:AL112" si="18">COUNTIF(C77:AG77,$E$6)</f>
        <v>0</v>
      </c>
      <c r="AM77" s="66">
        <f t="shared" ref="AM77:AM112" si="19">COUNTIF(C77:AG77,$K$6)</f>
        <v>0</v>
      </c>
      <c r="AN77" s="29">
        <f t="shared" ref="AN77:AN112" si="20">COUNTIF(C77:AG77,$P$6)</f>
        <v>0</v>
      </c>
      <c r="AO77" s="52">
        <f t="shared" ref="AO77:AO112" si="21">COUNTIF(C77:AG77,$AC$6)</f>
        <v>0</v>
      </c>
      <c r="AP77" s="52">
        <f t="shared" ref="AP77:AP112" si="22">COUNTIF(C77:AG77,$X$4)</f>
        <v>0</v>
      </c>
      <c r="AQ77" s="52">
        <f t="shared" ref="AQ77:AQ112" si="23">COUNTIF(C77:AG77,$X$6)</f>
        <v>0</v>
      </c>
      <c r="AR77" s="52">
        <f t="shared" ref="AR77:AR112" si="24">COUNTIF(C77:AG77,$AC$4)</f>
        <v>0</v>
      </c>
      <c r="AS77" s="24" t="str">
        <f>IFERROR(
VLOOKUP(B77,Tablo1[[Ad Soyad]:[Günlük Ücreti]],2,0)*SUMPRODUCT(AI77:AR77,$AI$10:$AR$10),
"")</f>
        <v/>
      </c>
    </row>
    <row r="78" spans="2:45" ht="20.399999999999999" customHeight="1" x14ac:dyDescent="0.25">
      <c r="B78" s="14" t="str">
        <f>IF(G_Personellerim!B146="","",G_Personellerim!B146)</f>
        <v/>
      </c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5"/>
      <c r="AI78" s="22">
        <f t="shared" si="15"/>
        <v>0</v>
      </c>
      <c r="AJ78" s="22">
        <f t="shared" si="16"/>
        <v>0</v>
      </c>
      <c r="AK78" s="22">
        <f t="shared" si="17"/>
        <v>0</v>
      </c>
      <c r="AL78" s="66">
        <f t="shared" si="18"/>
        <v>0</v>
      </c>
      <c r="AM78" s="66">
        <f t="shared" si="19"/>
        <v>0</v>
      </c>
      <c r="AN78" s="29">
        <f t="shared" si="20"/>
        <v>0</v>
      </c>
      <c r="AO78" s="52">
        <f t="shared" si="21"/>
        <v>0</v>
      </c>
      <c r="AP78" s="52">
        <f t="shared" si="22"/>
        <v>0</v>
      </c>
      <c r="AQ78" s="52">
        <f t="shared" si="23"/>
        <v>0</v>
      </c>
      <c r="AR78" s="52">
        <f t="shared" si="24"/>
        <v>0</v>
      </c>
      <c r="AS78" s="24" t="str">
        <f>IFERROR(
VLOOKUP(B78,Tablo1[[Ad Soyad]:[Günlük Ücreti]],2,0)*SUMPRODUCT(AI78:AR78,$AI$10:$AR$10),
"")</f>
        <v/>
      </c>
    </row>
    <row r="79" spans="2:45" ht="20.399999999999999" customHeight="1" x14ac:dyDescent="0.25">
      <c r="B79" s="14" t="str">
        <f>IF(G_Personellerim!B147="","",G_Personellerim!B147)</f>
        <v/>
      </c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  <c r="AG79" s="25"/>
      <c r="AH79" s="25"/>
      <c r="AI79" s="22">
        <f t="shared" si="15"/>
        <v>0</v>
      </c>
      <c r="AJ79" s="22">
        <f t="shared" si="16"/>
        <v>0</v>
      </c>
      <c r="AK79" s="22">
        <f t="shared" si="17"/>
        <v>0</v>
      </c>
      <c r="AL79" s="66">
        <f t="shared" si="18"/>
        <v>0</v>
      </c>
      <c r="AM79" s="66">
        <f t="shared" si="19"/>
        <v>0</v>
      </c>
      <c r="AN79" s="29">
        <f t="shared" si="20"/>
        <v>0</v>
      </c>
      <c r="AO79" s="52">
        <f t="shared" si="21"/>
        <v>0</v>
      </c>
      <c r="AP79" s="52">
        <f t="shared" si="22"/>
        <v>0</v>
      </c>
      <c r="AQ79" s="52">
        <f t="shared" si="23"/>
        <v>0</v>
      </c>
      <c r="AR79" s="52">
        <f t="shared" si="24"/>
        <v>0</v>
      </c>
      <c r="AS79" s="24" t="str">
        <f>IFERROR(
VLOOKUP(B79,Tablo1[[Ad Soyad]:[Günlük Ücreti]],2,0)*SUMPRODUCT(AI79:AR79,$AI$10:$AR$10),
"")</f>
        <v/>
      </c>
    </row>
    <row r="80" spans="2:45" ht="20.399999999999999" customHeight="1" x14ac:dyDescent="0.25">
      <c r="B80" s="14" t="str">
        <f>IF(G_Personellerim!B148="","",G_Personellerim!B148)</f>
        <v/>
      </c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  <c r="AG80" s="25"/>
      <c r="AH80" s="25"/>
      <c r="AI80" s="22">
        <f t="shared" si="15"/>
        <v>0</v>
      </c>
      <c r="AJ80" s="22">
        <f t="shared" si="16"/>
        <v>0</v>
      </c>
      <c r="AK80" s="22">
        <f t="shared" si="17"/>
        <v>0</v>
      </c>
      <c r="AL80" s="66">
        <f t="shared" si="18"/>
        <v>0</v>
      </c>
      <c r="AM80" s="66">
        <f t="shared" si="19"/>
        <v>0</v>
      </c>
      <c r="AN80" s="29">
        <f t="shared" si="20"/>
        <v>0</v>
      </c>
      <c r="AO80" s="52">
        <f t="shared" si="21"/>
        <v>0</v>
      </c>
      <c r="AP80" s="52">
        <f t="shared" si="22"/>
        <v>0</v>
      </c>
      <c r="AQ80" s="52">
        <f t="shared" si="23"/>
        <v>0</v>
      </c>
      <c r="AR80" s="52">
        <f t="shared" si="24"/>
        <v>0</v>
      </c>
      <c r="AS80" s="24" t="str">
        <f>IFERROR(
VLOOKUP(B80,Tablo1[[Ad Soyad]:[Günlük Ücreti]],2,0)*SUMPRODUCT(AI80:AR80,$AI$10:$AR$10),
"")</f>
        <v/>
      </c>
    </row>
    <row r="81" spans="2:45" ht="20.399999999999999" customHeight="1" x14ac:dyDescent="0.25">
      <c r="B81" s="14" t="str">
        <f>IF(G_Personellerim!B149="","",G_Personellerim!B149)</f>
        <v/>
      </c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  <c r="AG81" s="25"/>
      <c r="AH81" s="25"/>
      <c r="AI81" s="22">
        <f t="shared" si="15"/>
        <v>0</v>
      </c>
      <c r="AJ81" s="22">
        <f t="shared" si="16"/>
        <v>0</v>
      </c>
      <c r="AK81" s="22">
        <f t="shared" si="17"/>
        <v>0</v>
      </c>
      <c r="AL81" s="66">
        <f t="shared" si="18"/>
        <v>0</v>
      </c>
      <c r="AM81" s="66">
        <f t="shared" si="19"/>
        <v>0</v>
      </c>
      <c r="AN81" s="29">
        <f t="shared" si="20"/>
        <v>0</v>
      </c>
      <c r="AO81" s="52">
        <f t="shared" si="21"/>
        <v>0</v>
      </c>
      <c r="AP81" s="52">
        <f t="shared" si="22"/>
        <v>0</v>
      </c>
      <c r="AQ81" s="52">
        <f t="shared" si="23"/>
        <v>0</v>
      </c>
      <c r="AR81" s="52">
        <f t="shared" si="24"/>
        <v>0</v>
      </c>
      <c r="AS81" s="24" t="str">
        <f>IFERROR(
VLOOKUP(B81,Tablo1[[Ad Soyad]:[Günlük Ücreti]],2,0)*SUMPRODUCT(AI81:AR81,$AI$10:$AR$10),
"")</f>
        <v/>
      </c>
    </row>
    <row r="82" spans="2:45" ht="20.399999999999999" customHeight="1" x14ac:dyDescent="0.25">
      <c r="B82" s="14" t="str">
        <f>IF(G_Personellerim!B150="","",G_Personellerim!B150)</f>
        <v/>
      </c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2">
        <f t="shared" si="15"/>
        <v>0</v>
      </c>
      <c r="AJ82" s="22">
        <f t="shared" si="16"/>
        <v>0</v>
      </c>
      <c r="AK82" s="22">
        <f t="shared" si="17"/>
        <v>0</v>
      </c>
      <c r="AL82" s="66">
        <f t="shared" si="18"/>
        <v>0</v>
      </c>
      <c r="AM82" s="66">
        <f t="shared" si="19"/>
        <v>0</v>
      </c>
      <c r="AN82" s="29">
        <f t="shared" si="20"/>
        <v>0</v>
      </c>
      <c r="AO82" s="52">
        <f t="shared" si="21"/>
        <v>0</v>
      </c>
      <c r="AP82" s="52">
        <f t="shared" si="22"/>
        <v>0</v>
      </c>
      <c r="AQ82" s="52">
        <f t="shared" si="23"/>
        <v>0</v>
      </c>
      <c r="AR82" s="52">
        <f t="shared" si="24"/>
        <v>0</v>
      </c>
      <c r="AS82" s="24" t="str">
        <f>IFERROR(
VLOOKUP(B82,Tablo1[[Ad Soyad]:[Günlük Ücreti]],2,0)*SUMPRODUCT(AI82:AR82,$AI$10:$AR$10),
"")</f>
        <v/>
      </c>
    </row>
    <row r="83" spans="2:45" ht="20.399999999999999" customHeight="1" x14ac:dyDescent="0.25">
      <c r="B83" s="14" t="str">
        <f>IF(G_Personellerim!B151="","",G_Personellerim!B151)</f>
        <v/>
      </c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25"/>
      <c r="AH83" s="25"/>
      <c r="AI83" s="22">
        <f t="shared" si="15"/>
        <v>0</v>
      </c>
      <c r="AJ83" s="22">
        <f t="shared" si="16"/>
        <v>0</v>
      </c>
      <c r="AK83" s="22">
        <f t="shared" si="17"/>
        <v>0</v>
      </c>
      <c r="AL83" s="66">
        <f t="shared" si="18"/>
        <v>0</v>
      </c>
      <c r="AM83" s="66">
        <f t="shared" si="19"/>
        <v>0</v>
      </c>
      <c r="AN83" s="29">
        <f t="shared" si="20"/>
        <v>0</v>
      </c>
      <c r="AO83" s="52">
        <f t="shared" si="21"/>
        <v>0</v>
      </c>
      <c r="AP83" s="52">
        <f t="shared" si="22"/>
        <v>0</v>
      </c>
      <c r="AQ83" s="52">
        <f t="shared" si="23"/>
        <v>0</v>
      </c>
      <c r="AR83" s="52">
        <f t="shared" si="24"/>
        <v>0</v>
      </c>
      <c r="AS83" s="24" t="str">
        <f>IFERROR(
VLOOKUP(B83,Tablo1[[Ad Soyad]:[Günlük Ücreti]],2,0)*SUMPRODUCT(AI83:AR83,$AI$10:$AR$10),
"")</f>
        <v/>
      </c>
    </row>
    <row r="84" spans="2:45" ht="20.399999999999999" customHeight="1" x14ac:dyDescent="0.25">
      <c r="B84" s="14" t="str">
        <f>IF(G_Personellerim!B152="","",G_Personellerim!B152)</f>
        <v/>
      </c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  <c r="AG84" s="25"/>
      <c r="AH84" s="25"/>
      <c r="AI84" s="22">
        <f t="shared" si="15"/>
        <v>0</v>
      </c>
      <c r="AJ84" s="22">
        <f t="shared" si="16"/>
        <v>0</v>
      </c>
      <c r="AK84" s="22">
        <f t="shared" si="17"/>
        <v>0</v>
      </c>
      <c r="AL84" s="66">
        <f t="shared" si="18"/>
        <v>0</v>
      </c>
      <c r="AM84" s="66">
        <f t="shared" si="19"/>
        <v>0</v>
      </c>
      <c r="AN84" s="29">
        <f t="shared" si="20"/>
        <v>0</v>
      </c>
      <c r="AO84" s="52">
        <f t="shared" si="21"/>
        <v>0</v>
      </c>
      <c r="AP84" s="52">
        <f t="shared" si="22"/>
        <v>0</v>
      </c>
      <c r="AQ84" s="52">
        <f t="shared" si="23"/>
        <v>0</v>
      </c>
      <c r="AR84" s="52">
        <f t="shared" si="24"/>
        <v>0</v>
      </c>
      <c r="AS84" s="24" t="str">
        <f>IFERROR(
VLOOKUP(B84,Tablo1[[Ad Soyad]:[Günlük Ücreti]],2,0)*SUMPRODUCT(AI84:AR84,$AI$10:$AR$10),
"")</f>
        <v/>
      </c>
    </row>
    <row r="85" spans="2:45" ht="20.399999999999999" customHeight="1" x14ac:dyDescent="0.25">
      <c r="B85" s="14" t="str">
        <f>IF(G_Personellerim!B153="","",G_Personellerim!B153)</f>
        <v/>
      </c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  <c r="AG85" s="25"/>
      <c r="AH85" s="25"/>
      <c r="AI85" s="22">
        <f t="shared" si="15"/>
        <v>0</v>
      </c>
      <c r="AJ85" s="22">
        <f t="shared" si="16"/>
        <v>0</v>
      </c>
      <c r="AK85" s="22">
        <f t="shared" si="17"/>
        <v>0</v>
      </c>
      <c r="AL85" s="66">
        <f t="shared" si="18"/>
        <v>0</v>
      </c>
      <c r="AM85" s="66">
        <f t="shared" si="19"/>
        <v>0</v>
      </c>
      <c r="AN85" s="29">
        <f t="shared" si="20"/>
        <v>0</v>
      </c>
      <c r="AO85" s="52">
        <f t="shared" si="21"/>
        <v>0</v>
      </c>
      <c r="AP85" s="52">
        <f t="shared" si="22"/>
        <v>0</v>
      </c>
      <c r="AQ85" s="52">
        <f t="shared" si="23"/>
        <v>0</v>
      </c>
      <c r="AR85" s="52">
        <f t="shared" si="24"/>
        <v>0</v>
      </c>
      <c r="AS85" s="24" t="str">
        <f>IFERROR(
VLOOKUP(B85,Tablo1[[Ad Soyad]:[Günlük Ücreti]],2,0)*SUMPRODUCT(AI85:AR85,$AI$10:$AR$10),
"")</f>
        <v/>
      </c>
    </row>
    <row r="86" spans="2:45" ht="20.399999999999999" customHeight="1" x14ac:dyDescent="0.25">
      <c r="B86" s="14" t="str">
        <f>IF(G_Personellerim!B154="","",G_Personellerim!B154)</f>
        <v/>
      </c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  <c r="AG86" s="25"/>
      <c r="AH86" s="25"/>
      <c r="AI86" s="22">
        <f t="shared" si="15"/>
        <v>0</v>
      </c>
      <c r="AJ86" s="22">
        <f t="shared" si="16"/>
        <v>0</v>
      </c>
      <c r="AK86" s="22">
        <f t="shared" si="17"/>
        <v>0</v>
      </c>
      <c r="AL86" s="66">
        <f t="shared" si="18"/>
        <v>0</v>
      </c>
      <c r="AM86" s="66">
        <f t="shared" si="19"/>
        <v>0</v>
      </c>
      <c r="AN86" s="29">
        <f t="shared" si="20"/>
        <v>0</v>
      </c>
      <c r="AO86" s="52">
        <f t="shared" si="21"/>
        <v>0</v>
      </c>
      <c r="AP86" s="52">
        <f t="shared" si="22"/>
        <v>0</v>
      </c>
      <c r="AQ86" s="52">
        <f t="shared" si="23"/>
        <v>0</v>
      </c>
      <c r="AR86" s="52">
        <f t="shared" si="24"/>
        <v>0</v>
      </c>
      <c r="AS86" s="24" t="str">
        <f>IFERROR(
VLOOKUP(B86,Tablo1[[Ad Soyad]:[Günlük Ücreti]],2,0)*SUMPRODUCT(AI86:AR86,$AI$10:$AR$10),
"")</f>
        <v/>
      </c>
    </row>
    <row r="87" spans="2:45" ht="20.399999999999999" customHeight="1" x14ac:dyDescent="0.25">
      <c r="B87" s="14" t="str">
        <f>IF(G_Personellerim!B155="","",G_Personellerim!B155)</f>
        <v/>
      </c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  <c r="AG87" s="25"/>
      <c r="AH87" s="25"/>
      <c r="AI87" s="22">
        <f t="shared" si="15"/>
        <v>0</v>
      </c>
      <c r="AJ87" s="22">
        <f t="shared" si="16"/>
        <v>0</v>
      </c>
      <c r="AK87" s="22">
        <f t="shared" si="17"/>
        <v>0</v>
      </c>
      <c r="AL87" s="66">
        <f t="shared" si="18"/>
        <v>0</v>
      </c>
      <c r="AM87" s="66">
        <f t="shared" si="19"/>
        <v>0</v>
      </c>
      <c r="AN87" s="29">
        <f t="shared" si="20"/>
        <v>0</v>
      </c>
      <c r="AO87" s="52">
        <f t="shared" si="21"/>
        <v>0</v>
      </c>
      <c r="AP87" s="52">
        <f t="shared" si="22"/>
        <v>0</v>
      </c>
      <c r="AQ87" s="52">
        <f t="shared" si="23"/>
        <v>0</v>
      </c>
      <c r="AR87" s="52">
        <f t="shared" si="24"/>
        <v>0</v>
      </c>
      <c r="AS87" s="24" t="str">
        <f>IFERROR(
VLOOKUP(B87,Tablo1[[Ad Soyad]:[Günlük Ücreti]],2,0)*SUMPRODUCT(AI87:AR87,$AI$10:$AR$10),
"")</f>
        <v/>
      </c>
    </row>
    <row r="88" spans="2:45" ht="20.399999999999999" customHeight="1" x14ac:dyDescent="0.25">
      <c r="B88" s="14" t="str">
        <f>IF(G_Personellerim!B156="","",G_Personellerim!B156)</f>
        <v/>
      </c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  <c r="AG88" s="25"/>
      <c r="AH88" s="25"/>
      <c r="AI88" s="22">
        <f t="shared" si="15"/>
        <v>0</v>
      </c>
      <c r="AJ88" s="22">
        <f t="shared" si="16"/>
        <v>0</v>
      </c>
      <c r="AK88" s="22">
        <f t="shared" si="17"/>
        <v>0</v>
      </c>
      <c r="AL88" s="66">
        <f t="shared" si="18"/>
        <v>0</v>
      </c>
      <c r="AM88" s="66">
        <f t="shared" si="19"/>
        <v>0</v>
      </c>
      <c r="AN88" s="29">
        <f t="shared" si="20"/>
        <v>0</v>
      </c>
      <c r="AO88" s="52">
        <f t="shared" si="21"/>
        <v>0</v>
      </c>
      <c r="AP88" s="52">
        <f t="shared" si="22"/>
        <v>0</v>
      </c>
      <c r="AQ88" s="52">
        <f t="shared" si="23"/>
        <v>0</v>
      </c>
      <c r="AR88" s="52">
        <f t="shared" si="24"/>
        <v>0</v>
      </c>
      <c r="AS88" s="24" t="str">
        <f>IFERROR(
VLOOKUP(B88,Tablo1[[Ad Soyad]:[Günlük Ücreti]],2,0)*SUMPRODUCT(AI88:AR88,$AI$10:$AR$10),
"")</f>
        <v/>
      </c>
    </row>
    <row r="89" spans="2:45" ht="20.399999999999999" customHeight="1" x14ac:dyDescent="0.25">
      <c r="B89" s="14" t="str">
        <f>IF(G_Personellerim!B157="","",G_Personellerim!B157)</f>
        <v/>
      </c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  <c r="AG89" s="25"/>
      <c r="AH89" s="25"/>
      <c r="AI89" s="22">
        <f t="shared" si="15"/>
        <v>0</v>
      </c>
      <c r="AJ89" s="22">
        <f t="shared" si="16"/>
        <v>0</v>
      </c>
      <c r="AK89" s="22">
        <f t="shared" si="17"/>
        <v>0</v>
      </c>
      <c r="AL89" s="66">
        <f t="shared" si="18"/>
        <v>0</v>
      </c>
      <c r="AM89" s="66">
        <f t="shared" si="19"/>
        <v>0</v>
      </c>
      <c r="AN89" s="29">
        <f t="shared" si="20"/>
        <v>0</v>
      </c>
      <c r="AO89" s="52">
        <f t="shared" si="21"/>
        <v>0</v>
      </c>
      <c r="AP89" s="52">
        <f t="shared" si="22"/>
        <v>0</v>
      </c>
      <c r="AQ89" s="52">
        <f t="shared" si="23"/>
        <v>0</v>
      </c>
      <c r="AR89" s="52">
        <f t="shared" si="24"/>
        <v>0</v>
      </c>
      <c r="AS89" s="24" t="str">
        <f>IFERROR(
VLOOKUP(B89,Tablo1[[Ad Soyad]:[Günlük Ücreti]],2,0)*SUMPRODUCT(AI89:AR89,$AI$10:$AR$10),
"")</f>
        <v/>
      </c>
    </row>
    <row r="90" spans="2:45" ht="20.399999999999999" customHeight="1" x14ac:dyDescent="0.25">
      <c r="B90" s="14" t="str">
        <f>IF(G_Personellerim!B158="","",G_Personellerim!B158)</f>
        <v/>
      </c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  <c r="AG90" s="25"/>
      <c r="AH90" s="25"/>
      <c r="AI90" s="22">
        <f t="shared" si="15"/>
        <v>0</v>
      </c>
      <c r="AJ90" s="22">
        <f t="shared" si="16"/>
        <v>0</v>
      </c>
      <c r="AK90" s="22">
        <f t="shared" si="17"/>
        <v>0</v>
      </c>
      <c r="AL90" s="66">
        <f t="shared" si="18"/>
        <v>0</v>
      </c>
      <c r="AM90" s="66">
        <f t="shared" si="19"/>
        <v>0</v>
      </c>
      <c r="AN90" s="29">
        <f t="shared" si="20"/>
        <v>0</v>
      </c>
      <c r="AO90" s="52">
        <f t="shared" si="21"/>
        <v>0</v>
      </c>
      <c r="AP90" s="52">
        <f t="shared" si="22"/>
        <v>0</v>
      </c>
      <c r="AQ90" s="52">
        <f t="shared" si="23"/>
        <v>0</v>
      </c>
      <c r="AR90" s="52">
        <f t="shared" si="24"/>
        <v>0</v>
      </c>
      <c r="AS90" s="24" t="str">
        <f>IFERROR(
VLOOKUP(B90,Tablo1[[Ad Soyad]:[Günlük Ücreti]],2,0)*SUMPRODUCT(AI90:AR90,$AI$10:$AR$10),
"")</f>
        <v/>
      </c>
    </row>
    <row r="91" spans="2:45" ht="20.399999999999999" customHeight="1" x14ac:dyDescent="0.25">
      <c r="B91" s="14" t="str">
        <f>IF(G_Personellerim!B159="","",G_Personellerim!B159)</f>
        <v/>
      </c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  <c r="AG91" s="25"/>
      <c r="AH91" s="25"/>
      <c r="AI91" s="22">
        <f t="shared" si="15"/>
        <v>0</v>
      </c>
      <c r="AJ91" s="22">
        <f t="shared" si="16"/>
        <v>0</v>
      </c>
      <c r="AK91" s="22">
        <f t="shared" si="17"/>
        <v>0</v>
      </c>
      <c r="AL91" s="66">
        <f t="shared" si="18"/>
        <v>0</v>
      </c>
      <c r="AM91" s="66">
        <f t="shared" si="19"/>
        <v>0</v>
      </c>
      <c r="AN91" s="29">
        <f t="shared" si="20"/>
        <v>0</v>
      </c>
      <c r="AO91" s="52">
        <f t="shared" si="21"/>
        <v>0</v>
      </c>
      <c r="AP91" s="52">
        <f t="shared" si="22"/>
        <v>0</v>
      </c>
      <c r="AQ91" s="52">
        <f t="shared" si="23"/>
        <v>0</v>
      </c>
      <c r="AR91" s="52">
        <f t="shared" si="24"/>
        <v>0</v>
      </c>
      <c r="AS91" s="24" t="str">
        <f>IFERROR(
VLOOKUP(B91,Tablo1[[Ad Soyad]:[Günlük Ücreti]],2,0)*SUMPRODUCT(AI91:AR91,$AI$10:$AR$10),
"")</f>
        <v/>
      </c>
    </row>
    <row r="92" spans="2:45" ht="20.399999999999999" customHeight="1" x14ac:dyDescent="0.25">
      <c r="B92" s="14" t="str">
        <f>IF(G_Personellerim!B160="","",G_Personellerim!B160)</f>
        <v/>
      </c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25"/>
      <c r="AI92" s="22">
        <f t="shared" si="15"/>
        <v>0</v>
      </c>
      <c r="AJ92" s="22">
        <f t="shared" si="16"/>
        <v>0</v>
      </c>
      <c r="AK92" s="22">
        <f t="shared" si="17"/>
        <v>0</v>
      </c>
      <c r="AL92" s="66">
        <f t="shared" si="18"/>
        <v>0</v>
      </c>
      <c r="AM92" s="66">
        <f t="shared" si="19"/>
        <v>0</v>
      </c>
      <c r="AN92" s="29">
        <f t="shared" si="20"/>
        <v>0</v>
      </c>
      <c r="AO92" s="52">
        <f t="shared" si="21"/>
        <v>0</v>
      </c>
      <c r="AP92" s="52">
        <f t="shared" si="22"/>
        <v>0</v>
      </c>
      <c r="AQ92" s="52">
        <f t="shared" si="23"/>
        <v>0</v>
      </c>
      <c r="AR92" s="52">
        <f t="shared" si="24"/>
        <v>0</v>
      </c>
      <c r="AS92" s="24" t="str">
        <f>IFERROR(
VLOOKUP(B92,Tablo1[[Ad Soyad]:[Günlük Ücreti]],2,0)*SUMPRODUCT(AI92:AR92,$AI$10:$AR$10),
"")</f>
        <v/>
      </c>
    </row>
    <row r="93" spans="2:45" ht="20.399999999999999" customHeight="1" x14ac:dyDescent="0.25">
      <c r="B93" s="14" t="str">
        <f>IF(G_Personellerim!B161="","",G_Personellerim!B161)</f>
        <v/>
      </c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2">
        <f t="shared" si="15"/>
        <v>0</v>
      </c>
      <c r="AJ93" s="22">
        <f t="shared" si="16"/>
        <v>0</v>
      </c>
      <c r="AK93" s="22">
        <f t="shared" si="17"/>
        <v>0</v>
      </c>
      <c r="AL93" s="66">
        <f t="shared" si="18"/>
        <v>0</v>
      </c>
      <c r="AM93" s="66">
        <f t="shared" si="19"/>
        <v>0</v>
      </c>
      <c r="AN93" s="29">
        <f t="shared" si="20"/>
        <v>0</v>
      </c>
      <c r="AO93" s="52">
        <f t="shared" si="21"/>
        <v>0</v>
      </c>
      <c r="AP93" s="52">
        <f t="shared" si="22"/>
        <v>0</v>
      </c>
      <c r="AQ93" s="52">
        <f t="shared" si="23"/>
        <v>0</v>
      </c>
      <c r="AR93" s="52">
        <f t="shared" si="24"/>
        <v>0</v>
      </c>
      <c r="AS93" s="24" t="str">
        <f>IFERROR(
VLOOKUP(B93,Tablo1[[Ad Soyad]:[Günlük Ücreti]],2,0)*SUMPRODUCT(AI93:AR93,$AI$10:$AR$10),
"")</f>
        <v/>
      </c>
    </row>
    <row r="94" spans="2:45" ht="20.399999999999999" customHeight="1" x14ac:dyDescent="0.25">
      <c r="B94" s="14" t="str">
        <f>IF(G_Personellerim!B162="","",G_Personellerim!B162)</f>
        <v/>
      </c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25"/>
      <c r="AH94" s="25"/>
      <c r="AI94" s="22">
        <f t="shared" si="15"/>
        <v>0</v>
      </c>
      <c r="AJ94" s="22">
        <f t="shared" si="16"/>
        <v>0</v>
      </c>
      <c r="AK94" s="22">
        <f t="shared" si="17"/>
        <v>0</v>
      </c>
      <c r="AL94" s="66">
        <f t="shared" si="18"/>
        <v>0</v>
      </c>
      <c r="AM94" s="66">
        <f t="shared" si="19"/>
        <v>0</v>
      </c>
      <c r="AN94" s="29">
        <f t="shared" si="20"/>
        <v>0</v>
      </c>
      <c r="AO94" s="52">
        <f t="shared" si="21"/>
        <v>0</v>
      </c>
      <c r="AP94" s="52">
        <f t="shared" si="22"/>
        <v>0</v>
      </c>
      <c r="AQ94" s="52">
        <f t="shared" si="23"/>
        <v>0</v>
      </c>
      <c r="AR94" s="52">
        <f t="shared" si="24"/>
        <v>0</v>
      </c>
      <c r="AS94" s="24" t="str">
        <f>IFERROR(
VLOOKUP(B94,Tablo1[[Ad Soyad]:[Günlük Ücreti]],2,0)*SUMPRODUCT(AI94:AR94,$AI$10:$AR$10),
"")</f>
        <v/>
      </c>
    </row>
    <row r="95" spans="2:45" ht="20.399999999999999" customHeight="1" x14ac:dyDescent="0.25">
      <c r="B95" s="14" t="str">
        <f>IF(G_Personellerim!B163="","",G_Personellerim!B163)</f>
        <v/>
      </c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2">
        <f t="shared" si="15"/>
        <v>0</v>
      </c>
      <c r="AJ95" s="22">
        <f t="shared" si="16"/>
        <v>0</v>
      </c>
      <c r="AK95" s="22">
        <f t="shared" si="17"/>
        <v>0</v>
      </c>
      <c r="AL95" s="66">
        <f t="shared" si="18"/>
        <v>0</v>
      </c>
      <c r="AM95" s="66">
        <f t="shared" si="19"/>
        <v>0</v>
      </c>
      <c r="AN95" s="29">
        <f t="shared" si="20"/>
        <v>0</v>
      </c>
      <c r="AO95" s="52">
        <f t="shared" si="21"/>
        <v>0</v>
      </c>
      <c r="AP95" s="52">
        <f t="shared" si="22"/>
        <v>0</v>
      </c>
      <c r="AQ95" s="52">
        <f t="shared" si="23"/>
        <v>0</v>
      </c>
      <c r="AR95" s="52">
        <f t="shared" si="24"/>
        <v>0</v>
      </c>
      <c r="AS95" s="24" t="str">
        <f>IFERROR(
VLOOKUP(B95,Tablo1[[Ad Soyad]:[Günlük Ücreti]],2,0)*SUMPRODUCT(AI95:AR95,$AI$10:$AR$10),
"")</f>
        <v/>
      </c>
    </row>
    <row r="96" spans="2:45" ht="20.399999999999999" customHeight="1" x14ac:dyDescent="0.25">
      <c r="B96" s="14" t="str">
        <f>IF(G_Personellerim!B164="","",G_Personellerim!B164)</f>
        <v/>
      </c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2">
        <f t="shared" si="15"/>
        <v>0</v>
      </c>
      <c r="AJ96" s="22">
        <f t="shared" si="16"/>
        <v>0</v>
      </c>
      <c r="AK96" s="22">
        <f t="shared" si="17"/>
        <v>0</v>
      </c>
      <c r="AL96" s="66">
        <f t="shared" si="18"/>
        <v>0</v>
      </c>
      <c r="AM96" s="66">
        <f t="shared" si="19"/>
        <v>0</v>
      </c>
      <c r="AN96" s="29">
        <f t="shared" si="20"/>
        <v>0</v>
      </c>
      <c r="AO96" s="52">
        <f t="shared" si="21"/>
        <v>0</v>
      </c>
      <c r="AP96" s="52">
        <f t="shared" si="22"/>
        <v>0</v>
      </c>
      <c r="AQ96" s="52">
        <f t="shared" si="23"/>
        <v>0</v>
      </c>
      <c r="AR96" s="52">
        <f t="shared" si="24"/>
        <v>0</v>
      </c>
      <c r="AS96" s="24" t="str">
        <f>IFERROR(
VLOOKUP(B96,Tablo1[[Ad Soyad]:[Günlük Ücreti]],2,0)*SUMPRODUCT(AI96:AR96,$AI$10:$AR$10),
"")</f>
        <v/>
      </c>
    </row>
    <row r="97" spans="2:45" ht="20.399999999999999" customHeight="1" x14ac:dyDescent="0.25">
      <c r="B97" s="14" t="str">
        <f>IF(G_Personellerim!B165="","",G_Personellerim!B165)</f>
        <v/>
      </c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2">
        <f t="shared" si="15"/>
        <v>0</v>
      </c>
      <c r="AJ97" s="22">
        <f t="shared" si="16"/>
        <v>0</v>
      </c>
      <c r="AK97" s="22">
        <f t="shared" si="17"/>
        <v>0</v>
      </c>
      <c r="AL97" s="66">
        <f t="shared" si="18"/>
        <v>0</v>
      </c>
      <c r="AM97" s="66">
        <f t="shared" si="19"/>
        <v>0</v>
      </c>
      <c r="AN97" s="29">
        <f t="shared" si="20"/>
        <v>0</v>
      </c>
      <c r="AO97" s="52">
        <f t="shared" si="21"/>
        <v>0</v>
      </c>
      <c r="AP97" s="52">
        <f t="shared" si="22"/>
        <v>0</v>
      </c>
      <c r="AQ97" s="52">
        <f t="shared" si="23"/>
        <v>0</v>
      </c>
      <c r="AR97" s="52">
        <f t="shared" si="24"/>
        <v>0</v>
      </c>
      <c r="AS97" s="24" t="str">
        <f>IFERROR(
VLOOKUP(B97,Tablo1[[Ad Soyad]:[Günlük Ücreti]],2,0)*SUMPRODUCT(AI97:AR97,$AI$10:$AR$10),
"")</f>
        <v/>
      </c>
    </row>
    <row r="98" spans="2:45" ht="20.399999999999999" customHeight="1" x14ac:dyDescent="0.25">
      <c r="B98" s="14" t="str">
        <f>IF(G_Personellerim!B166="","",G_Personellerim!B166)</f>
        <v/>
      </c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  <c r="AG98" s="25"/>
      <c r="AH98" s="25"/>
      <c r="AI98" s="22">
        <f t="shared" si="15"/>
        <v>0</v>
      </c>
      <c r="AJ98" s="22">
        <f t="shared" si="16"/>
        <v>0</v>
      </c>
      <c r="AK98" s="22">
        <f t="shared" si="17"/>
        <v>0</v>
      </c>
      <c r="AL98" s="66">
        <f t="shared" si="18"/>
        <v>0</v>
      </c>
      <c r="AM98" s="66">
        <f t="shared" si="19"/>
        <v>0</v>
      </c>
      <c r="AN98" s="29">
        <f t="shared" si="20"/>
        <v>0</v>
      </c>
      <c r="AO98" s="52">
        <f t="shared" si="21"/>
        <v>0</v>
      </c>
      <c r="AP98" s="52">
        <f t="shared" si="22"/>
        <v>0</v>
      </c>
      <c r="AQ98" s="52">
        <f t="shared" si="23"/>
        <v>0</v>
      </c>
      <c r="AR98" s="52">
        <f t="shared" si="24"/>
        <v>0</v>
      </c>
      <c r="AS98" s="24" t="str">
        <f>IFERROR(
VLOOKUP(B98,Tablo1[[Ad Soyad]:[Günlük Ücreti]],2,0)*SUMPRODUCT(AI98:AR98,$AI$10:$AR$10),
"")</f>
        <v/>
      </c>
    </row>
    <row r="99" spans="2:45" ht="20.399999999999999" customHeight="1" x14ac:dyDescent="0.25">
      <c r="B99" s="14" t="str">
        <f>IF(G_Personellerim!B167="","",G_Personellerim!B167)</f>
        <v/>
      </c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  <c r="AG99" s="25"/>
      <c r="AH99" s="25"/>
      <c r="AI99" s="22">
        <f t="shared" si="15"/>
        <v>0</v>
      </c>
      <c r="AJ99" s="22">
        <f t="shared" si="16"/>
        <v>0</v>
      </c>
      <c r="AK99" s="22">
        <f t="shared" si="17"/>
        <v>0</v>
      </c>
      <c r="AL99" s="66">
        <f t="shared" si="18"/>
        <v>0</v>
      </c>
      <c r="AM99" s="66">
        <f t="shared" si="19"/>
        <v>0</v>
      </c>
      <c r="AN99" s="29">
        <f t="shared" si="20"/>
        <v>0</v>
      </c>
      <c r="AO99" s="52">
        <f t="shared" si="21"/>
        <v>0</v>
      </c>
      <c r="AP99" s="52">
        <f t="shared" si="22"/>
        <v>0</v>
      </c>
      <c r="AQ99" s="52">
        <f t="shared" si="23"/>
        <v>0</v>
      </c>
      <c r="AR99" s="52">
        <f t="shared" si="24"/>
        <v>0</v>
      </c>
      <c r="AS99" s="24" t="str">
        <f>IFERROR(
VLOOKUP(B99,Tablo1[[Ad Soyad]:[Günlük Ücreti]],2,0)*SUMPRODUCT(AI99:AR99,$AI$10:$AR$10),
"")</f>
        <v/>
      </c>
    </row>
    <row r="100" spans="2:45" ht="20.399999999999999" customHeight="1" x14ac:dyDescent="0.25">
      <c r="B100" s="14" t="str">
        <f>IF(G_Personellerim!B168="","",G_Personellerim!B168)</f>
        <v/>
      </c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  <c r="AG100" s="25"/>
      <c r="AH100" s="25"/>
      <c r="AI100" s="22">
        <f t="shared" si="15"/>
        <v>0</v>
      </c>
      <c r="AJ100" s="22">
        <f t="shared" si="16"/>
        <v>0</v>
      </c>
      <c r="AK100" s="22">
        <f t="shared" si="17"/>
        <v>0</v>
      </c>
      <c r="AL100" s="66">
        <f t="shared" si="18"/>
        <v>0</v>
      </c>
      <c r="AM100" s="66">
        <f t="shared" si="19"/>
        <v>0</v>
      </c>
      <c r="AN100" s="29">
        <f t="shared" si="20"/>
        <v>0</v>
      </c>
      <c r="AO100" s="52">
        <f t="shared" si="21"/>
        <v>0</v>
      </c>
      <c r="AP100" s="52">
        <f t="shared" si="22"/>
        <v>0</v>
      </c>
      <c r="AQ100" s="52">
        <f t="shared" si="23"/>
        <v>0</v>
      </c>
      <c r="AR100" s="52">
        <f t="shared" si="24"/>
        <v>0</v>
      </c>
      <c r="AS100" s="24" t="str">
        <f>IFERROR(
VLOOKUP(B100,Tablo1[[Ad Soyad]:[Günlük Ücreti]],2,0)*SUMPRODUCT(AI100:AR100,$AI$10:$AR$10),
"")</f>
        <v/>
      </c>
    </row>
    <row r="101" spans="2:45" ht="20.399999999999999" customHeight="1" x14ac:dyDescent="0.25">
      <c r="B101" s="14" t="str">
        <f>IF(G_Personellerim!B169="","",G_Personellerim!B169)</f>
        <v/>
      </c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25"/>
      <c r="AH101" s="25"/>
      <c r="AI101" s="22">
        <f t="shared" si="15"/>
        <v>0</v>
      </c>
      <c r="AJ101" s="22">
        <f t="shared" si="16"/>
        <v>0</v>
      </c>
      <c r="AK101" s="22">
        <f t="shared" si="17"/>
        <v>0</v>
      </c>
      <c r="AL101" s="66">
        <f t="shared" si="18"/>
        <v>0</v>
      </c>
      <c r="AM101" s="66">
        <f t="shared" si="19"/>
        <v>0</v>
      </c>
      <c r="AN101" s="29">
        <f t="shared" si="20"/>
        <v>0</v>
      </c>
      <c r="AO101" s="52">
        <f t="shared" si="21"/>
        <v>0</v>
      </c>
      <c r="AP101" s="52">
        <f t="shared" si="22"/>
        <v>0</v>
      </c>
      <c r="AQ101" s="52">
        <f t="shared" si="23"/>
        <v>0</v>
      </c>
      <c r="AR101" s="52">
        <f t="shared" si="24"/>
        <v>0</v>
      </c>
      <c r="AS101" s="24" t="str">
        <f>IFERROR(
VLOOKUP(B101,Tablo1[[Ad Soyad]:[Günlük Ücreti]],2,0)*SUMPRODUCT(AI101:AR101,$AI$10:$AR$10),
"")</f>
        <v/>
      </c>
    </row>
    <row r="102" spans="2:45" ht="20.399999999999999" customHeight="1" x14ac:dyDescent="0.25">
      <c r="B102" s="14" t="str">
        <f>IF(G_Personellerim!B170="","",G_Personellerim!B170)</f>
        <v/>
      </c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2">
        <f t="shared" si="15"/>
        <v>0</v>
      </c>
      <c r="AJ102" s="22">
        <f t="shared" si="16"/>
        <v>0</v>
      </c>
      <c r="AK102" s="22">
        <f t="shared" si="17"/>
        <v>0</v>
      </c>
      <c r="AL102" s="66">
        <f t="shared" si="18"/>
        <v>0</v>
      </c>
      <c r="AM102" s="66">
        <f t="shared" si="19"/>
        <v>0</v>
      </c>
      <c r="AN102" s="29">
        <f t="shared" si="20"/>
        <v>0</v>
      </c>
      <c r="AO102" s="52">
        <f t="shared" si="21"/>
        <v>0</v>
      </c>
      <c r="AP102" s="52">
        <f t="shared" si="22"/>
        <v>0</v>
      </c>
      <c r="AQ102" s="52">
        <f t="shared" si="23"/>
        <v>0</v>
      </c>
      <c r="AR102" s="52">
        <f t="shared" si="24"/>
        <v>0</v>
      </c>
      <c r="AS102" s="24" t="str">
        <f>IFERROR(
VLOOKUP(B102,Tablo1[[Ad Soyad]:[Günlük Ücreti]],2,0)*SUMPRODUCT(AI102:AR102,$AI$10:$AR$10),
"")</f>
        <v/>
      </c>
    </row>
    <row r="103" spans="2:45" ht="20.399999999999999" customHeight="1" x14ac:dyDescent="0.25">
      <c r="B103" s="14" t="str">
        <f>IF(G_Personellerim!B171="","",G_Personellerim!B171)</f>
        <v/>
      </c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2">
        <f t="shared" si="15"/>
        <v>0</v>
      </c>
      <c r="AJ103" s="22">
        <f t="shared" si="16"/>
        <v>0</v>
      </c>
      <c r="AK103" s="22">
        <f t="shared" si="17"/>
        <v>0</v>
      </c>
      <c r="AL103" s="66">
        <f t="shared" si="18"/>
        <v>0</v>
      </c>
      <c r="AM103" s="66">
        <f t="shared" si="19"/>
        <v>0</v>
      </c>
      <c r="AN103" s="29">
        <f t="shared" si="20"/>
        <v>0</v>
      </c>
      <c r="AO103" s="52">
        <f t="shared" si="21"/>
        <v>0</v>
      </c>
      <c r="AP103" s="52">
        <f t="shared" si="22"/>
        <v>0</v>
      </c>
      <c r="AQ103" s="52">
        <f t="shared" si="23"/>
        <v>0</v>
      </c>
      <c r="AR103" s="52">
        <f t="shared" si="24"/>
        <v>0</v>
      </c>
      <c r="AS103" s="24" t="str">
        <f>IFERROR(
VLOOKUP(B103,Tablo1[[Ad Soyad]:[Günlük Ücreti]],2,0)*SUMPRODUCT(AI103:AR103,$AI$10:$AR$10),
"")</f>
        <v/>
      </c>
    </row>
    <row r="104" spans="2:45" ht="20.399999999999999" customHeight="1" x14ac:dyDescent="0.25">
      <c r="B104" s="14" t="str">
        <f>IF(G_Personellerim!B172="","",G_Personellerim!B172)</f>
        <v/>
      </c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2">
        <f t="shared" si="15"/>
        <v>0</v>
      </c>
      <c r="AJ104" s="22">
        <f t="shared" si="16"/>
        <v>0</v>
      </c>
      <c r="AK104" s="22">
        <f t="shared" si="17"/>
        <v>0</v>
      </c>
      <c r="AL104" s="66">
        <f t="shared" si="18"/>
        <v>0</v>
      </c>
      <c r="AM104" s="66">
        <f t="shared" si="19"/>
        <v>0</v>
      </c>
      <c r="AN104" s="29">
        <f t="shared" si="20"/>
        <v>0</v>
      </c>
      <c r="AO104" s="52">
        <f t="shared" si="21"/>
        <v>0</v>
      </c>
      <c r="AP104" s="52">
        <f t="shared" si="22"/>
        <v>0</v>
      </c>
      <c r="AQ104" s="52">
        <f t="shared" si="23"/>
        <v>0</v>
      </c>
      <c r="AR104" s="52">
        <f t="shared" si="24"/>
        <v>0</v>
      </c>
      <c r="AS104" s="24" t="str">
        <f>IFERROR(
VLOOKUP(B104,Tablo1[[Ad Soyad]:[Günlük Ücreti]],2,0)*SUMPRODUCT(AI104:AR104,$AI$10:$AR$10),
"")</f>
        <v/>
      </c>
    </row>
    <row r="105" spans="2:45" ht="20.399999999999999" customHeight="1" x14ac:dyDescent="0.25">
      <c r="B105" s="14" t="str">
        <f>IF(G_Personellerim!B173="","",G_Personellerim!B173)</f>
        <v/>
      </c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2">
        <f t="shared" si="15"/>
        <v>0</v>
      </c>
      <c r="AJ105" s="22">
        <f t="shared" si="16"/>
        <v>0</v>
      </c>
      <c r="AK105" s="22">
        <f t="shared" si="17"/>
        <v>0</v>
      </c>
      <c r="AL105" s="66">
        <f t="shared" si="18"/>
        <v>0</v>
      </c>
      <c r="AM105" s="66">
        <f t="shared" si="19"/>
        <v>0</v>
      </c>
      <c r="AN105" s="29">
        <f t="shared" si="20"/>
        <v>0</v>
      </c>
      <c r="AO105" s="52">
        <f t="shared" si="21"/>
        <v>0</v>
      </c>
      <c r="AP105" s="52">
        <f t="shared" si="22"/>
        <v>0</v>
      </c>
      <c r="AQ105" s="52">
        <f t="shared" si="23"/>
        <v>0</v>
      </c>
      <c r="AR105" s="52">
        <f t="shared" si="24"/>
        <v>0</v>
      </c>
      <c r="AS105" s="24" t="str">
        <f>IFERROR(
VLOOKUP(B105,Tablo1[[Ad Soyad]:[Günlük Ücreti]],2,0)*SUMPRODUCT(AI105:AR105,$AI$10:$AR$10),
"")</f>
        <v/>
      </c>
    </row>
    <row r="106" spans="2:45" ht="20.399999999999999" customHeight="1" x14ac:dyDescent="0.25">
      <c r="B106" s="14" t="str">
        <f>IF(G_Personellerim!B174="","",G_Personellerim!B174)</f>
        <v/>
      </c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2">
        <f t="shared" si="15"/>
        <v>0</v>
      </c>
      <c r="AJ106" s="22">
        <f t="shared" si="16"/>
        <v>0</v>
      </c>
      <c r="AK106" s="22">
        <f t="shared" si="17"/>
        <v>0</v>
      </c>
      <c r="AL106" s="66">
        <f t="shared" si="18"/>
        <v>0</v>
      </c>
      <c r="AM106" s="66">
        <f t="shared" si="19"/>
        <v>0</v>
      </c>
      <c r="AN106" s="29">
        <f t="shared" si="20"/>
        <v>0</v>
      </c>
      <c r="AO106" s="52">
        <f t="shared" si="21"/>
        <v>0</v>
      </c>
      <c r="AP106" s="52">
        <f t="shared" si="22"/>
        <v>0</v>
      </c>
      <c r="AQ106" s="52">
        <f t="shared" si="23"/>
        <v>0</v>
      </c>
      <c r="AR106" s="52">
        <f t="shared" si="24"/>
        <v>0</v>
      </c>
      <c r="AS106" s="24" t="str">
        <f>IFERROR(
VLOOKUP(B106,Tablo1[[Ad Soyad]:[Günlük Ücreti]],2,0)*SUMPRODUCT(AI106:AR106,$AI$10:$AR$10),
"")</f>
        <v/>
      </c>
    </row>
    <row r="107" spans="2:45" ht="20.399999999999999" customHeight="1" x14ac:dyDescent="0.25">
      <c r="B107" s="14" t="str">
        <f>IF(G_Personellerim!B175="","",G_Personellerim!B175)</f>
        <v/>
      </c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2">
        <f t="shared" si="15"/>
        <v>0</v>
      </c>
      <c r="AJ107" s="22">
        <f t="shared" si="16"/>
        <v>0</v>
      </c>
      <c r="AK107" s="22">
        <f t="shared" si="17"/>
        <v>0</v>
      </c>
      <c r="AL107" s="66">
        <f t="shared" si="18"/>
        <v>0</v>
      </c>
      <c r="AM107" s="66">
        <f t="shared" si="19"/>
        <v>0</v>
      </c>
      <c r="AN107" s="29">
        <f t="shared" si="20"/>
        <v>0</v>
      </c>
      <c r="AO107" s="52">
        <f t="shared" si="21"/>
        <v>0</v>
      </c>
      <c r="AP107" s="52">
        <f t="shared" si="22"/>
        <v>0</v>
      </c>
      <c r="AQ107" s="52">
        <f t="shared" si="23"/>
        <v>0</v>
      </c>
      <c r="AR107" s="52">
        <f t="shared" si="24"/>
        <v>0</v>
      </c>
      <c r="AS107" s="24" t="str">
        <f>IFERROR(
VLOOKUP(B107,Tablo1[[Ad Soyad]:[Günlük Ücreti]],2,0)*SUMPRODUCT(AI107:AR107,$AI$10:$AR$10),
"")</f>
        <v/>
      </c>
    </row>
    <row r="108" spans="2:45" ht="20.399999999999999" customHeight="1" x14ac:dyDescent="0.25">
      <c r="B108" s="14" t="str">
        <f>IF(G_Personellerim!B176="","",G_Personellerim!B176)</f>
        <v/>
      </c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2">
        <f t="shared" si="15"/>
        <v>0</v>
      </c>
      <c r="AJ108" s="22">
        <f t="shared" si="16"/>
        <v>0</v>
      </c>
      <c r="AK108" s="22">
        <f t="shared" si="17"/>
        <v>0</v>
      </c>
      <c r="AL108" s="66">
        <f t="shared" si="18"/>
        <v>0</v>
      </c>
      <c r="AM108" s="66">
        <f t="shared" si="19"/>
        <v>0</v>
      </c>
      <c r="AN108" s="29">
        <f t="shared" si="20"/>
        <v>0</v>
      </c>
      <c r="AO108" s="52">
        <f t="shared" si="21"/>
        <v>0</v>
      </c>
      <c r="AP108" s="52">
        <f t="shared" si="22"/>
        <v>0</v>
      </c>
      <c r="AQ108" s="52">
        <f t="shared" si="23"/>
        <v>0</v>
      </c>
      <c r="AR108" s="52">
        <f t="shared" si="24"/>
        <v>0</v>
      </c>
      <c r="AS108" s="24" t="str">
        <f>IFERROR(
VLOOKUP(B108,Tablo1[[Ad Soyad]:[Günlük Ücreti]],2,0)*SUMPRODUCT(AI108:AR108,$AI$10:$AR$10),
"")</f>
        <v/>
      </c>
    </row>
    <row r="109" spans="2:45" ht="20.399999999999999" customHeight="1" x14ac:dyDescent="0.25">
      <c r="B109" s="14" t="str">
        <f>IF(G_Personellerim!B177="","",G_Personellerim!B177)</f>
        <v/>
      </c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2">
        <f t="shared" si="15"/>
        <v>0</v>
      </c>
      <c r="AJ109" s="22">
        <f t="shared" si="16"/>
        <v>0</v>
      </c>
      <c r="AK109" s="22">
        <f t="shared" si="17"/>
        <v>0</v>
      </c>
      <c r="AL109" s="66">
        <f t="shared" si="18"/>
        <v>0</v>
      </c>
      <c r="AM109" s="66">
        <f t="shared" si="19"/>
        <v>0</v>
      </c>
      <c r="AN109" s="29">
        <f t="shared" si="20"/>
        <v>0</v>
      </c>
      <c r="AO109" s="52">
        <f t="shared" si="21"/>
        <v>0</v>
      </c>
      <c r="AP109" s="52">
        <f t="shared" si="22"/>
        <v>0</v>
      </c>
      <c r="AQ109" s="52">
        <f t="shared" si="23"/>
        <v>0</v>
      </c>
      <c r="AR109" s="52">
        <f t="shared" si="24"/>
        <v>0</v>
      </c>
      <c r="AS109" s="24" t="str">
        <f>IFERROR(
VLOOKUP(B109,Tablo1[[Ad Soyad]:[Günlük Ücreti]],2,0)*SUMPRODUCT(AI109:AR109,$AI$10:$AR$10),
"")</f>
        <v/>
      </c>
    </row>
    <row r="110" spans="2:45" ht="20.399999999999999" customHeight="1" x14ac:dyDescent="0.25">
      <c r="B110" s="14" t="str">
        <f>IF(G_Personellerim!B178="","",G_Personellerim!B178)</f>
        <v/>
      </c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2">
        <f t="shared" si="15"/>
        <v>0</v>
      </c>
      <c r="AJ110" s="22">
        <f t="shared" si="16"/>
        <v>0</v>
      </c>
      <c r="AK110" s="22">
        <f t="shared" si="17"/>
        <v>0</v>
      </c>
      <c r="AL110" s="66">
        <f t="shared" si="18"/>
        <v>0</v>
      </c>
      <c r="AM110" s="66">
        <f t="shared" si="19"/>
        <v>0</v>
      </c>
      <c r="AN110" s="29">
        <f t="shared" si="20"/>
        <v>0</v>
      </c>
      <c r="AO110" s="52">
        <f t="shared" si="21"/>
        <v>0</v>
      </c>
      <c r="AP110" s="52">
        <f t="shared" si="22"/>
        <v>0</v>
      </c>
      <c r="AQ110" s="52">
        <f t="shared" si="23"/>
        <v>0</v>
      </c>
      <c r="AR110" s="52">
        <f t="shared" si="24"/>
        <v>0</v>
      </c>
      <c r="AS110" s="24" t="str">
        <f>IFERROR(
VLOOKUP(B110,Tablo1[[Ad Soyad]:[Günlük Ücreti]],2,0)*SUMPRODUCT(AI110:AR110,$AI$10:$AR$10),
"")</f>
        <v/>
      </c>
    </row>
    <row r="111" spans="2:45" ht="20.399999999999999" customHeight="1" x14ac:dyDescent="0.25">
      <c r="B111" s="14" t="str">
        <f>IF(G_Personellerim!B179="","",G_Personellerim!B179)</f>
        <v/>
      </c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2">
        <f t="shared" si="15"/>
        <v>0</v>
      </c>
      <c r="AJ111" s="22">
        <f t="shared" si="16"/>
        <v>0</v>
      </c>
      <c r="AK111" s="22">
        <f t="shared" si="17"/>
        <v>0</v>
      </c>
      <c r="AL111" s="66">
        <f t="shared" si="18"/>
        <v>0</v>
      </c>
      <c r="AM111" s="66">
        <f t="shared" si="19"/>
        <v>0</v>
      </c>
      <c r="AN111" s="29">
        <f t="shared" si="20"/>
        <v>0</v>
      </c>
      <c r="AO111" s="52">
        <f t="shared" si="21"/>
        <v>0</v>
      </c>
      <c r="AP111" s="52">
        <f t="shared" si="22"/>
        <v>0</v>
      </c>
      <c r="AQ111" s="52">
        <f t="shared" si="23"/>
        <v>0</v>
      </c>
      <c r="AR111" s="52">
        <f t="shared" si="24"/>
        <v>0</v>
      </c>
      <c r="AS111" s="24" t="str">
        <f>IFERROR(
VLOOKUP(B111,Tablo1[[Ad Soyad]:[Günlük Ücreti]],2,0)*SUMPRODUCT(AI111:AR111,$AI$10:$AR$10),
"")</f>
        <v/>
      </c>
    </row>
    <row r="112" spans="2:45" ht="20.399999999999999" customHeight="1" x14ac:dyDescent="0.25">
      <c r="B112" s="14" t="str">
        <f>IF(G_Personellerim!B180="","",G_Personellerim!B180)</f>
        <v/>
      </c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2">
        <f t="shared" si="15"/>
        <v>0</v>
      </c>
      <c r="AJ112" s="22">
        <f t="shared" si="16"/>
        <v>0</v>
      </c>
      <c r="AK112" s="22">
        <f t="shared" si="17"/>
        <v>0</v>
      </c>
      <c r="AL112" s="66">
        <f t="shared" si="18"/>
        <v>0</v>
      </c>
      <c r="AM112" s="66">
        <f t="shared" si="19"/>
        <v>0</v>
      </c>
      <c r="AN112" s="29">
        <f t="shared" si="20"/>
        <v>0</v>
      </c>
      <c r="AO112" s="52">
        <f t="shared" si="21"/>
        <v>0</v>
      </c>
      <c r="AP112" s="52">
        <f t="shared" si="22"/>
        <v>0</v>
      </c>
      <c r="AQ112" s="52">
        <f t="shared" si="23"/>
        <v>0</v>
      </c>
      <c r="AR112" s="52">
        <f t="shared" si="24"/>
        <v>0</v>
      </c>
      <c r="AS112" s="24" t="str">
        <f>IFERROR(
VLOOKUP(B112,Tablo1[[Ad Soyad]:[Günlük Ücreti]],2,0)*SUMPRODUCT(AI112:AR112,$AI$10:$AR$10),
"")</f>
        <v/>
      </c>
    </row>
  </sheetData>
  <conditionalFormatting sqref="AI12:AN112 AP12:AR112">
    <cfRule type="expression" dxfId="42" priority="9">
      <formula>$B12=""</formula>
    </cfRule>
  </conditionalFormatting>
  <conditionalFormatting sqref="C12:AH112">
    <cfRule type="expression" dxfId="41" priority="2">
      <formula>OR(C12=$X$4,C12=$X$6,C12=$AC$4,C12=$AC$6)</formula>
    </cfRule>
    <cfRule type="expression" dxfId="40" priority="90">
      <formula>C12=$P$6</formula>
    </cfRule>
    <cfRule type="expression" dxfId="39" priority="91">
      <formula>OR(C12=$K$6,C12=$E$6)</formula>
    </cfRule>
  </conditionalFormatting>
  <conditionalFormatting sqref="C11:AH11">
    <cfRule type="expression" dxfId="38" priority="93">
      <formula>MONTH($B$6)&lt;&gt;MONTH(C11)</formula>
    </cfRule>
  </conditionalFormatting>
  <conditionalFormatting sqref="AL12:AL112">
    <cfRule type="expression" dxfId="37" priority="3">
      <formula>$B12=""</formula>
    </cfRule>
  </conditionalFormatting>
  <conditionalFormatting sqref="AO12:AO112">
    <cfRule type="expression" dxfId="36" priority="1">
      <formula>$B12=""</formula>
    </cfRule>
  </conditionalFormatting>
  <conditionalFormatting sqref="C11:AH112">
    <cfRule type="expression" dxfId="35" priority="101">
      <formula>IF($AS$4=1,C$10&gt;5,C$10&gt;6)</formula>
    </cfRule>
    <cfRule type="expression" dxfId="34" priority="102">
      <formula>C$9&lt;&gt;MONTH($B$6)</formula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1E83CA7-FB15-4744-A382-F86912D6030F}">
          <x14:formula1>
            <xm:f>Ayarlar!$B$5:$B$10</xm:f>
          </x14:formula1>
          <xm:sqref>B4</xm:sqref>
        </x14:dataValidation>
        <x14:dataValidation type="list" allowBlank="1" showInputMessage="1" showErrorMessage="1" xr:uid="{B01C773D-39D4-4721-9B06-BEBBBFCE7B98}">
          <x14:formula1>
            <xm:f>Ayarlar!$C$5:$C$16</xm:f>
          </x14:formula1>
          <xm:sqref>B6</xm:sqref>
        </x14:dataValidation>
        <x14:dataValidation type="list" allowBlank="1" showInputMessage="1" showErrorMessage="1" xr:uid="{9A9F632D-FC79-4BE6-936C-9334D329F4FD}">
          <x14:formula1>
            <xm:f>Ayarlar!$E$5:$E$17</xm:f>
          </x14:formula1>
          <xm:sqref>C12:AH112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B17B6-B1C6-4DFC-AF96-A22082D2C55D}">
  <sheetPr codeName="Sayfa3">
    <tabColor theme="5" tint="0.79998168889431442"/>
  </sheetPr>
  <dimension ref="A1:C102"/>
  <sheetViews>
    <sheetView showGridLines="0" zoomScale="205" zoomScaleNormal="205" workbookViewId="0">
      <selection activeCell="D13" sqref="D13"/>
    </sheetView>
  </sheetViews>
  <sheetFormatPr defaultRowHeight="13.8" x14ac:dyDescent="0.25"/>
  <cols>
    <col min="1" max="1" width="5.5" bestFit="1" customWidth="1"/>
    <col min="2" max="2" width="26.19921875" customWidth="1"/>
    <col min="3" max="3" width="13.5" bestFit="1" customWidth="1"/>
  </cols>
  <sheetData>
    <row r="1" spans="1:3" x14ac:dyDescent="0.25">
      <c r="A1" s="1" t="s">
        <v>1</v>
      </c>
      <c r="B1" s="1" t="s">
        <v>17</v>
      </c>
      <c r="C1" s="1" t="s">
        <v>3</v>
      </c>
    </row>
    <row r="2" spans="1:3" x14ac:dyDescent="0.25">
      <c r="A2" s="1">
        <v>1</v>
      </c>
      <c r="B2" s="3" t="s">
        <v>18</v>
      </c>
      <c r="C2" s="2">
        <v>100</v>
      </c>
    </row>
    <row r="3" spans="1:3" x14ac:dyDescent="0.25">
      <c r="A3" s="1">
        <v>2</v>
      </c>
      <c r="B3" s="3" t="s">
        <v>19</v>
      </c>
      <c r="C3" s="2">
        <v>150</v>
      </c>
    </row>
    <row r="4" spans="1:3" x14ac:dyDescent="0.25">
      <c r="A4" s="1">
        <v>3</v>
      </c>
      <c r="B4" s="3" t="s">
        <v>20</v>
      </c>
      <c r="C4" s="2">
        <v>170</v>
      </c>
    </row>
    <row r="5" spans="1:3" x14ac:dyDescent="0.25">
      <c r="A5" s="1">
        <v>4</v>
      </c>
      <c r="B5" s="3" t="s">
        <v>21</v>
      </c>
      <c r="C5" s="2">
        <v>110</v>
      </c>
    </row>
    <row r="6" spans="1:3" x14ac:dyDescent="0.25">
      <c r="A6" s="1">
        <v>5</v>
      </c>
      <c r="B6" s="3" t="s">
        <v>22</v>
      </c>
      <c r="C6" s="2">
        <v>100</v>
      </c>
    </row>
    <row r="7" spans="1:3" x14ac:dyDescent="0.25">
      <c r="A7" s="1">
        <v>6</v>
      </c>
      <c r="B7" s="3"/>
      <c r="C7" s="2"/>
    </row>
    <row r="8" spans="1:3" x14ac:dyDescent="0.25">
      <c r="A8" s="1">
        <v>7</v>
      </c>
      <c r="B8" s="3"/>
      <c r="C8" s="2"/>
    </row>
    <row r="9" spans="1:3" x14ac:dyDescent="0.25">
      <c r="A9" s="1">
        <v>8</v>
      </c>
      <c r="B9" s="3"/>
      <c r="C9" s="2"/>
    </row>
    <row r="10" spans="1:3" x14ac:dyDescent="0.25">
      <c r="A10" s="1">
        <v>9</v>
      </c>
      <c r="B10" s="3"/>
      <c r="C10" s="2"/>
    </row>
    <row r="11" spans="1:3" x14ac:dyDescent="0.25">
      <c r="A11" s="1">
        <v>10</v>
      </c>
      <c r="B11" s="3"/>
      <c r="C11" s="2"/>
    </row>
    <row r="12" spans="1:3" x14ac:dyDescent="0.25">
      <c r="A12" s="1">
        <v>11</v>
      </c>
      <c r="B12" s="3"/>
      <c r="C12" s="2"/>
    </row>
    <row r="13" spans="1:3" x14ac:dyDescent="0.25">
      <c r="A13" s="1">
        <v>12</v>
      </c>
      <c r="B13" s="3"/>
      <c r="C13" s="2"/>
    </row>
    <row r="14" spans="1:3" x14ac:dyDescent="0.25">
      <c r="A14" s="1">
        <v>13</v>
      </c>
      <c r="B14" s="3"/>
      <c r="C14" s="2"/>
    </row>
    <row r="15" spans="1:3" x14ac:dyDescent="0.25">
      <c r="A15" s="1">
        <v>14</v>
      </c>
      <c r="B15" s="3"/>
      <c r="C15" s="2"/>
    </row>
    <row r="16" spans="1:3" x14ac:dyDescent="0.25">
      <c r="A16" s="1">
        <v>15</v>
      </c>
      <c r="B16" s="3"/>
      <c r="C16" s="2"/>
    </row>
    <row r="17" spans="1:3" x14ac:dyDescent="0.25">
      <c r="A17" s="1">
        <v>16</v>
      </c>
      <c r="B17" s="3"/>
      <c r="C17" s="2"/>
    </row>
    <row r="18" spans="1:3" x14ac:dyDescent="0.25">
      <c r="A18" s="1">
        <v>17</v>
      </c>
      <c r="B18" s="3"/>
      <c r="C18" s="2"/>
    </row>
    <row r="19" spans="1:3" x14ac:dyDescent="0.25">
      <c r="A19" s="1">
        <v>18</v>
      </c>
      <c r="B19" s="3"/>
      <c r="C19" s="2"/>
    </row>
    <row r="20" spans="1:3" x14ac:dyDescent="0.25">
      <c r="A20" s="1">
        <v>19</v>
      </c>
      <c r="B20" s="3"/>
      <c r="C20" s="2"/>
    </row>
    <row r="21" spans="1:3" x14ac:dyDescent="0.25">
      <c r="A21" s="1">
        <v>20</v>
      </c>
      <c r="B21" s="3"/>
      <c r="C21" s="2"/>
    </row>
    <row r="22" spans="1:3" x14ac:dyDescent="0.25">
      <c r="A22" s="1">
        <v>21</v>
      </c>
      <c r="B22" s="3"/>
      <c r="C22" s="2"/>
    </row>
    <row r="23" spans="1:3" x14ac:dyDescent="0.25">
      <c r="A23" s="1">
        <v>22</v>
      </c>
      <c r="B23" s="3"/>
      <c r="C23" s="2"/>
    </row>
    <row r="24" spans="1:3" x14ac:dyDescent="0.25">
      <c r="A24" s="1">
        <v>23</v>
      </c>
      <c r="B24" s="3"/>
      <c r="C24" s="2"/>
    </row>
    <row r="25" spans="1:3" x14ac:dyDescent="0.25">
      <c r="A25" s="1">
        <v>24</v>
      </c>
      <c r="B25" s="3"/>
      <c r="C25" s="2"/>
    </row>
    <row r="26" spans="1:3" x14ac:dyDescent="0.25">
      <c r="A26" s="1">
        <v>25</v>
      </c>
      <c r="B26" s="3"/>
      <c r="C26" s="2"/>
    </row>
    <row r="27" spans="1:3" x14ac:dyDescent="0.25">
      <c r="A27" s="1">
        <v>26</v>
      </c>
      <c r="B27" s="3"/>
      <c r="C27" s="2"/>
    </row>
    <row r="28" spans="1:3" x14ac:dyDescent="0.25">
      <c r="A28" s="1">
        <v>27</v>
      </c>
      <c r="B28" s="3"/>
      <c r="C28" s="2"/>
    </row>
    <row r="29" spans="1:3" x14ac:dyDescent="0.25">
      <c r="A29" s="1">
        <v>28</v>
      </c>
      <c r="B29" s="3"/>
      <c r="C29" s="2"/>
    </row>
    <row r="30" spans="1:3" x14ac:dyDescent="0.25">
      <c r="A30" s="1">
        <v>29</v>
      </c>
      <c r="B30" s="3"/>
      <c r="C30" s="2"/>
    </row>
    <row r="31" spans="1:3" x14ac:dyDescent="0.25">
      <c r="A31" s="1">
        <v>30</v>
      </c>
      <c r="B31" s="3"/>
      <c r="C31" s="2"/>
    </row>
    <row r="32" spans="1:3" x14ac:dyDescent="0.25">
      <c r="A32" s="1">
        <v>31</v>
      </c>
      <c r="B32" s="3"/>
      <c r="C32" s="2"/>
    </row>
    <row r="33" spans="1:3" x14ac:dyDescent="0.25">
      <c r="A33" s="1">
        <v>32</v>
      </c>
      <c r="B33" s="3"/>
      <c r="C33" s="2"/>
    </row>
    <row r="34" spans="1:3" x14ac:dyDescent="0.25">
      <c r="A34" s="1">
        <v>33</v>
      </c>
      <c r="B34" s="3"/>
      <c r="C34" s="2"/>
    </row>
    <row r="35" spans="1:3" x14ac:dyDescent="0.25">
      <c r="A35" s="1">
        <v>34</v>
      </c>
      <c r="B35" s="3"/>
      <c r="C35" s="2"/>
    </row>
    <row r="36" spans="1:3" x14ac:dyDescent="0.25">
      <c r="A36" s="1">
        <v>35</v>
      </c>
      <c r="B36" s="3"/>
      <c r="C36" s="2"/>
    </row>
    <row r="37" spans="1:3" x14ac:dyDescent="0.25">
      <c r="A37" s="1">
        <v>36</v>
      </c>
      <c r="B37" s="3"/>
      <c r="C37" s="2"/>
    </row>
    <row r="38" spans="1:3" x14ac:dyDescent="0.25">
      <c r="A38" s="1">
        <v>37</v>
      </c>
      <c r="B38" s="3"/>
      <c r="C38" s="2"/>
    </row>
    <row r="39" spans="1:3" x14ac:dyDescent="0.25">
      <c r="A39" s="1">
        <v>38</v>
      </c>
      <c r="B39" s="3"/>
      <c r="C39" s="2"/>
    </row>
    <row r="40" spans="1:3" x14ac:dyDescent="0.25">
      <c r="A40" s="1">
        <v>39</v>
      </c>
      <c r="B40" s="3"/>
      <c r="C40" s="2"/>
    </row>
    <row r="41" spans="1:3" x14ac:dyDescent="0.25">
      <c r="A41" s="1">
        <v>40</v>
      </c>
      <c r="B41" s="3"/>
      <c r="C41" s="2"/>
    </row>
    <row r="42" spans="1:3" x14ac:dyDescent="0.25">
      <c r="A42" s="1">
        <v>41</v>
      </c>
      <c r="B42" s="3"/>
      <c r="C42" s="2"/>
    </row>
    <row r="43" spans="1:3" x14ac:dyDescent="0.25">
      <c r="A43" s="1">
        <v>42</v>
      </c>
      <c r="B43" s="3"/>
      <c r="C43" s="2"/>
    </row>
    <row r="44" spans="1:3" x14ac:dyDescent="0.25">
      <c r="A44" s="1">
        <v>43</v>
      </c>
      <c r="B44" s="3"/>
      <c r="C44" s="2"/>
    </row>
    <row r="45" spans="1:3" x14ac:dyDescent="0.25">
      <c r="A45" s="1">
        <v>44</v>
      </c>
      <c r="B45" s="3"/>
      <c r="C45" s="2"/>
    </row>
    <row r="46" spans="1:3" x14ac:dyDescent="0.25">
      <c r="A46" s="1">
        <v>45</v>
      </c>
      <c r="B46" s="3"/>
      <c r="C46" s="2"/>
    </row>
    <row r="47" spans="1:3" x14ac:dyDescent="0.25">
      <c r="A47" s="1">
        <v>46</v>
      </c>
      <c r="B47" s="3"/>
      <c r="C47" s="2"/>
    </row>
    <row r="48" spans="1:3" x14ac:dyDescent="0.25">
      <c r="A48" s="1">
        <v>47</v>
      </c>
      <c r="B48" s="3"/>
      <c r="C48" s="2"/>
    </row>
    <row r="49" spans="1:3" x14ac:dyDescent="0.25">
      <c r="A49" s="1">
        <v>48</v>
      </c>
      <c r="B49" s="3"/>
      <c r="C49" s="2"/>
    </row>
    <row r="50" spans="1:3" x14ac:dyDescent="0.25">
      <c r="A50" s="1">
        <v>49</v>
      </c>
      <c r="B50" s="3"/>
      <c r="C50" s="2"/>
    </row>
    <row r="51" spans="1:3" x14ac:dyDescent="0.25">
      <c r="A51" s="1">
        <v>50</v>
      </c>
      <c r="B51" s="3"/>
      <c r="C51" s="2"/>
    </row>
    <row r="52" spans="1:3" x14ac:dyDescent="0.25">
      <c r="A52" s="1">
        <v>51</v>
      </c>
      <c r="B52" s="3"/>
      <c r="C52" s="2"/>
    </row>
    <row r="53" spans="1:3" x14ac:dyDescent="0.25">
      <c r="A53" s="1">
        <v>52</v>
      </c>
      <c r="B53" s="3"/>
      <c r="C53" s="2"/>
    </row>
    <row r="54" spans="1:3" x14ac:dyDescent="0.25">
      <c r="A54" s="1">
        <v>53</v>
      </c>
      <c r="B54" s="3"/>
      <c r="C54" s="2"/>
    </row>
    <row r="55" spans="1:3" x14ac:dyDescent="0.25">
      <c r="A55" s="1">
        <v>54</v>
      </c>
      <c r="B55" s="3"/>
      <c r="C55" s="2"/>
    </row>
    <row r="56" spans="1:3" x14ac:dyDescent="0.25">
      <c r="A56" s="1">
        <v>55</v>
      </c>
      <c r="B56" s="3"/>
      <c r="C56" s="2"/>
    </row>
    <row r="57" spans="1:3" x14ac:dyDescent="0.25">
      <c r="A57" s="1">
        <v>56</v>
      </c>
      <c r="B57" s="3"/>
      <c r="C57" s="2"/>
    </row>
    <row r="58" spans="1:3" x14ac:dyDescent="0.25">
      <c r="A58" s="1">
        <v>57</v>
      </c>
      <c r="B58" s="3"/>
      <c r="C58" s="2"/>
    </row>
    <row r="59" spans="1:3" x14ac:dyDescent="0.25">
      <c r="A59" s="1">
        <v>58</v>
      </c>
      <c r="B59" s="3"/>
      <c r="C59" s="2"/>
    </row>
    <row r="60" spans="1:3" x14ac:dyDescent="0.25">
      <c r="A60" s="1">
        <v>59</v>
      </c>
      <c r="B60" s="3"/>
      <c r="C60" s="2"/>
    </row>
    <row r="61" spans="1:3" x14ac:dyDescent="0.25">
      <c r="A61" s="1">
        <v>60</v>
      </c>
      <c r="B61" s="3"/>
      <c r="C61" s="2"/>
    </row>
    <row r="62" spans="1:3" x14ac:dyDescent="0.25">
      <c r="A62" s="1">
        <v>61</v>
      </c>
      <c r="B62" s="3"/>
      <c r="C62" s="2"/>
    </row>
    <row r="63" spans="1:3" x14ac:dyDescent="0.25">
      <c r="A63" s="1">
        <v>62</v>
      </c>
      <c r="B63" s="3"/>
      <c r="C63" s="2"/>
    </row>
    <row r="64" spans="1:3" x14ac:dyDescent="0.25">
      <c r="A64" s="1">
        <v>63</v>
      </c>
      <c r="B64" s="3"/>
      <c r="C64" s="2"/>
    </row>
    <row r="65" spans="1:3" x14ac:dyDescent="0.25">
      <c r="A65" s="1">
        <v>64</v>
      </c>
      <c r="B65" s="3"/>
      <c r="C65" s="2"/>
    </row>
    <row r="66" spans="1:3" x14ac:dyDescent="0.25">
      <c r="A66" s="1">
        <v>65</v>
      </c>
      <c r="B66" s="3"/>
      <c r="C66" s="2"/>
    </row>
    <row r="67" spans="1:3" x14ac:dyDescent="0.25">
      <c r="A67" s="1">
        <v>66</v>
      </c>
      <c r="B67" s="3"/>
      <c r="C67" s="2"/>
    </row>
    <row r="68" spans="1:3" x14ac:dyDescent="0.25">
      <c r="A68" s="1">
        <v>67</v>
      </c>
      <c r="B68" s="3"/>
      <c r="C68" s="2"/>
    </row>
    <row r="69" spans="1:3" x14ac:dyDescent="0.25">
      <c r="A69" s="1">
        <v>68</v>
      </c>
      <c r="B69" s="3"/>
      <c r="C69" s="2"/>
    </row>
    <row r="70" spans="1:3" x14ac:dyDescent="0.25">
      <c r="A70" s="1">
        <v>69</v>
      </c>
      <c r="B70" s="3"/>
      <c r="C70" s="2"/>
    </row>
    <row r="71" spans="1:3" x14ac:dyDescent="0.25">
      <c r="A71" s="1">
        <v>70</v>
      </c>
      <c r="B71" s="3"/>
      <c r="C71" s="2"/>
    </row>
    <row r="72" spans="1:3" x14ac:dyDescent="0.25">
      <c r="A72" s="1">
        <v>71</v>
      </c>
      <c r="B72" s="3"/>
      <c r="C72" s="2"/>
    </row>
    <row r="73" spans="1:3" x14ac:dyDescent="0.25">
      <c r="A73" s="1">
        <v>72</v>
      </c>
      <c r="B73" s="3"/>
      <c r="C73" s="2"/>
    </row>
    <row r="74" spans="1:3" x14ac:dyDescent="0.25">
      <c r="A74" s="1">
        <v>73</v>
      </c>
      <c r="B74" s="3"/>
      <c r="C74" s="2"/>
    </row>
    <row r="75" spans="1:3" x14ac:dyDescent="0.25">
      <c r="A75" s="1">
        <v>74</v>
      </c>
      <c r="B75" s="3"/>
      <c r="C75" s="2"/>
    </row>
    <row r="76" spans="1:3" x14ac:dyDescent="0.25">
      <c r="A76" s="1">
        <v>75</v>
      </c>
      <c r="B76" s="3"/>
      <c r="C76" s="2"/>
    </row>
    <row r="77" spans="1:3" x14ac:dyDescent="0.25">
      <c r="A77" s="1">
        <v>76</v>
      </c>
      <c r="B77" s="3"/>
      <c r="C77" s="2"/>
    </row>
    <row r="78" spans="1:3" x14ac:dyDescent="0.25">
      <c r="A78" s="1">
        <v>77</v>
      </c>
      <c r="B78" s="3"/>
      <c r="C78" s="2"/>
    </row>
    <row r="79" spans="1:3" x14ac:dyDescent="0.25">
      <c r="A79" s="1">
        <v>78</v>
      </c>
      <c r="B79" s="3"/>
      <c r="C79" s="2"/>
    </row>
    <row r="80" spans="1:3" x14ac:dyDescent="0.25">
      <c r="A80" s="1">
        <v>79</v>
      </c>
      <c r="B80" s="3"/>
      <c r="C80" s="2"/>
    </row>
    <row r="81" spans="1:3" x14ac:dyDescent="0.25">
      <c r="A81" s="1">
        <v>80</v>
      </c>
      <c r="B81" s="3"/>
      <c r="C81" s="2"/>
    </row>
    <row r="82" spans="1:3" x14ac:dyDescent="0.25">
      <c r="A82" s="1">
        <v>81</v>
      </c>
      <c r="B82" s="3"/>
      <c r="C82" s="2"/>
    </row>
    <row r="83" spans="1:3" x14ac:dyDescent="0.25">
      <c r="A83" s="1">
        <v>82</v>
      </c>
      <c r="B83" s="3"/>
      <c r="C83" s="2"/>
    </row>
    <row r="84" spans="1:3" x14ac:dyDescent="0.25">
      <c r="A84" s="1">
        <v>83</v>
      </c>
      <c r="B84" s="3"/>
      <c r="C84" s="2"/>
    </row>
    <row r="85" spans="1:3" x14ac:dyDescent="0.25">
      <c r="A85" s="1">
        <v>84</v>
      </c>
      <c r="B85" s="3"/>
      <c r="C85" s="2"/>
    </row>
    <row r="86" spans="1:3" x14ac:dyDescent="0.25">
      <c r="A86" s="1">
        <v>85</v>
      </c>
      <c r="B86" s="3"/>
      <c r="C86" s="2"/>
    </row>
    <row r="87" spans="1:3" x14ac:dyDescent="0.25">
      <c r="A87" s="1">
        <v>86</v>
      </c>
      <c r="B87" s="3"/>
      <c r="C87" s="2"/>
    </row>
    <row r="88" spans="1:3" x14ac:dyDescent="0.25">
      <c r="A88" s="1">
        <v>87</v>
      </c>
      <c r="B88" s="3"/>
      <c r="C88" s="2"/>
    </row>
    <row r="89" spans="1:3" x14ac:dyDescent="0.25">
      <c r="A89" s="1">
        <v>88</v>
      </c>
      <c r="B89" s="3"/>
      <c r="C89" s="2"/>
    </row>
    <row r="90" spans="1:3" x14ac:dyDescent="0.25">
      <c r="A90" s="1">
        <v>89</v>
      </c>
      <c r="B90" s="3"/>
      <c r="C90" s="2"/>
    </row>
    <row r="91" spans="1:3" x14ac:dyDescent="0.25">
      <c r="A91" s="1">
        <v>90</v>
      </c>
      <c r="B91" s="3"/>
      <c r="C91" s="2"/>
    </row>
    <row r="92" spans="1:3" x14ac:dyDescent="0.25">
      <c r="A92" s="1">
        <v>91</v>
      </c>
      <c r="B92" s="3"/>
      <c r="C92" s="2"/>
    </row>
    <row r="93" spans="1:3" x14ac:dyDescent="0.25">
      <c r="A93" s="1">
        <v>92</v>
      </c>
      <c r="B93" s="3"/>
      <c r="C93" s="2"/>
    </row>
    <row r="94" spans="1:3" x14ac:dyDescent="0.25">
      <c r="A94" s="1">
        <v>93</v>
      </c>
      <c r="B94" s="3"/>
      <c r="C94" s="2"/>
    </row>
    <row r="95" spans="1:3" x14ac:dyDescent="0.25">
      <c r="A95" s="1">
        <v>94</v>
      </c>
      <c r="B95" s="3"/>
      <c r="C95" s="2"/>
    </row>
    <row r="96" spans="1:3" x14ac:dyDescent="0.25">
      <c r="A96" s="1">
        <v>95</v>
      </c>
      <c r="B96" s="3"/>
      <c r="C96" s="2"/>
    </row>
    <row r="97" spans="1:3" x14ac:dyDescent="0.25">
      <c r="A97" s="1">
        <v>96</v>
      </c>
      <c r="B97" s="3"/>
      <c r="C97" s="2"/>
    </row>
    <row r="98" spans="1:3" x14ac:dyDescent="0.25">
      <c r="A98" s="1">
        <v>97</v>
      </c>
      <c r="B98" s="3"/>
      <c r="C98" s="2"/>
    </row>
    <row r="99" spans="1:3" x14ac:dyDescent="0.25">
      <c r="A99" s="1">
        <v>98</v>
      </c>
      <c r="B99" s="3"/>
      <c r="C99" s="2"/>
    </row>
    <row r="100" spans="1:3" x14ac:dyDescent="0.25">
      <c r="A100" s="1">
        <v>99</v>
      </c>
      <c r="B100" s="3"/>
      <c r="C100" s="2"/>
    </row>
    <row r="101" spans="1:3" x14ac:dyDescent="0.25">
      <c r="A101" s="1">
        <v>100</v>
      </c>
      <c r="B101" s="3"/>
      <c r="C101" s="2"/>
    </row>
    <row r="102" spans="1:3" x14ac:dyDescent="0.25">
      <c r="A102" s="1">
        <v>101</v>
      </c>
      <c r="B102" s="3"/>
      <c r="C102" s="2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F5CA7-551B-4D22-A0A2-4ACDF7CF53D8}">
  <sheetPr codeName="Sayfa5">
    <tabColor theme="7" tint="0.79998168889431442"/>
  </sheetPr>
  <dimension ref="B2:G12"/>
  <sheetViews>
    <sheetView showGridLines="0" zoomScale="85" zoomScaleNormal="85" workbookViewId="0">
      <selection activeCell="B5" sqref="B5:C11"/>
    </sheetView>
  </sheetViews>
  <sheetFormatPr defaultRowHeight="13.8" x14ac:dyDescent="0.25"/>
  <cols>
    <col min="1" max="1" width="3.3984375" customWidth="1"/>
    <col min="2" max="2" width="23.5" bestFit="1" customWidth="1"/>
    <col min="3" max="3" width="15.296875" bestFit="1" customWidth="1"/>
    <col min="4" max="4" width="12.296875" customWidth="1"/>
    <col min="5" max="5" width="17.8984375" customWidth="1"/>
    <col min="6" max="6" width="19.296875" customWidth="1"/>
    <col min="7" max="7" width="16.296875" customWidth="1"/>
    <col min="8" max="13" width="6.19921875" bestFit="1" customWidth="1"/>
    <col min="14" max="35" width="7.19921875" bestFit="1" customWidth="1"/>
    <col min="36" max="36" width="11.69921875" bestFit="1" customWidth="1"/>
    <col min="37" max="37" width="5.796875" bestFit="1" customWidth="1"/>
    <col min="38" max="45" width="5.59765625" bestFit="1" customWidth="1"/>
    <col min="46" max="66" width="6.59765625" bestFit="1" customWidth="1"/>
    <col min="67" max="67" width="11.09765625" bestFit="1" customWidth="1"/>
    <col min="68" max="68" width="4.8984375" bestFit="1" customWidth="1"/>
    <col min="69" max="76" width="4.69921875" bestFit="1" customWidth="1"/>
    <col min="77" max="98" width="5.69921875" bestFit="1" customWidth="1"/>
    <col min="99" max="99" width="10.19921875" bestFit="1" customWidth="1"/>
    <col min="100" max="100" width="13.3984375" bestFit="1" customWidth="1"/>
  </cols>
  <sheetData>
    <row r="2" spans="2:7" ht="29.4" customHeight="1" x14ac:dyDescent="0.25">
      <c r="B2" s="34" t="s">
        <v>37</v>
      </c>
    </row>
    <row r="5" spans="2:7" hidden="1" x14ac:dyDescent="0.25">
      <c r="B5" s="30" t="s">
        <v>30</v>
      </c>
      <c r="C5" s="30" t="s">
        <v>31</v>
      </c>
    </row>
    <row r="6" spans="2:7" ht="26.4" customHeight="1" x14ac:dyDescent="0.25">
      <c r="B6" s="30" t="s">
        <v>32</v>
      </c>
      <c r="C6" t="s">
        <v>79</v>
      </c>
      <c r="D6" t="s">
        <v>80</v>
      </c>
      <c r="E6" t="s">
        <v>29</v>
      </c>
    </row>
    <row r="7" spans="2:7" s="31" customFormat="1" ht="26.4" customHeight="1" x14ac:dyDescent="0.25">
      <c r="B7" s="3" t="s">
        <v>19</v>
      </c>
      <c r="C7" s="32">
        <v>4575</v>
      </c>
      <c r="D7" s="32">
        <v>4200</v>
      </c>
      <c r="E7" s="32">
        <v>8775</v>
      </c>
      <c r="F7"/>
      <c r="G7"/>
    </row>
    <row r="8" spans="2:7" s="31" customFormat="1" ht="26.4" customHeight="1" x14ac:dyDescent="0.25">
      <c r="B8" s="3" t="s">
        <v>20</v>
      </c>
      <c r="C8" s="32">
        <v>5185</v>
      </c>
      <c r="D8" s="32">
        <v>0</v>
      </c>
      <c r="E8" s="32">
        <v>5185</v>
      </c>
      <c r="F8"/>
      <c r="G8"/>
    </row>
    <row r="9" spans="2:7" s="31" customFormat="1" ht="26.4" customHeight="1" x14ac:dyDescent="0.25">
      <c r="B9" s="3" t="s">
        <v>22</v>
      </c>
      <c r="C9" s="32">
        <v>3100</v>
      </c>
      <c r="D9" s="32">
        <v>2550</v>
      </c>
      <c r="E9" s="32">
        <v>5650</v>
      </c>
      <c r="F9"/>
      <c r="G9"/>
    </row>
    <row r="10" spans="2:7" s="31" customFormat="1" ht="26.4" customHeight="1" x14ac:dyDescent="0.25">
      <c r="B10" s="3" t="s">
        <v>18</v>
      </c>
      <c r="C10" s="32">
        <v>3100</v>
      </c>
      <c r="D10" s="32">
        <v>2800</v>
      </c>
      <c r="E10" s="32">
        <v>5900</v>
      </c>
      <c r="F10"/>
      <c r="G10"/>
    </row>
    <row r="11" spans="2:7" s="31" customFormat="1" ht="26.4" customHeight="1" x14ac:dyDescent="0.25">
      <c r="B11" s="3" t="s">
        <v>21</v>
      </c>
      <c r="C11" s="32">
        <v>3410</v>
      </c>
      <c r="D11" s="32">
        <v>3080</v>
      </c>
      <c r="E11" s="32">
        <v>6490</v>
      </c>
      <c r="F11"/>
      <c r="G11"/>
    </row>
    <row r="12" spans="2:7" ht="26.4" customHeight="1" x14ac:dyDescent="0.25">
      <c r="B12" s="3" t="s">
        <v>29</v>
      </c>
      <c r="C12" s="32">
        <v>19370</v>
      </c>
      <c r="D12" s="32">
        <v>12630</v>
      </c>
      <c r="E12" s="32">
        <v>32000</v>
      </c>
    </row>
  </sheetData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85E2D-3D58-4B77-8728-FBB076B84C39}">
  <sheetPr codeName="Sayfa6">
    <tabColor theme="7" tint="0.79998168889431442"/>
  </sheetPr>
  <dimension ref="B2:I13"/>
  <sheetViews>
    <sheetView showGridLines="0" zoomScale="160" zoomScaleNormal="160" workbookViewId="0">
      <selection activeCell="B5" sqref="B5:C11"/>
    </sheetView>
  </sheetViews>
  <sheetFormatPr defaultRowHeight="13.8" x14ac:dyDescent="0.25"/>
  <cols>
    <col min="1" max="1" width="3.3984375" customWidth="1"/>
    <col min="2" max="2" width="26" customWidth="1"/>
    <col min="3" max="3" width="20.8984375" customWidth="1"/>
    <col min="4" max="5" width="10" bestFit="1" customWidth="1"/>
    <col min="6" max="6" width="12.19921875" customWidth="1"/>
    <col min="7" max="7" width="16.296875" customWidth="1"/>
    <col min="8" max="13" width="6.19921875" bestFit="1" customWidth="1"/>
    <col min="14" max="35" width="7.19921875" bestFit="1" customWidth="1"/>
    <col min="36" max="36" width="11.69921875" bestFit="1" customWidth="1"/>
    <col min="37" max="37" width="5.796875" bestFit="1" customWidth="1"/>
    <col min="38" max="45" width="5.59765625" bestFit="1" customWidth="1"/>
    <col min="46" max="66" width="6.59765625" bestFit="1" customWidth="1"/>
    <col min="67" max="67" width="11.09765625" bestFit="1" customWidth="1"/>
    <col min="68" max="68" width="4.8984375" bestFit="1" customWidth="1"/>
    <col min="69" max="76" width="4.69921875" bestFit="1" customWidth="1"/>
    <col min="77" max="98" width="5.69921875" bestFit="1" customWidth="1"/>
    <col min="99" max="99" width="10.19921875" bestFit="1" customWidth="1"/>
    <col min="100" max="100" width="13.3984375" bestFit="1" customWidth="1"/>
  </cols>
  <sheetData>
    <row r="2" spans="2:9" ht="29.4" x14ac:dyDescent="0.25">
      <c r="B2" s="34" t="s">
        <v>38</v>
      </c>
    </row>
    <row r="5" spans="2:9" x14ac:dyDescent="0.25">
      <c r="B5" s="30" t="s">
        <v>2</v>
      </c>
      <c r="C5" t="s">
        <v>47</v>
      </c>
    </row>
    <row r="7" spans="2:9" x14ac:dyDescent="0.25">
      <c r="B7" s="33" t="s">
        <v>32</v>
      </c>
      <c r="C7" s="1" t="s">
        <v>36</v>
      </c>
    </row>
    <row r="8" spans="2:9" s="1" customFormat="1" x14ac:dyDescent="0.25">
      <c r="B8" s="3" t="s">
        <v>19</v>
      </c>
      <c r="C8" s="1">
        <v>1</v>
      </c>
      <c r="D8"/>
      <c r="E8"/>
      <c r="F8"/>
      <c r="G8"/>
      <c r="H8"/>
      <c r="I8"/>
    </row>
    <row r="9" spans="2:9" s="31" customFormat="1" x14ac:dyDescent="0.25">
      <c r="B9" s="3" t="s">
        <v>20</v>
      </c>
      <c r="C9" s="1">
        <v>1</v>
      </c>
      <c r="D9"/>
      <c r="E9"/>
      <c r="F9"/>
      <c r="G9"/>
      <c r="H9"/>
      <c r="I9"/>
    </row>
    <row r="10" spans="2:9" s="31" customFormat="1" x14ac:dyDescent="0.25">
      <c r="B10" s="3" t="s">
        <v>22</v>
      </c>
      <c r="C10" s="1">
        <v>3</v>
      </c>
      <c r="D10"/>
      <c r="E10"/>
      <c r="F10"/>
      <c r="G10"/>
      <c r="H10"/>
      <c r="I10"/>
    </row>
    <row r="11" spans="2:9" s="31" customFormat="1" x14ac:dyDescent="0.25">
      <c r="B11" s="3" t="s">
        <v>29</v>
      </c>
      <c r="C11" s="1">
        <v>5</v>
      </c>
      <c r="D11"/>
      <c r="E11"/>
      <c r="F11"/>
      <c r="G11"/>
      <c r="H11"/>
      <c r="I11"/>
    </row>
    <row r="12" spans="2:9" s="31" customFormat="1" x14ac:dyDescent="0.25">
      <c r="B12"/>
      <c r="C12"/>
      <c r="D12"/>
      <c r="E12"/>
      <c r="F12"/>
      <c r="G12"/>
      <c r="H12"/>
      <c r="I12"/>
    </row>
    <row r="13" spans="2:9" s="31" customFormat="1" x14ac:dyDescent="0.25">
      <c r="B13"/>
      <c r="C13"/>
      <c r="D13"/>
      <c r="E13"/>
      <c r="F13"/>
      <c r="G13"/>
      <c r="H13"/>
      <c r="I13"/>
    </row>
  </sheetData>
  <pageMargins left="0.7" right="0.7" top="0.75" bottom="0.75" header="0.3" footer="0.3"/>
  <pageSetup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65C10-C603-4AF8-BE4A-0190701A03A8}">
  <sheetPr codeName="Sayfa4">
    <tabColor theme="8" tint="0.79998168889431442"/>
  </sheetPr>
  <dimension ref="B1:H17"/>
  <sheetViews>
    <sheetView showGridLines="0" zoomScale="85" zoomScaleNormal="85" workbookViewId="0">
      <selection activeCell="E5" sqref="E5"/>
    </sheetView>
  </sheetViews>
  <sheetFormatPr defaultRowHeight="13.8" x14ac:dyDescent="0.25"/>
  <cols>
    <col min="1" max="1" width="3.09765625" customWidth="1"/>
    <col min="2" max="2" width="11.59765625" customWidth="1"/>
    <col min="3" max="3" width="15.59765625" customWidth="1"/>
    <col min="4" max="4" width="6.8984375" customWidth="1"/>
    <col min="5" max="5" width="11.5" customWidth="1"/>
    <col min="6" max="6" width="9.5" bestFit="1" customWidth="1"/>
    <col min="7" max="7" width="17.5" customWidth="1"/>
    <col min="8" max="8" width="38.796875" customWidth="1"/>
  </cols>
  <sheetData>
    <row r="1" spans="2:8" ht="7.8" customHeight="1" x14ac:dyDescent="0.25"/>
    <row r="2" spans="2:8" ht="44.4" x14ac:dyDescent="0.7">
      <c r="B2" s="36" t="s">
        <v>35</v>
      </c>
    </row>
    <row r="3" spans="2:8" ht="15" customHeight="1" x14ac:dyDescent="0.25"/>
    <row r="4" spans="2:8" ht="27" customHeight="1" x14ac:dyDescent="0.25">
      <c r="B4" s="64" t="s">
        <v>5</v>
      </c>
      <c r="C4" s="62" t="s">
        <v>4</v>
      </c>
      <c r="E4" s="62" t="s">
        <v>2</v>
      </c>
      <c r="F4" s="62" t="s">
        <v>60</v>
      </c>
      <c r="G4" s="63" t="s">
        <v>33</v>
      </c>
      <c r="H4" s="63" t="s">
        <v>34</v>
      </c>
    </row>
    <row r="5" spans="2:8" ht="21.75" customHeight="1" x14ac:dyDescent="0.25">
      <c r="B5" s="60">
        <f ca="1">B6-1</f>
        <v>2022</v>
      </c>
      <c r="C5" s="61">
        <f>DATE(G_Puantaj!B4,1,1)</f>
        <v>44562</v>
      </c>
      <c r="E5" s="53" t="s">
        <v>7</v>
      </c>
      <c r="F5" s="54">
        <v>1</v>
      </c>
      <c r="G5" s="55" t="s">
        <v>6</v>
      </c>
      <c r="H5" s="55" t="s">
        <v>51</v>
      </c>
    </row>
    <row r="6" spans="2:8" ht="21.75" customHeight="1" x14ac:dyDescent="0.25">
      <c r="B6" s="60">
        <f ca="1">YEAR(TODAY())</f>
        <v>2023</v>
      </c>
      <c r="C6" s="61">
        <f>EDATE(C5,1)</f>
        <v>44593</v>
      </c>
      <c r="E6" s="53" t="s">
        <v>45</v>
      </c>
      <c r="F6" s="54">
        <v>1.5</v>
      </c>
      <c r="G6" s="55" t="s">
        <v>48</v>
      </c>
      <c r="H6" s="55" t="s">
        <v>50</v>
      </c>
    </row>
    <row r="7" spans="2:8" ht="21.75" customHeight="1" x14ac:dyDescent="0.25">
      <c r="B7" s="60">
        <f ca="1">B6+1</f>
        <v>2024</v>
      </c>
      <c r="C7" s="61">
        <f t="shared" ref="C7:C16" si="0">EDATE(C6,1)</f>
        <v>44621</v>
      </c>
      <c r="E7" s="53" t="s">
        <v>46</v>
      </c>
      <c r="F7" s="54">
        <v>2</v>
      </c>
      <c r="G7" s="55" t="s">
        <v>49</v>
      </c>
      <c r="H7" s="55" t="s">
        <v>52</v>
      </c>
    </row>
    <row r="8" spans="2:8" ht="21.75" customHeight="1" x14ac:dyDescent="0.25">
      <c r="B8" s="60">
        <f t="shared" ref="B8:B9" ca="1" si="1">B7+1</f>
        <v>2025</v>
      </c>
      <c r="C8" s="61">
        <f t="shared" si="0"/>
        <v>44652</v>
      </c>
    </row>
    <row r="9" spans="2:8" ht="21.75" customHeight="1" x14ac:dyDescent="0.25">
      <c r="B9" s="60">
        <f t="shared" ca="1" si="1"/>
        <v>2026</v>
      </c>
      <c r="C9" s="61">
        <f t="shared" si="0"/>
        <v>44682</v>
      </c>
      <c r="E9" s="56" t="s">
        <v>71</v>
      </c>
      <c r="F9" s="70">
        <v>1</v>
      </c>
      <c r="G9" s="57" t="s">
        <v>73</v>
      </c>
      <c r="H9" s="57" t="s">
        <v>51</v>
      </c>
    </row>
    <row r="10" spans="2:8" ht="21.75" customHeight="1" x14ac:dyDescent="0.25">
      <c r="B10" s="60">
        <f ca="1">B9+1</f>
        <v>2027</v>
      </c>
      <c r="C10" s="61">
        <f t="shared" si="0"/>
        <v>44713</v>
      </c>
      <c r="E10" s="56" t="s">
        <v>9</v>
      </c>
      <c r="F10" s="70">
        <v>1</v>
      </c>
      <c r="G10" s="57" t="s">
        <v>8</v>
      </c>
      <c r="H10" s="57" t="s">
        <v>51</v>
      </c>
    </row>
    <row r="11" spans="2:8" ht="21.75" customHeight="1" x14ac:dyDescent="0.25">
      <c r="C11" s="61">
        <f t="shared" si="0"/>
        <v>44743</v>
      </c>
      <c r="E11" s="56" t="s">
        <v>12</v>
      </c>
      <c r="F11" s="70">
        <v>1</v>
      </c>
      <c r="G11" s="57" t="s">
        <v>10</v>
      </c>
      <c r="H11" s="57" t="s">
        <v>51</v>
      </c>
    </row>
    <row r="12" spans="2:8" ht="21.75" customHeight="1" x14ac:dyDescent="0.25">
      <c r="C12" s="61">
        <f t="shared" si="0"/>
        <v>44774</v>
      </c>
      <c r="E12" s="56" t="s">
        <v>14</v>
      </c>
      <c r="F12" s="70">
        <v>1</v>
      </c>
      <c r="G12" s="57" t="s">
        <v>13</v>
      </c>
      <c r="H12" s="57" t="s">
        <v>51</v>
      </c>
    </row>
    <row r="13" spans="2:8" ht="21.75" customHeight="1" x14ac:dyDescent="0.25">
      <c r="C13" s="61">
        <f t="shared" si="0"/>
        <v>44805</v>
      </c>
    </row>
    <row r="14" spans="2:8" ht="21.75" customHeight="1" x14ac:dyDescent="0.25">
      <c r="C14" s="61">
        <f t="shared" si="0"/>
        <v>44835</v>
      </c>
      <c r="E14" s="58" t="s">
        <v>16</v>
      </c>
      <c r="F14" s="71">
        <v>0</v>
      </c>
      <c r="G14" s="59" t="s">
        <v>15</v>
      </c>
      <c r="H14" s="59" t="s">
        <v>56</v>
      </c>
    </row>
    <row r="15" spans="2:8" ht="21.75" customHeight="1" x14ac:dyDescent="0.25">
      <c r="C15" s="61">
        <f t="shared" si="0"/>
        <v>44866</v>
      </c>
    </row>
    <row r="16" spans="2:8" ht="21.75" customHeight="1" x14ac:dyDescent="0.25">
      <c r="C16" s="61">
        <f t="shared" si="0"/>
        <v>44896</v>
      </c>
      <c r="E16" s="67" t="s">
        <v>47</v>
      </c>
      <c r="F16" s="68">
        <v>0.5</v>
      </c>
      <c r="G16" s="69" t="s">
        <v>54</v>
      </c>
      <c r="H16" s="69" t="s">
        <v>53</v>
      </c>
    </row>
    <row r="17" spans="5:8" ht="21.75" customHeight="1" x14ac:dyDescent="0.25">
      <c r="E17" s="67" t="s">
        <v>27</v>
      </c>
      <c r="F17" s="68">
        <v>-1</v>
      </c>
      <c r="G17" s="69" t="s">
        <v>28</v>
      </c>
      <c r="H17" s="69" t="s">
        <v>55</v>
      </c>
    </row>
  </sheetData>
  <conditionalFormatting sqref="E14:H14">
    <cfRule type="expression" dxfId="6" priority="2">
      <formula>$C9=""</formula>
    </cfRule>
  </conditionalFormatting>
  <conditionalFormatting sqref="F14">
    <cfRule type="expression" dxfId="5" priority="1">
      <formula>$C9=""</formula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4580E-D07E-441D-95B4-7FB397165EB5}">
  <sheetPr codeName="shDB">
    <tabColor theme="8" tint="0.79998168889431442"/>
  </sheetPr>
  <dimension ref="A1:D571"/>
  <sheetViews>
    <sheetView showGridLines="0" zoomScale="175" zoomScaleNormal="175" workbookViewId="0">
      <selection activeCell="E5" sqref="E5"/>
    </sheetView>
  </sheetViews>
  <sheetFormatPr defaultRowHeight="13.8" x14ac:dyDescent="0.25"/>
  <cols>
    <col min="1" max="1" width="15.5" style="3" customWidth="1"/>
    <col min="2" max="2" width="8.796875" style="3"/>
    <col min="3" max="3" width="23.5" style="3" bestFit="1" customWidth="1"/>
    <col min="4" max="4" width="12.8984375" style="3" customWidth="1"/>
    <col min="5" max="16384" width="8.796875" style="3"/>
  </cols>
  <sheetData>
    <row r="1" spans="1:4" x14ac:dyDescent="0.25">
      <c r="A1" s="3" t="s">
        <v>25</v>
      </c>
      <c r="B1" s="3" t="s">
        <v>2</v>
      </c>
      <c r="C1" s="3" t="s">
        <v>0</v>
      </c>
      <c r="D1" s="3" t="s">
        <v>26</v>
      </c>
    </row>
    <row r="2" spans="1:4" x14ac:dyDescent="0.25">
      <c r="A2" s="15">
        <v>44620</v>
      </c>
      <c r="B2" s="3" t="s">
        <v>7</v>
      </c>
      <c r="C2" s="3" t="s">
        <v>22</v>
      </c>
      <c r="D2" s="3">
        <f>IFERROR(VLOOKUP(Tablo3[[#This Row],[Personel Adı]],Tablo1[[Ad Soyad]:[Günlük Ücreti]],2,0)*VLOOKUP(Tablo3[[#This Row],[Durum]],Ayarlar!$E:$F,2,0),VLOOKUP(Tablo3[[#This Row],[Personel Adı]],Tablo1[[Ad Soyad]:[Günlük Ücreti]],2,0))</f>
        <v>100</v>
      </c>
    </row>
    <row r="3" spans="1:4" x14ac:dyDescent="0.25">
      <c r="A3" s="15">
        <v>44619</v>
      </c>
      <c r="B3" s="3" t="s">
        <v>71</v>
      </c>
      <c r="C3" s="3" t="s">
        <v>22</v>
      </c>
      <c r="D3" s="3">
        <f>IFERROR(VLOOKUP(Tablo3[[#This Row],[Personel Adı]],Tablo1[[Ad Soyad]:[Günlük Ücreti]],2,0)*VLOOKUP(Tablo3[[#This Row],[Durum]],Ayarlar!$E:$F,2,0),VLOOKUP(Tablo3[[#This Row],[Personel Adı]],Tablo1[[Ad Soyad]:[Günlük Ücreti]],2,0))</f>
        <v>100</v>
      </c>
    </row>
    <row r="4" spans="1:4" x14ac:dyDescent="0.25">
      <c r="A4" s="15">
        <v>44618</v>
      </c>
      <c r="B4" s="3" t="s">
        <v>71</v>
      </c>
      <c r="C4" s="3" t="s">
        <v>22</v>
      </c>
      <c r="D4" s="3">
        <f>IFERROR(VLOOKUP(Tablo3[[#This Row],[Personel Adı]],Tablo1[[Ad Soyad]:[Günlük Ücreti]],2,0)*VLOOKUP(Tablo3[[#This Row],[Durum]],Ayarlar!$E:$F,2,0),VLOOKUP(Tablo3[[#This Row],[Personel Adı]],Tablo1[[Ad Soyad]:[Günlük Ücreti]],2,0))</f>
        <v>100</v>
      </c>
    </row>
    <row r="5" spans="1:4" x14ac:dyDescent="0.25">
      <c r="A5" s="15">
        <v>44617</v>
      </c>
      <c r="B5" s="3" t="s">
        <v>7</v>
      </c>
      <c r="C5" s="3" t="s">
        <v>22</v>
      </c>
      <c r="D5" s="3">
        <f>IFERROR(VLOOKUP(Tablo3[[#This Row],[Personel Adı]],Tablo1[[Ad Soyad]:[Günlük Ücreti]],2,0)*VLOOKUP(Tablo3[[#This Row],[Durum]],Ayarlar!$E:$F,2,0),VLOOKUP(Tablo3[[#This Row],[Personel Adı]],Tablo1[[Ad Soyad]:[Günlük Ücreti]],2,0))</f>
        <v>100</v>
      </c>
    </row>
    <row r="6" spans="1:4" x14ac:dyDescent="0.25">
      <c r="A6" s="15">
        <v>44616</v>
      </c>
      <c r="B6" s="3" t="s">
        <v>12</v>
      </c>
      <c r="C6" s="3" t="s">
        <v>22</v>
      </c>
      <c r="D6" s="3">
        <f>IFERROR(VLOOKUP(Tablo3[[#This Row],[Personel Adı]],Tablo1[[Ad Soyad]:[Günlük Ücreti]],2,0)*VLOOKUP(Tablo3[[#This Row],[Durum]],Ayarlar!$E:$F,2,0),VLOOKUP(Tablo3[[#This Row],[Personel Adı]],Tablo1[[Ad Soyad]:[Günlük Ücreti]],2,0))</f>
        <v>100</v>
      </c>
    </row>
    <row r="7" spans="1:4" x14ac:dyDescent="0.25">
      <c r="A7" s="15">
        <v>44615</v>
      </c>
      <c r="B7" s="3" t="s">
        <v>12</v>
      </c>
      <c r="C7" s="3" t="s">
        <v>22</v>
      </c>
      <c r="D7" s="3">
        <f>IFERROR(VLOOKUP(Tablo3[[#This Row],[Personel Adı]],Tablo1[[Ad Soyad]:[Günlük Ücreti]],2,0)*VLOOKUP(Tablo3[[#This Row],[Durum]],Ayarlar!$E:$F,2,0),VLOOKUP(Tablo3[[#This Row],[Personel Adı]],Tablo1[[Ad Soyad]:[Günlük Ücreti]],2,0))</f>
        <v>100</v>
      </c>
    </row>
    <row r="8" spans="1:4" x14ac:dyDescent="0.25">
      <c r="A8" s="15">
        <v>44614</v>
      </c>
      <c r="B8" s="3" t="s">
        <v>12</v>
      </c>
      <c r="C8" s="3" t="s">
        <v>22</v>
      </c>
      <c r="D8" s="3">
        <f>IFERROR(VLOOKUP(Tablo3[[#This Row],[Personel Adı]],Tablo1[[Ad Soyad]:[Günlük Ücreti]],2,0)*VLOOKUP(Tablo3[[#This Row],[Durum]],Ayarlar!$E:$F,2,0),VLOOKUP(Tablo3[[#This Row],[Personel Adı]],Tablo1[[Ad Soyad]:[Günlük Ücreti]],2,0))</f>
        <v>100</v>
      </c>
    </row>
    <row r="9" spans="1:4" x14ac:dyDescent="0.25">
      <c r="A9" s="15">
        <v>44613</v>
      </c>
      <c r="B9" s="3" t="s">
        <v>7</v>
      </c>
      <c r="C9" s="3" t="s">
        <v>22</v>
      </c>
      <c r="D9" s="3">
        <f>IFERROR(VLOOKUP(Tablo3[[#This Row],[Personel Adı]],Tablo1[[Ad Soyad]:[Günlük Ücreti]],2,0)*VLOOKUP(Tablo3[[#This Row],[Durum]],Ayarlar!$E:$F,2,0),VLOOKUP(Tablo3[[#This Row],[Personel Adı]],Tablo1[[Ad Soyad]:[Günlük Ücreti]],2,0))</f>
        <v>100</v>
      </c>
    </row>
    <row r="10" spans="1:4" x14ac:dyDescent="0.25">
      <c r="A10" s="15">
        <v>44612</v>
      </c>
      <c r="B10" s="3" t="s">
        <v>71</v>
      </c>
      <c r="C10" s="3" t="s">
        <v>22</v>
      </c>
      <c r="D10" s="3">
        <f>IFERROR(VLOOKUP(Tablo3[[#This Row],[Personel Adı]],Tablo1[[Ad Soyad]:[Günlük Ücreti]],2,0)*VLOOKUP(Tablo3[[#This Row],[Durum]],Ayarlar!$E:$F,2,0),VLOOKUP(Tablo3[[#This Row],[Personel Adı]],Tablo1[[Ad Soyad]:[Günlük Ücreti]],2,0))</f>
        <v>100</v>
      </c>
    </row>
    <row r="11" spans="1:4" x14ac:dyDescent="0.25">
      <c r="A11" s="15">
        <v>44611</v>
      </c>
      <c r="B11" s="3" t="s">
        <v>71</v>
      </c>
      <c r="C11" s="3" t="s">
        <v>22</v>
      </c>
      <c r="D11" s="3">
        <f>IFERROR(VLOOKUP(Tablo3[[#This Row],[Personel Adı]],Tablo1[[Ad Soyad]:[Günlük Ücreti]],2,0)*VLOOKUP(Tablo3[[#This Row],[Durum]],Ayarlar!$E:$F,2,0),VLOOKUP(Tablo3[[#This Row],[Personel Adı]],Tablo1[[Ad Soyad]:[Günlük Ücreti]],2,0))</f>
        <v>100</v>
      </c>
    </row>
    <row r="12" spans="1:4" x14ac:dyDescent="0.25">
      <c r="A12" s="15">
        <v>44610</v>
      </c>
      <c r="B12" s="3" t="s">
        <v>7</v>
      </c>
      <c r="C12" s="3" t="s">
        <v>22</v>
      </c>
      <c r="D12" s="3">
        <f>IFERROR(VLOOKUP(Tablo3[[#This Row],[Personel Adı]],Tablo1[[Ad Soyad]:[Günlük Ücreti]],2,0)*VLOOKUP(Tablo3[[#This Row],[Durum]],Ayarlar!$E:$F,2,0),VLOOKUP(Tablo3[[#This Row],[Personel Adı]],Tablo1[[Ad Soyad]:[Günlük Ücreti]],2,0))</f>
        <v>100</v>
      </c>
    </row>
    <row r="13" spans="1:4" x14ac:dyDescent="0.25">
      <c r="A13" s="15">
        <v>44609</v>
      </c>
      <c r="B13" s="3" t="s">
        <v>7</v>
      </c>
      <c r="C13" s="3" t="s">
        <v>22</v>
      </c>
      <c r="D13" s="3">
        <f>IFERROR(VLOOKUP(Tablo3[[#This Row],[Personel Adı]],Tablo1[[Ad Soyad]:[Günlük Ücreti]],2,0)*VLOOKUP(Tablo3[[#This Row],[Durum]],Ayarlar!$E:$F,2,0),VLOOKUP(Tablo3[[#This Row],[Personel Adı]],Tablo1[[Ad Soyad]:[Günlük Ücreti]],2,0))</f>
        <v>100</v>
      </c>
    </row>
    <row r="14" spans="1:4" x14ac:dyDescent="0.25">
      <c r="A14" s="15">
        <v>44608</v>
      </c>
      <c r="B14" s="3" t="s">
        <v>7</v>
      </c>
      <c r="C14" s="3" t="s">
        <v>22</v>
      </c>
      <c r="D14" s="3">
        <f>IFERROR(VLOOKUP(Tablo3[[#This Row],[Personel Adı]],Tablo1[[Ad Soyad]:[Günlük Ücreti]],2,0)*VLOOKUP(Tablo3[[#This Row],[Durum]],Ayarlar!$E:$F,2,0),VLOOKUP(Tablo3[[#This Row],[Personel Adı]],Tablo1[[Ad Soyad]:[Günlük Ücreti]],2,0))</f>
        <v>100</v>
      </c>
    </row>
    <row r="15" spans="1:4" x14ac:dyDescent="0.25">
      <c r="A15" s="15">
        <v>44607</v>
      </c>
      <c r="B15" s="3" t="s">
        <v>47</v>
      </c>
      <c r="C15" s="3" t="s">
        <v>22</v>
      </c>
      <c r="D15" s="3">
        <f>IFERROR(VLOOKUP(Tablo3[[#This Row],[Personel Adı]],Tablo1[[Ad Soyad]:[Günlük Ücreti]],2,0)*VLOOKUP(Tablo3[[#This Row],[Durum]],Ayarlar!$E:$F,2,0),VLOOKUP(Tablo3[[#This Row],[Personel Adı]],Tablo1[[Ad Soyad]:[Günlük Ücreti]],2,0))</f>
        <v>50</v>
      </c>
    </row>
    <row r="16" spans="1:4" x14ac:dyDescent="0.25">
      <c r="A16" s="15">
        <v>44606</v>
      </c>
      <c r="B16" s="3" t="s">
        <v>7</v>
      </c>
      <c r="C16" s="3" t="s">
        <v>22</v>
      </c>
      <c r="D16" s="3">
        <f>IFERROR(VLOOKUP(Tablo3[[#This Row],[Personel Adı]],Tablo1[[Ad Soyad]:[Günlük Ücreti]],2,0)*VLOOKUP(Tablo3[[#This Row],[Durum]],Ayarlar!$E:$F,2,0),VLOOKUP(Tablo3[[#This Row],[Personel Adı]],Tablo1[[Ad Soyad]:[Günlük Ücreti]],2,0))</f>
        <v>100</v>
      </c>
    </row>
    <row r="17" spans="1:4" x14ac:dyDescent="0.25">
      <c r="A17" s="15">
        <v>44605</v>
      </c>
      <c r="B17" s="3" t="s">
        <v>71</v>
      </c>
      <c r="C17" s="3" t="s">
        <v>22</v>
      </c>
      <c r="D17" s="3">
        <f>IFERROR(VLOOKUP(Tablo3[[#This Row],[Personel Adı]],Tablo1[[Ad Soyad]:[Günlük Ücreti]],2,0)*VLOOKUP(Tablo3[[#This Row],[Durum]],Ayarlar!$E:$F,2,0),VLOOKUP(Tablo3[[#This Row],[Personel Adı]],Tablo1[[Ad Soyad]:[Günlük Ücreti]],2,0))</f>
        <v>100</v>
      </c>
    </row>
    <row r="18" spans="1:4" x14ac:dyDescent="0.25">
      <c r="A18" s="15">
        <v>44604</v>
      </c>
      <c r="B18" s="3" t="s">
        <v>71</v>
      </c>
      <c r="C18" s="3" t="s">
        <v>22</v>
      </c>
      <c r="D18" s="3">
        <f>IFERROR(VLOOKUP(Tablo3[[#This Row],[Personel Adı]],Tablo1[[Ad Soyad]:[Günlük Ücreti]],2,0)*VLOOKUP(Tablo3[[#This Row],[Durum]],Ayarlar!$E:$F,2,0),VLOOKUP(Tablo3[[#This Row],[Personel Adı]],Tablo1[[Ad Soyad]:[Günlük Ücreti]],2,0))</f>
        <v>100</v>
      </c>
    </row>
    <row r="19" spans="1:4" x14ac:dyDescent="0.25">
      <c r="A19" s="15">
        <v>44603</v>
      </c>
      <c r="B19" s="3" t="s">
        <v>7</v>
      </c>
      <c r="C19" s="3" t="s">
        <v>22</v>
      </c>
      <c r="D19" s="3">
        <f>IFERROR(VLOOKUP(Tablo3[[#This Row],[Personel Adı]],Tablo1[[Ad Soyad]:[Günlük Ücreti]],2,0)*VLOOKUP(Tablo3[[#This Row],[Durum]],Ayarlar!$E:$F,2,0),VLOOKUP(Tablo3[[#This Row],[Personel Adı]],Tablo1[[Ad Soyad]:[Günlük Ücreti]],2,0))</f>
        <v>100</v>
      </c>
    </row>
    <row r="20" spans="1:4" x14ac:dyDescent="0.25">
      <c r="A20" s="15">
        <v>44602</v>
      </c>
      <c r="B20" s="3" t="s">
        <v>7</v>
      </c>
      <c r="C20" s="3" t="s">
        <v>22</v>
      </c>
      <c r="D20" s="3">
        <f>IFERROR(VLOOKUP(Tablo3[[#This Row],[Personel Adı]],Tablo1[[Ad Soyad]:[Günlük Ücreti]],2,0)*VLOOKUP(Tablo3[[#This Row],[Durum]],Ayarlar!$E:$F,2,0),VLOOKUP(Tablo3[[#This Row],[Personel Adı]],Tablo1[[Ad Soyad]:[Günlük Ücreti]],2,0))</f>
        <v>100</v>
      </c>
    </row>
    <row r="21" spans="1:4" x14ac:dyDescent="0.25">
      <c r="A21" s="15">
        <v>44601</v>
      </c>
      <c r="B21" s="3" t="s">
        <v>27</v>
      </c>
      <c r="C21" s="3" t="s">
        <v>22</v>
      </c>
      <c r="D21" s="3">
        <f>IFERROR(VLOOKUP(Tablo3[[#This Row],[Personel Adı]],Tablo1[[Ad Soyad]:[Günlük Ücreti]],2,0)*VLOOKUP(Tablo3[[#This Row],[Durum]],Ayarlar!$E:$F,2,0),VLOOKUP(Tablo3[[#This Row],[Personel Adı]],Tablo1[[Ad Soyad]:[Günlük Ücreti]],2,0))</f>
        <v>-100</v>
      </c>
    </row>
    <row r="22" spans="1:4" x14ac:dyDescent="0.25">
      <c r="A22" s="15">
        <v>44600</v>
      </c>
      <c r="B22" s="3" t="s">
        <v>7</v>
      </c>
      <c r="C22" s="3" t="s">
        <v>22</v>
      </c>
      <c r="D22" s="3">
        <f>IFERROR(VLOOKUP(Tablo3[[#This Row],[Personel Adı]],Tablo1[[Ad Soyad]:[Günlük Ücreti]],2,0)*VLOOKUP(Tablo3[[#This Row],[Durum]],Ayarlar!$E:$F,2,0),VLOOKUP(Tablo3[[#This Row],[Personel Adı]],Tablo1[[Ad Soyad]:[Günlük Ücreti]],2,0))</f>
        <v>100</v>
      </c>
    </row>
    <row r="23" spans="1:4" x14ac:dyDescent="0.25">
      <c r="A23" s="15">
        <v>44599</v>
      </c>
      <c r="B23" s="3" t="s">
        <v>7</v>
      </c>
      <c r="C23" s="3" t="s">
        <v>22</v>
      </c>
      <c r="D23" s="3">
        <f>IFERROR(VLOOKUP(Tablo3[[#This Row],[Personel Adı]],Tablo1[[Ad Soyad]:[Günlük Ücreti]],2,0)*VLOOKUP(Tablo3[[#This Row],[Durum]],Ayarlar!$E:$F,2,0),VLOOKUP(Tablo3[[#This Row],[Personel Adı]],Tablo1[[Ad Soyad]:[Günlük Ücreti]],2,0))</f>
        <v>100</v>
      </c>
    </row>
    <row r="24" spans="1:4" x14ac:dyDescent="0.25">
      <c r="A24" s="15">
        <v>44598</v>
      </c>
      <c r="B24" s="3" t="s">
        <v>71</v>
      </c>
      <c r="C24" s="3" t="s">
        <v>22</v>
      </c>
      <c r="D24" s="3">
        <f>IFERROR(VLOOKUP(Tablo3[[#This Row],[Personel Adı]],Tablo1[[Ad Soyad]:[Günlük Ücreti]],2,0)*VLOOKUP(Tablo3[[#This Row],[Durum]],Ayarlar!$E:$F,2,0),VLOOKUP(Tablo3[[#This Row],[Personel Adı]],Tablo1[[Ad Soyad]:[Günlük Ücreti]],2,0))</f>
        <v>100</v>
      </c>
    </row>
    <row r="25" spans="1:4" x14ac:dyDescent="0.25">
      <c r="A25" s="15">
        <v>44597</v>
      </c>
      <c r="B25" s="3" t="s">
        <v>71</v>
      </c>
      <c r="C25" s="3" t="s">
        <v>22</v>
      </c>
      <c r="D25" s="3">
        <f>IFERROR(VLOOKUP(Tablo3[[#This Row],[Personel Adı]],Tablo1[[Ad Soyad]:[Günlük Ücreti]],2,0)*VLOOKUP(Tablo3[[#This Row],[Durum]],Ayarlar!$E:$F,2,0),VLOOKUP(Tablo3[[#This Row],[Personel Adı]],Tablo1[[Ad Soyad]:[Günlük Ücreti]],2,0))</f>
        <v>100</v>
      </c>
    </row>
    <row r="26" spans="1:4" x14ac:dyDescent="0.25">
      <c r="A26" s="15">
        <v>44596</v>
      </c>
      <c r="B26" s="3" t="s">
        <v>7</v>
      </c>
      <c r="C26" s="3" t="s">
        <v>22</v>
      </c>
      <c r="D26" s="3">
        <f>IFERROR(VLOOKUP(Tablo3[[#This Row],[Personel Adı]],Tablo1[[Ad Soyad]:[Günlük Ücreti]],2,0)*VLOOKUP(Tablo3[[#This Row],[Durum]],Ayarlar!$E:$F,2,0),VLOOKUP(Tablo3[[#This Row],[Personel Adı]],Tablo1[[Ad Soyad]:[Günlük Ücreti]],2,0))</f>
        <v>100</v>
      </c>
    </row>
    <row r="27" spans="1:4" x14ac:dyDescent="0.25">
      <c r="A27" s="15">
        <v>44595</v>
      </c>
      <c r="B27" s="3" t="s">
        <v>7</v>
      </c>
      <c r="C27" s="3" t="s">
        <v>22</v>
      </c>
      <c r="D27" s="3">
        <f>IFERROR(VLOOKUP(Tablo3[[#This Row],[Personel Adı]],Tablo1[[Ad Soyad]:[Günlük Ücreti]],2,0)*VLOOKUP(Tablo3[[#This Row],[Durum]],Ayarlar!$E:$F,2,0),VLOOKUP(Tablo3[[#This Row],[Personel Adı]],Tablo1[[Ad Soyad]:[Günlük Ücreti]],2,0))</f>
        <v>100</v>
      </c>
    </row>
    <row r="28" spans="1:4" x14ac:dyDescent="0.25">
      <c r="A28" s="15">
        <v>44594</v>
      </c>
      <c r="B28" s="3" t="s">
        <v>7</v>
      </c>
      <c r="C28" s="3" t="s">
        <v>22</v>
      </c>
      <c r="D28" s="3">
        <f>IFERROR(VLOOKUP(Tablo3[[#This Row],[Personel Adı]],Tablo1[[Ad Soyad]:[Günlük Ücreti]],2,0)*VLOOKUP(Tablo3[[#This Row],[Durum]],Ayarlar!$E:$F,2,0),VLOOKUP(Tablo3[[#This Row],[Personel Adı]],Tablo1[[Ad Soyad]:[Günlük Ücreti]],2,0))</f>
        <v>100</v>
      </c>
    </row>
    <row r="29" spans="1:4" x14ac:dyDescent="0.25">
      <c r="A29" s="15">
        <v>44593</v>
      </c>
      <c r="B29" s="3" t="s">
        <v>7</v>
      </c>
      <c r="C29" s="3" t="s">
        <v>22</v>
      </c>
      <c r="D29" s="3">
        <f>IFERROR(VLOOKUP(Tablo3[[#This Row],[Personel Adı]],Tablo1[[Ad Soyad]:[Günlük Ücreti]],2,0)*VLOOKUP(Tablo3[[#This Row],[Durum]],Ayarlar!$E:$F,2,0),VLOOKUP(Tablo3[[#This Row],[Personel Adı]],Tablo1[[Ad Soyad]:[Günlük Ücreti]],2,0))</f>
        <v>100</v>
      </c>
    </row>
    <row r="30" spans="1:4" x14ac:dyDescent="0.25">
      <c r="A30" s="15">
        <v>44620</v>
      </c>
      <c r="B30" s="3" t="s">
        <v>7</v>
      </c>
      <c r="C30" s="3" t="s">
        <v>21</v>
      </c>
      <c r="D30" s="3">
        <f>IFERROR(VLOOKUP(Tablo3[[#This Row],[Personel Adı]],Tablo1[[Ad Soyad]:[Günlük Ücreti]],2,0)*VLOOKUP(Tablo3[[#This Row],[Durum]],Ayarlar!$E:$F,2,0),VLOOKUP(Tablo3[[#This Row],[Personel Adı]],Tablo1[[Ad Soyad]:[Günlük Ücreti]],2,0))</f>
        <v>110</v>
      </c>
    </row>
    <row r="31" spans="1:4" x14ac:dyDescent="0.25">
      <c r="A31" s="15">
        <v>44619</v>
      </c>
      <c r="B31" s="3" t="s">
        <v>71</v>
      </c>
      <c r="C31" s="3" t="s">
        <v>21</v>
      </c>
      <c r="D31" s="3">
        <f>IFERROR(VLOOKUP(Tablo3[[#This Row],[Personel Adı]],Tablo1[[Ad Soyad]:[Günlük Ücreti]],2,0)*VLOOKUP(Tablo3[[#This Row],[Durum]],Ayarlar!$E:$F,2,0),VLOOKUP(Tablo3[[#This Row],[Personel Adı]],Tablo1[[Ad Soyad]:[Günlük Ücreti]],2,0))</f>
        <v>110</v>
      </c>
    </row>
    <row r="32" spans="1:4" x14ac:dyDescent="0.25">
      <c r="A32" s="15">
        <v>44618</v>
      </c>
      <c r="B32" s="3" t="s">
        <v>71</v>
      </c>
      <c r="C32" s="3" t="s">
        <v>21</v>
      </c>
      <c r="D32" s="3">
        <f>IFERROR(VLOOKUP(Tablo3[[#This Row],[Personel Adı]],Tablo1[[Ad Soyad]:[Günlük Ücreti]],2,0)*VLOOKUP(Tablo3[[#This Row],[Durum]],Ayarlar!$E:$F,2,0),VLOOKUP(Tablo3[[#This Row],[Personel Adı]],Tablo1[[Ad Soyad]:[Günlük Ücreti]],2,0))</f>
        <v>110</v>
      </c>
    </row>
    <row r="33" spans="1:4" x14ac:dyDescent="0.25">
      <c r="A33" s="15">
        <v>44617</v>
      </c>
      <c r="B33" s="3" t="s">
        <v>7</v>
      </c>
      <c r="C33" s="3" t="s">
        <v>21</v>
      </c>
      <c r="D33" s="3">
        <f>IFERROR(VLOOKUP(Tablo3[[#This Row],[Personel Adı]],Tablo1[[Ad Soyad]:[Günlük Ücreti]],2,0)*VLOOKUP(Tablo3[[#This Row],[Durum]],Ayarlar!$E:$F,2,0),VLOOKUP(Tablo3[[#This Row],[Personel Adı]],Tablo1[[Ad Soyad]:[Günlük Ücreti]],2,0))</f>
        <v>110</v>
      </c>
    </row>
    <row r="34" spans="1:4" x14ac:dyDescent="0.25">
      <c r="A34" s="15">
        <v>44616</v>
      </c>
      <c r="B34" s="3" t="s">
        <v>7</v>
      </c>
      <c r="C34" s="3" t="s">
        <v>21</v>
      </c>
      <c r="D34" s="3">
        <f>IFERROR(VLOOKUP(Tablo3[[#This Row],[Personel Adı]],Tablo1[[Ad Soyad]:[Günlük Ücreti]],2,0)*VLOOKUP(Tablo3[[#This Row],[Durum]],Ayarlar!$E:$F,2,0),VLOOKUP(Tablo3[[#This Row],[Personel Adı]],Tablo1[[Ad Soyad]:[Günlük Ücreti]],2,0))</f>
        <v>110</v>
      </c>
    </row>
    <row r="35" spans="1:4" x14ac:dyDescent="0.25">
      <c r="A35" s="15">
        <v>44615</v>
      </c>
      <c r="B35" s="3" t="s">
        <v>7</v>
      </c>
      <c r="C35" s="3" t="s">
        <v>21</v>
      </c>
      <c r="D35" s="3">
        <f>IFERROR(VLOOKUP(Tablo3[[#This Row],[Personel Adı]],Tablo1[[Ad Soyad]:[Günlük Ücreti]],2,0)*VLOOKUP(Tablo3[[#This Row],[Durum]],Ayarlar!$E:$F,2,0),VLOOKUP(Tablo3[[#This Row],[Personel Adı]],Tablo1[[Ad Soyad]:[Günlük Ücreti]],2,0))</f>
        <v>110</v>
      </c>
    </row>
    <row r="36" spans="1:4" x14ac:dyDescent="0.25">
      <c r="A36" s="15">
        <v>44614</v>
      </c>
      <c r="B36" s="3" t="s">
        <v>7</v>
      </c>
      <c r="C36" s="3" t="s">
        <v>21</v>
      </c>
      <c r="D36" s="3">
        <f>IFERROR(VLOOKUP(Tablo3[[#This Row],[Personel Adı]],Tablo1[[Ad Soyad]:[Günlük Ücreti]],2,0)*VLOOKUP(Tablo3[[#This Row],[Durum]],Ayarlar!$E:$F,2,0),VLOOKUP(Tablo3[[#This Row],[Personel Adı]],Tablo1[[Ad Soyad]:[Günlük Ücreti]],2,0))</f>
        <v>110</v>
      </c>
    </row>
    <row r="37" spans="1:4" x14ac:dyDescent="0.25">
      <c r="A37" s="15">
        <v>44613</v>
      </c>
      <c r="B37" s="3" t="s">
        <v>7</v>
      </c>
      <c r="C37" s="3" t="s">
        <v>21</v>
      </c>
      <c r="D37" s="3">
        <f>IFERROR(VLOOKUP(Tablo3[[#This Row],[Personel Adı]],Tablo1[[Ad Soyad]:[Günlük Ücreti]],2,0)*VLOOKUP(Tablo3[[#This Row],[Durum]],Ayarlar!$E:$F,2,0),VLOOKUP(Tablo3[[#This Row],[Personel Adı]],Tablo1[[Ad Soyad]:[Günlük Ücreti]],2,0))</f>
        <v>110</v>
      </c>
    </row>
    <row r="38" spans="1:4" x14ac:dyDescent="0.25">
      <c r="A38" s="15">
        <v>44612</v>
      </c>
      <c r="B38" s="3" t="s">
        <v>71</v>
      </c>
      <c r="C38" s="3" t="s">
        <v>21</v>
      </c>
      <c r="D38" s="3">
        <f>IFERROR(VLOOKUP(Tablo3[[#This Row],[Personel Adı]],Tablo1[[Ad Soyad]:[Günlük Ücreti]],2,0)*VLOOKUP(Tablo3[[#This Row],[Durum]],Ayarlar!$E:$F,2,0),VLOOKUP(Tablo3[[#This Row],[Personel Adı]],Tablo1[[Ad Soyad]:[Günlük Ücreti]],2,0))</f>
        <v>110</v>
      </c>
    </row>
    <row r="39" spans="1:4" x14ac:dyDescent="0.25">
      <c r="A39" s="15">
        <v>44611</v>
      </c>
      <c r="B39" s="3" t="s">
        <v>71</v>
      </c>
      <c r="C39" s="3" t="s">
        <v>21</v>
      </c>
      <c r="D39" s="3">
        <f>IFERROR(VLOOKUP(Tablo3[[#This Row],[Personel Adı]],Tablo1[[Ad Soyad]:[Günlük Ücreti]],2,0)*VLOOKUP(Tablo3[[#This Row],[Durum]],Ayarlar!$E:$F,2,0),VLOOKUP(Tablo3[[#This Row],[Personel Adı]],Tablo1[[Ad Soyad]:[Günlük Ücreti]],2,0))</f>
        <v>110</v>
      </c>
    </row>
    <row r="40" spans="1:4" x14ac:dyDescent="0.25">
      <c r="A40" s="15">
        <v>44610</v>
      </c>
      <c r="B40" s="3" t="s">
        <v>7</v>
      </c>
      <c r="C40" s="3" t="s">
        <v>21</v>
      </c>
      <c r="D40" s="3">
        <f>IFERROR(VLOOKUP(Tablo3[[#This Row],[Personel Adı]],Tablo1[[Ad Soyad]:[Günlük Ücreti]],2,0)*VLOOKUP(Tablo3[[#This Row],[Durum]],Ayarlar!$E:$F,2,0),VLOOKUP(Tablo3[[#This Row],[Personel Adı]],Tablo1[[Ad Soyad]:[Günlük Ücreti]],2,0))</f>
        <v>110</v>
      </c>
    </row>
    <row r="41" spans="1:4" x14ac:dyDescent="0.25">
      <c r="A41" s="15">
        <v>44609</v>
      </c>
      <c r="B41" s="3" t="s">
        <v>7</v>
      </c>
      <c r="C41" s="3" t="s">
        <v>21</v>
      </c>
      <c r="D41" s="3">
        <f>IFERROR(VLOOKUP(Tablo3[[#This Row],[Personel Adı]],Tablo1[[Ad Soyad]:[Günlük Ücreti]],2,0)*VLOOKUP(Tablo3[[#This Row],[Durum]],Ayarlar!$E:$F,2,0),VLOOKUP(Tablo3[[#This Row],[Personel Adı]],Tablo1[[Ad Soyad]:[Günlük Ücreti]],2,0))</f>
        <v>110</v>
      </c>
    </row>
    <row r="42" spans="1:4" x14ac:dyDescent="0.25">
      <c r="A42" s="15">
        <v>44608</v>
      </c>
      <c r="B42" s="3" t="s">
        <v>7</v>
      </c>
      <c r="C42" s="3" t="s">
        <v>21</v>
      </c>
      <c r="D42" s="3">
        <f>IFERROR(VLOOKUP(Tablo3[[#This Row],[Personel Adı]],Tablo1[[Ad Soyad]:[Günlük Ücreti]],2,0)*VLOOKUP(Tablo3[[#This Row],[Durum]],Ayarlar!$E:$F,2,0),VLOOKUP(Tablo3[[#This Row],[Personel Adı]],Tablo1[[Ad Soyad]:[Günlük Ücreti]],2,0))</f>
        <v>110</v>
      </c>
    </row>
    <row r="43" spans="1:4" x14ac:dyDescent="0.25">
      <c r="A43" s="15">
        <v>44607</v>
      </c>
      <c r="B43" s="3" t="s">
        <v>7</v>
      </c>
      <c r="C43" s="3" t="s">
        <v>21</v>
      </c>
      <c r="D43" s="3">
        <f>IFERROR(VLOOKUP(Tablo3[[#This Row],[Personel Adı]],Tablo1[[Ad Soyad]:[Günlük Ücreti]],2,0)*VLOOKUP(Tablo3[[#This Row],[Durum]],Ayarlar!$E:$F,2,0),VLOOKUP(Tablo3[[#This Row],[Personel Adı]],Tablo1[[Ad Soyad]:[Günlük Ücreti]],2,0))</f>
        <v>110</v>
      </c>
    </row>
    <row r="44" spans="1:4" x14ac:dyDescent="0.25">
      <c r="A44" s="15">
        <v>44606</v>
      </c>
      <c r="B44" s="3" t="s">
        <v>7</v>
      </c>
      <c r="C44" s="3" t="s">
        <v>21</v>
      </c>
      <c r="D44" s="3">
        <f>IFERROR(VLOOKUP(Tablo3[[#This Row],[Personel Adı]],Tablo1[[Ad Soyad]:[Günlük Ücreti]],2,0)*VLOOKUP(Tablo3[[#This Row],[Durum]],Ayarlar!$E:$F,2,0),VLOOKUP(Tablo3[[#This Row],[Personel Adı]],Tablo1[[Ad Soyad]:[Günlük Ücreti]],2,0))</f>
        <v>110</v>
      </c>
    </row>
    <row r="45" spans="1:4" x14ac:dyDescent="0.25">
      <c r="A45" s="15">
        <v>44605</v>
      </c>
      <c r="B45" s="3" t="s">
        <v>71</v>
      </c>
      <c r="C45" s="3" t="s">
        <v>21</v>
      </c>
      <c r="D45" s="3">
        <f>IFERROR(VLOOKUP(Tablo3[[#This Row],[Personel Adı]],Tablo1[[Ad Soyad]:[Günlük Ücreti]],2,0)*VLOOKUP(Tablo3[[#This Row],[Durum]],Ayarlar!$E:$F,2,0),VLOOKUP(Tablo3[[#This Row],[Personel Adı]],Tablo1[[Ad Soyad]:[Günlük Ücreti]],2,0))</f>
        <v>110</v>
      </c>
    </row>
    <row r="46" spans="1:4" x14ac:dyDescent="0.25">
      <c r="A46" s="15">
        <v>44604</v>
      </c>
      <c r="B46" s="3" t="s">
        <v>71</v>
      </c>
      <c r="C46" s="3" t="s">
        <v>21</v>
      </c>
      <c r="D46" s="3">
        <f>IFERROR(VLOOKUP(Tablo3[[#This Row],[Personel Adı]],Tablo1[[Ad Soyad]:[Günlük Ücreti]],2,0)*VLOOKUP(Tablo3[[#This Row],[Durum]],Ayarlar!$E:$F,2,0),VLOOKUP(Tablo3[[#This Row],[Personel Adı]],Tablo1[[Ad Soyad]:[Günlük Ücreti]],2,0))</f>
        <v>110</v>
      </c>
    </row>
    <row r="47" spans="1:4" x14ac:dyDescent="0.25">
      <c r="A47" s="15">
        <v>44603</v>
      </c>
      <c r="B47" s="3" t="s">
        <v>7</v>
      </c>
      <c r="C47" s="3" t="s">
        <v>21</v>
      </c>
      <c r="D47" s="3">
        <f>IFERROR(VLOOKUP(Tablo3[[#This Row],[Personel Adı]],Tablo1[[Ad Soyad]:[Günlük Ücreti]],2,0)*VLOOKUP(Tablo3[[#This Row],[Durum]],Ayarlar!$E:$F,2,0),VLOOKUP(Tablo3[[#This Row],[Personel Adı]],Tablo1[[Ad Soyad]:[Günlük Ücreti]],2,0))</f>
        <v>110</v>
      </c>
    </row>
    <row r="48" spans="1:4" x14ac:dyDescent="0.25">
      <c r="A48" s="15">
        <v>44602</v>
      </c>
      <c r="B48" s="3" t="s">
        <v>7</v>
      </c>
      <c r="C48" s="3" t="s">
        <v>21</v>
      </c>
      <c r="D48" s="3">
        <f>IFERROR(VLOOKUP(Tablo3[[#This Row],[Personel Adı]],Tablo1[[Ad Soyad]:[Günlük Ücreti]],2,0)*VLOOKUP(Tablo3[[#This Row],[Durum]],Ayarlar!$E:$F,2,0),VLOOKUP(Tablo3[[#This Row],[Personel Adı]],Tablo1[[Ad Soyad]:[Günlük Ücreti]],2,0))</f>
        <v>110</v>
      </c>
    </row>
    <row r="49" spans="1:4" x14ac:dyDescent="0.25">
      <c r="A49" s="15">
        <v>44601</v>
      </c>
      <c r="B49" s="3" t="s">
        <v>7</v>
      </c>
      <c r="C49" s="3" t="s">
        <v>21</v>
      </c>
      <c r="D49" s="3">
        <f>IFERROR(VLOOKUP(Tablo3[[#This Row],[Personel Adı]],Tablo1[[Ad Soyad]:[Günlük Ücreti]],2,0)*VLOOKUP(Tablo3[[#This Row],[Durum]],Ayarlar!$E:$F,2,0),VLOOKUP(Tablo3[[#This Row],[Personel Adı]],Tablo1[[Ad Soyad]:[Günlük Ücreti]],2,0))</f>
        <v>110</v>
      </c>
    </row>
    <row r="50" spans="1:4" x14ac:dyDescent="0.25">
      <c r="A50" s="15">
        <v>44600</v>
      </c>
      <c r="B50" s="3" t="s">
        <v>7</v>
      </c>
      <c r="C50" s="3" t="s">
        <v>21</v>
      </c>
      <c r="D50" s="3">
        <f>IFERROR(VLOOKUP(Tablo3[[#This Row],[Personel Adı]],Tablo1[[Ad Soyad]:[Günlük Ücreti]],2,0)*VLOOKUP(Tablo3[[#This Row],[Durum]],Ayarlar!$E:$F,2,0),VLOOKUP(Tablo3[[#This Row],[Personel Adı]],Tablo1[[Ad Soyad]:[Günlük Ücreti]],2,0))</f>
        <v>110</v>
      </c>
    </row>
    <row r="51" spans="1:4" x14ac:dyDescent="0.25">
      <c r="A51" s="15">
        <v>44599</v>
      </c>
      <c r="B51" s="3" t="s">
        <v>7</v>
      </c>
      <c r="C51" s="3" t="s">
        <v>21</v>
      </c>
      <c r="D51" s="3">
        <f>IFERROR(VLOOKUP(Tablo3[[#This Row],[Personel Adı]],Tablo1[[Ad Soyad]:[Günlük Ücreti]],2,0)*VLOOKUP(Tablo3[[#This Row],[Durum]],Ayarlar!$E:$F,2,0),VLOOKUP(Tablo3[[#This Row],[Personel Adı]],Tablo1[[Ad Soyad]:[Günlük Ücreti]],2,0))</f>
        <v>110</v>
      </c>
    </row>
    <row r="52" spans="1:4" x14ac:dyDescent="0.25">
      <c r="A52" s="15">
        <v>44598</v>
      </c>
      <c r="B52" s="3" t="s">
        <v>71</v>
      </c>
      <c r="C52" s="3" t="s">
        <v>21</v>
      </c>
      <c r="D52" s="3">
        <f>IFERROR(VLOOKUP(Tablo3[[#This Row],[Personel Adı]],Tablo1[[Ad Soyad]:[Günlük Ücreti]],2,0)*VLOOKUP(Tablo3[[#This Row],[Durum]],Ayarlar!$E:$F,2,0),VLOOKUP(Tablo3[[#This Row],[Personel Adı]],Tablo1[[Ad Soyad]:[Günlük Ücreti]],2,0))</f>
        <v>110</v>
      </c>
    </row>
    <row r="53" spans="1:4" x14ac:dyDescent="0.25">
      <c r="A53" s="15">
        <v>44597</v>
      </c>
      <c r="B53" s="3" t="s">
        <v>71</v>
      </c>
      <c r="C53" s="3" t="s">
        <v>21</v>
      </c>
      <c r="D53" s="3">
        <f>IFERROR(VLOOKUP(Tablo3[[#This Row],[Personel Adı]],Tablo1[[Ad Soyad]:[Günlük Ücreti]],2,0)*VLOOKUP(Tablo3[[#This Row],[Durum]],Ayarlar!$E:$F,2,0),VLOOKUP(Tablo3[[#This Row],[Personel Adı]],Tablo1[[Ad Soyad]:[Günlük Ücreti]],2,0))</f>
        <v>110</v>
      </c>
    </row>
    <row r="54" spans="1:4" x14ac:dyDescent="0.25">
      <c r="A54" s="15">
        <v>44596</v>
      </c>
      <c r="B54" s="3" t="s">
        <v>7</v>
      </c>
      <c r="C54" s="3" t="s">
        <v>21</v>
      </c>
      <c r="D54" s="3">
        <f>IFERROR(VLOOKUP(Tablo3[[#This Row],[Personel Adı]],Tablo1[[Ad Soyad]:[Günlük Ücreti]],2,0)*VLOOKUP(Tablo3[[#This Row],[Durum]],Ayarlar!$E:$F,2,0),VLOOKUP(Tablo3[[#This Row],[Personel Adı]],Tablo1[[Ad Soyad]:[Günlük Ücreti]],2,0))</f>
        <v>110</v>
      </c>
    </row>
    <row r="55" spans="1:4" x14ac:dyDescent="0.25">
      <c r="A55" s="15">
        <v>44595</v>
      </c>
      <c r="B55" s="3" t="s">
        <v>7</v>
      </c>
      <c r="C55" s="3" t="s">
        <v>21</v>
      </c>
      <c r="D55" s="3">
        <f>IFERROR(VLOOKUP(Tablo3[[#This Row],[Personel Adı]],Tablo1[[Ad Soyad]:[Günlük Ücreti]],2,0)*VLOOKUP(Tablo3[[#This Row],[Durum]],Ayarlar!$E:$F,2,0),VLOOKUP(Tablo3[[#This Row],[Personel Adı]],Tablo1[[Ad Soyad]:[Günlük Ücreti]],2,0))</f>
        <v>110</v>
      </c>
    </row>
    <row r="56" spans="1:4" x14ac:dyDescent="0.25">
      <c r="A56" s="15">
        <v>44594</v>
      </c>
      <c r="B56" s="3" t="s">
        <v>7</v>
      </c>
      <c r="C56" s="3" t="s">
        <v>21</v>
      </c>
      <c r="D56" s="3">
        <f>IFERROR(VLOOKUP(Tablo3[[#This Row],[Personel Adı]],Tablo1[[Ad Soyad]:[Günlük Ücreti]],2,0)*VLOOKUP(Tablo3[[#This Row],[Durum]],Ayarlar!$E:$F,2,0),VLOOKUP(Tablo3[[#This Row],[Personel Adı]],Tablo1[[Ad Soyad]:[Günlük Ücreti]],2,0))</f>
        <v>110</v>
      </c>
    </row>
    <row r="57" spans="1:4" x14ac:dyDescent="0.25">
      <c r="A57" s="15">
        <v>44593</v>
      </c>
      <c r="B57" s="3" t="s">
        <v>7</v>
      </c>
      <c r="C57" s="3" t="s">
        <v>21</v>
      </c>
      <c r="D57" s="3">
        <f>IFERROR(VLOOKUP(Tablo3[[#This Row],[Personel Adı]],Tablo1[[Ad Soyad]:[Günlük Ücreti]],2,0)*VLOOKUP(Tablo3[[#This Row],[Durum]],Ayarlar!$E:$F,2,0),VLOOKUP(Tablo3[[#This Row],[Personel Adı]],Tablo1[[Ad Soyad]:[Günlük Ücreti]],2,0))</f>
        <v>110</v>
      </c>
    </row>
    <row r="58" spans="1:4" x14ac:dyDescent="0.25">
      <c r="A58" s="15">
        <v>44620</v>
      </c>
      <c r="B58" s="3" t="s">
        <v>16</v>
      </c>
      <c r="C58" s="3" t="s">
        <v>20</v>
      </c>
      <c r="D58" s="3">
        <f>IFERROR(VLOOKUP(Tablo3[[#This Row],[Personel Adı]],Tablo1[[Ad Soyad]:[Günlük Ücreti]],2,0)*VLOOKUP(Tablo3[[#This Row],[Durum]],Ayarlar!$E:$F,2,0),VLOOKUP(Tablo3[[#This Row],[Personel Adı]],Tablo1[[Ad Soyad]:[Günlük Ücreti]],2,0))</f>
        <v>0</v>
      </c>
    </row>
    <row r="59" spans="1:4" x14ac:dyDescent="0.25">
      <c r="A59" s="15">
        <v>44619</v>
      </c>
      <c r="B59" s="3" t="s">
        <v>16</v>
      </c>
      <c r="C59" s="3" t="s">
        <v>20</v>
      </c>
      <c r="D59" s="3">
        <f>IFERROR(VLOOKUP(Tablo3[[#This Row],[Personel Adı]],Tablo1[[Ad Soyad]:[Günlük Ücreti]],2,0)*VLOOKUP(Tablo3[[#This Row],[Durum]],Ayarlar!$E:$F,2,0),VLOOKUP(Tablo3[[#This Row],[Personel Adı]],Tablo1[[Ad Soyad]:[Günlük Ücreti]],2,0))</f>
        <v>0</v>
      </c>
    </row>
    <row r="60" spans="1:4" x14ac:dyDescent="0.25">
      <c r="A60" s="15">
        <v>44618</v>
      </c>
      <c r="B60" s="3" t="s">
        <v>16</v>
      </c>
      <c r="C60" s="3" t="s">
        <v>20</v>
      </c>
      <c r="D60" s="3">
        <f>IFERROR(VLOOKUP(Tablo3[[#This Row],[Personel Adı]],Tablo1[[Ad Soyad]:[Günlük Ücreti]],2,0)*VLOOKUP(Tablo3[[#This Row],[Durum]],Ayarlar!$E:$F,2,0),VLOOKUP(Tablo3[[#This Row],[Personel Adı]],Tablo1[[Ad Soyad]:[Günlük Ücreti]],2,0))</f>
        <v>0</v>
      </c>
    </row>
    <row r="61" spans="1:4" x14ac:dyDescent="0.25">
      <c r="A61" s="15">
        <v>44617</v>
      </c>
      <c r="B61" s="3" t="s">
        <v>16</v>
      </c>
      <c r="C61" s="3" t="s">
        <v>20</v>
      </c>
      <c r="D61" s="3">
        <f>IFERROR(VLOOKUP(Tablo3[[#This Row],[Personel Adı]],Tablo1[[Ad Soyad]:[Günlük Ücreti]],2,0)*VLOOKUP(Tablo3[[#This Row],[Durum]],Ayarlar!$E:$F,2,0),VLOOKUP(Tablo3[[#This Row],[Personel Adı]],Tablo1[[Ad Soyad]:[Günlük Ücreti]],2,0))</f>
        <v>0</v>
      </c>
    </row>
    <row r="62" spans="1:4" x14ac:dyDescent="0.25">
      <c r="A62" s="15">
        <v>44616</v>
      </c>
      <c r="B62" s="3" t="s">
        <v>16</v>
      </c>
      <c r="C62" s="3" t="s">
        <v>20</v>
      </c>
      <c r="D62" s="3">
        <f>IFERROR(VLOOKUP(Tablo3[[#This Row],[Personel Adı]],Tablo1[[Ad Soyad]:[Günlük Ücreti]],2,0)*VLOOKUP(Tablo3[[#This Row],[Durum]],Ayarlar!$E:$F,2,0),VLOOKUP(Tablo3[[#This Row],[Personel Adı]],Tablo1[[Ad Soyad]:[Günlük Ücreti]],2,0))</f>
        <v>0</v>
      </c>
    </row>
    <row r="63" spans="1:4" x14ac:dyDescent="0.25">
      <c r="A63" s="15">
        <v>44615</v>
      </c>
      <c r="B63" s="3" t="s">
        <v>16</v>
      </c>
      <c r="C63" s="3" t="s">
        <v>20</v>
      </c>
      <c r="D63" s="3">
        <f>IFERROR(VLOOKUP(Tablo3[[#This Row],[Personel Adı]],Tablo1[[Ad Soyad]:[Günlük Ücreti]],2,0)*VLOOKUP(Tablo3[[#This Row],[Durum]],Ayarlar!$E:$F,2,0),VLOOKUP(Tablo3[[#This Row],[Personel Adı]],Tablo1[[Ad Soyad]:[Günlük Ücreti]],2,0))</f>
        <v>0</v>
      </c>
    </row>
    <row r="64" spans="1:4" x14ac:dyDescent="0.25">
      <c r="A64" s="15">
        <v>44614</v>
      </c>
      <c r="B64" s="3" t="s">
        <v>16</v>
      </c>
      <c r="C64" s="3" t="s">
        <v>20</v>
      </c>
      <c r="D64" s="3">
        <f>IFERROR(VLOOKUP(Tablo3[[#This Row],[Personel Adı]],Tablo1[[Ad Soyad]:[Günlük Ücreti]],2,0)*VLOOKUP(Tablo3[[#This Row],[Durum]],Ayarlar!$E:$F,2,0),VLOOKUP(Tablo3[[#This Row],[Personel Adı]],Tablo1[[Ad Soyad]:[Günlük Ücreti]],2,0))</f>
        <v>0</v>
      </c>
    </row>
    <row r="65" spans="1:4" x14ac:dyDescent="0.25">
      <c r="A65" s="15">
        <v>44613</v>
      </c>
      <c r="B65" s="3" t="s">
        <v>16</v>
      </c>
      <c r="C65" s="3" t="s">
        <v>20</v>
      </c>
      <c r="D65" s="3">
        <f>IFERROR(VLOOKUP(Tablo3[[#This Row],[Personel Adı]],Tablo1[[Ad Soyad]:[Günlük Ücreti]],2,0)*VLOOKUP(Tablo3[[#This Row],[Durum]],Ayarlar!$E:$F,2,0),VLOOKUP(Tablo3[[#This Row],[Personel Adı]],Tablo1[[Ad Soyad]:[Günlük Ücreti]],2,0))</f>
        <v>0</v>
      </c>
    </row>
    <row r="66" spans="1:4" x14ac:dyDescent="0.25">
      <c r="A66" s="15">
        <v>44612</v>
      </c>
      <c r="B66" s="3" t="s">
        <v>16</v>
      </c>
      <c r="C66" s="3" t="s">
        <v>20</v>
      </c>
      <c r="D66" s="3">
        <f>IFERROR(VLOOKUP(Tablo3[[#This Row],[Personel Adı]],Tablo1[[Ad Soyad]:[Günlük Ücreti]],2,0)*VLOOKUP(Tablo3[[#This Row],[Durum]],Ayarlar!$E:$F,2,0),VLOOKUP(Tablo3[[#This Row],[Personel Adı]],Tablo1[[Ad Soyad]:[Günlük Ücreti]],2,0))</f>
        <v>0</v>
      </c>
    </row>
    <row r="67" spans="1:4" x14ac:dyDescent="0.25">
      <c r="A67" s="15">
        <v>44611</v>
      </c>
      <c r="B67" s="3" t="s">
        <v>16</v>
      </c>
      <c r="C67" s="3" t="s">
        <v>20</v>
      </c>
      <c r="D67" s="3">
        <f>IFERROR(VLOOKUP(Tablo3[[#This Row],[Personel Adı]],Tablo1[[Ad Soyad]:[Günlük Ücreti]],2,0)*VLOOKUP(Tablo3[[#This Row],[Durum]],Ayarlar!$E:$F,2,0),VLOOKUP(Tablo3[[#This Row],[Personel Adı]],Tablo1[[Ad Soyad]:[Günlük Ücreti]],2,0))</f>
        <v>0</v>
      </c>
    </row>
    <row r="68" spans="1:4" x14ac:dyDescent="0.25">
      <c r="A68" s="15">
        <v>44610</v>
      </c>
      <c r="B68" s="3" t="s">
        <v>16</v>
      </c>
      <c r="C68" s="3" t="s">
        <v>20</v>
      </c>
      <c r="D68" s="3">
        <f>IFERROR(VLOOKUP(Tablo3[[#This Row],[Personel Adı]],Tablo1[[Ad Soyad]:[Günlük Ücreti]],2,0)*VLOOKUP(Tablo3[[#This Row],[Durum]],Ayarlar!$E:$F,2,0),VLOOKUP(Tablo3[[#This Row],[Personel Adı]],Tablo1[[Ad Soyad]:[Günlük Ücreti]],2,0))</f>
        <v>0</v>
      </c>
    </row>
    <row r="69" spans="1:4" x14ac:dyDescent="0.25">
      <c r="A69" s="15">
        <v>44609</v>
      </c>
      <c r="B69" s="3" t="s">
        <v>16</v>
      </c>
      <c r="C69" s="3" t="s">
        <v>20</v>
      </c>
      <c r="D69" s="3">
        <f>IFERROR(VLOOKUP(Tablo3[[#This Row],[Personel Adı]],Tablo1[[Ad Soyad]:[Günlük Ücreti]],2,0)*VLOOKUP(Tablo3[[#This Row],[Durum]],Ayarlar!$E:$F,2,0),VLOOKUP(Tablo3[[#This Row],[Personel Adı]],Tablo1[[Ad Soyad]:[Günlük Ücreti]],2,0))</f>
        <v>0</v>
      </c>
    </row>
    <row r="70" spans="1:4" x14ac:dyDescent="0.25">
      <c r="A70" s="15">
        <v>44608</v>
      </c>
      <c r="B70" s="3" t="s">
        <v>16</v>
      </c>
      <c r="C70" s="3" t="s">
        <v>20</v>
      </c>
      <c r="D70" s="3">
        <f>IFERROR(VLOOKUP(Tablo3[[#This Row],[Personel Adı]],Tablo1[[Ad Soyad]:[Günlük Ücreti]],2,0)*VLOOKUP(Tablo3[[#This Row],[Durum]],Ayarlar!$E:$F,2,0),VLOOKUP(Tablo3[[#This Row],[Personel Adı]],Tablo1[[Ad Soyad]:[Günlük Ücreti]],2,0))</f>
        <v>0</v>
      </c>
    </row>
    <row r="71" spans="1:4" x14ac:dyDescent="0.25">
      <c r="A71" s="15">
        <v>44607</v>
      </c>
      <c r="B71" s="3" t="s">
        <v>16</v>
      </c>
      <c r="C71" s="3" t="s">
        <v>20</v>
      </c>
      <c r="D71" s="3">
        <f>IFERROR(VLOOKUP(Tablo3[[#This Row],[Personel Adı]],Tablo1[[Ad Soyad]:[Günlük Ücreti]],2,0)*VLOOKUP(Tablo3[[#This Row],[Durum]],Ayarlar!$E:$F,2,0),VLOOKUP(Tablo3[[#This Row],[Personel Adı]],Tablo1[[Ad Soyad]:[Günlük Ücreti]],2,0))</f>
        <v>0</v>
      </c>
    </row>
    <row r="72" spans="1:4" x14ac:dyDescent="0.25">
      <c r="A72" s="15">
        <v>44606</v>
      </c>
      <c r="B72" s="3" t="s">
        <v>16</v>
      </c>
      <c r="C72" s="3" t="s">
        <v>20</v>
      </c>
      <c r="D72" s="3">
        <f>IFERROR(VLOOKUP(Tablo3[[#This Row],[Personel Adı]],Tablo1[[Ad Soyad]:[Günlük Ücreti]],2,0)*VLOOKUP(Tablo3[[#This Row],[Durum]],Ayarlar!$E:$F,2,0),VLOOKUP(Tablo3[[#This Row],[Personel Adı]],Tablo1[[Ad Soyad]:[Günlük Ücreti]],2,0))</f>
        <v>0</v>
      </c>
    </row>
    <row r="73" spans="1:4" x14ac:dyDescent="0.25">
      <c r="A73" s="15">
        <v>44605</v>
      </c>
      <c r="B73" s="3" t="s">
        <v>16</v>
      </c>
      <c r="C73" s="3" t="s">
        <v>20</v>
      </c>
      <c r="D73" s="3">
        <f>IFERROR(VLOOKUP(Tablo3[[#This Row],[Personel Adı]],Tablo1[[Ad Soyad]:[Günlük Ücreti]],2,0)*VLOOKUP(Tablo3[[#This Row],[Durum]],Ayarlar!$E:$F,2,0),VLOOKUP(Tablo3[[#This Row],[Personel Adı]],Tablo1[[Ad Soyad]:[Günlük Ücreti]],2,0))</f>
        <v>0</v>
      </c>
    </row>
    <row r="74" spans="1:4" x14ac:dyDescent="0.25">
      <c r="A74" s="15">
        <v>44604</v>
      </c>
      <c r="B74" s="3" t="s">
        <v>16</v>
      </c>
      <c r="C74" s="3" t="s">
        <v>20</v>
      </c>
      <c r="D74" s="3">
        <f>IFERROR(VLOOKUP(Tablo3[[#This Row],[Personel Adı]],Tablo1[[Ad Soyad]:[Günlük Ücreti]],2,0)*VLOOKUP(Tablo3[[#This Row],[Durum]],Ayarlar!$E:$F,2,0),VLOOKUP(Tablo3[[#This Row],[Personel Adı]],Tablo1[[Ad Soyad]:[Günlük Ücreti]],2,0))</f>
        <v>0</v>
      </c>
    </row>
    <row r="75" spans="1:4" x14ac:dyDescent="0.25">
      <c r="A75" s="15">
        <v>44603</v>
      </c>
      <c r="B75" s="3" t="s">
        <v>16</v>
      </c>
      <c r="C75" s="3" t="s">
        <v>20</v>
      </c>
      <c r="D75" s="3">
        <f>IFERROR(VLOOKUP(Tablo3[[#This Row],[Personel Adı]],Tablo1[[Ad Soyad]:[Günlük Ücreti]],2,0)*VLOOKUP(Tablo3[[#This Row],[Durum]],Ayarlar!$E:$F,2,0),VLOOKUP(Tablo3[[#This Row],[Personel Adı]],Tablo1[[Ad Soyad]:[Günlük Ücreti]],2,0))</f>
        <v>0</v>
      </c>
    </row>
    <row r="76" spans="1:4" x14ac:dyDescent="0.25">
      <c r="A76" s="15">
        <v>44602</v>
      </c>
      <c r="B76" s="3" t="s">
        <v>16</v>
      </c>
      <c r="C76" s="3" t="s">
        <v>20</v>
      </c>
      <c r="D76" s="3">
        <f>IFERROR(VLOOKUP(Tablo3[[#This Row],[Personel Adı]],Tablo1[[Ad Soyad]:[Günlük Ücreti]],2,0)*VLOOKUP(Tablo3[[#This Row],[Durum]],Ayarlar!$E:$F,2,0),VLOOKUP(Tablo3[[#This Row],[Personel Adı]],Tablo1[[Ad Soyad]:[Günlük Ücreti]],2,0))</f>
        <v>0</v>
      </c>
    </row>
    <row r="77" spans="1:4" x14ac:dyDescent="0.25">
      <c r="A77" s="15">
        <v>44601</v>
      </c>
      <c r="B77" s="3" t="s">
        <v>16</v>
      </c>
      <c r="C77" s="3" t="s">
        <v>20</v>
      </c>
      <c r="D77" s="3">
        <f>IFERROR(VLOOKUP(Tablo3[[#This Row],[Personel Adı]],Tablo1[[Ad Soyad]:[Günlük Ücreti]],2,0)*VLOOKUP(Tablo3[[#This Row],[Durum]],Ayarlar!$E:$F,2,0),VLOOKUP(Tablo3[[#This Row],[Personel Adı]],Tablo1[[Ad Soyad]:[Günlük Ücreti]],2,0))</f>
        <v>0</v>
      </c>
    </row>
    <row r="78" spans="1:4" x14ac:dyDescent="0.25">
      <c r="A78" s="15">
        <v>44600</v>
      </c>
      <c r="B78" s="3" t="s">
        <v>16</v>
      </c>
      <c r="C78" s="3" t="s">
        <v>20</v>
      </c>
      <c r="D78" s="3">
        <f>IFERROR(VLOOKUP(Tablo3[[#This Row],[Personel Adı]],Tablo1[[Ad Soyad]:[Günlük Ücreti]],2,0)*VLOOKUP(Tablo3[[#This Row],[Durum]],Ayarlar!$E:$F,2,0),VLOOKUP(Tablo3[[#This Row],[Personel Adı]],Tablo1[[Ad Soyad]:[Günlük Ücreti]],2,0))</f>
        <v>0</v>
      </c>
    </row>
    <row r="79" spans="1:4" x14ac:dyDescent="0.25">
      <c r="A79" s="15">
        <v>44599</v>
      </c>
      <c r="B79" s="3" t="s">
        <v>16</v>
      </c>
      <c r="C79" s="3" t="s">
        <v>20</v>
      </c>
      <c r="D79" s="3">
        <f>IFERROR(VLOOKUP(Tablo3[[#This Row],[Personel Adı]],Tablo1[[Ad Soyad]:[Günlük Ücreti]],2,0)*VLOOKUP(Tablo3[[#This Row],[Durum]],Ayarlar!$E:$F,2,0),VLOOKUP(Tablo3[[#This Row],[Personel Adı]],Tablo1[[Ad Soyad]:[Günlük Ücreti]],2,0))</f>
        <v>0</v>
      </c>
    </row>
    <row r="80" spans="1:4" x14ac:dyDescent="0.25">
      <c r="A80" s="15">
        <v>44598</v>
      </c>
      <c r="B80" s="3" t="s">
        <v>16</v>
      </c>
      <c r="C80" s="3" t="s">
        <v>20</v>
      </c>
      <c r="D80" s="3">
        <f>IFERROR(VLOOKUP(Tablo3[[#This Row],[Personel Adı]],Tablo1[[Ad Soyad]:[Günlük Ücreti]],2,0)*VLOOKUP(Tablo3[[#This Row],[Durum]],Ayarlar!$E:$F,2,0),VLOOKUP(Tablo3[[#This Row],[Personel Adı]],Tablo1[[Ad Soyad]:[Günlük Ücreti]],2,0))</f>
        <v>0</v>
      </c>
    </row>
    <row r="81" spans="1:4" x14ac:dyDescent="0.25">
      <c r="A81" s="15">
        <v>44597</v>
      </c>
      <c r="B81" s="3" t="s">
        <v>16</v>
      </c>
      <c r="C81" s="3" t="s">
        <v>20</v>
      </c>
      <c r="D81" s="3">
        <f>IFERROR(VLOOKUP(Tablo3[[#This Row],[Personel Adı]],Tablo1[[Ad Soyad]:[Günlük Ücreti]],2,0)*VLOOKUP(Tablo3[[#This Row],[Durum]],Ayarlar!$E:$F,2,0),VLOOKUP(Tablo3[[#This Row],[Personel Adı]],Tablo1[[Ad Soyad]:[Günlük Ücreti]],2,0))</f>
        <v>0</v>
      </c>
    </row>
    <row r="82" spans="1:4" x14ac:dyDescent="0.25">
      <c r="A82" s="15">
        <v>44596</v>
      </c>
      <c r="B82" s="3" t="s">
        <v>16</v>
      </c>
      <c r="C82" s="3" t="s">
        <v>20</v>
      </c>
      <c r="D82" s="3">
        <f>IFERROR(VLOOKUP(Tablo3[[#This Row],[Personel Adı]],Tablo1[[Ad Soyad]:[Günlük Ücreti]],2,0)*VLOOKUP(Tablo3[[#This Row],[Durum]],Ayarlar!$E:$F,2,0),VLOOKUP(Tablo3[[#This Row],[Personel Adı]],Tablo1[[Ad Soyad]:[Günlük Ücreti]],2,0))</f>
        <v>0</v>
      </c>
    </row>
    <row r="83" spans="1:4" x14ac:dyDescent="0.25">
      <c r="A83" s="15">
        <v>44595</v>
      </c>
      <c r="B83" s="3" t="s">
        <v>16</v>
      </c>
      <c r="C83" s="3" t="s">
        <v>20</v>
      </c>
      <c r="D83" s="3">
        <f>IFERROR(VLOOKUP(Tablo3[[#This Row],[Personel Adı]],Tablo1[[Ad Soyad]:[Günlük Ücreti]],2,0)*VLOOKUP(Tablo3[[#This Row],[Durum]],Ayarlar!$E:$F,2,0),VLOOKUP(Tablo3[[#This Row],[Personel Adı]],Tablo1[[Ad Soyad]:[Günlük Ücreti]],2,0))</f>
        <v>0</v>
      </c>
    </row>
    <row r="84" spans="1:4" x14ac:dyDescent="0.25">
      <c r="A84" s="15">
        <v>44594</v>
      </c>
      <c r="B84" s="3" t="s">
        <v>16</v>
      </c>
      <c r="C84" s="3" t="s">
        <v>20</v>
      </c>
      <c r="D84" s="3">
        <f>IFERROR(VLOOKUP(Tablo3[[#This Row],[Personel Adı]],Tablo1[[Ad Soyad]:[Günlük Ücreti]],2,0)*VLOOKUP(Tablo3[[#This Row],[Durum]],Ayarlar!$E:$F,2,0),VLOOKUP(Tablo3[[#This Row],[Personel Adı]],Tablo1[[Ad Soyad]:[Günlük Ücreti]],2,0))</f>
        <v>0</v>
      </c>
    </row>
    <row r="85" spans="1:4" x14ac:dyDescent="0.25">
      <c r="A85" s="15">
        <v>44593</v>
      </c>
      <c r="B85" s="3" t="s">
        <v>16</v>
      </c>
      <c r="C85" s="3" t="s">
        <v>20</v>
      </c>
      <c r="D85" s="3">
        <f>IFERROR(VLOOKUP(Tablo3[[#This Row],[Personel Adı]],Tablo1[[Ad Soyad]:[Günlük Ücreti]],2,0)*VLOOKUP(Tablo3[[#This Row],[Durum]],Ayarlar!$E:$F,2,0),VLOOKUP(Tablo3[[#This Row],[Personel Adı]],Tablo1[[Ad Soyad]:[Günlük Ücreti]],2,0))</f>
        <v>0</v>
      </c>
    </row>
    <row r="86" spans="1:4" x14ac:dyDescent="0.25">
      <c r="A86" s="15">
        <v>44620</v>
      </c>
      <c r="B86" s="3" t="s">
        <v>7</v>
      </c>
      <c r="C86" s="3" t="s">
        <v>19</v>
      </c>
      <c r="D86" s="3">
        <f>IFERROR(VLOOKUP(Tablo3[[#This Row],[Personel Adı]],Tablo1[[Ad Soyad]:[Günlük Ücreti]],2,0)*VLOOKUP(Tablo3[[#This Row],[Durum]],Ayarlar!$E:$F,2,0),VLOOKUP(Tablo3[[#This Row],[Personel Adı]],Tablo1[[Ad Soyad]:[Günlük Ücreti]],2,0))</f>
        <v>150</v>
      </c>
    </row>
    <row r="87" spans="1:4" x14ac:dyDescent="0.25">
      <c r="A87" s="15">
        <v>44619</v>
      </c>
      <c r="B87" s="3" t="s">
        <v>71</v>
      </c>
      <c r="C87" s="3" t="s">
        <v>19</v>
      </c>
      <c r="D87" s="3">
        <f>IFERROR(VLOOKUP(Tablo3[[#This Row],[Personel Adı]],Tablo1[[Ad Soyad]:[Günlük Ücreti]],2,0)*VLOOKUP(Tablo3[[#This Row],[Durum]],Ayarlar!$E:$F,2,0),VLOOKUP(Tablo3[[#This Row],[Personel Adı]],Tablo1[[Ad Soyad]:[Günlük Ücreti]],2,0))</f>
        <v>150</v>
      </c>
    </row>
    <row r="88" spans="1:4" x14ac:dyDescent="0.25">
      <c r="A88" s="15">
        <v>44618</v>
      </c>
      <c r="B88" s="3" t="s">
        <v>71</v>
      </c>
      <c r="C88" s="3" t="s">
        <v>19</v>
      </c>
      <c r="D88" s="3">
        <f>IFERROR(VLOOKUP(Tablo3[[#This Row],[Personel Adı]],Tablo1[[Ad Soyad]:[Günlük Ücreti]],2,0)*VLOOKUP(Tablo3[[#This Row],[Durum]],Ayarlar!$E:$F,2,0),VLOOKUP(Tablo3[[#This Row],[Personel Adı]],Tablo1[[Ad Soyad]:[Günlük Ücreti]],2,0))</f>
        <v>150</v>
      </c>
    </row>
    <row r="89" spans="1:4" x14ac:dyDescent="0.25">
      <c r="A89" s="15">
        <v>44617</v>
      </c>
      <c r="B89" s="3" t="s">
        <v>7</v>
      </c>
      <c r="C89" s="3" t="s">
        <v>19</v>
      </c>
      <c r="D89" s="3">
        <f>IFERROR(VLOOKUP(Tablo3[[#This Row],[Personel Adı]],Tablo1[[Ad Soyad]:[Günlük Ücreti]],2,0)*VLOOKUP(Tablo3[[#This Row],[Durum]],Ayarlar!$E:$F,2,0),VLOOKUP(Tablo3[[#This Row],[Personel Adı]],Tablo1[[Ad Soyad]:[Günlük Ücreti]],2,0))</f>
        <v>150</v>
      </c>
    </row>
    <row r="90" spans="1:4" x14ac:dyDescent="0.25">
      <c r="A90" s="15">
        <v>44616</v>
      </c>
      <c r="B90" s="3" t="s">
        <v>7</v>
      </c>
      <c r="C90" s="3" t="s">
        <v>19</v>
      </c>
      <c r="D90" s="3">
        <f>IFERROR(VLOOKUP(Tablo3[[#This Row],[Personel Adı]],Tablo1[[Ad Soyad]:[Günlük Ücreti]],2,0)*VLOOKUP(Tablo3[[#This Row],[Durum]],Ayarlar!$E:$F,2,0),VLOOKUP(Tablo3[[#This Row],[Personel Adı]],Tablo1[[Ad Soyad]:[Günlük Ücreti]],2,0))</f>
        <v>150</v>
      </c>
    </row>
    <row r="91" spans="1:4" x14ac:dyDescent="0.25">
      <c r="A91" s="15">
        <v>44615</v>
      </c>
      <c r="B91" s="3" t="s">
        <v>7</v>
      </c>
      <c r="C91" s="3" t="s">
        <v>19</v>
      </c>
      <c r="D91" s="3">
        <f>IFERROR(VLOOKUP(Tablo3[[#This Row],[Personel Adı]],Tablo1[[Ad Soyad]:[Günlük Ücreti]],2,0)*VLOOKUP(Tablo3[[#This Row],[Durum]],Ayarlar!$E:$F,2,0),VLOOKUP(Tablo3[[#This Row],[Personel Adı]],Tablo1[[Ad Soyad]:[Günlük Ücreti]],2,0))</f>
        <v>150</v>
      </c>
    </row>
    <row r="92" spans="1:4" x14ac:dyDescent="0.25">
      <c r="A92" s="15">
        <v>44614</v>
      </c>
      <c r="B92" s="3" t="s">
        <v>7</v>
      </c>
      <c r="C92" s="3" t="s">
        <v>19</v>
      </c>
      <c r="D92" s="3">
        <f>IFERROR(VLOOKUP(Tablo3[[#This Row],[Personel Adı]],Tablo1[[Ad Soyad]:[Günlük Ücreti]],2,0)*VLOOKUP(Tablo3[[#This Row],[Durum]],Ayarlar!$E:$F,2,0),VLOOKUP(Tablo3[[#This Row],[Personel Adı]],Tablo1[[Ad Soyad]:[Günlük Ücreti]],2,0))</f>
        <v>150</v>
      </c>
    </row>
    <row r="93" spans="1:4" x14ac:dyDescent="0.25">
      <c r="A93" s="15">
        <v>44613</v>
      </c>
      <c r="B93" s="3" t="s">
        <v>7</v>
      </c>
      <c r="C93" s="3" t="s">
        <v>19</v>
      </c>
      <c r="D93" s="3">
        <f>IFERROR(VLOOKUP(Tablo3[[#This Row],[Personel Adı]],Tablo1[[Ad Soyad]:[Günlük Ücreti]],2,0)*VLOOKUP(Tablo3[[#This Row],[Durum]],Ayarlar!$E:$F,2,0),VLOOKUP(Tablo3[[#This Row],[Personel Adı]],Tablo1[[Ad Soyad]:[Günlük Ücreti]],2,0))</f>
        <v>150</v>
      </c>
    </row>
    <row r="94" spans="1:4" x14ac:dyDescent="0.25">
      <c r="A94" s="15">
        <v>44612</v>
      </c>
      <c r="B94" s="3" t="s">
        <v>71</v>
      </c>
      <c r="C94" s="3" t="s">
        <v>19</v>
      </c>
      <c r="D94" s="3">
        <f>IFERROR(VLOOKUP(Tablo3[[#This Row],[Personel Adı]],Tablo1[[Ad Soyad]:[Günlük Ücreti]],2,0)*VLOOKUP(Tablo3[[#This Row],[Durum]],Ayarlar!$E:$F,2,0),VLOOKUP(Tablo3[[#This Row],[Personel Adı]],Tablo1[[Ad Soyad]:[Günlük Ücreti]],2,0))</f>
        <v>150</v>
      </c>
    </row>
    <row r="95" spans="1:4" x14ac:dyDescent="0.25">
      <c r="A95" s="15">
        <v>44611</v>
      </c>
      <c r="B95" s="3" t="s">
        <v>71</v>
      </c>
      <c r="C95" s="3" t="s">
        <v>19</v>
      </c>
      <c r="D95" s="3">
        <f>IFERROR(VLOOKUP(Tablo3[[#This Row],[Personel Adı]],Tablo1[[Ad Soyad]:[Günlük Ücreti]],2,0)*VLOOKUP(Tablo3[[#This Row],[Durum]],Ayarlar!$E:$F,2,0),VLOOKUP(Tablo3[[#This Row],[Personel Adı]],Tablo1[[Ad Soyad]:[Günlük Ücreti]],2,0))</f>
        <v>150</v>
      </c>
    </row>
    <row r="96" spans="1:4" x14ac:dyDescent="0.25">
      <c r="A96" s="15">
        <v>44610</v>
      </c>
      <c r="B96" s="3" t="s">
        <v>7</v>
      </c>
      <c r="C96" s="3" t="s">
        <v>19</v>
      </c>
      <c r="D96" s="3">
        <f>IFERROR(VLOOKUP(Tablo3[[#This Row],[Personel Adı]],Tablo1[[Ad Soyad]:[Günlük Ücreti]],2,0)*VLOOKUP(Tablo3[[#This Row],[Durum]],Ayarlar!$E:$F,2,0),VLOOKUP(Tablo3[[#This Row],[Personel Adı]],Tablo1[[Ad Soyad]:[Günlük Ücreti]],2,0))</f>
        <v>150</v>
      </c>
    </row>
    <row r="97" spans="1:4" x14ac:dyDescent="0.25">
      <c r="A97" s="15">
        <v>44609</v>
      </c>
      <c r="B97" s="3" t="s">
        <v>7</v>
      </c>
      <c r="C97" s="3" t="s">
        <v>19</v>
      </c>
      <c r="D97" s="3">
        <f>IFERROR(VLOOKUP(Tablo3[[#This Row],[Personel Adı]],Tablo1[[Ad Soyad]:[Günlük Ücreti]],2,0)*VLOOKUP(Tablo3[[#This Row],[Durum]],Ayarlar!$E:$F,2,0),VLOOKUP(Tablo3[[#This Row],[Personel Adı]],Tablo1[[Ad Soyad]:[Günlük Ücreti]],2,0))</f>
        <v>150</v>
      </c>
    </row>
    <row r="98" spans="1:4" x14ac:dyDescent="0.25">
      <c r="A98" s="15">
        <v>44608</v>
      </c>
      <c r="B98" s="3" t="s">
        <v>7</v>
      </c>
      <c r="C98" s="3" t="s">
        <v>19</v>
      </c>
      <c r="D98" s="3">
        <f>IFERROR(VLOOKUP(Tablo3[[#This Row],[Personel Adı]],Tablo1[[Ad Soyad]:[Günlük Ücreti]],2,0)*VLOOKUP(Tablo3[[#This Row],[Durum]],Ayarlar!$E:$F,2,0),VLOOKUP(Tablo3[[#This Row],[Personel Adı]],Tablo1[[Ad Soyad]:[Günlük Ücreti]],2,0))</f>
        <v>150</v>
      </c>
    </row>
    <row r="99" spans="1:4" x14ac:dyDescent="0.25">
      <c r="A99" s="15">
        <v>44607</v>
      </c>
      <c r="B99" s="3" t="s">
        <v>7</v>
      </c>
      <c r="C99" s="3" t="s">
        <v>19</v>
      </c>
      <c r="D99" s="3">
        <f>IFERROR(VLOOKUP(Tablo3[[#This Row],[Personel Adı]],Tablo1[[Ad Soyad]:[Günlük Ücreti]],2,0)*VLOOKUP(Tablo3[[#This Row],[Durum]],Ayarlar!$E:$F,2,0),VLOOKUP(Tablo3[[#This Row],[Personel Adı]],Tablo1[[Ad Soyad]:[Günlük Ücreti]],2,0))</f>
        <v>150</v>
      </c>
    </row>
    <row r="100" spans="1:4" x14ac:dyDescent="0.25">
      <c r="A100" s="15">
        <v>44606</v>
      </c>
      <c r="B100" s="3" t="s">
        <v>7</v>
      </c>
      <c r="C100" s="3" t="s">
        <v>19</v>
      </c>
      <c r="D100" s="3">
        <f>IFERROR(VLOOKUP(Tablo3[[#This Row],[Personel Adı]],Tablo1[[Ad Soyad]:[Günlük Ücreti]],2,0)*VLOOKUP(Tablo3[[#This Row],[Durum]],Ayarlar!$E:$F,2,0),VLOOKUP(Tablo3[[#This Row],[Personel Adı]],Tablo1[[Ad Soyad]:[Günlük Ücreti]],2,0))</f>
        <v>150</v>
      </c>
    </row>
    <row r="101" spans="1:4" x14ac:dyDescent="0.25">
      <c r="A101" s="15">
        <v>44605</v>
      </c>
      <c r="B101" s="3" t="s">
        <v>71</v>
      </c>
      <c r="C101" s="3" t="s">
        <v>19</v>
      </c>
      <c r="D101" s="3">
        <f>IFERROR(VLOOKUP(Tablo3[[#This Row],[Personel Adı]],Tablo1[[Ad Soyad]:[Günlük Ücreti]],2,0)*VLOOKUP(Tablo3[[#This Row],[Durum]],Ayarlar!$E:$F,2,0),VLOOKUP(Tablo3[[#This Row],[Personel Adı]],Tablo1[[Ad Soyad]:[Günlük Ücreti]],2,0))</f>
        <v>150</v>
      </c>
    </row>
    <row r="102" spans="1:4" x14ac:dyDescent="0.25">
      <c r="A102" s="15">
        <v>44604</v>
      </c>
      <c r="B102" s="3" t="s">
        <v>71</v>
      </c>
      <c r="C102" s="3" t="s">
        <v>19</v>
      </c>
      <c r="D102" s="3">
        <f>IFERROR(VLOOKUP(Tablo3[[#This Row],[Personel Adı]],Tablo1[[Ad Soyad]:[Günlük Ücreti]],2,0)*VLOOKUP(Tablo3[[#This Row],[Durum]],Ayarlar!$E:$F,2,0),VLOOKUP(Tablo3[[#This Row],[Personel Adı]],Tablo1[[Ad Soyad]:[Günlük Ücreti]],2,0))</f>
        <v>150</v>
      </c>
    </row>
    <row r="103" spans="1:4" x14ac:dyDescent="0.25">
      <c r="A103" s="15">
        <v>44603</v>
      </c>
      <c r="B103" s="3" t="s">
        <v>7</v>
      </c>
      <c r="C103" s="3" t="s">
        <v>19</v>
      </c>
      <c r="D103" s="3">
        <f>IFERROR(VLOOKUP(Tablo3[[#This Row],[Personel Adı]],Tablo1[[Ad Soyad]:[Günlük Ücreti]],2,0)*VLOOKUP(Tablo3[[#This Row],[Durum]],Ayarlar!$E:$F,2,0),VLOOKUP(Tablo3[[#This Row],[Personel Adı]],Tablo1[[Ad Soyad]:[Günlük Ücreti]],2,0))</f>
        <v>150</v>
      </c>
    </row>
    <row r="104" spans="1:4" x14ac:dyDescent="0.25">
      <c r="A104" s="15">
        <v>44602</v>
      </c>
      <c r="B104" s="3" t="s">
        <v>7</v>
      </c>
      <c r="C104" s="3" t="s">
        <v>19</v>
      </c>
      <c r="D104" s="3">
        <f>IFERROR(VLOOKUP(Tablo3[[#This Row],[Personel Adı]],Tablo1[[Ad Soyad]:[Günlük Ücreti]],2,0)*VLOOKUP(Tablo3[[#This Row],[Durum]],Ayarlar!$E:$F,2,0),VLOOKUP(Tablo3[[#This Row],[Personel Adı]],Tablo1[[Ad Soyad]:[Günlük Ücreti]],2,0))</f>
        <v>150</v>
      </c>
    </row>
    <row r="105" spans="1:4" x14ac:dyDescent="0.25">
      <c r="A105" s="15">
        <v>44601</v>
      </c>
      <c r="B105" s="3" t="s">
        <v>7</v>
      </c>
      <c r="C105" s="3" t="s">
        <v>19</v>
      </c>
      <c r="D105" s="3">
        <f>IFERROR(VLOOKUP(Tablo3[[#This Row],[Personel Adı]],Tablo1[[Ad Soyad]:[Günlük Ücreti]],2,0)*VLOOKUP(Tablo3[[#This Row],[Durum]],Ayarlar!$E:$F,2,0),VLOOKUP(Tablo3[[#This Row],[Personel Adı]],Tablo1[[Ad Soyad]:[Günlük Ücreti]],2,0))</f>
        <v>150</v>
      </c>
    </row>
    <row r="106" spans="1:4" x14ac:dyDescent="0.25">
      <c r="A106" s="15">
        <v>44600</v>
      </c>
      <c r="B106" s="3" t="s">
        <v>7</v>
      </c>
      <c r="C106" s="3" t="s">
        <v>19</v>
      </c>
      <c r="D106" s="3">
        <f>IFERROR(VLOOKUP(Tablo3[[#This Row],[Personel Adı]],Tablo1[[Ad Soyad]:[Günlük Ücreti]],2,0)*VLOOKUP(Tablo3[[#This Row],[Durum]],Ayarlar!$E:$F,2,0),VLOOKUP(Tablo3[[#This Row],[Personel Adı]],Tablo1[[Ad Soyad]:[Günlük Ücreti]],2,0))</f>
        <v>150</v>
      </c>
    </row>
    <row r="107" spans="1:4" x14ac:dyDescent="0.25">
      <c r="A107" s="15">
        <v>44599</v>
      </c>
      <c r="B107" s="3" t="s">
        <v>7</v>
      </c>
      <c r="C107" s="3" t="s">
        <v>19</v>
      </c>
      <c r="D107" s="3">
        <f>IFERROR(VLOOKUP(Tablo3[[#This Row],[Personel Adı]],Tablo1[[Ad Soyad]:[Günlük Ücreti]],2,0)*VLOOKUP(Tablo3[[#This Row],[Durum]],Ayarlar!$E:$F,2,0),VLOOKUP(Tablo3[[#This Row],[Personel Adı]],Tablo1[[Ad Soyad]:[Günlük Ücreti]],2,0))</f>
        <v>150</v>
      </c>
    </row>
    <row r="108" spans="1:4" x14ac:dyDescent="0.25">
      <c r="A108" s="15">
        <v>44598</v>
      </c>
      <c r="B108" s="3" t="s">
        <v>71</v>
      </c>
      <c r="C108" s="3" t="s">
        <v>19</v>
      </c>
      <c r="D108" s="3">
        <f>IFERROR(VLOOKUP(Tablo3[[#This Row],[Personel Adı]],Tablo1[[Ad Soyad]:[Günlük Ücreti]],2,0)*VLOOKUP(Tablo3[[#This Row],[Durum]],Ayarlar!$E:$F,2,0),VLOOKUP(Tablo3[[#This Row],[Personel Adı]],Tablo1[[Ad Soyad]:[Günlük Ücreti]],2,0))</f>
        <v>150</v>
      </c>
    </row>
    <row r="109" spans="1:4" x14ac:dyDescent="0.25">
      <c r="A109" s="15">
        <v>44597</v>
      </c>
      <c r="B109" s="3" t="s">
        <v>71</v>
      </c>
      <c r="C109" s="3" t="s">
        <v>19</v>
      </c>
      <c r="D109" s="3">
        <f>IFERROR(VLOOKUP(Tablo3[[#This Row],[Personel Adı]],Tablo1[[Ad Soyad]:[Günlük Ücreti]],2,0)*VLOOKUP(Tablo3[[#This Row],[Durum]],Ayarlar!$E:$F,2,0),VLOOKUP(Tablo3[[#This Row],[Personel Adı]],Tablo1[[Ad Soyad]:[Günlük Ücreti]],2,0))</f>
        <v>150</v>
      </c>
    </row>
    <row r="110" spans="1:4" x14ac:dyDescent="0.25">
      <c r="A110" s="15">
        <v>44596</v>
      </c>
      <c r="B110" s="3" t="s">
        <v>7</v>
      </c>
      <c r="C110" s="3" t="s">
        <v>19</v>
      </c>
      <c r="D110" s="3">
        <f>IFERROR(VLOOKUP(Tablo3[[#This Row],[Personel Adı]],Tablo1[[Ad Soyad]:[Günlük Ücreti]],2,0)*VLOOKUP(Tablo3[[#This Row],[Durum]],Ayarlar!$E:$F,2,0),VLOOKUP(Tablo3[[#This Row],[Personel Adı]],Tablo1[[Ad Soyad]:[Günlük Ücreti]],2,0))</f>
        <v>150</v>
      </c>
    </row>
    <row r="111" spans="1:4" x14ac:dyDescent="0.25">
      <c r="A111" s="15">
        <v>44595</v>
      </c>
      <c r="B111" s="3" t="s">
        <v>7</v>
      </c>
      <c r="C111" s="3" t="s">
        <v>19</v>
      </c>
      <c r="D111" s="3">
        <f>IFERROR(VLOOKUP(Tablo3[[#This Row],[Personel Adı]],Tablo1[[Ad Soyad]:[Günlük Ücreti]],2,0)*VLOOKUP(Tablo3[[#This Row],[Durum]],Ayarlar!$E:$F,2,0),VLOOKUP(Tablo3[[#This Row],[Personel Adı]],Tablo1[[Ad Soyad]:[Günlük Ücreti]],2,0))</f>
        <v>150</v>
      </c>
    </row>
    <row r="112" spans="1:4" x14ac:dyDescent="0.25">
      <c r="A112" s="15">
        <v>44594</v>
      </c>
      <c r="B112" s="3" t="s">
        <v>7</v>
      </c>
      <c r="C112" s="3" t="s">
        <v>19</v>
      </c>
      <c r="D112" s="3">
        <f>IFERROR(VLOOKUP(Tablo3[[#This Row],[Personel Adı]],Tablo1[[Ad Soyad]:[Günlük Ücreti]],2,0)*VLOOKUP(Tablo3[[#This Row],[Durum]],Ayarlar!$E:$F,2,0),VLOOKUP(Tablo3[[#This Row],[Personel Adı]],Tablo1[[Ad Soyad]:[Günlük Ücreti]],2,0))</f>
        <v>150</v>
      </c>
    </row>
    <row r="113" spans="1:4" x14ac:dyDescent="0.25">
      <c r="A113" s="15">
        <v>44593</v>
      </c>
      <c r="B113" s="3" t="s">
        <v>7</v>
      </c>
      <c r="C113" s="3" t="s">
        <v>19</v>
      </c>
      <c r="D113" s="3">
        <f>IFERROR(VLOOKUP(Tablo3[[#This Row],[Personel Adı]],Tablo1[[Ad Soyad]:[Günlük Ücreti]],2,0)*VLOOKUP(Tablo3[[#This Row],[Durum]],Ayarlar!$E:$F,2,0),VLOOKUP(Tablo3[[#This Row],[Personel Adı]],Tablo1[[Ad Soyad]:[Günlük Ücreti]],2,0))</f>
        <v>150</v>
      </c>
    </row>
    <row r="114" spans="1:4" x14ac:dyDescent="0.25">
      <c r="A114" s="15">
        <v>44620</v>
      </c>
      <c r="B114" s="3" t="s">
        <v>7</v>
      </c>
      <c r="C114" s="3" t="s">
        <v>18</v>
      </c>
      <c r="D114" s="3">
        <f>IFERROR(VLOOKUP(Tablo3[[#This Row],[Personel Adı]],Tablo1[[Ad Soyad]:[Günlük Ücreti]],2,0)*VLOOKUP(Tablo3[[#This Row],[Durum]],Ayarlar!$E:$F,2,0),VLOOKUP(Tablo3[[#This Row],[Personel Adı]],Tablo1[[Ad Soyad]:[Günlük Ücreti]],2,0))</f>
        <v>100</v>
      </c>
    </row>
    <row r="115" spans="1:4" x14ac:dyDescent="0.25">
      <c r="A115" s="15">
        <v>44619</v>
      </c>
      <c r="B115" s="3" t="s">
        <v>71</v>
      </c>
      <c r="C115" s="3" t="s">
        <v>18</v>
      </c>
      <c r="D115" s="3">
        <f>IFERROR(VLOOKUP(Tablo3[[#This Row],[Personel Adı]],Tablo1[[Ad Soyad]:[Günlük Ücreti]],2,0)*VLOOKUP(Tablo3[[#This Row],[Durum]],Ayarlar!$E:$F,2,0),VLOOKUP(Tablo3[[#This Row],[Personel Adı]],Tablo1[[Ad Soyad]:[Günlük Ücreti]],2,0))</f>
        <v>100</v>
      </c>
    </row>
    <row r="116" spans="1:4" x14ac:dyDescent="0.25">
      <c r="A116" s="15">
        <v>44618</v>
      </c>
      <c r="B116" s="3" t="s">
        <v>71</v>
      </c>
      <c r="C116" s="3" t="s">
        <v>18</v>
      </c>
      <c r="D116" s="3">
        <f>IFERROR(VLOOKUP(Tablo3[[#This Row],[Personel Adı]],Tablo1[[Ad Soyad]:[Günlük Ücreti]],2,0)*VLOOKUP(Tablo3[[#This Row],[Durum]],Ayarlar!$E:$F,2,0),VLOOKUP(Tablo3[[#This Row],[Personel Adı]],Tablo1[[Ad Soyad]:[Günlük Ücreti]],2,0))</f>
        <v>100</v>
      </c>
    </row>
    <row r="117" spans="1:4" x14ac:dyDescent="0.25">
      <c r="A117" s="15">
        <v>44617</v>
      </c>
      <c r="B117" s="3" t="s">
        <v>7</v>
      </c>
      <c r="C117" s="3" t="s">
        <v>18</v>
      </c>
      <c r="D117" s="3">
        <f>IFERROR(VLOOKUP(Tablo3[[#This Row],[Personel Adı]],Tablo1[[Ad Soyad]:[Günlük Ücreti]],2,0)*VLOOKUP(Tablo3[[#This Row],[Durum]],Ayarlar!$E:$F,2,0),VLOOKUP(Tablo3[[#This Row],[Personel Adı]],Tablo1[[Ad Soyad]:[Günlük Ücreti]],2,0))</f>
        <v>100</v>
      </c>
    </row>
    <row r="118" spans="1:4" x14ac:dyDescent="0.25">
      <c r="A118" s="15">
        <v>44616</v>
      </c>
      <c r="B118" s="3" t="s">
        <v>7</v>
      </c>
      <c r="C118" s="3" t="s">
        <v>18</v>
      </c>
      <c r="D118" s="3">
        <f>IFERROR(VLOOKUP(Tablo3[[#This Row],[Personel Adı]],Tablo1[[Ad Soyad]:[Günlük Ücreti]],2,0)*VLOOKUP(Tablo3[[#This Row],[Durum]],Ayarlar!$E:$F,2,0),VLOOKUP(Tablo3[[#This Row],[Personel Adı]],Tablo1[[Ad Soyad]:[Günlük Ücreti]],2,0))</f>
        <v>100</v>
      </c>
    </row>
    <row r="119" spans="1:4" x14ac:dyDescent="0.25">
      <c r="A119" s="15">
        <v>44615</v>
      </c>
      <c r="B119" s="3" t="s">
        <v>7</v>
      </c>
      <c r="C119" s="3" t="s">
        <v>18</v>
      </c>
      <c r="D119" s="3">
        <f>IFERROR(VLOOKUP(Tablo3[[#This Row],[Personel Adı]],Tablo1[[Ad Soyad]:[Günlük Ücreti]],2,0)*VLOOKUP(Tablo3[[#This Row],[Durum]],Ayarlar!$E:$F,2,0),VLOOKUP(Tablo3[[#This Row],[Personel Adı]],Tablo1[[Ad Soyad]:[Günlük Ücreti]],2,0))</f>
        <v>100</v>
      </c>
    </row>
    <row r="120" spans="1:4" x14ac:dyDescent="0.25">
      <c r="A120" s="15">
        <v>44614</v>
      </c>
      <c r="B120" s="3" t="s">
        <v>7</v>
      </c>
      <c r="C120" s="3" t="s">
        <v>18</v>
      </c>
      <c r="D120" s="3">
        <f>IFERROR(VLOOKUP(Tablo3[[#This Row],[Personel Adı]],Tablo1[[Ad Soyad]:[Günlük Ücreti]],2,0)*VLOOKUP(Tablo3[[#This Row],[Durum]],Ayarlar!$E:$F,2,0),VLOOKUP(Tablo3[[#This Row],[Personel Adı]],Tablo1[[Ad Soyad]:[Günlük Ücreti]],2,0))</f>
        <v>100</v>
      </c>
    </row>
    <row r="121" spans="1:4" x14ac:dyDescent="0.25">
      <c r="A121" s="15">
        <v>44613</v>
      </c>
      <c r="B121" s="3" t="s">
        <v>7</v>
      </c>
      <c r="C121" s="3" t="s">
        <v>18</v>
      </c>
      <c r="D121" s="3">
        <f>IFERROR(VLOOKUP(Tablo3[[#This Row],[Personel Adı]],Tablo1[[Ad Soyad]:[Günlük Ücreti]],2,0)*VLOOKUP(Tablo3[[#This Row],[Durum]],Ayarlar!$E:$F,2,0),VLOOKUP(Tablo3[[#This Row],[Personel Adı]],Tablo1[[Ad Soyad]:[Günlük Ücreti]],2,0))</f>
        <v>100</v>
      </c>
    </row>
    <row r="122" spans="1:4" x14ac:dyDescent="0.25">
      <c r="A122" s="15">
        <v>44612</v>
      </c>
      <c r="B122" s="3" t="s">
        <v>71</v>
      </c>
      <c r="C122" s="3" t="s">
        <v>18</v>
      </c>
      <c r="D122" s="3">
        <f>IFERROR(VLOOKUP(Tablo3[[#This Row],[Personel Adı]],Tablo1[[Ad Soyad]:[Günlük Ücreti]],2,0)*VLOOKUP(Tablo3[[#This Row],[Durum]],Ayarlar!$E:$F,2,0),VLOOKUP(Tablo3[[#This Row],[Personel Adı]],Tablo1[[Ad Soyad]:[Günlük Ücreti]],2,0))</f>
        <v>100</v>
      </c>
    </row>
    <row r="123" spans="1:4" x14ac:dyDescent="0.25">
      <c r="A123" s="15">
        <v>44611</v>
      </c>
      <c r="B123" s="3" t="s">
        <v>71</v>
      </c>
      <c r="C123" s="3" t="s">
        <v>18</v>
      </c>
      <c r="D123" s="3">
        <f>IFERROR(VLOOKUP(Tablo3[[#This Row],[Personel Adı]],Tablo1[[Ad Soyad]:[Günlük Ücreti]],2,0)*VLOOKUP(Tablo3[[#This Row],[Durum]],Ayarlar!$E:$F,2,0),VLOOKUP(Tablo3[[#This Row],[Personel Adı]],Tablo1[[Ad Soyad]:[Günlük Ücreti]],2,0))</f>
        <v>100</v>
      </c>
    </row>
    <row r="124" spans="1:4" x14ac:dyDescent="0.25">
      <c r="A124" s="15">
        <v>44610</v>
      </c>
      <c r="B124" s="3" t="s">
        <v>7</v>
      </c>
      <c r="C124" s="3" t="s">
        <v>18</v>
      </c>
      <c r="D124" s="3">
        <f>IFERROR(VLOOKUP(Tablo3[[#This Row],[Personel Adı]],Tablo1[[Ad Soyad]:[Günlük Ücreti]],2,0)*VLOOKUP(Tablo3[[#This Row],[Durum]],Ayarlar!$E:$F,2,0),VLOOKUP(Tablo3[[#This Row],[Personel Adı]],Tablo1[[Ad Soyad]:[Günlük Ücreti]],2,0))</f>
        <v>100</v>
      </c>
    </row>
    <row r="125" spans="1:4" x14ac:dyDescent="0.25">
      <c r="A125" s="15">
        <v>44609</v>
      </c>
      <c r="B125" s="3" t="s">
        <v>7</v>
      </c>
      <c r="C125" s="3" t="s">
        <v>18</v>
      </c>
      <c r="D125" s="3">
        <f>IFERROR(VLOOKUP(Tablo3[[#This Row],[Personel Adı]],Tablo1[[Ad Soyad]:[Günlük Ücreti]],2,0)*VLOOKUP(Tablo3[[#This Row],[Durum]],Ayarlar!$E:$F,2,0),VLOOKUP(Tablo3[[#This Row],[Personel Adı]],Tablo1[[Ad Soyad]:[Günlük Ücreti]],2,0))</f>
        <v>100</v>
      </c>
    </row>
    <row r="126" spans="1:4" x14ac:dyDescent="0.25">
      <c r="A126" s="15">
        <v>44608</v>
      </c>
      <c r="B126" s="3" t="s">
        <v>7</v>
      </c>
      <c r="C126" s="3" t="s">
        <v>18</v>
      </c>
      <c r="D126" s="3">
        <f>IFERROR(VLOOKUP(Tablo3[[#This Row],[Personel Adı]],Tablo1[[Ad Soyad]:[Günlük Ücreti]],2,0)*VLOOKUP(Tablo3[[#This Row],[Durum]],Ayarlar!$E:$F,2,0),VLOOKUP(Tablo3[[#This Row],[Personel Adı]],Tablo1[[Ad Soyad]:[Günlük Ücreti]],2,0))</f>
        <v>100</v>
      </c>
    </row>
    <row r="127" spans="1:4" x14ac:dyDescent="0.25">
      <c r="A127" s="15">
        <v>44607</v>
      </c>
      <c r="B127" s="3" t="s">
        <v>7</v>
      </c>
      <c r="C127" s="3" t="s">
        <v>18</v>
      </c>
      <c r="D127" s="3">
        <f>IFERROR(VLOOKUP(Tablo3[[#This Row],[Personel Adı]],Tablo1[[Ad Soyad]:[Günlük Ücreti]],2,0)*VLOOKUP(Tablo3[[#This Row],[Durum]],Ayarlar!$E:$F,2,0),VLOOKUP(Tablo3[[#This Row],[Personel Adı]],Tablo1[[Ad Soyad]:[Günlük Ücreti]],2,0))</f>
        <v>100</v>
      </c>
    </row>
    <row r="128" spans="1:4" x14ac:dyDescent="0.25">
      <c r="A128" s="15">
        <v>44606</v>
      </c>
      <c r="B128" s="3" t="s">
        <v>7</v>
      </c>
      <c r="C128" s="3" t="s">
        <v>18</v>
      </c>
      <c r="D128" s="3">
        <f>IFERROR(VLOOKUP(Tablo3[[#This Row],[Personel Adı]],Tablo1[[Ad Soyad]:[Günlük Ücreti]],2,0)*VLOOKUP(Tablo3[[#This Row],[Durum]],Ayarlar!$E:$F,2,0),VLOOKUP(Tablo3[[#This Row],[Personel Adı]],Tablo1[[Ad Soyad]:[Günlük Ücreti]],2,0))</f>
        <v>100</v>
      </c>
    </row>
    <row r="129" spans="1:4" x14ac:dyDescent="0.25">
      <c r="A129" s="15">
        <v>44605</v>
      </c>
      <c r="B129" s="3" t="s">
        <v>71</v>
      </c>
      <c r="C129" s="3" t="s">
        <v>18</v>
      </c>
      <c r="D129" s="3">
        <f>IFERROR(VLOOKUP(Tablo3[[#This Row],[Personel Adı]],Tablo1[[Ad Soyad]:[Günlük Ücreti]],2,0)*VLOOKUP(Tablo3[[#This Row],[Durum]],Ayarlar!$E:$F,2,0),VLOOKUP(Tablo3[[#This Row],[Personel Adı]],Tablo1[[Ad Soyad]:[Günlük Ücreti]],2,0))</f>
        <v>100</v>
      </c>
    </row>
    <row r="130" spans="1:4" x14ac:dyDescent="0.25">
      <c r="A130" s="15">
        <v>44604</v>
      </c>
      <c r="B130" s="3" t="s">
        <v>71</v>
      </c>
      <c r="C130" s="3" t="s">
        <v>18</v>
      </c>
      <c r="D130" s="3">
        <f>IFERROR(VLOOKUP(Tablo3[[#This Row],[Personel Adı]],Tablo1[[Ad Soyad]:[Günlük Ücreti]],2,0)*VLOOKUP(Tablo3[[#This Row],[Durum]],Ayarlar!$E:$F,2,0),VLOOKUP(Tablo3[[#This Row],[Personel Adı]],Tablo1[[Ad Soyad]:[Günlük Ücreti]],2,0))</f>
        <v>100</v>
      </c>
    </row>
    <row r="131" spans="1:4" x14ac:dyDescent="0.25">
      <c r="A131" s="15">
        <v>44603</v>
      </c>
      <c r="B131" s="3" t="s">
        <v>7</v>
      </c>
      <c r="C131" s="3" t="s">
        <v>18</v>
      </c>
      <c r="D131" s="3">
        <f>IFERROR(VLOOKUP(Tablo3[[#This Row],[Personel Adı]],Tablo1[[Ad Soyad]:[Günlük Ücreti]],2,0)*VLOOKUP(Tablo3[[#This Row],[Durum]],Ayarlar!$E:$F,2,0),VLOOKUP(Tablo3[[#This Row],[Personel Adı]],Tablo1[[Ad Soyad]:[Günlük Ücreti]],2,0))</f>
        <v>100</v>
      </c>
    </row>
    <row r="132" spans="1:4" x14ac:dyDescent="0.25">
      <c r="A132" s="15">
        <v>44602</v>
      </c>
      <c r="B132" s="3" t="s">
        <v>7</v>
      </c>
      <c r="C132" s="3" t="s">
        <v>18</v>
      </c>
      <c r="D132" s="3">
        <f>IFERROR(VLOOKUP(Tablo3[[#This Row],[Personel Adı]],Tablo1[[Ad Soyad]:[Günlük Ücreti]],2,0)*VLOOKUP(Tablo3[[#This Row],[Durum]],Ayarlar!$E:$F,2,0),VLOOKUP(Tablo3[[#This Row],[Personel Adı]],Tablo1[[Ad Soyad]:[Günlük Ücreti]],2,0))</f>
        <v>100</v>
      </c>
    </row>
    <row r="133" spans="1:4" x14ac:dyDescent="0.25">
      <c r="A133" s="15">
        <v>44601</v>
      </c>
      <c r="B133" s="3" t="s">
        <v>7</v>
      </c>
      <c r="C133" s="3" t="s">
        <v>18</v>
      </c>
      <c r="D133" s="3">
        <f>IFERROR(VLOOKUP(Tablo3[[#This Row],[Personel Adı]],Tablo1[[Ad Soyad]:[Günlük Ücreti]],2,0)*VLOOKUP(Tablo3[[#This Row],[Durum]],Ayarlar!$E:$F,2,0),VLOOKUP(Tablo3[[#This Row],[Personel Adı]],Tablo1[[Ad Soyad]:[Günlük Ücreti]],2,0))</f>
        <v>100</v>
      </c>
    </row>
    <row r="134" spans="1:4" x14ac:dyDescent="0.25">
      <c r="A134" s="15">
        <v>44600</v>
      </c>
      <c r="B134" s="3" t="s">
        <v>7</v>
      </c>
      <c r="C134" s="3" t="s">
        <v>18</v>
      </c>
      <c r="D134" s="3">
        <f>IFERROR(VLOOKUP(Tablo3[[#This Row],[Personel Adı]],Tablo1[[Ad Soyad]:[Günlük Ücreti]],2,0)*VLOOKUP(Tablo3[[#This Row],[Durum]],Ayarlar!$E:$F,2,0),VLOOKUP(Tablo3[[#This Row],[Personel Adı]],Tablo1[[Ad Soyad]:[Günlük Ücreti]],2,0))</f>
        <v>100</v>
      </c>
    </row>
    <row r="135" spans="1:4" x14ac:dyDescent="0.25">
      <c r="A135" s="15">
        <v>44599</v>
      </c>
      <c r="B135" s="3" t="s">
        <v>7</v>
      </c>
      <c r="C135" s="3" t="s">
        <v>18</v>
      </c>
      <c r="D135" s="3">
        <f>IFERROR(VLOOKUP(Tablo3[[#This Row],[Personel Adı]],Tablo1[[Ad Soyad]:[Günlük Ücreti]],2,0)*VLOOKUP(Tablo3[[#This Row],[Durum]],Ayarlar!$E:$F,2,0),VLOOKUP(Tablo3[[#This Row],[Personel Adı]],Tablo1[[Ad Soyad]:[Günlük Ücreti]],2,0))</f>
        <v>100</v>
      </c>
    </row>
    <row r="136" spans="1:4" x14ac:dyDescent="0.25">
      <c r="A136" s="15">
        <v>44598</v>
      </c>
      <c r="B136" s="3" t="s">
        <v>71</v>
      </c>
      <c r="C136" s="3" t="s">
        <v>18</v>
      </c>
      <c r="D136" s="3">
        <f>IFERROR(VLOOKUP(Tablo3[[#This Row],[Personel Adı]],Tablo1[[Ad Soyad]:[Günlük Ücreti]],2,0)*VLOOKUP(Tablo3[[#This Row],[Durum]],Ayarlar!$E:$F,2,0),VLOOKUP(Tablo3[[#This Row],[Personel Adı]],Tablo1[[Ad Soyad]:[Günlük Ücreti]],2,0))</f>
        <v>100</v>
      </c>
    </row>
    <row r="137" spans="1:4" x14ac:dyDescent="0.25">
      <c r="A137" s="15">
        <v>44597</v>
      </c>
      <c r="B137" s="3" t="s">
        <v>71</v>
      </c>
      <c r="C137" s="3" t="s">
        <v>18</v>
      </c>
      <c r="D137" s="3">
        <f>IFERROR(VLOOKUP(Tablo3[[#This Row],[Personel Adı]],Tablo1[[Ad Soyad]:[Günlük Ücreti]],2,0)*VLOOKUP(Tablo3[[#This Row],[Durum]],Ayarlar!$E:$F,2,0),VLOOKUP(Tablo3[[#This Row],[Personel Adı]],Tablo1[[Ad Soyad]:[Günlük Ücreti]],2,0))</f>
        <v>100</v>
      </c>
    </row>
    <row r="138" spans="1:4" x14ac:dyDescent="0.25">
      <c r="A138" s="15">
        <v>44596</v>
      </c>
      <c r="B138" s="3" t="s">
        <v>7</v>
      </c>
      <c r="C138" s="3" t="s">
        <v>18</v>
      </c>
      <c r="D138" s="3">
        <f>IFERROR(VLOOKUP(Tablo3[[#This Row],[Personel Adı]],Tablo1[[Ad Soyad]:[Günlük Ücreti]],2,0)*VLOOKUP(Tablo3[[#This Row],[Durum]],Ayarlar!$E:$F,2,0),VLOOKUP(Tablo3[[#This Row],[Personel Adı]],Tablo1[[Ad Soyad]:[Günlük Ücreti]],2,0))</f>
        <v>100</v>
      </c>
    </row>
    <row r="139" spans="1:4" x14ac:dyDescent="0.25">
      <c r="A139" s="15">
        <v>44595</v>
      </c>
      <c r="B139" s="3" t="s">
        <v>7</v>
      </c>
      <c r="C139" s="3" t="s">
        <v>18</v>
      </c>
      <c r="D139" s="3">
        <f>IFERROR(VLOOKUP(Tablo3[[#This Row],[Personel Adı]],Tablo1[[Ad Soyad]:[Günlük Ücreti]],2,0)*VLOOKUP(Tablo3[[#This Row],[Durum]],Ayarlar!$E:$F,2,0),VLOOKUP(Tablo3[[#This Row],[Personel Adı]],Tablo1[[Ad Soyad]:[Günlük Ücreti]],2,0))</f>
        <v>100</v>
      </c>
    </row>
    <row r="140" spans="1:4" x14ac:dyDescent="0.25">
      <c r="A140" s="15">
        <v>44594</v>
      </c>
      <c r="B140" s="3" t="s">
        <v>7</v>
      </c>
      <c r="C140" s="3" t="s">
        <v>18</v>
      </c>
      <c r="D140" s="3">
        <f>IFERROR(VLOOKUP(Tablo3[[#This Row],[Personel Adı]],Tablo1[[Ad Soyad]:[Günlük Ücreti]],2,0)*VLOOKUP(Tablo3[[#This Row],[Durum]],Ayarlar!$E:$F,2,0),VLOOKUP(Tablo3[[#This Row],[Personel Adı]],Tablo1[[Ad Soyad]:[Günlük Ücreti]],2,0))</f>
        <v>100</v>
      </c>
    </row>
    <row r="141" spans="1:4" x14ac:dyDescent="0.25">
      <c r="A141" s="15">
        <v>44593</v>
      </c>
      <c r="B141" s="3" t="s">
        <v>7</v>
      </c>
      <c r="C141" s="3" t="s">
        <v>18</v>
      </c>
      <c r="D141" s="3">
        <f>IFERROR(VLOOKUP(Tablo3[[#This Row],[Personel Adı]],Tablo1[[Ad Soyad]:[Günlük Ücreti]],2,0)*VLOOKUP(Tablo3[[#This Row],[Durum]],Ayarlar!$E:$F,2,0),VLOOKUP(Tablo3[[#This Row],[Personel Adı]],Tablo1[[Ad Soyad]:[Günlük Ücreti]],2,0))</f>
        <v>100</v>
      </c>
    </row>
    <row r="142" spans="1:4" x14ac:dyDescent="0.25">
      <c r="A142" s="15">
        <v>44592</v>
      </c>
      <c r="B142" s="3" t="s">
        <v>7</v>
      </c>
      <c r="C142" s="3" t="s">
        <v>22</v>
      </c>
      <c r="D142" s="3">
        <f>IFERROR(VLOOKUP(Tablo3[[#This Row],[Personel Adı]],Tablo1[[Ad Soyad]:[Günlük Ücreti]],2,0)*VLOOKUP(Tablo3[[#This Row],[Durum]],Ayarlar!$E:$F,2,0),VLOOKUP(Tablo3[[#This Row],[Personel Adı]],Tablo1[[Ad Soyad]:[Günlük Ücreti]],2,0))</f>
        <v>100</v>
      </c>
    </row>
    <row r="143" spans="1:4" x14ac:dyDescent="0.25">
      <c r="A143" s="15">
        <v>44591</v>
      </c>
      <c r="B143" s="3" t="s">
        <v>71</v>
      </c>
      <c r="C143" s="3" t="s">
        <v>22</v>
      </c>
      <c r="D143" s="3">
        <f>IFERROR(VLOOKUP(Tablo3[[#This Row],[Personel Adı]],Tablo1[[Ad Soyad]:[Günlük Ücreti]],2,0)*VLOOKUP(Tablo3[[#This Row],[Durum]],Ayarlar!$E:$F,2,0),VLOOKUP(Tablo3[[#This Row],[Personel Adı]],Tablo1[[Ad Soyad]:[Günlük Ücreti]],2,0))</f>
        <v>100</v>
      </c>
    </row>
    <row r="144" spans="1:4" x14ac:dyDescent="0.25">
      <c r="A144" s="15">
        <v>44590</v>
      </c>
      <c r="B144" s="3" t="s">
        <v>71</v>
      </c>
      <c r="C144" s="3" t="s">
        <v>22</v>
      </c>
      <c r="D144" s="3">
        <f>IFERROR(VLOOKUP(Tablo3[[#This Row],[Personel Adı]],Tablo1[[Ad Soyad]:[Günlük Ücreti]],2,0)*VLOOKUP(Tablo3[[#This Row],[Durum]],Ayarlar!$E:$F,2,0),VLOOKUP(Tablo3[[#This Row],[Personel Adı]],Tablo1[[Ad Soyad]:[Günlük Ücreti]],2,0))</f>
        <v>100</v>
      </c>
    </row>
    <row r="145" spans="1:4" x14ac:dyDescent="0.25">
      <c r="A145" s="15">
        <v>44589</v>
      </c>
      <c r="B145" s="3" t="s">
        <v>7</v>
      </c>
      <c r="C145" s="3" t="s">
        <v>22</v>
      </c>
      <c r="D145" s="3">
        <f>IFERROR(VLOOKUP(Tablo3[[#This Row],[Personel Adı]],Tablo1[[Ad Soyad]:[Günlük Ücreti]],2,0)*VLOOKUP(Tablo3[[#This Row],[Durum]],Ayarlar!$E:$F,2,0),VLOOKUP(Tablo3[[#This Row],[Personel Adı]],Tablo1[[Ad Soyad]:[Günlük Ücreti]],2,0))</f>
        <v>100</v>
      </c>
    </row>
    <row r="146" spans="1:4" x14ac:dyDescent="0.25">
      <c r="A146" s="15">
        <v>44588</v>
      </c>
      <c r="B146" s="3" t="s">
        <v>7</v>
      </c>
      <c r="C146" s="3" t="s">
        <v>22</v>
      </c>
      <c r="D146" s="3">
        <f>IFERROR(VLOOKUP(Tablo3[[#This Row],[Personel Adı]],Tablo1[[Ad Soyad]:[Günlük Ücreti]],2,0)*VLOOKUP(Tablo3[[#This Row],[Durum]],Ayarlar!$E:$F,2,0),VLOOKUP(Tablo3[[#This Row],[Personel Adı]],Tablo1[[Ad Soyad]:[Günlük Ücreti]],2,0))</f>
        <v>100</v>
      </c>
    </row>
    <row r="147" spans="1:4" x14ac:dyDescent="0.25">
      <c r="A147" s="15">
        <v>44587</v>
      </c>
      <c r="B147" s="3" t="s">
        <v>7</v>
      </c>
      <c r="C147" s="3" t="s">
        <v>22</v>
      </c>
      <c r="D147" s="3">
        <f>IFERROR(VLOOKUP(Tablo3[[#This Row],[Personel Adı]],Tablo1[[Ad Soyad]:[Günlük Ücreti]],2,0)*VLOOKUP(Tablo3[[#This Row],[Durum]],Ayarlar!$E:$F,2,0),VLOOKUP(Tablo3[[#This Row],[Personel Adı]],Tablo1[[Ad Soyad]:[Günlük Ücreti]],2,0))</f>
        <v>100</v>
      </c>
    </row>
    <row r="148" spans="1:4" x14ac:dyDescent="0.25">
      <c r="A148" s="15">
        <v>44586</v>
      </c>
      <c r="B148" s="3" t="s">
        <v>7</v>
      </c>
      <c r="C148" s="3" t="s">
        <v>22</v>
      </c>
      <c r="D148" s="3">
        <f>IFERROR(VLOOKUP(Tablo3[[#This Row],[Personel Adı]],Tablo1[[Ad Soyad]:[Günlük Ücreti]],2,0)*VLOOKUP(Tablo3[[#This Row],[Durum]],Ayarlar!$E:$F,2,0),VLOOKUP(Tablo3[[#This Row],[Personel Adı]],Tablo1[[Ad Soyad]:[Günlük Ücreti]],2,0))</f>
        <v>100</v>
      </c>
    </row>
    <row r="149" spans="1:4" x14ac:dyDescent="0.25">
      <c r="A149" s="15">
        <v>44585</v>
      </c>
      <c r="B149" s="3" t="s">
        <v>7</v>
      </c>
      <c r="C149" s="3" t="s">
        <v>22</v>
      </c>
      <c r="D149" s="3">
        <f>IFERROR(VLOOKUP(Tablo3[[#This Row],[Personel Adı]],Tablo1[[Ad Soyad]:[Günlük Ücreti]],2,0)*VLOOKUP(Tablo3[[#This Row],[Durum]],Ayarlar!$E:$F,2,0),VLOOKUP(Tablo3[[#This Row],[Personel Adı]],Tablo1[[Ad Soyad]:[Günlük Ücreti]],2,0))</f>
        <v>100</v>
      </c>
    </row>
    <row r="150" spans="1:4" x14ac:dyDescent="0.25">
      <c r="A150" s="15">
        <v>44584</v>
      </c>
      <c r="B150" s="3" t="s">
        <v>71</v>
      </c>
      <c r="C150" s="3" t="s">
        <v>22</v>
      </c>
      <c r="D150" s="3">
        <f>IFERROR(VLOOKUP(Tablo3[[#This Row],[Personel Adı]],Tablo1[[Ad Soyad]:[Günlük Ücreti]],2,0)*VLOOKUP(Tablo3[[#This Row],[Durum]],Ayarlar!$E:$F,2,0),VLOOKUP(Tablo3[[#This Row],[Personel Adı]],Tablo1[[Ad Soyad]:[Günlük Ücreti]],2,0))</f>
        <v>100</v>
      </c>
    </row>
    <row r="151" spans="1:4" x14ac:dyDescent="0.25">
      <c r="A151" s="15">
        <v>44583</v>
      </c>
      <c r="B151" s="3" t="s">
        <v>71</v>
      </c>
      <c r="C151" s="3" t="s">
        <v>22</v>
      </c>
      <c r="D151" s="3">
        <f>IFERROR(VLOOKUP(Tablo3[[#This Row],[Personel Adı]],Tablo1[[Ad Soyad]:[Günlük Ücreti]],2,0)*VLOOKUP(Tablo3[[#This Row],[Durum]],Ayarlar!$E:$F,2,0),VLOOKUP(Tablo3[[#This Row],[Personel Adı]],Tablo1[[Ad Soyad]:[Günlük Ücreti]],2,0))</f>
        <v>100</v>
      </c>
    </row>
    <row r="152" spans="1:4" x14ac:dyDescent="0.25">
      <c r="A152" s="15">
        <v>44582</v>
      </c>
      <c r="B152" s="3" t="s">
        <v>7</v>
      </c>
      <c r="C152" s="3" t="s">
        <v>22</v>
      </c>
      <c r="D152" s="3">
        <f>IFERROR(VLOOKUP(Tablo3[[#This Row],[Personel Adı]],Tablo1[[Ad Soyad]:[Günlük Ücreti]],2,0)*VLOOKUP(Tablo3[[#This Row],[Durum]],Ayarlar!$E:$F,2,0),VLOOKUP(Tablo3[[#This Row],[Personel Adı]],Tablo1[[Ad Soyad]:[Günlük Ücreti]],2,0))</f>
        <v>100</v>
      </c>
    </row>
    <row r="153" spans="1:4" x14ac:dyDescent="0.25">
      <c r="A153" s="15">
        <v>44581</v>
      </c>
      <c r="B153" s="3" t="s">
        <v>7</v>
      </c>
      <c r="C153" s="3" t="s">
        <v>22</v>
      </c>
      <c r="D153" s="3">
        <f>IFERROR(VLOOKUP(Tablo3[[#This Row],[Personel Adı]],Tablo1[[Ad Soyad]:[Günlük Ücreti]],2,0)*VLOOKUP(Tablo3[[#This Row],[Durum]],Ayarlar!$E:$F,2,0),VLOOKUP(Tablo3[[#This Row],[Personel Adı]],Tablo1[[Ad Soyad]:[Günlük Ücreti]],2,0))</f>
        <v>100</v>
      </c>
    </row>
    <row r="154" spans="1:4" x14ac:dyDescent="0.25">
      <c r="A154" s="15">
        <v>44580</v>
      </c>
      <c r="B154" s="3" t="s">
        <v>7</v>
      </c>
      <c r="C154" s="3" t="s">
        <v>22</v>
      </c>
      <c r="D154" s="3">
        <f>IFERROR(VLOOKUP(Tablo3[[#This Row],[Personel Adı]],Tablo1[[Ad Soyad]:[Günlük Ücreti]],2,0)*VLOOKUP(Tablo3[[#This Row],[Durum]],Ayarlar!$E:$F,2,0),VLOOKUP(Tablo3[[#This Row],[Personel Adı]],Tablo1[[Ad Soyad]:[Günlük Ücreti]],2,0))</f>
        <v>100</v>
      </c>
    </row>
    <row r="155" spans="1:4" x14ac:dyDescent="0.25">
      <c r="A155" s="15">
        <v>44579</v>
      </c>
      <c r="B155" s="3" t="s">
        <v>7</v>
      </c>
      <c r="C155" s="3" t="s">
        <v>22</v>
      </c>
      <c r="D155" s="3">
        <f>IFERROR(VLOOKUP(Tablo3[[#This Row],[Personel Adı]],Tablo1[[Ad Soyad]:[Günlük Ücreti]],2,0)*VLOOKUP(Tablo3[[#This Row],[Durum]],Ayarlar!$E:$F,2,0),VLOOKUP(Tablo3[[#This Row],[Personel Adı]],Tablo1[[Ad Soyad]:[Günlük Ücreti]],2,0))</f>
        <v>100</v>
      </c>
    </row>
    <row r="156" spans="1:4" x14ac:dyDescent="0.25">
      <c r="A156" s="15">
        <v>44578</v>
      </c>
      <c r="B156" s="3" t="s">
        <v>7</v>
      </c>
      <c r="C156" s="3" t="s">
        <v>22</v>
      </c>
      <c r="D156" s="3">
        <f>IFERROR(VLOOKUP(Tablo3[[#This Row],[Personel Adı]],Tablo1[[Ad Soyad]:[Günlük Ücreti]],2,0)*VLOOKUP(Tablo3[[#This Row],[Durum]],Ayarlar!$E:$F,2,0),VLOOKUP(Tablo3[[#This Row],[Personel Adı]],Tablo1[[Ad Soyad]:[Günlük Ücreti]],2,0))</f>
        <v>100</v>
      </c>
    </row>
    <row r="157" spans="1:4" x14ac:dyDescent="0.25">
      <c r="A157" s="15">
        <v>44577</v>
      </c>
      <c r="B157" s="3" t="s">
        <v>71</v>
      </c>
      <c r="C157" s="3" t="s">
        <v>22</v>
      </c>
      <c r="D157" s="3">
        <f>IFERROR(VLOOKUP(Tablo3[[#This Row],[Personel Adı]],Tablo1[[Ad Soyad]:[Günlük Ücreti]],2,0)*VLOOKUP(Tablo3[[#This Row],[Durum]],Ayarlar!$E:$F,2,0),VLOOKUP(Tablo3[[#This Row],[Personel Adı]],Tablo1[[Ad Soyad]:[Günlük Ücreti]],2,0))</f>
        <v>100</v>
      </c>
    </row>
    <row r="158" spans="1:4" x14ac:dyDescent="0.25">
      <c r="A158" s="15">
        <v>44576</v>
      </c>
      <c r="B158" s="3" t="s">
        <v>71</v>
      </c>
      <c r="C158" s="3" t="s">
        <v>22</v>
      </c>
      <c r="D158" s="3">
        <f>IFERROR(VLOOKUP(Tablo3[[#This Row],[Personel Adı]],Tablo1[[Ad Soyad]:[Günlük Ücreti]],2,0)*VLOOKUP(Tablo3[[#This Row],[Durum]],Ayarlar!$E:$F,2,0),VLOOKUP(Tablo3[[#This Row],[Personel Adı]],Tablo1[[Ad Soyad]:[Günlük Ücreti]],2,0))</f>
        <v>100</v>
      </c>
    </row>
    <row r="159" spans="1:4" x14ac:dyDescent="0.25">
      <c r="A159" s="15">
        <v>44575</v>
      </c>
      <c r="B159" s="3" t="s">
        <v>7</v>
      </c>
      <c r="C159" s="3" t="s">
        <v>22</v>
      </c>
      <c r="D159" s="3">
        <f>IFERROR(VLOOKUP(Tablo3[[#This Row],[Personel Adı]],Tablo1[[Ad Soyad]:[Günlük Ücreti]],2,0)*VLOOKUP(Tablo3[[#This Row],[Durum]],Ayarlar!$E:$F,2,0),VLOOKUP(Tablo3[[#This Row],[Personel Adı]],Tablo1[[Ad Soyad]:[Günlük Ücreti]],2,0))</f>
        <v>100</v>
      </c>
    </row>
    <row r="160" spans="1:4" x14ac:dyDescent="0.25">
      <c r="A160" s="15">
        <v>44574</v>
      </c>
      <c r="B160" s="3" t="s">
        <v>7</v>
      </c>
      <c r="C160" s="3" t="s">
        <v>22</v>
      </c>
      <c r="D160" s="3">
        <f>IFERROR(VLOOKUP(Tablo3[[#This Row],[Personel Adı]],Tablo1[[Ad Soyad]:[Günlük Ücreti]],2,0)*VLOOKUP(Tablo3[[#This Row],[Durum]],Ayarlar!$E:$F,2,0),VLOOKUP(Tablo3[[#This Row],[Personel Adı]],Tablo1[[Ad Soyad]:[Günlük Ücreti]],2,0))</f>
        <v>100</v>
      </c>
    </row>
    <row r="161" spans="1:4" x14ac:dyDescent="0.25">
      <c r="A161" s="15">
        <v>44573</v>
      </c>
      <c r="B161" s="3" t="s">
        <v>7</v>
      </c>
      <c r="C161" s="3" t="s">
        <v>22</v>
      </c>
      <c r="D161" s="3">
        <f>IFERROR(VLOOKUP(Tablo3[[#This Row],[Personel Adı]],Tablo1[[Ad Soyad]:[Günlük Ücreti]],2,0)*VLOOKUP(Tablo3[[#This Row],[Durum]],Ayarlar!$E:$F,2,0),VLOOKUP(Tablo3[[#This Row],[Personel Adı]],Tablo1[[Ad Soyad]:[Günlük Ücreti]],2,0))</f>
        <v>100</v>
      </c>
    </row>
    <row r="162" spans="1:4" x14ac:dyDescent="0.25">
      <c r="A162" s="15">
        <v>44572</v>
      </c>
      <c r="B162" s="3" t="s">
        <v>7</v>
      </c>
      <c r="C162" s="3" t="s">
        <v>22</v>
      </c>
      <c r="D162" s="3">
        <f>IFERROR(VLOOKUP(Tablo3[[#This Row],[Personel Adı]],Tablo1[[Ad Soyad]:[Günlük Ücreti]],2,0)*VLOOKUP(Tablo3[[#This Row],[Durum]],Ayarlar!$E:$F,2,0),VLOOKUP(Tablo3[[#This Row],[Personel Adı]],Tablo1[[Ad Soyad]:[Günlük Ücreti]],2,0))</f>
        <v>100</v>
      </c>
    </row>
    <row r="163" spans="1:4" x14ac:dyDescent="0.25">
      <c r="A163" s="15">
        <v>44571</v>
      </c>
      <c r="B163" s="3" t="s">
        <v>7</v>
      </c>
      <c r="C163" s="3" t="s">
        <v>22</v>
      </c>
      <c r="D163" s="3">
        <f>IFERROR(VLOOKUP(Tablo3[[#This Row],[Personel Adı]],Tablo1[[Ad Soyad]:[Günlük Ücreti]],2,0)*VLOOKUP(Tablo3[[#This Row],[Durum]],Ayarlar!$E:$F,2,0),VLOOKUP(Tablo3[[#This Row],[Personel Adı]],Tablo1[[Ad Soyad]:[Günlük Ücreti]],2,0))</f>
        <v>100</v>
      </c>
    </row>
    <row r="164" spans="1:4" x14ac:dyDescent="0.25">
      <c r="A164" s="15">
        <v>44570</v>
      </c>
      <c r="B164" s="3" t="s">
        <v>71</v>
      </c>
      <c r="C164" s="3" t="s">
        <v>22</v>
      </c>
      <c r="D164" s="3">
        <f>IFERROR(VLOOKUP(Tablo3[[#This Row],[Personel Adı]],Tablo1[[Ad Soyad]:[Günlük Ücreti]],2,0)*VLOOKUP(Tablo3[[#This Row],[Durum]],Ayarlar!$E:$F,2,0),VLOOKUP(Tablo3[[#This Row],[Personel Adı]],Tablo1[[Ad Soyad]:[Günlük Ücreti]],2,0))</f>
        <v>100</v>
      </c>
    </row>
    <row r="165" spans="1:4" x14ac:dyDescent="0.25">
      <c r="A165" s="15">
        <v>44569</v>
      </c>
      <c r="B165" s="3" t="s">
        <v>46</v>
      </c>
      <c r="C165" s="3" t="s">
        <v>22</v>
      </c>
      <c r="D165" s="3">
        <f>IFERROR(VLOOKUP(Tablo3[[#This Row],[Personel Adı]],Tablo1[[Ad Soyad]:[Günlük Ücreti]],2,0)*VLOOKUP(Tablo3[[#This Row],[Durum]],Ayarlar!$E:$F,2,0),VLOOKUP(Tablo3[[#This Row],[Personel Adı]],Tablo1[[Ad Soyad]:[Günlük Ücreti]],2,0))</f>
        <v>200</v>
      </c>
    </row>
    <row r="166" spans="1:4" x14ac:dyDescent="0.25">
      <c r="A166" s="15">
        <v>44568</v>
      </c>
      <c r="B166" s="3" t="s">
        <v>47</v>
      </c>
      <c r="C166" s="3" t="s">
        <v>22</v>
      </c>
      <c r="D166" s="3">
        <f>IFERROR(VLOOKUP(Tablo3[[#This Row],[Personel Adı]],Tablo1[[Ad Soyad]:[Günlük Ücreti]],2,0)*VLOOKUP(Tablo3[[#This Row],[Durum]],Ayarlar!$E:$F,2,0),VLOOKUP(Tablo3[[#This Row],[Personel Adı]],Tablo1[[Ad Soyad]:[Günlük Ücreti]],2,0))</f>
        <v>50</v>
      </c>
    </row>
    <row r="167" spans="1:4" x14ac:dyDescent="0.25">
      <c r="A167" s="15">
        <v>44567</v>
      </c>
      <c r="B167" s="3" t="s">
        <v>47</v>
      </c>
      <c r="C167" s="3" t="s">
        <v>22</v>
      </c>
      <c r="D167" s="3">
        <f>IFERROR(VLOOKUP(Tablo3[[#This Row],[Personel Adı]],Tablo1[[Ad Soyad]:[Günlük Ücreti]],2,0)*VLOOKUP(Tablo3[[#This Row],[Durum]],Ayarlar!$E:$F,2,0),VLOOKUP(Tablo3[[#This Row],[Personel Adı]],Tablo1[[Ad Soyad]:[Günlük Ücreti]],2,0))</f>
        <v>50</v>
      </c>
    </row>
    <row r="168" spans="1:4" x14ac:dyDescent="0.25">
      <c r="A168" s="15">
        <v>44566</v>
      </c>
      <c r="B168" s="3" t="s">
        <v>7</v>
      </c>
      <c r="C168" s="3" t="s">
        <v>22</v>
      </c>
      <c r="D168" s="3">
        <f>IFERROR(VLOOKUP(Tablo3[[#This Row],[Personel Adı]],Tablo1[[Ad Soyad]:[Günlük Ücreti]],2,0)*VLOOKUP(Tablo3[[#This Row],[Durum]],Ayarlar!$E:$F,2,0),VLOOKUP(Tablo3[[#This Row],[Personel Adı]],Tablo1[[Ad Soyad]:[Günlük Ücreti]],2,0))</f>
        <v>100</v>
      </c>
    </row>
    <row r="169" spans="1:4" x14ac:dyDescent="0.25">
      <c r="A169" s="15">
        <v>44565</v>
      </c>
      <c r="B169" s="3" t="s">
        <v>7</v>
      </c>
      <c r="C169" s="3" t="s">
        <v>22</v>
      </c>
      <c r="D169" s="3">
        <f>IFERROR(VLOOKUP(Tablo3[[#This Row],[Personel Adı]],Tablo1[[Ad Soyad]:[Günlük Ücreti]],2,0)*VLOOKUP(Tablo3[[#This Row],[Durum]],Ayarlar!$E:$F,2,0),VLOOKUP(Tablo3[[#This Row],[Personel Adı]],Tablo1[[Ad Soyad]:[Günlük Ücreti]],2,0))</f>
        <v>100</v>
      </c>
    </row>
    <row r="170" spans="1:4" x14ac:dyDescent="0.25">
      <c r="A170" s="15">
        <v>44564</v>
      </c>
      <c r="B170" s="3" t="s">
        <v>7</v>
      </c>
      <c r="C170" s="3" t="s">
        <v>22</v>
      </c>
      <c r="D170" s="3">
        <f>IFERROR(VLOOKUP(Tablo3[[#This Row],[Personel Adı]],Tablo1[[Ad Soyad]:[Günlük Ücreti]],2,0)*VLOOKUP(Tablo3[[#This Row],[Durum]],Ayarlar!$E:$F,2,0),VLOOKUP(Tablo3[[#This Row],[Personel Adı]],Tablo1[[Ad Soyad]:[Günlük Ücreti]],2,0))</f>
        <v>100</v>
      </c>
    </row>
    <row r="171" spans="1:4" x14ac:dyDescent="0.25">
      <c r="A171" s="15">
        <v>44563</v>
      </c>
      <c r="B171" s="3" t="s">
        <v>71</v>
      </c>
      <c r="C171" s="3" t="s">
        <v>22</v>
      </c>
      <c r="D171" s="3">
        <f>IFERROR(VLOOKUP(Tablo3[[#This Row],[Personel Adı]],Tablo1[[Ad Soyad]:[Günlük Ücreti]],2,0)*VLOOKUP(Tablo3[[#This Row],[Durum]],Ayarlar!$E:$F,2,0),VLOOKUP(Tablo3[[#This Row],[Personel Adı]],Tablo1[[Ad Soyad]:[Günlük Ücreti]],2,0))</f>
        <v>100</v>
      </c>
    </row>
    <row r="172" spans="1:4" x14ac:dyDescent="0.25">
      <c r="A172" s="15">
        <v>44562</v>
      </c>
      <c r="B172" s="3" t="s">
        <v>71</v>
      </c>
      <c r="C172" s="3" t="s">
        <v>22</v>
      </c>
      <c r="D172" s="3">
        <f>IFERROR(VLOOKUP(Tablo3[[#This Row],[Personel Adı]],Tablo1[[Ad Soyad]:[Günlük Ücreti]],2,0)*VLOOKUP(Tablo3[[#This Row],[Durum]],Ayarlar!$E:$F,2,0),VLOOKUP(Tablo3[[#This Row],[Personel Adı]],Tablo1[[Ad Soyad]:[Günlük Ücreti]],2,0))</f>
        <v>100</v>
      </c>
    </row>
    <row r="173" spans="1:4" x14ac:dyDescent="0.25">
      <c r="A173" s="15">
        <v>44592</v>
      </c>
      <c r="B173" s="3" t="s">
        <v>7</v>
      </c>
      <c r="C173" s="3" t="s">
        <v>21</v>
      </c>
      <c r="D173" s="3">
        <f>IFERROR(VLOOKUP(Tablo3[[#This Row],[Personel Adı]],Tablo1[[Ad Soyad]:[Günlük Ücreti]],2,0)*VLOOKUP(Tablo3[[#This Row],[Durum]],Ayarlar!$E:$F,2,0),VLOOKUP(Tablo3[[#This Row],[Personel Adı]],Tablo1[[Ad Soyad]:[Günlük Ücreti]],2,0))</f>
        <v>110</v>
      </c>
    </row>
    <row r="174" spans="1:4" x14ac:dyDescent="0.25">
      <c r="A174" s="15">
        <v>44591</v>
      </c>
      <c r="B174" s="3" t="s">
        <v>71</v>
      </c>
      <c r="C174" s="3" t="s">
        <v>21</v>
      </c>
      <c r="D174" s="3">
        <f>IFERROR(VLOOKUP(Tablo3[[#This Row],[Personel Adı]],Tablo1[[Ad Soyad]:[Günlük Ücreti]],2,0)*VLOOKUP(Tablo3[[#This Row],[Durum]],Ayarlar!$E:$F,2,0),VLOOKUP(Tablo3[[#This Row],[Personel Adı]],Tablo1[[Ad Soyad]:[Günlük Ücreti]],2,0))</f>
        <v>110</v>
      </c>
    </row>
    <row r="175" spans="1:4" x14ac:dyDescent="0.25">
      <c r="A175" s="15">
        <v>44590</v>
      </c>
      <c r="B175" s="3" t="s">
        <v>71</v>
      </c>
      <c r="C175" s="3" t="s">
        <v>21</v>
      </c>
      <c r="D175" s="3">
        <f>IFERROR(VLOOKUP(Tablo3[[#This Row],[Personel Adı]],Tablo1[[Ad Soyad]:[Günlük Ücreti]],2,0)*VLOOKUP(Tablo3[[#This Row],[Durum]],Ayarlar!$E:$F,2,0),VLOOKUP(Tablo3[[#This Row],[Personel Adı]],Tablo1[[Ad Soyad]:[Günlük Ücreti]],2,0))</f>
        <v>110</v>
      </c>
    </row>
    <row r="176" spans="1:4" x14ac:dyDescent="0.25">
      <c r="A176" s="15">
        <v>44589</v>
      </c>
      <c r="B176" s="3" t="s">
        <v>7</v>
      </c>
      <c r="C176" s="3" t="s">
        <v>21</v>
      </c>
      <c r="D176" s="3">
        <f>IFERROR(VLOOKUP(Tablo3[[#This Row],[Personel Adı]],Tablo1[[Ad Soyad]:[Günlük Ücreti]],2,0)*VLOOKUP(Tablo3[[#This Row],[Durum]],Ayarlar!$E:$F,2,0),VLOOKUP(Tablo3[[#This Row],[Personel Adı]],Tablo1[[Ad Soyad]:[Günlük Ücreti]],2,0))</f>
        <v>110</v>
      </c>
    </row>
    <row r="177" spans="1:4" x14ac:dyDescent="0.25">
      <c r="A177" s="15">
        <v>44588</v>
      </c>
      <c r="B177" s="3" t="s">
        <v>7</v>
      </c>
      <c r="C177" s="3" t="s">
        <v>21</v>
      </c>
      <c r="D177" s="3">
        <f>IFERROR(VLOOKUP(Tablo3[[#This Row],[Personel Adı]],Tablo1[[Ad Soyad]:[Günlük Ücreti]],2,0)*VLOOKUP(Tablo3[[#This Row],[Durum]],Ayarlar!$E:$F,2,0),VLOOKUP(Tablo3[[#This Row],[Personel Adı]],Tablo1[[Ad Soyad]:[Günlük Ücreti]],2,0))</f>
        <v>110</v>
      </c>
    </row>
    <row r="178" spans="1:4" x14ac:dyDescent="0.25">
      <c r="A178" s="15">
        <v>44587</v>
      </c>
      <c r="B178" s="3" t="s">
        <v>7</v>
      </c>
      <c r="C178" s="3" t="s">
        <v>21</v>
      </c>
      <c r="D178" s="3">
        <f>IFERROR(VLOOKUP(Tablo3[[#This Row],[Personel Adı]],Tablo1[[Ad Soyad]:[Günlük Ücreti]],2,0)*VLOOKUP(Tablo3[[#This Row],[Durum]],Ayarlar!$E:$F,2,0),VLOOKUP(Tablo3[[#This Row],[Personel Adı]],Tablo1[[Ad Soyad]:[Günlük Ücreti]],2,0))</f>
        <v>110</v>
      </c>
    </row>
    <row r="179" spans="1:4" x14ac:dyDescent="0.25">
      <c r="A179" s="15">
        <v>44586</v>
      </c>
      <c r="B179" s="3" t="s">
        <v>7</v>
      </c>
      <c r="C179" s="3" t="s">
        <v>21</v>
      </c>
      <c r="D179" s="3">
        <f>IFERROR(VLOOKUP(Tablo3[[#This Row],[Personel Adı]],Tablo1[[Ad Soyad]:[Günlük Ücreti]],2,0)*VLOOKUP(Tablo3[[#This Row],[Durum]],Ayarlar!$E:$F,2,0),VLOOKUP(Tablo3[[#This Row],[Personel Adı]],Tablo1[[Ad Soyad]:[Günlük Ücreti]],2,0))</f>
        <v>110</v>
      </c>
    </row>
    <row r="180" spans="1:4" x14ac:dyDescent="0.25">
      <c r="A180" s="15">
        <v>44585</v>
      </c>
      <c r="B180" s="3" t="s">
        <v>7</v>
      </c>
      <c r="C180" s="3" t="s">
        <v>21</v>
      </c>
      <c r="D180" s="3">
        <f>IFERROR(VLOOKUP(Tablo3[[#This Row],[Personel Adı]],Tablo1[[Ad Soyad]:[Günlük Ücreti]],2,0)*VLOOKUP(Tablo3[[#This Row],[Durum]],Ayarlar!$E:$F,2,0),VLOOKUP(Tablo3[[#This Row],[Personel Adı]],Tablo1[[Ad Soyad]:[Günlük Ücreti]],2,0))</f>
        <v>110</v>
      </c>
    </row>
    <row r="181" spans="1:4" x14ac:dyDescent="0.25">
      <c r="A181" s="15">
        <v>44584</v>
      </c>
      <c r="B181" s="3" t="s">
        <v>71</v>
      </c>
      <c r="C181" s="3" t="s">
        <v>21</v>
      </c>
      <c r="D181" s="3">
        <f>IFERROR(VLOOKUP(Tablo3[[#This Row],[Personel Adı]],Tablo1[[Ad Soyad]:[Günlük Ücreti]],2,0)*VLOOKUP(Tablo3[[#This Row],[Durum]],Ayarlar!$E:$F,2,0),VLOOKUP(Tablo3[[#This Row],[Personel Adı]],Tablo1[[Ad Soyad]:[Günlük Ücreti]],2,0))</f>
        <v>110</v>
      </c>
    </row>
    <row r="182" spans="1:4" x14ac:dyDescent="0.25">
      <c r="A182" s="15">
        <v>44583</v>
      </c>
      <c r="B182" s="3" t="s">
        <v>71</v>
      </c>
      <c r="C182" s="3" t="s">
        <v>21</v>
      </c>
      <c r="D182" s="3">
        <f>IFERROR(VLOOKUP(Tablo3[[#This Row],[Personel Adı]],Tablo1[[Ad Soyad]:[Günlük Ücreti]],2,0)*VLOOKUP(Tablo3[[#This Row],[Durum]],Ayarlar!$E:$F,2,0),VLOOKUP(Tablo3[[#This Row],[Personel Adı]],Tablo1[[Ad Soyad]:[Günlük Ücreti]],2,0))</f>
        <v>110</v>
      </c>
    </row>
    <row r="183" spans="1:4" x14ac:dyDescent="0.25">
      <c r="A183" s="15">
        <v>44582</v>
      </c>
      <c r="B183" s="3" t="s">
        <v>7</v>
      </c>
      <c r="C183" s="3" t="s">
        <v>21</v>
      </c>
      <c r="D183" s="3">
        <f>IFERROR(VLOOKUP(Tablo3[[#This Row],[Personel Adı]],Tablo1[[Ad Soyad]:[Günlük Ücreti]],2,0)*VLOOKUP(Tablo3[[#This Row],[Durum]],Ayarlar!$E:$F,2,0),VLOOKUP(Tablo3[[#This Row],[Personel Adı]],Tablo1[[Ad Soyad]:[Günlük Ücreti]],2,0))</f>
        <v>110</v>
      </c>
    </row>
    <row r="184" spans="1:4" x14ac:dyDescent="0.25">
      <c r="A184" s="15">
        <v>44581</v>
      </c>
      <c r="B184" s="3" t="s">
        <v>7</v>
      </c>
      <c r="C184" s="3" t="s">
        <v>21</v>
      </c>
      <c r="D184" s="3">
        <f>IFERROR(VLOOKUP(Tablo3[[#This Row],[Personel Adı]],Tablo1[[Ad Soyad]:[Günlük Ücreti]],2,0)*VLOOKUP(Tablo3[[#This Row],[Durum]],Ayarlar!$E:$F,2,0),VLOOKUP(Tablo3[[#This Row],[Personel Adı]],Tablo1[[Ad Soyad]:[Günlük Ücreti]],2,0))</f>
        <v>110</v>
      </c>
    </row>
    <row r="185" spans="1:4" x14ac:dyDescent="0.25">
      <c r="A185" s="15">
        <v>44580</v>
      </c>
      <c r="B185" s="3" t="s">
        <v>7</v>
      </c>
      <c r="C185" s="3" t="s">
        <v>21</v>
      </c>
      <c r="D185" s="3">
        <f>IFERROR(VLOOKUP(Tablo3[[#This Row],[Personel Adı]],Tablo1[[Ad Soyad]:[Günlük Ücreti]],2,0)*VLOOKUP(Tablo3[[#This Row],[Durum]],Ayarlar!$E:$F,2,0),VLOOKUP(Tablo3[[#This Row],[Personel Adı]],Tablo1[[Ad Soyad]:[Günlük Ücreti]],2,0))</f>
        <v>110</v>
      </c>
    </row>
    <row r="186" spans="1:4" x14ac:dyDescent="0.25">
      <c r="A186" s="15">
        <v>44579</v>
      </c>
      <c r="B186" s="3" t="s">
        <v>7</v>
      </c>
      <c r="C186" s="3" t="s">
        <v>21</v>
      </c>
      <c r="D186" s="3">
        <f>IFERROR(VLOOKUP(Tablo3[[#This Row],[Personel Adı]],Tablo1[[Ad Soyad]:[Günlük Ücreti]],2,0)*VLOOKUP(Tablo3[[#This Row],[Durum]],Ayarlar!$E:$F,2,0),VLOOKUP(Tablo3[[#This Row],[Personel Adı]],Tablo1[[Ad Soyad]:[Günlük Ücreti]],2,0))</f>
        <v>110</v>
      </c>
    </row>
    <row r="187" spans="1:4" x14ac:dyDescent="0.25">
      <c r="A187" s="15">
        <v>44578</v>
      </c>
      <c r="B187" s="3" t="s">
        <v>7</v>
      </c>
      <c r="C187" s="3" t="s">
        <v>21</v>
      </c>
      <c r="D187" s="3">
        <f>IFERROR(VLOOKUP(Tablo3[[#This Row],[Personel Adı]],Tablo1[[Ad Soyad]:[Günlük Ücreti]],2,0)*VLOOKUP(Tablo3[[#This Row],[Durum]],Ayarlar!$E:$F,2,0),VLOOKUP(Tablo3[[#This Row],[Personel Adı]],Tablo1[[Ad Soyad]:[Günlük Ücreti]],2,0))</f>
        <v>110</v>
      </c>
    </row>
    <row r="188" spans="1:4" x14ac:dyDescent="0.25">
      <c r="A188" s="15">
        <v>44577</v>
      </c>
      <c r="B188" s="3" t="s">
        <v>71</v>
      </c>
      <c r="C188" s="3" t="s">
        <v>21</v>
      </c>
      <c r="D188" s="3">
        <f>IFERROR(VLOOKUP(Tablo3[[#This Row],[Personel Adı]],Tablo1[[Ad Soyad]:[Günlük Ücreti]],2,0)*VLOOKUP(Tablo3[[#This Row],[Durum]],Ayarlar!$E:$F,2,0),VLOOKUP(Tablo3[[#This Row],[Personel Adı]],Tablo1[[Ad Soyad]:[Günlük Ücreti]],2,0))</f>
        <v>110</v>
      </c>
    </row>
    <row r="189" spans="1:4" x14ac:dyDescent="0.25">
      <c r="A189" s="15">
        <v>44576</v>
      </c>
      <c r="B189" s="3" t="s">
        <v>71</v>
      </c>
      <c r="C189" s="3" t="s">
        <v>21</v>
      </c>
      <c r="D189" s="3">
        <f>IFERROR(VLOOKUP(Tablo3[[#This Row],[Personel Adı]],Tablo1[[Ad Soyad]:[Günlük Ücreti]],2,0)*VLOOKUP(Tablo3[[#This Row],[Durum]],Ayarlar!$E:$F,2,0),VLOOKUP(Tablo3[[#This Row],[Personel Adı]],Tablo1[[Ad Soyad]:[Günlük Ücreti]],2,0))</f>
        <v>110</v>
      </c>
    </row>
    <row r="190" spans="1:4" x14ac:dyDescent="0.25">
      <c r="A190" s="15">
        <v>44575</v>
      </c>
      <c r="B190" s="3" t="s">
        <v>9</v>
      </c>
      <c r="C190" s="3" t="s">
        <v>21</v>
      </c>
      <c r="D190" s="3">
        <f>IFERROR(VLOOKUP(Tablo3[[#This Row],[Personel Adı]],Tablo1[[Ad Soyad]:[Günlük Ücreti]],2,0)*VLOOKUP(Tablo3[[#This Row],[Durum]],Ayarlar!$E:$F,2,0),VLOOKUP(Tablo3[[#This Row],[Personel Adı]],Tablo1[[Ad Soyad]:[Günlük Ücreti]],2,0))</f>
        <v>110</v>
      </c>
    </row>
    <row r="191" spans="1:4" x14ac:dyDescent="0.25">
      <c r="A191" s="15">
        <v>44574</v>
      </c>
      <c r="B191" s="3" t="s">
        <v>9</v>
      </c>
      <c r="C191" s="3" t="s">
        <v>21</v>
      </c>
      <c r="D191" s="3">
        <f>IFERROR(VLOOKUP(Tablo3[[#This Row],[Personel Adı]],Tablo1[[Ad Soyad]:[Günlük Ücreti]],2,0)*VLOOKUP(Tablo3[[#This Row],[Durum]],Ayarlar!$E:$F,2,0),VLOOKUP(Tablo3[[#This Row],[Personel Adı]],Tablo1[[Ad Soyad]:[Günlük Ücreti]],2,0))</f>
        <v>110</v>
      </c>
    </row>
    <row r="192" spans="1:4" x14ac:dyDescent="0.25">
      <c r="A192" s="15">
        <v>44573</v>
      </c>
      <c r="B192" s="3" t="s">
        <v>9</v>
      </c>
      <c r="C192" s="3" t="s">
        <v>21</v>
      </c>
      <c r="D192" s="3">
        <f>IFERROR(VLOOKUP(Tablo3[[#This Row],[Personel Adı]],Tablo1[[Ad Soyad]:[Günlük Ücreti]],2,0)*VLOOKUP(Tablo3[[#This Row],[Durum]],Ayarlar!$E:$F,2,0),VLOOKUP(Tablo3[[#This Row],[Personel Adı]],Tablo1[[Ad Soyad]:[Günlük Ücreti]],2,0))</f>
        <v>110</v>
      </c>
    </row>
    <row r="193" spans="1:4" x14ac:dyDescent="0.25">
      <c r="A193" s="15">
        <v>44572</v>
      </c>
      <c r="B193" s="3" t="s">
        <v>9</v>
      </c>
      <c r="C193" s="3" t="s">
        <v>21</v>
      </c>
      <c r="D193" s="3">
        <f>IFERROR(VLOOKUP(Tablo3[[#This Row],[Personel Adı]],Tablo1[[Ad Soyad]:[Günlük Ücreti]],2,0)*VLOOKUP(Tablo3[[#This Row],[Durum]],Ayarlar!$E:$F,2,0),VLOOKUP(Tablo3[[#This Row],[Personel Adı]],Tablo1[[Ad Soyad]:[Günlük Ücreti]],2,0))</f>
        <v>110</v>
      </c>
    </row>
    <row r="194" spans="1:4" x14ac:dyDescent="0.25">
      <c r="A194" s="15">
        <v>44571</v>
      </c>
      <c r="B194" s="3" t="s">
        <v>9</v>
      </c>
      <c r="C194" s="3" t="s">
        <v>21</v>
      </c>
      <c r="D194" s="3">
        <f>IFERROR(VLOOKUP(Tablo3[[#This Row],[Personel Adı]],Tablo1[[Ad Soyad]:[Günlük Ücreti]],2,0)*VLOOKUP(Tablo3[[#This Row],[Durum]],Ayarlar!$E:$F,2,0),VLOOKUP(Tablo3[[#This Row],[Personel Adı]],Tablo1[[Ad Soyad]:[Günlük Ücreti]],2,0))</f>
        <v>110</v>
      </c>
    </row>
    <row r="195" spans="1:4" x14ac:dyDescent="0.25">
      <c r="A195" s="15">
        <v>44570</v>
      </c>
      <c r="B195" s="3" t="s">
        <v>71</v>
      </c>
      <c r="C195" s="3" t="s">
        <v>21</v>
      </c>
      <c r="D195" s="3">
        <f>IFERROR(VLOOKUP(Tablo3[[#This Row],[Personel Adı]],Tablo1[[Ad Soyad]:[Günlük Ücreti]],2,0)*VLOOKUP(Tablo3[[#This Row],[Durum]],Ayarlar!$E:$F,2,0),VLOOKUP(Tablo3[[#This Row],[Personel Adı]],Tablo1[[Ad Soyad]:[Günlük Ücreti]],2,0))</f>
        <v>110</v>
      </c>
    </row>
    <row r="196" spans="1:4" x14ac:dyDescent="0.25">
      <c r="A196" s="15">
        <v>44569</v>
      </c>
      <c r="B196" s="3" t="s">
        <v>71</v>
      </c>
      <c r="C196" s="3" t="s">
        <v>21</v>
      </c>
      <c r="D196" s="3">
        <f>IFERROR(VLOOKUP(Tablo3[[#This Row],[Personel Adı]],Tablo1[[Ad Soyad]:[Günlük Ücreti]],2,0)*VLOOKUP(Tablo3[[#This Row],[Durum]],Ayarlar!$E:$F,2,0),VLOOKUP(Tablo3[[#This Row],[Personel Adı]],Tablo1[[Ad Soyad]:[Günlük Ücreti]],2,0))</f>
        <v>110</v>
      </c>
    </row>
    <row r="197" spans="1:4" x14ac:dyDescent="0.25">
      <c r="A197" s="15">
        <v>44568</v>
      </c>
      <c r="B197" s="3" t="s">
        <v>7</v>
      </c>
      <c r="C197" s="3" t="s">
        <v>21</v>
      </c>
      <c r="D197" s="3">
        <f>IFERROR(VLOOKUP(Tablo3[[#This Row],[Personel Adı]],Tablo1[[Ad Soyad]:[Günlük Ücreti]],2,0)*VLOOKUP(Tablo3[[#This Row],[Durum]],Ayarlar!$E:$F,2,0),VLOOKUP(Tablo3[[#This Row],[Personel Adı]],Tablo1[[Ad Soyad]:[Günlük Ücreti]],2,0))</f>
        <v>110</v>
      </c>
    </row>
    <row r="198" spans="1:4" x14ac:dyDescent="0.25">
      <c r="A198" s="15">
        <v>44567</v>
      </c>
      <c r="B198" s="3" t="s">
        <v>7</v>
      </c>
      <c r="C198" s="3" t="s">
        <v>21</v>
      </c>
      <c r="D198" s="3">
        <f>IFERROR(VLOOKUP(Tablo3[[#This Row],[Personel Adı]],Tablo1[[Ad Soyad]:[Günlük Ücreti]],2,0)*VLOOKUP(Tablo3[[#This Row],[Durum]],Ayarlar!$E:$F,2,0),VLOOKUP(Tablo3[[#This Row],[Personel Adı]],Tablo1[[Ad Soyad]:[Günlük Ücreti]],2,0))</f>
        <v>110</v>
      </c>
    </row>
    <row r="199" spans="1:4" x14ac:dyDescent="0.25">
      <c r="A199" s="15">
        <v>44566</v>
      </c>
      <c r="B199" s="3" t="s">
        <v>7</v>
      </c>
      <c r="C199" s="3" t="s">
        <v>21</v>
      </c>
      <c r="D199" s="3">
        <f>IFERROR(VLOOKUP(Tablo3[[#This Row],[Personel Adı]],Tablo1[[Ad Soyad]:[Günlük Ücreti]],2,0)*VLOOKUP(Tablo3[[#This Row],[Durum]],Ayarlar!$E:$F,2,0),VLOOKUP(Tablo3[[#This Row],[Personel Adı]],Tablo1[[Ad Soyad]:[Günlük Ücreti]],2,0))</f>
        <v>110</v>
      </c>
    </row>
    <row r="200" spans="1:4" x14ac:dyDescent="0.25">
      <c r="A200" s="15">
        <v>44565</v>
      </c>
      <c r="B200" s="3" t="s">
        <v>7</v>
      </c>
      <c r="C200" s="3" t="s">
        <v>21</v>
      </c>
      <c r="D200" s="3">
        <f>IFERROR(VLOOKUP(Tablo3[[#This Row],[Personel Adı]],Tablo1[[Ad Soyad]:[Günlük Ücreti]],2,0)*VLOOKUP(Tablo3[[#This Row],[Durum]],Ayarlar!$E:$F,2,0),VLOOKUP(Tablo3[[#This Row],[Personel Adı]],Tablo1[[Ad Soyad]:[Günlük Ücreti]],2,0))</f>
        <v>110</v>
      </c>
    </row>
    <row r="201" spans="1:4" x14ac:dyDescent="0.25">
      <c r="A201" s="15">
        <v>44564</v>
      </c>
      <c r="B201" s="3" t="s">
        <v>7</v>
      </c>
      <c r="C201" s="3" t="s">
        <v>21</v>
      </c>
      <c r="D201" s="3">
        <f>IFERROR(VLOOKUP(Tablo3[[#This Row],[Personel Adı]],Tablo1[[Ad Soyad]:[Günlük Ücreti]],2,0)*VLOOKUP(Tablo3[[#This Row],[Durum]],Ayarlar!$E:$F,2,0),VLOOKUP(Tablo3[[#This Row],[Personel Adı]],Tablo1[[Ad Soyad]:[Günlük Ücreti]],2,0))</f>
        <v>110</v>
      </c>
    </row>
    <row r="202" spans="1:4" x14ac:dyDescent="0.25">
      <c r="A202" s="15">
        <v>44563</v>
      </c>
      <c r="B202" s="3" t="s">
        <v>71</v>
      </c>
      <c r="C202" s="3" t="s">
        <v>21</v>
      </c>
      <c r="D202" s="3">
        <f>IFERROR(VLOOKUP(Tablo3[[#This Row],[Personel Adı]],Tablo1[[Ad Soyad]:[Günlük Ücreti]],2,0)*VLOOKUP(Tablo3[[#This Row],[Durum]],Ayarlar!$E:$F,2,0),VLOOKUP(Tablo3[[#This Row],[Personel Adı]],Tablo1[[Ad Soyad]:[Günlük Ücreti]],2,0))</f>
        <v>110</v>
      </c>
    </row>
    <row r="203" spans="1:4" x14ac:dyDescent="0.25">
      <c r="A203" s="15">
        <v>44562</v>
      </c>
      <c r="B203" s="3" t="s">
        <v>71</v>
      </c>
      <c r="C203" s="3" t="s">
        <v>21</v>
      </c>
      <c r="D203" s="3">
        <f>IFERROR(VLOOKUP(Tablo3[[#This Row],[Personel Adı]],Tablo1[[Ad Soyad]:[Günlük Ücreti]],2,0)*VLOOKUP(Tablo3[[#This Row],[Durum]],Ayarlar!$E:$F,2,0),VLOOKUP(Tablo3[[#This Row],[Personel Adı]],Tablo1[[Ad Soyad]:[Günlük Ücreti]],2,0))</f>
        <v>110</v>
      </c>
    </row>
    <row r="204" spans="1:4" x14ac:dyDescent="0.25">
      <c r="A204" s="15">
        <v>44592</v>
      </c>
      <c r="B204" s="3" t="s">
        <v>7</v>
      </c>
      <c r="C204" s="3" t="s">
        <v>20</v>
      </c>
      <c r="D204" s="3">
        <f>IFERROR(VLOOKUP(Tablo3[[#This Row],[Personel Adı]],Tablo1[[Ad Soyad]:[Günlük Ücreti]],2,0)*VLOOKUP(Tablo3[[#This Row],[Durum]],Ayarlar!$E:$F,2,0),VLOOKUP(Tablo3[[#This Row],[Personel Adı]],Tablo1[[Ad Soyad]:[Günlük Ücreti]],2,0))</f>
        <v>170</v>
      </c>
    </row>
    <row r="205" spans="1:4" x14ac:dyDescent="0.25">
      <c r="A205" s="15">
        <v>44591</v>
      </c>
      <c r="B205" s="3" t="s">
        <v>71</v>
      </c>
      <c r="C205" s="3" t="s">
        <v>20</v>
      </c>
      <c r="D205" s="3">
        <f>IFERROR(VLOOKUP(Tablo3[[#This Row],[Personel Adı]],Tablo1[[Ad Soyad]:[Günlük Ücreti]],2,0)*VLOOKUP(Tablo3[[#This Row],[Durum]],Ayarlar!$E:$F,2,0),VLOOKUP(Tablo3[[#This Row],[Personel Adı]],Tablo1[[Ad Soyad]:[Günlük Ücreti]],2,0))</f>
        <v>170</v>
      </c>
    </row>
    <row r="206" spans="1:4" x14ac:dyDescent="0.25">
      <c r="A206" s="15">
        <v>44590</v>
      </c>
      <c r="B206" s="3" t="s">
        <v>71</v>
      </c>
      <c r="C206" s="3" t="s">
        <v>20</v>
      </c>
      <c r="D206" s="3">
        <f>IFERROR(VLOOKUP(Tablo3[[#This Row],[Personel Adı]],Tablo1[[Ad Soyad]:[Günlük Ücreti]],2,0)*VLOOKUP(Tablo3[[#This Row],[Durum]],Ayarlar!$E:$F,2,0),VLOOKUP(Tablo3[[#This Row],[Personel Adı]],Tablo1[[Ad Soyad]:[Günlük Ücreti]],2,0))</f>
        <v>170</v>
      </c>
    </row>
    <row r="207" spans="1:4" x14ac:dyDescent="0.25">
      <c r="A207" s="15">
        <v>44589</v>
      </c>
      <c r="B207" s="3" t="s">
        <v>7</v>
      </c>
      <c r="C207" s="3" t="s">
        <v>20</v>
      </c>
      <c r="D207" s="3">
        <f>IFERROR(VLOOKUP(Tablo3[[#This Row],[Personel Adı]],Tablo1[[Ad Soyad]:[Günlük Ücreti]],2,0)*VLOOKUP(Tablo3[[#This Row],[Durum]],Ayarlar!$E:$F,2,0),VLOOKUP(Tablo3[[#This Row],[Personel Adı]],Tablo1[[Ad Soyad]:[Günlük Ücreti]],2,0))</f>
        <v>170</v>
      </c>
    </row>
    <row r="208" spans="1:4" x14ac:dyDescent="0.25">
      <c r="A208" s="15">
        <v>44588</v>
      </c>
      <c r="B208" s="3" t="s">
        <v>7</v>
      </c>
      <c r="C208" s="3" t="s">
        <v>20</v>
      </c>
      <c r="D208" s="3">
        <f>IFERROR(VLOOKUP(Tablo3[[#This Row],[Personel Adı]],Tablo1[[Ad Soyad]:[Günlük Ücreti]],2,0)*VLOOKUP(Tablo3[[#This Row],[Durum]],Ayarlar!$E:$F,2,0),VLOOKUP(Tablo3[[#This Row],[Personel Adı]],Tablo1[[Ad Soyad]:[Günlük Ücreti]],2,0))</f>
        <v>170</v>
      </c>
    </row>
    <row r="209" spans="1:4" x14ac:dyDescent="0.25">
      <c r="A209" s="15">
        <v>44587</v>
      </c>
      <c r="B209" s="3" t="s">
        <v>7</v>
      </c>
      <c r="C209" s="3" t="s">
        <v>20</v>
      </c>
      <c r="D209" s="3">
        <f>IFERROR(VLOOKUP(Tablo3[[#This Row],[Personel Adı]],Tablo1[[Ad Soyad]:[Günlük Ücreti]],2,0)*VLOOKUP(Tablo3[[#This Row],[Durum]],Ayarlar!$E:$F,2,0),VLOOKUP(Tablo3[[#This Row],[Personel Adı]],Tablo1[[Ad Soyad]:[Günlük Ücreti]],2,0))</f>
        <v>170</v>
      </c>
    </row>
    <row r="210" spans="1:4" x14ac:dyDescent="0.25">
      <c r="A210" s="15">
        <v>44586</v>
      </c>
      <c r="B210" s="3" t="s">
        <v>7</v>
      </c>
      <c r="C210" s="3" t="s">
        <v>20</v>
      </c>
      <c r="D210" s="3">
        <f>IFERROR(VLOOKUP(Tablo3[[#This Row],[Personel Adı]],Tablo1[[Ad Soyad]:[Günlük Ücreti]],2,0)*VLOOKUP(Tablo3[[#This Row],[Durum]],Ayarlar!$E:$F,2,0),VLOOKUP(Tablo3[[#This Row],[Personel Adı]],Tablo1[[Ad Soyad]:[Günlük Ücreti]],2,0))</f>
        <v>170</v>
      </c>
    </row>
    <row r="211" spans="1:4" x14ac:dyDescent="0.25">
      <c r="A211" s="15">
        <v>44585</v>
      </c>
      <c r="B211" s="3" t="s">
        <v>7</v>
      </c>
      <c r="C211" s="3" t="s">
        <v>20</v>
      </c>
      <c r="D211" s="3">
        <f>IFERROR(VLOOKUP(Tablo3[[#This Row],[Personel Adı]],Tablo1[[Ad Soyad]:[Günlük Ücreti]],2,0)*VLOOKUP(Tablo3[[#This Row],[Durum]],Ayarlar!$E:$F,2,0),VLOOKUP(Tablo3[[#This Row],[Personel Adı]],Tablo1[[Ad Soyad]:[Günlük Ücreti]],2,0))</f>
        <v>170</v>
      </c>
    </row>
    <row r="212" spans="1:4" x14ac:dyDescent="0.25">
      <c r="A212" s="15">
        <v>44584</v>
      </c>
      <c r="B212" s="3" t="s">
        <v>71</v>
      </c>
      <c r="C212" s="3" t="s">
        <v>20</v>
      </c>
      <c r="D212" s="3">
        <f>IFERROR(VLOOKUP(Tablo3[[#This Row],[Personel Adı]],Tablo1[[Ad Soyad]:[Günlük Ücreti]],2,0)*VLOOKUP(Tablo3[[#This Row],[Durum]],Ayarlar!$E:$F,2,0),VLOOKUP(Tablo3[[#This Row],[Personel Adı]],Tablo1[[Ad Soyad]:[Günlük Ücreti]],2,0))</f>
        <v>170</v>
      </c>
    </row>
    <row r="213" spans="1:4" x14ac:dyDescent="0.25">
      <c r="A213" s="15">
        <v>44583</v>
      </c>
      <c r="B213" s="3" t="s">
        <v>71</v>
      </c>
      <c r="C213" s="3" t="s">
        <v>20</v>
      </c>
      <c r="D213" s="3">
        <f>IFERROR(VLOOKUP(Tablo3[[#This Row],[Personel Adı]],Tablo1[[Ad Soyad]:[Günlük Ücreti]],2,0)*VLOOKUP(Tablo3[[#This Row],[Durum]],Ayarlar!$E:$F,2,0),VLOOKUP(Tablo3[[#This Row],[Personel Adı]],Tablo1[[Ad Soyad]:[Günlük Ücreti]],2,0))</f>
        <v>170</v>
      </c>
    </row>
    <row r="214" spans="1:4" x14ac:dyDescent="0.25">
      <c r="A214" s="15">
        <v>44582</v>
      </c>
      <c r="B214" s="3" t="s">
        <v>7</v>
      </c>
      <c r="C214" s="3" t="s">
        <v>20</v>
      </c>
      <c r="D214" s="3">
        <f>IFERROR(VLOOKUP(Tablo3[[#This Row],[Personel Adı]],Tablo1[[Ad Soyad]:[Günlük Ücreti]],2,0)*VLOOKUP(Tablo3[[#This Row],[Durum]],Ayarlar!$E:$F,2,0),VLOOKUP(Tablo3[[#This Row],[Personel Adı]],Tablo1[[Ad Soyad]:[Günlük Ücreti]],2,0))</f>
        <v>170</v>
      </c>
    </row>
    <row r="215" spans="1:4" x14ac:dyDescent="0.25">
      <c r="A215" s="15">
        <v>44581</v>
      </c>
      <c r="B215" s="3" t="s">
        <v>7</v>
      </c>
      <c r="C215" s="3" t="s">
        <v>20</v>
      </c>
      <c r="D215" s="3">
        <f>IFERROR(VLOOKUP(Tablo3[[#This Row],[Personel Adı]],Tablo1[[Ad Soyad]:[Günlük Ücreti]],2,0)*VLOOKUP(Tablo3[[#This Row],[Durum]],Ayarlar!$E:$F,2,0),VLOOKUP(Tablo3[[#This Row],[Personel Adı]],Tablo1[[Ad Soyad]:[Günlük Ücreti]],2,0))</f>
        <v>170</v>
      </c>
    </row>
    <row r="216" spans="1:4" x14ac:dyDescent="0.25">
      <c r="A216" s="15">
        <v>44580</v>
      </c>
      <c r="B216" s="3" t="s">
        <v>7</v>
      </c>
      <c r="C216" s="3" t="s">
        <v>20</v>
      </c>
      <c r="D216" s="3">
        <f>IFERROR(VLOOKUP(Tablo3[[#This Row],[Personel Adı]],Tablo1[[Ad Soyad]:[Günlük Ücreti]],2,0)*VLOOKUP(Tablo3[[#This Row],[Durum]],Ayarlar!$E:$F,2,0),VLOOKUP(Tablo3[[#This Row],[Personel Adı]],Tablo1[[Ad Soyad]:[Günlük Ücreti]],2,0))</f>
        <v>170</v>
      </c>
    </row>
    <row r="217" spans="1:4" x14ac:dyDescent="0.25">
      <c r="A217" s="15">
        <v>44579</v>
      </c>
      <c r="B217" s="3" t="s">
        <v>7</v>
      </c>
      <c r="C217" s="3" t="s">
        <v>20</v>
      </c>
      <c r="D217" s="3">
        <f>IFERROR(VLOOKUP(Tablo3[[#This Row],[Personel Adı]],Tablo1[[Ad Soyad]:[Günlük Ücreti]],2,0)*VLOOKUP(Tablo3[[#This Row],[Durum]],Ayarlar!$E:$F,2,0),VLOOKUP(Tablo3[[#This Row],[Personel Adı]],Tablo1[[Ad Soyad]:[Günlük Ücreti]],2,0))</f>
        <v>170</v>
      </c>
    </row>
    <row r="218" spans="1:4" x14ac:dyDescent="0.25">
      <c r="A218" s="15">
        <v>44578</v>
      </c>
      <c r="B218" s="3" t="s">
        <v>7</v>
      </c>
      <c r="C218" s="3" t="s">
        <v>20</v>
      </c>
      <c r="D218" s="3">
        <f>IFERROR(VLOOKUP(Tablo3[[#This Row],[Personel Adı]],Tablo1[[Ad Soyad]:[Günlük Ücreti]],2,0)*VLOOKUP(Tablo3[[#This Row],[Durum]],Ayarlar!$E:$F,2,0),VLOOKUP(Tablo3[[#This Row],[Personel Adı]],Tablo1[[Ad Soyad]:[Günlük Ücreti]],2,0))</f>
        <v>170</v>
      </c>
    </row>
    <row r="219" spans="1:4" x14ac:dyDescent="0.25">
      <c r="A219" s="15">
        <v>44577</v>
      </c>
      <c r="B219" s="3" t="s">
        <v>71</v>
      </c>
      <c r="C219" s="3" t="s">
        <v>20</v>
      </c>
      <c r="D219" s="3">
        <f>IFERROR(VLOOKUP(Tablo3[[#This Row],[Personel Adı]],Tablo1[[Ad Soyad]:[Günlük Ücreti]],2,0)*VLOOKUP(Tablo3[[#This Row],[Durum]],Ayarlar!$E:$F,2,0),VLOOKUP(Tablo3[[#This Row],[Personel Adı]],Tablo1[[Ad Soyad]:[Günlük Ücreti]],2,0))</f>
        <v>170</v>
      </c>
    </row>
    <row r="220" spans="1:4" x14ac:dyDescent="0.25">
      <c r="A220" s="15">
        <v>44576</v>
      </c>
      <c r="B220" s="3" t="s">
        <v>71</v>
      </c>
      <c r="C220" s="3" t="s">
        <v>20</v>
      </c>
      <c r="D220" s="3">
        <f>IFERROR(VLOOKUP(Tablo3[[#This Row],[Personel Adı]],Tablo1[[Ad Soyad]:[Günlük Ücreti]],2,0)*VLOOKUP(Tablo3[[#This Row],[Durum]],Ayarlar!$E:$F,2,0),VLOOKUP(Tablo3[[#This Row],[Personel Adı]],Tablo1[[Ad Soyad]:[Günlük Ücreti]],2,0))</f>
        <v>170</v>
      </c>
    </row>
    <row r="221" spans="1:4" x14ac:dyDescent="0.25">
      <c r="A221" s="15">
        <v>44575</v>
      </c>
      <c r="B221" s="3" t="s">
        <v>7</v>
      </c>
      <c r="C221" s="3" t="s">
        <v>20</v>
      </c>
      <c r="D221" s="3">
        <f>IFERROR(VLOOKUP(Tablo3[[#This Row],[Personel Adı]],Tablo1[[Ad Soyad]:[Günlük Ücreti]],2,0)*VLOOKUP(Tablo3[[#This Row],[Durum]],Ayarlar!$E:$F,2,0),VLOOKUP(Tablo3[[#This Row],[Personel Adı]],Tablo1[[Ad Soyad]:[Günlük Ücreti]],2,0))</f>
        <v>170</v>
      </c>
    </row>
    <row r="222" spans="1:4" x14ac:dyDescent="0.25">
      <c r="A222" s="15">
        <v>44574</v>
      </c>
      <c r="B222" s="3" t="s">
        <v>7</v>
      </c>
      <c r="C222" s="3" t="s">
        <v>20</v>
      </c>
      <c r="D222" s="3">
        <f>IFERROR(VLOOKUP(Tablo3[[#This Row],[Personel Adı]],Tablo1[[Ad Soyad]:[Günlük Ücreti]],2,0)*VLOOKUP(Tablo3[[#This Row],[Durum]],Ayarlar!$E:$F,2,0),VLOOKUP(Tablo3[[#This Row],[Personel Adı]],Tablo1[[Ad Soyad]:[Günlük Ücreti]],2,0))</f>
        <v>170</v>
      </c>
    </row>
    <row r="223" spans="1:4" x14ac:dyDescent="0.25">
      <c r="A223" s="15">
        <v>44573</v>
      </c>
      <c r="B223" s="3" t="s">
        <v>7</v>
      </c>
      <c r="C223" s="3" t="s">
        <v>20</v>
      </c>
      <c r="D223" s="3">
        <f>IFERROR(VLOOKUP(Tablo3[[#This Row],[Personel Adı]],Tablo1[[Ad Soyad]:[Günlük Ücreti]],2,0)*VLOOKUP(Tablo3[[#This Row],[Durum]],Ayarlar!$E:$F,2,0),VLOOKUP(Tablo3[[#This Row],[Personel Adı]],Tablo1[[Ad Soyad]:[Günlük Ücreti]],2,0))</f>
        <v>170</v>
      </c>
    </row>
    <row r="224" spans="1:4" x14ac:dyDescent="0.25">
      <c r="A224" s="15">
        <v>44572</v>
      </c>
      <c r="B224" s="3" t="s">
        <v>7</v>
      </c>
      <c r="C224" s="3" t="s">
        <v>20</v>
      </c>
      <c r="D224" s="3">
        <f>IFERROR(VLOOKUP(Tablo3[[#This Row],[Personel Adı]],Tablo1[[Ad Soyad]:[Günlük Ücreti]],2,0)*VLOOKUP(Tablo3[[#This Row],[Durum]],Ayarlar!$E:$F,2,0),VLOOKUP(Tablo3[[#This Row],[Personel Adı]],Tablo1[[Ad Soyad]:[Günlük Ücreti]],2,0))</f>
        <v>170</v>
      </c>
    </row>
    <row r="225" spans="1:4" x14ac:dyDescent="0.25">
      <c r="A225" s="15">
        <v>44571</v>
      </c>
      <c r="B225" s="3" t="s">
        <v>7</v>
      </c>
      <c r="C225" s="3" t="s">
        <v>20</v>
      </c>
      <c r="D225" s="3">
        <f>IFERROR(VLOOKUP(Tablo3[[#This Row],[Personel Adı]],Tablo1[[Ad Soyad]:[Günlük Ücreti]],2,0)*VLOOKUP(Tablo3[[#This Row],[Durum]],Ayarlar!$E:$F,2,0),VLOOKUP(Tablo3[[#This Row],[Personel Adı]],Tablo1[[Ad Soyad]:[Günlük Ücreti]],2,0))</f>
        <v>170</v>
      </c>
    </row>
    <row r="226" spans="1:4" x14ac:dyDescent="0.25">
      <c r="A226" s="15">
        <v>44570</v>
      </c>
      <c r="B226" s="3" t="s">
        <v>71</v>
      </c>
      <c r="C226" s="3" t="s">
        <v>20</v>
      </c>
      <c r="D226" s="3">
        <f>IFERROR(VLOOKUP(Tablo3[[#This Row],[Personel Adı]],Tablo1[[Ad Soyad]:[Günlük Ücreti]],2,0)*VLOOKUP(Tablo3[[#This Row],[Durum]],Ayarlar!$E:$F,2,0),VLOOKUP(Tablo3[[#This Row],[Personel Adı]],Tablo1[[Ad Soyad]:[Günlük Ücreti]],2,0))</f>
        <v>170</v>
      </c>
    </row>
    <row r="227" spans="1:4" x14ac:dyDescent="0.25">
      <c r="A227" s="15">
        <v>44569</v>
      </c>
      <c r="B227" s="3" t="s">
        <v>71</v>
      </c>
      <c r="C227" s="3" t="s">
        <v>20</v>
      </c>
      <c r="D227" s="3">
        <f>IFERROR(VLOOKUP(Tablo3[[#This Row],[Personel Adı]],Tablo1[[Ad Soyad]:[Günlük Ücreti]],2,0)*VLOOKUP(Tablo3[[#This Row],[Durum]],Ayarlar!$E:$F,2,0),VLOOKUP(Tablo3[[#This Row],[Personel Adı]],Tablo1[[Ad Soyad]:[Günlük Ücreti]],2,0))</f>
        <v>170</v>
      </c>
    </row>
    <row r="228" spans="1:4" x14ac:dyDescent="0.25">
      <c r="A228" s="15">
        <v>44568</v>
      </c>
      <c r="B228" s="3" t="s">
        <v>7</v>
      </c>
      <c r="C228" s="3" t="s">
        <v>20</v>
      </c>
      <c r="D228" s="3">
        <f>IFERROR(VLOOKUP(Tablo3[[#This Row],[Personel Adı]],Tablo1[[Ad Soyad]:[Günlük Ücreti]],2,0)*VLOOKUP(Tablo3[[#This Row],[Durum]],Ayarlar!$E:$F,2,0),VLOOKUP(Tablo3[[#This Row],[Personel Adı]],Tablo1[[Ad Soyad]:[Günlük Ücreti]],2,0))</f>
        <v>170</v>
      </c>
    </row>
    <row r="229" spans="1:4" x14ac:dyDescent="0.25">
      <c r="A229" s="15">
        <v>44567</v>
      </c>
      <c r="B229" s="3" t="s">
        <v>47</v>
      </c>
      <c r="C229" s="3" t="s">
        <v>20</v>
      </c>
      <c r="D229" s="3">
        <f>IFERROR(VLOOKUP(Tablo3[[#This Row],[Personel Adı]],Tablo1[[Ad Soyad]:[Günlük Ücreti]],2,0)*VLOOKUP(Tablo3[[#This Row],[Durum]],Ayarlar!$E:$F,2,0),VLOOKUP(Tablo3[[#This Row],[Personel Adı]],Tablo1[[Ad Soyad]:[Günlük Ücreti]],2,0))</f>
        <v>85</v>
      </c>
    </row>
    <row r="230" spans="1:4" x14ac:dyDescent="0.25">
      <c r="A230" s="15">
        <v>44566</v>
      </c>
      <c r="B230" s="3" t="s">
        <v>7</v>
      </c>
      <c r="C230" s="3" t="s">
        <v>20</v>
      </c>
      <c r="D230" s="3">
        <f>IFERROR(VLOOKUP(Tablo3[[#This Row],[Personel Adı]],Tablo1[[Ad Soyad]:[Günlük Ücreti]],2,0)*VLOOKUP(Tablo3[[#This Row],[Durum]],Ayarlar!$E:$F,2,0),VLOOKUP(Tablo3[[#This Row],[Personel Adı]],Tablo1[[Ad Soyad]:[Günlük Ücreti]],2,0))</f>
        <v>170</v>
      </c>
    </row>
    <row r="231" spans="1:4" x14ac:dyDescent="0.25">
      <c r="A231" s="15">
        <v>44565</v>
      </c>
      <c r="B231" s="3" t="s">
        <v>7</v>
      </c>
      <c r="C231" s="3" t="s">
        <v>20</v>
      </c>
      <c r="D231" s="3">
        <f>IFERROR(VLOOKUP(Tablo3[[#This Row],[Personel Adı]],Tablo1[[Ad Soyad]:[Günlük Ücreti]],2,0)*VLOOKUP(Tablo3[[#This Row],[Durum]],Ayarlar!$E:$F,2,0),VLOOKUP(Tablo3[[#This Row],[Personel Adı]],Tablo1[[Ad Soyad]:[Günlük Ücreti]],2,0))</f>
        <v>170</v>
      </c>
    </row>
    <row r="232" spans="1:4" x14ac:dyDescent="0.25">
      <c r="A232" s="15">
        <v>44564</v>
      </c>
      <c r="B232" s="3" t="s">
        <v>7</v>
      </c>
      <c r="C232" s="3" t="s">
        <v>20</v>
      </c>
      <c r="D232" s="3">
        <f>IFERROR(VLOOKUP(Tablo3[[#This Row],[Personel Adı]],Tablo1[[Ad Soyad]:[Günlük Ücreti]],2,0)*VLOOKUP(Tablo3[[#This Row],[Durum]],Ayarlar!$E:$F,2,0),VLOOKUP(Tablo3[[#This Row],[Personel Adı]],Tablo1[[Ad Soyad]:[Günlük Ücreti]],2,0))</f>
        <v>170</v>
      </c>
    </row>
    <row r="233" spans="1:4" x14ac:dyDescent="0.25">
      <c r="A233" s="15">
        <v>44563</v>
      </c>
      <c r="B233" s="3" t="s">
        <v>71</v>
      </c>
      <c r="C233" s="3" t="s">
        <v>20</v>
      </c>
      <c r="D233" s="3">
        <f>IFERROR(VLOOKUP(Tablo3[[#This Row],[Personel Adı]],Tablo1[[Ad Soyad]:[Günlük Ücreti]],2,0)*VLOOKUP(Tablo3[[#This Row],[Durum]],Ayarlar!$E:$F,2,0),VLOOKUP(Tablo3[[#This Row],[Personel Adı]],Tablo1[[Ad Soyad]:[Günlük Ücreti]],2,0))</f>
        <v>170</v>
      </c>
    </row>
    <row r="234" spans="1:4" x14ac:dyDescent="0.25">
      <c r="A234" s="15">
        <v>44562</v>
      </c>
      <c r="B234" s="3" t="s">
        <v>71</v>
      </c>
      <c r="C234" s="3" t="s">
        <v>20</v>
      </c>
      <c r="D234" s="3">
        <f>IFERROR(VLOOKUP(Tablo3[[#This Row],[Personel Adı]],Tablo1[[Ad Soyad]:[Günlük Ücreti]],2,0)*VLOOKUP(Tablo3[[#This Row],[Durum]],Ayarlar!$E:$F,2,0),VLOOKUP(Tablo3[[#This Row],[Personel Adı]],Tablo1[[Ad Soyad]:[Günlük Ücreti]],2,0))</f>
        <v>170</v>
      </c>
    </row>
    <row r="235" spans="1:4" x14ac:dyDescent="0.25">
      <c r="A235" s="15">
        <v>44592</v>
      </c>
      <c r="B235" s="3" t="s">
        <v>7</v>
      </c>
      <c r="C235" s="3" t="s">
        <v>19</v>
      </c>
      <c r="D235" s="3">
        <f>IFERROR(VLOOKUP(Tablo3[[#This Row],[Personel Adı]],Tablo1[[Ad Soyad]:[Günlük Ücreti]],2,0)*VLOOKUP(Tablo3[[#This Row],[Durum]],Ayarlar!$E:$F,2,0),VLOOKUP(Tablo3[[#This Row],[Personel Adı]],Tablo1[[Ad Soyad]:[Günlük Ücreti]],2,0))</f>
        <v>150</v>
      </c>
    </row>
    <row r="236" spans="1:4" x14ac:dyDescent="0.25">
      <c r="A236" s="15">
        <v>44591</v>
      </c>
      <c r="B236" s="3" t="s">
        <v>71</v>
      </c>
      <c r="C236" s="3" t="s">
        <v>19</v>
      </c>
      <c r="D236" s="3">
        <f>IFERROR(VLOOKUP(Tablo3[[#This Row],[Personel Adı]],Tablo1[[Ad Soyad]:[Günlük Ücreti]],2,0)*VLOOKUP(Tablo3[[#This Row],[Durum]],Ayarlar!$E:$F,2,0),VLOOKUP(Tablo3[[#This Row],[Personel Adı]],Tablo1[[Ad Soyad]:[Günlük Ücreti]],2,0))</f>
        <v>150</v>
      </c>
    </row>
    <row r="237" spans="1:4" x14ac:dyDescent="0.25">
      <c r="A237" s="15">
        <v>44590</v>
      </c>
      <c r="B237" s="3" t="s">
        <v>71</v>
      </c>
      <c r="C237" s="3" t="s">
        <v>19</v>
      </c>
      <c r="D237" s="3">
        <f>IFERROR(VLOOKUP(Tablo3[[#This Row],[Personel Adı]],Tablo1[[Ad Soyad]:[Günlük Ücreti]],2,0)*VLOOKUP(Tablo3[[#This Row],[Durum]],Ayarlar!$E:$F,2,0),VLOOKUP(Tablo3[[#This Row],[Personel Adı]],Tablo1[[Ad Soyad]:[Günlük Ücreti]],2,0))</f>
        <v>150</v>
      </c>
    </row>
    <row r="238" spans="1:4" x14ac:dyDescent="0.25">
      <c r="A238" s="15">
        <v>44589</v>
      </c>
      <c r="B238" s="3" t="s">
        <v>7</v>
      </c>
      <c r="C238" s="3" t="s">
        <v>19</v>
      </c>
      <c r="D238" s="3">
        <f>IFERROR(VLOOKUP(Tablo3[[#This Row],[Personel Adı]],Tablo1[[Ad Soyad]:[Günlük Ücreti]],2,0)*VLOOKUP(Tablo3[[#This Row],[Durum]],Ayarlar!$E:$F,2,0),VLOOKUP(Tablo3[[#This Row],[Personel Adı]],Tablo1[[Ad Soyad]:[Günlük Ücreti]],2,0))</f>
        <v>150</v>
      </c>
    </row>
    <row r="239" spans="1:4" x14ac:dyDescent="0.25">
      <c r="A239" s="15">
        <v>44588</v>
      </c>
      <c r="B239" s="3" t="s">
        <v>7</v>
      </c>
      <c r="C239" s="3" t="s">
        <v>19</v>
      </c>
      <c r="D239" s="3">
        <f>IFERROR(VLOOKUP(Tablo3[[#This Row],[Personel Adı]],Tablo1[[Ad Soyad]:[Günlük Ücreti]],2,0)*VLOOKUP(Tablo3[[#This Row],[Durum]],Ayarlar!$E:$F,2,0),VLOOKUP(Tablo3[[#This Row],[Personel Adı]],Tablo1[[Ad Soyad]:[Günlük Ücreti]],2,0))</f>
        <v>150</v>
      </c>
    </row>
    <row r="240" spans="1:4" x14ac:dyDescent="0.25">
      <c r="A240" s="15">
        <v>44587</v>
      </c>
      <c r="B240" s="3" t="s">
        <v>7</v>
      </c>
      <c r="C240" s="3" t="s">
        <v>19</v>
      </c>
      <c r="D240" s="3">
        <f>IFERROR(VLOOKUP(Tablo3[[#This Row],[Personel Adı]],Tablo1[[Ad Soyad]:[Günlük Ücreti]],2,0)*VLOOKUP(Tablo3[[#This Row],[Durum]],Ayarlar!$E:$F,2,0),VLOOKUP(Tablo3[[#This Row],[Personel Adı]],Tablo1[[Ad Soyad]:[Günlük Ücreti]],2,0))</f>
        <v>150</v>
      </c>
    </row>
    <row r="241" spans="1:4" x14ac:dyDescent="0.25">
      <c r="A241" s="15">
        <v>44586</v>
      </c>
      <c r="B241" s="3" t="s">
        <v>7</v>
      </c>
      <c r="C241" s="3" t="s">
        <v>19</v>
      </c>
      <c r="D241" s="3">
        <f>IFERROR(VLOOKUP(Tablo3[[#This Row],[Personel Adı]],Tablo1[[Ad Soyad]:[Günlük Ücreti]],2,0)*VLOOKUP(Tablo3[[#This Row],[Durum]],Ayarlar!$E:$F,2,0),VLOOKUP(Tablo3[[#This Row],[Personel Adı]],Tablo1[[Ad Soyad]:[Günlük Ücreti]],2,0))</f>
        <v>150</v>
      </c>
    </row>
    <row r="242" spans="1:4" x14ac:dyDescent="0.25">
      <c r="A242" s="15">
        <v>44585</v>
      </c>
      <c r="B242" s="3" t="s">
        <v>7</v>
      </c>
      <c r="C242" s="3" t="s">
        <v>19</v>
      </c>
      <c r="D242" s="3">
        <f>IFERROR(VLOOKUP(Tablo3[[#This Row],[Personel Adı]],Tablo1[[Ad Soyad]:[Günlük Ücreti]],2,0)*VLOOKUP(Tablo3[[#This Row],[Durum]],Ayarlar!$E:$F,2,0),VLOOKUP(Tablo3[[#This Row],[Personel Adı]],Tablo1[[Ad Soyad]:[Günlük Ücreti]],2,0))</f>
        <v>150</v>
      </c>
    </row>
    <row r="243" spans="1:4" x14ac:dyDescent="0.25">
      <c r="A243" s="15">
        <v>44584</v>
      </c>
      <c r="B243" s="3" t="s">
        <v>71</v>
      </c>
      <c r="C243" s="3" t="s">
        <v>19</v>
      </c>
      <c r="D243" s="3">
        <f>IFERROR(VLOOKUP(Tablo3[[#This Row],[Personel Adı]],Tablo1[[Ad Soyad]:[Günlük Ücreti]],2,0)*VLOOKUP(Tablo3[[#This Row],[Durum]],Ayarlar!$E:$F,2,0),VLOOKUP(Tablo3[[#This Row],[Personel Adı]],Tablo1[[Ad Soyad]:[Günlük Ücreti]],2,0))</f>
        <v>150</v>
      </c>
    </row>
    <row r="244" spans="1:4" x14ac:dyDescent="0.25">
      <c r="A244" s="15">
        <v>44583</v>
      </c>
      <c r="B244" s="3" t="s">
        <v>71</v>
      </c>
      <c r="C244" s="3" t="s">
        <v>19</v>
      </c>
      <c r="D244" s="3">
        <f>IFERROR(VLOOKUP(Tablo3[[#This Row],[Personel Adı]],Tablo1[[Ad Soyad]:[Günlük Ücreti]],2,0)*VLOOKUP(Tablo3[[#This Row],[Durum]],Ayarlar!$E:$F,2,0),VLOOKUP(Tablo3[[#This Row],[Personel Adı]],Tablo1[[Ad Soyad]:[Günlük Ücreti]],2,0))</f>
        <v>150</v>
      </c>
    </row>
    <row r="245" spans="1:4" x14ac:dyDescent="0.25">
      <c r="A245" s="15">
        <v>44582</v>
      </c>
      <c r="B245" s="3" t="s">
        <v>7</v>
      </c>
      <c r="C245" s="3" t="s">
        <v>19</v>
      </c>
      <c r="D245" s="3">
        <f>IFERROR(VLOOKUP(Tablo3[[#This Row],[Personel Adı]],Tablo1[[Ad Soyad]:[Günlük Ücreti]],2,0)*VLOOKUP(Tablo3[[#This Row],[Durum]],Ayarlar!$E:$F,2,0),VLOOKUP(Tablo3[[#This Row],[Personel Adı]],Tablo1[[Ad Soyad]:[Günlük Ücreti]],2,0))</f>
        <v>150</v>
      </c>
    </row>
    <row r="246" spans="1:4" x14ac:dyDescent="0.25">
      <c r="A246" s="15">
        <v>44581</v>
      </c>
      <c r="B246" s="3" t="s">
        <v>47</v>
      </c>
      <c r="C246" s="3" t="s">
        <v>19</v>
      </c>
      <c r="D246" s="3">
        <f>IFERROR(VLOOKUP(Tablo3[[#This Row],[Personel Adı]],Tablo1[[Ad Soyad]:[Günlük Ücreti]],2,0)*VLOOKUP(Tablo3[[#This Row],[Durum]],Ayarlar!$E:$F,2,0),VLOOKUP(Tablo3[[#This Row],[Personel Adı]],Tablo1[[Ad Soyad]:[Günlük Ücreti]],2,0))</f>
        <v>75</v>
      </c>
    </row>
    <row r="247" spans="1:4" x14ac:dyDescent="0.25">
      <c r="A247" s="15">
        <v>44580</v>
      </c>
      <c r="B247" s="3" t="s">
        <v>7</v>
      </c>
      <c r="C247" s="3" t="s">
        <v>19</v>
      </c>
      <c r="D247" s="3">
        <f>IFERROR(VLOOKUP(Tablo3[[#This Row],[Personel Adı]],Tablo1[[Ad Soyad]:[Günlük Ücreti]],2,0)*VLOOKUP(Tablo3[[#This Row],[Durum]],Ayarlar!$E:$F,2,0),VLOOKUP(Tablo3[[#This Row],[Personel Adı]],Tablo1[[Ad Soyad]:[Günlük Ücreti]],2,0))</f>
        <v>150</v>
      </c>
    </row>
    <row r="248" spans="1:4" x14ac:dyDescent="0.25">
      <c r="A248" s="15">
        <v>44579</v>
      </c>
      <c r="B248" s="3" t="s">
        <v>7</v>
      </c>
      <c r="C248" s="3" t="s">
        <v>19</v>
      </c>
      <c r="D248" s="3">
        <f>IFERROR(VLOOKUP(Tablo3[[#This Row],[Personel Adı]],Tablo1[[Ad Soyad]:[Günlük Ücreti]],2,0)*VLOOKUP(Tablo3[[#This Row],[Durum]],Ayarlar!$E:$F,2,0),VLOOKUP(Tablo3[[#This Row],[Personel Adı]],Tablo1[[Ad Soyad]:[Günlük Ücreti]],2,0))</f>
        <v>150</v>
      </c>
    </row>
    <row r="249" spans="1:4" x14ac:dyDescent="0.25">
      <c r="A249" s="15">
        <v>44578</v>
      </c>
      <c r="B249" s="3" t="s">
        <v>7</v>
      </c>
      <c r="C249" s="3" t="s">
        <v>19</v>
      </c>
      <c r="D249" s="3">
        <f>IFERROR(VLOOKUP(Tablo3[[#This Row],[Personel Adı]],Tablo1[[Ad Soyad]:[Günlük Ücreti]],2,0)*VLOOKUP(Tablo3[[#This Row],[Durum]],Ayarlar!$E:$F,2,0),VLOOKUP(Tablo3[[#This Row],[Personel Adı]],Tablo1[[Ad Soyad]:[Günlük Ücreti]],2,0))</f>
        <v>150</v>
      </c>
    </row>
    <row r="250" spans="1:4" x14ac:dyDescent="0.25">
      <c r="A250" s="15">
        <v>44577</v>
      </c>
      <c r="B250" s="3" t="s">
        <v>71</v>
      </c>
      <c r="C250" s="3" t="s">
        <v>19</v>
      </c>
      <c r="D250" s="3">
        <f>IFERROR(VLOOKUP(Tablo3[[#This Row],[Personel Adı]],Tablo1[[Ad Soyad]:[Günlük Ücreti]],2,0)*VLOOKUP(Tablo3[[#This Row],[Durum]],Ayarlar!$E:$F,2,0),VLOOKUP(Tablo3[[#This Row],[Personel Adı]],Tablo1[[Ad Soyad]:[Günlük Ücreti]],2,0))</f>
        <v>150</v>
      </c>
    </row>
    <row r="251" spans="1:4" x14ac:dyDescent="0.25">
      <c r="A251" s="15">
        <v>44576</v>
      </c>
      <c r="B251" s="3" t="s">
        <v>71</v>
      </c>
      <c r="C251" s="3" t="s">
        <v>19</v>
      </c>
      <c r="D251" s="3">
        <f>IFERROR(VLOOKUP(Tablo3[[#This Row],[Personel Adı]],Tablo1[[Ad Soyad]:[Günlük Ücreti]],2,0)*VLOOKUP(Tablo3[[#This Row],[Durum]],Ayarlar!$E:$F,2,0),VLOOKUP(Tablo3[[#This Row],[Personel Adı]],Tablo1[[Ad Soyad]:[Günlük Ücreti]],2,0))</f>
        <v>150</v>
      </c>
    </row>
    <row r="252" spans="1:4" x14ac:dyDescent="0.25">
      <c r="A252" s="15">
        <v>44575</v>
      </c>
      <c r="B252" s="3" t="s">
        <v>7</v>
      </c>
      <c r="C252" s="3" t="s">
        <v>19</v>
      </c>
      <c r="D252" s="3">
        <f>IFERROR(VLOOKUP(Tablo3[[#This Row],[Personel Adı]],Tablo1[[Ad Soyad]:[Günlük Ücreti]],2,0)*VLOOKUP(Tablo3[[#This Row],[Durum]],Ayarlar!$E:$F,2,0),VLOOKUP(Tablo3[[#This Row],[Personel Adı]],Tablo1[[Ad Soyad]:[Günlük Ücreti]],2,0))</f>
        <v>150</v>
      </c>
    </row>
    <row r="253" spans="1:4" x14ac:dyDescent="0.25">
      <c r="A253" s="15">
        <v>44574</v>
      </c>
      <c r="B253" s="3" t="s">
        <v>7</v>
      </c>
      <c r="C253" s="3" t="s">
        <v>19</v>
      </c>
      <c r="D253" s="3">
        <f>IFERROR(VLOOKUP(Tablo3[[#This Row],[Personel Adı]],Tablo1[[Ad Soyad]:[Günlük Ücreti]],2,0)*VLOOKUP(Tablo3[[#This Row],[Durum]],Ayarlar!$E:$F,2,0),VLOOKUP(Tablo3[[#This Row],[Personel Adı]],Tablo1[[Ad Soyad]:[Günlük Ücreti]],2,0))</f>
        <v>150</v>
      </c>
    </row>
    <row r="254" spans="1:4" x14ac:dyDescent="0.25">
      <c r="A254" s="15">
        <v>44573</v>
      </c>
      <c r="B254" s="3" t="s">
        <v>7</v>
      </c>
      <c r="C254" s="3" t="s">
        <v>19</v>
      </c>
      <c r="D254" s="3">
        <f>IFERROR(VLOOKUP(Tablo3[[#This Row],[Personel Adı]],Tablo1[[Ad Soyad]:[Günlük Ücreti]],2,0)*VLOOKUP(Tablo3[[#This Row],[Durum]],Ayarlar!$E:$F,2,0),VLOOKUP(Tablo3[[#This Row],[Personel Adı]],Tablo1[[Ad Soyad]:[Günlük Ücreti]],2,0))</f>
        <v>150</v>
      </c>
    </row>
    <row r="255" spans="1:4" x14ac:dyDescent="0.25">
      <c r="A255" s="15">
        <v>44572</v>
      </c>
      <c r="B255" s="3" t="s">
        <v>7</v>
      </c>
      <c r="C255" s="3" t="s">
        <v>19</v>
      </c>
      <c r="D255" s="3">
        <f>IFERROR(VLOOKUP(Tablo3[[#This Row],[Personel Adı]],Tablo1[[Ad Soyad]:[Günlük Ücreti]],2,0)*VLOOKUP(Tablo3[[#This Row],[Durum]],Ayarlar!$E:$F,2,0),VLOOKUP(Tablo3[[#This Row],[Personel Adı]],Tablo1[[Ad Soyad]:[Günlük Ücreti]],2,0))</f>
        <v>150</v>
      </c>
    </row>
    <row r="256" spans="1:4" x14ac:dyDescent="0.25">
      <c r="A256" s="15">
        <v>44571</v>
      </c>
      <c r="B256" s="3" t="s">
        <v>7</v>
      </c>
      <c r="C256" s="3" t="s">
        <v>19</v>
      </c>
      <c r="D256" s="3">
        <f>IFERROR(VLOOKUP(Tablo3[[#This Row],[Personel Adı]],Tablo1[[Ad Soyad]:[Günlük Ücreti]],2,0)*VLOOKUP(Tablo3[[#This Row],[Durum]],Ayarlar!$E:$F,2,0),VLOOKUP(Tablo3[[#This Row],[Personel Adı]],Tablo1[[Ad Soyad]:[Günlük Ücreti]],2,0))</f>
        <v>150</v>
      </c>
    </row>
    <row r="257" spans="1:4" x14ac:dyDescent="0.25">
      <c r="A257" s="15">
        <v>44570</v>
      </c>
      <c r="B257" s="3" t="s">
        <v>71</v>
      </c>
      <c r="C257" s="3" t="s">
        <v>19</v>
      </c>
      <c r="D257" s="3">
        <f>IFERROR(VLOOKUP(Tablo3[[#This Row],[Personel Adı]],Tablo1[[Ad Soyad]:[Günlük Ücreti]],2,0)*VLOOKUP(Tablo3[[#This Row],[Durum]],Ayarlar!$E:$F,2,0),VLOOKUP(Tablo3[[#This Row],[Personel Adı]],Tablo1[[Ad Soyad]:[Günlük Ücreti]],2,0))</f>
        <v>150</v>
      </c>
    </row>
    <row r="258" spans="1:4" x14ac:dyDescent="0.25">
      <c r="A258" s="15">
        <v>44569</v>
      </c>
      <c r="B258" s="3" t="s">
        <v>71</v>
      </c>
      <c r="C258" s="3" t="s">
        <v>19</v>
      </c>
      <c r="D258" s="3">
        <f>IFERROR(VLOOKUP(Tablo3[[#This Row],[Personel Adı]],Tablo1[[Ad Soyad]:[Günlük Ücreti]],2,0)*VLOOKUP(Tablo3[[#This Row],[Durum]],Ayarlar!$E:$F,2,0),VLOOKUP(Tablo3[[#This Row],[Personel Adı]],Tablo1[[Ad Soyad]:[Günlük Ücreti]],2,0))</f>
        <v>150</v>
      </c>
    </row>
    <row r="259" spans="1:4" x14ac:dyDescent="0.25">
      <c r="A259" s="15">
        <v>44568</v>
      </c>
      <c r="B259" s="3" t="s">
        <v>7</v>
      </c>
      <c r="C259" s="3" t="s">
        <v>19</v>
      </c>
      <c r="D259" s="3">
        <f>IFERROR(VLOOKUP(Tablo3[[#This Row],[Personel Adı]],Tablo1[[Ad Soyad]:[Günlük Ücreti]],2,0)*VLOOKUP(Tablo3[[#This Row],[Durum]],Ayarlar!$E:$F,2,0),VLOOKUP(Tablo3[[#This Row],[Personel Adı]],Tablo1[[Ad Soyad]:[Günlük Ücreti]],2,0))</f>
        <v>150</v>
      </c>
    </row>
    <row r="260" spans="1:4" x14ac:dyDescent="0.25">
      <c r="A260" s="15">
        <v>44567</v>
      </c>
      <c r="B260" s="3" t="s">
        <v>7</v>
      </c>
      <c r="C260" s="3" t="s">
        <v>19</v>
      </c>
      <c r="D260" s="3">
        <f>IFERROR(VLOOKUP(Tablo3[[#This Row],[Personel Adı]],Tablo1[[Ad Soyad]:[Günlük Ücreti]],2,0)*VLOOKUP(Tablo3[[#This Row],[Durum]],Ayarlar!$E:$F,2,0),VLOOKUP(Tablo3[[#This Row],[Personel Adı]],Tablo1[[Ad Soyad]:[Günlük Ücreti]],2,0))</f>
        <v>150</v>
      </c>
    </row>
    <row r="261" spans="1:4" x14ac:dyDescent="0.25">
      <c r="A261" s="15">
        <v>44566</v>
      </c>
      <c r="B261" s="3" t="s">
        <v>7</v>
      </c>
      <c r="C261" s="3" t="s">
        <v>19</v>
      </c>
      <c r="D261" s="3">
        <f>IFERROR(VLOOKUP(Tablo3[[#This Row],[Personel Adı]],Tablo1[[Ad Soyad]:[Günlük Ücreti]],2,0)*VLOOKUP(Tablo3[[#This Row],[Durum]],Ayarlar!$E:$F,2,0),VLOOKUP(Tablo3[[#This Row],[Personel Adı]],Tablo1[[Ad Soyad]:[Günlük Ücreti]],2,0))</f>
        <v>150</v>
      </c>
    </row>
    <row r="262" spans="1:4" x14ac:dyDescent="0.25">
      <c r="A262" s="15">
        <v>44565</v>
      </c>
      <c r="B262" s="3" t="s">
        <v>7</v>
      </c>
      <c r="C262" s="3" t="s">
        <v>19</v>
      </c>
      <c r="D262" s="3">
        <f>IFERROR(VLOOKUP(Tablo3[[#This Row],[Personel Adı]],Tablo1[[Ad Soyad]:[Günlük Ücreti]],2,0)*VLOOKUP(Tablo3[[#This Row],[Durum]],Ayarlar!$E:$F,2,0),VLOOKUP(Tablo3[[#This Row],[Personel Adı]],Tablo1[[Ad Soyad]:[Günlük Ücreti]],2,0))</f>
        <v>150</v>
      </c>
    </row>
    <row r="263" spans="1:4" x14ac:dyDescent="0.25">
      <c r="A263" s="15">
        <v>44564</v>
      </c>
      <c r="B263" s="3" t="s">
        <v>7</v>
      </c>
      <c r="C263" s="3" t="s">
        <v>19</v>
      </c>
      <c r="D263" s="3">
        <f>IFERROR(VLOOKUP(Tablo3[[#This Row],[Personel Adı]],Tablo1[[Ad Soyad]:[Günlük Ücreti]],2,0)*VLOOKUP(Tablo3[[#This Row],[Durum]],Ayarlar!$E:$F,2,0),VLOOKUP(Tablo3[[#This Row],[Personel Adı]],Tablo1[[Ad Soyad]:[Günlük Ücreti]],2,0))</f>
        <v>150</v>
      </c>
    </row>
    <row r="264" spans="1:4" x14ac:dyDescent="0.25">
      <c r="A264" s="15">
        <v>44563</v>
      </c>
      <c r="B264" s="3" t="s">
        <v>71</v>
      </c>
      <c r="C264" s="3" t="s">
        <v>19</v>
      </c>
      <c r="D264" s="3">
        <f>IFERROR(VLOOKUP(Tablo3[[#This Row],[Personel Adı]],Tablo1[[Ad Soyad]:[Günlük Ücreti]],2,0)*VLOOKUP(Tablo3[[#This Row],[Durum]],Ayarlar!$E:$F,2,0),VLOOKUP(Tablo3[[#This Row],[Personel Adı]],Tablo1[[Ad Soyad]:[Günlük Ücreti]],2,0))</f>
        <v>150</v>
      </c>
    </row>
    <row r="265" spans="1:4" x14ac:dyDescent="0.25">
      <c r="A265" s="15">
        <v>44562</v>
      </c>
      <c r="B265" s="3" t="s">
        <v>71</v>
      </c>
      <c r="C265" s="3" t="s">
        <v>19</v>
      </c>
      <c r="D265" s="3">
        <f>IFERROR(VLOOKUP(Tablo3[[#This Row],[Personel Adı]],Tablo1[[Ad Soyad]:[Günlük Ücreti]],2,0)*VLOOKUP(Tablo3[[#This Row],[Durum]],Ayarlar!$E:$F,2,0),VLOOKUP(Tablo3[[#This Row],[Personel Adı]],Tablo1[[Ad Soyad]:[Günlük Ücreti]],2,0))</f>
        <v>150</v>
      </c>
    </row>
    <row r="266" spans="1:4" x14ac:dyDescent="0.25">
      <c r="A266" s="15">
        <v>44592</v>
      </c>
      <c r="B266" s="3" t="s">
        <v>7</v>
      </c>
      <c r="C266" s="3" t="s">
        <v>18</v>
      </c>
      <c r="D266" s="3">
        <f>IFERROR(VLOOKUP(Tablo3[[#This Row],[Personel Adı]],Tablo1[[Ad Soyad]:[Günlük Ücreti]],2,0)*VLOOKUP(Tablo3[[#This Row],[Durum]],Ayarlar!$E:$F,2,0),VLOOKUP(Tablo3[[#This Row],[Personel Adı]],Tablo1[[Ad Soyad]:[Günlük Ücreti]],2,0))</f>
        <v>100</v>
      </c>
    </row>
    <row r="267" spans="1:4" x14ac:dyDescent="0.25">
      <c r="A267" s="15">
        <v>44591</v>
      </c>
      <c r="B267" s="3" t="s">
        <v>71</v>
      </c>
      <c r="C267" s="3" t="s">
        <v>18</v>
      </c>
      <c r="D267" s="3">
        <f>IFERROR(VLOOKUP(Tablo3[[#This Row],[Personel Adı]],Tablo1[[Ad Soyad]:[Günlük Ücreti]],2,0)*VLOOKUP(Tablo3[[#This Row],[Durum]],Ayarlar!$E:$F,2,0),VLOOKUP(Tablo3[[#This Row],[Personel Adı]],Tablo1[[Ad Soyad]:[Günlük Ücreti]],2,0))</f>
        <v>100</v>
      </c>
    </row>
    <row r="268" spans="1:4" x14ac:dyDescent="0.25">
      <c r="A268" s="15">
        <v>44590</v>
      </c>
      <c r="B268" s="3" t="s">
        <v>71</v>
      </c>
      <c r="C268" s="3" t="s">
        <v>18</v>
      </c>
      <c r="D268" s="3">
        <f>IFERROR(VLOOKUP(Tablo3[[#This Row],[Personel Adı]],Tablo1[[Ad Soyad]:[Günlük Ücreti]],2,0)*VLOOKUP(Tablo3[[#This Row],[Durum]],Ayarlar!$E:$F,2,0),VLOOKUP(Tablo3[[#This Row],[Personel Adı]],Tablo1[[Ad Soyad]:[Günlük Ücreti]],2,0))</f>
        <v>100</v>
      </c>
    </row>
    <row r="269" spans="1:4" x14ac:dyDescent="0.25">
      <c r="A269" s="15">
        <v>44589</v>
      </c>
      <c r="B269" s="3" t="s">
        <v>7</v>
      </c>
      <c r="C269" s="3" t="s">
        <v>18</v>
      </c>
      <c r="D269" s="3">
        <f>IFERROR(VLOOKUP(Tablo3[[#This Row],[Personel Adı]],Tablo1[[Ad Soyad]:[Günlük Ücreti]],2,0)*VLOOKUP(Tablo3[[#This Row],[Durum]],Ayarlar!$E:$F,2,0),VLOOKUP(Tablo3[[#This Row],[Personel Adı]],Tablo1[[Ad Soyad]:[Günlük Ücreti]],2,0))</f>
        <v>100</v>
      </c>
    </row>
    <row r="270" spans="1:4" x14ac:dyDescent="0.25">
      <c r="A270" s="15">
        <v>44588</v>
      </c>
      <c r="B270" s="3" t="s">
        <v>7</v>
      </c>
      <c r="C270" s="3" t="s">
        <v>18</v>
      </c>
      <c r="D270" s="3">
        <f>IFERROR(VLOOKUP(Tablo3[[#This Row],[Personel Adı]],Tablo1[[Ad Soyad]:[Günlük Ücreti]],2,0)*VLOOKUP(Tablo3[[#This Row],[Durum]],Ayarlar!$E:$F,2,0),VLOOKUP(Tablo3[[#This Row],[Personel Adı]],Tablo1[[Ad Soyad]:[Günlük Ücreti]],2,0))</f>
        <v>100</v>
      </c>
    </row>
    <row r="271" spans="1:4" x14ac:dyDescent="0.25">
      <c r="A271" s="15">
        <v>44587</v>
      </c>
      <c r="B271" s="3" t="s">
        <v>7</v>
      </c>
      <c r="C271" s="3" t="s">
        <v>18</v>
      </c>
      <c r="D271" s="3">
        <f>IFERROR(VLOOKUP(Tablo3[[#This Row],[Personel Adı]],Tablo1[[Ad Soyad]:[Günlük Ücreti]],2,0)*VLOOKUP(Tablo3[[#This Row],[Durum]],Ayarlar!$E:$F,2,0),VLOOKUP(Tablo3[[#This Row],[Personel Adı]],Tablo1[[Ad Soyad]:[Günlük Ücreti]],2,0))</f>
        <v>100</v>
      </c>
    </row>
    <row r="272" spans="1:4" x14ac:dyDescent="0.25">
      <c r="A272" s="15">
        <v>44586</v>
      </c>
      <c r="B272" s="3" t="s">
        <v>7</v>
      </c>
      <c r="C272" s="3" t="s">
        <v>18</v>
      </c>
      <c r="D272" s="3">
        <f>IFERROR(VLOOKUP(Tablo3[[#This Row],[Personel Adı]],Tablo1[[Ad Soyad]:[Günlük Ücreti]],2,0)*VLOOKUP(Tablo3[[#This Row],[Durum]],Ayarlar!$E:$F,2,0),VLOOKUP(Tablo3[[#This Row],[Personel Adı]],Tablo1[[Ad Soyad]:[Günlük Ücreti]],2,0))</f>
        <v>100</v>
      </c>
    </row>
    <row r="273" spans="1:4" x14ac:dyDescent="0.25">
      <c r="A273" s="15">
        <v>44585</v>
      </c>
      <c r="B273" s="3" t="s">
        <v>7</v>
      </c>
      <c r="C273" s="3" t="s">
        <v>18</v>
      </c>
      <c r="D273" s="3">
        <f>IFERROR(VLOOKUP(Tablo3[[#This Row],[Personel Adı]],Tablo1[[Ad Soyad]:[Günlük Ücreti]],2,0)*VLOOKUP(Tablo3[[#This Row],[Durum]],Ayarlar!$E:$F,2,0),VLOOKUP(Tablo3[[#This Row],[Personel Adı]],Tablo1[[Ad Soyad]:[Günlük Ücreti]],2,0))</f>
        <v>100</v>
      </c>
    </row>
    <row r="274" spans="1:4" x14ac:dyDescent="0.25">
      <c r="A274" s="15">
        <v>44584</v>
      </c>
      <c r="B274" s="3" t="s">
        <v>71</v>
      </c>
      <c r="C274" s="3" t="s">
        <v>18</v>
      </c>
      <c r="D274" s="3">
        <f>IFERROR(VLOOKUP(Tablo3[[#This Row],[Personel Adı]],Tablo1[[Ad Soyad]:[Günlük Ücreti]],2,0)*VLOOKUP(Tablo3[[#This Row],[Durum]],Ayarlar!$E:$F,2,0),VLOOKUP(Tablo3[[#This Row],[Personel Adı]],Tablo1[[Ad Soyad]:[Günlük Ücreti]],2,0))</f>
        <v>100</v>
      </c>
    </row>
    <row r="275" spans="1:4" x14ac:dyDescent="0.25">
      <c r="A275" s="15">
        <v>44583</v>
      </c>
      <c r="B275" s="3" t="s">
        <v>71</v>
      </c>
      <c r="C275" s="3" t="s">
        <v>18</v>
      </c>
      <c r="D275" s="3">
        <f>IFERROR(VLOOKUP(Tablo3[[#This Row],[Personel Adı]],Tablo1[[Ad Soyad]:[Günlük Ücreti]],2,0)*VLOOKUP(Tablo3[[#This Row],[Durum]],Ayarlar!$E:$F,2,0),VLOOKUP(Tablo3[[#This Row],[Personel Adı]],Tablo1[[Ad Soyad]:[Günlük Ücreti]],2,0))</f>
        <v>100</v>
      </c>
    </row>
    <row r="276" spans="1:4" x14ac:dyDescent="0.25">
      <c r="A276" s="15">
        <v>44582</v>
      </c>
      <c r="B276" s="3" t="s">
        <v>7</v>
      </c>
      <c r="C276" s="3" t="s">
        <v>18</v>
      </c>
      <c r="D276" s="3">
        <f>IFERROR(VLOOKUP(Tablo3[[#This Row],[Personel Adı]],Tablo1[[Ad Soyad]:[Günlük Ücreti]],2,0)*VLOOKUP(Tablo3[[#This Row],[Durum]],Ayarlar!$E:$F,2,0),VLOOKUP(Tablo3[[#This Row],[Personel Adı]],Tablo1[[Ad Soyad]:[Günlük Ücreti]],2,0))</f>
        <v>100</v>
      </c>
    </row>
    <row r="277" spans="1:4" x14ac:dyDescent="0.25">
      <c r="A277" s="15">
        <v>44581</v>
      </c>
      <c r="B277" s="3" t="s">
        <v>7</v>
      </c>
      <c r="C277" s="3" t="s">
        <v>18</v>
      </c>
      <c r="D277" s="3">
        <f>IFERROR(VLOOKUP(Tablo3[[#This Row],[Personel Adı]],Tablo1[[Ad Soyad]:[Günlük Ücreti]],2,0)*VLOOKUP(Tablo3[[#This Row],[Durum]],Ayarlar!$E:$F,2,0),VLOOKUP(Tablo3[[#This Row],[Personel Adı]],Tablo1[[Ad Soyad]:[Günlük Ücreti]],2,0))</f>
        <v>100</v>
      </c>
    </row>
    <row r="278" spans="1:4" x14ac:dyDescent="0.25">
      <c r="A278" s="15">
        <v>44580</v>
      </c>
      <c r="B278" s="3" t="s">
        <v>7</v>
      </c>
      <c r="C278" s="3" t="s">
        <v>18</v>
      </c>
      <c r="D278" s="3">
        <f>IFERROR(VLOOKUP(Tablo3[[#This Row],[Personel Adı]],Tablo1[[Ad Soyad]:[Günlük Ücreti]],2,0)*VLOOKUP(Tablo3[[#This Row],[Durum]],Ayarlar!$E:$F,2,0),VLOOKUP(Tablo3[[#This Row],[Personel Adı]],Tablo1[[Ad Soyad]:[Günlük Ücreti]],2,0))</f>
        <v>100</v>
      </c>
    </row>
    <row r="279" spans="1:4" x14ac:dyDescent="0.25">
      <c r="A279" s="15">
        <v>44579</v>
      </c>
      <c r="B279" s="3" t="s">
        <v>7</v>
      </c>
      <c r="C279" s="3" t="s">
        <v>18</v>
      </c>
      <c r="D279" s="3">
        <f>IFERROR(VLOOKUP(Tablo3[[#This Row],[Personel Adı]],Tablo1[[Ad Soyad]:[Günlük Ücreti]],2,0)*VLOOKUP(Tablo3[[#This Row],[Durum]],Ayarlar!$E:$F,2,0),VLOOKUP(Tablo3[[#This Row],[Personel Adı]],Tablo1[[Ad Soyad]:[Günlük Ücreti]],2,0))</f>
        <v>100</v>
      </c>
    </row>
    <row r="280" spans="1:4" x14ac:dyDescent="0.25">
      <c r="A280" s="15">
        <v>44578</v>
      </c>
      <c r="B280" s="3" t="s">
        <v>7</v>
      </c>
      <c r="C280" s="3" t="s">
        <v>18</v>
      </c>
      <c r="D280" s="3">
        <f>IFERROR(VLOOKUP(Tablo3[[#This Row],[Personel Adı]],Tablo1[[Ad Soyad]:[Günlük Ücreti]],2,0)*VLOOKUP(Tablo3[[#This Row],[Durum]],Ayarlar!$E:$F,2,0),VLOOKUP(Tablo3[[#This Row],[Personel Adı]],Tablo1[[Ad Soyad]:[Günlük Ücreti]],2,0))</f>
        <v>100</v>
      </c>
    </row>
    <row r="281" spans="1:4" x14ac:dyDescent="0.25">
      <c r="A281" s="15">
        <v>44577</v>
      </c>
      <c r="B281" s="3" t="s">
        <v>71</v>
      </c>
      <c r="C281" s="3" t="s">
        <v>18</v>
      </c>
      <c r="D281" s="3">
        <f>IFERROR(VLOOKUP(Tablo3[[#This Row],[Personel Adı]],Tablo1[[Ad Soyad]:[Günlük Ücreti]],2,0)*VLOOKUP(Tablo3[[#This Row],[Durum]],Ayarlar!$E:$F,2,0),VLOOKUP(Tablo3[[#This Row],[Personel Adı]],Tablo1[[Ad Soyad]:[Günlük Ücreti]],2,0))</f>
        <v>100</v>
      </c>
    </row>
    <row r="282" spans="1:4" x14ac:dyDescent="0.25">
      <c r="A282" s="15">
        <v>44576</v>
      </c>
      <c r="B282" s="3" t="s">
        <v>71</v>
      </c>
      <c r="C282" s="3" t="s">
        <v>18</v>
      </c>
      <c r="D282" s="3">
        <f>IFERROR(VLOOKUP(Tablo3[[#This Row],[Personel Adı]],Tablo1[[Ad Soyad]:[Günlük Ücreti]],2,0)*VLOOKUP(Tablo3[[#This Row],[Durum]],Ayarlar!$E:$F,2,0),VLOOKUP(Tablo3[[#This Row],[Personel Adı]],Tablo1[[Ad Soyad]:[Günlük Ücreti]],2,0))</f>
        <v>100</v>
      </c>
    </row>
    <row r="283" spans="1:4" x14ac:dyDescent="0.25">
      <c r="A283" s="15">
        <v>44575</v>
      </c>
      <c r="B283" s="3" t="s">
        <v>7</v>
      </c>
      <c r="C283" s="3" t="s">
        <v>18</v>
      </c>
      <c r="D283" s="3">
        <f>IFERROR(VLOOKUP(Tablo3[[#This Row],[Personel Adı]],Tablo1[[Ad Soyad]:[Günlük Ücreti]],2,0)*VLOOKUP(Tablo3[[#This Row],[Durum]],Ayarlar!$E:$F,2,0),VLOOKUP(Tablo3[[#This Row],[Personel Adı]],Tablo1[[Ad Soyad]:[Günlük Ücreti]],2,0))</f>
        <v>100</v>
      </c>
    </row>
    <row r="284" spans="1:4" x14ac:dyDescent="0.25">
      <c r="A284" s="15">
        <v>44574</v>
      </c>
      <c r="B284" s="3" t="s">
        <v>7</v>
      </c>
      <c r="C284" s="3" t="s">
        <v>18</v>
      </c>
      <c r="D284" s="3">
        <f>IFERROR(VLOOKUP(Tablo3[[#This Row],[Personel Adı]],Tablo1[[Ad Soyad]:[Günlük Ücreti]],2,0)*VLOOKUP(Tablo3[[#This Row],[Durum]],Ayarlar!$E:$F,2,0),VLOOKUP(Tablo3[[#This Row],[Personel Adı]],Tablo1[[Ad Soyad]:[Günlük Ücreti]],2,0))</f>
        <v>100</v>
      </c>
    </row>
    <row r="285" spans="1:4" x14ac:dyDescent="0.25">
      <c r="A285" s="15">
        <v>44573</v>
      </c>
      <c r="B285" s="3" t="s">
        <v>7</v>
      </c>
      <c r="C285" s="3" t="s">
        <v>18</v>
      </c>
      <c r="D285" s="3">
        <f>IFERROR(VLOOKUP(Tablo3[[#This Row],[Personel Adı]],Tablo1[[Ad Soyad]:[Günlük Ücreti]],2,0)*VLOOKUP(Tablo3[[#This Row],[Durum]],Ayarlar!$E:$F,2,0),VLOOKUP(Tablo3[[#This Row],[Personel Adı]],Tablo1[[Ad Soyad]:[Günlük Ücreti]],2,0))</f>
        <v>100</v>
      </c>
    </row>
    <row r="286" spans="1:4" x14ac:dyDescent="0.25">
      <c r="A286" s="15">
        <v>44572</v>
      </c>
      <c r="B286" s="3" t="s">
        <v>7</v>
      </c>
      <c r="C286" s="3" t="s">
        <v>18</v>
      </c>
      <c r="D286" s="3">
        <f>IFERROR(VLOOKUP(Tablo3[[#This Row],[Personel Adı]],Tablo1[[Ad Soyad]:[Günlük Ücreti]],2,0)*VLOOKUP(Tablo3[[#This Row],[Durum]],Ayarlar!$E:$F,2,0),VLOOKUP(Tablo3[[#This Row],[Personel Adı]],Tablo1[[Ad Soyad]:[Günlük Ücreti]],2,0))</f>
        <v>100</v>
      </c>
    </row>
    <row r="287" spans="1:4" x14ac:dyDescent="0.25">
      <c r="A287" s="15">
        <v>44571</v>
      </c>
      <c r="B287" s="3" t="s">
        <v>7</v>
      </c>
      <c r="C287" s="3" t="s">
        <v>18</v>
      </c>
      <c r="D287" s="3">
        <f>IFERROR(VLOOKUP(Tablo3[[#This Row],[Personel Adı]],Tablo1[[Ad Soyad]:[Günlük Ücreti]],2,0)*VLOOKUP(Tablo3[[#This Row],[Durum]],Ayarlar!$E:$F,2,0),VLOOKUP(Tablo3[[#This Row],[Personel Adı]],Tablo1[[Ad Soyad]:[Günlük Ücreti]],2,0))</f>
        <v>100</v>
      </c>
    </row>
    <row r="288" spans="1:4" x14ac:dyDescent="0.25">
      <c r="A288" s="15">
        <v>44570</v>
      </c>
      <c r="B288" s="3" t="s">
        <v>71</v>
      </c>
      <c r="C288" s="3" t="s">
        <v>18</v>
      </c>
      <c r="D288" s="3">
        <f>IFERROR(VLOOKUP(Tablo3[[#This Row],[Personel Adı]],Tablo1[[Ad Soyad]:[Günlük Ücreti]],2,0)*VLOOKUP(Tablo3[[#This Row],[Durum]],Ayarlar!$E:$F,2,0),VLOOKUP(Tablo3[[#This Row],[Personel Adı]],Tablo1[[Ad Soyad]:[Günlük Ücreti]],2,0))</f>
        <v>100</v>
      </c>
    </row>
    <row r="289" spans="1:4" x14ac:dyDescent="0.25">
      <c r="A289" s="15">
        <v>44569</v>
      </c>
      <c r="B289" s="3" t="s">
        <v>71</v>
      </c>
      <c r="C289" s="3" t="s">
        <v>18</v>
      </c>
      <c r="D289" s="3">
        <f>IFERROR(VLOOKUP(Tablo3[[#This Row],[Personel Adı]],Tablo1[[Ad Soyad]:[Günlük Ücreti]],2,0)*VLOOKUP(Tablo3[[#This Row],[Durum]],Ayarlar!$E:$F,2,0),VLOOKUP(Tablo3[[#This Row],[Personel Adı]],Tablo1[[Ad Soyad]:[Günlük Ücreti]],2,0))</f>
        <v>100</v>
      </c>
    </row>
    <row r="290" spans="1:4" x14ac:dyDescent="0.25">
      <c r="A290" s="15">
        <v>44568</v>
      </c>
      <c r="B290" s="3" t="s">
        <v>7</v>
      </c>
      <c r="C290" s="3" t="s">
        <v>18</v>
      </c>
      <c r="D290" s="3">
        <f>IFERROR(VLOOKUP(Tablo3[[#This Row],[Personel Adı]],Tablo1[[Ad Soyad]:[Günlük Ücreti]],2,0)*VLOOKUP(Tablo3[[#This Row],[Durum]],Ayarlar!$E:$F,2,0),VLOOKUP(Tablo3[[#This Row],[Personel Adı]],Tablo1[[Ad Soyad]:[Günlük Ücreti]],2,0))</f>
        <v>100</v>
      </c>
    </row>
    <row r="291" spans="1:4" x14ac:dyDescent="0.25">
      <c r="A291" s="15">
        <v>44567</v>
      </c>
      <c r="B291" s="3" t="s">
        <v>7</v>
      </c>
      <c r="C291" s="3" t="s">
        <v>18</v>
      </c>
      <c r="D291" s="3">
        <f>IFERROR(VLOOKUP(Tablo3[[#This Row],[Personel Adı]],Tablo1[[Ad Soyad]:[Günlük Ücreti]],2,0)*VLOOKUP(Tablo3[[#This Row],[Durum]],Ayarlar!$E:$F,2,0),VLOOKUP(Tablo3[[#This Row],[Personel Adı]],Tablo1[[Ad Soyad]:[Günlük Ücreti]],2,0))</f>
        <v>100</v>
      </c>
    </row>
    <row r="292" spans="1:4" x14ac:dyDescent="0.25">
      <c r="A292" s="15">
        <v>44566</v>
      </c>
      <c r="B292" s="3" t="s">
        <v>7</v>
      </c>
      <c r="C292" s="3" t="s">
        <v>18</v>
      </c>
      <c r="D292" s="3">
        <f>IFERROR(VLOOKUP(Tablo3[[#This Row],[Personel Adı]],Tablo1[[Ad Soyad]:[Günlük Ücreti]],2,0)*VLOOKUP(Tablo3[[#This Row],[Durum]],Ayarlar!$E:$F,2,0),VLOOKUP(Tablo3[[#This Row],[Personel Adı]],Tablo1[[Ad Soyad]:[Günlük Ücreti]],2,0))</f>
        <v>100</v>
      </c>
    </row>
    <row r="293" spans="1:4" x14ac:dyDescent="0.25">
      <c r="A293" s="15">
        <v>44565</v>
      </c>
      <c r="B293" s="3" t="s">
        <v>7</v>
      </c>
      <c r="C293" s="3" t="s">
        <v>18</v>
      </c>
      <c r="D293" s="3">
        <f>IFERROR(VLOOKUP(Tablo3[[#This Row],[Personel Adı]],Tablo1[[Ad Soyad]:[Günlük Ücreti]],2,0)*VLOOKUP(Tablo3[[#This Row],[Durum]],Ayarlar!$E:$F,2,0),VLOOKUP(Tablo3[[#This Row],[Personel Adı]],Tablo1[[Ad Soyad]:[Günlük Ücreti]],2,0))</f>
        <v>100</v>
      </c>
    </row>
    <row r="294" spans="1:4" x14ac:dyDescent="0.25">
      <c r="A294" s="15">
        <v>44564</v>
      </c>
      <c r="B294" s="3" t="s">
        <v>7</v>
      </c>
      <c r="C294" s="3" t="s">
        <v>18</v>
      </c>
      <c r="D294" s="3">
        <f>IFERROR(VLOOKUP(Tablo3[[#This Row],[Personel Adı]],Tablo1[[Ad Soyad]:[Günlük Ücreti]],2,0)*VLOOKUP(Tablo3[[#This Row],[Durum]],Ayarlar!$E:$F,2,0),VLOOKUP(Tablo3[[#This Row],[Personel Adı]],Tablo1[[Ad Soyad]:[Günlük Ücreti]],2,0))</f>
        <v>100</v>
      </c>
    </row>
    <row r="295" spans="1:4" x14ac:dyDescent="0.25">
      <c r="A295" s="15">
        <v>44563</v>
      </c>
      <c r="B295" s="3" t="s">
        <v>71</v>
      </c>
      <c r="C295" s="3" t="s">
        <v>18</v>
      </c>
      <c r="D295" s="3">
        <f>IFERROR(VLOOKUP(Tablo3[[#This Row],[Personel Adı]],Tablo1[[Ad Soyad]:[Günlük Ücreti]],2,0)*VLOOKUP(Tablo3[[#This Row],[Durum]],Ayarlar!$E:$F,2,0),VLOOKUP(Tablo3[[#This Row],[Personel Adı]],Tablo1[[Ad Soyad]:[Günlük Ücreti]],2,0))</f>
        <v>100</v>
      </c>
    </row>
    <row r="296" spans="1:4" x14ac:dyDescent="0.25">
      <c r="A296" s="15">
        <v>44562</v>
      </c>
      <c r="B296" s="3" t="s">
        <v>71</v>
      </c>
      <c r="C296" s="3" t="s">
        <v>18</v>
      </c>
      <c r="D296" s="3">
        <f>IFERROR(VLOOKUP(Tablo3[[#This Row],[Personel Adı]],Tablo1[[Ad Soyad]:[Günlük Ücreti]],2,0)*VLOOKUP(Tablo3[[#This Row],[Durum]],Ayarlar!$E:$F,2,0),VLOOKUP(Tablo3[[#This Row],[Personel Adı]],Tablo1[[Ad Soyad]:[Günlük Ücreti]],2,0))</f>
        <v>100</v>
      </c>
    </row>
    <row r="297" spans="1:4" x14ac:dyDescent="0.25">
      <c r="A297" s="15"/>
      <c r="D297" s="3" t="e">
        <f>IFERROR(VLOOKUP(Tablo3[[#This Row],[Personel Adı]],Tablo1[[Ad Soyad]:[Günlük Ücreti]],2,0)*VLOOKUP(Tablo3[[#This Row],[Durum]],Ayarlar!$E:$F,2,0),VLOOKUP(Tablo3[[#This Row],[Personel Adı]],Tablo1[[Ad Soyad]:[Günlük Ücreti]],2,0))</f>
        <v>#N/A</v>
      </c>
    </row>
    <row r="298" spans="1:4" x14ac:dyDescent="0.25">
      <c r="A298" s="15"/>
    </row>
    <row r="299" spans="1:4" x14ac:dyDescent="0.25">
      <c r="A299" s="15"/>
    </row>
    <row r="300" spans="1:4" x14ac:dyDescent="0.25">
      <c r="A300" s="15"/>
    </row>
    <row r="301" spans="1:4" x14ac:dyDescent="0.25">
      <c r="A301" s="15"/>
    </row>
    <row r="302" spans="1:4" x14ac:dyDescent="0.25">
      <c r="A302" s="15"/>
    </row>
    <row r="303" spans="1:4" x14ac:dyDescent="0.25">
      <c r="A303" s="15"/>
    </row>
    <row r="304" spans="1:4" x14ac:dyDescent="0.25">
      <c r="A304" s="15"/>
    </row>
    <row r="305" spans="1:1" x14ac:dyDescent="0.25">
      <c r="A305" s="15"/>
    </row>
    <row r="306" spans="1:1" x14ac:dyDescent="0.25">
      <c r="A306" s="15"/>
    </row>
    <row r="307" spans="1:1" x14ac:dyDescent="0.25">
      <c r="A307" s="15"/>
    </row>
    <row r="308" spans="1:1" x14ac:dyDescent="0.25">
      <c r="A308" s="15"/>
    </row>
    <row r="309" spans="1:1" x14ac:dyDescent="0.25">
      <c r="A309" s="15"/>
    </row>
    <row r="310" spans="1:1" x14ac:dyDescent="0.25">
      <c r="A310" s="15"/>
    </row>
    <row r="311" spans="1:1" x14ac:dyDescent="0.25">
      <c r="A311" s="15"/>
    </row>
    <row r="312" spans="1:1" x14ac:dyDescent="0.25">
      <c r="A312" s="15"/>
    </row>
    <row r="313" spans="1:1" x14ac:dyDescent="0.25">
      <c r="A313" s="15"/>
    </row>
    <row r="314" spans="1:1" x14ac:dyDescent="0.25">
      <c r="A314" s="15"/>
    </row>
    <row r="315" spans="1:1" x14ac:dyDescent="0.25">
      <c r="A315" s="15"/>
    </row>
    <row r="316" spans="1:1" x14ac:dyDescent="0.25">
      <c r="A316" s="15"/>
    </row>
    <row r="317" spans="1:1" x14ac:dyDescent="0.25">
      <c r="A317" s="15"/>
    </row>
    <row r="318" spans="1:1" x14ac:dyDescent="0.25">
      <c r="A318" s="15"/>
    </row>
    <row r="319" spans="1:1" x14ac:dyDescent="0.25">
      <c r="A319" s="15"/>
    </row>
    <row r="320" spans="1:1" x14ac:dyDescent="0.25">
      <c r="A320" s="15"/>
    </row>
    <row r="321" spans="1:1" x14ac:dyDescent="0.25">
      <c r="A321" s="15"/>
    </row>
    <row r="322" spans="1:1" x14ac:dyDescent="0.25">
      <c r="A322" s="15"/>
    </row>
    <row r="323" spans="1:1" x14ac:dyDescent="0.25">
      <c r="A323" s="15"/>
    </row>
    <row r="324" spans="1:1" x14ac:dyDescent="0.25">
      <c r="A324" s="15"/>
    </row>
    <row r="325" spans="1:1" x14ac:dyDescent="0.25">
      <c r="A325" s="15"/>
    </row>
    <row r="326" spans="1:1" x14ac:dyDescent="0.25">
      <c r="A326" s="15"/>
    </row>
    <row r="327" spans="1:1" x14ac:dyDescent="0.25">
      <c r="A327" s="15"/>
    </row>
    <row r="328" spans="1:1" x14ac:dyDescent="0.25">
      <c r="A328" s="15"/>
    </row>
    <row r="329" spans="1:1" x14ac:dyDescent="0.25">
      <c r="A329" s="15"/>
    </row>
    <row r="330" spans="1:1" x14ac:dyDescent="0.25">
      <c r="A330" s="15"/>
    </row>
    <row r="331" spans="1:1" x14ac:dyDescent="0.25">
      <c r="A331" s="15"/>
    </row>
    <row r="332" spans="1:1" x14ac:dyDescent="0.25">
      <c r="A332" s="15"/>
    </row>
    <row r="333" spans="1:1" x14ac:dyDescent="0.25">
      <c r="A333" s="15"/>
    </row>
    <row r="334" spans="1:1" x14ac:dyDescent="0.25">
      <c r="A334" s="15"/>
    </row>
    <row r="335" spans="1:1" x14ac:dyDescent="0.25">
      <c r="A335" s="15"/>
    </row>
    <row r="336" spans="1:1" x14ac:dyDescent="0.25">
      <c r="A336" s="15"/>
    </row>
    <row r="337" spans="1:1" x14ac:dyDescent="0.25">
      <c r="A337" s="15"/>
    </row>
    <row r="338" spans="1:1" x14ac:dyDescent="0.25">
      <c r="A338" s="15"/>
    </row>
    <row r="339" spans="1:1" x14ac:dyDescent="0.25">
      <c r="A339" s="15"/>
    </row>
    <row r="340" spans="1:1" x14ac:dyDescent="0.25">
      <c r="A340" s="15"/>
    </row>
    <row r="341" spans="1:1" x14ac:dyDescent="0.25">
      <c r="A341" s="15"/>
    </row>
    <row r="342" spans="1:1" x14ac:dyDescent="0.25">
      <c r="A342" s="15"/>
    </row>
    <row r="343" spans="1:1" x14ac:dyDescent="0.25">
      <c r="A343" s="15"/>
    </row>
    <row r="344" spans="1:1" x14ac:dyDescent="0.25">
      <c r="A344" s="15"/>
    </row>
    <row r="345" spans="1:1" x14ac:dyDescent="0.25">
      <c r="A345" s="15"/>
    </row>
    <row r="346" spans="1:1" x14ac:dyDescent="0.25">
      <c r="A346" s="15"/>
    </row>
    <row r="347" spans="1:1" x14ac:dyDescent="0.25">
      <c r="A347" s="15"/>
    </row>
    <row r="348" spans="1:1" x14ac:dyDescent="0.25">
      <c r="A348" s="15"/>
    </row>
    <row r="349" spans="1:1" x14ac:dyDescent="0.25">
      <c r="A349" s="15"/>
    </row>
    <row r="350" spans="1:1" x14ac:dyDescent="0.25">
      <c r="A350" s="15"/>
    </row>
    <row r="351" spans="1:1" x14ac:dyDescent="0.25">
      <c r="A351" s="15"/>
    </row>
    <row r="352" spans="1:1" x14ac:dyDescent="0.25">
      <c r="A352" s="15"/>
    </row>
    <row r="353" spans="1:1" x14ac:dyDescent="0.25">
      <c r="A353" s="15"/>
    </row>
    <row r="354" spans="1:1" x14ac:dyDescent="0.25">
      <c r="A354" s="15"/>
    </row>
    <row r="355" spans="1:1" x14ac:dyDescent="0.25">
      <c r="A355" s="15"/>
    </row>
    <row r="356" spans="1:1" x14ac:dyDescent="0.25">
      <c r="A356" s="15"/>
    </row>
    <row r="357" spans="1:1" x14ac:dyDescent="0.25">
      <c r="A357" s="15"/>
    </row>
    <row r="358" spans="1:1" x14ac:dyDescent="0.25">
      <c r="A358" s="15"/>
    </row>
    <row r="359" spans="1:1" x14ac:dyDescent="0.25">
      <c r="A359" s="15"/>
    </row>
    <row r="360" spans="1:1" x14ac:dyDescent="0.25">
      <c r="A360" s="15"/>
    </row>
    <row r="361" spans="1:1" x14ac:dyDescent="0.25">
      <c r="A361" s="15"/>
    </row>
    <row r="362" spans="1:1" x14ac:dyDescent="0.25">
      <c r="A362" s="15"/>
    </row>
    <row r="363" spans="1:1" x14ac:dyDescent="0.25">
      <c r="A363" s="15"/>
    </row>
    <row r="364" spans="1:1" x14ac:dyDescent="0.25">
      <c r="A364" s="15"/>
    </row>
    <row r="365" spans="1:1" x14ac:dyDescent="0.25">
      <c r="A365" s="15"/>
    </row>
    <row r="366" spans="1:1" x14ac:dyDescent="0.25">
      <c r="A366" s="15"/>
    </row>
    <row r="367" spans="1:1" x14ac:dyDescent="0.25">
      <c r="A367" s="15"/>
    </row>
    <row r="368" spans="1:1" x14ac:dyDescent="0.25">
      <c r="A368" s="15"/>
    </row>
    <row r="369" spans="1:1" x14ac:dyDescent="0.25">
      <c r="A369" s="15"/>
    </row>
    <row r="370" spans="1:1" x14ac:dyDescent="0.25">
      <c r="A370" s="15"/>
    </row>
    <row r="371" spans="1:1" x14ac:dyDescent="0.25">
      <c r="A371" s="15"/>
    </row>
    <row r="372" spans="1:1" x14ac:dyDescent="0.25">
      <c r="A372" s="15"/>
    </row>
    <row r="373" spans="1:1" x14ac:dyDescent="0.25">
      <c r="A373" s="15"/>
    </row>
    <row r="374" spans="1:1" x14ac:dyDescent="0.25">
      <c r="A374" s="15"/>
    </row>
    <row r="375" spans="1:1" x14ac:dyDescent="0.25">
      <c r="A375" s="15"/>
    </row>
    <row r="376" spans="1:1" x14ac:dyDescent="0.25">
      <c r="A376" s="15"/>
    </row>
    <row r="377" spans="1:1" x14ac:dyDescent="0.25">
      <c r="A377" s="15"/>
    </row>
    <row r="378" spans="1:1" x14ac:dyDescent="0.25">
      <c r="A378" s="15"/>
    </row>
    <row r="379" spans="1:1" x14ac:dyDescent="0.25">
      <c r="A379" s="15"/>
    </row>
    <row r="380" spans="1:1" x14ac:dyDescent="0.25">
      <c r="A380" s="15"/>
    </row>
    <row r="381" spans="1:1" x14ac:dyDescent="0.25">
      <c r="A381" s="15"/>
    </row>
    <row r="382" spans="1:1" x14ac:dyDescent="0.25">
      <c r="A382" s="15"/>
    </row>
    <row r="383" spans="1:1" x14ac:dyDescent="0.25">
      <c r="A383" s="15"/>
    </row>
    <row r="384" spans="1:1" x14ac:dyDescent="0.25">
      <c r="A384" s="15"/>
    </row>
    <row r="385" spans="1:1" x14ac:dyDescent="0.25">
      <c r="A385" s="15"/>
    </row>
    <row r="386" spans="1:1" x14ac:dyDescent="0.25">
      <c r="A386" s="15"/>
    </row>
    <row r="387" spans="1:1" x14ac:dyDescent="0.25">
      <c r="A387" s="15"/>
    </row>
    <row r="388" spans="1:1" x14ac:dyDescent="0.25">
      <c r="A388" s="15"/>
    </row>
    <row r="389" spans="1:1" x14ac:dyDescent="0.25">
      <c r="A389" s="15"/>
    </row>
    <row r="390" spans="1:1" x14ac:dyDescent="0.25">
      <c r="A390" s="15"/>
    </row>
    <row r="391" spans="1:1" x14ac:dyDescent="0.25">
      <c r="A391" s="15"/>
    </row>
    <row r="392" spans="1:1" x14ac:dyDescent="0.25">
      <c r="A392" s="15"/>
    </row>
    <row r="393" spans="1:1" x14ac:dyDescent="0.25">
      <c r="A393" s="15"/>
    </row>
    <row r="394" spans="1:1" x14ac:dyDescent="0.25">
      <c r="A394" s="15"/>
    </row>
    <row r="395" spans="1:1" x14ac:dyDescent="0.25">
      <c r="A395" s="15"/>
    </row>
    <row r="396" spans="1:1" x14ac:dyDescent="0.25">
      <c r="A396" s="15"/>
    </row>
    <row r="397" spans="1:1" x14ac:dyDescent="0.25">
      <c r="A397" s="15"/>
    </row>
    <row r="398" spans="1:1" x14ac:dyDescent="0.25">
      <c r="A398" s="15"/>
    </row>
    <row r="399" spans="1:1" x14ac:dyDescent="0.25">
      <c r="A399" s="15"/>
    </row>
    <row r="400" spans="1:1" x14ac:dyDescent="0.25">
      <c r="A400" s="15"/>
    </row>
    <row r="401" spans="1:1" x14ac:dyDescent="0.25">
      <c r="A401" s="15"/>
    </row>
    <row r="402" spans="1:1" x14ac:dyDescent="0.25">
      <c r="A402" s="15"/>
    </row>
    <row r="403" spans="1:1" x14ac:dyDescent="0.25">
      <c r="A403" s="15"/>
    </row>
    <row r="404" spans="1:1" x14ac:dyDescent="0.25">
      <c r="A404" s="15"/>
    </row>
    <row r="405" spans="1:1" x14ac:dyDescent="0.25">
      <c r="A405" s="15"/>
    </row>
    <row r="406" spans="1:1" x14ac:dyDescent="0.25">
      <c r="A406" s="15"/>
    </row>
    <row r="407" spans="1:1" x14ac:dyDescent="0.25">
      <c r="A407" s="15"/>
    </row>
    <row r="408" spans="1:1" x14ac:dyDescent="0.25">
      <c r="A408" s="15"/>
    </row>
    <row r="409" spans="1:1" x14ac:dyDescent="0.25">
      <c r="A409" s="15"/>
    </row>
    <row r="410" spans="1:1" x14ac:dyDescent="0.25">
      <c r="A410" s="15"/>
    </row>
    <row r="411" spans="1:1" x14ac:dyDescent="0.25">
      <c r="A411" s="15"/>
    </row>
    <row r="412" spans="1:1" x14ac:dyDescent="0.25">
      <c r="A412" s="15"/>
    </row>
    <row r="413" spans="1:1" x14ac:dyDescent="0.25">
      <c r="A413" s="15"/>
    </row>
    <row r="414" spans="1:1" x14ac:dyDescent="0.25">
      <c r="A414" s="15"/>
    </row>
    <row r="415" spans="1:1" x14ac:dyDescent="0.25">
      <c r="A415" s="15"/>
    </row>
    <row r="416" spans="1:1" x14ac:dyDescent="0.25">
      <c r="A416" s="15"/>
    </row>
    <row r="417" spans="1:1" x14ac:dyDescent="0.25">
      <c r="A417" s="15"/>
    </row>
    <row r="418" spans="1:1" x14ac:dyDescent="0.25">
      <c r="A418" s="15"/>
    </row>
    <row r="419" spans="1:1" x14ac:dyDescent="0.25">
      <c r="A419" s="15"/>
    </row>
    <row r="420" spans="1:1" x14ac:dyDescent="0.25">
      <c r="A420" s="15"/>
    </row>
    <row r="421" spans="1:1" x14ac:dyDescent="0.25">
      <c r="A421" s="15"/>
    </row>
    <row r="422" spans="1:1" x14ac:dyDescent="0.25">
      <c r="A422" s="15"/>
    </row>
    <row r="423" spans="1:1" x14ac:dyDescent="0.25">
      <c r="A423" s="15"/>
    </row>
    <row r="424" spans="1:1" x14ac:dyDescent="0.25">
      <c r="A424" s="15"/>
    </row>
    <row r="425" spans="1:1" x14ac:dyDescent="0.25">
      <c r="A425" s="15"/>
    </row>
    <row r="426" spans="1:1" x14ac:dyDescent="0.25">
      <c r="A426" s="15"/>
    </row>
    <row r="427" spans="1:1" x14ac:dyDescent="0.25">
      <c r="A427" s="15"/>
    </row>
    <row r="428" spans="1:1" x14ac:dyDescent="0.25">
      <c r="A428" s="15"/>
    </row>
    <row r="429" spans="1:1" x14ac:dyDescent="0.25">
      <c r="A429" s="15"/>
    </row>
    <row r="430" spans="1:1" x14ac:dyDescent="0.25">
      <c r="A430" s="15"/>
    </row>
    <row r="431" spans="1:1" x14ac:dyDescent="0.25">
      <c r="A431" s="15"/>
    </row>
    <row r="432" spans="1:1" x14ac:dyDescent="0.25">
      <c r="A432" s="15"/>
    </row>
    <row r="433" spans="1:1" x14ac:dyDescent="0.25">
      <c r="A433" s="15"/>
    </row>
    <row r="434" spans="1:1" x14ac:dyDescent="0.25">
      <c r="A434" s="15"/>
    </row>
    <row r="435" spans="1:1" x14ac:dyDescent="0.25">
      <c r="A435" s="15"/>
    </row>
    <row r="436" spans="1:1" x14ac:dyDescent="0.25">
      <c r="A436" s="15"/>
    </row>
    <row r="437" spans="1:1" x14ac:dyDescent="0.25">
      <c r="A437" s="15"/>
    </row>
    <row r="438" spans="1:1" x14ac:dyDescent="0.25">
      <c r="A438" s="15"/>
    </row>
    <row r="439" spans="1:1" x14ac:dyDescent="0.25">
      <c r="A439" s="15"/>
    </row>
    <row r="440" spans="1:1" x14ac:dyDescent="0.25">
      <c r="A440" s="15"/>
    </row>
    <row r="441" spans="1:1" x14ac:dyDescent="0.25">
      <c r="A441" s="15"/>
    </row>
    <row r="442" spans="1:1" x14ac:dyDescent="0.25">
      <c r="A442" s="15"/>
    </row>
    <row r="443" spans="1:1" x14ac:dyDescent="0.25">
      <c r="A443" s="15"/>
    </row>
    <row r="444" spans="1:1" x14ac:dyDescent="0.25">
      <c r="A444" s="15"/>
    </row>
    <row r="445" spans="1:1" x14ac:dyDescent="0.25">
      <c r="A445" s="15"/>
    </row>
    <row r="446" spans="1:1" x14ac:dyDescent="0.25">
      <c r="A446" s="15"/>
    </row>
    <row r="447" spans="1:1" x14ac:dyDescent="0.25">
      <c r="A447" s="15"/>
    </row>
    <row r="448" spans="1:1" x14ac:dyDescent="0.25">
      <c r="A448" s="15"/>
    </row>
    <row r="449" spans="1:1" x14ac:dyDescent="0.25">
      <c r="A449" s="15"/>
    </row>
    <row r="450" spans="1:1" x14ac:dyDescent="0.25">
      <c r="A450" s="15"/>
    </row>
    <row r="451" spans="1:1" x14ac:dyDescent="0.25">
      <c r="A451" s="15"/>
    </row>
    <row r="452" spans="1:1" x14ac:dyDescent="0.25">
      <c r="A452" s="15"/>
    </row>
    <row r="453" spans="1:1" x14ac:dyDescent="0.25">
      <c r="A453" s="15"/>
    </row>
    <row r="454" spans="1:1" x14ac:dyDescent="0.25">
      <c r="A454" s="15"/>
    </row>
    <row r="455" spans="1:1" x14ac:dyDescent="0.25">
      <c r="A455" s="15"/>
    </row>
    <row r="456" spans="1:1" x14ac:dyDescent="0.25">
      <c r="A456" s="15"/>
    </row>
    <row r="457" spans="1:1" x14ac:dyDescent="0.25">
      <c r="A457" s="15"/>
    </row>
    <row r="458" spans="1:1" x14ac:dyDescent="0.25">
      <c r="A458" s="15"/>
    </row>
    <row r="459" spans="1:1" x14ac:dyDescent="0.25">
      <c r="A459" s="15"/>
    </row>
    <row r="460" spans="1:1" x14ac:dyDescent="0.25">
      <c r="A460" s="15"/>
    </row>
    <row r="461" spans="1:1" x14ac:dyDescent="0.25">
      <c r="A461" s="15"/>
    </row>
    <row r="462" spans="1:1" x14ac:dyDescent="0.25">
      <c r="A462" s="15"/>
    </row>
    <row r="463" spans="1:1" x14ac:dyDescent="0.25">
      <c r="A463" s="15"/>
    </row>
    <row r="464" spans="1:1" x14ac:dyDescent="0.25">
      <c r="A464" s="15"/>
    </row>
    <row r="465" spans="1:1" x14ac:dyDescent="0.25">
      <c r="A465" s="15"/>
    </row>
    <row r="466" spans="1:1" x14ac:dyDescent="0.25">
      <c r="A466" s="15"/>
    </row>
    <row r="467" spans="1:1" x14ac:dyDescent="0.25">
      <c r="A467" s="15"/>
    </row>
    <row r="468" spans="1:1" x14ac:dyDescent="0.25">
      <c r="A468" s="15"/>
    </row>
    <row r="469" spans="1:1" x14ac:dyDescent="0.25">
      <c r="A469" s="15"/>
    </row>
    <row r="470" spans="1:1" x14ac:dyDescent="0.25">
      <c r="A470" s="15"/>
    </row>
    <row r="471" spans="1:1" x14ac:dyDescent="0.25">
      <c r="A471" s="15"/>
    </row>
    <row r="472" spans="1:1" x14ac:dyDescent="0.25">
      <c r="A472" s="15"/>
    </row>
    <row r="473" spans="1:1" x14ac:dyDescent="0.25">
      <c r="A473" s="15"/>
    </row>
    <row r="474" spans="1:1" x14ac:dyDescent="0.25">
      <c r="A474" s="15"/>
    </row>
    <row r="475" spans="1:1" x14ac:dyDescent="0.25">
      <c r="A475" s="15"/>
    </row>
    <row r="476" spans="1:1" x14ac:dyDescent="0.25">
      <c r="A476" s="15"/>
    </row>
    <row r="477" spans="1:1" x14ac:dyDescent="0.25">
      <c r="A477" s="15"/>
    </row>
    <row r="478" spans="1:1" x14ac:dyDescent="0.25">
      <c r="A478" s="15"/>
    </row>
    <row r="479" spans="1:1" x14ac:dyDescent="0.25">
      <c r="A479" s="15"/>
    </row>
    <row r="480" spans="1:1" x14ac:dyDescent="0.25">
      <c r="A480" s="15"/>
    </row>
    <row r="481" spans="1:1" x14ac:dyDescent="0.25">
      <c r="A481" s="15"/>
    </row>
    <row r="482" spans="1:1" x14ac:dyDescent="0.25">
      <c r="A482" s="15"/>
    </row>
    <row r="483" spans="1:1" x14ac:dyDescent="0.25">
      <c r="A483" s="15"/>
    </row>
    <row r="484" spans="1:1" x14ac:dyDescent="0.25">
      <c r="A484" s="15"/>
    </row>
    <row r="485" spans="1:1" x14ac:dyDescent="0.25">
      <c r="A485" s="15"/>
    </row>
    <row r="486" spans="1:1" x14ac:dyDescent="0.25">
      <c r="A486" s="15"/>
    </row>
    <row r="487" spans="1:1" x14ac:dyDescent="0.25">
      <c r="A487" s="15"/>
    </row>
    <row r="488" spans="1:1" x14ac:dyDescent="0.25">
      <c r="A488" s="15"/>
    </row>
    <row r="489" spans="1:1" x14ac:dyDescent="0.25">
      <c r="A489" s="15"/>
    </row>
    <row r="490" spans="1:1" x14ac:dyDescent="0.25">
      <c r="A490" s="15"/>
    </row>
    <row r="491" spans="1:1" x14ac:dyDescent="0.25">
      <c r="A491" s="15"/>
    </row>
    <row r="492" spans="1:1" x14ac:dyDescent="0.25">
      <c r="A492" s="15"/>
    </row>
    <row r="493" spans="1:1" x14ac:dyDescent="0.25">
      <c r="A493" s="15"/>
    </row>
    <row r="494" spans="1:1" x14ac:dyDescent="0.25">
      <c r="A494" s="15"/>
    </row>
    <row r="495" spans="1:1" x14ac:dyDescent="0.25">
      <c r="A495" s="15"/>
    </row>
    <row r="496" spans="1:1" x14ac:dyDescent="0.25">
      <c r="A496" s="15"/>
    </row>
    <row r="497" spans="1:1" x14ac:dyDescent="0.25">
      <c r="A497" s="15"/>
    </row>
    <row r="498" spans="1:1" x14ac:dyDescent="0.25">
      <c r="A498" s="15"/>
    </row>
    <row r="499" spans="1:1" x14ac:dyDescent="0.25">
      <c r="A499" s="15"/>
    </row>
    <row r="500" spans="1:1" x14ac:dyDescent="0.25">
      <c r="A500" s="15"/>
    </row>
    <row r="501" spans="1:1" x14ac:dyDescent="0.25">
      <c r="A501" s="15"/>
    </row>
    <row r="502" spans="1:1" x14ac:dyDescent="0.25">
      <c r="A502" s="15"/>
    </row>
    <row r="503" spans="1:1" x14ac:dyDescent="0.25">
      <c r="A503" s="15"/>
    </row>
    <row r="504" spans="1:1" x14ac:dyDescent="0.25">
      <c r="A504" s="15"/>
    </row>
    <row r="505" spans="1:1" x14ac:dyDescent="0.25">
      <c r="A505" s="15"/>
    </row>
    <row r="506" spans="1:1" x14ac:dyDescent="0.25">
      <c r="A506" s="15"/>
    </row>
    <row r="507" spans="1:1" x14ac:dyDescent="0.25">
      <c r="A507" s="15"/>
    </row>
    <row r="508" spans="1:1" x14ac:dyDescent="0.25">
      <c r="A508" s="15"/>
    </row>
    <row r="509" spans="1:1" x14ac:dyDescent="0.25">
      <c r="A509" s="15"/>
    </row>
    <row r="510" spans="1:1" x14ac:dyDescent="0.25">
      <c r="A510" s="15"/>
    </row>
    <row r="511" spans="1:1" x14ac:dyDescent="0.25">
      <c r="A511" s="15"/>
    </row>
    <row r="512" spans="1:1" x14ac:dyDescent="0.25">
      <c r="A512" s="15"/>
    </row>
    <row r="513" spans="1:1" x14ac:dyDescent="0.25">
      <c r="A513" s="15"/>
    </row>
    <row r="514" spans="1:1" x14ac:dyDescent="0.25">
      <c r="A514" s="15"/>
    </row>
    <row r="515" spans="1:1" x14ac:dyDescent="0.25">
      <c r="A515" s="15"/>
    </row>
    <row r="516" spans="1:1" x14ac:dyDescent="0.25">
      <c r="A516" s="15"/>
    </row>
    <row r="517" spans="1:1" x14ac:dyDescent="0.25">
      <c r="A517" s="15"/>
    </row>
    <row r="518" spans="1:1" x14ac:dyDescent="0.25">
      <c r="A518" s="15"/>
    </row>
    <row r="519" spans="1:1" x14ac:dyDescent="0.25">
      <c r="A519" s="15"/>
    </row>
    <row r="520" spans="1:1" x14ac:dyDescent="0.25">
      <c r="A520" s="15"/>
    </row>
    <row r="521" spans="1:1" x14ac:dyDescent="0.25">
      <c r="A521" s="15"/>
    </row>
    <row r="522" spans="1:1" x14ac:dyDescent="0.25">
      <c r="A522" s="15"/>
    </row>
    <row r="523" spans="1:1" x14ac:dyDescent="0.25">
      <c r="A523" s="15"/>
    </row>
    <row r="524" spans="1:1" x14ac:dyDescent="0.25">
      <c r="A524" s="15"/>
    </row>
    <row r="525" spans="1:1" x14ac:dyDescent="0.25">
      <c r="A525" s="15"/>
    </row>
    <row r="526" spans="1:1" x14ac:dyDescent="0.25">
      <c r="A526" s="15"/>
    </row>
    <row r="527" spans="1:1" x14ac:dyDescent="0.25">
      <c r="A527" s="15"/>
    </row>
    <row r="528" spans="1:1" x14ac:dyDescent="0.25">
      <c r="A528" s="15"/>
    </row>
    <row r="529" spans="1:1" x14ac:dyDescent="0.25">
      <c r="A529" s="15"/>
    </row>
    <row r="530" spans="1:1" x14ac:dyDescent="0.25">
      <c r="A530" s="15"/>
    </row>
    <row r="531" spans="1:1" x14ac:dyDescent="0.25">
      <c r="A531" s="15"/>
    </row>
    <row r="532" spans="1:1" x14ac:dyDescent="0.25">
      <c r="A532" s="15"/>
    </row>
    <row r="533" spans="1:1" x14ac:dyDescent="0.25">
      <c r="A533" s="15"/>
    </row>
    <row r="534" spans="1:1" x14ac:dyDescent="0.25">
      <c r="A534" s="15"/>
    </row>
    <row r="535" spans="1:1" x14ac:dyDescent="0.25">
      <c r="A535" s="15"/>
    </row>
    <row r="536" spans="1:1" x14ac:dyDescent="0.25">
      <c r="A536" s="15"/>
    </row>
    <row r="541" spans="1:1" x14ac:dyDescent="0.25">
      <c r="A541"/>
    </row>
    <row r="542" spans="1:1" x14ac:dyDescent="0.25">
      <c r="A542"/>
    </row>
    <row r="543" spans="1:1" x14ac:dyDescent="0.25">
      <c r="A543"/>
    </row>
    <row r="544" spans="1:1" x14ac:dyDescent="0.25">
      <c r="A544"/>
    </row>
    <row r="545" spans="1:1" x14ac:dyDescent="0.25">
      <c r="A545"/>
    </row>
    <row r="546" spans="1:1" x14ac:dyDescent="0.25">
      <c r="A546"/>
    </row>
    <row r="547" spans="1:1" x14ac:dyDescent="0.25">
      <c r="A547"/>
    </row>
    <row r="548" spans="1:1" x14ac:dyDescent="0.25">
      <c r="A548"/>
    </row>
    <row r="549" spans="1:1" x14ac:dyDescent="0.25">
      <c r="A549"/>
    </row>
    <row r="550" spans="1:1" x14ac:dyDescent="0.25">
      <c r="A550"/>
    </row>
    <row r="551" spans="1:1" x14ac:dyDescent="0.25">
      <c r="A551"/>
    </row>
    <row r="552" spans="1:1" x14ac:dyDescent="0.25">
      <c r="A552"/>
    </row>
    <row r="553" spans="1:1" x14ac:dyDescent="0.25">
      <c r="A553"/>
    </row>
    <row r="554" spans="1:1" x14ac:dyDescent="0.25">
      <c r="A554"/>
    </row>
    <row r="555" spans="1:1" x14ac:dyDescent="0.25">
      <c r="A555"/>
    </row>
    <row r="556" spans="1:1" x14ac:dyDescent="0.25">
      <c r="A556"/>
    </row>
    <row r="557" spans="1:1" x14ac:dyDescent="0.25">
      <c r="A557"/>
    </row>
    <row r="558" spans="1:1" x14ac:dyDescent="0.25">
      <c r="A558"/>
    </row>
    <row r="559" spans="1:1" x14ac:dyDescent="0.25">
      <c r="A559"/>
    </row>
    <row r="560" spans="1:1" x14ac:dyDescent="0.25">
      <c r="A560"/>
    </row>
    <row r="561" spans="1:1" x14ac:dyDescent="0.25">
      <c r="A561"/>
    </row>
    <row r="562" spans="1:1" x14ac:dyDescent="0.25">
      <c r="A562"/>
    </row>
    <row r="563" spans="1:1" x14ac:dyDescent="0.25">
      <c r="A563"/>
    </row>
    <row r="564" spans="1:1" x14ac:dyDescent="0.25">
      <c r="A564"/>
    </row>
    <row r="565" spans="1:1" x14ac:dyDescent="0.25">
      <c r="A565"/>
    </row>
    <row r="566" spans="1:1" x14ac:dyDescent="0.25">
      <c r="A566"/>
    </row>
    <row r="567" spans="1:1" x14ac:dyDescent="0.25">
      <c r="A567"/>
    </row>
    <row r="568" spans="1:1" x14ac:dyDescent="0.25">
      <c r="A568"/>
    </row>
    <row r="569" spans="1:1" x14ac:dyDescent="0.25">
      <c r="A569"/>
    </row>
    <row r="570" spans="1:1" x14ac:dyDescent="0.25">
      <c r="A570"/>
    </row>
    <row r="571" spans="1:1" x14ac:dyDescent="0.25">
      <c r="A57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7" baseType="lpstr">
      <vt:lpstr>G_Puantaj</vt:lpstr>
      <vt:lpstr>G_Personellerim</vt:lpstr>
      <vt:lpstr>R_Yıllık_Hakediş</vt:lpstr>
      <vt:lpstr>R_Durum_Raporu</vt:lpstr>
      <vt:lpstr>Ayarlar</vt:lpstr>
      <vt:lpstr>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2021-03-06T06:15:41Z</dcterms:created>
  <dcterms:modified xsi:type="dcterms:W3CDTF">2023-04-20T11:13:00Z</dcterms:modified>
</cp:coreProperties>
</file>