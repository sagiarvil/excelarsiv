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B6F064D7-B74B-4C1A-8EE9-3170F70E97A1}" ns3:coauthVersionLast="47" ns3:coauthVersionMax="47" ns4:uidLastSave="{00000000-0000-0000-0000-000000000000}"/>
  <ns0:bookViews>
    <ns0:workbookView xWindow="-96" yWindow="0" windowWidth="11712" windowHeight="12336" ns5:uid="{9AAF92B2-7AA3-48E2-B2CE-D65D7071251F}" activeTab="0"/>
  </ns0:bookViews>
  <ns0:sheets>
    <ns0:sheet name="Sunburst" sheetId="4" ns6:id="rId2"/>
    <ns0:sheet name="Şelale" sheetId="3" ns6:id="rId3"/>
    <ns0:sheet name="Balon" sheetId="5" ns6:id="rId4"/>
  </ns0:sheets>
  <ns0:externalReferences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  <ns0:externalReference ns6:id="rId12"/>
  </ns0:externalReferences>
  <ns0:definedNames>
    <ns0:definedName name="_xlchart.v1.0" hidden="1">Sunburst!$B$4:$C$14</ns0:definedName>
    <ns0:definedName name="_xlchart.v1.1" hidden="1">Sunburst!$D$4:$D$14</ns0:definedName>
    <ns0:definedName name="_xlchart.v1.2" hidden="1">Şelale!$B$4:$B$11</ns0:definedName>
    <ns0:definedName name="_xlchart.v1.3" hidden="1">Şelale!$C$4:$C$11</ns0:definedName>
    <ns0:definedName name="_xlchart.v1.4" hidden="1">Şelale!$I$4:$I$17</ns0:definedName>
    <ns0:definedName name="_xlchart.v1.5" hidden="1">Şelale!$J$4:$J$17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J17" i="3" l="1"/>
  <c r="C4" i="3"/>
</calcChain>
</file>

<file path=xl/sharedStrings.xml><?xml version="1.0" encoding="utf-8"?>
<sst xmlns="http://schemas.openxmlformats.org/spreadsheetml/2006/main" count="86" uniqueCount="57">
  <si>
    <t>Marka</t>
  </si>
  <si>
    <t>Ürün</t>
  </si>
  <si>
    <t>Apple</t>
  </si>
  <si>
    <t>iphone 11</t>
  </si>
  <si>
    <t>iphone 12</t>
  </si>
  <si>
    <t>iphone 13</t>
  </si>
  <si>
    <t>iphone 13 pro</t>
  </si>
  <si>
    <t>Samsung</t>
  </si>
  <si>
    <t>Galaxy A02</t>
  </si>
  <si>
    <t>Galaxy Note20</t>
  </si>
  <si>
    <t>Galaxy S21</t>
  </si>
  <si>
    <t>Galaxy S21 +</t>
  </si>
  <si>
    <t>Xiaomi</t>
  </si>
  <si>
    <t>Redmi 9 c</t>
  </si>
  <si>
    <t>Redmi 9 T</t>
  </si>
  <si>
    <t>Galaxy A32</t>
  </si>
  <si>
    <t>Sayı</t>
  </si>
  <si>
    <t>Tarih</t>
  </si>
  <si>
    <t>Ocak</t>
  </si>
  <si>
    <t>Eylül</t>
  </si>
  <si>
    <t>Kaynak</t>
  </si>
  <si>
    <t>Toplam</t>
  </si>
  <si>
    <t>Başlama</t>
  </si>
  <si>
    <t>Hammadde Maliyeti</t>
  </si>
  <si>
    <t>İşçi Maliyeti</t>
  </si>
  <si>
    <t>Şubat</t>
  </si>
  <si>
    <t>İşletme Maliyetleri</t>
  </si>
  <si>
    <t>Mart</t>
  </si>
  <si>
    <t>Enerji Giderleri</t>
  </si>
  <si>
    <t>Nisan</t>
  </si>
  <si>
    <t>Amortisman</t>
  </si>
  <si>
    <t>Mayıs</t>
  </si>
  <si>
    <t>Servis Arabaları</t>
  </si>
  <si>
    <t>Haziran</t>
  </si>
  <si>
    <t>Yemek Şirketi</t>
  </si>
  <si>
    <t>Temmuz</t>
  </si>
  <si>
    <t>Ağustos</t>
  </si>
  <si>
    <t>Ekim</t>
  </si>
  <si>
    <t>Kasım</t>
  </si>
  <si>
    <t>Aralık</t>
  </si>
  <si>
    <t>Nüfus</t>
  </si>
  <si>
    <t>Almanya</t>
  </si>
  <si>
    <t>İngiltere</t>
  </si>
  <si>
    <t>Amerika</t>
  </si>
  <si>
    <t>GDP</t>
  </si>
  <si>
    <t>Ülke</t>
  </si>
  <si>
    <t>www.macrotrends.net</t>
  </si>
  <si>
    <t>Şelale Grafik (Waterfall)</t>
  </si>
  <si>
    <t>Güneş Işığı Grafik (Sunburst)</t>
  </si>
  <si>
    <t>Kabarcık Grafik (Bubble)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</si>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</sst>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₺&quot;#,##0.00;[Red]\-&quot;₺&quot;#,##0.00"/>
    <numFmt numFmtId="164" formatCode="0.000"/>
    <numFmt numFmtId="165" formatCode="yyyy"/>
  </numFmts>
  <fonts count="14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rgb="FF3F3F76"/>
      <name val="Century Gothic"/>
      <family val="2"/>
      <charset val="162"/>
    </font>
    <font>
      <b/>
      <sz val="11"/>
      <color rgb="FFFA7D00"/>
      <name val="Century Gothic"/>
      <family val="2"/>
      <charset val="162"/>
    </font>
    <font>
      <b/>
      <sz val="11"/>
      <color theme="1"/>
      <name val="Century Gothic"/>
      <family val="2"/>
      <charset val="162"/>
    </font>
    <font>
      <b/>
      <sz val="18"/>
      <color theme="7"/>
      <name val="Century Gothic"/>
      <family val="2"/>
      <charset val="162"/>
    </font>
    <font>
      <sz val="11"/>
      <color theme="6"/>
      <name val="Century Gothic"/>
      <family val="2"/>
      <charset val="162"/>
    </font>
    <font>
      <sz val="8"/>
      <name val="Century Gothic"/>
      <family val="2"/>
      <charset val="162"/>
    </font>
    <font>
      <sz val="12"/>
      <color rgb="FF444444"/>
      <name val="Roboto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1" applyNumberFormat="0" applyAlignment="0" applyProtection="0"/>
    <xf numFmtId="0" fontId="9" fillId="0" borderId="0"/>
    <xf numFmtId="0" fontId="1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0" borderId="2" xfId="0" applyBorder="1"/>
    <xf numFmtId="0" fontId="4" fillId="0" borderId="3" xfId="0" applyFont="1" applyBorder="1"/>
    <xf numFmtId="8" fontId="4" fillId="0" borderId="3" xfId="0" applyNumberFormat="1" applyFont="1" applyBorder="1"/>
    <xf numFmtId="0" fontId="2" fillId="2" borderId="3" xfId="1" applyBorder="1"/>
    <xf numFmtId="0" fontId="0" fillId="0" borderId="3" xfId="0" applyBorder="1"/>
    <xf numFmtId="8" fontId="0" fillId="0" borderId="3" xfId="0" applyNumberFormat="1" applyBorder="1"/>
    <xf numFmtId="0" fontId="0" fillId="0" borderId="3" xfId="0" applyBorder="1" applyAlignment="1">
      <alignment horizontal="left" vertical="center"/>
    </xf>
    <xf numFmtId="0" fontId="3" fillId="3" borderId="3" xfId="2" applyBorder="1"/>
    <xf numFmtId="0" fontId="4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3" fontId="0" fillId="5" borderId="0" xfId="0" applyNumberFormat="1" applyFill="1" applyAlignment="1">
      <alignment horizontal="left" vertical="center"/>
    </xf>
    <xf numFmtId="0" fontId="8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3" fontId="8" fillId="6" borderId="0" xfId="0" applyNumberFormat="1" applyFont="1" applyFill="1" applyAlignment="1">
      <alignment horizontal="left"/>
    </xf>
    <xf numFmtId="3" fontId="8" fillId="7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/>
    </xf>
    <xf numFmtId="164" fontId="8" fillId="5" borderId="0" xfId="0" applyNumberFormat="1" applyFont="1" applyFill="1" applyAlignment="1">
      <alignment horizontal="left"/>
    </xf>
    <xf numFmtId="165" fontId="0" fillId="5" borderId="0" xfId="0" applyNumberFormat="1" applyFill="1" applyAlignment="1">
      <alignment horizontal="left"/>
    </xf>
    <xf numFmtId="165" fontId="0" fillId="6" borderId="0" xfId="0" applyNumberFormat="1" applyFill="1" applyAlignment="1">
      <alignment horizontal="left"/>
    </xf>
    <xf numFmtId="165" fontId="0" fillId="7" borderId="0" xfId="0" applyNumberFormat="1" applyFill="1" applyAlignment="1">
      <alignment horizontal="left"/>
    </xf>
    <xf numFmtId="14" fontId="0" fillId="0" borderId="0" xfId="0" applyNumberFormat="1"/>
    <xf numFmtId="0" fontId="10" fillId="4" borderId="0" xfId="4" applyFont="1" applyFill="1" applyAlignment="1">
      <alignment horizontal="left" vertical="center" wrapText="1"/>
    </xf>
    <xf numFmtId="0" fontId="10" fillId="4" borderId="0" xfId="4" applyFont="1" applyFill="1" applyAlignment="1">
      <alignment horizontal="left" vertical="center"/>
    </xf>
    <xf numFmtId="0" fontId="11" fillId="4" borderId="4" xfId="4" applyFont="1" applyFill="1" applyBorder="1" applyAlignment="1">
      <alignment horizontal="left" vertical="center" wrapText="1" indent="1"/>
    </xf>
    <xf numFmtId="0" fontId="11" fillId="4" borderId="0" xfId="4" applyFont="1" applyFill="1" applyAlignment="1">
      <alignment horizontal="left" vertical="center" wrapText="1" indent="1"/>
    </xf>
    <xf numFmtId="0" fontId="11" fillId="4" borderId="0" xfId="4" applyFont="1" applyFill="1" applyAlignment="1">
      <alignment horizontal="left" vertical="top" wrapText="1"/>
    </xf>
    <xf numFmtId="0" fontId="1" fillId="0" borderId="0" xfId="4" applyAlignment="1">
      <alignment horizontal="left" vertical="center" wrapText="1"/>
    </xf>
    <xf numFmtId="0" fontId="1" fillId="0" borderId="0" xfId="4" applyAlignment="1">
      <alignment horizontal="left" vertical="center"/>
    </xf>
    <xf numFmtId="0" fontId="1" fillId="8" borderId="0" xfId="4" applyFill="1" applyAlignment="1">
      <alignment horizontal="left" vertical="center"/>
    </xf>
    <xf numFmtId="0" fontId="1" fillId="8" borderId="0" xfId="4" applyFill="1" applyAlignment="1">
      <alignment horizontal="left" vertical="top"/>
    </xf>
    <xf numFmtId="0" fontId="12" fillId="8" borderId="5" xfId="4" applyFont="1" applyFill="1" applyBorder="1" applyAlignment="1">
      <alignment vertical="top"/>
    </xf>
    <xf numFmtId="0" fontId="1" fillId="8" borderId="5" xfId="4" applyFill="1" applyBorder="1" applyAlignment="1">
      <alignment vertical="top" wrapText="1"/>
    </xf>
    <xf numFmtId="0" fontId="1" fillId="0" borderId="0" xfId="4" applyAlignment="1">
      <alignment horizontal="left" vertical="top"/>
    </xf>
    <xf numFmtId="0" fontId="13" fillId="8" borderId="0" xfId="5" applyFill="1" applyAlignment="1">
      <alignment horizontal="left" vertical="center"/>
    </xf>
    <xf numFmtId="0" fontId="1" fillId="8" borderId="0" xfId="4" applyFill="1" applyAlignment="1">
      <alignment vertical="center" wrapText="1"/>
    </xf>
    <xf numFmtId="0" fontId="1" fillId="8" borderId="0" xfId="4" applyFill="1" applyAlignment="1">
      <alignment vertical="top" wrapText="1"/>
    </xf>
    <xf numFmtId="0" fontId="1" fillId="8" borderId="0" xfId="4" applyFill="1"/>
    <xf numFmtId="0" fontId="1" fillId="8" borderId="0" xfId="4" applyFill="1" applyAlignment="1">
      <alignment horizontal="left" vertical="top" wrapText="1"/>
    </xf>
    <xf numFmtId="0" fontId="0" fillId="8" borderId="0" xfId="4" applyFont="1" applyFill="1" applyAlignment="1">
      <alignment horizontal="left" vertical="top" wrapText="1"/>
    </xf>
    <xf numFmtId="0" fontId="1" fillId="0" borderId="0" xfId="4"/>
    <xf numFmtId="0" fontId="1" fillId="8" borderId="0" xfId="4" applyFill="1" applyAlignment="1">
      <alignment horizontal="left" vertical="center" wrapText="1"/>
    </xf>
  </cellXfs>
  <cellStyles count="6">
    <cellStyle name="Calculation" xfId="2" builtinId="22"/>
    <cellStyle name="Input" xfId="1" builtinId="20"/>
    <cellStyle name="Köprü 2" xfId="5" xr:uid="{C665D027-3D0A-48A2-9549-E140D4D9B8D0}"/>
    <cellStyle name="Normal" xfId="0" builtinId="0"/>
    <cellStyle name="Normal 2" xfId="3" xr:uid="{C7E4EAB4-F023-4227-B2C4-152BA68721F0}"/>
    <cellStyle name="Normal 2 2" xfId="4" xr:uid="{299D0C19-3490-4AE0-A967-D026572B5B4B}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4.xml" /><ns0:Relationship Id="rId13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3.xml" /><ns0:Relationship Id="rId12" Type="http://schemas.openxmlformats.org/officeDocument/2006/relationships/externalLink" Target="externalLinks/externalLink8.xml" /><ns0:Relationship Id="rId2" Type="http://schemas.openxmlformats.org/officeDocument/2006/relationships/worksheet" Target="worksheets/sheet2.xml" /><ns0:Relationship Id="rId16" Type="http://schemas.openxmlformats.org/officeDocument/2006/relationships/calcChain" Target="calcChain.xml" /><ns0:Relationship Id="rId6" Type="http://schemas.openxmlformats.org/officeDocument/2006/relationships/externalLink" Target="externalLinks/externalLink2.xml" /><ns0:Relationship Id="rId11" Type="http://schemas.openxmlformats.org/officeDocument/2006/relationships/externalLink" Target="externalLinks/externalLink7.xml" /><ns0:Relationship Id="rId5" Type="http://schemas.openxmlformats.org/officeDocument/2006/relationships/externalLink" Target="externalLinks/externalLink1.xml" /><ns0:Relationship Id="rId15" Type="http://schemas.openxmlformats.org/officeDocument/2006/relationships/sharedStrings" Target="sharedStrings.xml" /><ns0:Relationship Id="rId10" Type="http://schemas.openxmlformats.org/officeDocument/2006/relationships/externalLink" Target="externalLinks/externalLink6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5.xml" /><ns0:Relationship Id="rId14" Type="http://schemas.openxmlformats.org/officeDocument/2006/relationships/styles" Target="styles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Balon!$A$6</c:f>
              <c:strCache>
                <c:ptCount val="1"/>
                <c:pt idx="0">
                  <c:v>Amerika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Balon!$B$6:$B$10</c:f>
              <c:numCache>
                <c:formatCode>yyyy</c:formatCode>
                <c:ptCount val="5"/>
                <c:pt idx="0">
                  <c:v>29221</c:v>
                </c:pt>
                <c:pt idx="1">
                  <c:v>32874</c:v>
                </c:pt>
                <c:pt idx="2">
                  <c:v>36526</c:v>
                </c:pt>
                <c:pt idx="3">
                  <c:v>40179</c:v>
                </c:pt>
                <c:pt idx="4">
                  <c:v>43831</c:v>
                </c:pt>
              </c:numCache>
            </c:numRef>
          </c:xVal>
          <c:yVal>
            <c:numRef>
              <c:f>Balon!$C$6:$C$10</c:f>
              <c:numCache>
                <c:formatCode>General</c:formatCode>
                <c:ptCount val="5"/>
                <c:pt idx="0">
                  <c:v>12.574999999999999</c:v>
                </c:pt>
                <c:pt idx="1">
                  <c:v>23.888999999999999</c:v>
                </c:pt>
                <c:pt idx="2">
                  <c:v>36.335000000000001</c:v>
                </c:pt>
                <c:pt idx="3">
                  <c:v>48.466999999999999</c:v>
                </c:pt>
                <c:pt idx="4" formatCode="0.000">
                  <c:v>65.28</c:v>
                </c:pt>
              </c:numCache>
            </c:numRef>
          </c:yVal>
          <c:bubbleSize>
            <c:numRef>
              <c:f>Balon!$D$6:$D$10</c:f>
              <c:numCache>
                <c:formatCode>#,##0</c:formatCode>
                <c:ptCount val="5"/>
                <c:pt idx="0">
                  <c:v>229476354</c:v>
                </c:pt>
                <c:pt idx="1">
                  <c:v>252120309</c:v>
                </c:pt>
                <c:pt idx="2">
                  <c:v>281710909</c:v>
                </c:pt>
                <c:pt idx="3">
                  <c:v>309011475</c:v>
                </c:pt>
                <c:pt idx="4">
                  <c:v>331002651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F80-476C-A587-ABFD0540BCB1}"/>
            </c:ext>
          </c:extLst>
        </c:ser>
        <c:ser>
          <c:idx val="1"/>
          <c:order val="1"/>
          <c:tx>
            <c:strRef>
              <c:f>Balon!$F$6</c:f>
              <c:strCache>
                <c:ptCount val="1"/>
                <c:pt idx="0">
                  <c:v>Almanya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Balon!$G$6:$G$10</c:f>
              <c:numCache>
                <c:formatCode>yyyy</c:formatCode>
                <c:ptCount val="5"/>
                <c:pt idx="0">
                  <c:v>29221</c:v>
                </c:pt>
                <c:pt idx="1">
                  <c:v>32874</c:v>
                </c:pt>
                <c:pt idx="2">
                  <c:v>36526</c:v>
                </c:pt>
                <c:pt idx="3">
                  <c:v>40179</c:v>
                </c:pt>
                <c:pt idx="4">
                  <c:v>43831</c:v>
                </c:pt>
              </c:numCache>
            </c:numRef>
          </c:xVal>
          <c:yVal>
            <c:numRef>
              <c:f>Balon!$H$6:$H$10</c:f>
              <c:numCache>
                <c:formatCode>General</c:formatCode>
                <c:ptCount val="5"/>
                <c:pt idx="0">
                  <c:v>6.2060000000000004</c:v>
                </c:pt>
                <c:pt idx="1">
                  <c:v>11.404</c:v>
                </c:pt>
                <c:pt idx="2">
                  <c:v>23.695</c:v>
                </c:pt>
                <c:pt idx="3">
                  <c:v>41.572000000000003</c:v>
                </c:pt>
                <c:pt idx="4">
                  <c:v>45.723999999999997</c:v>
                </c:pt>
              </c:numCache>
            </c:numRef>
          </c:yVal>
          <c:bubbleSize>
            <c:numRef>
              <c:f>Balon!$I$6:$I$10</c:f>
              <c:numCache>
                <c:formatCode>#,##0</c:formatCode>
                <c:ptCount val="5"/>
                <c:pt idx="0">
                  <c:v>78283100</c:v>
                </c:pt>
                <c:pt idx="1">
                  <c:v>79053984</c:v>
                </c:pt>
                <c:pt idx="2">
                  <c:v>81400882</c:v>
                </c:pt>
                <c:pt idx="3">
                  <c:v>80827002</c:v>
                </c:pt>
                <c:pt idx="4">
                  <c:v>83783942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6F80-476C-A587-ABFD0540BCB1}"/>
            </c:ext>
          </c:extLst>
        </c:ser>
        <c:ser>
          <c:idx val="2"/>
          <c:order val="2"/>
          <c:tx>
            <c:strRef>
              <c:f>Balon!$K$6</c:f>
              <c:strCache>
                <c:ptCount val="1"/>
                <c:pt idx="0">
                  <c:v>İngiltere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Balon!$L$6:$L$10</c:f>
              <c:numCache>
                <c:formatCode>yyyy</c:formatCode>
                <c:ptCount val="5"/>
                <c:pt idx="0">
                  <c:v>29221</c:v>
                </c:pt>
                <c:pt idx="1">
                  <c:v>32874</c:v>
                </c:pt>
                <c:pt idx="2">
                  <c:v>36526</c:v>
                </c:pt>
                <c:pt idx="3">
                  <c:v>40179</c:v>
                </c:pt>
                <c:pt idx="4">
                  <c:v>43831</c:v>
                </c:pt>
              </c:numCache>
            </c:numRef>
          </c:xVal>
          <c:yVal>
            <c:numRef>
              <c:f>Balon!$M$6:$M$10</c:f>
              <c:numCache>
                <c:formatCode>General</c:formatCode>
                <c:ptCount val="5"/>
                <c:pt idx="0">
                  <c:v>10.032</c:v>
                </c:pt>
                <c:pt idx="1">
                  <c:v>19.096</c:v>
                </c:pt>
                <c:pt idx="2">
                  <c:v>28.155000000000001</c:v>
                </c:pt>
                <c:pt idx="3">
                  <c:v>39.536999999999999</c:v>
                </c:pt>
                <c:pt idx="4">
                  <c:v>40.284999999999997</c:v>
                </c:pt>
              </c:numCache>
            </c:numRef>
          </c:yVal>
          <c:bubbleSize>
            <c:numRef>
              <c:f>Balon!$N$6:$N$10</c:f>
              <c:numCache>
                <c:formatCode>#,##0</c:formatCode>
                <c:ptCount val="5"/>
                <c:pt idx="0">
                  <c:v>56209171</c:v>
                </c:pt>
                <c:pt idx="1">
                  <c:v>57134391</c:v>
                </c:pt>
                <c:pt idx="2">
                  <c:v>58923309</c:v>
                </c:pt>
                <c:pt idx="3">
                  <c:v>63459808</c:v>
                </c:pt>
                <c:pt idx="4">
                  <c:v>67886011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6F80-476C-A587-ABFD0540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46056408"/>
        <c:axId val="328837032"/>
      </c:bubbleChart>
      <c:valAx>
        <c:axId val="446056408"/>
        <c:scaling>
          <c:orientation val="minMax"/>
          <c:max val="47484"/>
          <c:min val="2556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37032"/>
        <c:crosses val="autoZero"/>
        <c:crossBetween val="midCat"/>
        <c:majorUnit val="3655"/>
      </c:valAx>
      <c:valAx>
        <c:axId val="328837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GDP (Bin</a:t>
                </a:r>
                <a:r>
                  <a:rPr lang="tr-TR" baseline="0"/>
                  <a:t> Dolar)</a:t>
                </a:r>
                <a:endParaRPr lang="tr-TR"/>
              </a:p>
            </c:rich>
          </c:tx>
          <c:layout>
            <c:manualLayout>
              <c:xMode val="edge"/>
              <c:yMode val="edge"/>
              <c:x val="7.5542969554874655E-3"/>
              <c:y val="0.274653930549089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56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sunburst" uniqueId="{1DDD7EE7-1AEC-4B46-BE2A-C1EF5E8A83B6}">
          <cx:dataLabels pos="ctr">
            <cx:visibility seriesName="0" categoryName="1" value="1"/>
            <cx:separator>
</cx:separator>
            <cx:dataLabel idx="5">
              <cx:visibility seriesName="0" categoryName="1" value="1"/>
              <cx:separator>, </cx:separator>
            </cx:dataLabel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Toplam Maliyet Kırılımı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Toplam Maliyet Kırılımı</a:t>
          </a:r>
        </a:p>
      </cx:txPr>
    </cx:title>
    <cx:plotArea>
      <cx:plotAreaRegion>
        <cx:series layoutId="waterfall" uniqueId="{6FFB2D59-D081-4A98-8774-75C4AFC16FE2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tr-T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0799999982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2021 Yılı Stok Hareketleri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tr-T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2021 Yılı Stok Hareketleri</a:t>
          </a:r>
        </a:p>
      </cx:txPr>
    </cx:title>
    <cx:plotArea>
      <cx:plotAreaRegion>
        <cx:series layoutId="waterfall" uniqueId="{67170F1A-94A8-4713-85B9-0115347D8AAE}">
          <cx:dataLabels pos="outEnd">
            <cx:visibility seriesName="0" categoryName="0" value="1"/>
          </cx:dataLabels>
          <cx:dataId val="0"/>
          <cx:layoutPr>
            <cx:subtotals>
              <cx:idx val="1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image" Target="../media/image15.svg"/><Relationship Id="rId1" Type="http://schemas.openxmlformats.org/officeDocument/2006/relationships/image" Target="../media/image14.png"/><Relationship Id="rId4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7.svg"/><Relationship Id="rId1" Type="http://schemas.openxmlformats.org/officeDocument/2006/relationships/image" Target="../media/image16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123825</xdr:rowOff>
    </xdr:from>
    <xdr:to>
      <xdr:col>0</xdr:col>
      <xdr:colOff>552451</xdr:colOff>
      <xdr:row>0</xdr:row>
      <xdr:rowOff>552451</xdr:rowOff>
    </xdr:to>
    <xdr:pic>
      <xdr:nvPicPr>
        <xdr:cNvPr id="3" name="Grafik 2" descr="Sönük (Küçük Güneş) düz dolguyla">
          <a:extLst>
            <a:ext uri="{FF2B5EF4-FFF2-40B4-BE49-F238E27FC236}">
              <a16:creationId xmlns:a16="http://schemas.microsoft.com/office/drawing/2014/main" id="{545ED6FD-B30F-4503-8DA3-8D097D980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123825"/>
          <a:ext cx="428626" cy="428626"/>
        </a:xfrm>
        <a:prstGeom prst="rect">
          <a:avLst/>
        </a:prstGeom>
      </xdr:spPr>
    </xdr:pic>
    <xdr:clientData/>
  </xdr:twoCellAnchor>
  <xdr:twoCellAnchor>
    <xdr:from>
      <xdr:col>4</xdr:col>
      <xdr:colOff>102576</xdr:colOff>
      <xdr:row>1</xdr:row>
      <xdr:rowOff>212480</xdr:rowOff>
    </xdr:from>
    <xdr:to>
      <xdr:col>12</xdr:col>
      <xdr:colOff>0</xdr:colOff>
      <xdr:row>20</xdr:row>
      <xdr:rowOff>212480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k 3">
              <a:extLst>
                <a:ext uri="{FF2B5EF4-FFF2-40B4-BE49-F238E27FC236}">
                  <a16:creationId xmlns:a16="http://schemas.microsoft.com/office/drawing/2014/main" id="{D92261A9-43CB-4EF4-B426-3C1D806CD0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5016" y="806840"/>
              <a:ext cx="5261904" cy="3329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149088</xdr:colOff>
      <xdr:row>0</xdr:row>
      <xdr:rowOff>132522</xdr:rowOff>
    </xdr:from>
    <xdr:to>
      <xdr:col>0</xdr:col>
      <xdr:colOff>579783</xdr:colOff>
      <xdr:row>0</xdr:row>
      <xdr:rowOff>563217</xdr:rowOff>
    </xdr:to>
    <xdr:pic>
      <xdr:nvPicPr>
        <xdr:cNvPr id="4" name="Grafik 3" descr="Dalga ana hat">
          <a:extLst>
            <a:ext uri="{FF2B5EF4-FFF2-40B4-BE49-F238E27FC236}">
              <a16:creationId xmlns:a16="http://schemas.microsoft.com/office/drawing/2014/main" id="{772D6010-8F16-4419-9B99-05DC84244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9088" y="132522"/>
          <a:ext cx="430695" cy="4306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198437</xdr:rowOff>
    </xdr:from>
    <xdr:to>
      <xdr:col>5</xdr:col>
      <xdr:colOff>682624</xdr:colOff>
      <xdr:row>25</xdr:row>
      <xdr:rowOff>174625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k 4">
              <a:extLst>
                <a:ext uri="{FF2B5EF4-FFF2-40B4-BE49-F238E27FC236}">
                  <a16:creationId xmlns:a16="http://schemas.microsoft.com/office/drawing/2014/main" id="{9DB4E58C-E79A-4B4A-B1CF-CBA70FF3D6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2659697"/>
              <a:ext cx="4835524" cy="2452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341314</xdr:colOff>
      <xdr:row>3</xdr:row>
      <xdr:rowOff>1</xdr:rowOff>
    </xdr:from>
    <xdr:to>
      <xdr:col>18</xdr:col>
      <xdr:colOff>515938</xdr:colOff>
      <xdr:row>17</xdr:row>
      <xdr:rowOff>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k 5">
              <a:extLst>
                <a:ext uri="{FF2B5EF4-FFF2-40B4-BE49-F238E27FC236}">
                  <a16:creationId xmlns:a16="http://schemas.microsoft.com/office/drawing/2014/main" id="{35A31FC7-0B4F-4220-88A9-72FE65D146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7534" y="1082041"/>
              <a:ext cx="5455284" cy="245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0</xdr:col>
      <xdr:colOff>581025</xdr:colOff>
      <xdr:row>0</xdr:row>
      <xdr:rowOff>590550</xdr:rowOff>
    </xdr:to>
    <xdr:pic>
      <xdr:nvPicPr>
        <xdr:cNvPr id="6" name="Grafik 5" descr="Kabarcıklar düz dolguyla">
          <a:extLst>
            <a:ext uri="{FF2B5EF4-FFF2-40B4-BE49-F238E27FC236}">
              <a16:creationId xmlns:a16="http://schemas.microsoft.com/office/drawing/2014/main" id="{0013E083-5DFD-4E5C-B8B1-67E8E4A4B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95250"/>
          <a:ext cx="495300" cy="4953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61233</xdr:rowOff>
    </xdr:from>
    <xdr:to>
      <xdr:col>13</xdr:col>
      <xdr:colOff>1076738</xdr:colOff>
      <xdr:row>25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4D8A5E25-55ED-4877-A4D3-6BC99A181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EXCEL%20751\\Free_Resources\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43839-1727-4E7C-A2F3-E9D08F891510}" name="Tablo3" displayName="Tablo3" ref="B3:D14" totalsRowShown="0" headerRowDxfId="1">
  <autoFilter ref="B3:D14" xr:uid="{4B3525FA-CA75-46B2-A495-A20C2C49F0B9}"/>
  <sortState xmlns:xlrd2="http://schemas.microsoft.com/office/spreadsheetml/2017/richdata2" ref="B4:D14">
    <sortCondition ref="B3:B14"/>
  </sortState>
  <tableColumns count="3">
    <tableColumn id="1" xr3:uid="{25F3B693-BFE5-4D82-A847-EA578B704152}" name="Marka"/>
    <tableColumn id="2" xr3:uid="{5C841C18-E2A2-4F42-9485-6AC5D1229997}" name="Ürün"/>
    <tableColumn id="3" xr3:uid="{696BF249-F14D-4747-84F0-896D89438D1E}" name="Say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F7F6F6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4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5218BF-0FEB-4207-9DF8-A78D94E61429}">
  <we:reference id="wa104380194" version="1.1.1.3" store="tr-TR" storeType="OMEX"/>
  <we:alternateReferences>
    <we:reference id="wa104380194" version="1.1.1.3" store="WA10438019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8E14-31AA-4826-85A5-67FFA584E1A2}">
  <sheetPr codeName="Sayfa2">
    <tabColor theme="5" tint="0.39997558519241921"/>
  </sheetPr>
  <dimension ref="B1:D14"/>
  <sheetViews>
    <sheetView showGridLines="0" zoomScale="130" zoomScaleNormal="130" workbookViewId="0">
      <selection activeCell="D18" sqref="D18"/>
    </sheetView>
  </sheetViews>
  <sheetFormatPr defaultRowHeight="13.8" x14ac:dyDescent="0.25"/>
  <cols>
    <col min="2" max="2" width="18.09765625" customWidth="1"/>
    <col min="3" max="3" width="20.5" customWidth="1"/>
  </cols>
  <sheetData>
    <row r="1" spans="2:4" s="2" customFormat="1" ht="50.25" customHeight="1" x14ac:dyDescent="0.25">
      <c r="B1" s="1" t="s">
        <v>48</v>
      </c>
    </row>
    <row r="3" spans="2:4" x14ac:dyDescent="0.25">
      <c r="B3" s="11" t="s">
        <v>0</v>
      </c>
      <c r="C3" s="11" t="s">
        <v>1</v>
      </c>
      <c r="D3" s="11" t="s">
        <v>16</v>
      </c>
    </row>
    <row r="4" spans="2:4" x14ac:dyDescent="0.25">
      <c r="B4" t="s">
        <v>2</v>
      </c>
      <c r="C4" t="s">
        <v>3</v>
      </c>
      <c r="D4">
        <v>80</v>
      </c>
    </row>
    <row r="5" spans="2:4" x14ac:dyDescent="0.25">
      <c r="B5" t="s">
        <v>2</v>
      </c>
      <c r="C5" t="s">
        <v>4</v>
      </c>
      <c r="D5">
        <v>72</v>
      </c>
    </row>
    <row r="6" spans="2:4" x14ac:dyDescent="0.25">
      <c r="B6" t="s">
        <v>2</v>
      </c>
      <c r="C6" t="s">
        <v>5</v>
      </c>
      <c r="D6">
        <v>43</v>
      </c>
    </row>
    <row r="7" spans="2:4" x14ac:dyDescent="0.25">
      <c r="B7" t="s">
        <v>2</v>
      </c>
      <c r="C7" t="s">
        <v>6</v>
      </c>
      <c r="D7">
        <v>39</v>
      </c>
    </row>
    <row r="8" spans="2:4" x14ac:dyDescent="0.25">
      <c r="B8" t="s">
        <v>7</v>
      </c>
      <c r="C8" t="s">
        <v>8</v>
      </c>
      <c r="D8">
        <v>12</v>
      </c>
    </row>
    <row r="9" spans="2:4" x14ac:dyDescent="0.25">
      <c r="B9" t="s">
        <v>7</v>
      </c>
      <c r="C9" t="s">
        <v>9</v>
      </c>
      <c r="D9">
        <v>59</v>
      </c>
    </row>
    <row r="10" spans="2:4" x14ac:dyDescent="0.25">
      <c r="B10" t="s">
        <v>7</v>
      </c>
      <c r="C10" t="s">
        <v>10</v>
      </c>
      <c r="D10">
        <v>53</v>
      </c>
    </row>
    <row r="11" spans="2:4" x14ac:dyDescent="0.25">
      <c r="B11" t="s">
        <v>7</v>
      </c>
      <c r="C11" t="s">
        <v>11</v>
      </c>
      <c r="D11">
        <v>98</v>
      </c>
    </row>
    <row r="12" spans="2:4" x14ac:dyDescent="0.25">
      <c r="B12" t="s">
        <v>7</v>
      </c>
      <c r="C12" t="s">
        <v>15</v>
      </c>
      <c r="D12">
        <v>19</v>
      </c>
    </row>
    <row r="13" spans="2:4" x14ac:dyDescent="0.25">
      <c r="B13" t="s">
        <v>12</v>
      </c>
      <c r="C13" t="s">
        <v>13</v>
      </c>
      <c r="D13">
        <v>15</v>
      </c>
    </row>
    <row r="14" spans="2:4" x14ac:dyDescent="0.25">
      <c r="B14" t="s">
        <v>12</v>
      </c>
      <c r="C14" t="s">
        <v>14</v>
      </c>
      <c r="D14">
        <v>44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C273-4E39-4959-AE97-A8C9D826EA34}">
  <sheetPr codeName="Sayfa3">
    <tabColor theme="5" tint="0.39997558519241921"/>
  </sheetPr>
  <dimension ref="B1:J27"/>
  <sheetViews>
    <sheetView showGridLines="0" zoomScale="120" zoomScaleNormal="120" workbookViewId="0">
      <selection activeCell="Q12" sqref="Q12"/>
    </sheetView>
  </sheetViews>
  <sheetFormatPr defaultRowHeight="13.8" x14ac:dyDescent="0.25"/>
  <cols>
    <col min="2" max="2" width="20.19921875" bestFit="1" customWidth="1"/>
    <col min="3" max="3" width="16.8984375" customWidth="1"/>
    <col min="7" max="8" width="5.5" customWidth="1"/>
    <col min="9" max="9" width="11" customWidth="1"/>
    <col min="11" max="11" width="7.69921875" customWidth="1"/>
  </cols>
  <sheetData>
    <row r="1" spans="2:10" s="2" customFormat="1" ht="50.25" customHeight="1" x14ac:dyDescent="0.25">
      <c r="B1" s="1" t="s">
        <v>47</v>
      </c>
    </row>
    <row r="2" spans="2:10" ht="21.75" customHeight="1" x14ac:dyDescent="0.25"/>
    <row r="3" spans="2:10" x14ac:dyDescent="0.25">
      <c r="G3" s="3"/>
    </row>
    <row r="4" spans="2:10" x14ac:dyDescent="0.25">
      <c r="B4" s="4" t="s">
        <v>21</v>
      </c>
      <c r="C4" s="5">
        <f>-SUM(C5:C11)</f>
        <v>281320</v>
      </c>
      <c r="G4" s="3"/>
      <c r="I4" s="6" t="s">
        <v>22</v>
      </c>
      <c r="J4" s="6">
        <v>2500</v>
      </c>
    </row>
    <row r="5" spans="2:10" x14ac:dyDescent="0.25">
      <c r="B5" s="7" t="s">
        <v>23</v>
      </c>
      <c r="C5" s="8">
        <v>-25000</v>
      </c>
      <c r="G5" s="3"/>
      <c r="I5" s="9" t="s">
        <v>18</v>
      </c>
      <c r="J5" s="7">
        <v>500</v>
      </c>
    </row>
    <row r="6" spans="2:10" x14ac:dyDescent="0.25">
      <c r="B6" s="7" t="s">
        <v>24</v>
      </c>
      <c r="C6" s="8">
        <v>-65000</v>
      </c>
      <c r="G6" s="3"/>
      <c r="I6" s="9" t="s">
        <v>25</v>
      </c>
      <c r="J6" s="7">
        <v>-200</v>
      </c>
    </row>
    <row r="7" spans="2:10" x14ac:dyDescent="0.25">
      <c r="B7" s="7" t="s">
        <v>26</v>
      </c>
      <c r="C7" s="8">
        <v>-32500</v>
      </c>
      <c r="G7" s="3"/>
      <c r="I7" s="9" t="s">
        <v>27</v>
      </c>
      <c r="J7" s="7">
        <v>350</v>
      </c>
    </row>
    <row r="8" spans="2:10" x14ac:dyDescent="0.25">
      <c r="B8" s="7" t="s">
        <v>28</v>
      </c>
      <c r="C8" s="8">
        <v>-15320</v>
      </c>
      <c r="G8" s="3"/>
      <c r="I8" s="9" t="s">
        <v>29</v>
      </c>
      <c r="J8" s="7">
        <v>-650</v>
      </c>
    </row>
    <row r="9" spans="2:10" x14ac:dyDescent="0.25">
      <c r="B9" s="7" t="s">
        <v>30</v>
      </c>
      <c r="C9" s="8">
        <v>-3500</v>
      </c>
      <c r="G9" s="3"/>
      <c r="I9" s="9" t="s">
        <v>31</v>
      </c>
      <c r="J9" s="7">
        <v>650</v>
      </c>
    </row>
    <row r="10" spans="2:10" x14ac:dyDescent="0.25">
      <c r="B10" s="7" t="s">
        <v>32</v>
      </c>
      <c r="C10" s="8">
        <v>-45000</v>
      </c>
      <c r="G10" s="3"/>
      <c r="I10" s="9" t="s">
        <v>33</v>
      </c>
      <c r="J10" s="7">
        <v>420</v>
      </c>
    </row>
    <row r="11" spans="2:10" x14ac:dyDescent="0.25">
      <c r="B11" s="7" t="s">
        <v>34</v>
      </c>
      <c r="C11" s="8">
        <v>-95000</v>
      </c>
      <c r="G11" s="3"/>
      <c r="I11" s="9" t="s">
        <v>35</v>
      </c>
      <c r="J11" s="7">
        <v>421</v>
      </c>
    </row>
    <row r="12" spans="2:10" x14ac:dyDescent="0.25">
      <c r="G12" s="3"/>
      <c r="I12" s="9" t="s">
        <v>36</v>
      </c>
      <c r="J12" s="7">
        <v>-65</v>
      </c>
    </row>
    <row r="13" spans="2:10" x14ac:dyDescent="0.25">
      <c r="G13" s="3"/>
      <c r="I13" s="9" t="s">
        <v>19</v>
      </c>
      <c r="J13" s="7">
        <v>-12</v>
      </c>
    </row>
    <row r="14" spans="2:10" x14ac:dyDescent="0.25">
      <c r="G14" s="3"/>
      <c r="I14" s="9" t="s">
        <v>37</v>
      </c>
      <c r="J14" s="7">
        <v>650</v>
      </c>
    </row>
    <row r="15" spans="2:10" x14ac:dyDescent="0.25">
      <c r="G15" s="3"/>
      <c r="I15" s="9" t="s">
        <v>38</v>
      </c>
      <c r="J15" s="7">
        <v>-40</v>
      </c>
    </row>
    <row r="16" spans="2:10" x14ac:dyDescent="0.25">
      <c r="G16" s="3"/>
      <c r="I16" s="9" t="s">
        <v>39</v>
      </c>
      <c r="J16" s="7">
        <v>426</v>
      </c>
    </row>
    <row r="17" spans="7:10" x14ac:dyDescent="0.25">
      <c r="G17" s="3"/>
      <c r="I17" s="10" t="s">
        <v>21</v>
      </c>
      <c r="J17" s="10">
        <f>SUM(J4:J16)</f>
        <v>4950</v>
      </c>
    </row>
    <row r="18" spans="7:10" x14ac:dyDescent="0.25">
      <c r="G18" s="3"/>
    </row>
    <row r="19" spans="7:10" x14ac:dyDescent="0.25">
      <c r="G19" s="3"/>
    </row>
    <row r="20" spans="7:10" x14ac:dyDescent="0.25">
      <c r="G20" s="3"/>
    </row>
    <row r="21" spans="7:10" x14ac:dyDescent="0.25">
      <c r="G21" s="3"/>
    </row>
    <row r="22" spans="7:10" x14ac:dyDescent="0.25">
      <c r="G22" s="3"/>
    </row>
    <row r="23" spans="7:10" x14ac:dyDescent="0.25">
      <c r="G23" s="3"/>
    </row>
    <row r="24" spans="7:10" x14ac:dyDescent="0.25">
      <c r="G24" s="3"/>
    </row>
    <row r="25" spans="7:10" x14ac:dyDescent="0.25">
      <c r="G25" s="3"/>
    </row>
    <row r="26" spans="7:10" x14ac:dyDescent="0.25">
      <c r="G26" s="3"/>
    </row>
    <row r="27" spans="7:10" x14ac:dyDescent="0.25">
      <c r="G27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EF0-64FB-4D45-A0F0-AFAC8624EACA}">
  <sheetPr codeName="Sayfa4">
    <tabColor theme="5" tint="0.39997558519241921"/>
  </sheetPr>
  <dimension ref="A1:P10"/>
  <sheetViews>
    <sheetView showGridLines="0" zoomScale="115" zoomScaleNormal="115" workbookViewId="0">
      <selection activeCell="T16" sqref="T16"/>
    </sheetView>
  </sheetViews>
  <sheetFormatPr defaultRowHeight="13.8" x14ac:dyDescent="0.25"/>
  <cols>
    <col min="1" max="1" width="8.3984375" bestFit="1" customWidth="1"/>
    <col min="2" max="2" width="6.3984375" customWidth="1"/>
    <col min="3" max="3" width="7.8984375" bestFit="1" customWidth="1"/>
    <col min="4" max="4" width="11.5" customWidth="1"/>
    <col min="5" max="5" width="2.3984375" customWidth="1"/>
    <col min="6" max="6" width="8.8984375" bestFit="1" customWidth="1"/>
    <col min="7" max="7" width="5.09765625" bestFit="1" customWidth="1"/>
    <col min="8" max="8" width="7.8984375" bestFit="1" customWidth="1"/>
    <col min="9" max="9" width="12.69921875" customWidth="1"/>
    <col min="10" max="10" width="2.3984375" customWidth="1"/>
    <col min="11" max="11" width="8.3984375" bestFit="1" customWidth="1"/>
    <col min="12" max="12" width="5.09765625" bestFit="1" customWidth="1"/>
    <col min="13" max="13" width="7.8984375" bestFit="1" customWidth="1"/>
    <col min="14" max="14" width="14.09765625" customWidth="1"/>
    <col min="16" max="16" width="9" customWidth="1"/>
  </cols>
  <sheetData>
    <row r="1" spans="1:16" s="2" customFormat="1" ht="50.25" customHeight="1" x14ac:dyDescent="0.25">
      <c r="B1" s="1" t="s">
        <v>49</v>
      </c>
    </row>
    <row r="2" spans="1:16" ht="21.75" customHeight="1" x14ac:dyDescent="0.25"/>
    <row r="3" spans="1:16" ht="21.75" customHeight="1" x14ac:dyDescent="0.25">
      <c r="A3" t="s">
        <v>20</v>
      </c>
      <c r="B3" t="s">
        <v>46</v>
      </c>
    </row>
    <row r="5" spans="1:16" x14ac:dyDescent="0.25">
      <c r="A5" s="11" t="s">
        <v>45</v>
      </c>
      <c r="B5" s="11" t="s">
        <v>17</v>
      </c>
      <c r="C5" s="11" t="s">
        <v>44</v>
      </c>
      <c r="D5" s="11" t="s">
        <v>40</v>
      </c>
      <c r="F5" s="11" t="s">
        <v>45</v>
      </c>
      <c r="G5" s="11" t="s">
        <v>17</v>
      </c>
      <c r="H5" s="11" t="s">
        <v>44</v>
      </c>
      <c r="I5" s="11" t="s">
        <v>40</v>
      </c>
      <c r="K5" s="11" t="s">
        <v>45</v>
      </c>
      <c r="L5" s="11" t="s">
        <v>17</v>
      </c>
      <c r="M5" s="11" t="s">
        <v>44</v>
      </c>
      <c r="N5" s="11" t="s">
        <v>40</v>
      </c>
    </row>
    <row r="6" spans="1:16" ht="15.6" x14ac:dyDescent="0.3">
      <c r="A6" s="12" t="s">
        <v>43</v>
      </c>
      <c r="B6" s="22">
        <v>29221</v>
      </c>
      <c r="C6" s="20">
        <v>12.574999999999999</v>
      </c>
      <c r="D6" s="15">
        <v>229476354</v>
      </c>
      <c r="F6" s="13" t="s">
        <v>41</v>
      </c>
      <c r="G6" s="23">
        <v>29221</v>
      </c>
      <c r="H6" s="16">
        <v>6.2060000000000004</v>
      </c>
      <c r="I6" s="18">
        <v>78283100</v>
      </c>
      <c r="K6" s="14" t="s">
        <v>42</v>
      </c>
      <c r="L6" s="24">
        <v>29221</v>
      </c>
      <c r="M6" s="17">
        <v>10.032</v>
      </c>
      <c r="N6" s="19">
        <v>56209171</v>
      </c>
      <c r="P6" s="25"/>
    </row>
    <row r="7" spans="1:16" ht="15.6" x14ac:dyDescent="0.3">
      <c r="A7" s="12" t="s">
        <v>43</v>
      </c>
      <c r="B7" s="22">
        <v>32874</v>
      </c>
      <c r="C7" s="20">
        <v>23.888999999999999</v>
      </c>
      <c r="D7" s="15">
        <v>252120309</v>
      </c>
      <c r="F7" s="13" t="s">
        <v>41</v>
      </c>
      <c r="G7" s="23">
        <v>32874</v>
      </c>
      <c r="H7" s="16">
        <v>11.404</v>
      </c>
      <c r="I7" s="18">
        <v>79053984</v>
      </c>
      <c r="K7" s="14" t="s">
        <v>42</v>
      </c>
      <c r="L7" s="24">
        <v>32874</v>
      </c>
      <c r="M7" s="17">
        <v>19.096</v>
      </c>
      <c r="N7" s="19">
        <v>57134391</v>
      </c>
      <c r="P7" s="25"/>
    </row>
    <row r="8" spans="1:16" ht="15.6" x14ac:dyDescent="0.3">
      <c r="A8" s="12" t="s">
        <v>43</v>
      </c>
      <c r="B8" s="22">
        <v>36526</v>
      </c>
      <c r="C8" s="20">
        <v>36.335000000000001</v>
      </c>
      <c r="D8" s="15">
        <v>281710909</v>
      </c>
      <c r="F8" s="13" t="s">
        <v>41</v>
      </c>
      <c r="G8" s="23">
        <v>36526</v>
      </c>
      <c r="H8" s="16">
        <v>23.695</v>
      </c>
      <c r="I8" s="18">
        <v>81400882</v>
      </c>
      <c r="K8" s="14" t="s">
        <v>42</v>
      </c>
      <c r="L8" s="24">
        <v>36526</v>
      </c>
      <c r="M8" s="17">
        <v>28.155000000000001</v>
      </c>
      <c r="N8" s="19">
        <v>58923309</v>
      </c>
      <c r="P8" s="25"/>
    </row>
    <row r="9" spans="1:16" ht="15.6" x14ac:dyDescent="0.3">
      <c r="A9" s="12" t="s">
        <v>43</v>
      </c>
      <c r="B9" s="22">
        <v>40179</v>
      </c>
      <c r="C9" s="20">
        <v>48.466999999999999</v>
      </c>
      <c r="D9" s="15">
        <v>309011475</v>
      </c>
      <c r="F9" s="13" t="s">
        <v>41</v>
      </c>
      <c r="G9" s="23">
        <v>40179</v>
      </c>
      <c r="H9" s="16">
        <v>41.572000000000003</v>
      </c>
      <c r="I9" s="18">
        <v>80827002</v>
      </c>
      <c r="K9" s="14" t="s">
        <v>42</v>
      </c>
      <c r="L9" s="24">
        <v>40179</v>
      </c>
      <c r="M9" s="17">
        <v>39.536999999999999</v>
      </c>
      <c r="N9" s="19">
        <v>63459808</v>
      </c>
      <c r="P9" s="25"/>
    </row>
    <row r="10" spans="1:16" ht="15.6" x14ac:dyDescent="0.3">
      <c r="A10" s="12" t="s">
        <v>43</v>
      </c>
      <c r="B10" s="22">
        <v>43831</v>
      </c>
      <c r="C10" s="21">
        <v>65.28</v>
      </c>
      <c r="D10" s="15">
        <v>331002651</v>
      </c>
      <c r="F10" s="13" t="s">
        <v>41</v>
      </c>
      <c r="G10" s="23">
        <v>43831</v>
      </c>
      <c r="H10" s="16">
        <v>45.723999999999997</v>
      </c>
      <c r="I10" s="18">
        <v>83783942</v>
      </c>
      <c r="K10" s="14" t="s">
        <v>42</v>
      </c>
      <c r="L10" s="24">
        <v>43831</v>
      </c>
      <c r="M10" s="17">
        <v>40.284999999999997</v>
      </c>
      <c r="N10" s="19">
        <v>67886011</v>
      </c>
      <c r="P10" s="25"/>
    </row>
  </sheetData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4" baseType="lpstr">
      <vt:lpstr>Sunburst</vt:lpstr>
      <vt:lpstr>Şelale</vt:lpstr>
      <vt:lpstr>Balon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2021-11-19T18:21:50Z</dcterms:created>
  <dcterms:modified xsi:type="dcterms:W3CDTF">2023-04-20T10:21:37Z</dcterms:modified>
</cp:coreProperties>
</file>