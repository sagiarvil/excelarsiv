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hidePivotFieldList="1"/>
  <ns2:revisionPtr revIDLastSave="0" documentId="13_ncr:1_{7684876E-ACF2-4CF8-8803-CA32A4A788AB}" ns3:coauthVersionLast="47" ns3:coauthVersionMax="47" ns4:uidLastSave="{00000000-0000-0000-0000-000000000000}"/>
  <ns0:bookViews>
    <ns0:workbookView xWindow="-96" yWindow="0" windowWidth="11712" windowHeight="12336" ns5:uid="{EAE8847F-22C2-4A8A-8308-D152CE719945}" activeTab="0"/>
  </ns0:bookViews>
  <ns0:sheets>
    <ns0:sheet name="Dashboard" sheetId="7" ns6:id="rId2"/>
    <ns0:sheet name="pvt" sheetId="8" ns6:id="rId3"/>
    <ns0:sheet name="Ktg_Pvt" sheetId="9" ns6:id="rId4"/>
    <ns0:sheet name="Data" sheetId="1" ns6:id="rId5"/>
  </ns0:sheets>
  <ns0:externalReferences>
    <ns0:externalReference ns6:id="rId6"/>
    <ns0:externalReference ns6:id="rId7"/>
    <ns0:externalReference ns6:id="rId8"/>
    <ns0:externalReference ns6:id="rId9"/>
    <ns0:externalReference ns6:id="rId10"/>
    <ns0:externalReference ns6:id="rId11"/>
    <ns0:externalReference ns6:id="rId12"/>
    <ns0:externalReference ns6:id="rId13"/>
  </ns0:externalReferences>
  <ns0:definedNames>
    <ns0:definedName name="_xlnm._FilterDatabase" localSheetId="3" hidden="1">Data!$A$1:$L$414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pivotCaches>
    <ns0:pivotCache cacheId="1" ns6:id="rId14"/>
  </ns0:pivotCaches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I8" i="8" l="1"/>
  <c r="H8" i="8"/>
  <c r="G8" i="8"/>
  <c r="F8" i="8"/>
  <c r="F3" i="8"/>
  <c r="F7" i="8"/>
  <c r="I7" i="8"/>
  <c r="H7" i="8"/>
  <c r="G7" i="8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2" i="1"/>
</calcChain>
</file>

<file path=xl/sharedStrings.xml><?xml version="1.0" encoding="utf-8"?>
<sst xmlns="http://schemas.openxmlformats.org/spreadsheetml/2006/main" count="2981" uniqueCount="486">
  <si>
    <t>Fatura No</t>
  </si>
  <si>
    <t>Şube</t>
  </si>
  <si>
    <t>Şehir</t>
  </si>
  <si>
    <t>Müşteri Tipi</t>
  </si>
  <si>
    <t>Cinsiyet</t>
  </si>
  <si>
    <t>Ürün Kategorisi</t>
  </si>
  <si>
    <t>Ödeme</t>
  </si>
  <si>
    <t>750-67-8428</t>
  </si>
  <si>
    <t>A</t>
  </si>
  <si>
    <t>İzmir</t>
  </si>
  <si>
    <t>Üye</t>
  </si>
  <si>
    <t>Kadın</t>
  </si>
  <si>
    <t>Sağlık ve Bakım</t>
  </si>
  <si>
    <t>E-Cüzdan</t>
  </si>
  <si>
    <t>226-31-3081</t>
  </si>
  <si>
    <t>C</t>
  </si>
  <si>
    <t>İstanbul</t>
  </si>
  <si>
    <t>Normal</t>
  </si>
  <si>
    <t>Elektronik Aksesuar</t>
  </si>
  <si>
    <t>Nakit</t>
  </si>
  <si>
    <t>631-41-3108</t>
  </si>
  <si>
    <t>Erkek</t>
  </si>
  <si>
    <t>Ev ve Yaşam</t>
  </si>
  <si>
    <t>Kredi Kartı</t>
  </si>
  <si>
    <t>373-73-7910</t>
  </si>
  <si>
    <t>Spor ve Seyehat</t>
  </si>
  <si>
    <t>665-32-9167</t>
  </si>
  <si>
    <t>B</t>
  </si>
  <si>
    <t>Ankara</t>
  </si>
  <si>
    <t>Yiyecek ve İçecek</t>
  </si>
  <si>
    <t>351-62-0822</t>
  </si>
  <si>
    <t>Moda ve Takı</t>
  </si>
  <si>
    <t>529-56-3974</t>
  </si>
  <si>
    <t>365-64-0515</t>
  </si>
  <si>
    <t>252-56-2699</t>
  </si>
  <si>
    <t>656-95-9349</t>
  </si>
  <si>
    <t>765-26-6951</t>
  </si>
  <si>
    <t>319-50-3348</t>
  </si>
  <si>
    <t>371-85-5789</t>
  </si>
  <si>
    <t>549-59-1358</t>
  </si>
  <si>
    <t>649-29-6775</t>
  </si>
  <si>
    <t>189-17-4241</t>
  </si>
  <si>
    <t>640-49-2076</t>
  </si>
  <si>
    <t>183-56-6882</t>
  </si>
  <si>
    <t>232-16-2483</t>
  </si>
  <si>
    <t>129-29-8530</t>
  </si>
  <si>
    <t>777-82-7220</t>
  </si>
  <si>
    <t>554-53-8700</t>
  </si>
  <si>
    <t>354-25-5821</t>
  </si>
  <si>
    <t>228-96-1411</t>
  </si>
  <si>
    <t>132-32-9879</t>
  </si>
  <si>
    <t>727-46-3608</t>
  </si>
  <si>
    <t>669-54-1719</t>
  </si>
  <si>
    <t>326-78-5178</t>
  </si>
  <si>
    <t>162-48-8011</t>
  </si>
  <si>
    <t>242-55-6721</t>
  </si>
  <si>
    <t>635-40-6220</t>
  </si>
  <si>
    <t>120-06-4233</t>
  </si>
  <si>
    <t>347-34-2234</t>
  </si>
  <si>
    <t>199-75-8169</t>
  </si>
  <si>
    <t>838-78-4295</t>
  </si>
  <si>
    <t>109-28-2512</t>
  </si>
  <si>
    <t>382-03-4532</t>
  </si>
  <si>
    <t>393-65-2792</t>
  </si>
  <si>
    <t>796-12-2025</t>
  </si>
  <si>
    <t>510-95-6347</t>
  </si>
  <si>
    <t>841-35-6630</t>
  </si>
  <si>
    <t>263-10-3913</t>
  </si>
  <si>
    <t>381-20-0914</t>
  </si>
  <si>
    <t>829-49-1914</t>
  </si>
  <si>
    <t>360-39-5055</t>
  </si>
  <si>
    <t>730-50-9884</t>
  </si>
  <si>
    <t>504-35-8843</t>
  </si>
  <si>
    <t>873-51-0671</t>
  </si>
  <si>
    <t>152-08-9985</t>
  </si>
  <si>
    <t>512-91-0811</t>
  </si>
  <si>
    <t>594-34-4444</t>
  </si>
  <si>
    <t>871-39-9221</t>
  </si>
  <si>
    <t>733-01-9107</t>
  </si>
  <si>
    <t>189-98-2939</t>
  </si>
  <si>
    <t>551-21-3069</t>
  </si>
  <si>
    <t>704-48-3927</t>
  </si>
  <si>
    <t>628-34-3388</t>
  </si>
  <si>
    <t>861-77-0145</t>
  </si>
  <si>
    <t>479-26-8945</t>
  </si>
  <si>
    <t>210-67-5886</t>
  </si>
  <si>
    <t>237-01-6122</t>
  </si>
  <si>
    <t>225-98-1496</t>
  </si>
  <si>
    <t>291-32-1427</t>
  </si>
  <si>
    <t>642-32-2990</t>
  </si>
  <si>
    <t>659-36-1684</t>
  </si>
  <si>
    <t>219-22-9386</t>
  </si>
  <si>
    <t>268-27-6179</t>
  </si>
  <si>
    <t>668-90-8900</t>
  </si>
  <si>
    <t>189-08-9157</t>
  </si>
  <si>
    <t>663-86-9076</t>
  </si>
  <si>
    <t>549-84-7482</t>
  </si>
  <si>
    <t>802-70-5316</t>
  </si>
  <si>
    <t>695-51-0018</t>
  </si>
  <si>
    <t>483-71-1164</t>
  </si>
  <si>
    <t>338-65-2210</t>
  </si>
  <si>
    <t>458-41-1477</t>
  </si>
  <si>
    <t>685-64-1609</t>
  </si>
  <si>
    <t>262-47-2794</t>
  </si>
  <si>
    <t>584-86-7256</t>
  </si>
  <si>
    <t>214-17-6927</t>
  </si>
  <si>
    <t>279-74-2924</t>
  </si>
  <si>
    <t>307-85-2293</t>
  </si>
  <si>
    <t>687-47-8271</t>
  </si>
  <si>
    <t>105-31-1824</t>
  </si>
  <si>
    <t>249-42-3782</t>
  </si>
  <si>
    <t>733-33-4967</t>
  </si>
  <si>
    <t>175-54-2529</t>
  </si>
  <si>
    <t>130-98-8941</t>
  </si>
  <si>
    <t>586-25-0848</t>
  </si>
  <si>
    <t>895-66-0685</t>
  </si>
  <si>
    <t>305-14-0245</t>
  </si>
  <si>
    <t>732-04-5373</t>
  </si>
  <si>
    <t>400-60-7251</t>
  </si>
  <si>
    <t>284-34-9626</t>
  </si>
  <si>
    <t>699-01-4164</t>
  </si>
  <si>
    <t>875-46-5808</t>
  </si>
  <si>
    <t>749-24-1565</t>
  </si>
  <si>
    <t>672-51-8681</t>
  </si>
  <si>
    <t>817-69-8206</t>
  </si>
  <si>
    <t>656-16-1063</t>
  </si>
  <si>
    <t>891-58-8335</t>
  </si>
  <si>
    <t>549-03-9315</t>
  </si>
  <si>
    <t>790-29-1172</t>
  </si>
  <si>
    <t>468-01-2051</t>
  </si>
  <si>
    <t>746-68-6593</t>
  </si>
  <si>
    <t>721-86-6247</t>
  </si>
  <si>
    <t>545-46-3100</t>
  </si>
  <si>
    <t>418-02-5978</t>
  </si>
  <si>
    <t>157-13-5295</t>
  </si>
  <si>
    <t>755-12-3214</t>
  </si>
  <si>
    <t>346-84-3103</t>
  </si>
  <si>
    <t>478-06-7835</t>
  </si>
  <si>
    <t>540-11-4336</t>
  </si>
  <si>
    <t>448-81-5016</t>
  </si>
  <si>
    <t>217-58-1179</t>
  </si>
  <si>
    <t>376-02-8238</t>
  </si>
  <si>
    <t>530-90-9855</t>
  </si>
  <si>
    <t>866-05-7563</t>
  </si>
  <si>
    <t>799-71-1548</t>
  </si>
  <si>
    <t>845-51-0542</t>
  </si>
  <si>
    <t>883-17-4236</t>
  </si>
  <si>
    <t>704-11-6354</t>
  </si>
  <si>
    <t>729-09-9681</t>
  </si>
  <si>
    <t>380-94-4661</t>
  </si>
  <si>
    <t>821-07-3596</t>
  </si>
  <si>
    <t>447-15-7839</t>
  </si>
  <si>
    <t>253-12-6086</t>
  </si>
  <si>
    <t>571-94-0759</t>
  </si>
  <si>
    <t>144-51-6085</t>
  </si>
  <si>
    <t>731-14-2199</t>
  </si>
  <si>
    <t>783-09-1637</t>
  </si>
  <si>
    <t>687-15-1097</t>
  </si>
  <si>
    <t>126-54-1082</t>
  </si>
  <si>
    <t>566-19-5475</t>
  </si>
  <si>
    <t>526-86-8552</t>
  </si>
  <si>
    <t>376-56-3573</t>
  </si>
  <si>
    <t>523-38-0215</t>
  </si>
  <si>
    <t>490-29-1201</t>
  </si>
  <si>
    <t>667-92-0055</t>
  </si>
  <si>
    <t>565-17-3836</t>
  </si>
  <si>
    <t>430-60-3493</t>
  </si>
  <si>
    <t>211-05-0490</t>
  </si>
  <si>
    <t>744-02-5987</t>
  </si>
  <si>
    <t>446-47-6729</t>
  </si>
  <si>
    <t>573-10-3877</t>
  </si>
  <si>
    <t>848-42-2560</t>
  </si>
  <si>
    <t>181-94-6432</t>
  </si>
  <si>
    <t>870-76-1733</t>
  </si>
  <si>
    <t>423-64-4619</t>
  </si>
  <si>
    <t>227-07-4446</t>
  </si>
  <si>
    <t>428-83-5800</t>
  </si>
  <si>
    <t>603-07-0961</t>
  </si>
  <si>
    <t>704-20-4138</t>
  </si>
  <si>
    <t>563-91-7120</t>
  </si>
  <si>
    <t>276-54-0879</t>
  </si>
  <si>
    <t>815-11-1168</t>
  </si>
  <si>
    <t>719-76-3868</t>
  </si>
  <si>
    <t>868-81-1752</t>
  </si>
  <si>
    <t>566-71-1091</t>
  </si>
  <si>
    <t>374-17-3652</t>
  </si>
  <si>
    <t>378-07-7001</t>
  </si>
  <si>
    <t>433-75-6987</t>
  </si>
  <si>
    <t>441-94-7118</t>
  </si>
  <si>
    <t>565-67-6697</t>
  </si>
  <si>
    <t>320-49-6392</t>
  </si>
  <si>
    <t>889-04-9723</t>
  </si>
  <si>
    <t>632-90-0281</t>
  </si>
  <si>
    <t>554-42-2417</t>
  </si>
  <si>
    <t>453-63-6187</t>
  </si>
  <si>
    <t>471-41-2823</t>
  </si>
  <si>
    <t>834-25-9262</t>
  </si>
  <si>
    <t>254-31-0042</t>
  </si>
  <si>
    <t>201-86-2184</t>
  </si>
  <si>
    <t>422-29-8786</t>
  </si>
  <si>
    <t>843-01-4703</t>
  </si>
  <si>
    <t>595-86-2894</t>
  </si>
  <si>
    <t>289-15-7034</t>
  </si>
  <si>
    <t>153-58-4872</t>
  </si>
  <si>
    <t>662-72-2873</t>
  </si>
  <si>
    <t>689-16-9784</t>
  </si>
  <si>
    <t>596-42-3999</t>
  </si>
  <si>
    <t>308-47-4913</t>
  </si>
  <si>
    <t>885-17-6250</t>
  </si>
  <si>
    <t>793-10-3222</t>
  </si>
  <si>
    <t>346-12-3257</t>
  </si>
  <si>
    <t>651-61-0874</t>
  </si>
  <si>
    <t>236-86-3015</t>
  </si>
  <si>
    <t>732-67-5346</t>
  </si>
  <si>
    <t>725-32-9708</t>
  </si>
  <si>
    <t>256-08-8343</t>
  </si>
  <si>
    <t>244-08-0162</t>
  </si>
  <si>
    <t>132-23-6451</t>
  </si>
  <si>
    <t>696-90-2548</t>
  </si>
  <si>
    <t>750-57-9686</t>
  </si>
  <si>
    <t>848-07-1692</t>
  </si>
  <si>
    <t>745-71-3520</t>
  </si>
  <si>
    <t>271-88-8734</t>
  </si>
  <si>
    <t>489-64-4354</t>
  </si>
  <si>
    <t>198-84-7132</t>
  </si>
  <si>
    <t>325-77-6186</t>
  </si>
  <si>
    <t>574-57-9721</t>
  </si>
  <si>
    <t>616-87-0016</t>
  </si>
  <si>
    <t>345-08-4992</t>
  </si>
  <si>
    <t>549-96-4200</t>
  </si>
  <si>
    <t>810-60-6344</t>
  </si>
  <si>
    <t>192-98-7397</t>
  </si>
  <si>
    <t>453-12-7053</t>
  </si>
  <si>
    <t>296-11-7041</t>
  </si>
  <si>
    <t>891-01-7034</t>
  </si>
  <si>
    <t>744-09-5786</t>
  </si>
  <si>
    <t>568-88-3448</t>
  </si>
  <si>
    <t>533-33-5337</t>
  </si>
  <si>
    <t>639-76-1242</t>
  </si>
  <si>
    <t>234-03-4040</t>
  </si>
  <si>
    <t>326-71-2155</t>
  </si>
  <si>
    <t>878-30-2331</t>
  </si>
  <si>
    <t>440-59-5691</t>
  </si>
  <si>
    <t>746-19-0921</t>
  </si>
  <si>
    <t>405-31-3305</t>
  </si>
  <si>
    <t>598-47-9715</t>
  </si>
  <si>
    <t>541-08-3113</t>
  </si>
  <si>
    <t>674-15-9296</t>
  </si>
  <si>
    <t>305-18-3552</t>
  </si>
  <si>
    <t>493-65-6248</t>
  </si>
  <si>
    <t>627-95-3243</t>
  </si>
  <si>
    <t>608-04-3797</t>
  </si>
  <si>
    <t>148-82-2527</t>
  </si>
  <si>
    <t>556-97-7101</t>
  </si>
  <si>
    <t>420-18-8989</t>
  </si>
  <si>
    <t>277-63-2961</t>
  </si>
  <si>
    <t>573-98-8548</t>
  </si>
  <si>
    <t>387-49-4215</t>
  </si>
  <si>
    <t>602-80-9671</t>
  </si>
  <si>
    <t>209-61-0206</t>
  </si>
  <si>
    <t>220-28-1851</t>
  </si>
  <si>
    <t>609-81-8548</t>
  </si>
  <si>
    <t>133-14-7229</t>
  </si>
  <si>
    <t>827-44-5872</t>
  </si>
  <si>
    <t>287-83-1405</t>
  </si>
  <si>
    <t>857-67-9057</t>
  </si>
  <si>
    <t>892-05-6689</t>
  </si>
  <si>
    <t>583-41-4548</t>
  </si>
  <si>
    <t>339-12-4827</t>
  </si>
  <si>
    <t>643-38-7867</t>
  </si>
  <si>
    <t>358-88-9262</t>
  </si>
  <si>
    <t>343-87-0864</t>
  </si>
  <si>
    <t>841-18-8232</t>
  </si>
  <si>
    <t>647-50-1224</t>
  </si>
  <si>
    <t>541-48-8554</t>
  </si>
  <si>
    <t>747-58-7183</t>
  </si>
  <si>
    <t>210-57-1719</t>
  </si>
  <si>
    <t>399-69-4630</t>
  </si>
  <si>
    <t>198-66-9832</t>
  </si>
  <si>
    <t>712-39-0363</t>
  </si>
  <si>
    <t>866-99-7614</t>
  </si>
  <si>
    <t>718-57-9773</t>
  </si>
  <si>
    <t>651-88-7328</t>
  </si>
  <si>
    <t>241-11-2261</t>
  </si>
  <si>
    <t>408-26-9866</t>
  </si>
  <si>
    <t>239-48-4278</t>
  </si>
  <si>
    <t>339-96-8318</t>
  </si>
  <si>
    <t>207-73-1363</t>
  </si>
  <si>
    <t>390-31-6381</t>
  </si>
  <si>
    <t>443-82-0585</t>
  </si>
  <si>
    <t>127-47-6963</t>
  </si>
  <si>
    <t>695-28-6250</t>
  </si>
  <si>
    <t>227-50-3718</t>
  </si>
  <si>
    <t>302-15-2162</t>
  </si>
  <si>
    <t>560-49-6611</t>
  </si>
  <si>
    <t>880-35-0356</t>
  </si>
  <si>
    <t>470-31-3286</t>
  </si>
  <si>
    <t>484-22-8230</t>
  </si>
  <si>
    <t>830-58-2383</t>
  </si>
  <si>
    <t>559-98-9873</t>
  </si>
  <si>
    <t>421-95-9805</t>
  </si>
  <si>
    <t>277-35-5865</t>
  </si>
  <si>
    <t>443-59-0061</t>
  </si>
  <si>
    <t>641-96-3695</t>
  </si>
  <si>
    <t>852-62-7105</t>
  </si>
  <si>
    <t>816-57-2053</t>
  </si>
  <si>
    <t>655-07-2265</t>
  </si>
  <si>
    <t>610-46-4100</t>
  </si>
  <si>
    <t>364-33-8584</t>
  </si>
  <si>
    <t>742-04-5161</t>
  </si>
  <si>
    <t>149-15-7606</t>
  </si>
  <si>
    <t>322-02-2271</t>
  </si>
  <si>
    <t>641-51-2661</t>
  </si>
  <si>
    <t>518-17-2983</t>
  </si>
  <si>
    <t>576-31-4774</t>
  </si>
  <si>
    <t>811-03-8790</t>
  </si>
  <si>
    <t>648-94-3045</t>
  </si>
  <si>
    <t>130-67-4723</t>
  </si>
  <si>
    <t>528-87-5606</t>
  </si>
  <si>
    <t>370-96-0655</t>
  </si>
  <si>
    <t>241-96-5076</t>
  </si>
  <si>
    <t>767-97-4650</t>
  </si>
  <si>
    <t>266-20-6657</t>
  </si>
  <si>
    <t>689-05-1884</t>
  </si>
  <si>
    <t>196-01-2849</t>
  </si>
  <si>
    <t>182-52-7000</t>
  </si>
  <si>
    <t>826-58-8051</t>
  </si>
  <si>
    <t>751-41-9720</t>
  </si>
  <si>
    <t>626-43-7888</t>
  </si>
  <si>
    <t>729-06-2010</t>
  </si>
  <si>
    <t>640-48-5028</t>
  </si>
  <si>
    <t>268-20-3585</t>
  </si>
  <si>
    <t>258-92-7466</t>
  </si>
  <si>
    <t>418-05-0656</t>
  </si>
  <si>
    <t>592-46-1692</t>
  </si>
  <si>
    <t>434-35-9162</t>
  </si>
  <si>
    <t>149-14-0304</t>
  </si>
  <si>
    <t>442-44-6497</t>
  </si>
  <si>
    <t>174-64-0215</t>
  </si>
  <si>
    <t>299-29-0180</t>
  </si>
  <si>
    <t>247-11-2470</t>
  </si>
  <si>
    <t>756-49-0168</t>
  </si>
  <si>
    <t>238-45-6950</t>
  </si>
  <si>
    <t>607-65-2441</t>
  </si>
  <si>
    <t>197-77-7132</t>
  </si>
  <si>
    <t>373-14-0504</t>
  </si>
  <si>
    <t>345-68-9016</t>
  </si>
  <si>
    <t>390-17-5806</t>
  </si>
  <si>
    <t>457-13-1708</t>
  </si>
  <si>
    <t>585-86-8361</t>
  </si>
  <si>
    <t>652-43-6591</t>
  </si>
  <si>
    <t>406-46-7107</t>
  </si>
  <si>
    <t>842-40-8179</t>
  </si>
  <si>
    <t>593-14-4239</t>
  </si>
  <si>
    <t>801-88-0346</t>
  </si>
  <si>
    <t>471-06-8611</t>
  </si>
  <si>
    <t>102-77-2261</t>
  </si>
  <si>
    <t>875-31-8302</t>
  </si>
  <si>
    <t>534-53-3526</t>
  </si>
  <si>
    <t>307-04-2070</t>
  </si>
  <si>
    <t>468-99-7231</t>
  </si>
  <si>
    <t>404-91-5964</t>
  </si>
  <si>
    <t>651-96-5970</t>
  </si>
  <si>
    <t>401-09-4232</t>
  </si>
  <si>
    <t>751-15-6198</t>
  </si>
  <si>
    <t>324-41-6833</t>
  </si>
  <si>
    <t>759-29-9521</t>
  </si>
  <si>
    <t>257-60-7754</t>
  </si>
  <si>
    <t>815-04-6282</t>
  </si>
  <si>
    <t>190-59-3964</t>
  </si>
  <si>
    <t>784-21-9238</t>
  </si>
  <si>
    <t>276-75-6884</t>
  </si>
  <si>
    <t>416-17-9926</t>
  </si>
  <si>
    <t>343-75-9322</t>
  </si>
  <si>
    <t>427-45-9297</t>
  </si>
  <si>
    <t>288-62-1085</t>
  </si>
  <si>
    <t>670-71-7306</t>
  </si>
  <si>
    <t>271-77-8740</t>
  </si>
  <si>
    <t>860-73-6466</t>
  </si>
  <si>
    <t>845-94-6841</t>
  </si>
  <si>
    <t>770-42-8960</t>
  </si>
  <si>
    <t>748-45-2862</t>
  </si>
  <si>
    <t>840-76-5966</t>
  </si>
  <si>
    <t>533-66-5566</t>
  </si>
  <si>
    <t>124-31-1458</t>
  </si>
  <si>
    <t>631-34-1880</t>
  </si>
  <si>
    <t>852-82-2749</t>
  </si>
  <si>
    <t>885-56-0389</t>
  </si>
  <si>
    <t>490-95-0021</t>
  </si>
  <si>
    <t>325-89-4209</t>
  </si>
  <si>
    <t>114-35-5271</t>
  </si>
  <si>
    <t>607-76-6216</t>
  </si>
  <si>
    <t>715-20-1673</t>
  </si>
  <si>
    <t>811-35-1094</t>
  </si>
  <si>
    <t>409-49-6995</t>
  </si>
  <si>
    <t>725-54-0677</t>
  </si>
  <si>
    <t>146-09-5432</t>
  </si>
  <si>
    <t>509-10-0516</t>
  </si>
  <si>
    <t>450-42-3339</t>
  </si>
  <si>
    <t>453-33-6436</t>
  </si>
  <si>
    <t>717-96-4189</t>
  </si>
  <si>
    <t>749-81-8133</t>
  </si>
  <si>
    <t>636-98-3364</t>
  </si>
  <si>
    <t>246-55-6923</t>
  </si>
  <si>
    <t>181-82-6255</t>
  </si>
  <si>
    <t>887-42-0517</t>
  </si>
  <si>
    <t>226-34-0034</t>
  </si>
  <si>
    <t>825-94-5922</t>
  </si>
  <si>
    <t>756-93-1854</t>
  </si>
  <si>
    <t>501-61-1753</t>
  </si>
  <si>
    <t>433-08-7822</t>
  </si>
  <si>
    <t>720-72-2436</t>
  </si>
  <si>
    <t>489-82-1237</t>
  </si>
  <si>
    <t>676-10-2200</t>
  </si>
  <si>
    <t>373-88-1424</t>
  </si>
  <si>
    <t>305-89-2768</t>
  </si>
  <si>
    <t>200-40-6154</t>
  </si>
  <si>
    <t>846-10-0341</t>
  </si>
  <si>
    <t>577-34-7579</t>
  </si>
  <si>
    <t>430-02-3888</t>
  </si>
  <si>
    <t>867-47-1948</t>
  </si>
  <si>
    <t>324-92-3863</t>
  </si>
  <si>
    <t>172-42-8274</t>
  </si>
  <si>
    <t>558-60-5016</t>
  </si>
  <si>
    <t>214-30-2776</t>
  </si>
  <si>
    <t>746-04-1077</t>
  </si>
  <si>
    <t>448-34-8700</t>
  </si>
  <si>
    <t>531-56-4728</t>
  </si>
  <si>
    <t>744-82-9138</t>
  </si>
  <si>
    <t>883-69-1285</t>
  </si>
  <si>
    <t>221-25-5073</t>
  </si>
  <si>
    <t>156-20-0370</t>
  </si>
  <si>
    <t>151-33-7434</t>
  </si>
  <si>
    <t>189-40-5216</t>
  </si>
  <si>
    <t>374-38-5555</t>
  </si>
  <si>
    <t>552-44-5977</t>
  </si>
  <si>
    <t>745-74-0715</t>
  </si>
  <si>
    <t>303-96-2227</t>
  </si>
  <si>
    <t>727-02-1313</t>
  </si>
  <si>
    <t>Adet</t>
  </si>
  <si>
    <t>Birim Fiyat</t>
  </si>
  <si>
    <t>Toplam</t>
  </si>
  <si>
    <t>Tarih</t>
  </si>
  <si>
    <t>Saat</t>
  </si>
  <si>
    <t>Satır Etiketleri</t>
  </si>
  <si>
    <t>Toplam Toplam</t>
  </si>
  <si>
    <t>Genel Toplam</t>
  </si>
  <si>
    <t>2019</t>
  </si>
  <si>
    <t>2020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</si>
  <si>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</si>
  <si>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</si>
  <si>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</si>
  <si>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</si>
  <si>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</si>
  <si>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</si>
  <si>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</si>
  <si>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</si>
  <si>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</si>
  <si>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</si>
  <si>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</si>
  <si>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</si>
  <si>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Toplam Toplam2</t>
  </si>
  <si>
    <t>Yıl</t>
  </si>
  <si>
    <t>Sipariş Sayısı</t>
  </si>
  <si>
    <t>Toplam Tutar</t>
  </si>
  <si>
    <t>Say Fatura No</t>
  </si>
  <si>
    <t>Say Fatura No2</t>
  </si>
  <si>
    <t>Kart 1</t>
  </si>
  <si>
    <t>Kart 2</t>
  </si>
  <si>
    <t>Kart 3</t>
  </si>
  <si>
    <t>Kart 4</t>
  </si>
  <si>
    <t>Başlık</t>
  </si>
  <si>
    <t>Yüzde Göstergesi</t>
  </si>
  <si>
    <t>Sayı Göstergesi</t>
  </si>
  <si>
    <t>Üye sayısı</t>
  </si>
  <si>
    <t>Toplam Ciro</t>
  </si>
  <si>
    <t>E-Cüzdan Ödemeleri</t>
  </si>
  <si>
    <t>Kategoriler</t>
  </si>
  <si>
    <t xml:space="preserve"> Ortalama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</si>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</sst>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₺&quot;#,##0.00_);[Red]\(&quot;₺&quot;#,##0.00\)"/>
    <numFmt numFmtId="165" formatCode="[$-F400]h:mm:ss\ AM/PM"/>
    <numFmt numFmtId="166" formatCode="&quot;₺&quot;#,##0.00"/>
    <numFmt numFmtId="167" formatCode="&quot;₺&quot;#,##0"/>
  </numFmts>
  <fonts count="13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name val="Century Gothic"/>
      <family val="2"/>
      <charset val="162"/>
    </font>
    <font>
      <b/>
      <sz val="11"/>
      <color theme="8" tint="0.79998168889431442"/>
      <name val="Calibri"/>
      <family val="2"/>
      <scheme val="minor"/>
    </font>
    <font>
      <sz val="11"/>
      <color theme="8" tint="0.59999389629810485"/>
      <name val="Century Gothic"/>
      <family val="2"/>
      <charset val="162"/>
    </font>
    <font>
      <b/>
      <sz val="11"/>
      <color theme="8" tint="0.39997558519241921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sz val="8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-0.249977111117893"/>
      </top>
      <bottom/>
      <diagonal/>
    </border>
    <border>
      <left/>
      <right/>
      <top style="thin">
        <color indexed="65"/>
      </top>
      <bottom style="thin">
        <color theme="8" tint="-0.249977111117893"/>
      </bottom>
      <diagonal/>
    </border>
    <border>
      <left/>
      <right/>
      <top style="thin">
        <color indexed="65"/>
      </top>
      <bottom style="medium">
        <color theme="8" tint="-0.249977111117893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12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14" fontId="2" fillId="2" borderId="4" xfId="0" applyNumberFormat="1" applyFont="1" applyFill="1" applyBorder="1"/>
    <xf numFmtId="165" fontId="2" fillId="2" borderId="5" xfId="0" applyNumberFormat="1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4" fontId="2" fillId="0" borderId="4" xfId="0" applyNumberFormat="1" applyFont="1" applyBorder="1"/>
    <xf numFmtId="165" fontId="2" fillId="0" borderId="5" xfId="0" applyNumberFormat="1" applyFont="1" applyBorder="1"/>
    <xf numFmtId="0" fontId="2" fillId="0" borderId="5" xfId="0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4" fontId="2" fillId="2" borderId="1" xfId="0" applyNumberFormat="1" applyFont="1" applyFill="1" applyBorder="1"/>
    <xf numFmtId="165" fontId="2" fillId="2" borderId="2" xfId="0" applyNumberFormat="1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164" fontId="2" fillId="2" borderId="3" xfId="0" applyNumberFormat="1" applyFont="1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4" borderId="0" xfId="0" applyFill="1"/>
    <xf numFmtId="10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/>
    </xf>
    <xf numFmtId="0" fontId="0" fillId="0" borderId="10" xfId="0" applyBorder="1"/>
    <xf numFmtId="0" fontId="6" fillId="0" borderId="10" xfId="0" applyFont="1" applyBorder="1"/>
    <xf numFmtId="10" fontId="0" fillId="0" borderId="10" xfId="0" applyNumberFormat="1" applyBorder="1"/>
    <xf numFmtId="0" fontId="4" fillId="0" borderId="0" xfId="0" applyFont="1"/>
    <xf numFmtId="0" fontId="5" fillId="0" borderId="11" xfId="0" applyFont="1" applyBorder="1" applyAlignment="1">
      <alignment horizontal="left"/>
    </xf>
    <xf numFmtId="166" fontId="5" fillId="0" borderId="11" xfId="0" applyNumberFormat="1" applyFont="1" applyBorder="1"/>
    <xf numFmtId="0" fontId="5" fillId="0" borderId="11" xfId="0" applyFont="1" applyBorder="1"/>
    <xf numFmtId="0" fontId="4" fillId="0" borderId="9" xfId="0" applyFont="1" applyBorder="1" applyAlignment="1">
      <alignment horizontal="left"/>
    </xf>
    <xf numFmtId="166" fontId="4" fillId="0" borderId="9" xfId="0" applyNumberFormat="1" applyFont="1" applyBorder="1"/>
    <xf numFmtId="0" fontId="4" fillId="0" borderId="9" xfId="0" applyFont="1" applyBorder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0" fontId="4" fillId="0" borderId="8" xfId="0" pivotButton="1" applyFont="1" applyBorder="1"/>
    <xf numFmtId="0" fontId="4" fillId="0" borderId="7" xfId="0" applyFont="1" applyBorder="1"/>
    <xf numFmtId="166" fontId="4" fillId="0" borderId="12" xfId="0" applyNumberFormat="1" applyFont="1" applyBorder="1"/>
    <xf numFmtId="0" fontId="4" fillId="0" borderId="12" xfId="0" applyFont="1" applyBorder="1"/>
    <xf numFmtId="0" fontId="4" fillId="0" borderId="12" xfId="0" applyFont="1" applyBorder="1" applyAlignment="1">
      <alignment horizontal="left"/>
    </xf>
    <xf numFmtId="166" fontId="4" fillId="0" borderId="13" xfId="0" applyNumberFormat="1" applyFont="1" applyBorder="1"/>
    <xf numFmtId="0" fontId="4" fillId="0" borderId="13" xfId="0" applyFont="1" applyBorder="1"/>
    <xf numFmtId="0" fontId="4" fillId="0" borderId="13" xfId="0" applyFont="1" applyBorder="1" applyAlignment="1">
      <alignment horizontal="left"/>
    </xf>
    <xf numFmtId="14" fontId="0" fillId="0" borderId="0" xfId="0" applyNumberFormat="1"/>
    <xf numFmtId="0" fontId="9" fillId="6" borderId="0" xfId="2" applyFont="1" applyFill="1" applyAlignment="1">
      <alignment horizontal="left" vertical="center" wrapText="1"/>
    </xf>
    <xf numFmtId="0" fontId="9" fillId="6" borderId="0" xfId="2" applyFont="1" applyFill="1" applyAlignment="1">
      <alignment horizontal="left" vertical="center"/>
    </xf>
    <xf numFmtId="0" fontId="10" fillId="6" borderId="14" xfId="2" applyFont="1" applyFill="1" applyBorder="1" applyAlignment="1">
      <alignment horizontal="left" vertical="center" wrapText="1" indent="1"/>
    </xf>
    <xf numFmtId="0" fontId="10" fillId="6" borderId="0" xfId="2" applyFont="1" applyFill="1" applyAlignment="1">
      <alignment horizontal="left" vertical="center" wrapText="1" indent="1"/>
    </xf>
    <xf numFmtId="0" fontId="10" fillId="6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5" borderId="0" xfId="2" applyFill="1" applyAlignment="1">
      <alignment horizontal="left" vertical="center"/>
    </xf>
    <xf numFmtId="0" fontId="1" fillId="5" borderId="0" xfId="2" applyFill="1" applyAlignment="1">
      <alignment horizontal="left" vertical="top"/>
    </xf>
    <xf numFmtId="0" fontId="11" fillId="5" borderId="15" xfId="2" applyFont="1" applyFill="1" applyBorder="1" applyAlignment="1">
      <alignment vertical="top"/>
    </xf>
    <xf numFmtId="0" fontId="1" fillId="5" borderId="15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2" fillId="5" borderId="0" xfId="3" applyFill="1" applyAlignment="1">
      <alignment horizontal="left" vertical="center"/>
    </xf>
    <xf numFmtId="0" fontId="1" fillId="5" borderId="0" xfId="2" applyFill="1" applyAlignment="1">
      <alignment vertical="center" wrapText="1"/>
    </xf>
    <xf numFmtId="0" fontId="1" fillId="5" borderId="0" xfId="2" applyFill="1" applyAlignment="1">
      <alignment vertical="top" wrapText="1"/>
    </xf>
    <xf numFmtId="0" fontId="1" fillId="5" borderId="0" xfId="2" applyFill="1"/>
    <xf numFmtId="0" fontId="1" fillId="5" borderId="0" xfId="2" applyFill="1" applyAlignment="1">
      <alignment horizontal="left" vertical="top" wrapText="1"/>
    </xf>
    <xf numFmtId="0" fontId="0" fillId="5" borderId="0" xfId="2" applyFont="1" applyFill="1" applyAlignment="1">
      <alignment horizontal="left" vertical="top" wrapText="1"/>
    </xf>
    <xf numFmtId="0" fontId="1" fillId="0" borderId="0" xfId="2"/>
    <xf numFmtId="0" fontId="1" fillId="5" borderId="0" xfId="2" applyFill="1" applyAlignment="1">
      <alignment horizontal="left" vertical="center" wrapText="1"/>
    </xf>
  </cellXfs>
  <cellStyles count="4">
    <cellStyle name="Köprü 2" xfId="3" xr:uid="{0E047401-6462-4C87-B72E-8BC354B3E3C8}"/>
    <cellStyle name="Normal" xfId="0" builtinId="0"/>
    <cellStyle name="Normal 2" xfId="1" xr:uid="{6B132FB1-ED6B-4EBE-892D-B8BF51977720}"/>
    <cellStyle name="Normal 2 2" xfId="2" xr:uid="{E2A98103-C1B1-4870-BDB4-F91BE0A4080E}"/>
  </cellStyles>
  <dxfs count="35">
    <dxf>
      <alignment horizontal="right"/>
    </dxf>
    <dxf>
      <alignment vertical="top"/>
    </dxf>
    <dxf>
      <numFmt numFmtId="166" formatCode="&quot;₺&quot;#,##0.00"/>
    </dxf>
    <dxf>
      <alignment horizontal="right"/>
    </dxf>
    <dxf>
      <alignment vertical="top"/>
    </dxf>
    <dxf>
      <border>
        <bottom style="medium">
          <color theme="8" tint="-0.249977111117893"/>
        </bottom>
      </border>
    </dxf>
    <dxf>
      <border>
        <bottom style="medium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bottom style="thin">
          <color theme="8" tint="-0.249977111117893"/>
        </bottom>
      </border>
    </dxf>
    <dxf>
      <border>
        <top style="thin">
          <color theme="8" tint="-0.249977111117893"/>
        </top>
      </border>
    </dxf>
    <dxf>
      <border>
        <top style="thin">
          <color theme="8" tint="-0.249977111117893"/>
        </top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b/>
      </font>
    </dxf>
    <dxf>
      <font>
        <b/>
      </font>
    </dxf>
    <dxf>
      <font>
        <color theme="8" tint="0.39997558519241921"/>
      </font>
    </dxf>
    <dxf>
      <font>
        <color theme="8" tint="0.39997558519241921"/>
      </font>
    </dxf>
    <dxf>
      <font>
        <color theme="8" tint="0.59999389629810485"/>
      </font>
    </dxf>
    <dxf>
      <font>
        <color theme="8" tint="0.59999389629810485"/>
      </font>
    </dxf>
    <dxf>
      <font>
        <color theme="8" tint="0.59999389629810485"/>
      </font>
    </dxf>
    <dxf>
      <font>
        <color theme="8" tint="0.59999389629810485"/>
      </font>
    </dxf>
    <dxf>
      <alignment wrapText="1"/>
    </dxf>
    <dxf>
      <font>
        <b/>
        <color theme="1"/>
      </font>
      <fill>
        <patternFill patternType="none">
          <bgColor auto="1"/>
        </patternFill>
      </fill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8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XL751" pivot="0" table="0" count="10" xr9:uid="{F490F16B-383B-4AFF-AAB2-2190F0D1EAAD}">
      <tableStyleElement type="wholeTable" dxfId="34"/>
      <tableStyleElement type="headerRow" dxfId="33"/>
    </tableStyle>
  </tableStyles>
  <colors>
    <mruColors>
      <color rgb="FF10B83C"/>
      <color rgb="FFFF7C8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8" tint="-0.499984740745262"/>
          </font>
          <fill>
            <patternFill patternType="solid">
              <fgColor theme="4" tint="0.59999389629810485"/>
              <bgColor theme="8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XL75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3.xml" /><ns0:Relationship Id="rId13" Type="http://schemas.openxmlformats.org/officeDocument/2006/relationships/externalLink" Target="externalLinks/externalLink8.xml" /><ns0:Relationship Id="rId18" Type="http://schemas.openxmlformats.org/officeDocument/2006/relationships/calcChain" Target="calcChain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2.xml" /><ns0:Relationship Id="rId12" Type="http://schemas.openxmlformats.org/officeDocument/2006/relationships/externalLink" Target="externalLinks/externalLink7.xml" /><ns0:Relationship Id="rId1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6" Type="http://schemas.openxmlformats.org/officeDocument/2006/relationships/styles" Target="styles.xml" /><ns0:Relationship Id="rId6" Type="http://schemas.openxmlformats.org/officeDocument/2006/relationships/externalLink" Target="externalLinks/externalLink1.xml" /><ns0:Relationship Id="rId11" Type="http://schemas.openxmlformats.org/officeDocument/2006/relationships/externalLink" Target="externalLinks/externalLink6.xml" /><ns0:Relationship Id="rId5" Type="http://schemas.openxmlformats.org/officeDocument/2006/relationships/worksheet" Target="worksheets/sheet5.xml" /><ns0:Relationship Id="rId15" Type="http://schemas.openxmlformats.org/officeDocument/2006/relationships/theme" Target="theme/theme1.xml" /><ns0:Relationship Id="rId10" Type="http://schemas.openxmlformats.org/officeDocument/2006/relationships/externalLink" Target="externalLinks/externalLink5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4.xml" /><ns0:Relationship Id="rId14" Type="http://schemas.openxmlformats.org/officeDocument/2006/relationships/pivotCacheDefinition" Target="pivotCache/pivotCacheDefinition1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[-Şık_Mavi_Tasarımlı_Dashboard.xlsm]Ktg_Pvt!PivotTable5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7"/>
          <c:spPr>
            <a:solidFill>
              <a:schemeClr val="accent5">
                <a:lumMod val="40000"/>
                <a:lumOff val="6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7"/>
          <c:spPr>
            <a:solidFill>
              <a:schemeClr val="accent5">
                <a:lumMod val="40000"/>
                <a:lumOff val="6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1.5452474656434571E-2"/>
              <c:y val="-9.9944590259550894E-2"/>
            </c:manualLayout>
          </c:layout>
          <c:spPr>
            <a:noFill/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Ktg_Pvt!$B$3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solidFill>
                  <a:schemeClr val="accent5">
                    <a:lumMod val="40000"/>
                    <a:lumOff val="6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32-4B32-8863-5A90C144D472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accent5">
                    <a:lumMod val="40000"/>
                    <a:lumOff val="6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32-4B32-8863-5A90C144D472}"/>
              </c:ext>
            </c:extLst>
          </c:dPt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32-4B32-8863-5A90C144D472}"/>
                </c:ext>
              </c:extLst>
            </c:dLbl>
            <c:dLbl>
              <c:idx val="9"/>
              <c:layout>
                <c:manualLayout>
                  <c:x val="-1.5452474656434571E-2"/>
                  <c:y val="-9.9944590259550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32-4B32-8863-5A90C144D472}"/>
                </c:ext>
              </c:extLst>
            </c:dLbl>
            <c:spPr>
              <a:noFill/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Ktg_Pvt!$A$4:$A$16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Ktg_Pvt!$B$4:$B$16</c:f>
              <c:numCache>
                <c:formatCode>"₺"#,##0.00</c:formatCode>
                <c:ptCount val="12"/>
                <c:pt idx="0">
                  <c:v>536728.57000000007</c:v>
                </c:pt>
                <c:pt idx="1">
                  <c:v>358194.7</c:v>
                </c:pt>
                <c:pt idx="2">
                  <c:v>402266.86</c:v>
                </c:pt>
                <c:pt idx="3">
                  <c:v>2733.77</c:v>
                </c:pt>
                <c:pt idx="4">
                  <c:v>137829.19999999998</c:v>
                </c:pt>
                <c:pt idx="5">
                  <c:v>1201595.68</c:v>
                </c:pt>
                <c:pt idx="6">
                  <c:v>48256.39</c:v>
                </c:pt>
                <c:pt idx="7">
                  <c:v>105973.83</c:v>
                </c:pt>
                <c:pt idx="8">
                  <c:v>935046.33</c:v>
                </c:pt>
                <c:pt idx="9">
                  <c:v>5263.37</c:v>
                </c:pt>
                <c:pt idx="10">
                  <c:v>4789.38</c:v>
                </c:pt>
                <c:pt idx="11">
                  <c:v>270535.28000000003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32-4B32-8863-5A90C144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182816"/>
        <c:axId val="420183472"/>
      </c:lineChart>
      <c:catAx>
        <c:axId val="4201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83472"/>
        <c:crosses val="autoZero"/>
        <c:auto val="1"/>
        <c:lblAlgn val="ctr"/>
        <c:lblOffset val="100"/>
        <c:noMultiLvlLbl val="0"/>
      </c:catAx>
      <c:valAx>
        <c:axId val="420183472"/>
        <c:scaling>
          <c:orientation val="minMax"/>
        </c:scaling>
        <c:delete val="1"/>
        <c:axPos val="l"/>
        <c:numFmt formatCode="&quot;₺&quot;#,##0.00" sourceLinked="1"/>
        <c:majorTickMark val="none"/>
        <c:minorTickMark val="none"/>
        <c:tickLblPos val="nextTo"/>
        <c:crossAx val="42018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[-Şık_Mavi_Tasarımlı_Dashboard.xlsm]Ktg_Pvt!PivotTable5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Ktg_Pvt!$B$3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Ktg_Pvt!$A$4:$A$16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Ktg_Pvt!$B$4:$B$16</c:f>
              <c:numCache>
                <c:formatCode>"₺"#,##0.00</c:formatCode>
                <c:ptCount val="12"/>
                <c:pt idx="0">
                  <c:v>536728.57000000007</c:v>
                </c:pt>
                <c:pt idx="1">
                  <c:v>358194.7</c:v>
                </c:pt>
                <c:pt idx="2">
                  <c:v>402266.86</c:v>
                </c:pt>
                <c:pt idx="3">
                  <c:v>2733.77</c:v>
                </c:pt>
                <c:pt idx="4">
                  <c:v>137829.19999999998</c:v>
                </c:pt>
                <c:pt idx="5">
                  <c:v>1201595.68</c:v>
                </c:pt>
                <c:pt idx="6">
                  <c:v>48256.39</c:v>
                </c:pt>
                <c:pt idx="7">
                  <c:v>105973.83</c:v>
                </c:pt>
                <c:pt idx="8">
                  <c:v>935046.33</c:v>
                </c:pt>
                <c:pt idx="9">
                  <c:v>5263.37</c:v>
                </c:pt>
                <c:pt idx="10">
                  <c:v>4789.38</c:v>
                </c:pt>
                <c:pt idx="11">
                  <c:v>270535.28000000003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81-4123-9CF8-DD8A97D04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182816"/>
        <c:axId val="420183472"/>
      </c:lineChart>
      <c:catAx>
        <c:axId val="4201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83472"/>
        <c:crosses val="autoZero"/>
        <c:auto val="1"/>
        <c:lblAlgn val="ctr"/>
        <c:lblOffset val="100"/>
        <c:noMultiLvlLbl val="0"/>
      </c:catAx>
      <c:valAx>
        <c:axId val="420183472"/>
        <c:scaling>
          <c:orientation val="minMax"/>
        </c:scaling>
        <c:delete val="1"/>
        <c:axPos val="l"/>
        <c:numFmt formatCode="&quot;₺&quot;#,##0.00" sourceLinked="1"/>
        <c:majorTickMark val="none"/>
        <c:minorTickMark val="none"/>
        <c:tickLblPos val="nextTo"/>
        <c:crossAx val="42018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6</xdr:row>
      <xdr:rowOff>180975</xdr:rowOff>
    </xdr:from>
    <xdr:to>
      <xdr:col>11</xdr:col>
      <xdr:colOff>102075</xdr:colOff>
      <xdr:row>16</xdr:row>
      <xdr:rowOff>155475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43FDCBCB-51E4-4A89-A0D1-015D93C4C4CB}"/>
            </a:ext>
          </a:extLst>
        </xdr:cNvPr>
        <xdr:cNvSpPr/>
      </xdr:nvSpPr>
      <xdr:spPr>
        <a:xfrm>
          <a:off x="638175" y="1857375"/>
          <a:ext cx="2397600" cy="2070000"/>
        </a:xfrm>
        <a:prstGeom prst="roundRect">
          <a:avLst>
            <a:gd name="adj" fmla="val 7924"/>
          </a:avLst>
        </a:prstGeom>
        <a:gradFill flip="none" rotWithShape="1">
          <a:gsLst>
            <a:gs pos="0">
              <a:schemeClr val="accent5">
                <a:lumMod val="75000"/>
                <a:shade val="30000"/>
                <a:satMod val="115000"/>
              </a:schemeClr>
            </a:gs>
            <a:gs pos="50000">
              <a:schemeClr val="accent5">
                <a:lumMod val="75000"/>
                <a:shade val="67500"/>
                <a:satMod val="115000"/>
              </a:schemeClr>
            </a:gs>
            <a:gs pos="100000">
              <a:schemeClr val="accent5">
                <a:lumMod val="75000"/>
                <a:shade val="100000"/>
                <a:satMod val="115000"/>
              </a:schemeClr>
            </a:gs>
          </a:gsLst>
          <a:lin ang="13500000" scaled="1"/>
          <a:tileRect/>
        </a:gradFill>
        <a:ln>
          <a:noFill/>
        </a:ln>
        <a:effectLst>
          <a:outerShdw blurRad="304800" dist="203200" dir="4800000" sx="104000" sy="104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66674</xdr:colOff>
      <xdr:row>7</xdr:row>
      <xdr:rowOff>180975</xdr:rowOff>
    </xdr:from>
    <xdr:to>
      <xdr:col>8</xdr:col>
      <xdr:colOff>247649</xdr:colOff>
      <xdr:row>9</xdr:row>
      <xdr:rowOff>57150</xdr:rowOff>
    </xdr:to>
    <xdr:sp macro="" textlink="pvt!F6">
      <xdr:nvSpPr>
        <xdr:cNvPr id="4" name="Metin kutusu 3">
          <a:extLst>
            <a:ext uri="{FF2B5EF4-FFF2-40B4-BE49-F238E27FC236}">
              <a16:creationId xmlns:a16="http://schemas.microsoft.com/office/drawing/2014/main" id="{EA0DF195-667C-4596-8DA4-9DB45C479805}"/>
            </a:ext>
          </a:extLst>
        </xdr:cNvPr>
        <xdr:cNvSpPr txBox="1"/>
      </xdr:nvSpPr>
      <xdr:spPr>
        <a:xfrm>
          <a:off x="866774" y="2066925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E786F24D-BF67-4B7D-8ACA-83E7026E7AF0}" type="TxLink">
            <a:rPr lang="en-US" sz="14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Sipariş Sayısı</a:t>
          </a:fld>
          <a:endParaRPr lang="tr-TR" sz="14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19049</xdr:colOff>
      <xdr:row>9</xdr:row>
      <xdr:rowOff>200025</xdr:rowOff>
    </xdr:from>
    <xdr:to>
      <xdr:col>8</xdr:col>
      <xdr:colOff>200024</xdr:colOff>
      <xdr:row>12</xdr:row>
      <xdr:rowOff>180975</xdr:rowOff>
    </xdr:to>
    <xdr:sp macro="" textlink="pvt!F7">
      <xdr:nvSpPr>
        <xdr:cNvPr id="7" name="Metin kutusu 6">
          <a:extLst>
            <a:ext uri="{FF2B5EF4-FFF2-40B4-BE49-F238E27FC236}">
              <a16:creationId xmlns:a16="http://schemas.microsoft.com/office/drawing/2014/main" id="{724D1857-142E-4A18-980B-9955E73D1324}"/>
            </a:ext>
          </a:extLst>
        </xdr:cNvPr>
        <xdr:cNvSpPr txBox="1"/>
      </xdr:nvSpPr>
      <xdr:spPr>
        <a:xfrm>
          <a:off x="819149" y="2505075"/>
          <a:ext cx="1514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0BF1EC0-BBEA-44E4-8788-B34A2728BFF0}" type="TxLink">
            <a:rPr lang="en-US" sz="40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180</a:t>
          </a:fld>
          <a:endParaRPr lang="tr-TR" sz="40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19049</xdr:colOff>
      <xdr:row>13</xdr:row>
      <xdr:rowOff>9525</xdr:rowOff>
    </xdr:from>
    <xdr:to>
      <xdr:col>8</xdr:col>
      <xdr:colOff>200024</xdr:colOff>
      <xdr:row>15</xdr:row>
      <xdr:rowOff>200025</xdr:rowOff>
    </xdr:to>
    <xdr:sp macro="" textlink="pvt!F8">
      <xdr:nvSpPr>
        <xdr:cNvPr id="8" name="ss7">
          <a:extLst>
            <a:ext uri="{FF2B5EF4-FFF2-40B4-BE49-F238E27FC236}">
              <a16:creationId xmlns:a16="http://schemas.microsoft.com/office/drawing/2014/main" id="{AA5710D0-60F3-4AAC-A423-78B9688B8121}"/>
            </a:ext>
          </a:extLst>
        </xdr:cNvPr>
        <xdr:cNvSpPr txBox="1"/>
      </xdr:nvSpPr>
      <xdr:spPr>
        <a:xfrm>
          <a:off x="819149" y="3152775"/>
          <a:ext cx="1514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B57D190-726C-4900-B251-C5206990F791}" type="TxLink">
            <a:rPr lang="en-US" sz="1800">
              <a:solidFill>
                <a:srgbClr val="FF7C80"/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-22,75%</a:t>
          </a:fld>
          <a:endParaRPr lang="tr-TR" sz="1800">
            <a:solidFill>
              <a:srgbClr val="FF7C80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47625</xdr:colOff>
      <xdr:row>6</xdr:row>
      <xdr:rowOff>180975</xdr:rowOff>
    </xdr:from>
    <xdr:to>
      <xdr:col>24</xdr:col>
      <xdr:colOff>44925</xdr:colOff>
      <xdr:row>16</xdr:row>
      <xdr:rowOff>155475</xdr:rowOff>
    </xdr:to>
    <xdr:sp macro="" textlink="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52FCB394-A22E-4167-B3F9-45EFBA530661}"/>
            </a:ext>
          </a:extLst>
        </xdr:cNvPr>
        <xdr:cNvSpPr/>
      </xdr:nvSpPr>
      <xdr:spPr>
        <a:xfrm>
          <a:off x="4048125" y="1857375"/>
          <a:ext cx="2397600" cy="2070000"/>
        </a:xfrm>
        <a:prstGeom prst="roundRect">
          <a:avLst>
            <a:gd name="adj" fmla="val 7924"/>
          </a:avLst>
        </a:prstGeom>
        <a:gradFill flip="none" rotWithShape="1">
          <a:gsLst>
            <a:gs pos="0">
              <a:schemeClr val="accent5">
                <a:lumMod val="75000"/>
                <a:shade val="30000"/>
                <a:satMod val="115000"/>
              </a:schemeClr>
            </a:gs>
            <a:gs pos="50000">
              <a:schemeClr val="accent5">
                <a:lumMod val="75000"/>
                <a:shade val="67500"/>
                <a:satMod val="115000"/>
              </a:schemeClr>
            </a:gs>
            <a:gs pos="100000">
              <a:schemeClr val="accent5">
                <a:lumMod val="75000"/>
                <a:shade val="100000"/>
                <a:satMod val="115000"/>
              </a:schemeClr>
            </a:gs>
          </a:gsLst>
          <a:lin ang="13500000" scaled="1"/>
          <a:tileRect/>
        </a:gradFill>
        <a:ln>
          <a:noFill/>
        </a:ln>
        <a:effectLst>
          <a:outerShdw blurRad="304800" dist="203200" dir="4800000" sx="104000" sy="104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16</xdr:col>
      <xdr:colOff>9524</xdr:colOff>
      <xdr:row>7</xdr:row>
      <xdr:rowOff>180975</xdr:rowOff>
    </xdr:from>
    <xdr:to>
      <xdr:col>21</xdr:col>
      <xdr:colOff>190499</xdr:colOff>
      <xdr:row>9</xdr:row>
      <xdr:rowOff>57150</xdr:rowOff>
    </xdr:to>
    <xdr:sp macro="" textlink="pvt!H6">
      <xdr:nvSpPr>
        <xdr:cNvPr id="10" name="Metin kutusu 9">
          <a:extLst>
            <a:ext uri="{FF2B5EF4-FFF2-40B4-BE49-F238E27FC236}">
              <a16:creationId xmlns:a16="http://schemas.microsoft.com/office/drawing/2014/main" id="{133D60A0-8901-4D4A-A193-E2B6FFC57DEB}"/>
            </a:ext>
          </a:extLst>
        </xdr:cNvPr>
        <xdr:cNvSpPr txBox="1"/>
      </xdr:nvSpPr>
      <xdr:spPr>
        <a:xfrm>
          <a:off x="4276724" y="2066925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94B2F2A-0D41-44B2-AB3F-F89D92B83E38}" type="TxLink">
            <a:rPr lang="en-US" sz="14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Üye sayısı</a:t>
          </a:fld>
          <a:endParaRPr lang="tr-TR" sz="14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228599</xdr:colOff>
      <xdr:row>9</xdr:row>
      <xdr:rowOff>200025</xdr:rowOff>
    </xdr:from>
    <xdr:to>
      <xdr:col>21</xdr:col>
      <xdr:colOff>142874</xdr:colOff>
      <xdr:row>12</xdr:row>
      <xdr:rowOff>180975</xdr:rowOff>
    </xdr:to>
    <xdr:sp macro="" textlink="pvt!H7">
      <xdr:nvSpPr>
        <xdr:cNvPr id="11" name="Metin kutusu 10">
          <a:extLst>
            <a:ext uri="{FF2B5EF4-FFF2-40B4-BE49-F238E27FC236}">
              <a16:creationId xmlns:a16="http://schemas.microsoft.com/office/drawing/2014/main" id="{E0B46915-0DAB-4E63-92EE-867CEFAB7089}"/>
            </a:ext>
          </a:extLst>
        </xdr:cNvPr>
        <xdr:cNvSpPr txBox="1"/>
      </xdr:nvSpPr>
      <xdr:spPr>
        <a:xfrm>
          <a:off x="4229099" y="2505075"/>
          <a:ext cx="1514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E1494BB6-00A4-4D4F-BB68-DAEC77F70614}" type="TxLink">
            <a:rPr lang="en-US" sz="40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92</a:t>
          </a:fld>
          <a:endParaRPr lang="tr-TR" sz="40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228599</xdr:colOff>
      <xdr:row>13</xdr:row>
      <xdr:rowOff>9525</xdr:rowOff>
    </xdr:from>
    <xdr:to>
      <xdr:col>21</xdr:col>
      <xdr:colOff>142874</xdr:colOff>
      <xdr:row>15</xdr:row>
      <xdr:rowOff>200025</xdr:rowOff>
    </xdr:to>
    <xdr:sp macro="" textlink="pvt!H8">
      <xdr:nvSpPr>
        <xdr:cNvPr id="12" name="us21">
          <a:extLst>
            <a:ext uri="{FF2B5EF4-FFF2-40B4-BE49-F238E27FC236}">
              <a16:creationId xmlns:a16="http://schemas.microsoft.com/office/drawing/2014/main" id="{751D5F42-81D4-43F5-8643-4D4E0A1B9A70}"/>
            </a:ext>
          </a:extLst>
        </xdr:cNvPr>
        <xdr:cNvSpPr txBox="1"/>
      </xdr:nvSpPr>
      <xdr:spPr>
        <a:xfrm>
          <a:off x="4229099" y="3152775"/>
          <a:ext cx="1514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AAB802-4A0A-40D4-9BCD-083E42449636}" type="TxLink">
            <a:rPr lang="en-US" sz="1800">
              <a:solidFill>
                <a:srgbClr val="FF7C80"/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-25,81%</a:t>
          </a:fld>
          <a:endParaRPr lang="tr-TR" sz="1800">
            <a:solidFill>
              <a:srgbClr val="FF7C80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104775</xdr:colOff>
      <xdr:row>20</xdr:row>
      <xdr:rowOff>76200</xdr:rowOff>
    </xdr:from>
    <xdr:to>
      <xdr:col>11</xdr:col>
      <xdr:colOff>102075</xdr:colOff>
      <xdr:row>30</xdr:row>
      <xdr:rowOff>50700</xdr:rowOff>
    </xdr:to>
    <xdr:sp macro="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AAEEB009-BA42-47D1-8CBB-F639C51AD2E1}"/>
            </a:ext>
          </a:extLst>
        </xdr:cNvPr>
        <xdr:cNvSpPr/>
      </xdr:nvSpPr>
      <xdr:spPr>
        <a:xfrm>
          <a:off x="638175" y="4686300"/>
          <a:ext cx="2397600" cy="2070000"/>
        </a:xfrm>
        <a:prstGeom prst="roundRect">
          <a:avLst>
            <a:gd name="adj" fmla="val 7924"/>
          </a:avLst>
        </a:prstGeom>
        <a:gradFill flip="none" rotWithShape="1">
          <a:gsLst>
            <a:gs pos="0">
              <a:schemeClr val="accent5">
                <a:lumMod val="75000"/>
                <a:shade val="30000"/>
                <a:satMod val="115000"/>
              </a:schemeClr>
            </a:gs>
            <a:gs pos="50000">
              <a:schemeClr val="accent5">
                <a:lumMod val="75000"/>
                <a:shade val="67500"/>
                <a:satMod val="115000"/>
              </a:schemeClr>
            </a:gs>
            <a:gs pos="100000">
              <a:schemeClr val="accent5">
                <a:lumMod val="75000"/>
                <a:shade val="100000"/>
                <a:satMod val="115000"/>
              </a:schemeClr>
            </a:gs>
          </a:gsLst>
          <a:lin ang="13500000" scaled="1"/>
          <a:tileRect/>
        </a:gradFill>
        <a:ln>
          <a:noFill/>
        </a:ln>
        <a:effectLst>
          <a:outerShdw blurRad="304800" dist="203200" dir="4800000" sx="104000" sy="104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66674</xdr:colOff>
      <xdr:row>21</xdr:row>
      <xdr:rowOff>76200</xdr:rowOff>
    </xdr:from>
    <xdr:to>
      <xdr:col>8</xdr:col>
      <xdr:colOff>247649</xdr:colOff>
      <xdr:row>22</xdr:row>
      <xdr:rowOff>161925</xdr:rowOff>
    </xdr:to>
    <xdr:sp macro="" textlink="pvt!G6">
      <xdr:nvSpPr>
        <xdr:cNvPr id="14" name="Metin kutusu 13">
          <a:extLst>
            <a:ext uri="{FF2B5EF4-FFF2-40B4-BE49-F238E27FC236}">
              <a16:creationId xmlns:a16="http://schemas.microsoft.com/office/drawing/2014/main" id="{075FC809-DA04-4DC4-B1DF-8C1825B2006E}"/>
            </a:ext>
          </a:extLst>
        </xdr:cNvPr>
        <xdr:cNvSpPr txBox="1"/>
      </xdr:nvSpPr>
      <xdr:spPr>
        <a:xfrm>
          <a:off x="866774" y="4895850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5C771D3-EAA3-40DE-B9DD-63192C6D6C5B}" type="TxLink">
            <a:rPr lang="en-US" sz="14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Toplam Ciro</a:t>
          </a:fld>
          <a:endParaRPr lang="tr-TR" sz="14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19048</xdr:colOff>
      <xdr:row>23</xdr:row>
      <xdr:rowOff>95250</xdr:rowOff>
    </xdr:from>
    <xdr:to>
      <xdr:col>12</xdr:col>
      <xdr:colOff>247649</xdr:colOff>
      <xdr:row>26</xdr:row>
      <xdr:rowOff>76200</xdr:rowOff>
    </xdr:to>
    <xdr:sp macro="" textlink="pvt!G7">
      <xdr:nvSpPr>
        <xdr:cNvPr id="15" name="Metin kutusu 14">
          <a:extLst>
            <a:ext uri="{FF2B5EF4-FFF2-40B4-BE49-F238E27FC236}">
              <a16:creationId xmlns:a16="http://schemas.microsoft.com/office/drawing/2014/main" id="{61B75A31-B4CE-418F-9D2A-DA5748F6011C}"/>
            </a:ext>
          </a:extLst>
        </xdr:cNvPr>
        <xdr:cNvSpPr txBox="1"/>
      </xdr:nvSpPr>
      <xdr:spPr>
        <a:xfrm>
          <a:off x="819148" y="5334000"/>
          <a:ext cx="2628901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EBD53CC-1397-45B4-9452-98D7F955042D}" type="TxLink">
            <a:rPr lang="en-US" sz="28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₺4.009.213</a:t>
          </a:fld>
          <a:endParaRPr lang="tr-TR" sz="28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19049</xdr:colOff>
      <xdr:row>26</xdr:row>
      <xdr:rowOff>114300</xdr:rowOff>
    </xdr:from>
    <xdr:to>
      <xdr:col>8</xdr:col>
      <xdr:colOff>200024</xdr:colOff>
      <xdr:row>29</xdr:row>
      <xdr:rowOff>95250</xdr:rowOff>
    </xdr:to>
    <xdr:sp macro="" textlink="pvt!G8">
      <xdr:nvSpPr>
        <xdr:cNvPr id="16" name="tc12">
          <a:extLst>
            <a:ext uri="{FF2B5EF4-FFF2-40B4-BE49-F238E27FC236}">
              <a16:creationId xmlns:a16="http://schemas.microsoft.com/office/drawing/2014/main" id="{C78010A7-268A-4D3D-BE13-CD9276992535}"/>
            </a:ext>
          </a:extLst>
        </xdr:cNvPr>
        <xdr:cNvSpPr txBox="1"/>
      </xdr:nvSpPr>
      <xdr:spPr>
        <a:xfrm>
          <a:off x="819149" y="5981700"/>
          <a:ext cx="1514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4CCC-3BCC-4F23-BA62-6D12123A4D07}" type="TxLink">
            <a:rPr lang="en-US" sz="1800">
              <a:solidFill>
                <a:srgbClr val="10B83C"/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2,37%</a:t>
          </a:fld>
          <a:endParaRPr lang="tr-TR" sz="1800">
            <a:solidFill>
              <a:srgbClr val="10B83C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47625</xdr:colOff>
      <xdr:row>20</xdr:row>
      <xdr:rowOff>76200</xdr:rowOff>
    </xdr:from>
    <xdr:to>
      <xdr:col>24</xdr:col>
      <xdr:colOff>44925</xdr:colOff>
      <xdr:row>30</xdr:row>
      <xdr:rowOff>50700</xdr:rowOff>
    </xdr:to>
    <xdr:sp macro="" textlink="">
      <xdr:nvSpPr>
        <xdr:cNvPr id="17" name="Dikdörtgen: Köşeleri Yuvarlatılmış 16">
          <a:extLst>
            <a:ext uri="{FF2B5EF4-FFF2-40B4-BE49-F238E27FC236}">
              <a16:creationId xmlns:a16="http://schemas.microsoft.com/office/drawing/2014/main" id="{55BA7309-4F47-4C2C-9AD2-43B370269B5C}"/>
            </a:ext>
          </a:extLst>
        </xdr:cNvPr>
        <xdr:cNvSpPr/>
      </xdr:nvSpPr>
      <xdr:spPr>
        <a:xfrm>
          <a:off x="4048125" y="4686300"/>
          <a:ext cx="2397600" cy="2070000"/>
        </a:xfrm>
        <a:prstGeom prst="roundRect">
          <a:avLst>
            <a:gd name="adj" fmla="val 7924"/>
          </a:avLst>
        </a:prstGeom>
        <a:gradFill flip="none" rotWithShape="1">
          <a:gsLst>
            <a:gs pos="0">
              <a:schemeClr val="accent5">
                <a:lumMod val="75000"/>
                <a:shade val="30000"/>
                <a:satMod val="115000"/>
              </a:schemeClr>
            </a:gs>
            <a:gs pos="50000">
              <a:schemeClr val="accent5">
                <a:lumMod val="75000"/>
                <a:shade val="67500"/>
                <a:satMod val="115000"/>
              </a:schemeClr>
            </a:gs>
            <a:gs pos="100000">
              <a:schemeClr val="accent5">
                <a:lumMod val="75000"/>
                <a:shade val="100000"/>
                <a:satMod val="115000"/>
              </a:schemeClr>
            </a:gs>
          </a:gsLst>
          <a:lin ang="13500000" scaled="1"/>
          <a:tileRect/>
        </a:gradFill>
        <a:ln>
          <a:noFill/>
        </a:ln>
        <a:effectLst>
          <a:outerShdw blurRad="304800" dist="203200" dir="4800000" sx="104000" sy="104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16</xdr:col>
      <xdr:colOff>9524</xdr:colOff>
      <xdr:row>21</xdr:row>
      <xdr:rowOff>76200</xdr:rowOff>
    </xdr:from>
    <xdr:to>
      <xdr:col>23</xdr:col>
      <xdr:colOff>114300</xdr:colOff>
      <xdr:row>22</xdr:row>
      <xdr:rowOff>161925</xdr:rowOff>
    </xdr:to>
    <xdr:sp macro="" textlink="pvt!I6">
      <xdr:nvSpPr>
        <xdr:cNvPr id="18" name="Metin kutusu 17">
          <a:extLst>
            <a:ext uri="{FF2B5EF4-FFF2-40B4-BE49-F238E27FC236}">
              <a16:creationId xmlns:a16="http://schemas.microsoft.com/office/drawing/2014/main" id="{3BC118BC-27A1-4348-ACCE-93C968C21AF1}"/>
            </a:ext>
          </a:extLst>
        </xdr:cNvPr>
        <xdr:cNvSpPr txBox="1"/>
      </xdr:nvSpPr>
      <xdr:spPr>
        <a:xfrm>
          <a:off x="4276724" y="4895850"/>
          <a:ext cx="1971676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0F981F6-3950-4F65-9AE4-EBE603B748FE}" type="TxLink">
            <a:rPr lang="en-US" sz="14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E-Cüzdan Ödemeleri</a:t>
          </a:fld>
          <a:endParaRPr lang="tr-TR" sz="14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228599</xdr:colOff>
      <xdr:row>23</xdr:row>
      <xdr:rowOff>95250</xdr:rowOff>
    </xdr:from>
    <xdr:to>
      <xdr:col>21</xdr:col>
      <xdr:colOff>142874</xdr:colOff>
      <xdr:row>26</xdr:row>
      <xdr:rowOff>76200</xdr:rowOff>
    </xdr:to>
    <xdr:sp macro="" textlink="pvt!I7">
      <xdr:nvSpPr>
        <xdr:cNvPr id="19" name="Metin kutusu 18">
          <a:extLst>
            <a:ext uri="{FF2B5EF4-FFF2-40B4-BE49-F238E27FC236}">
              <a16:creationId xmlns:a16="http://schemas.microsoft.com/office/drawing/2014/main" id="{164C1576-BD1B-4AD6-91A1-E7FEBDC605DA}"/>
            </a:ext>
          </a:extLst>
        </xdr:cNvPr>
        <xdr:cNvSpPr txBox="1"/>
      </xdr:nvSpPr>
      <xdr:spPr>
        <a:xfrm>
          <a:off x="4229099" y="5334000"/>
          <a:ext cx="1514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57CA521A-C40E-4ECD-B8B9-5FA5D82531FC}" type="TxLink">
            <a:rPr lang="en-US" sz="28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73</a:t>
          </a:fld>
          <a:endParaRPr lang="tr-TR" sz="28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228599</xdr:colOff>
      <xdr:row>26</xdr:row>
      <xdr:rowOff>114300</xdr:rowOff>
    </xdr:from>
    <xdr:to>
      <xdr:col>21</xdr:col>
      <xdr:colOff>142874</xdr:colOff>
      <xdr:row>29</xdr:row>
      <xdr:rowOff>95250</xdr:rowOff>
    </xdr:to>
    <xdr:sp macro="" textlink="pvt!I8">
      <xdr:nvSpPr>
        <xdr:cNvPr id="20" name="ec41">
          <a:extLst>
            <a:ext uri="{FF2B5EF4-FFF2-40B4-BE49-F238E27FC236}">
              <a16:creationId xmlns:a16="http://schemas.microsoft.com/office/drawing/2014/main" id="{86218BB4-FD34-4EA2-AC4C-ECF064D255E5}"/>
            </a:ext>
          </a:extLst>
        </xdr:cNvPr>
        <xdr:cNvSpPr txBox="1"/>
      </xdr:nvSpPr>
      <xdr:spPr>
        <a:xfrm>
          <a:off x="4229099" y="5981700"/>
          <a:ext cx="1514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51F734-F388-4FAD-8199-BC27A0D2C727}" type="TxLink">
            <a:rPr lang="en-US" sz="1800">
              <a:solidFill>
                <a:srgbClr val="10B83C"/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4,29%</a:t>
          </a:fld>
          <a:endParaRPr lang="tr-TR" sz="1800">
            <a:solidFill>
              <a:srgbClr val="10B83C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104773</xdr:colOff>
      <xdr:row>0</xdr:row>
      <xdr:rowOff>161925</xdr:rowOff>
    </xdr:from>
    <xdr:to>
      <xdr:col>19</xdr:col>
      <xdr:colOff>9525</xdr:colOff>
      <xdr:row>3</xdr:row>
      <xdr:rowOff>152400</xdr:rowOff>
    </xdr:to>
    <xdr:sp macro="" textlink="">
      <xdr:nvSpPr>
        <xdr:cNvPr id="21" name="Metin kutusu 20">
          <a:extLst>
            <a:ext uri="{FF2B5EF4-FFF2-40B4-BE49-F238E27FC236}">
              <a16:creationId xmlns:a16="http://schemas.microsoft.com/office/drawing/2014/main" id="{3B973FDD-8C82-41EC-9608-FF1931ED7800}"/>
            </a:ext>
          </a:extLst>
        </xdr:cNvPr>
        <xdr:cNvSpPr txBox="1"/>
      </xdr:nvSpPr>
      <xdr:spPr>
        <a:xfrm>
          <a:off x="638173" y="161925"/>
          <a:ext cx="4438652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36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</a:rPr>
            <a:t>Dashboard - 2020</a:t>
          </a:r>
        </a:p>
      </xdr:txBody>
    </xdr:sp>
    <xdr:clientData/>
  </xdr:twoCellAnchor>
  <xdr:twoCellAnchor>
    <xdr:from>
      <xdr:col>27</xdr:col>
      <xdr:colOff>219074</xdr:colOff>
      <xdr:row>6</xdr:row>
      <xdr:rowOff>171450</xdr:rowOff>
    </xdr:from>
    <xdr:to>
      <xdr:col>55</xdr:col>
      <xdr:colOff>38099</xdr:colOff>
      <xdr:row>30</xdr:row>
      <xdr:rowOff>50700</xdr:rowOff>
    </xdr:to>
    <xdr:sp macro="" textlink="">
      <xdr:nvSpPr>
        <xdr:cNvPr id="22" name="Dikdörtgen: Köşeleri Yuvarlatılmış 21">
          <a:extLst>
            <a:ext uri="{FF2B5EF4-FFF2-40B4-BE49-F238E27FC236}">
              <a16:creationId xmlns:a16="http://schemas.microsoft.com/office/drawing/2014/main" id="{67FDDD2C-B14C-4E92-8D0D-800F24F4D3FD}"/>
            </a:ext>
          </a:extLst>
        </xdr:cNvPr>
        <xdr:cNvSpPr/>
      </xdr:nvSpPr>
      <xdr:spPr>
        <a:xfrm>
          <a:off x="7419974" y="1847850"/>
          <a:ext cx="7286625" cy="4908450"/>
        </a:xfrm>
        <a:prstGeom prst="roundRect">
          <a:avLst>
            <a:gd name="adj" fmla="val 7924"/>
          </a:avLst>
        </a:prstGeom>
        <a:gradFill flip="none" rotWithShape="1">
          <a:gsLst>
            <a:gs pos="0">
              <a:schemeClr val="accent5">
                <a:lumMod val="75000"/>
                <a:shade val="30000"/>
                <a:satMod val="115000"/>
              </a:schemeClr>
            </a:gs>
            <a:gs pos="50000">
              <a:schemeClr val="accent5">
                <a:lumMod val="75000"/>
                <a:shade val="67500"/>
                <a:satMod val="115000"/>
              </a:schemeClr>
            </a:gs>
            <a:gs pos="100000">
              <a:schemeClr val="accent5">
                <a:lumMod val="75000"/>
                <a:shade val="100000"/>
                <a:satMod val="115000"/>
              </a:schemeClr>
            </a:gs>
          </a:gsLst>
          <a:lin ang="13500000" scaled="1"/>
          <a:tileRect/>
        </a:gradFill>
        <a:ln>
          <a:noFill/>
        </a:ln>
        <a:effectLst>
          <a:outerShdw blurRad="304800" dist="203200" dir="4800000" sx="104000" sy="104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29</xdr:col>
      <xdr:colOff>76199</xdr:colOff>
      <xdr:row>8</xdr:row>
      <xdr:rowOff>12838</xdr:rowOff>
    </xdr:from>
    <xdr:to>
      <xdr:col>34</xdr:col>
      <xdr:colOff>257174</xdr:colOff>
      <xdr:row>9</xdr:row>
      <xdr:rowOff>98563</xdr:rowOff>
    </xdr:to>
    <xdr:sp macro="" textlink="Ktg_Pvt!G3">
      <xdr:nvSpPr>
        <xdr:cNvPr id="23" name="Metin kutusu 22">
          <a:extLst>
            <a:ext uri="{FF2B5EF4-FFF2-40B4-BE49-F238E27FC236}">
              <a16:creationId xmlns:a16="http://schemas.microsoft.com/office/drawing/2014/main" id="{7C5AA3D1-488C-4AC9-B6CC-6FB97EB975A1}"/>
            </a:ext>
          </a:extLst>
        </xdr:cNvPr>
        <xdr:cNvSpPr txBox="1"/>
      </xdr:nvSpPr>
      <xdr:spPr>
        <a:xfrm>
          <a:off x="7810499" y="2108338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8EBF24-05A3-49EE-92A5-85BC493A30E1}" type="TxLink">
            <a:rPr lang="en-US" sz="14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Kategoriler</a:t>
          </a:fld>
          <a:endParaRPr lang="tr-TR" sz="14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21430</xdr:colOff>
      <xdr:row>10</xdr:row>
      <xdr:rowOff>182166</xdr:rowOff>
    </xdr:from>
    <xdr:to>
      <xdr:col>51</xdr:col>
      <xdr:colOff>148828</xdr:colOff>
      <xdr:row>17</xdr:row>
      <xdr:rowOff>44053</xdr:rowOff>
    </xdr:to>
    <xdr:graphicFrame macro="">
      <xdr:nvGraphicFramePr>
        <xdr:cNvPr id="24" name="Grafik 23">
          <a:extLst>
            <a:ext uri="{FF2B5EF4-FFF2-40B4-BE49-F238E27FC236}">
              <a16:creationId xmlns:a16="http://schemas.microsoft.com/office/drawing/2014/main" id="{ED73C94B-7662-4691-B15B-A49C4AEC1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37504</xdr:colOff>
          <xdr:row>19</xdr:row>
          <xdr:rowOff>94191</xdr:rowOff>
        </xdr:from>
        <xdr:to>
          <xdr:col>49</xdr:col>
          <xdr:colOff>132754</xdr:colOff>
          <xdr:row>28</xdr:row>
          <xdr:rowOff>28574</xdr:rowOff>
        </xdr:to>
        <xdr:pic>
          <xdr:nvPicPr>
            <xdr:cNvPr id="26" name="Resim 25">
              <a:extLst>
                <a:ext uri="{FF2B5EF4-FFF2-40B4-BE49-F238E27FC236}">
                  <a16:creationId xmlns:a16="http://schemas.microsoft.com/office/drawing/2014/main" id="{6E1EA351-B4A9-46D0-8C54-226FF575E49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Ktg_Pvt!$A$25:$D$32" spid="_x0000_s411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105304" y="4494741"/>
              <a:ext cx="4095750" cy="18203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104773</xdr:colOff>
      <xdr:row>3</xdr:row>
      <xdr:rowOff>171451</xdr:rowOff>
    </xdr:from>
    <xdr:to>
      <xdr:col>19</xdr:col>
      <xdr:colOff>9525</xdr:colOff>
      <xdr:row>5</xdr:row>
      <xdr:rowOff>95251</xdr:rowOff>
    </xdr:to>
    <xdr:sp macro="" textlink="pvt!F3">
      <xdr:nvSpPr>
        <xdr:cNvPr id="27" name="Metin kutusu 26">
          <a:extLst>
            <a:ext uri="{FF2B5EF4-FFF2-40B4-BE49-F238E27FC236}">
              <a16:creationId xmlns:a16="http://schemas.microsoft.com/office/drawing/2014/main" id="{8173A300-070E-40F8-A1C5-2AFD4BE8B248}"/>
            </a:ext>
          </a:extLst>
        </xdr:cNvPr>
        <xdr:cNvSpPr txBox="1"/>
      </xdr:nvSpPr>
      <xdr:spPr>
        <a:xfrm>
          <a:off x="638173" y="800101"/>
          <a:ext cx="4438652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2D0B06A-47FE-4199-B8FB-0C28E52C4A08}" type="TxLink">
            <a:rPr lang="en-US" sz="1200">
              <a:solidFill>
                <a:schemeClr val="accent5">
                  <a:lumMod val="40000"/>
                  <a:lumOff val="60000"/>
                </a:schemeClr>
              </a:solidFill>
              <a:latin typeface="Abadi" panose="020B0604020104020204" pitchFamily="34" charset="0"/>
              <a:ea typeface="+mn-ea"/>
              <a:cs typeface="+mn-cs"/>
            </a:rPr>
            <a:pPr marL="0" indent="0" algn="l"/>
            <a:t>Tarih: 20.04.2023</a:t>
          </a:fld>
          <a:endParaRPr lang="tr-TR" sz="1200">
            <a:solidFill>
              <a:schemeClr val="accent5">
                <a:lumMod val="40000"/>
                <a:lumOff val="60000"/>
              </a:schemeClr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389928</xdr:colOff>
      <xdr:row>6</xdr:row>
      <xdr:rowOff>11905</xdr:rowOff>
    </xdr:from>
    <xdr:to>
      <xdr:col>10</xdr:col>
      <xdr:colOff>169663</xdr:colOff>
      <xdr:row>15</xdr:row>
      <xdr:rowOff>112513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7109948-164E-42D5-8206-80A79EC47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ğlu" refreshedDate="44443.701894212965" createdVersion="7" refreshedVersion="7" minRefreshableVersion="3" recordCount="413" xr:uid="{F6EE48B4-A182-4C11-8341-1F5106C1CD17}">
  <cacheSource type="worksheet">
    <worksheetSource ref="A1:L414" sheet="Data"/>
  </cacheSource>
  <cacheFields count="14">
    <cacheField name="Tarih" numFmtId="14">
      <sharedItems containsSemiMixedTypes="0" containsNonDate="0" containsDate="1" containsString="0" minDate="2019-01-01T00:00:00" maxDate="2020-12-04T00:00:00" count="70">
        <d v="2019-05-01T00:00:00"/>
        <d v="2019-08-03T00:00:00"/>
        <d v="2019-03-03T00:00:00"/>
        <d v="2019-08-02T00:00:00"/>
        <d v="2019-10-01T00:00:00"/>
        <d v="2020-06-02T00:00:00"/>
        <d v="2020-09-03T00:00:00"/>
        <d v="2020-12-02T00:00:00"/>
        <d v="2020-07-02T00:00:00"/>
        <d v="2019-11-03T00:00:00"/>
        <d v="2019-01-01T00:00:00"/>
        <d v="2019-05-03T00:00:00"/>
        <d v="2019-02-03T00:00:00"/>
        <d v="2019-10-03T00:00:00"/>
        <d v="2020-10-01T00:00:00"/>
        <d v="2020-07-01T00:00:00"/>
        <d v="2020-10-03T00:00:00"/>
        <d v="2019-02-02T00:00:00"/>
        <d v="2019-04-03T00:00:00"/>
        <d v="2019-09-03T00:00:00"/>
        <d v="2020-10-02T00:00:00"/>
        <d v="2019-03-02T00:00:00"/>
        <d v="2020-07-03T00:00:00"/>
        <d v="2019-12-03T00:00:00"/>
        <d v="2020-03-02T00:00:00"/>
        <d v="2019-06-03T00:00:00"/>
        <d v="2020-02-02T00:00:00"/>
        <d v="2020-06-01T00:00:00"/>
        <d v="2020-11-02T00:00:00"/>
        <d v="2020-05-03T00:00:00"/>
        <d v="2019-09-01T00:00:00"/>
        <d v="2019-12-01T00:00:00"/>
        <d v="2019-02-01T00:00:00"/>
        <d v="2020-12-03T00:00:00"/>
        <d v="2020-08-03T00:00:00"/>
        <d v="2020-09-02T00:00:00"/>
        <d v="2020-01-03T00:00:00"/>
        <d v="2019-01-02T00:00:00"/>
        <d v="2019-05-02T00:00:00"/>
        <d v="2020-12-01T00:00:00"/>
        <d v="2020-08-01T00:00:00"/>
        <d v="2020-08-02T00:00:00"/>
        <d v="2019-10-02T00:00:00"/>
        <d v="2019-07-02T00:00:00"/>
        <d v="2019-04-01T00:00:00"/>
        <d v="2020-03-01T00:00:00"/>
        <d v="2019-09-02T00:00:00"/>
        <d v="2020-03-03T00:00:00"/>
        <d v="2019-12-02T00:00:00"/>
        <d v="2019-11-01T00:00:00"/>
        <d v="2019-11-02T00:00:00"/>
        <d v="2020-02-03T00:00:00"/>
        <d v="2020-11-01T00:00:00"/>
        <d v="2020-11-03T00:00:00"/>
        <d v="2019-07-01T00:00:00"/>
        <d v="2019-06-01T00:00:00"/>
        <d v="2019-07-03T00:00:00"/>
        <d v="2019-08-01T00:00:00"/>
        <d v="2019-03-01T00:00:00"/>
        <d v="2019-04-02T00:00:00"/>
        <d v="2019-01-03T00:00:00"/>
        <d v="2019-06-02T00:00:00"/>
        <d v="2020-06-03T00:00:00"/>
        <d v="2020-04-02T00:00:00"/>
        <d v="2020-09-01T00:00:00"/>
        <d v="2020-04-03T00:00:00"/>
        <d v="2020-01-01T00:00:00"/>
        <d v="2020-02-01T00:00:00"/>
        <d v="2020-05-01T00:00:00"/>
        <d v="2020-05-02T00:00:00"/>
      </sharedItems>
      <fieldGroup par="13" base="0">
        <rangePr groupBy="months" startDate="2019-01-01T00:00:00" endDate="2020-12-04T00:00:00"/>
        <groupItems count="14">
          <s v="&lt;1.01.2019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4.12.2020"/>
        </groupItems>
      </fieldGroup>
    </cacheField>
    <cacheField name="Saat" numFmtId="165">
      <sharedItems containsSemiMixedTypes="0" containsNonDate="0" containsDate="1" containsString="0" minDate="1899-12-30T10:00:00" maxDate="1899-12-30T20:57:00"/>
    </cacheField>
    <cacheField name="Fatura No" numFmtId="0">
      <sharedItems/>
    </cacheField>
    <cacheField name="Şube" numFmtId="0">
      <sharedItems/>
    </cacheField>
    <cacheField name="Şehir" numFmtId="0">
      <sharedItems/>
    </cacheField>
    <cacheField name="Müşteri Tipi" numFmtId="0">
      <sharedItems count="2">
        <s v="Üye"/>
        <s v="Normal"/>
      </sharedItems>
    </cacheField>
    <cacheField name="Cinsiyet" numFmtId="0">
      <sharedItems/>
    </cacheField>
    <cacheField name="Ürün Kategorisi" numFmtId="0">
      <sharedItems count="6">
        <s v="Sağlık ve Bakım"/>
        <s v="Elektronik Aksesuar"/>
        <s v="Ev ve Yaşam"/>
        <s v="Spor ve Seyehat"/>
        <s v="Moda ve Takı"/>
        <s v="Yiyecek ve İçecek"/>
      </sharedItems>
    </cacheField>
    <cacheField name="Ödeme" numFmtId="0">
      <sharedItems count="3">
        <s v="E-Cüzdan"/>
        <s v="Nakit"/>
        <s v="Kredi Kartı"/>
      </sharedItems>
    </cacheField>
    <cacheField name="Birim Fiyat" numFmtId="164">
      <sharedItems containsSemiMixedTypes="0" containsString="0" containsNumber="1" minValue="13.22" maxValue="44560"/>
    </cacheField>
    <cacheField name="Adet" numFmtId="0">
      <sharedItems containsSemiMixedTypes="0" containsString="0" containsNumber="1" containsInteger="1" minValue="1" maxValue="10"/>
    </cacheField>
    <cacheField name="Toplam" numFmtId="164">
      <sharedItems containsSemiMixedTypes="0" containsString="0" containsNumber="1" minValue="13.98" maxValue="445420"/>
    </cacheField>
    <cacheField name="Çeyrek" numFmtId="0" databaseField="0">
      <fieldGroup base="0">
        <rangePr groupBy="quarters" startDate="2019-01-01T00:00:00" endDate="2020-12-04T00:00:00"/>
        <groupItems count="6">
          <s v="&lt;1.01.2019"/>
          <s v="Çey1"/>
          <s v="Çey2"/>
          <s v="Çey3"/>
          <s v="Çey4"/>
          <s v="&gt;4.12.2020"/>
        </groupItems>
      </fieldGroup>
    </cacheField>
    <cacheField name="Yıl" numFmtId="0" databaseField="0">
      <fieldGroup base="0">
        <rangePr groupBy="years" startDate="2019-01-01T00:00:00" endDate="2020-12-04T00:00:00"/>
        <groupItems count="4">
          <s v="&lt;1.01.2019"/>
          <s v="2019"/>
          <s v="2020"/>
          <s v="&gt;4.12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x v="0"/>
    <d v="1899-12-30T13:08:00"/>
    <s v="750-67-8428"/>
    <s v="A"/>
    <s v="İzmir"/>
    <x v="0"/>
    <s v="Kadın"/>
    <x v="0"/>
    <x v="0"/>
    <n v="74.69"/>
    <n v="7"/>
    <n v="522.82999999999993"/>
  </r>
  <r>
    <x v="1"/>
    <d v="1899-12-30T10:29:00"/>
    <s v="226-31-3081"/>
    <s v="C"/>
    <s v="İstanbul"/>
    <x v="1"/>
    <s v="Kadın"/>
    <x v="1"/>
    <x v="1"/>
    <n v="15.28"/>
    <n v="5"/>
    <n v="76.399999999999991"/>
  </r>
  <r>
    <x v="2"/>
    <d v="1899-12-30T13:23:00"/>
    <s v="631-41-3108"/>
    <s v="A"/>
    <s v="İzmir"/>
    <x v="1"/>
    <s v="Erkek"/>
    <x v="2"/>
    <x v="2"/>
    <n v="46.33"/>
    <n v="7"/>
    <n v="324.31"/>
  </r>
  <r>
    <x v="3"/>
    <d v="1899-12-30T10:37:00"/>
    <s v="373-73-7910"/>
    <s v="A"/>
    <s v="İzmir"/>
    <x v="1"/>
    <s v="Erkek"/>
    <x v="3"/>
    <x v="0"/>
    <n v="86.31"/>
    <n v="7"/>
    <n v="604.17000000000007"/>
  </r>
  <r>
    <x v="4"/>
    <d v="1899-12-30T17:15:00"/>
    <s v="665-32-9167"/>
    <s v="A"/>
    <s v="İzmir"/>
    <x v="0"/>
    <s v="Kadın"/>
    <x v="0"/>
    <x v="2"/>
    <n v="36.26"/>
    <n v="2"/>
    <n v="72.52"/>
  </r>
  <r>
    <x v="5"/>
    <d v="1899-12-30T18:07:00"/>
    <s v="351-62-0822"/>
    <s v="B"/>
    <s v="Ankara"/>
    <x v="0"/>
    <s v="Kadın"/>
    <x v="4"/>
    <x v="0"/>
    <n v="14.48"/>
    <n v="4"/>
    <n v="57.92"/>
  </r>
  <r>
    <x v="6"/>
    <d v="1899-12-30T17:03:00"/>
    <s v="529-56-3974"/>
    <s v="B"/>
    <s v="Ankara"/>
    <x v="0"/>
    <s v="Erkek"/>
    <x v="1"/>
    <x v="1"/>
    <n v="25.51"/>
    <n v="4"/>
    <n v="102.04"/>
  </r>
  <r>
    <x v="7"/>
    <d v="1899-12-30T10:25:00"/>
    <s v="365-64-0515"/>
    <s v="A"/>
    <s v="İzmir"/>
    <x v="1"/>
    <s v="Kadın"/>
    <x v="1"/>
    <x v="0"/>
    <n v="46.95"/>
    <n v="5"/>
    <n v="234.75"/>
  </r>
  <r>
    <x v="8"/>
    <d v="1899-12-30T16:48:00"/>
    <s v="252-56-2699"/>
    <s v="A"/>
    <s v="İzmir"/>
    <x v="1"/>
    <s v="Erkek"/>
    <x v="5"/>
    <x v="0"/>
    <n v="43.19"/>
    <n v="10"/>
    <n v="431.9"/>
  </r>
  <r>
    <x v="9"/>
    <d v="1899-12-30T11:03:00"/>
    <s v="656-95-9349"/>
    <s v="A"/>
    <s v="İzmir"/>
    <x v="0"/>
    <s v="Kadın"/>
    <x v="0"/>
    <x v="2"/>
    <n v="68.930000000000007"/>
    <n v="7"/>
    <n v="482.51000000000005"/>
  </r>
  <r>
    <x v="10"/>
    <d v="1899-12-30T10:39:00"/>
    <s v="765-26-6951"/>
    <s v="A"/>
    <s v="İzmir"/>
    <x v="1"/>
    <s v="Erkek"/>
    <x v="3"/>
    <x v="2"/>
    <n v="72.61"/>
    <n v="6"/>
    <n v="435.65999999999997"/>
  </r>
  <r>
    <x v="9"/>
    <d v="1899-12-30T15:30:00"/>
    <s v="319-50-3348"/>
    <s v="B"/>
    <s v="Ankara"/>
    <x v="1"/>
    <s v="Kadın"/>
    <x v="2"/>
    <x v="0"/>
    <n v="40.299999999999997"/>
    <n v="2"/>
    <n v="80.599999999999994"/>
  </r>
  <r>
    <x v="11"/>
    <d v="1899-12-30T10:40:00"/>
    <s v="371-85-5789"/>
    <s v="B"/>
    <s v="Ankara"/>
    <x v="1"/>
    <s v="Erkek"/>
    <x v="0"/>
    <x v="0"/>
    <n v="87.98"/>
    <n v="3"/>
    <n v="263.94"/>
  </r>
  <r>
    <x v="12"/>
    <d v="1899-12-30T17:36:00"/>
    <s v="549-59-1358"/>
    <s v="A"/>
    <s v="İzmir"/>
    <x v="0"/>
    <s v="Erkek"/>
    <x v="3"/>
    <x v="0"/>
    <n v="88.63"/>
    <n v="3"/>
    <n v="265.89"/>
  </r>
  <r>
    <x v="3"/>
    <d v="1899-12-30T15:31:00"/>
    <s v="649-29-6775"/>
    <s v="B"/>
    <s v="Ankara"/>
    <x v="1"/>
    <s v="Erkek"/>
    <x v="4"/>
    <x v="1"/>
    <n v="33.520000000000003"/>
    <n v="1"/>
    <n v="33.520000000000003"/>
  </r>
  <r>
    <x v="13"/>
    <d v="1899-12-30T12:17:00"/>
    <s v="189-17-4241"/>
    <s v="A"/>
    <s v="İzmir"/>
    <x v="1"/>
    <s v="Kadın"/>
    <x v="4"/>
    <x v="2"/>
    <n v="87.67"/>
    <n v="2"/>
    <n v="175.34"/>
  </r>
  <r>
    <x v="14"/>
    <d v="1899-12-30T14:49:00"/>
    <s v="640-49-2076"/>
    <s v="B"/>
    <s v="Ankara"/>
    <x v="1"/>
    <s v="Erkek"/>
    <x v="3"/>
    <x v="1"/>
    <n v="83.78"/>
    <n v="8"/>
    <n v="670.24"/>
  </r>
  <r>
    <x v="5"/>
    <d v="1899-12-30T10:42:00"/>
    <s v="183-56-6882"/>
    <s v="C"/>
    <s v="İstanbul"/>
    <x v="0"/>
    <s v="Kadın"/>
    <x v="5"/>
    <x v="0"/>
    <n v="99.42"/>
    <n v="4"/>
    <n v="397.68"/>
  </r>
  <r>
    <x v="15"/>
    <d v="1899-12-30T12:28:00"/>
    <s v="232-16-2483"/>
    <s v="C"/>
    <s v="İstanbul"/>
    <x v="0"/>
    <s v="Kadın"/>
    <x v="3"/>
    <x v="0"/>
    <n v="68.12"/>
    <n v="1"/>
    <n v="68.12"/>
  </r>
  <r>
    <x v="16"/>
    <d v="1899-12-30T19:15:00"/>
    <s v="129-29-8530"/>
    <s v="A"/>
    <s v="İzmir"/>
    <x v="0"/>
    <s v="Erkek"/>
    <x v="3"/>
    <x v="0"/>
    <n v="62.62"/>
    <n v="5"/>
    <n v="313.09999999999997"/>
  </r>
  <r>
    <x v="2"/>
    <d v="1899-12-30T13:01:00"/>
    <s v="777-82-7220"/>
    <s v="B"/>
    <s v="Ankara"/>
    <x v="0"/>
    <s v="Erkek"/>
    <x v="2"/>
    <x v="1"/>
    <n v="44560"/>
    <n v="8"/>
    <n v="356480"/>
  </r>
  <r>
    <x v="17"/>
    <d v="1899-12-30T10:11:00"/>
    <s v="554-53-8700"/>
    <s v="C"/>
    <s v="İstanbul"/>
    <x v="0"/>
    <s v="Erkek"/>
    <x v="2"/>
    <x v="1"/>
    <n v="56.11"/>
    <n v="2"/>
    <n v="112.22"/>
  </r>
  <r>
    <x v="3"/>
    <d v="1899-12-30T13:03:00"/>
    <s v="354-25-5821"/>
    <s v="B"/>
    <s v="Ankara"/>
    <x v="0"/>
    <s v="Kadın"/>
    <x v="3"/>
    <x v="1"/>
    <n v="69.12"/>
    <n v="6"/>
    <n v="414.72"/>
  </r>
  <r>
    <x v="18"/>
    <d v="1899-12-30T20:39:00"/>
    <s v="228-96-1411"/>
    <s v="C"/>
    <s v="İstanbul"/>
    <x v="0"/>
    <s v="Kadın"/>
    <x v="5"/>
    <x v="1"/>
    <n v="98.7"/>
    <n v="8"/>
    <n v="789.6"/>
  </r>
  <r>
    <x v="19"/>
    <d v="1899-12-30T18:00:00"/>
    <s v="132-32-9879"/>
    <s v="B"/>
    <s v="Ankara"/>
    <x v="0"/>
    <s v="Kadın"/>
    <x v="1"/>
    <x v="1"/>
    <n v="93.96"/>
    <n v="4"/>
    <n v="375.84"/>
  </r>
  <r>
    <x v="5"/>
    <d v="1899-12-30T15:47:00"/>
    <s v="727-46-3608"/>
    <s v="B"/>
    <s v="Ankara"/>
    <x v="0"/>
    <s v="Kadın"/>
    <x v="5"/>
    <x v="0"/>
    <n v="44216"/>
    <n v="9"/>
    <n v="397944"/>
  </r>
  <r>
    <x v="20"/>
    <d v="1899-12-30T12:45:00"/>
    <s v="669-54-1719"/>
    <s v="B"/>
    <s v="Ankara"/>
    <x v="0"/>
    <s v="Erkek"/>
    <x v="1"/>
    <x v="2"/>
    <n v="18.93"/>
    <n v="6"/>
    <n v="113.58"/>
  </r>
  <r>
    <x v="21"/>
    <d v="1899-12-30T10:19:00"/>
    <s v="326-78-5178"/>
    <s v="C"/>
    <s v="İstanbul"/>
    <x v="0"/>
    <s v="Erkek"/>
    <x v="5"/>
    <x v="1"/>
    <n v="91.4"/>
    <n v="7"/>
    <n v="639.80000000000007"/>
  </r>
  <r>
    <x v="20"/>
    <d v="1899-12-30T15:10:00"/>
    <s v="162-48-8011"/>
    <s v="A"/>
    <s v="İzmir"/>
    <x v="0"/>
    <s v="Kadın"/>
    <x v="5"/>
    <x v="1"/>
    <n v="44.59"/>
    <n v="5"/>
    <n v="222.95000000000002"/>
  </r>
  <r>
    <x v="22"/>
    <d v="1899-12-30T11:49:00"/>
    <s v="242-55-6721"/>
    <s v="B"/>
    <s v="Ankara"/>
    <x v="1"/>
    <s v="Erkek"/>
    <x v="2"/>
    <x v="0"/>
    <n v="16.16"/>
    <n v="2"/>
    <n v="32.32"/>
  </r>
  <r>
    <x v="8"/>
    <d v="1899-12-30T11:28:00"/>
    <s v="635-40-6220"/>
    <s v="A"/>
    <s v="İzmir"/>
    <x v="1"/>
    <s v="Erkek"/>
    <x v="0"/>
    <x v="0"/>
    <n v="89.6"/>
    <n v="8"/>
    <n v="716.8"/>
  </r>
  <r>
    <x v="23"/>
    <d v="1899-12-30T20:36:00"/>
    <s v="120-06-4233"/>
    <s v="C"/>
    <s v="İstanbul"/>
    <x v="1"/>
    <s v="Erkek"/>
    <x v="1"/>
    <x v="1"/>
    <n v="30.61"/>
    <n v="6"/>
    <n v="183.66"/>
  </r>
  <r>
    <x v="24"/>
    <d v="1899-12-30T13:40:00"/>
    <s v="347-34-2234"/>
    <s v="B"/>
    <s v="Ankara"/>
    <x v="0"/>
    <s v="Kadın"/>
    <x v="3"/>
    <x v="0"/>
    <n v="55.07"/>
    <n v="9"/>
    <n v="495.63"/>
  </r>
  <r>
    <x v="25"/>
    <d v="1899-12-30T12:27:00"/>
    <s v="199-75-8169"/>
    <s v="A"/>
    <s v="İzmir"/>
    <x v="0"/>
    <s v="Erkek"/>
    <x v="3"/>
    <x v="2"/>
    <n v="15.81"/>
    <n v="10"/>
    <n v="158.1"/>
  </r>
  <r>
    <x v="20"/>
    <d v="1899-12-30T15:43:00"/>
    <s v="838-78-4295"/>
    <s v="C"/>
    <s v="İstanbul"/>
    <x v="1"/>
    <s v="Kadın"/>
    <x v="0"/>
    <x v="0"/>
    <n v="33.47"/>
    <n v="2"/>
    <n v="66.94"/>
  </r>
  <r>
    <x v="15"/>
    <d v="1899-12-30T15:01:00"/>
    <s v="109-28-2512"/>
    <s v="B"/>
    <s v="Ankara"/>
    <x v="0"/>
    <s v="Kadın"/>
    <x v="4"/>
    <x v="0"/>
    <n v="97.61"/>
    <n v="6"/>
    <n v="585.66"/>
  </r>
  <r>
    <x v="26"/>
    <d v="1899-12-30T18:50:00"/>
    <s v="382-03-4532"/>
    <s v="A"/>
    <s v="İzmir"/>
    <x v="0"/>
    <s v="Kadın"/>
    <x v="0"/>
    <x v="1"/>
    <n v="18.329999999999998"/>
    <n v="1"/>
    <n v="18.329999999999998"/>
  </r>
  <r>
    <x v="27"/>
    <d v="1899-12-30T12:46:00"/>
    <s v="393-65-2792"/>
    <s v="C"/>
    <s v="İstanbul"/>
    <x v="1"/>
    <s v="Erkek"/>
    <x v="5"/>
    <x v="2"/>
    <n v="89.48"/>
    <n v="10"/>
    <n v="894.80000000000007"/>
  </r>
  <r>
    <x v="28"/>
    <d v="1899-12-30T16:19:00"/>
    <s v="796-12-2025"/>
    <s v="C"/>
    <s v="İstanbul"/>
    <x v="1"/>
    <s v="Erkek"/>
    <x v="4"/>
    <x v="1"/>
    <n v="62.12"/>
    <n v="10"/>
    <n v="621.19999999999993"/>
  </r>
  <r>
    <x v="29"/>
    <d v="1899-12-30T18:17:00"/>
    <s v="510-95-6347"/>
    <s v="B"/>
    <s v="Ankara"/>
    <x v="0"/>
    <s v="Kadın"/>
    <x v="5"/>
    <x v="0"/>
    <n v="48.52"/>
    <n v="3"/>
    <n v="145.56"/>
  </r>
  <r>
    <x v="6"/>
    <d v="1899-12-30T18:21:00"/>
    <s v="841-35-6630"/>
    <s v="C"/>
    <s v="İstanbul"/>
    <x v="1"/>
    <s v="Kadın"/>
    <x v="1"/>
    <x v="1"/>
    <n v="75.91"/>
    <n v="6"/>
    <n v="455.46"/>
  </r>
  <r>
    <x v="30"/>
    <d v="1899-12-30T14:20:00"/>
    <s v="263-10-3913"/>
    <s v="C"/>
    <s v="İstanbul"/>
    <x v="0"/>
    <s v="Erkek"/>
    <x v="4"/>
    <x v="2"/>
    <n v="49.04"/>
    <n v="9"/>
    <n v="441.36"/>
  </r>
  <r>
    <x v="31"/>
    <d v="1899-12-30T15:48:00"/>
    <s v="381-20-0914"/>
    <s v="A"/>
    <s v="İzmir"/>
    <x v="0"/>
    <s v="Kadın"/>
    <x v="4"/>
    <x v="2"/>
    <n v="44216"/>
    <n v="9"/>
    <n v="397944"/>
  </r>
  <r>
    <x v="11"/>
    <d v="1899-12-30T16:24:00"/>
    <s v="829-49-1914"/>
    <s v="C"/>
    <s v="İstanbul"/>
    <x v="0"/>
    <s v="Kadın"/>
    <x v="5"/>
    <x v="0"/>
    <n v="78.31"/>
    <n v="10"/>
    <n v="783.1"/>
  </r>
  <r>
    <x v="19"/>
    <d v="1899-12-30T10:17:00"/>
    <s v="360-39-5055"/>
    <s v="C"/>
    <s v="İstanbul"/>
    <x v="0"/>
    <s v="Erkek"/>
    <x v="3"/>
    <x v="1"/>
    <n v="48.91"/>
    <n v="5"/>
    <n v="244.54999999999998"/>
  </r>
  <r>
    <x v="11"/>
    <d v="1899-12-30T14:31:00"/>
    <s v="730-50-9884"/>
    <s v="C"/>
    <s v="İstanbul"/>
    <x v="1"/>
    <s v="Kadın"/>
    <x v="3"/>
    <x v="0"/>
    <n v="83.06"/>
    <n v="7"/>
    <n v="581.42000000000007"/>
  </r>
  <r>
    <x v="32"/>
    <d v="1899-12-30T16:57:00"/>
    <s v="504-35-8843"/>
    <s v="A"/>
    <s v="İzmir"/>
    <x v="1"/>
    <s v="Erkek"/>
    <x v="3"/>
    <x v="1"/>
    <n v="42.47"/>
    <n v="1"/>
    <n v="42.47"/>
  </r>
  <r>
    <x v="4"/>
    <d v="1899-12-30T16:42:00"/>
    <s v="873-51-0671"/>
    <s v="A"/>
    <s v="İzmir"/>
    <x v="0"/>
    <s v="Kadın"/>
    <x v="3"/>
    <x v="0"/>
    <n v="21.98"/>
    <n v="7"/>
    <n v="153.86000000000001"/>
  </r>
  <r>
    <x v="33"/>
    <d v="1899-12-30T12:09:00"/>
    <s v="152-08-9985"/>
    <s v="B"/>
    <s v="Ankara"/>
    <x v="0"/>
    <s v="Erkek"/>
    <x v="0"/>
    <x v="2"/>
    <n v="64.36"/>
    <n v="9"/>
    <n v="579.24"/>
  </r>
  <r>
    <x v="5"/>
    <d v="1899-12-30T20:05:00"/>
    <s v="512-91-0811"/>
    <s v="C"/>
    <s v="İstanbul"/>
    <x v="1"/>
    <s v="Erkek"/>
    <x v="0"/>
    <x v="2"/>
    <n v="89.75"/>
    <n v="1"/>
    <n v="89.75"/>
  </r>
  <r>
    <x v="34"/>
    <d v="1899-12-30T20:38:00"/>
    <s v="594-34-4444"/>
    <s v="A"/>
    <s v="İzmir"/>
    <x v="1"/>
    <s v="Erkek"/>
    <x v="1"/>
    <x v="0"/>
    <n v="97.16"/>
    <n v="1"/>
    <n v="97.16"/>
  </r>
  <r>
    <x v="35"/>
    <d v="1899-12-30T13:11:00"/>
    <s v="871-39-9221"/>
    <s v="C"/>
    <s v="İstanbul"/>
    <x v="1"/>
    <s v="Kadın"/>
    <x v="1"/>
    <x v="1"/>
    <n v="16772"/>
    <n v="6"/>
    <n v="100632"/>
  </r>
  <r>
    <x v="29"/>
    <d v="1899-12-30T18:14:00"/>
    <s v="733-01-9107"/>
    <s v="B"/>
    <s v="Ankara"/>
    <x v="1"/>
    <s v="Erkek"/>
    <x v="2"/>
    <x v="1"/>
    <n v="82.7"/>
    <n v="6"/>
    <n v="496.20000000000005"/>
  </r>
  <r>
    <x v="36"/>
    <d v="1899-12-30T13:22:00"/>
    <s v="189-98-2939"/>
    <s v="C"/>
    <s v="İstanbul"/>
    <x v="1"/>
    <s v="Erkek"/>
    <x v="4"/>
    <x v="1"/>
    <n v="78.55"/>
    <n v="9"/>
    <n v="706.94999999999993"/>
  </r>
  <r>
    <x v="37"/>
    <d v="1899-12-30T11:27:00"/>
    <s v="551-21-3069"/>
    <s v="C"/>
    <s v="İstanbul"/>
    <x v="1"/>
    <s v="Kadın"/>
    <x v="1"/>
    <x v="1"/>
    <n v="44400"/>
    <n v="9"/>
    <n v="399600"/>
  </r>
  <r>
    <x v="31"/>
    <d v="1899-12-30T14:50:00"/>
    <s v="704-48-3927"/>
    <s v="A"/>
    <s v="İzmir"/>
    <x v="0"/>
    <s v="Erkek"/>
    <x v="1"/>
    <x v="0"/>
    <n v="88.67"/>
    <n v="10"/>
    <n v="886.7"/>
  </r>
  <r>
    <x v="0"/>
    <d v="1899-12-30T20:54:00"/>
    <s v="628-34-3388"/>
    <s v="C"/>
    <s v="İstanbul"/>
    <x v="1"/>
    <s v="Erkek"/>
    <x v="4"/>
    <x v="2"/>
    <n v="27.38"/>
    <n v="6"/>
    <n v="164.28"/>
  </r>
  <r>
    <x v="2"/>
    <d v="1899-12-30T14:30:00"/>
    <s v="861-77-0145"/>
    <s v="C"/>
    <s v="İstanbul"/>
    <x v="0"/>
    <s v="Erkek"/>
    <x v="1"/>
    <x v="1"/>
    <n v="81.97"/>
    <n v="10"/>
    <n v="819.7"/>
  </r>
  <r>
    <x v="38"/>
    <d v="1899-12-30T11:32:00"/>
    <s v="479-26-8945"/>
    <s v="B"/>
    <s v="Ankara"/>
    <x v="0"/>
    <s v="Kadın"/>
    <x v="3"/>
    <x v="0"/>
    <n v="16.489999999999998"/>
    <n v="2"/>
    <n v="32.979999999999997"/>
  </r>
  <r>
    <x v="38"/>
    <d v="1899-12-30T10:41:00"/>
    <s v="210-67-5886"/>
    <s v="C"/>
    <s v="İstanbul"/>
    <x v="0"/>
    <s v="Kadın"/>
    <x v="0"/>
    <x v="2"/>
    <n v="98.21"/>
    <n v="3"/>
    <n v="294.63"/>
  </r>
  <r>
    <x v="37"/>
    <d v="1899-12-30T20:31:00"/>
    <s v="237-01-6122"/>
    <s v="C"/>
    <s v="İstanbul"/>
    <x v="0"/>
    <s v="Kadın"/>
    <x v="2"/>
    <x v="2"/>
    <n v="80.790000000000006"/>
    <n v="9"/>
    <n v="727.11"/>
  </r>
  <r>
    <x v="12"/>
    <d v="1899-12-30T13:01:00"/>
    <s v="225-98-1496"/>
    <s v="C"/>
    <s v="İstanbul"/>
    <x v="1"/>
    <s v="Kadın"/>
    <x v="4"/>
    <x v="2"/>
    <n v="44254"/>
    <n v="3"/>
    <n v="132762"/>
  </r>
  <r>
    <x v="29"/>
    <d v="1899-12-30T12:29:00"/>
    <s v="291-32-1427"/>
    <s v="B"/>
    <s v="Ankara"/>
    <x v="0"/>
    <s v="Erkek"/>
    <x v="4"/>
    <x v="0"/>
    <n v="21.94"/>
    <n v="5"/>
    <n v="109.7"/>
  </r>
  <r>
    <x v="26"/>
    <d v="1899-12-30T20:48:00"/>
    <s v="642-32-2990"/>
    <s v="A"/>
    <s v="İzmir"/>
    <x v="1"/>
    <s v="Kadın"/>
    <x v="5"/>
    <x v="0"/>
    <n v="35339"/>
    <n v="10"/>
    <n v="353390"/>
  </r>
  <r>
    <x v="39"/>
    <d v="1899-12-30T12:02:00"/>
    <s v="659-36-1684"/>
    <s v="C"/>
    <s v="İstanbul"/>
    <x v="0"/>
    <s v="Erkek"/>
    <x v="3"/>
    <x v="2"/>
    <n v="57.12"/>
    <n v="7"/>
    <n v="399.84"/>
  </r>
  <r>
    <x v="6"/>
    <d v="1899-12-30T17:26:00"/>
    <s v="219-22-9386"/>
    <s v="B"/>
    <s v="Ankara"/>
    <x v="0"/>
    <s v="Erkek"/>
    <x v="3"/>
    <x v="2"/>
    <n v="99.96"/>
    <n v="9"/>
    <n v="899.64"/>
  </r>
  <r>
    <x v="6"/>
    <d v="1899-12-30T14:57:00"/>
    <s v="268-27-6179"/>
    <s v="B"/>
    <s v="Ankara"/>
    <x v="0"/>
    <s v="Kadın"/>
    <x v="4"/>
    <x v="0"/>
    <n v="56.47"/>
    <n v="8"/>
    <n v="451.76"/>
  </r>
  <r>
    <x v="16"/>
    <d v="1899-12-30T18:44:00"/>
    <s v="668-90-8900"/>
    <s v="A"/>
    <s v="İzmir"/>
    <x v="1"/>
    <s v="Kadın"/>
    <x v="2"/>
    <x v="2"/>
    <n v="93.69"/>
    <n v="7"/>
    <n v="655.82999999999993"/>
  </r>
  <r>
    <x v="40"/>
    <d v="1899-12-30T16:17:00"/>
    <s v="189-08-9157"/>
    <s v="C"/>
    <s v="İstanbul"/>
    <x v="1"/>
    <s v="Kadın"/>
    <x v="4"/>
    <x v="2"/>
    <n v="31.73"/>
    <n v="9"/>
    <n v="285.57"/>
  </r>
  <r>
    <x v="40"/>
    <d v="1899-12-30T15:57:00"/>
    <s v="663-86-9076"/>
    <s v="C"/>
    <s v="İstanbul"/>
    <x v="0"/>
    <s v="Kadın"/>
    <x v="5"/>
    <x v="0"/>
    <n v="68.540000000000006"/>
    <n v="8"/>
    <n v="548.32000000000005"/>
  </r>
  <r>
    <x v="41"/>
    <d v="1899-12-30T11:15:00"/>
    <s v="549-84-7482"/>
    <s v="B"/>
    <s v="Ankara"/>
    <x v="1"/>
    <s v="Kadın"/>
    <x v="3"/>
    <x v="0"/>
    <n v="90.28"/>
    <n v="9"/>
    <n v="812.52"/>
  </r>
  <r>
    <x v="25"/>
    <d v="1899-12-30T20:34:00"/>
    <s v="802-70-5316"/>
    <s v="A"/>
    <s v="İzmir"/>
    <x v="0"/>
    <s v="Kadın"/>
    <x v="3"/>
    <x v="1"/>
    <n v="92.13"/>
    <n v="6"/>
    <n v="552.78"/>
  </r>
  <r>
    <x v="42"/>
    <d v="1899-12-30T18:36:00"/>
    <s v="695-51-0018"/>
    <s v="B"/>
    <s v="Ankara"/>
    <x v="1"/>
    <s v="Kadın"/>
    <x v="3"/>
    <x v="1"/>
    <n v="34.840000000000003"/>
    <n v="4"/>
    <n v="139.36000000000001"/>
  </r>
  <r>
    <x v="34"/>
    <d v="1899-12-30T16:43:00"/>
    <s v="483-71-1164"/>
    <s v="C"/>
    <s v="İstanbul"/>
    <x v="1"/>
    <s v="Kadın"/>
    <x v="0"/>
    <x v="0"/>
    <n v="81.3"/>
    <n v="6"/>
    <n v="487.79999999999995"/>
  </r>
  <r>
    <x v="38"/>
    <d v="1899-12-30T19:57:00"/>
    <s v="338-65-2210"/>
    <s v="C"/>
    <s v="İstanbul"/>
    <x v="0"/>
    <s v="Kadın"/>
    <x v="0"/>
    <x v="1"/>
    <n v="68.599999999999994"/>
    <n v="10"/>
    <n v="686"/>
  </r>
  <r>
    <x v="1"/>
    <d v="1899-12-30T17:11:00"/>
    <s v="458-41-1477"/>
    <s v="C"/>
    <s v="İstanbul"/>
    <x v="1"/>
    <s v="Kadın"/>
    <x v="0"/>
    <x v="2"/>
    <n v="46.26"/>
    <n v="6"/>
    <n v="277.56"/>
  </r>
  <r>
    <x v="42"/>
    <d v="1899-12-30T12:28:00"/>
    <s v="685-64-1609"/>
    <s v="A"/>
    <s v="İzmir"/>
    <x v="0"/>
    <s v="Kadın"/>
    <x v="4"/>
    <x v="0"/>
    <n v="30.14"/>
    <n v="10"/>
    <n v="301.39999999999998"/>
  </r>
  <r>
    <x v="25"/>
    <d v="1899-12-30T15:07:00"/>
    <s v="262-47-2794"/>
    <s v="B"/>
    <s v="Ankara"/>
    <x v="0"/>
    <s v="Erkek"/>
    <x v="2"/>
    <x v="2"/>
    <n v="71.86"/>
    <n v="8"/>
    <n v="574.88"/>
  </r>
  <r>
    <x v="9"/>
    <d v="1899-12-30T16:07:00"/>
    <s v="584-86-7256"/>
    <s v="C"/>
    <s v="İstanbul"/>
    <x v="0"/>
    <s v="Erkek"/>
    <x v="3"/>
    <x v="2"/>
    <n v="34.56"/>
    <n v="7"/>
    <n v="241.92000000000002"/>
  </r>
  <r>
    <x v="43"/>
    <d v="1899-12-30T18:23:00"/>
    <s v="214-17-6927"/>
    <s v="C"/>
    <s v="İstanbul"/>
    <x v="1"/>
    <s v="Kadın"/>
    <x v="5"/>
    <x v="0"/>
    <n v="16.48"/>
    <n v="6"/>
    <n v="98.88"/>
  </r>
  <r>
    <x v="44"/>
    <d v="1899-12-30T19:40:00"/>
    <s v="279-74-2924"/>
    <s v="B"/>
    <s v="Ankara"/>
    <x v="0"/>
    <s v="Erkek"/>
    <x v="1"/>
    <x v="1"/>
    <n v="72.17"/>
    <n v="1"/>
    <n v="72.17"/>
  </r>
  <r>
    <x v="22"/>
    <d v="1899-12-30T13:58:00"/>
    <s v="307-85-2293"/>
    <s v="B"/>
    <s v="Ankara"/>
    <x v="1"/>
    <s v="Erkek"/>
    <x v="2"/>
    <x v="0"/>
    <n v="50.28"/>
    <n v="5"/>
    <n v="251.4"/>
  </r>
  <r>
    <x v="3"/>
    <d v="1899-12-30T16:20:00"/>
    <s v="687-47-8271"/>
    <s v="A"/>
    <s v="İzmir"/>
    <x v="1"/>
    <s v="Erkek"/>
    <x v="4"/>
    <x v="2"/>
    <n v="98.98"/>
    <n v="10"/>
    <n v="989.80000000000007"/>
  </r>
  <r>
    <x v="37"/>
    <d v="1899-12-30T15:10:00"/>
    <s v="105-31-1824"/>
    <s v="A"/>
    <s v="İzmir"/>
    <x v="0"/>
    <s v="Erkek"/>
    <x v="3"/>
    <x v="2"/>
    <n v="69.52"/>
    <n v="7"/>
    <n v="486.64"/>
  </r>
  <r>
    <x v="45"/>
    <d v="1899-12-30T11:36:00"/>
    <s v="249-42-3782"/>
    <s v="A"/>
    <s v="İzmir"/>
    <x v="1"/>
    <s v="Erkek"/>
    <x v="0"/>
    <x v="0"/>
    <n v="70.010000000000005"/>
    <n v="5"/>
    <n v="350.05"/>
  </r>
  <r>
    <x v="2"/>
    <d v="1899-12-30T19:17:00"/>
    <s v="733-33-4967"/>
    <s v="C"/>
    <s v="İstanbul"/>
    <x v="1"/>
    <s v="Erkek"/>
    <x v="1"/>
    <x v="1"/>
    <n v="20.85"/>
    <n v="8"/>
    <n v="166.8"/>
  </r>
  <r>
    <x v="2"/>
    <d v="1899-12-30T17:01:00"/>
    <s v="175-54-2529"/>
    <s v="A"/>
    <s v="İzmir"/>
    <x v="0"/>
    <s v="Erkek"/>
    <x v="5"/>
    <x v="2"/>
    <n v="22.17"/>
    <n v="8"/>
    <n v="177.36"/>
  </r>
  <r>
    <x v="46"/>
    <d v="1899-12-30T10:00:00"/>
    <s v="130-98-8941"/>
    <s v="C"/>
    <s v="İstanbul"/>
    <x v="1"/>
    <s v="Erkek"/>
    <x v="4"/>
    <x v="1"/>
    <n v="64.260000000000005"/>
    <n v="7"/>
    <n v="449.82000000000005"/>
  </r>
  <r>
    <x v="18"/>
    <d v="1899-12-30T11:19:00"/>
    <s v="586-25-0848"/>
    <s v="A"/>
    <s v="İzmir"/>
    <x v="1"/>
    <s v="Kadın"/>
    <x v="3"/>
    <x v="2"/>
    <n v="12754"/>
    <n v="7"/>
    <n v="89278"/>
  </r>
  <r>
    <x v="29"/>
    <d v="1899-12-30T19:46:00"/>
    <s v="895-66-0685"/>
    <s v="B"/>
    <s v="Ankara"/>
    <x v="0"/>
    <s v="Erkek"/>
    <x v="5"/>
    <x v="0"/>
    <n v="44426"/>
    <n v="3"/>
    <n v="133278"/>
  </r>
  <r>
    <x v="47"/>
    <d v="1899-12-30T19:00:00"/>
    <s v="305-14-0245"/>
    <s v="B"/>
    <s v="Ankara"/>
    <x v="0"/>
    <s v="Kadın"/>
    <x v="2"/>
    <x v="0"/>
    <n v="94.49"/>
    <n v="8"/>
    <n v="755.92"/>
  </r>
  <r>
    <x v="41"/>
    <d v="1899-12-30T10:53:00"/>
    <s v="732-04-5373"/>
    <s v="B"/>
    <s v="Ankara"/>
    <x v="0"/>
    <s v="Erkek"/>
    <x v="2"/>
    <x v="1"/>
    <n v="46.47"/>
    <n v="4"/>
    <n v="185.88"/>
  </r>
  <r>
    <x v="20"/>
    <d v="1899-12-30T12:50:00"/>
    <s v="400-60-7251"/>
    <s v="A"/>
    <s v="İzmir"/>
    <x v="1"/>
    <s v="Erkek"/>
    <x v="2"/>
    <x v="0"/>
    <n v="74.069999999999993"/>
    <n v="1"/>
    <n v="74.069999999999993"/>
  </r>
  <r>
    <x v="28"/>
    <d v="1899-12-30T10:39:00"/>
    <s v="284-34-9626"/>
    <s v="B"/>
    <s v="Ankara"/>
    <x v="1"/>
    <s v="Kadın"/>
    <x v="2"/>
    <x v="2"/>
    <n v="77.040000000000006"/>
    <n v="3"/>
    <n v="231.12"/>
  </r>
  <r>
    <x v="33"/>
    <d v="1899-12-30T19:58:00"/>
    <s v="699-01-4164"/>
    <s v="C"/>
    <s v="İstanbul"/>
    <x v="1"/>
    <s v="Erkek"/>
    <x v="0"/>
    <x v="2"/>
    <n v="41.5"/>
    <n v="4"/>
    <n v="166"/>
  </r>
  <r>
    <x v="5"/>
    <d v="1899-12-30T14:51:00"/>
    <s v="875-46-5808"/>
    <s v="B"/>
    <s v="Ankara"/>
    <x v="0"/>
    <s v="Erkek"/>
    <x v="0"/>
    <x v="0"/>
    <n v="44464"/>
    <n v="10"/>
    <n v="444640"/>
  </r>
  <r>
    <x v="45"/>
    <d v="1899-12-30T12:02:00"/>
    <s v="749-24-1565"/>
    <s v="A"/>
    <s v="İzmir"/>
    <x v="1"/>
    <s v="Kadın"/>
    <x v="0"/>
    <x v="0"/>
    <n v="44278"/>
    <n v="9"/>
    <n v="398502"/>
  </r>
  <r>
    <x v="44"/>
    <d v="1899-12-30T18:19:00"/>
    <s v="672-51-8681"/>
    <s v="C"/>
    <s v="İstanbul"/>
    <x v="0"/>
    <s v="Kadın"/>
    <x v="1"/>
    <x v="2"/>
    <n v="66.650000000000006"/>
    <n v="9"/>
    <n v="599.85"/>
  </r>
  <r>
    <x v="12"/>
    <d v="1899-12-30T19:42:00"/>
    <s v="817-69-8206"/>
    <s v="B"/>
    <s v="Ankara"/>
    <x v="1"/>
    <s v="Kadın"/>
    <x v="1"/>
    <x v="2"/>
    <n v="99.73"/>
    <n v="9"/>
    <n v="897.57"/>
  </r>
  <r>
    <x v="44"/>
    <d v="1899-12-30T13:24:00"/>
    <s v="656-16-1063"/>
    <s v="B"/>
    <s v="Ankara"/>
    <x v="1"/>
    <s v="Erkek"/>
    <x v="3"/>
    <x v="2"/>
    <n v="46.42"/>
    <n v="3"/>
    <n v="139.26"/>
  </r>
  <r>
    <x v="9"/>
    <d v="1899-12-30T15:53:00"/>
    <s v="891-58-8335"/>
    <s v="B"/>
    <s v="Ankara"/>
    <x v="0"/>
    <s v="Kadın"/>
    <x v="3"/>
    <x v="1"/>
    <n v="29.61"/>
    <n v="7"/>
    <n v="207.26999999999998"/>
  </r>
  <r>
    <x v="48"/>
    <d v="1899-12-30T12:58:00"/>
    <s v="549-03-9315"/>
    <s v="B"/>
    <s v="Ankara"/>
    <x v="1"/>
    <s v="Erkek"/>
    <x v="4"/>
    <x v="0"/>
    <n v="94.87"/>
    <n v="8"/>
    <n v="758.96"/>
  </r>
  <r>
    <x v="13"/>
    <d v="1899-12-30T18:59:00"/>
    <s v="790-29-1172"/>
    <s v="B"/>
    <s v="Ankara"/>
    <x v="1"/>
    <s v="Kadın"/>
    <x v="5"/>
    <x v="2"/>
    <n v="57.34"/>
    <n v="3"/>
    <n v="172.02"/>
  </r>
  <r>
    <x v="25"/>
    <d v="1899-12-30T13:46:00"/>
    <s v="468-01-2051"/>
    <s v="B"/>
    <s v="Ankara"/>
    <x v="1"/>
    <s v="Erkek"/>
    <x v="5"/>
    <x v="0"/>
    <n v="62.08"/>
    <n v="7"/>
    <n v="434.56"/>
  </r>
  <r>
    <x v="49"/>
    <d v="1899-12-30T14:29:00"/>
    <s v="746-68-6593"/>
    <s v="C"/>
    <s v="İstanbul"/>
    <x v="0"/>
    <s v="Kadın"/>
    <x v="3"/>
    <x v="2"/>
    <n v="87.16"/>
    <n v="2"/>
    <n v="174.32"/>
  </r>
  <r>
    <x v="9"/>
    <d v="1899-12-30T12:55:00"/>
    <s v="721-86-6247"/>
    <s v="A"/>
    <s v="İzmir"/>
    <x v="1"/>
    <s v="Kadın"/>
    <x v="2"/>
    <x v="0"/>
    <n v="63.42"/>
    <n v="8"/>
    <n v="507.36"/>
  </r>
  <r>
    <x v="23"/>
    <d v="1899-12-30T13:52:00"/>
    <s v="545-46-3100"/>
    <s v="B"/>
    <s v="Ankara"/>
    <x v="0"/>
    <s v="Kadın"/>
    <x v="1"/>
    <x v="2"/>
    <n v="21824"/>
    <n v="3"/>
    <n v="65472"/>
  </r>
  <r>
    <x v="50"/>
    <d v="1899-12-30T10:54:00"/>
    <s v="418-02-5978"/>
    <s v="B"/>
    <s v="Ankara"/>
    <x v="1"/>
    <s v="Kadın"/>
    <x v="0"/>
    <x v="1"/>
    <n v="84.09"/>
    <n v="9"/>
    <n v="756.81000000000006"/>
  </r>
  <r>
    <x v="19"/>
    <d v="1899-12-30T18:24:00"/>
    <s v="157-13-5295"/>
    <s v="A"/>
    <s v="İzmir"/>
    <x v="0"/>
    <s v="Erkek"/>
    <x v="0"/>
    <x v="0"/>
    <n v="51.94"/>
    <n v="10"/>
    <n v="519.4"/>
  </r>
  <r>
    <x v="11"/>
    <d v="1899-12-30T17:07:00"/>
    <s v="755-12-3214"/>
    <s v="C"/>
    <s v="İstanbul"/>
    <x v="0"/>
    <s v="Kadın"/>
    <x v="4"/>
    <x v="2"/>
    <n v="44.22"/>
    <n v="5"/>
    <n v="221.1"/>
  </r>
  <r>
    <x v="51"/>
    <d v="1899-12-30T19:26:00"/>
    <s v="346-84-3103"/>
    <s v="B"/>
    <s v="Ankara"/>
    <x v="0"/>
    <s v="Kadın"/>
    <x v="1"/>
    <x v="1"/>
    <n v="13.22"/>
    <n v="5"/>
    <n v="66.100000000000009"/>
  </r>
  <r>
    <x v="52"/>
    <d v="1899-12-30T11:20:00"/>
    <s v="478-06-7835"/>
    <s v="A"/>
    <s v="İzmir"/>
    <x v="1"/>
    <s v="Erkek"/>
    <x v="4"/>
    <x v="0"/>
    <n v="89.69"/>
    <n v="1"/>
    <n v="89.69"/>
  </r>
  <r>
    <x v="52"/>
    <d v="1899-12-30T16:49:00"/>
    <s v="540-11-4336"/>
    <s v="A"/>
    <s v="İzmir"/>
    <x v="1"/>
    <s v="Erkek"/>
    <x v="5"/>
    <x v="2"/>
    <n v="24.94"/>
    <n v="9"/>
    <n v="224.46"/>
  </r>
  <r>
    <x v="53"/>
    <d v="1899-12-30T12:01:00"/>
    <s v="448-81-5016"/>
    <s v="A"/>
    <s v="İzmir"/>
    <x v="1"/>
    <s v="Erkek"/>
    <x v="0"/>
    <x v="2"/>
    <n v="59.77"/>
    <n v="2"/>
    <n v="119.54"/>
  </r>
  <r>
    <x v="0"/>
    <d v="1899-12-30T11:25:00"/>
    <s v="217-58-1179"/>
    <s v="A"/>
    <s v="İzmir"/>
    <x v="0"/>
    <s v="Erkek"/>
    <x v="2"/>
    <x v="1"/>
    <n v="62.65"/>
    <n v="4"/>
    <n v="250.6"/>
  </r>
  <r>
    <x v="17"/>
    <d v="1899-12-30T18:42:00"/>
    <s v="376-02-8238"/>
    <s v="B"/>
    <s v="Ankara"/>
    <x v="1"/>
    <s v="Erkek"/>
    <x v="2"/>
    <x v="2"/>
    <n v="93.87"/>
    <n v="8"/>
    <n v="750.96"/>
  </r>
  <r>
    <x v="10"/>
    <d v="1899-12-30T14:47:00"/>
    <s v="530-90-9855"/>
    <s v="A"/>
    <s v="İzmir"/>
    <x v="0"/>
    <s v="Erkek"/>
    <x v="2"/>
    <x v="1"/>
    <n v="47.59"/>
    <n v="8"/>
    <n v="380.72"/>
  </r>
  <r>
    <x v="46"/>
    <d v="1899-12-30T19:43:00"/>
    <s v="866-05-7563"/>
    <s v="B"/>
    <s v="Ankara"/>
    <x v="0"/>
    <s v="Kadın"/>
    <x v="1"/>
    <x v="1"/>
    <n v="81.400000000000006"/>
    <n v="3"/>
    <n v="244.20000000000002"/>
  </r>
  <r>
    <x v="54"/>
    <d v="1899-12-30T16:11:00"/>
    <s v="799-71-1548"/>
    <s v="A"/>
    <s v="İzmir"/>
    <x v="0"/>
    <s v="Erkek"/>
    <x v="1"/>
    <x v="2"/>
    <n v="77.72"/>
    <n v="4"/>
    <n v="310.88"/>
  </r>
  <r>
    <x v="17"/>
    <d v="1899-12-30T15:34:00"/>
    <s v="845-51-0542"/>
    <s v="B"/>
    <s v="Ankara"/>
    <x v="0"/>
    <s v="Erkek"/>
    <x v="5"/>
    <x v="0"/>
    <n v="46.55"/>
    <n v="9"/>
    <n v="418.95"/>
  </r>
  <r>
    <x v="12"/>
    <d v="1899-12-30T19:44:00"/>
    <s v="883-17-4236"/>
    <s v="C"/>
    <s v="İstanbul"/>
    <x v="1"/>
    <s v="Kadın"/>
    <x v="3"/>
    <x v="2"/>
    <n v="14.39"/>
    <n v="2"/>
    <n v="28.78"/>
  </r>
  <r>
    <x v="55"/>
    <d v="1899-12-30T11:23:00"/>
    <s v="704-11-6354"/>
    <s v="A"/>
    <s v="İzmir"/>
    <x v="0"/>
    <s v="Erkek"/>
    <x v="2"/>
    <x v="1"/>
    <n v="58.9"/>
    <n v="8"/>
    <n v="471.2"/>
  </r>
  <r>
    <x v="38"/>
    <d v="1899-12-30T10:16:00"/>
    <s v="729-09-9681"/>
    <s v="A"/>
    <s v="İzmir"/>
    <x v="0"/>
    <s v="Erkek"/>
    <x v="2"/>
    <x v="0"/>
    <n v="25.91"/>
    <n v="6"/>
    <n v="155.46"/>
  </r>
  <r>
    <x v="43"/>
    <d v="1899-12-30T13:05:00"/>
    <s v="380-94-4661"/>
    <s v="C"/>
    <s v="İstanbul"/>
    <x v="0"/>
    <s v="Erkek"/>
    <x v="1"/>
    <x v="2"/>
    <n v="65.94"/>
    <n v="4"/>
    <n v="263.76"/>
  </r>
  <r>
    <x v="56"/>
    <d v="1899-12-30T14:53:00"/>
    <s v="821-07-3596"/>
    <s v="C"/>
    <s v="İstanbul"/>
    <x v="1"/>
    <s v="Kadın"/>
    <x v="4"/>
    <x v="0"/>
    <n v="16.45"/>
    <n v="4"/>
    <n v="65.8"/>
  </r>
  <r>
    <x v="46"/>
    <d v="1899-12-30T11:00:00"/>
    <s v="447-15-7839"/>
    <s v="A"/>
    <s v="İzmir"/>
    <x v="0"/>
    <s v="Kadın"/>
    <x v="3"/>
    <x v="1"/>
    <n v="22.24"/>
    <n v="10"/>
    <n v="222.39999999999998"/>
  </r>
  <r>
    <x v="23"/>
    <d v="1899-12-30T12:43:00"/>
    <s v="253-12-6086"/>
    <s v="A"/>
    <s v="İzmir"/>
    <x v="0"/>
    <s v="Kadın"/>
    <x v="3"/>
    <x v="2"/>
    <n v="98.4"/>
    <n v="7"/>
    <n v="688.80000000000007"/>
  </r>
  <r>
    <x v="57"/>
    <d v="1899-12-30T20:55:00"/>
    <s v="571-94-0759"/>
    <s v="B"/>
    <s v="Ankara"/>
    <x v="0"/>
    <s v="Kadın"/>
    <x v="5"/>
    <x v="1"/>
    <n v="74.599999999999994"/>
    <n v="10"/>
    <n v="746"/>
  </r>
  <r>
    <x v="0"/>
    <d v="1899-12-30T16:05:00"/>
    <s v="144-51-6085"/>
    <s v="A"/>
    <s v="İzmir"/>
    <x v="0"/>
    <s v="Erkek"/>
    <x v="2"/>
    <x v="2"/>
    <n v="70.739999999999995"/>
    <n v="4"/>
    <n v="282.95999999999998"/>
  </r>
  <r>
    <x v="44"/>
    <d v="1899-12-30T13:34:00"/>
    <s v="731-14-2199"/>
    <s v="A"/>
    <s v="İzmir"/>
    <x v="0"/>
    <s v="Kadın"/>
    <x v="2"/>
    <x v="0"/>
    <n v="35.54"/>
    <n v="10"/>
    <n v="355.4"/>
  </r>
  <r>
    <x v="25"/>
    <d v="1899-12-30T18:13:00"/>
    <s v="783-09-1637"/>
    <s v="B"/>
    <s v="Ankara"/>
    <x v="1"/>
    <s v="Kadın"/>
    <x v="3"/>
    <x v="0"/>
    <n v="67.430000000000007"/>
    <n v="5"/>
    <n v="337.15000000000003"/>
  </r>
  <r>
    <x v="58"/>
    <d v="1899-12-30T19:17:00"/>
    <s v="687-15-1097"/>
    <s v="C"/>
    <s v="İstanbul"/>
    <x v="0"/>
    <s v="Kadın"/>
    <x v="0"/>
    <x v="1"/>
    <n v="44551"/>
    <n v="2"/>
    <n v="89102"/>
  </r>
  <r>
    <x v="54"/>
    <d v="1899-12-30T11:44:00"/>
    <s v="126-54-1082"/>
    <s v="A"/>
    <s v="İzmir"/>
    <x v="0"/>
    <s v="Kadın"/>
    <x v="2"/>
    <x v="2"/>
    <n v="21.54"/>
    <n v="9"/>
    <n v="193.85999999999999"/>
  </r>
  <r>
    <x v="54"/>
    <d v="1899-12-30T20:52:00"/>
    <s v="566-19-5475"/>
    <s v="B"/>
    <s v="Ankara"/>
    <x v="1"/>
    <s v="Erkek"/>
    <x v="4"/>
    <x v="1"/>
    <n v="47.97"/>
    <n v="7"/>
    <n v="335.78999999999996"/>
  </r>
  <r>
    <x v="54"/>
    <d v="1899-12-30T17:36:00"/>
    <s v="526-86-8552"/>
    <s v="C"/>
    <s v="İstanbul"/>
    <x v="0"/>
    <s v="Kadın"/>
    <x v="2"/>
    <x v="1"/>
    <n v="21.82"/>
    <n v="10"/>
    <n v="218.2"/>
  </r>
  <r>
    <x v="17"/>
    <d v="1899-12-30T13:23:00"/>
    <s v="376-56-3573"/>
    <s v="C"/>
    <s v="İstanbul"/>
    <x v="1"/>
    <s v="Kadın"/>
    <x v="4"/>
    <x v="0"/>
    <n v="95.42"/>
    <n v="4"/>
    <n v="381.68"/>
  </r>
  <r>
    <x v="25"/>
    <d v="1899-12-30T13:29:00"/>
    <s v="523-38-0215"/>
    <s v="C"/>
    <s v="İstanbul"/>
    <x v="1"/>
    <s v="Erkek"/>
    <x v="2"/>
    <x v="2"/>
    <n v="37"/>
    <n v="1"/>
    <n v="37"/>
  </r>
  <r>
    <x v="55"/>
    <d v="1899-12-30T11:09:00"/>
    <s v="490-29-1201"/>
    <s v="A"/>
    <s v="İzmir"/>
    <x v="1"/>
    <s v="Kadın"/>
    <x v="3"/>
    <x v="1"/>
    <n v="15.34"/>
    <n v="1"/>
    <n v="15.34"/>
  </r>
  <r>
    <x v="18"/>
    <d v="1899-12-30T15:02:00"/>
    <s v="667-92-0055"/>
    <s v="A"/>
    <s v="İzmir"/>
    <x v="0"/>
    <s v="Erkek"/>
    <x v="0"/>
    <x v="0"/>
    <n v="99.83"/>
    <n v="6"/>
    <n v="598.98"/>
  </r>
  <r>
    <x v="23"/>
    <d v="1899-12-30T14:21:00"/>
    <s v="565-17-3836"/>
    <s v="A"/>
    <s v="İzmir"/>
    <x v="0"/>
    <s v="Kadın"/>
    <x v="0"/>
    <x v="1"/>
    <n v="47.67"/>
    <n v="4"/>
    <n v="190.68"/>
  </r>
  <r>
    <x v="21"/>
    <d v="1899-12-30T14:38:00"/>
    <s v="430-60-3493"/>
    <s v="A"/>
    <s v="İzmir"/>
    <x v="0"/>
    <s v="Kadın"/>
    <x v="2"/>
    <x v="1"/>
    <n v="94.88"/>
    <n v="7"/>
    <n v="664.16"/>
  </r>
  <r>
    <x v="2"/>
    <d v="1899-12-30T13:42:00"/>
    <s v="211-05-0490"/>
    <s v="C"/>
    <s v="İstanbul"/>
    <x v="0"/>
    <s v="Kadın"/>
    <x v="1"/>
    <x v="1"/>
    <n v="51.92"/>
    <n v="5"/>
    <n v="259.60000000000002"/>
  </r>
  <r>
    <x v="4"/>
    <d v="1899-12-30T14:16:00"/>
    <s v="744-02-5987"/>
    <s v="A"/>
    <s v="İzmir"/>
    <x v="0"/>
    <s v="Erkek"/>
    <x v="2"/>
    <x v="0"/>
    <n v="78.38"/>
    <n v="6"/>
    <n v="470.28"/>
  </r>
  <r>
    <x v="32"/>
    <d v="1899-12-30T18:09:00"/>
    <s v="446-47-6729"/>
    <s v="C"/>
    <s v="İstanbul"/>
    <x v="1"/>
    <s v="Erkek"/>
    <x v="4"/>
    <x v="2"/>
    <n v="99.82"/>
    <n v="2"/>
    <n v="199.64"/>
  </r>
  <r>
    <x v="23"/>
    <d v="1899-12-30T16:46:00"/>
    <s v="573-10-3877"/>
    <s v="B"/>
    <s v="Ankara"/>
    <x v="0"/>
    <s v="Erkek"/>
    <x v="0"/>
    <x v="2"/>
    <n v="39.01"/>
    <n v="1"/>
    <n v="39.01"/>
  </r>
  <r>
    <x v="11"/>
    <d v="1899-12-30T17:43:00"/>
    <s v="848-42-2560"/>
    <s v="A"/>
    <s v="İzmir"/>
    <x v="1"/>
    <s v="Kadın"/>
    <x v="4"/>
    <x v="1"/>
    <n v="81.91"/>
    <n v="2"/>
    <n v="163.82"/>
  </r>
  <r>
    <x v="38"/>
    <d v="1899-12-30T19:05:00"/>
    <s v="181-94-6432"/>
    <s v="C"/>
    <s v="İstanbul"/>
    <x v="0"/>
    <s v="Erkek"/>
    <x v="4"/>
    <x v="0"/>
    <n v="69.33"/>
    <n v="2"/>
    <n v="138.66"/>
  </r>
  <r>
    <x v="37"/>
    <d v="1899-12-30T10:08:00"/>
    <s v="870-76-1733"/>
    <s v="A"/>
    <s v="İzmir"/>
    <x v="0"/>
    <s v="Kadın"/>
    <x v="5"/>
    <x v="2"/>
    <n v="14.23"/>
    <n v="5"/>
    <n v="71.150000000000006"/>
  </r>
  <r>
    <x v="56"/>
    <d v="1899-12-30T13:12:00"/>
    <s v="423-64-4619"/>
    <s v="A"/>
    <s v="İzmir"/>
    <x v="0"/>
    <s v="Kadın"/>
    <x v="0"/>
    <x v="1"/>
    <n v="15.55"/>
    <n v="9"/>
    <n v="139.95000000000002"/>
  </r>
  <r>
    <x v="42"/>
    <d v="1899-12-30T20:51:00"/>
    <s v="227-07-4446"/>
    <s v="C"/>
    <s v="İstanbul"/>
    <x v="0"/>
    <s v="Kadın"/>
    <x v="1"/>
    <x v="1"/>
    <n v="78.13"/>
    <n v="10"/>
    <n v="781.3"/>
  </r>
  <r>
    <x v="46"/>
    <d v="1899-12-30T10:25:00"/>
    <s v="428-83-5800"/>
    <s v="C"/>
    <s v="İstanbul"/>
    <x v="0"/>
    <s v="Kadın"/>
    <x v="5"/>
    <x v="1"/>
    <n v="44429"/>
    <n v="3"/>
    <n v="133287"/>
  </r>
  <r>
    <x v="4"/>
    <d v="1899-12-30T11:34:00"/>
    <s v="603-07-0961"/>
    <s v="C"/>
    <s v="İstanbul"/>
    <x v="0"/>
    <s v="Erkek"/>
    <x v="1"/>
    <x v="1"/>
    <n v="74.790000000000006"/>
    <n v="5"/>
    <n v="373.95000000000005"/>
  </r>
  <r>
    <x v="9"/>
    <d v="1899-12-30T18:58:00"/>
    <s v="704-20-4138"/>
    <s v="C"/>
    <s v="İstanbul"/>
    <x v="0"/>
    <s v="Kadın"/>
    <x v="0"/>
    <x v="2"/>
    <n v="29.67"/>
    <n v="7"/>
    <n v="207.69"/>
  </r>
  <r>
    <x v="1"/>
    <d v="1899-12-30T13:21:00"/>
    <s v="563-91-7120"/>
    <s v="A"/>
    <s v="İzmir"/>
    <x v="1"/>
    <s v="Kadın"/>
    <x v="4"/>
    <x v="1"/>
    <n v="61.77"/>
    <n v="5"/>
    <n v="308.85000000000002"/>
  </r>
  <r>
    <x v="23"/>
    <d v="1899-12-30T19:53:00"/>
    <s v="276-54-0879"/>
    <s v="B"/>
    <s v="Ankara"/>
    <x v="1"/>
    <s v="Erkek"/>
    <x v="3"/>
    <x v="0"/>
    <n v="97.74"/>
    <n v="4"/>
    <n v="390.96"/>
  </r>
  <r>
    <x v="19"/>
    <d v="1899-12-30T19:09:00"/>
    <s v="815-11-1168"/>
    <s v="A"/>
    <s v="İzmir"/>
    <x v="0"/>
    <s v="Erkek"/>
    <x v="5"/>
    <x v="1"/>
    <n v="99.78"/>
    <n v="5"/>
    <n v="498.9"/>
  </r>
  <r>
    <x v="23"/>
    <d v="1899-12-30T16:30:00"/>
    <s v="719-76-3868"/>
    <s v="C"/>
    <s v="İstanbul"/>
    <x v="0"/>
    <s v="Erkek"/>
    <x v="5"/>
    <x v="1"/>
    <n v="94.26"/>
    <n v="4"/>
    <n v="377.04"/>
  </r>
  <r>
    <x v="43"/>
    <d v="1899-12-30T18:48:00"/>
    <s v="868-81-1752"/>
    <s v="B"/>
    <s v="Ankara"/>
    <x v="1"/>
    <s v="Erkek"/>
    <x v="2"/>
    <x v="1"/>
    <n v="44249"/>
    <n v="9"/>
    <n v="398241"/>
  </r>
  <r>
    <x v="21"/>
    <d v="1899-12-30T15:59:00"/>
    <s v="566-71-1091"/>
    <s v="A"/>
    <s v="İzmir"/>
    <x v="1"/>
    <s v="Erkek"/>
    <x v="4"/>
    <x v="1"/>
    <n v="77.02"/>
    <n v="5"/>
    <n v="385.09999999999997"/>
  </r>
  <r>
    <x v="38"/>
    <d v="1899-12-30T15:26:00"/>
    <s v="374-17-3652"/>
    <s v="B"/>
    <s v="Ankara"/>
    <x v="0"/>
    <s v="Kadın"/>
    <x v="5"/>
    <x v="2"/>
    <n v="42.82"/>
    <n v="9"/>
    <n v="385.38"/>
  </r>
  <r>
    <x v="42"/>
    <d v="1899-12-30T18:23:00"/>
    <s v="378-07-7001"/>
    <s v="B"/>
    <s v="Ankara"/>
    <x v="0"/>
    <s v="Erkek"/>
    <x v="1"/>
    <x v="2"/>
    <n v="48.09"/>
    <n v="3"/>
    <n v="144.27000000000001"/>
  </r>
  <r>
    <x v="11"/>
    <d v="1899-12-30T19:06:00"/>
    <s v="433-75-6987"/>
    <s v="B"/>
    <s v="Ankara"/>
    <x v="0"/>
    <s v="Kadın"/>
    <x v="0"/>
    <x v="0"/>
    <n v="55.97"/>
    <n v="7"/>
    <n v="391.78999999999996"/>
  </r>
  <r>
    <x v="59"/>
    <d v="1899-12-30T12:14:00"/>
    <s v="441-94-7118"/>
    <s v="A"/>
    <s v="İzmir"/>
    <x v="0"/>
    <s v="Erkek"/>
    <x v="1"/>
    <x v="1"/>
    <n v="71.95"/>
    <n v="1"/>
    <n v="71.95"/>
  </r>
  <r>
    <x v="12"/>
    <d v="1899-12-30T14:16:00"/>
    <s v="565-67-6697"/>
    <s v="B"/>
    <s v="Ankara"/>
    <x v="0"/>
    <s v="Erkek"/>
    <x v="2"/>
    <x v="1"/>
    <n v="27"/>
    <n v="9"/>
    <n v="243"/>
  </r>
  <r>
    <x v="18"/>
    <d v="1899-12-30T15:44:00"/>
    <s v="320-49-6392"/>
    <s v="C"/>
    <s v="İstanbul"/>
    <x v="1"/>
    <s v="Kadın"/>
    <x v="1"/>
    <x v="1"/>
    <n v="30.24"/>
    <n v="1"/>
    <n v="30.24"/>
  </r>
  <r>
    <x v="54"/>
    <d v="1899-12-30T12:20:00"/>
    <s v="889-04-9723"/>
    <s v="B"/>
    <s v="Ankara"/>
    <x v="0"/>
    <s v="Kadın"/>
    <x v="5"/>
    <x v="2"/>
    <n v="89.14"/>
    <n v="4"/>
    <n v="356.56"/>
  </r>
  <r>
    <x v="1"/>
    <d v="1899-12-30T20:01:00"/>
    <s v="632-90-0281"/>
    <s v="C"/>
    <s v="İstanbul"/>
    <x v="1"/>
    <s v="Kadın"/>
    <x v="4"/>
    <x v="2"/>
    <n v="37.549999999999997"/>
    <n v="10"/>
    <n v="375.5"/>
  </r>
  <r>
    <x v="30"/>
    <d v="1899-12-30T13:45:00"/>
    <s v="554-42-2417"/>
    <s v="C"/>
    <s v="İstanbul"/>
    <x v="1"/>
    <s v="Kadın"/>
    <x v="3"/>
    <x v="1"/>
    <n v="95.44"/>
    <n v="10"/>
    <n v="954.4"/>
  </r>
  <r>
    <x v="60"/>
    <d v="1899-12-30T15:40:00"/>
    <s v="453-63-6187"/>
    <s v="B"/>
    <s v="Ankara"/>
    <x v="1"/>
    <s v="Erkek"/>
    <x v="1"/>
    <x v="0"/>
    <n v="44343"/>
    <n v="3"/>
    <n v="133029"/>
  </r>
  <r>
    <x v="56"/>
    <d v="1899-12-30T20:37:00"/>
    <s v="471-41-2823"/>
    <s v="C"/>
    <s v="İstanbul"/>
    <x v="1"/>
    <s v="Erkek"/>
    <x v="5"/>
    <x v="0"/>
    <n v="99.79"/>
    <n v="2"/>
    <n v="199.58"/>
  </r>
  <r>
    <x v="55"/>
    <d v="1899-12-30T12:12:00"/>
    <s v="834-25-9262"/>
    <s v="C"/>
    <s v="İstanbul"/>
    <x v="1"/>
    <s v="Kadın"/>
    <x v="4"/>
    <x v="1"/>
    <n v="81.680000000000007"/>
    <n v="4"/>
    <n v="326.72000000000003"/>
  </r>
  <r>
    <x v="25"/>
    <d v="1899-12-30T12:46:00"/>
    <s v="254-31-0042"/>
    <s v="A"/>
    <s v="İzmir"/>
    <x v="0"/>
    <s v="Erkek"/>
    <x v="1"/>
    <x v="2"/>
    <n v="44337"/>
    <n v="9"/>
    <n v="399033"/>
  </r>
  <r>
    <x v="17"/>
    <d v="1899-12-30T19:40:00"/>
    <s v="201-86-2184"/>
    <s v="B"/>
    <s v="Ankara"/>
    <x v="0"/>
    <s v="Kadın"/>
    <x v="1"/>
    <x v="1"/>
    <n v="26.26"/>
    <n v="7"/>
    <n v="183.82000000000002"/>
  </r>
  <r>
    <x v="58"/>
    <d v="1899-12-30T16:47:00"/>
    <s v="422-29-8786"/>
    <s v="A"/>
    <s v="İzmir"/>
    <x v="1"/>
    <s v="Kadın"/>
    <x v="2"/>
    <x v="2"/>
    <n v="67.09"/>
    <n v="5"/>
    <n v="335.45000000000005"/>
  </r>
  <r>
    <x v="0"/>
    <d v="1899-12-30T19:50:00"/>
    <s v="843-01-4703"/>
    <s v="B"/>
    <s v="Ankara"/>
    <x v="0"/>
    <s v="Kadın"/>
    <x v="2"/>
    <x v="2"/>
    <n v="35.380000000000003"/>
    <n v="9"/>
    <n v="318.42"/>
  </r>
  <r>
    <x v="61"/>
    <d v="1899-12-30T17:20:00"/>
    <s v="595-86-2894"/>
    <s v="C"/>
    <s v="İstanbul"/>
    <x v="0"/>
    <s v="Erkek"/>
    <x v="4"/>
    <x v="0"/>
    <n v="96.98"/>
    <n v="4"/>
    <n v="387.92"/>
  </r>
  <r>
    <x v="49"/>
    <d v="1899-12-30T10:37:00"/>
    <s v="289-15-7034"/>
    <s v="A"/>
    <s v="İzmir"/>
    <x v="0"/>
    <s v="Erkek"/>
    <x v="3"/>
    <x v="2"/>
    <n v="82.33"/>
    <n v="4"/>
    <n v="329.32"/>
  </r>
  <r>
    <x v="60"/>
    <d v="1899-12-30T15:32:00"/>
    <s v="153-58-4872"/>
    <s v="C"/>
    <s v="İstanbul"/>
    <x v="0"/>
    <s v="Kadın"/>
    <x v="5"/>
    <x v="0"/>
    <n v="74.89"/>
    <n v="4"/>
    <n v="299.56"/>
  </r>
  <r>
    <x v="55"/>
    <d v="1899-12-30T13:58:00"/>
    <s v="662-72-2873"/>
    <s v="A"/>
    <s v="İzmir"/>
    <x v="1"/>
    <s v="Kadın"/>
    <x v="5"/>
    <x v="0"/>
    <n v="40.94"/>
    <n v="5"/>
    <n v="204.7"/>
  </r>
  <r>
    <x v="9"/>
    <d v="1899-12-30T13:37:00"/>
    <s v="689-16-9784"/>
    <s v="C"/>
    <s v="İstanbul"/>
    <x v="1"/>
    <s v="Erkek"/>
    <x v="5"/>
    <x v="1"/>
    <n v="46.77"/>
    <n v="6"/>
    <n v="280.62"/>
  </r>
  <r>
    <x v="13"/>
    <d v="1899-12-30T14:04:00"/>
    <s v="596-42-3999"/>
    <s v="B"/>
    <s v="Ankara"/>
    <x v="1"/>
    <s v="Erkek"/>
    <x v="5"/>
    <x v="2"/>
    <n v="18.22"/>
    <n v="7"/>
    <n v="127.53999999999999"/>
  </r>
  <r>
    <x v="19"/>
    <d v="1899-12-30T12:45:00"/>
    <s v="308-47-4913"/>
    <s v="A"/>
    <s v="İzmir"/>
    <x v="0"/>
    <s v="Kadın"/>
    <x v="3"/>
    <x v="2"/>
    <n v="52.26"/>
    <n v="10"/>
    <n v="522.6"/>
  </r>
  <r>
    <x v="25"/>
    <d v="1899-12-30T10:36:00"/>
    <s v="885-17-6250"/>
    <s v="A"/>
    <s v="İzmir"/>
    <x v="1"/>
    <s v="Kadın"/>
    <x v="0"/>
    <x v="0"/>
    <n v="79.739999999999995"/>
    <n v="1"/>
    <n v="79.739999999999995"/>
  </r>
  <r>
    <x v="11"/>
    <d v="1899-12-30T13:30:00"/>
    <s v="793-10-3222"/>
    <s v="B"/>
    <s v="Ankara"/>
    <x v="0"/>
    <s v="Kadın"/>
    <x v="0"/>
    <x v="2"/>
    <n v="41.06"/>
    <n v="6"/>
    <n v="246.36"/>
  </r>
  <r>
    <x v="18"/>
    <d v="1899-12-30T16:28:00"/>
    <s v="346-12-3257"/>
    <s v="B"/>
    <s v="Ankara"/>
    <x v="0"/>
    <s v="Erkek"/>
    <x v="1"/>
    <x v="1"/>
    <n v="19.239999999999998"/>
    <n v="9"/>
    <n v="173.16"/>
  </r>
  <r>
    <x v="23"/>
    <d v="1899-12-30T20:04:00"/>
    <s v="651-61-0874"/>
    <s v="C"/>
    <s v="İstanbul"/>
    <x v="1"/>
    <s v="Erkek"/>
    <x v="2"/>
    <x v="2"/>
    <n v="46.22"/>
    <n v="4"/>
    <n v="184.88"/>
  </r>
  <r>
    <x v="59"/>
    <d v="1899-12-30T13:38:00"/>
    <s v="236-86-3015"/>
    <s v="C"/>
    <s v="İstanbul"/>
    <x v="0"/>
    <s v="Erkek"/>
    <x v="2"/>
    <x v="0"/>
    <n v="13.98"/>
    <n v="1"/>
    <n v="13.98"/>
  </r>
  <r>
    <x v="49"/>
    <d v="1899-12-30T19:07:00"/>
    <s v="732-67-5346"/>
    <s v="A"/>
    <s v="İzmir"/>
    <x v="1"/>
    <s v="Erkek"/>
    <x v="5"/>
    <x v="2"/>
    <n v="13.79"/>
    <n v="5"/>
    <n v="68.949999999999989"/>
  </r>
  <r>
    <x v="44"/>
    <d v="1899-12-30T19:01:00"/>
    <s v="725-32-9708"/>
    <s v="B"/>
    <s v="Ankara"/>
    <x v="0"/>
    <s v="Kadın"/>
    <x v="4"/>
    <x v="1"/>
    <n v="68.709999999999994"/>
    <n v="4"/>
    <n v="274.83999999999997"/>
  </r>
  <r>
    <x v="18"/>
    <d v="1899-12-30T19:48:00"/>
    <s v="256-08-8343"/>
    <s v="A"/>
    <s v="İzmir"/>
    <x v="1"/>
    <s v="Kadın"/>
    <x v="2"/>
    <x v="0"/>
    <n v="56.53"/>
    <n v="4"/>
    <n v="226.12"/>
  </r>
  <r>
    <x v="32"/>
    <d v="1899-12-30T13:00:00"/>
    <s v="244-08-0162"/>
    <s v="B"/>
    <s v="Ankara"/>
    <x v="1"/>
    <s v="Kadın"/>
    <x v="0"/>
    <x v="1"/>
    <n v="34.21"/>
    <n v="10"/>
    <n v="342.1"/>
  </r>
  <r>
    <x v="44"/>
    <d v="1899-12-30T13:21:00"/>
    <s v="132-23-6451"/>
    <s v="A"/>
    <s v="İzmir"/>
    <x v="0"/>
    <s v="Erkek"/>
    <x v="0"/>
    <x v="1"/>
    <n v="20.97"/>
    <n v="5"/>
    <n v="104.85"/>
  </r>
  <r>
    <x v="13"/>
    <d v="1899-12-30T18:55:00"/>
    <s v="696-90-2548"/>
    <s v="A"/>
    <s v="İzmir"/>
    <x v="1"/>
    <s v="Erkek"/>
    <x v="3"/>
    <x v="0"/>
    <n v="25.84"/>
    <n v="3"/>
    <n v="77.52"/>
  </r>
  <r>
    <x v="57"/>
    <d v="1899-12-30T13:48:00"/>
    <s v="750-57-9686"/>
    <s v="C"/>
    <s v="İstanbul"/>
    <x v="1"/>
    <s v="Kadın"/>
    <x v="2"/>
    <x v="2"/>
    <n v="45.38"/>
    <n v="4"/>
    <n v="181.52"/>
  </r>
  <r>
    <x v="31"/>
    <d v="1899-12-30T17:13:00"/>
    <s v="848-07-1692"/>
    <s v="B"/>
    <s v="Ankara"/>
    <x v="1"/>
    <s v="Kadın"/>
    <x v="0"/>
    <x v="0"/>
    <n v="57.22"/>
    <n v="2"/>
    <n v="114.44"/>
  </r>
  <r>
    <x v="59"/>
    <d v="1899-12-30T10:23:00"/>
    <s v="745-71-3520"/>
    <s v="A"/>
    <s v="İzmir"/>
    <x v="0"/>
    <s v="Kadın"/>
    <x v="1"/>
    <x v="1"/>
    <n v="25.22"/>
    <n v="7"/>
    <n v="176.54"/>
  </r>
  <r>
    <x v="3"/>
    <d v="1899-12-30T13:00:00"/>
    <s v="271-88-8734"/>
    <s v="C"/>
    <s v="İstanbul"/>
    <x v="0"/>
    <s v="Kadın"/>
    <x v="4"/>
    <x v="2"/>
    <n v="97.21"/>
    <n v="10"/>
    <n v="972.09999999999991"/>
  </r>
  <r>
    <x v="19"/>
    <d v="1899-12-30T15:36:00"/>
    <s v="489-64-4354"/>
    <s v="C"/>
    <s v="İstanbul"/>
    <x v="1"/>
    <s v="Erkek"/>
    <x v="4"/>
    <x v="1"/>
    <n v="16.28"/>
    <n v="1"/>
    <n v="16.28"/>
  </r>
  <r>
    <x v="32"/>
    <d v="1899-12-30T13:40:00"/>
    <s v="198-84-7132"/>
    <s v="B"/>
    <s v="Ankara"/>
    <x v="0"/>
    <s v="Erkek"/>
    <x v="4"/>
    <x v="1"/>
    <n v="40.61"/>
    <n v="9"/>
    <n v="365.49"/>
  </r>
  <r>
    <x v="1"/>
    <d v="1899-12-30T10:53:00"/>
    <s v="325-77-6186"/>
    <s v="A"/>
    <s v="İzmir"/>
    <x v="0"/>
    <s v="Kadın"/>
    <x v="2"/>
    <x v="0"/>
    <n v="90.65"/>
    <n v="10"/>
    <n v="906.5"/>
  </r>
  <r>
    <x v="1"/>
    <d v="1899-12-30T16:53:00"/>
    <s v="574-57-9721"/>
    <s v="C"/>
    <s v="İstanbul"/>
    <x v="1"/>
    <s v="Erkek"/>
    <x v="5"/>
    <x v="0"/>
    <n v="43.27"/>
    <n v="2"/>
    <n v="86.54"/>
  </r>
  <r>
    <x v="19"/>
    <d v="1899-12-30T14:36:00"/>
    <s v="616-87-0016"/>
    <s v="B"/>
    <s v="Ankara"/>
    <x v="1"/>
    <s v="Erkek"/>
    <x v="4"/>
    <x v="2"/>
    <n v="95.54"/>
    <n v="7"/>
    <n v="668.78000000000009"/>
  </r>
  <r>
    <x v="1"/>
    <d v="1899-12-30T15:37:00"/>
    <s v="345-08-4992"/>
    <s v="A"/>
    <s v="İzmir"/>
    <x v="1"/>
    <s v="Erkek"/>
    <x v="2"/>
    <x v="2"/>
    <n v="33.99"/>
    <n v="6"/>
    <n v="203.94"/>
  </r>
  <r>
    <x v="1"/>
    <d v="1899-12-30T20:15:00"/>
    <s v="549-96-4200"/>
    <s v="C"/>
    <s v="İstanbul"/>
    <x v="0"/>
    <s v="Erkek"/>
    <x v="5"/>
    <x v="0"/>
    <n v="44303"/>
    <n v="4"/>
    <n v="177212"/>
  </r>
  <r>
    <x v="43"/>
    <d v="1899-12-30T14:38:00"/>
    <s v="810-60-6344"/>
    <s v="C"/>
    <s v="İstanbul"/>
    <x v="1"/>
    <s v="Kadın"/>
    <x v="1"/>
    <x v="2"/>
    <n v="40.86"/>
    <n v="8"/>
    <n v="326.88"/>
  </r>
  <r>
    <x v="57"/>
    <d v="1899-12-30T14:11:00"/>
    <s v="192-98-7397"/>
    <s v="C"/>
    <s v="İstanbul"/>
    <x v="1"/>
    <s v="Erkek"/>
    <x v="4"/>
    <x v="0"/>
    <n v="28825"/>
    <n v="1"/>
    <n v="28825"/>
  </r>
  <r>
    <x v="13"/>
    <d v="1899-12-30T17:38:00"/>
    <s v="453-12-7053"/>
    <s v="C"/>
    <s v="İstanbul"/>
    <x v="1"/>
    <s v="Erkek"/>
    <x v="4"/>
    <x v="2"/>
    <n v="45.74"/>
    <n v="3"/>
    <n v="137.22"/>
  </r>
  <r>
    <x v="31"/>
    <d v="1899-12-30T20:07:00"/>
    <s v="296-11-7041"/>
    <s v="B"/>
    <s v="Ankara"/>
    <x v="0"/>
    <s v="Kadın"/>
    <x v="0"/>
    <x v="2"/>
    <n v="44404"/>
    <n v="1"/>
    <n v="44404"/>
  </r>
  <r>
    <x v="10"/>
    <d v="1899-12-30T19:07:00"/>
    <s v="891-01-7034"/>
    <s v="B"/>
    <s v="Ankara"/>
    <x v="1"/>
    <s v="Kadın"/>
    <x v="1"/>
    <x v="1"/>
    <n v="74.709999999999994"/>
    <n v="6"/>
    <n v="448.26"/>
  </r>
  <r>
    <x v="32"/>
    <d v="1899-12-30T18:50:00"/>
    <s v="744-09-5786"/>
    <s v="B"/>
    <s v="Ankara"/>
    <x v="1"/>
    <s v="Erkek"/>
    <x v="1"/>
    <x v="1"/>
    <n v="44218"/>
    <n v="6"/>
    <n v="265308"/>
  </r>
  <r>
    <x v="2"/>
    <d v="1899-12-30T15:09:00"/>
    <s v="568-88-3448"/>
    <s v="A"/>
    <s v="İzmir"/>
    <x v="1"/>
    <s v="Erkek"/>
    <x v="0"/>
    <x v="0"/>
    <n v="25"/>
    <n v="1"/>
    <n v="25"/>
  </r>
  <r>
    <x v="43"/>
    <d v="1899-12-30T20:24:00"/>
    <s v="533-33-5337"/>
    <s v="B"/>
    <s v="Ankara"/>
    <x v="1"/>
    <s v="Erkek"/>
    <x v="1"/>
    <x v="1"/>
    <n v="79.39"/>
    <n v="10"/>
    <n v="793.9"/>
  </r>
  <r>
    <x v="21"/>
    <d v="1899-12-30T15:19:00"/>
    <s v="639-76-1242"/>
    <s v="C"/>
    <s v="İstanbul"/>
    <x v="1"/>
    <s v="Erkek"/>
    <x v="5"/>
    <x v="1"/>
    <n v="40.520000000000003"/>
    <n v="5"/>
    <n v="202.60000000000002"/>
  </r>
  <r>
    <x v="2"/>
    <d v="1899-12-30T12:25:00"/>
    <s v="234-03-4040"/>
    <s v="B"/>
    <s v="Ankara"/>
    <x v="0"/>
    <s v="Kadın"/>
    <x v="5"/>
    <x v="2"/>
    <n v="73.05"/>
    <n v="10"/>
    <n v="730.5"/>
  </r>
  <r>
    <x v="21"/>
    <d v="1899-12-30T10:02:00"/>
    <s v="326-71-2155"/>
    <s v="C"/>
    <s v="İstanbul"/>
    <x v="1"/>
    <s v="Kadın"/>
    <x v="3"/>
    <x v="1"/>
    <n v="73.95"/>
    <n v="4"/>
    <n v="295.8"/>
  </r>
  <r>
    <x v="12"/>
    <d v="1899-12-30T11:22:00"/>
    <s v="878-30-2331"/>
    <s v="C"/>
    <s v="İstanbul"/>
    <x v="0"/>
    <s v="Kadın"/>
    <x v="3"/>
    <x v="2"/>
    <n v="54.55"/>
    <n v="10"/>
    <n v="545.5"/>
  </r>
  <r>
    <x v="3"/>
    <d v="1899-12-30T13:12:00"/>
    <s v="440-59-5691"/>
    <s v="C"/>
    <s v="İstanbul"/>
    <x v="0"/>
    <s v="Kadın"/>
    <x v="0"/>
    <x v="2"/>
    <n v="37.15"/>
    <n v="7"/>
    <n v="260.05"/>
  </r>
  <r>
    <x v="46"/>
    <d v="1899-12-30T10:02:00"/>
    <s v="746-19-0921"/>
    <s v="C"/>
    <s v="İstanbul"/>
    <x v="1"/>
    <s v="Erkek"/>
    <x v="5"/>
    <x v="0"/>
    <n v="21.58"/>
    <n v="1"/>
    <n v="21.58"/>
  </r>
  <r>
    <x v="17"/>
    <d v="1899-12-30T18:31:00"/>
    <s v="405-31-3305"/>
    <s v="A"/>
    <s v="İzmir"/>
    <x v="0"/>
    <s v="Erkek"/>
    <x v="4"/>
    <x v="2"/>
    <n v="43.13"/>
    <n v="10"/>
    <n v="431.3"/>
  </r>
  <r>
    <x v="56"/>
    <d v="1899-12-30T16:54:00"/>
    <s v="598-47-9715"/>
    <s v="C"/>
    <s v="İstanbul"/>
    <x v="1"/>
    <s v="Erkek"/>
    <x v="1"/>
    <x v="0"/>
    <n v="84.07"/>
    <n v="4"/>
    <n v="336.28"/>
  </r>
  <r>
    <x v="17"/>
    <d v="1899-12-30T20:29:00"/>
    <s v="541-08-3113"/>
    <s v="C"/>
    <s v="İstanbul"/>
    <x v="1"/>
    <s v="Erkek"/>
    <x v="5"/>
    <x v="1"/>
    <n v="65.97"/>
    <n v="8"/>
    <n v="527.76"/>
  </r>
  <r>
    <x v="57"/>
    <d v="1899-12-30T13:05:00"/>
    <s v="674-15-9296"/>
    <s v="A"/>
    <s v="İzmir"/>
    <x v="1"/>
    <s v="Erkek"/>
    <x v="3"/>
    <x v="0"/>
    <n v="37.14"/>
    <n v="5"/>
    <n v="185.7"/>
  </r>
  <r>
    <x v="48"/>
    <d v="1899-12-30T16:19:00"/>
    <s v="305-18-3552"/>
    <s v="B"/>
    <s v="Ankara"/>
    <x v="0"/>
    <s v="Erkek"/>
    <x v="2"/>
    <x v="1"/>
    <n v="60.38"/>
    <n v="10"/>
    <n v="603.80000000000007"/>
  </r>
  <r>
    <x v="10"/>
    <d v="1899-12-30T19:48:00"/>
    <s v="493-65-6248"/>
    <s v="C"/>
    <s v="İstanbul"/>
    <x v="0"/>
    <s v="Kadın"/>
    <x v="3"/>
    <x v="2"/>
    <n v="36.979999999999997"/>
    <n v="10"/>
    <n v="369.79999999999995"/>
  </r>
  <r>
    <x v="59"/>
    <d v="1899-12-30T13:21:00"/>
    <s v="627-95-3243"/>
    <s v="B"/>
    <s v="Ankara"/>
    <x v="0"/>
    <s v="Kadın"/>
    <x v="2"/>
    <x v="0"/>
    <n v="77.680000000000007"/>
    <n v="9"/>
    <n v="699.12000000000012"/>
  </r>
  <r>
    <x v="11"/>
    <d v="1899-12-30T20:24:00"/>
    <s v="608-04-3797"/>
    <s v="B"/>
    <s v="Ankara"/>
    <x v="0"/>
    <s v="Kadın"/>
    <x v="0"/>
    <x v="0"/>
    <n v="25.32"/>
    <n v="8"/>
    <n v="202.56"/>
  </r>
  <r>
    <x v="11"/>
    <d v="1899-12-30T13:44:00"/>
    <s v="148-82-2527"/>
    <s v="C"/>
    <s v="İstanbul"/>
    <x v="0"/>
    <s v="Kadın"/>
    <x v="2"/>
    <x v="2"/>
    <n v="44542"/>
    <n v="10"/>
    <n v="445420"/>
  </r>
  <r>
    <x v="10"/>
    <d v="1899-12-30T15:51:00"/>
    <s v="556-97-7101"/>
    <s v="C"/>
    <s v="İstanbul"/>
    <x v="1"/>
    <s v="Kadın"/>
    <x v="1"/>
    <x v="1"/>
    <n v="63.22"/>
    <n v="2"/>
    <n v="126.44"/>
  </r>
  <r>
    <x v="17"/>
    <d v="1899-12-30T15:47:00"/>
    <s v="420-18-8989"/>
    <s v="A"/>
    <s v="İzmir"/>
    <x v="0"/>
    <s v="Kadın"/>
    <x v="3"/>
    <x v="1"/>
    <n v="51.52"/>
    <n v="8"/>
    <n v="412.16"/>
  </r>
  <r>
    <x v="21"/>
    <d v="1899-12-30T15:53:00"/>
    <s v="277-63-2961"/>
    <s v="B"/>
    <s v="Ankara"/>
    <x v="0"/>
    <s v="Erkek"/>
    <x v="3"/>
    <x v="2"/>
    <n v="73.97"/>
    <n v="1"/>
    <n v="73.97"/>
  </r>
  <r>
    <x v="0"/>
    <d v="1899-12-30T12:40:00"/>
    <s v="573-98-8548"/>
    <s v="C"/>
    <s v="İstanbul"/>
    <x v="0"/>
    <s v="Kadın"/>
    <x v="4"/>
    <x v="0"/>
    <n v="31.9"/>
    <n v="1"/>
    <n v="31.9"/>
  </r>
  <r>
    <x v="57"/>
    <d v="1899-12-30T12:50:00"/>
    <s v="387-49-4215"/>
    <s v="B"/>
    <s v="Ankara"/>
    <x v="0"/>
    <s v="Kadın"/>
    <x v="3"/>
    <x v="1"/>
    <n v="48.5"/>
    <n v="3"/>
    <n v="145.5"/>
  </r>
  <r>
    <x v="46"/>
    <d v="1899-12-30T17:15:00"/>
    <s v="602-80-9671"/>
    <s v="C"/>
    <s v="İstanbul"/>
    <x v="0"/>
    <s v="Kadın"/>
    <x v="2"/>
    <x v="2"/>
    <n v="15.95"/>
    <n v="6"/>
    <n v="95.699999999999989"/>
  </r>
  <r>
    <x v="0"/>
    <d v="1899-12-30T17:29:00"/>
    <s v="209-61-0206"/>
    <s v="A"/>
    <s v="İzmir"/>
    <x v="1"/>
    <s v="Kadın"/>
    <x v="2"/>
    <x v="0"/>
    <n v="42.91"/>
    <n v="5"/>
    <n v="214.54999999999998"/>
  </r>
  <r>
    <x v="60"/>
    <d v="1899-12-30T18:14:00"/>
    <s v="220-28-1851"/>
    <s v="A"/>
    <s v="İzmir"/>
    <x v="1"/>
    <s v="Erkek"/>
    <x v="2"/>
    <x v="0"/>
    <n v="34.729999999999997"/>
    <n v="2"/>
    <n v="69.459999999999994"/>
  </r>
  <r>
    <x v="61"/>
    <d v="1899-12-30T13:55:00"/>
    <s v="609-81-8548"/>
    <s v="A"/>
    <s v="İzmir"/>
    <x v="0"/>
    <s v="Kadın"/>
    <x v="2"/>
    <x v="2"/>
    <n v="37.44"/>
    <n v="6"/>
    <n v="224.64"/>
  </r>
  <r>
    <x v="10"/>
    <d v="1899-12-30T11:43:00"/>
    <s v="133-14-7229"/>
    <s v="C"/>
    <s v="İstanbul"/>
    <x v="1"/>
    <s v="Erkek"/>
    <x v="0"/>
    <x v="1"/>
    <n v="62.87"/>
    <n v="2"/>
    <n v="125.74"/>
  </r>
  <r>
    <x v="43"/>
    <d v="1899-12-30T11:28:00"/>
    <s v="827-44-5872"/>
    <s v="B"/>
    <s v="Ankara"/>
    <x v="0"/>
    <s v="Kadın"/>
    <x v="5"/>
    <x v="2"/>
    <n v="54.36"/>
    <n v="10"/>
    <n v="543.6"/>
  </r>
  <r>
    <x v="48"/>
    <d v="1899-12-30T19:01:00"/>
    <s v="287-83-1405"/>
    <s v="A"/>
    <s v="İzmir"/>
    <x v="1"/>
    <s v="Erkek"/>
    <x v="0"/>
    <x v="0"/>
    <n v="25.43"/>
    <n v="6"/>
    <n v="152.57999999999998"/>
  </r>
  <r>
    <x v="61"/>
    <d v="1899-12-30T19:20:00"/>
    <s v="857-67-9057"/>
    <s v="B"/>
    <s v="Ankara"/>
    <x v="1"/>
    <s v="Erkek"/>
    <x v="1"/>
    <x v="0"/>
    <n v="22.95"/>
    <n v="10"/>
    <n v="229.5"/>
  </r>
  <r>
    <x v="9"/>
    <d v="1899-12-30T13:28:00"/>
    <s v="892-05-6689"/>
    <s v="A"/>
    <s v="İzmir"/>
    <x v="1"/>
    <s v="Kadın"/>
    <x v="2"/>
    <x v="0"/>
    <n v="28.32"/>
    <n v="5"/>
    <n v="141.6"/>
  </r>
  <r>
    <x v="43"/>
    <d v="1899-12-30T11:36:00"/>
    <s v="583-41-4548"/>
    <s v="C"/>
    <s v="İstanbul"/>
    <x v="1"/>
    <s v="Erkek"/>
    <x v="2"/>
    <x v="0"/>
    <n v="16.670000000000002"/>
    <n v="7"/>
    <n v="116.69000000000001"/>
  </r>
  <r>
    <x v="0"/>
    <d v="1899-12-30T11:32:00"/>
    <s v="339-12-4827"/>
    <s v="B"/>
    <s v="Ankara"/>
    <x v="0"/>
    <s v="Kadın"/>
    <x v="4"/>
    <x v="2"/>
    <n v="73.959999999999994"/>
    <n v="1"/>
    <n v="73.959999999999994"/>
  </r>
  <r>
    <x v="56"/>
    <d v="1899-12-30T11:44:00"/>
    <s v="643-38-7867"/>
    <s v="A"/>
    <s v="İzmir"/>
    <x v="1"/>
    <s v="Erkek"/>
    <x v="2"/>
    <x v="0"/>
    <n v="97.94"/>
    <n v="1"/>
    <n v="97.94"/>
  </r>
  <r>
    <x v="37"/>
    <d v="1899-12-30T18:43:00"/>
    <s v="358-88-9262"/>
    <s v="C"/>
    <s v="İstanbul"/>
    <x v="0"/>
    <s v="Kadın"/>
    <x v="5"/>
    <x v="0"/>
    <n v="87.48"/>
    <n v="6"/>
    <n v="524.88"/>
  </r>
  <r>
    <x v="58"/>
    <d v="1899-12-30T10:30:00"/>
    <s v="343-87-0864"/>
    <s v="C"/>
    <s v="İstanbul"/>
    <x v="0"/>
    <s v="Erkek"/>
    <x v="0"/>
    <x v="2"/>
    <n v="75.88"/>
    <n v="1"/>
    <n v="75.88"/>
  </r>
  <r>
    <x v="0"/>
    <d v="1899-12-30T20:40:00"/>
    <s v="841-18-8232"/>
    <s v="B"/>
    <s v="Ankara"/>
    <x v="1"/>
    <s v="Kadın"/>
    <x v="5"/>
    <x v="2"/>
    <n v="71.2"/>
    <n v="1"/>
    <n v="71.2"/>
  </r>
  <r>
    <x v="31"/>
    <d v="1899-12-30T16:23:00"/>
    <s v="647-50-1224"/>
    <s v="A"/>
    <s v="İzmir"/>
    <x v="1"/>
    <s v="Kadın"/>
    <x v="4"/>
    <x v="0"/>
    <n v="29.42"/>
    <n v="10"/>
    <n v="294.20000000000005"/>
  </r>
  <r>
    <x v="54"/>
    <d v="1899-12-30T12:08:00"/>
    <s v="541-48-8554"/>
    <s v="A"/>
    <s v="İzmir"/>
    <x v="1"/>
    <s v="Erkek"/>
    <x v="3"/>
    <x v="2"/>
    <n v="60.95"/>
    <n v="9"/>
    <n v="548.55000000000007"/>
  </r>
  <r>
    <x v="46"/>
    <d v="1899-12-30T20:31:00"/>
    <s v="747-58-7183"/>
    <s v="B"/>
    <s v="Ankara"/>
    <x v="1"/>
    <s v="Erkek"/>
    <x v="4"/>
    <x v="0"/>
    <n v="57.27"/>
    <n v="3"/>
    <n v="171.81"/>
  </r>
  <r>
    <x v="38"/>
    <d v="1899-12-30T12:34:00"/>
    <s v="210-57-1719"/>
    <s v="B"/>
    <s v="Ankara"/>
    <x v="1"/>
    <s v="Kadın"/>
    <x v="0"/>
    <x v="1"/>
    <n v="58.24"/>
    <n v="9"/>
    <n v="524.16"/>
  </r>
  <r>
    <x v="56"/>
    <d v="1899-12-30T10:23:00"/>
    <s v="399-69-4630"/>
    <s v="C"/>
    <s v="İstanbul"/>
    <x v="1"/>
    <s v="Erkek"/>
    <x v="1"/>
    <x v="2"/>
    <n v="22.21"/>
    <n v="6"/>
    <n v="133.26"/>
  </r>
  <r>
    <x v="59"/>
    <d v="1899-12-30T19:38:00"/>
    <s v="198-66-9832"/>
    <s v="B"/>
    <s v="Ankara"/>
    <x v="0"/>
    <s v="Kadın"/>
    <x v="4"/>
    <x v="1"/>
    <n v="72.040000000000006"/>
    <n v="2"/>
    <n v="144.08000000000001"/>
  </r>
  <r>
    <x v="32"/>
    <d v="1899-12-30T15:24:00"/>
    <s v="712-39-0363"/>
    <s v="A"/>
    <s v="İzmir"/>
    <x v="0"/>
    <s v="Erkek"/>
    <x v="5"/>
    <x v="0"/>
    <n v="41.66"/>
    <n v="6"/>
    <n v="249.95999999999998"/>
  </r>
  <r>
    <x v="50"/>
    <d v="1899-12-30T15:42:00"/>
    <s v="866-99-7614"/>
    <s v="C"/>
    <s v="İstanbul"/>
    <x v="1"/>
    <s v="Erkek"/>
    <x v="5"/>
    <x v="2"/>
    <n v="89.2"/>
    <n v="10"/>
    <n v="892"/>
  </r>
  <r>
    <x v="21"/>
    <d v="1899-12-30T16:40:00"/>
    <s v="718-57-9773"/>
    <s v="C"/>
    <s v="İstanbul"/>
    <x v="1"/>
    <s v="Kadın"/>
    <x v="3"/>
    <x v="2"/>
    <n v="49.33"/>
    <n v="10"/>
    <n v="493.29999999999995"/>
  </r>
  <r>
    <x v="10"/>
    <d v="1899-12-30T13:55:00"/>
    <s v="651-88-7328"/>
    <s v="A"/>
    <s v="İzmir"/>
    <x v="1"/>
    <s v="Kadın"/>
    <x v="4"/>
    <x v="1"/>
    <n v="65.739999999999995"/>
    <n v="9"/>
    <n v="591.66"/>
  </r>
  <r>
    <x v="4"/>
    <d v="1899-12-30T10:33:00"/>
    <s v="241-11-2261"/>
    <s v="B"/>
    <s v="Ankara"/>
    <x v="1"/>
    <s v="Kadın"/>
    <x v="4"/>
    <x v="2"/>
    <n v="79.86"/>
    <n v="7"/>
    <n v="559.02"/>
  </r>
  <r>
    <x v="12"/>
    <d v="1899-12-30T16:42:00"/>
    <s v="408-26-9866"/>
    <s v="C"/>
    <s v="İstanbul"/>
    <x v="1"/>
    <s v="Kadın"/>
    <x v="3"/>
    <x v="0"/>
    <n v="73.98"/>
    <n v="7"/>
    <n v="517.86"/>
  </r>
  <r>
    <x v="13"/>
    <d v="1899-12-30T19:35:00"/>
    <s v="239-48-4278"/>
    <s v="A"/>
    <s v="İzmir"/>
    <x v="0"/>
    <s v="Erkek"/>
    <x v="5"/>
    <x v="0"/>
    <n v="41548"/>
    <n v="7"/>
    <n v="290836"/>
  </r>
  <r>
    <x v="60"/>
    <d v="1899-12-30T19:49:00"/>
    <s v="339-96-8318"/>
    <s v="B"/>
    <s v="Ankara"/>
    <x v="0"/>
    <s v="Erkek"/>
    <x v="4"/>
    <x v="0"/>
    <n v="81.31"/>
    <n v="7"/>
    <n v="569.17000000000007"/>
  </r>
  <r>
    <x v="60"/>
    <d v="1899-12-30T12:15:00"/>
    <s v="207-73-1363"/>
    <s v="B"/>
    <s v="Ankara"/>
    <x v="1"/>
    <s v="Erkek"/>
    <x v="0"/>
    <x v="0"/>
    <n v="69.510000000000005"/>
    <n v="2"/>
    <n v="139.02000000000001"/>
  </r>
  <r>
    <x v="54"/>
    <d v="1899-12-30T12:37:00"/>
    <s v="390-31-6381"/>
    <s v="C"/>
    <s v="İstanbul"/>
    <x v="1"/>
    <s v="Erkek"/>
    <x v="5"/>
    <x v="1"/>
    <n v="27.22"/>
    <n v="3"/>
    <n v="81.66"/>
  </r>
  <r>
    <x v="37"/>
    <d v="1899-12-30T19:54:00"/>
    <s v="443-82-0585"/>
    <s v="A"/>
    <s v="İzmir"/>
    <x v="0"/>
    <s v="Kadın"/>
    <x v="0"/>
    <x v="1"/>
    <n v="77.680000000000007"/>
    <n v="4"/>
    <n v="310.72000000000003"/>
  </r>
  <r>
    <x v="19"/>
    <d v="1899-12-30T13:53:00"/>
    <s v="127-47-6963"/>
    <s v="A"/>
    <s v="İzmir"/>
    <x v="1"/>
    <s v="Erkek"/>
    <x v="0"/>
    <x v="2"/>
    <n v="51.71"/>
    <n v="4"/>
    <n v="206.84"/>
  </r>
  <r>
    <x v="59"/>
    <d v="1899-12-30T16:38:00"/>
    <s v="695-28-6250"/>
    <s v="A"/>
    <s v="İzmir"/>
    <x v="1"/>
    <s v="Kadın"/>
    <x v="3"/>
    <x v="0"/>
    <n v="43.06"/>
    <n v="5"/>
    <n v="215.3"/>
  </r>
  <r>
    <x v="18"/>
    <d v="1899-12-30T12:23:00"/>
    <s v="227-50-3718"/>
    <s v="A"/>
    <s v="İzmir"/>
    <x v="1"/>
    <s v="Erkek"/>
    <x v="0"/>
    <x v="1"/>
    <n v="14.62"/>
    <n v="5"/>
    <n v="73.099999999999994"/>
  </r>
  <r>
    <x v="2"/>
    <d v="1899-12-30T10:54:00"/>
    <s v="302-15-2162"/>
    <s v="C"/>
    <s v="İstanbul"/>
    <x v="0"/>
    <s v="Erkek"/>
    <x v="0"/>
    <x v="2"/>
    <n v="46.53"/>
    <n v="6"/>
    <n v="279.18"/>
  </r>
  <r>
    <x v="43"/>
    <d v="1899-12-30T14:13:00"/>
    <s v="560-49-6611"/>
    <s v="A"/>
    <s v="İzmir"/>
    <x v="0"/>
    <s v="Kadın"/>
    <x v="3"/>
    <x v="1"/>
    <n v="45.58"/>
    <n v="1"/>
    <n v="45.58"/>
  </r>
  <r>
    <x v="38"/>
    <d v="1899-12-30T11:51:00"/>
    <s v="880-35-0356"/>
    <s v="A"/>
    <s v="İzmir"/>
    <x v="0"/>
    <s v="Kadın"/>
    <x v="3"/>
    <x v="0"/>
    <n v="75.2"/>
    <n v="3"/>
    <n v="225.60000000000002"/>
  </r>
  <r>
    <x v="60"/>
    <d v="1899-12-30T11:30:00"/>
    <s v="470-31-3286"/>
    <s v="B"/>
    <s v="Ankara"/>
    <x v="1"/>
    <s v="Erkek"/>
    <x v="0"/>
    <x v="2"/>
    <n v="14.82"/>
    <n v="3"/>
    <n v="44.46"/>
  </r>
  <r>
    <x v="57"/>
    <d v="1899-12-30T20:08:00"/>
    <s v="484-22-8230"/>
    <s v="C"/>
    <s v="İstanbul"/>
    <x v="0"/>
    <s v="Kadın"/>
    <x v="4"/>
    <x v="1"/>
    <n v="51.89"/>
    <n v="7"/>
    <n v="363.23"/>
  </r>
  <r>
    <x v="3"/>
    <d v="1899-12-30T15:26:00"/>
    <s v="830-58-2383"/>
    <s v="B"/>
    <s v="Ankara"/>
    <x v="1"/>
    <s v="Erkek"/>
    <x v="2"/>
    <x v="1"/>
    <n v="31.75"/>
    <n v="4"/>
    <n v="127"/>
  </r>
  <r>
    <x v="42"/>
    <d v="1899-12-30T12:56:00"/>
    <s v="559-98-9873"/>
    <s v="A"/>
    <s v="İzmir"/>
    <x v="0"/>
    <s v="Kadın"/>
    <x v="4"/>
    <x v="0"/>
    <n v="53.65"/>
    <n v="7"/>
    <n v="375.55"/>
  </r>
  <r>
    <x v="43"/>
    <d v="1899-12-30T10:18:00"/>
    <s v="421-95-9805"/>
    <s v="A"/>
    <s v="İzmir"/>
    <x v="1"/>
    <s v="Kadın"/>
    <x v="1"/>
    <x v="2"/>
    <n v="28.96"/>
    <n v="1"/>
    <n v="28.96"/>
  </r>
  <r>
    <x v="19"/>
    <d v="1899-12-30T11:23:00"/>
    <s v="277-35-5865"/>
    <s v="C"/>
    <s v="İstanbul"/>
    <x v="0"/>
    <s v="Kadın"/>
    <x v="5"/>
    <x v="1"/>
    <n v="98.97"/>
    <n v="9"/>
    <n v="890.73"/>
  </r>
  <r>
    <x v="21"/>
    <d v="1899-12-30T11:25:00"/>
    <s v="443-59-0061"/>
    <s v="A"/>
    <s v="İzmir"/>
    <x v="0"/>
    <s v="Erkek"/>
    <x v="5"/>
    <x v="0"/>
    <n v="67.45"/>
    <n v="10"/>
    <n v="674.5"/>
  </r>
  <r>
    <x v="43"/>
    <d v="1899-12-30T17:55:00"/>
    <s v="641-96-3695"/>
    <s v="C"/>
    <s v="İstanbul"/>
    <x v="0"/>
    <s v="Kadın"/>
    <x v="4"/>
    <x v="0"/>
    <n v="43.46"/>
    <n v="6"/>
    <n v="260.76"/>
  </r>
  <r>
    <x v="31"/>
    <d v="1899-12-30T11:25:00"/>
    <s v="852-62-7105"/>
    <s v="B"/>
    <s v="Ankara"/>
    <x v="1"/>
    <s v="Kadın"/>
    <x v="4"/>
    <x v="2"/>
    <n v="83.25"/>
    <n v="10"/>
    <n v="832.5"/>
  </r>
  <r>
    <x v="19"/>
    <d v="1899-12-30T12:37:00"/>
    <s v="816-57-2053"/>
    <s v="A"/>
    <s v="İzmir"/>
    <x v="1"/>
    <s v="Erkek"/>
    <x v="3"/>
    <x v="0"/>
    <n v="60.87"/>
    <n v="2"/>
    <n v="121.74"/>
  </r>
  <r>
    <x v="11"/>
    <d v="1899-12-30T16:38:00"/>
    <s v="655-07-2265"/>
    <s v="A"/>
    <s v="İzmir"/>
    <x v="1"/>
    <s v="Erkek"/>
    <x v="1"/>
    <x v="0"/>
    <n v="78.31"/>
    <n v="3"/>
    <n v="234.93"/>
  </r>
  <r>
    <x v="2"/>
    <d v="1899-12-30T20:31:00"/>
    <s v="610-46-4100"/>
    <s v="A"/>
    <s v="İzmir"/>
    <x v="1"/>
    <s v="Erkek"/>
    <x v="0"/>
    <x v="2"/>
    <n v="28.95"/>
    <n v="7"/>
    <n v="202.65"/>
  </r>
  <r>
    <x v="1"/>
    <d v="1899-12-30T15:27:00"/>
    <s v="364-33-8584"/>
    <s v="B"/>
    <s v="Ankara"/>
    <x v="0"/>
    <s v="Kadın"/>
    <x v="5"/>
    <x v="1"/>
    <n v="17.63"/>
    <n v="5"/>
    <n v="88.149999999999991"/>
  </r>
  <r>
    <x v="21"/>
    <d v="1899-12-30T17:24:00"/>
    <s v="742-04-5161"/>
    <s v="A"/>
    <s v="İzmir"/>
    <x v="0"/>
    <s v="Erkek"/>
    <x v="2"/>
    <x v="1"/>
    <n v="72.78"/>
    <n v="10"/>
    <n v="727.8"/>
  </r>
  <r>
    <x v="62"/>
    <d v="1899-12-30T15:31:00"/>
    <s v="149-15-7606"/>
    <s v="B"/>
    <s v="Ankara"/>
    <x v="0"/>
    <s v="Erkek"/>
    <x v="3"/>
    <x v="0"/>
    <n v="37.32"/>
    <n v="9"/>
    <n v="335.88"/>
  </r>
  <r>
    <x v="24"/>
    <d v="1899-12-30T11:46:00"/>
    <s v="322-02-2271"/>
    <s v="B"/>
    <s v="Ankara"/>
    <x v="1"/>
    <s v="Kadın"/>
    <x v="3"/>
    <x v="1"/>
    <n v="42.97"/>
    <n v="3"/>
    <n v="128.91"/>
  </r>
  <r>
    <x v="7"/>
    <d v="1899-12-30T14:45:00"/>
    <s v="641-51-2661"/>
    <s v="C"/>
    <s v="İstanbul"/>
    <x v="0"/>
    <s v="Kadın"/>
    <x v="5"/>
    <x v="2"/>
    <n v="87.1"/>
    <n v="10"/>
    <n v="871"/>
  </r>
  <r>
    <x v="63"/>
    <d v="1899-12-30T15:44:00"/>
    <s v="518-17-2983"/>
    <s v="A"/>
    <s v="İzmir"/>
    <x v="1"/>
    <s v="Kadın"/>
    <x v="4"/>
    <x v="0"/>
    <n v="48.63"/>
    <n v="4"/>
    <n v="194.52"/>
  </r>
  <r>
    <x v="51"/>
    <d v="1899-12-30T13:10:00"/>
    <s v="576-31-4774"/>
    <s v="B"/>
    <s v="Ankara"/>
    <x v="1"/>
    <s v="Kadın"/>
    <x v="0"/>
    <x v="0"/>
    <n v="73.41"/>
    <n v="3"/>
    <n v="220.23"/>
  </r>
  <r>
    <x v="36"/>
    <d v="1899-12-30T10:22:00"/>
    <s v="811-03-8790"/>
    <s v="A"/>
    <s v="İzmir"/>
    <x v="1"/>
    <s v="Kadın"/>
    <x v="1"/>
    <x v="2"/>
    <n v="45.48"/>
    <n v="10"/>
    <n v="454.79999999999995"/>
  </r>
  <r>
    <x v="8"/>
    <d v="1899-12-30T14:27:00"/>
    <s v="648-94-3045"/>
    <s v="C"/>
    <s v="İstanbul"/>
    <x v="1"/>
    <s v="Erkek"/>
    <x v="0"/>
    <x v="0"/>
    <n v="58.95"/>
    <n v="10"/>
    <n v="589.5"/>
  </r>
  <r>
    <x v="52"/>
    <d v="1899-12-30T13:57:00"/>
    <s v="130-67-4723"/>
    <s v="A"/>
    <s v="İzmir"/>
    <x v="0"/>
    <s v="Erkek"/>
    <x v="5"/>
    <x v="0"/>
    <n v="48.5"/>
    <n v="6"/>
    <n v="291"/>
  </r>
  <r>
    <x v="7"/>
    <d v="1899-12-30T19:43:00"/>
    <s v="528-87-5606"/>
    <s v="B"/>
    <s v="Ankara"/>
    <x v="0"/>
    <s v="Kadın"/>
    <x v="1"/>
    <x v="1"/>
    <n v="39.479999999999997"/>
    <n v="1"/>
    <n v="39.479999999999997"/>
  </r>
  <r>
    <x v="64"/>
    <d v="1899-12-30T13:46:00"/>
    <s v="370-96-0655"/>
    <s v="C"/>
    <s v="İstanbul"/>
    <x v="1"/>
    <s v="Kadın"/>
    <x v="4"/>
    <x v="0"/>
    <n v="49.32"/>
    <n v="6"/>
    <n v="295.92"/>
  </r>
  <r>
    <x v="40"/>
    <d v="1899-12-30T12:58:00"/>
    <s v="241-96-5076"/>
    <s v="B"/>
    <s v="Ankara"/>
    <x v="0"/>
    <s v="Kadın"/>
    <x v="2"/>
    <x v="2"/>
    <n v="49.1"/>
    <n v="2"/>
    <n v="98.2"/>
  </r>
  <r>
    <x v="40"/>
    <d v="1899-12-30T11:59:00"/>
    <s v="767-97-4650"/>
    <s v="B"/>
    <s v="Ankara"/>
    <x v="0"/>
    <s v="Kadın"/>
    <x v="3"/>
    <x v="2"/>
    <n v="64.83"/>
    <n v="2"/>
    <n v="129.66"/>
  </r>
  <r>
    <x v="33"/>
    <d v="1899-12-30T19:39:00"/>
    <s v="266-20-6657"/>
    <s v="C"/>
    <s v="İstanbul"/>
    <x v="0"/>
    <s v="Erkek"/>
    <x v="5"/>
    <x v="0"/>
    <n v="55.04"/>
    <n v="7"/>
    <n v="385.28"/>
  </r>
  <r>
    <x v="65"/>
    <d v="1899-12-30T12:44:00"/>
    <s v="689-05-1884"/>
    <s v="A"/>
    <s v="İzmir"/>
    <x v="0"/>
    <s v="Erkek"/>
    <x v="0"/>
    <x v="1"/>
    <n v="48.63"/>
    <n v="10"/>
    <n v="486.3"/>
  </r>
  <r>
    <x v="20"/>
    <d v="1899-12-30T13:56:00"/>
    <s v="196-01-2849"/>
    <s v="C"/>
    <s v="İstanbul"/>
    <x v="0"/>
    <s v="Kadın"/>
    <x v="4"/>
    <x v="1"/>
    <n v="73.38"/>
    <n v="7"/>
    <n v="513.66"/>
  </r>
  <r>
    <x v="66"/>
    <d v="1899-12-30T20:26:00"/>
    <s v="182-52-7000"/>
    <s v="A"/>
    <s v="İzmir"/>
    <x v="0"/>
    <s v="Kadın"/>
    <x v="3"/>
    <x v="0"/>
    <n v="44313"/>
    <n v="4"/>
    <n v="177252"/>
  </r>
  <r>
    <x v="27"/>
    <d v="1899-12-30T19:46:00"/>
    <s v="826-58-8051"/>
    <s v="B"/>
    <s v="Ankara"/>
    <x v="1"/>
    <s v="Erkek"/>
    <x v="2"/>
    <x v="0"/>
    <n v="62.19"/>
    <n v="4"/>
    <n v="248.76"/>
  </r>
  <r>
    <x v="39"/>
    <d v="1899-12-30T16:18:00"/>
    <s v="751-41-9720"/>
    <s v="C"/>
    <s v="İstanbul"/>
    <x v="1"/>
    <s v="Erkek"/>
    <x v="2"/>
    <x v="0"/>
    <n v="97.5"/>
    <n v="10"/>
    <n v="975"/>
  </r>
  <r>
    <x v="8"/>
    <d v="1899-12-30T12:23:00"/>
    <s v="626-43-7888"/>
    <s v="C"/>
    <s v="İstanbul"/>
    <x v="1"/>
    <s v="Kadın"/>
    <x v="4"/>
    <x v="0"/>
    <n v="60.41"/>
    <n v="8"/>
    <n v="483.28"/>
  </r>
  <r>
    <x v="27"/>
    <d v="1899-12-30T11:18:00"/>
    <s v="729-06-2010"/>
    <s v="B"/>
    <s v="Ankara"/>
    <x v="0"/>
    <s v="Erkek"/>
    <x v="0"/>
    <x v="1"/>
    <n v="80.47"/>
    <n v="9"/>
    <n v="724.23"/>
  </r>
  <r>
    <x v="51"/>
    <d v="1899-12-30T12:40:00"/>
    <s v="640-48-5028"/>
    <s v="B"/>
    <s v="Ankara"/>
    <x v="0"/>
    <s v="Kadın"/>
    <x v="2"/>
    <x v="1"/>
    <n v="88.39"/>
    <n v="9"/>
    <n v="795.51"/>
  </r>
  <r>
    <x v="63"/>
    <d v="1899-12-30T12:50:00"/>
    <s v="268-20-3585"/>
    <s v="C"/>
    <s v="İstanbul"/>
    <x v="1"/>
    <s v="Kadın"/>
    <x v="0"/>
    <x v="0"/>
    <n v="13.85"/>
    <n v="9"/>
    <n v="124.64999999999999"/>
  </r>
  <r>
    <x v="5"/>
    <d v="1899-12-30T18:33:00"/>
    <s v="258-92-7466"/>
    <s v="A"/>
    <s v="İzmir"/>
    <x v="1"/>
    <s v="Kadın"/>
    <x v="0"/>
    <x v="2"/>
    <n v="35.68"/>
    <n v="5"/>
    <n v="178.4"/>
  </r>
  <r>
    <x v="26"/>
    <d v="1899-12-30T20:42:00"/>
    <s v="418-05-0656"/>
    <s v="B"/>
    <s v="Ankara"/>
    <x v="1"/>
    <s v="Kadın"/>
    <x v="4"/>
    <x v="1"/>
    <n v="25.56"/>
    <n v="7"/>
    <n v="178.92"/>
  </r>
  <r>
    <x v="52"/>
    <d v="1899-12-30T20:10:00"/>
    <s v="592-46-1692"/>
    <s v="C"/>
    <s v="İstanbul"/>
    <x v="0"/>
    <s v="Kadın"/>
    <x v="5"/>
    <x v="1"/>
    <n v="36.770000000000003"/>
    <n v="7"/>
    <n v="257.39000000000004"/>
  </r>
  <r>
    <x v="63"/>
    <d v="1899-12-30T18:53:00"/>
    <s v="434-35-9162"/>
    <s v="B"/>
    <s v="Ankara"/>
    <x v="0"/>
    <s v="Erkek"/>
    <x v="5"/>
    <x v="0"/>
    <n v="23.34"/>
    <n v="4"/>
    <n v="93.36"/>
  </r>
  <r>
    <x v="5"/>
    <d v="1899-12-30T14:24:00"/>
    <s v="149-14-0304"/>
    <s v="C"/>
    <s v="İstanbul"/>
    <x v="0"/>
    <s v="Kadın"/>
    <x v="0"/>
    <x v="1"/>
    <n v="44344"/>
    <n v="8"/>
    <n v="354752"/>
  </r>
  <r>
    <x v="40"/>
    <d v="1899-12-30T11:42:00"/>
    <s v="442-44-6497"/>
    <s v="C"/>
    <s v="İstanbul"/>
    <x v="0"/>
    <s v="Erkek"/>
    <x v="2"/>
    <x v="2"/>
    <n v="55.57"/>
    <n v="3"/>
    <n v="166.71"/>
  </r>
  <r>
    <x v="29"/>
    <d v="1899-12-30T17:49:00"/>
    <s v="174-64-0215"/>
    <s v="B"/>
    <s v="Ankara"/>
    <x v="1"/>
    <s v="Erkek"/>
    <x v="3"/>
    <x v="2"/>
    <n v="69.739999999999995"/>
    <n v="10"/>
    <n v="697.4"/>
  </r>
  <r>
    <x v="6"/>
    <d v="1899-12-30T10:54:00"/>
    <s v="299-29-0180"/>
    <s v="B"/>
    <s v="Ankara"/>
    <x v="0"/>
    <s v="Kadın"/>
    <x v="2"/>
    <x v="1"/>
    <n v="52.18"/>
    <n v="7"/>
    <n v="365.26"/>
  </r>
  <r>
    <x v="36"/>
    <d v="1899-12-30T16:23:00"/>
    <s v="247-11-2470"/>
    <s v="A"/>
    <s v="İzmir"/>
    <x v="0"/>
    <s v="Kadın"/>
    <x v="4"/>
    <x v="2"/>
    <n v="22.32"/>
    <n v="4"/>
    <n v="89.28"/>
  </r>
  <r>
    <x v="41"/>
    <d v="1899-12-30T11:39:00"/>
    <s v="756-49-0168"/>
    <s v="A"/>
    <s v="İzmir"/>
    <x v="0"/>
    <s v="Erkek"/>
    <x v="4"/>
    <x v="0"/>
    <n v="44396"/>
    <n v="1"/>
    <n v="44396"/>
  </r>
  <r>
    <x v="36"/>
    <d v="1899-12-30T20:03:00"/>
    <s v="238-45-6950"/>
    <s v="B"/>
    <s v="Ankara"/>
    <x v="0"/>
    <s v="Erkek"/>
    <x v="5"/>
    <x v="0"/>
    <n v="53.72"/>
    <n v="1"/>
    <n v="53.72"/>
  </r>
  <r>
    <x v="16"/>
    <d v="1899-12-30T12:39:00"/>
    <s v="607-65-2441"/>
    <s v="C"/>
    <s v="İstanbul"/>
    <x v="0"/>
    <s v="Erkek"/>
    <x v="0"/>
    <x v="2"/>
    <n v="81.95"/>
    <n v="10"/>
    <n v="819.5"/>
  </r>
  <r>
    <x v="39"/>
    <d v="1899-12-30T18:22:00"/>
    <s v="197-77-7132"/>
    <s v="B"/>
    <s v="Ankara"/>
    <x v="0"/>
    <s v="Erkek"/>
    <x v="1"/>
    <x v="0"/>
    <n v="91.56"/>
    <n v="8"/>
    <n v="732.48"/>
  </r>
  <r>
    <x v="7"/>
    <d v="1899-12-30T14:33:00"/>
    <s v="373-14-0504"/>
    <s v="A"/>
    <s v="İzmir"/>
    <x v="0"/>
    <s v="Kadın"/>
    <x v="3"/>
    <x v="0"/>
    <n v="71.63"/>
    <n v="2"/>
    <n v="143.26"/>
  </r>
  <r>
    <x v="67"/>
    <d v="1899-12-30T16:19:00"/>
    <s v="345-68-9016"/>
    <s v="C"/>
    <s v="İstanbul"/>
    <x v="0"/>
    <s v="Kadın"/>
    <x v="3"/>
    <x v="2"/>
    <n v="31.67"/>
    <n v="8"/>
    <n v="253.36"/>
  </r>
  <r>
    <x v="26"/>
    <d v="1899-12-30T16:33:00"/>
    <s v="390-17-5806"/>
    <s v="C"/>
    <s v="İstanbul"/>
    <x v="0"/>
    <s v="Kadın"/>
    <x v="5"/>
    <x v="1"/>
    <n v="38.42"/>
    <n v="1"/>
    <n v="38.42"/>
  </r>
  <r>
    <x v="40"/>
    <d v="1899-12-30T19:07:00"/>
    <s v="457-13-1708"/>
    <s v="B"/>
    <s v="Ankara"/>
    <x v="0"/>
    <s v="Erkek"/>
    <x v="4"/>
    <x v="2"/>
    <n v="65.23"/>
    <n v="10"/>
    <n v="652.30000000000007"/>
  </r>
  <r>
    <x v="24"/>
    <d v="1899-12-30T10:31:00"/>
    <s v="585-86-8361"/>
    <s v="A"/>
    <s v="İzmir"/>
    <x v="1"/>
    <s v="Kadın"/>
    <x v="5"/>
    <x v="2"/>
    <n v="27.28"/>
    <n v="5"/>
    <n v="136.4"/>
  </r>
  <r>
    <x v="6"/>
    <d v="1899-12-30T13:18:00"/>
    <s v="652-43-6591"/>
    <s v="A"/>
    <s v="İzmir"/>
    <x v="1"/>
    <s v="Kadın"/>
    <x v="4"/>
    <x v="2"/>
    <n v="97.29"/>
    <n v="8"/>
    <n v="778.32"/>
  </r>
  <r>
    <x v="52"/>
    <d v="1899-12-30T11:52:00"/>
    <s v="406-46-7107"/>
    <s v="A"/>
    <s v="İzmir"/>
    <x v="1"/>
    <s v="Kadın"/>
    <x v="2"/>
    <x v="1"/>
    <n v="96.52"/>
    <n v="6"/>
    <n v="579.12"/>
  </r>
  <r>
    <x v="28"/>
    <d v="1899-12-30T10:38:00"/>
    <s v="842-40-8179"/>
    <s v="B"/>
    <s v="Ankara"/>
    <x v="0"/>
    <s v="Kadın"/>
    <x v="5"/>
    <x v="2"/>
    <n v="77.2"/>
    <n v="10"/>
    <n v="772"/>
  </r>
  <r>
    <x v="29"/>
    <d v="1899-12-30T19:40:00"/>
    <s v="593-14-4239"/>
    <s v="B"/>
    <s v="Ankara"/>
    <x v="1"/>
    <s v="Kadın"/>
    <x v="2"/>
    <x v="0"/>
    <n v="95.46"/>
    <n v="8"/>
    <n v="763.68"/>
  </r>
  <r>
    <x v="68"/>
    <d v="1899-12-30T20:30:00"/>
    <s v="801-88-0346"/>
    <s v="C"/>
    <s v="İstanbul"/>
    <x v="1"/>
    <s v="Kadın"/>
    <x v="4"/>
    <x v="2"/>
    <n v="76.06"/>
    <n v="3"/>
    <n v="228.18"/>
  </r>
  <r>
    <x v="5"/>
    <d v="1899-12-30T10:22:00"/>
    <s v="471-06-8611"/>
    <s v="C"/>
    <s v="İstanbul"/>
    <x v="1"/>
    <s v="Kadın"/>
    <x v="5"/>
    <x v="2"/>
    <n v="52.42"/>
    <n v="1"/>
    <n v="52.42"/>
  </r>
  <r>
    <x v="29"/>
    <d v="1899-12-30T18:02:00"/>
    <s v="102-77-2261"/>
    <s v="C"/>
    <s v="İstanbul"/>
    <x v="0"/>
    <s v="Erkek"/>
    <x v="0"/>
    <x v="2"/>
    <n v="65.31"/>
    <n v="7"/>
    <n v="457.17"/>
  </r>
  <r>
    <x v="45"/>
    <d v="1899-12-30T13:07:00"/>
    <s v="875-31-8302"/>
    <s v="B"/>
    <s v="Ankara"/>
    <x v="1"/>
    <s v="Erkek"/>
    <x v="3"/>
    <x v="1"/>
    <n v="93.38"/>
    <n v="1"/>
    <n v="93.38"/>
  </r>
  <r>
    <x v="28"/>
    <d v="1899-12-30T16:06:00"/>
    <s v="534-53-3526"/>
    <s v="A"/>
    <s v="İzmir"/>
    <x v="1"/>
    <s v="Kadın"/>
    <x v="3"/>
    <x v="0"/>
    <n v="94.76"/>
    <n v="4"/>
    <n v="379.04"/>
  </r>
  <r>
    <x v="69"/>
    <d v="1899-12-30T14:14:00"/>
    <s v="307-04-2070"/>
    <s v="A"/>
    <s v="İzmir"/>
    <x v="0"/>
    <s v="Kadın"/>
    <x v="4"/>
    <x v="2"/>
    <n v="30.62"/>
    <n v="1"/>
    <n v="30.62"/>
  </r>
  <r>
    <x v="47"/>
    <d v="1899-12-30T17:36:00"/>
    <s v="468-99-7231"/>
    <s v="C"/>
    <s v="İstanbul"/>
    <x v="1"/>
    <s v="Kadın"/>
    <x v="2"/>
    <x v="1"/>
    <n v="44.01"/>
    <n v="8"/>
    <n v="352.08"/>
  </r>
  <r>
    <x v="63"/>
    <d v="1899-12-30T16:09:00"/>
    <s v="404-91-5964"/>
    <s v="A"/>
    <s v="İzmir"/>
    <x v="1"/>
    <s v="Erkek"/>
    <x v="1"/>
    <x v="2"/>
    <n v="74.58"/>
    <n v="7"/>
    <n v="522.05999999999995"/>
  </r>
  <r>
    <x v="47"/>
    <d v="1899-12-30T20:06:00"/>
    <s v="651-96-5970"/>
    <s v="A"/>
    <s v="İzmir"/>
    <x v="1"/>
    <s v="Erkek"/>
    <x v="4"/>
    <x v="2"/>
    <n v="46.41"/>
    <n v="1"/>
    <n v="46.41"/>
  </r>
  <r>
    <x v="28"/>
    <d v="1899-12-30T18:38:00"/>
    <s v="401-09-4232"/>
    <s v="C"/>
    <s v="İstanbul"/>
    <x v="0"/>
    <s v="Erkek"/>
    <x v="2"/>
    <x v="0"/>
    <n v="86.69"/>
    <n v="5"/>
    <n v="433.45"/>
  </r>
  <r>
    <x v="39"/>
    <d v="1899-12-30T16:45:00"/>
    <s v="751-15-6198"/>
    <s v="B"/>
    <s v="Ankara"/>
    <x v="1"/>
    <s v="Erkek"/>
    <x v="3"/>
    <x v="0"/>
    <n v="44219"/>
    <n v="6"/>
    <n v="265314"/>
  </r>
  <r>
    <x v="47"/>
    <d v="1899-12-30T19:30:00"/>
    <s v="324-41-6833"/>
    <s v="C"/>
    <s v="İstanbul"/>
    <x v="0"/>
    <s v="Kadın"/>
    <x v="1"/>
    <x v="0"/>
    <n v="30.2"/>
    <n v="8"/>
    <n v="241.6"/>
  </r>
  <r>
    <x v="65"/>
    <d v="1899-12-30T11:27:00"/>
    <s v="759-29-9521"/>
    <s v="A"/>
    <s v="İzmir"/>
    <x v="0"/>
    <s v="Kadın"/>
    <x v="4"/>
    <x v="1"/>
    <n v="48.96"/>
    <n v="9"/>
    <n v="440.64"/>
  </r>
  <r>
    <x v="40"/>
    <d v="1899-12-30T17:12:00"/>
    <s v="257-60-7754"/>
    <s v="A"/>
    <s v="İzmir"/>
    <x v="1"/>
    <s v="Kadın"/>
    <x v="1"/>
    <x v="1"/>
    <n v="50.23"/>
    <n v="4"/>
    <n v="200.92"/>
  </r>
  <r>
    <x v="41"/>
    <d v="1899-12-30T12:52:00"/>
    <s v="815-04-6282"/>
    <s v="C"/>
    <s v="İstanbul"/>
    <x v="0"/>
    <s v="Kadın"/>
    <x v="3"/>
    <x v="2"/>
    <n v="64.97"/>
    <n v="5"/>
    <n v="324.85000000000002"/>
  </r>
  <r>
    <x v="24"/>
    <d v="1899-12-30T14:35:00"/>
    <s v="190-59-3964"/>
    <s v="B"/>
    <s v="Ankara"/>
    <x v="0"/>
    <s v="Erkek"/>
    <x v="5"/>
    <x v="2"/>
    <n v="47.16"/>
    <n v="5"/>
    <n v="235.79999999999998"/>
  </r>
  <r>
    <x v="8"/>
    <d v="1899-12-30T14:15:00"/>
    <s v="784-21-9238"/>
    <s v="C"/>
    <s v="İstanbul"/>
    <x v="0"/>
    <s v="Erkek"/>
    <x v="3"/>
    <x v="1"/>
    <n v="43009"/>
    <n v="1"/>
    <n v="43009"/>
  </r>
  <r>
    <x v="65"/>
    <d v="1899-12-30T10:05:00"/>
    <s v="276-75-6884"/>
    <s v="A"/>
    <s v="İzmir"/>
    <x v="1"/>
    <s v="Kadın"/>
    <x v="0"/>
    <x v="1"/>
    <n v="68.709999999999994"/>
    <n v="3"/>
    <n v="206.13"/>
  </r>
  <r>
    <x v="66"/>
    <d v="1899-12-30T14:42:00"/>
    <s v="416-17-9926"/>
    <s v="A"/>
    <s v="İzmir"/>
    <x v="0"/>
    <s v="Kadın"/>
    <x v="1"/>
    <x v="2"/>
    <n v="74.22"/>
    <n v="10"/>
    <n v="742.2"/>
  </r>
  <r>
    <x v="64"/>
    <d v="1899-12-30T16:34:00"/>
    <s v="343-75-9322"/>
    <s v="B"/>
    <s v="Ankara"/>
    <x v="0"/>
    <s v="Kadın"/>
    <x v="3"/>
    <x v="1"/>
    <n v="31352"/>
    <n v="8"/>
    <n v="250816"/>
  </r>
  <r>
    <x v="33"/>
    <d v="1899-12-30T11:01:00"/>
    <s v="427-45-9297"/>
    <s v="B"/>
    <s v="Ankara"/>
    <x v="0"/>
    <s v="Kadın"/>
    <x v="2"/>
    <x v="0"/>
    <n v="40.729999999999997"/>
    <n v="7"/>
    <n v="285.10999999999996"/>
  </r>
  <r>
    <x v="64"/>
    <d v="1899-12-30T13:34:00"/>
    <s v="288-62-1085"/>
    <s v="A"/>
    <s v="İzmir"/>
    <x v="0"/>
    <s v="Erkek"/>
    <x v="4"/>
    <x v="0"/>
    <n v="38.54"/>
    <n v="5"/>
    <n v="192.7"/>
  </r>
  <r>
    <x v="67"/>
    <d v="1899-12-30T20:08:00"/>
    <s v="670-71-7306"/>
    <s v="B"/>
    <s v="Ankara"/>
    <x v="1"/>
    <s v="Erkek"/>
    <x v="3"/>
    <x v="2"/>
    <n v="44.63"/>
    <n v="6"/>
    <n v="267.78000000000003"/>
  </r>
  <r>
    <x v="66"/>
    <d v="1899-12-30T11:40:00"/>
    <s v="271-77-8740"/>
    <s v="C"/>
    <s v="İstanbul"/>
    <x v="0"/>
    <s v="Kadın"/>
    <x v="3"/>
    <x v="0"/>
    <n v="29.22"/>
    <n v="6"/>
    <n v="175.32"/>
  </r>
  <r>
    <x v="51"/>
    <d v="1899-12-30T16:16:00"/>
    <s v="860-73-6466"/>
    <s v="A"/>
    <s v="İzmir"/>
    <x v="0"/>
    <s v="Kadın"/>
    <x v="3"/>
    <x v="2"/>
    <n v="39.47"/>
    <n v="2"/>
    <n v="78.94"/>
  </r>
  <r>
    <x v="40"/>
    <d v="1899-12-30T19:38:00"/>
    <s v="845-94-6841"/>
    <s v="C"/>
    <s v="İstanbul"/>
    <x v="0"/>
    <s v="Kadın"/>
    <x v="5"/>
    <x v="1"/>
    <n v="72.88"/>
    <n v="9"/>
    <n v="655.92"/>
  </r>
  <r>
    <x v="66"/>
    <d v="1899-12-30T19:31:00"/>
    <s v="770-42-8960"/>
    <s v="B"/>
    <s v="Ankara"/>
    <x v="1"/>
    <s v="Erkek"/>
    <x v="5"/>
    <x v="1"/>
    <n v="44551"/>
    <n v="8"/>
    <n v="356408"/>
  </r>
  <r>
    <x v="22"/>
    <d v="1899-12-30T18:35:00"/>
    <s v="748-45-2862"/>
    <s v="A"/>
    <s v="İzmir"/>
    <x v="0"/>
    <s v="Kadın"/>
    <x v="2"/>
    <x v="1"/>
    <n v="28.31"/>
    <n v="4"/>
    <n v="113.24"/>
  </r>
  <r>
    <x v="40"/>
    <d v="1899-12-30T18:06:00"/>
    <s v="840-76-5966"/>
    <s v="A"/>
    <s v="İzmir"/>
    <x v="0"/>
    <s v="Erkek"/>
    <x v="3"/>
    <x v="0"/>
    <n v="28095"/>
    <n v="2"/>
    <n v="56190"/>
  </r>
  <r>
    <x v="39"/>
    <d v="1899-12-30T11:42:00"/>
    <s v="533-66-5566"/>
    <s v="B"/>
    <s v="Ankara"/>
    <x v="1"/>
    <s v="Kadın"/>
    <x v="2"/>
    <x v="1"/>
    <n v="51.07"/>
    <n v="7"/>
    <n v="357.49"/>
  </r>
  <r>
    <x v="40"/>
    <d v="1899-12-30T14:30:00"/>
    <s v="124-31-1458"/>
    <s v="A"/>
    <s v="İzmir"/>
    <x v="0"/>
    <s v="Kadın"/>
    <x v="1"/>
    <x v="1"/>
    <n v="79.59"/>
    <n v="3"/>
    <n v="238.77"/>
  </r>
  <r>
    <x v="40"/>
    <d v="1899-12-30T19:09:00"/>
    <s v="631-34-1880"/>
    <s v="C"/>
    <s v="İstanbul"/>
    <x v="0"/>
    <s v="Erkek"/>
    <x v="5"/>
    <x v="2"/>
    <n v="24.31"/>
    <n v="3"/>
    <n v="72.929999999999993"/>
  </r>
  <r>
    <x v="27"/>
    <d v="1899-12-30T13:35:00"/>
    <s v="852-82-2749"/>
    <s v="A"/>
    <s v="İzmir"/>
    <x v="1"/>
    <s v="Erkek"/>
    <x v="3"/>
    <x v="0"/>
    <n v="64.59"/>
    <n v="4"/>
    <n v="258.36"/>
  </r>
  <r>
    <x v="7"/>
    <d v="1899-12-30T17:49:00"/>
    <s v="885-56-0389"/>
    <s v="C"/>
    <s v="İstanbul"/>
    <x v="0"/>
    <s v="Erkek"/>
    <x v="4"/>
    <x v="1"/>
    <n v="52.35"/>
    <n v="1"/>
    <n v="52.35"/>
  </r>
  <r>
    <x v="40"/>
    <d v="1899-12-30T14:25:00"/>
    <s v="490-95-0021"/>
    <s v="B"/>
    <s v="Ankara"/>
    <x v="0"/>
    <s v="Kadın"/>
    <x v="5"/>
    <x v="0"/>
    <n v="33.21"/>
    <n v="10"/>
    <n v="332.1"/>
  </r>
  <r>
    <x v="69"/>
    <d v="1899-12-30T19:42:00"/>
    <s v="325-89-4209"/>
    <s v="A"/>
    <s v="İzmir"/>
    <x v="0"/>
    <s v="Erkek"/>
    <x v="5"/>
    <x v="0"/>
    <n v="87.9"/>
    <n v="1"/>
    <n v="87.9"/>
  </r>
  <r>
    <x v="8"/>
    <d v="1899-12-30T15:06:00"/>
    <s v="114-35-5271"/>
    <s v="B"/>
    <s v="Ankara"/>
    <x v="1"/>
    <s v="Kadın"/>
    <x v="1"/>
    <x v="1"/>
    <n v="57.91"/>
    <n v="8"/>
    <n v="463.28"/>
  </r>
  <r>
    <x v="51"/>
    <d v="1899-12-30T16:35:00"/>
    <s v="607-76-6216"/>
    <s v="C"/>
    <s v="İstanbul"/>
    <x v="0"/>
    <s v="Kadın"/>
    <x v="4"/>
    <x v="2"/>
    <n v="92.49"/>
    <n v="5"/>
    <n v="462.45"/>
  </r>
  <r>
    <x v="62"/>
    <d v="1899-12-30T20:57:00"/>
    <s v="715-20-1673"/>
    <s v="B"/>
    <s v="Ankara"/>
    <x v="1"/>
    <s v="Erkek"/>
    <x v="1"/>
    <x v="1"/>
    <n v="28.38"/>
    <n v="5"/>
    <n v="141.9"/>
  </r>
  <r>
    <x v="5"/>
    <d v="1899-12-30T15:16:00"/>
    <s v="811-35-1094"/>
    <s v="B"/>
    <s v="Ankara"/>
    <x v="0"/>
    <s v="Erkek"/>
    <x v="1"/>
    <x v="2"/>
    <n v="50.45"/>
    <n v="6"/>
    <n v="302.70000000000005"/>
  </r>
  <r>
    <x v="69"/>
    <d v="1899-12-30T10:17:00"/>
    <s v="409-49-6995"/>
    <s v="C"/>
    <s v="İstanbul"/>
    <x v="0"/>
    <s v="Kadın"/>
    <x v="5"/>
    <x v="1"/>
    <n v="47.27"/>
    <n v="6"/>
    <n v="283.62"/>
  </r>
  <r>
    <x v="51"/>
    <d v="1899-12-30T13:50:00"/>
    <s v="725-54-0677"/>
    <s v="C"/>
    <s v="İstanbul"/>
    <x v="0"/>
    <s v="Erkek"/>
    <x v="0"/>
    <x v="1"/>
    <n v="85.6"/>
    <n v="7"/>
    <n v="599.19999999999993"/>
  </r>
  <r>
    <x v="35"/>
    <d v="1899-12-30T19:17:00"/>
    <s v="146-09-5432"/>
    <s v="A"/>
    <s v="İzmir"/>
    <x v="0"/>
    <s v="Erkek"/>
    <x v="5"/>
    <x v="0"/>
    <n v="35.04"/>
    <n v="9"/>
    <n v="315.36"/>
  </r>
  <r>
    <x v="35"/>
    <d v="1899-12-30T12:02:00"/>
    <s v="509-10-0516"/>
    <s v="B"/>
    <s v="Ankara"/>
    <x v="1"/>
    <s v="Erkek"/>
    <x v="2"/>
    <x v="0"/>
    <n v="45.97"/>
    <n v="4"/>
    <n v="183.88"/>
  </r>
  <r>
    <x v="35"/>
    <d v="1899-12-30T18:58:00"/>
    <s v="450-42-3339"/>
    <s v="C"/>
    <s v="İstanbul"/>
    <x v="1"/>
    <s v="Erkek"/>
    <x v="0"/>
    <x v="2"/>
    <n v="84.61"/>
    <n v="10"/>
    <n v="846.1"/>
  </r>
  <r>
    <x v="8"/>
    <d v="1899-12-30T10:09:00"/>
    <s v="453-33-6436"/>
    <s v="A"/>
    <s v="İzmir"/>
    <x v="1"/>
    <s v="Kadın"/>
    <x v="2"/>
    <x v="1"/>
    <n v="93.12"/>
    <n v="8"/>
    <n v="744.96"/>
  </r>
  <r>
    <x v="26"/>
    <d v="1899-12-30T12:40:00"/>
    <s v="717-96-4189"/>
    <s v="C"/>
    <s v="İstanbul"/>
    <x v="1"/>
    <s v="Kadın"/>
    <x v="1"/>
    <x v="1"/>
    <n v="35.49"/>
    <n v="6"/>
    <n v="212.94"/>
  </r>
  <r>
    <x v="53"/>
    <d v="1899-12-30T12:04:00"/>
    <s v="749-81-8133"/>
    <s v="A"/>
    <s v="İzmir"/>
    <x v="1"/>
    <s v="Kadın"/>
    <x v="4"/>
    <x v="1"/>
    <n v="94.67"/>
    <n v="4"/>
    <n v="378.68"/>
  </r>
  <r>
    <x v="51"/>
    <d v="1899-12-30T12:36:00"/>
    <s v="636-98-3364"/>
    <s v="B"/>
    <s v="Ankara"/>
    <x v="0"/>
    <s v="Kadın"/>
    <x v="1"/>
    <x v="0"/>
    <n v="26.26"/>
    <n v="3"/>
    <n v="78.78"/>
  </r>
  <r>
    <x v="16"/>
    <d v="1899-12-30T15:06:00"/>
    <s v="246-55-6923"/>
    <s v="C"/>
    <s v="İstanbul"/>
    <x v="0"/>
    <s v="Kadın"/>
    <x v="2"/>
    <x v="2"/>
    <n v="35.79"/>
    <n v="9"/>
    <n v="322.11"/>
  </r>
  <r>
    <x v="41"/>
    <d v="1899-12-30T10:58:00"/>
    <s v="181-82-6255"/>
    <s v="B"/>
    <s v="Ankara"/>
    <x v="1"/>
    <s v="Kadın"/>
    <x v="2"/>
    <x v="1"/>
    <n v="16.37"/>
    <n v="6"/>
    <n v="98.22"/>
  </r>
  <r>
    <x v="14"/>
    <d v="1899-12-30T10:31:00"/>
    <s v="887-42-0517"/>
    <s v="C"/>
    <s v="İstanbul"/>
    <x v="1"/>
    <s v="Kadın"/>
    <x v="3"/>
    <x v="2"/>
    <n v="83.14"/>
    <n v="7"/>
    <n v="581.98"/>
  </r>
  <r>
    <x v="14"/>
    <d v="1899-12-30T11:10:00"/>
    <s v="226-34-0034"/>
    <s v="B"/>
    <s v="Ankara"/>
    <x v="1"/>
    <s v="Kadın"/>
    <x v="1"/>
    <x v="0"/>
    <n v="13.78"/>
    <n v="4"/>
    <n v="55.12"/>
  </r>
  <r>
    <x v="51"/>
    <d v="1899-12-30T19:26:00"/>
    <s v="825-94-5922"/>
    <s v="B"/>
    <s v="Ankara"/>
    <x v="1"/>
    <s v="Erkek"/>
    <x v="3"/>
    <x v="0"/>
    <n v="25.31"/>
    <n v="2"/>
    <n v="50.62"/>
  </r>
  <r>
    <x v="26"/>
    <d v="1899-12-30T14:05:00"/>
    <s v="756-93-1854"/>
    <s v="C"/>
    <s v="İstanbul"/>
    <x v="0"/>
    <s v="Kadın"/>
    <x v="4"/>
    <x v="2"/>
    <n v="83.35"/>
    <n v="2"/>
    <n v="166.7"/>
  </r>
  <r>
    <x v="45"/>
    <d v="1899-12-30T20:24:00"/>
    <s v="501-61-1753"/>
    <s v="B"/>
    <s v="Ankara"/>
    <x v="1"/>
    <s v="Kadın"/>
    <x v="2"/>
    <x v="0"/>
    <n v="63.15"/>
    <n v="6"/>
    <n v="378.9"/>
  </r>
  <r>
    <x v="68"/>
    <d v="1899-12-30T19:48:00"/>
    <s v="433-08-7822"/>
    <s v="C"/>
    <s v="İstanbul"/>
    <x v="1"/>
    <s v="Kadın"/>
    <x v="0"/>
    <x v="0"/>
    <n v="78.89"/>
    <n v="7"/>
    <n v="552.23"/>
  </r>
  <r>
    <x v="51"/>
    <d v="1899-12-30T18:14:00"/>
    <s v="720-72-2436"/>
    <s v="A"/>
    <s v="İzmir"/>
    <x v="1"/>
    <s v="Erkek"/>
    <x v="5"/>
    <x v="0"/>
    <n v="66.52"/>
    <n v="4"/>
    <n v="266.08"/>
  </r>
  <r>
    <x v="68"/>
    <d v="1899-12-30T11:51:00"/>
    <s v="489-82-1237"/>
    <s v="A"/>
    <s v="İzmir"/>
    <x v="1"/>
    <s v="Kadın"/>
    <x v="1"/>
    <x v="2"/>
    <n v="93.88"/>
    <n v="7"/>
    <n v="657.16"/>
  </r>
  <r>
    <x v="24"/>
    <d v="1899-12-30T20:13:00"/>
    <s v="676-10-2200"/>
    <s v="B"/>
    <s v="Ankara"/>
    <x v="0"/>
    <s v="Erkek"/>
    <x v="4"/>
    <x v="0"/>
    <n v="53.78"/>
    <n v="1"/>
    <n v="53.78"/>
  </r>
  <r>
    <x v="5"/>
    <d v="1899-12-30T18:44:00"/>
    <s v="373-88-1424"/>
    <s v="C"/>
    <s v="İstanbul"/>
    <x v="0"/>
    <s v="Erkek"/>
    <x v="2"/>
    <x v="0"/>
    <n v="35.81"/>
    <n v="5"/>
    <n v="179.05"/>
  </r>
  <r>
    <x v="64"/>
    <d v="1899-12-30T18:43:00"/>
    <s v="305-89-2768"/>
    <s v="B"/>
    <s v="Ankara"/>
    <x v="0"/>
    <s v="Kadın"/>
    <x v="2"/>
    <x v="0"/>
    <n v="44460"/>
    <n v="3"/>
    <n v="133380"/>
  </r>
  <r>
    <x v="35"/>
    <d v="1899-12-30T11:45:00"/>
    <s v="200-40-6154"/>
    <s v="B"/>
    <s v="Ankara"/>
    <x v="0"/>
    <s v="Erkek"/>
    <x v="2"/>
    <x v="1"/>
    <n v="65.91"/>
    <n v="6"/>
    <n v="395.46"/>
  </r>
  <r>
    <x v="27"/>
    <d v="1899-12-30T11:51:00"/>
    <s v="846-10-0341"/>
    <s v="A"/>
    <s v="İzmir"/>
    <x v="1"/>
    <s v="Kadın"/>
    <x v="4"/>
    <x v="1"/>
    <n v="42.57"/>
    <n v="7"/>
    <n v="297.99"/>
  </r>
  <r>
    <x v="14"/>
    <d v="1899-12-30T17:16:00"/>
    <s v="577-34-7579"/>
    <s v="C"/>
    <s v="İstanbul"/>
    <x v="0"/>
    <s v="Erkek"/>
    <x v="5"/>
    <x v="1"/>
    <n v="50.49"/>
    <n v="9"/>
    <n v="454.41"/>
  </r>
  <r>
    <x v="8"/>
    <d v="1899-12-30T15:55:00"/>
    <s v="430-02-3888"/>
    <s v="B"/>
    <s v="Ankara"/>
    <x v="1"/>
    <s v="Erkek"/>
    <x v="1"/>
    <x v="1"/>
    <n v="46.02"/>
    <n v="6"/>
    <n v="276.12"/>
  </r>
  <r>
    <x v="64"/>
    <d v="1899-12-30T12:07:00"/>
    <s v="867-47-1948"/>
    <s v="C"/>
    <s v="İstanbul"/>
    <x v="1"/>
    <s v="Kadın"/>
    <x v="2"/>
    <x v="1"/>
    <n v="44423"/>
    <n v="10"/>
    <n v="444230"/>
  </r>
  <r>
    <x v="69"/>
    <d v="1899-12-30T18:45:00"/>
    <s v="324-92-3863"/>
    <s v="A"/>
    <s v="İzmir"/>
    <x v="0"/>
    <s v="Erkek"/>
    <x v="1"/>
    <x v="1"/>
    <n v="20.89"/>
    <n v="2"/>
    <n v="41.78"/>
  </r>
  <r>
    <x v="51"/>
    <d v="1899-12-30T18:18:00"/>
    <s v="172-42-8274"/>
    <s v="B"/>
    <s v="Ankara"/>
    <x v="1"/>
    <s v="Kadın"/>
    <x v="1"/>
    <x v="2"/>
    <n v="38.270000000000003"/>
    <n v="2"/>
    <n v="76.540000000000006"/>
  </r>
  <r>
    <x v="65"/>
    <d v="1899-12-30T15:27:00"/>
    <s v="558-60-5016"/>
    <s v="A"/>
    <s v="İzmir"/>
    <x v="1"/>
    <s v="Kadın"/>
    <x v="2"/>
    <x v="0"/>
    <n v="33.299999999999997"/>
    <n v="9"/>
    <n v="299.7"/>
  </r>
  <r>
    <x v="53"/>
    <d v="1899-12-30T19:44:00"/>
    <s v="214-30-2776"/>
    <s v="B"/>
    <s v="Ankara"/>
    <x v="0"/>
    <s v="Kadın"/>
    <x v="1"/>
    <x v="2"/>
    <n v="34.49"/>
    <n v="5"/>
    <n v="172.45000000000002"/>
  </r>
  <r>
    <x v="66"/>
    <d v="1899-12-30T11:36:00"/>
    <s v="746-04-1077"/>
    <s v="B"/>
    <s v="Ankara"/>
    <x v="0"/>
    <s v="Kadın"/>
    <x v="5"/>
    <x v="2"/>
    <n v="84.63"/>
    <n v="10"/>
    <n v="846.3"/>
  </r>
  <r>
    <x v="20"/>
    <d v="1899-12-30T13:51:00"/>
    <s v="448-34-8700"/>
    <s v="B"/>
    <s v="Ankara"/>
    <x v="0"/>
    <s v="Erkek"/>
    <x v="2"/>
    <x v="0"/>
    <n v="36.909999999999997"/>
    <n v="7"/>
    <n v="258.37"/>
  </r>
  <r>
    <x v="28"/>
    <d v="1899-12-30T15:29:00"/>
    <s v="531-56-4728"/>
    <s v="A"/>
    <s v="İzmir"/>
    <x v="1"/>
    <s v="Erkek"/>
    <x v="2"/>
    <x v="1"/>
    <n v="80.08"/>
    <n v="3"/>
    <n v="240.24"/>
  </r>
  <r>
    <x v="8"/>
    <d v="1899-12-30T17:59:00"/>
    <s v="744-82-9138"/>
    <s v="C"/>
    <s v="İstanbul"/>
    <x v="1"/>
    <s v="Erkek"/>
    <x v="4"/>
    <x v="1"/>
    <n v="86.13"/>
    <n v="2"/>
    <n v="172.26"/>
  </r>
  <r>
    <x v="62"/>
    <d v="1899-12-30T11:55:00"/>
    <s v="883-69-1285"/>
    <s v="B"/>
    <s v="Ankara"/>
    <x v="0"/>
    <s v="Erkek"/>
    <x v="4"/>
    <x v="2"/>
    <n v="49.92"/>
    <n v="2"/>
    <n v="99.84"/>
  </r>
  <r>
    <x v="65"/>
    <d v="1899-12-30T10:39:00"/>
    <s v="221-25-5073"/>
    <s v="A"/>
    <s v="İzmir"/>
    <x v="1"/>
    <s v="Kadın"/>
    <x v="5"/>
    <x v="1"/>
    <n v="74.66"/>
    <n v="4"/>
    <n v="298.64"/>
  </r>
  <r>
    <x v="16"/>
    <d v="1899-12-30T18:10:00"/>
    <s v="156-20-0370"/>
    <s v="B"/>
    <s v="Ankara"/>
    <x v="1"/>
    <s v="Kadın"/>
    <x v="1"/>
    <x v="2"/>
    <n v="25.45"/>
    <n v="1"/>
    <n v="25.45"/>
  </r>
  <r>
    <x v="63"/>
    <d v="1899-12-30T20:43:00"/>
    <s v="151-33-7434"/>
    <s v="B"/>
    <s v="Ankara"/>
    <x v="1"/>
    <s v="Kadın"/>
    <x v="5"/>
    <x v="2"/>
    <n v="67.77"/>
    <n v="1"/>
    <n v="67.77"/>
  </r>
  <r>
    <x v="64"/>
    <d v="1899-12-30T11:40:00"/>
    <s v="189-40-5216"/>
    <s v="C"/>
    <s v="İstanbul"/>
    <x v="1"/>
    <s v="Erkek"/>
    <x v="1"/>
    <x v="1"/>
    <n v="96.37"/>
    <n v="7"/>
    <n v="674.59"/>
  </r>
  <r>
    <x v="8"/>
    <d v="1899-12-30T19:30:00"/>
    <s v="374-38-5555"/>
    <s v="B"/>
    <s v="Ankara"/>
    <x v="1"/>
    <s v="Kadın"/>
    <x v="4"/>
    <x v="0"/>
    <n v="63.71"/>
    <n v="5"/>
    <n v="318.55"/>
  </r>
  <r>
    <x v="45"/>
    <d v="1899-12-30T19:08:00"/>
    <s v="552-44-5977"/>
    <s v="B"/>
    <s v="Ankara"/>
    <x v="0"/>
    <s v="Erkek"/>
    <x v="0"/>
    <x v="2"/>
    <n v="62"/>
    <n v="8"/>
    <n v="496"/>
  </r>
  <r>
    <x v="16"/>
    <d v="1899-12-30T20:46:00"/>
    <s v="745-74-0715"/>
    <s v="A"/>
    <s v="İzmir"/>
    <x v="1"/>
    <s v="Erkek"/>
    <x v="1"/>
    <x v="0"/>
    <n v="58.03"/>
    <n v="2"/>
    <n v="116.06"/>
  </r>
  <r>
    <x v="51"/>
    <d v="1899-12-30T17:16:00"/>
    <s v="303-96-2227"/>
    <s v="B"/>
    <s v="Ankara"/>
    <x v="1"/>
    <s v="Kadın"/>
    <x v="2"/>
    <x v="0"/>
    <n v="97.38"/>
    <n v="10"/>
    <n v="973.8"/>
  </r>
  <r>
    <x v="35"/>
    <d v="1899-12-30T13:22:00"/>
    <s v="727-02-1313"/>
    <s v="A"/>
    <s v="İzmir"/>
    <x v="0"/>
    <s v="Erkek"/>
    <x v="5"/>
    <x v="1"/>
    <n v="31.84"/>
    <n v="1"/>
    <n v="31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8FF37-C88E-43BC-85B4-631711AE4DF0}" name="PivotTable4" cacheId="1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A31:C34" firstHeaderRow="0" firstDataRow="1" firstDataCol="1" rowPageCount="1" colPageCount="1"/>
  <pivotFields count="14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Page" showAll="0">
      <items count="4">
        <item x="0"/>
        <item x="2"/>
        <item x="1"/>
        <item t="default"/>
      </items>
    </pivotField>
    <pivotField numFmtId="164" showAll="0"/>
    <pivotField showAll="0"/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0" hier="-1"/>
  </pageFields>
  <dataFields count="2">
    <dataField name="Say Fatura No" fld="2" subtotal="count" baseField="0" baseItem="0"/>
    <dataField name="Say Fatura No2" fld="2" subtotal="count" showDataAs="percentDiff" baseField="1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F3BF1-B5F4-4477-801A-895C6AC6252B}" name="PivotTable3" cacheId="1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A21:C24" firstHeaderRow="0" firstDataRow="1" firstDataCol="1" rowPageCount="1" colPageCount="1"/>
  <pivotFields count="14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" hier="-1"/>
  </pageFields>
  <dataFields count="2">
    <dataField name="Say Fatura No" fld="2" subtotal="count" baseField="0" baseItem="0"/>
    <dataField name="Say Fatura No2" fld="2" subtotal="count" showDataAs="percentDiff" baseField="1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81F62-DA39-417E-ADA3-4994BB4983D2}" name="PivotTable2" cacheId="1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A11:C14" firstHeaderRow="0" firstDataRow="1" firstDataCol="1"/>
  <pivotFields count="14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" fld="11" baseField="0" baseItem="0" numFmtId="166"/>
    <dataField name="Toplam Toplam2" fld="11" showDataAs="percentDiff" baseField="1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29B69-145D-4507-AF73-3E4DC518823F}" name="PivotTable1" cacheId="1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A3:C6" firstHeaderRow="0" firstDataRow="1" firstDataCol="1"/>
  <pivotFields count="14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y Fatura No" fld="2" subtotal="count" baseField="0" baseItem="0"/>
    <dataField name="Say Fatura No2" fld="2" subtotal="count" showDataAs="percentDiff" baseField="1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0DB41-1D8E-4495-975D-BFC751F24873}" name="PivotTable5" cacheId="1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7">
  <location ref="A3:B16" firstHeaderRow="1" firstDataRow="1" firstDataCol="1" rowPageCount="1" colPageCount="1"/>
  <pivotFields count="1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3" item="2" hier="-1"/>
  </pageFields>
  <dataFields count="1">
    <dataField name="Toplam Toplam" fld="11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2A8D9-849E-4405-B055-702BE6FB758E}" name="PivotTable6" cacheId="1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showHeaders="0" outline="1" outlineData="1" multipleFieldFilters="0" chartFormat="4">
  <location ref="A25:D32" firstHeaderRow="0" firstDataRow="1" firstDataCol="1" rowPageCount="1" colPageCount="1"/>
  <pivotFields count="14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dataField="1"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numFmtId="164" showAll="0"/>
    <pivotField showAll="0"/>
    <pivotField dataField="1" numFmtId="164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4">
        <item sd="0" x="0"/>
        <item sd="0" x="1"/>
        <item sd="0" x="2"/>
        <item sd="0" x="3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3" item="2" hier="-1"/>
  </pageFields>
  <dataFields count="3">
    <dataField name="Toplam Tutar" fld="11" baseField="0" baseItem="0" numFmtId="166"/>
    <dataField name="Sipariş Sayısı" fld="2" subtotal="count" baseField="0" baseItem="0"/>
    <dataField name=" Ortalama" fld="11" subtotal="average" baseField="0" baseItem="0" numFmtId="166"/>
  </dataFields>
  <formats count="33"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7" count="0"/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7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collapsedLevelsAreSubtotals="1" fieldPosition="0">
        <references count="1">
          <reference field="7" count="1">
            <x v="0"/>
          </reference>
        </references>
      </pivotArea>
    </format>
    <format dxfId="15">
      <pivotArea dataOnly="0" labelOnly="1" fieldPosition="0">
        <references count="1">
          <reference field="7" count="1">
            <x v="0"/>
          </reference>
        </references>
      </pivotArea>
    </format>
    <format dxfId="14">
      <pivotArea collapsedLevelsAreSubtotals="1" fieldPosition="0">
        <references count="1">
          <reference field="7" count="1">
            <x v="1"/>
          </reference>
        </references>
      </pivotArea>
    </format>
    <format dxfId="13">
      <pivotArea dataOnly="0" labelOnly="1" fieldPosition="0">
        <references count="1">
          <reference field="7" count="1">
            <x v="1"/>
          </reference>
        </references>
      </pivotArea>
    </format>
    <format dxfId="12">
      <pivotArea collapsedLevelsAreSubtotals="1" fieldPosition="0">
        <references count="1">
          <reference field="7" count="2">
            <x v="2"/>
            <x v="3"/>
          </reference>
        </references>
      </pivotArea>
    </format>
    <format dxfId="11">
      <pivotArea dataOnly="0" labelOnly="1" fieldPosition="0">
        <references count="1">
          <reference field="7" count="2">
            <x v="2"/>
            <x v="3"/>
          </reference>
        </references>
      </pivotArea>
    </format>
    <format dxfId="10">
      <pivotArea collapsedLevelsAreSubtotals="1" fieldPosition="0">
        <references count="1">
          <reference field="7" count="1">
            <x v="4"/>
          </reference>
        </references>
      </pivotArea>
    </format>
    <format dxfId="9">
      <pivotArea dataOnly="0" labelOnly="1" fieldPosition="0">
        <references count="1">
          <reference field="7" count="1">
            <x v="4"/>
          </reference>
        </references>
      </pivotArea>
    </format>
    <format dxfId="8">
      <pivotArea collapsedLevelsAreSubtotals="1" fieldPosition="0">
        <references count="1">
          <reference field="7" count="1">
            <x v="2"/>
          </reference>
        </references>
      </pivotArea>
    </format>
    <format dxfId="7">
      <pivotArea dataOnly="0" labelOnly="1" fieldPosition="0">
        <references count="1">
          <reference field="7" count="1">
            <x v="2"/>
          </reference>
        </references>
      </pivotArea>
    </format>
    <format dxfId="6">
      <pivotArea collapsedLevelsAreSubtotals="1" fieldPosition="0">
        <references count="1">
          <reference field="7" count="1">
            <x v="5"/>
          </reference>
        </references>
      </pivotArea>
    </format>
    <format dxfId="5">
      <pivotArea dataOnly="0" labelOnly="1" fieldPosition="0">
        <references count="1">
          <reference field="7" count="1">
            <x v="5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fieldPosition="0">
        <references count="1">
          <reference field="4294967294" count="1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noFill/>
        </a:ln>
      </a:spPr>
      <a:bodyPr vertOverflow="clip" horzOverflow="clip" wrap="square" rtlCol="0" anchor="t"/>
      <a:lstStyle>
        <a:defPPr algn="l">
          <a:defRPr sz="1100">
            <a:solidFill>
              <a:schemeClr val="accent5">
                <a:lumMod val="40000"/>
                <a:lumOff val="60000"/>
              </a:schemeClr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F70C-FCB1-481B-937F-1141805156E9}">
  <sheetPr codeName="Sayfa1"/>
  <dimension ref="A1"/>
  <sheetViews>
    <sheetView showGridLines="0" zoomScale="85" zoomScaleNormal="85" workbookViewId="0">
      <selection activeCell="AM2" sqref="AM2"/>
    </sheetView>
  </sheetViews>
  <sheetFormatPr defaultColWidth="3.5" defaultRowHeight="13.8" x14ac:dyDescent="0.25"/>
  <cols>
    <col min="1" max="16384" width="3.5" style="23"/>
  </cols>
  <sheetData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F99E-CAED-4CAF-B0AB-B2692F7ABEC4}">
  <sheetPr codeName="Sayfa3"/>
  <dimension ref="A3:I34"/>
  <sheetViews>
    <sheetView zoomScale="115" zoomScaleNormal="115" workbookViewId="0">
      <selection activeCell="I9" sqref="I9"/>
    </sheetView>
  </sheetViews>
  <sheetFormatPr defaultRowHeight="13.8" x14ac:dyDescent="0.25"/>
  <cols>
    <col min="1" max="1" width="15.09765625" bestFit="1" customWidth="1"/>
    <col min="2" max="2" width="13.59765625" bestFit="1" customWidth="1"/>
    <col min="3" max="3" width="20.5" customWidth="1"/>
    <col min="5" max="5" width="16.8984375" bestFit="1" customWidth="1"/>
    <col min="6" max="6" width="16.19921875" customWidth="1"/>
    <col min="7" max="8" width="14.09765625" customWidth="1"/>
    <col min="9" max="9" width="24.3984375" customWidth="1"/>
  </cols>
  <sheetData>
    <row r="3" spans="1:9" x14ac:dyDescent="0.25">
      <c r="A3" s="20" t="s">
        <v>444</v>
      </c>
      <c r="B3" t="s">
        <v>465</v>
      </c>
      <c r="C3" t="s">
        <v>466</v>
      </c>
      <c r="E3" t="s">
        <v>442</v>
      </c>
      <c r="F3" s="47" t="str">
        <f ca="1">"Tarih: "&amp;TEXT(TODAY(),"gg.aa.yyyy")</f>
        <v>Tarih: 20.04.2023</v>
      </c>
    </row>
    <row r="4" spans="1:9" x14ac:dyDescent="0.25">
      <c r="A4" s="21" t="s">
        <v>447</v>
      </c>
      <c r="B4">
        <v>233</v>
      </c>
      <c r="C4" s="24"/>
    </row>
    <row r="5" spans="1:9" x14ac:dyDescent="0.25">
      <c r="A5" s="21" t="s">
        <v>448</v>
      </c>
      <c r="B5">
        <v>180</v>
      </c>
      <c r="C5" s="24">
        <v>-0.22746781115879827</v>
      </c>
      <c r="E5" s="27"/>
      <c r="F5" s="28" t="s">
        <v>467</v>
      </c>
      <c r="G5" s="28" t="s">
        <v>468</v>
      </c>
      <c r="H5" s="28" t="s">
        <v>469</v>
      </c>
      <c r="I5" s="28" t="s">
        <v>470</v>
      </c>
    </row>
    <row r="6" spans="1:9" x14ac:dyDescent="0.25">
      <c r="A6" s="21" t="s">
        <v>446</v>
      </c>
      <c r="B6">
        <v>413</v>
      </c>
      <c r="C6" s="24"/>
      <c r="E6" s="28" t="s">
        <v>471</v>
      </c>
      <c r="F6" s="27" t="s">
        <v>463</v>
      </c>
      <c r="G6" s="27" t="s">
        <v>475</v>
      </c>
      <c r="H6" s="27" t="s">
        <v>474</v>
      </c>
      <c r="I6" s="27" t="s">
        <v>476</v>
      </c>
    </row>
    <row r="7" spans="1:9" x14ac:dyDescent="0.25">
      <c r="E7" s="28" t="s">
        <v>473</v>
      </c>
      <c r="F7" s="27">
        <f>B5</f>
        <v>180</v>
      </c>
      <c r="G7" s="25">
        <f>B13</f>
        <v>4009213.3599999994</v>
      </c>
      <c r="H7">
        <f>B23</f>
        <v>92</v>
      </c>
      <c r="I7" s="27">
        <f>B33</f>
        <v>73</v>
      </c>
    </row>
    <row r="8" spans="1:9" x14ac:dyDescent="0.25">
      <c r="E8" s="28" t="s">
        <v>472</v>
      </c>
      <c r="F8" s="29">
        <f>C5</f>
        <v>-0.22746781115879827</v>
      </c>
      <c r="G8" s="29">
        <f>C13</f>
        <v>2.3719367457012846E-2</v>
      </c>
      <c r="H8" s="29">
        <f>C23</f>
        <v>-0.25806451612903225</v>
      </c>
      <c r="I8" s="29">
        <f>C33</f>
        <v>4.2857142857142858E-2</v>
      </c>
    </row>
    <row r="11" spans="1:9" x14ac:dyDescent="0.25">
      <c r="A11" s="20" t="s">
        <v>444</v>
      </c>
      <c r="B11" t="s">
        <v>445</v>
      </c>
      <c r="C11" t="s">
        <v>461</v>
      </c>
    </row>
    <row r="12" spans="1:9" x14ac:dyDescent="0.25">
      <c r="A12" s="21" t="s">
        <v>447</v>
      </c>
      <c r="B12" s="22">
        <v>3916320.71</v>
      </c>
      <c r="C12" s="24"/>
    </row>
    <row r="13" spans="1:9" x14ac:dyDescent="0.25">
      <c r="A13" s="21" t="s">
        <v>448</v>
      </c>
      <c r="B13" s="22">
        <v>4009213.3599999994</v>
      </c>
      <c r="C13" s="24">
        <v>2.3719367457012846E-2</v>
      </c>
    </row>
    <row r="14" spans="1:9" x14ac:dyDescent="0.25">
      <c r="A14" s="21" t="s">
        <v>446</v>
      </c>
      <c r="B14" s="22">
        <v>7925534.0699999994</v>
      </c>
      <c r="C14" s="24"/>
    </row>
    <row r="19" spans="1:3" x14ac:dyDescent="0.25">
      <c r="A19" s="20" t="s">
        <v>3</v>
      </c>
      <c r="B19" t="s">
        <v>10</v>
      </c>
    </row>
    <row r="21" spans="1:3" x14ac:dyDescent="0.25">
      <c r="A21" s="20" t="s">
        <v>444</v>
      </c>
      <c r="B21" t="s">
        <v>465</v>
      </c>
      <c r="C21" t="s">
        <v>466</v>
      </c>
    </row>
    <row r="22" spans="1:3" x14ac:dyDescent="0.25">
      <c r="A22" s="21" t="s">
        <v>447</v>
      </c>
      <c r="B22">
        <v>124</v>
      </c>
      <c r="C22" s="24"/>
    </row>
    <row r="23" spans="1:3" x14ac:dyDescent="0.25">
      <c r="A23" s="21" t="s">
        <v>448</v>
      </c>
      <c r="B23">
        <v>92</v>
      </c>
      <c r="C23" s="24">
        <v>-0.25806451612903225</v>
      </c>
    </row>
    <row r="24" spans="1:3" x14ac:dyDescent="0.25">
      <c r="A24" s="21" t="s">
        <v>446</v>
      </c>
      <c r="B24">
        <v>216</v>
      </c>
      <c r="C24" s="24"/>
    </row>
    <row r="29" spans="1:3" x14ac:dyDescent="0.25">
      <c r="A29" s="20" t="s">
        <v>6</v>
      </c>
      <c r="B29" t="s">
        <v>13</v>
      </c>
    </row>
    <row r="31" spans="1:3" x14ac:dyDescent="0.25">
      <c r="A31" s="20" t="s">
        <v>444</v>
      </c>
      <c r="B31" t="s">
        <v>465</v>
      </c>
      <c r="C31" t="s">
        <v>466</v>
      </c>
    </row>
    <row r="32" spans="1:3" x14ac:dyDescent="0.25">
      <c r="A32" s="21" t="s">
        <v>447</v>
      </c>
      <c r="B32">
        <v>70</v>
      </c>
      <c r="C32" s="24"/>
    </row>
    <row r="33" spans="1:3" x14ac:dyDescent="0.25">
      <c r="A33" s="21" t="s">
        <v>448</v>
      </c>
      <c r="B33">
        <v>73</v>
      </c>
      <c r="C33" s="24">
        <v>4.2857142857142858E-2</v>
      </c>
    </row>
    <row r="34" spans="1:3" x14ac:dyDescent="0.25">
      <c r="A34" s="21" t="s">
        <v>446</v>
      </c>
      <c r="B34">
        <v>143</v>
      </c>
      <c r="C34" s="24"/>
    </row>
  </sheetData>
  <phoneticPr fontId="7" type="noConversion"/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1534-3C06-4416-B338-AC646DFCAE08}">
  <sheetPr codeName="Sayfa4"/>
  <dimension ref="A1:G32"/>
  <sheetViews>
    <sheetView showGridLines="0" topLeftCell="A16" zoomScale="130" zoomScaleNormal="130" workbookViewId="0">
      <selection activeCell="A25" sqref="A25:D32"/>
    </sheetView>
  </sheetViews>
  <sheetFormatPr defaultRowHeight="13.8" x14ac:dyDescent="0.25"/>
  <cols>
    <col min="1" max="1" width="18.3984375" bestFit="1" customWidth="1"/>
    <col min="2" max="2" width="14.69921875" customWidth="1"/>
    <col min="3" max="3" width="10.5" customWidth="1"/>
    <col min="4" max="4" width="14.69921875" customWidth="1"/>
  </cols>
  <sheetData>
    <row r="1" spans="1:7" x14ac:dyDescent="0.25">
      <c r="A1" s="20" t="s">
        <v>462</v>
      </c>
      <c r="B1" t="s">
        <v>448</v>
      </c>
    </row>
    <row r="3" spans="1:7" x14ac:dyDescent="0.25">
      <c r="A3" s="20" t="s">
        <v>444</v>
      </c>
      <c r="B3" t="s">
        <v>445</v>
      </c>
      <c r="F3" t="s">
        <v>471</v>
      </c>
      <c r="G3" t="s">
        <v>477</v>
      </c>
    </row>
    <row r="4" spans="1:7" x14ac:dyDescent="0.25">
      <c r="A4" s="26" t="s">
        <v>449</v>
      </c>
      <c r="B4" s="22">
        <v>536728.57000000007</v>
      </c>
    </row>
    <row r="5" spans="1:7" x14ac:dyDescent="0.25">
      <c r="A5" s="26" t="s">
        <v>450</v>
      </c>
      <c r="B5" s="22">
        <v>358194.7</v>
      </c>
    </row>
    <row r="6" spans="1:7" x14ac:dyDescent="0.25">
      <c r="A6" s="26" t="s">
        <v>451</v>
      </c>
      <c r="B6" s="22">
        <v>402266.86</v>
      </c>
    </row>
    <row r="7" spans="1:7" x14ac:dyDescent="0.25">
      <c r="A7" s="26" t="s">
        <v>452</v>
      </c>
      <c r="B7" s="22">
        <v>2733.77</v>
      </c>
    </row>
    <row r="8" spans="1:7" x14ac:dyDescent="0.25">
      <c r="A8" s="26" t="s">
        <v>453</v>
      </c>
      <c r="B8" s="22">
        <v>137829.19999999998</v>
      </c>
    </row>
    <row r="9" spans="1:7" x14ac:dyDescent="0.25">
      <c r="A9" s="26" t="s">
        <v>454</v>
      </c>
      <c r="B9" s="22">
        <v>1201595.68</v>
      </c>
    </row>
    <row r="10" spans="1:7" x14ac:dyDescent="0.25">
      <c r="A10" s="26" t="s">
        <v>455</v>
      </c>
      <c r="B10" s="22">
        <v>48256.39</v>
      </c>
    </row>
    <row r="11" spans="1:7" x14ac:dyDescent="0.25">
      <c r="A11" s="26" t="s">
        <v>456</v>
      </c>
      <c r="B11" s="22">
        <v>105973.83</v>
      </c>
    </row>
    <row r="12" spans="1:7" x14ac:dyDescent="0.25">
      <c r="A12" s="26" t="s">
        <v>457</v>
      </c>
      <c r="B12" s="22">
        <v>935046.33</v>
      </c>
    </row>
    <row r="13" spans="1:7" x14ac:dyDescent="0.25">
      <c r="A13" s="26" t="s">
        <v>458</v>
      </c>
      <c r="B13" s="22">
        <v>5263.37</v>
      </c>
    </row>
    <row r="14" spans="1:7" x14ac:dyDescent="0.25">
      <c r="A14" s="26" t="s">
        <v>459</v>
      </c>
      <c r="B14" s="22">
        <v>4789.38</v>
      </c>
    </row>
    <row r="15" spans="1:7" x14ac:dyDescent="0.25">
      <c r="A15" s="26" t="s">
        <v>460</v>
      </c>
      <c r="B15" s="22">
        <v>270535.28000000003</v>
      </c>
    </row>
    <row r="16" spans="1:7" x14ac:dyDescent="0.25">
      <c r="A16" s="26" t="s">
        <v>446</v>
      </c>
      <c r="B16" s="22">
        <v>4009213.3600000003</v>
      </c>
    </row>
    <row r="23" spans="1:4" x14ac:dyDescent="0.25">
      <c r="A23" s="39" t="s">
        <v>462</v>
      </c>
      <c r="B23" s="40" t="s">
        <v>448</v>
      </c>
    </row>
    <row r="25" spans="1:4" ht="27.6" x14ac:dyDescent="0.25">
      <c r="A25" s="30"/>
      <c r="B25" s="37" t="s">
        <v>464</v>
      </c>
      <c r="C25" s="38" t="s">
        <v>463</v>
      </c>
      <c r="D25" s="37" t="s">
        <v>478</v>
      </c>
    </row>
    <row r="26" spans="1:4" x14ac:dyDescent="0.25">
      <c r="A26" s="34" t="s">
        <v>18</v>
      </c>
      <c r="B26" s="35">
        <v>108168.26999999999</v>
      </c>
      <c r="C26" s="36">
        <v>29</v>
      </c>
      <c r="D26" s="35">
        <v>3729.9403448275857</v>
      </c>
    </row>
    <row r="27" spans="1:4" x14ac:dyDescent="0.25">
      <c r="A27" s="43" t="s">
        <v>22</v>
      </c>
      <c r="B27" s="41">
        <v>589901.0399999998</v>
      </c>
      <c r="C27" s="42">
        <v>34</v>
      </c>
      <c r="D27" s="41">
        <v>17350.030588235288</v>
      </c>
    </row>
    <row r="28" spans="1:4" x14ac:dyDescent="0.25">
      <c r="A28" s="43" t="s">
        <v>31</v>
      </c>
      <c r="B28" s="41">
        <v>53431.799999999996</v>
      </c>
      <c r="C28" s="42">
        <v>31</v>
      </c>
      <c r="D28" s="41">
        <v>1723.6064516129031</v>
      </c>
    </row>
    <row r="29" spans="1:4" x14ac:dyDescent="0.25">
      <c r="A29" s="43" t="s">
        <v>12</v>
      </c>
      <c r="B29" s="41">
        <v>1206788.0899999999</v>
      </c>
      <c r="C29" s="42">
        <v>25</v>
      </c>
      <c r="D29" s="41">
        <v>48271.523599999993</v>
      </c>
    </row>
    <row r="30" spans="1:4" x14ac:dyDescent="0.25">
      <c r="A30" s="43" t="s">
        <v>25</v>
      </c>
      <c r="B30" s="41">
        <v>800138.83000000007</v>
      </c>
      <c r="C30" s="42">
        <v>27</v>
      </c>
      <c r="D30" s="41">
        <v>29634.771481481483</v>
      </c>
    </row>
    <row r="31" spans="1:4" ht="14.4" thickBot="1" x14ac:dyDescent="0.3">
      <c r="A31" s="46" t="s">
        <v>29</v>
      </c>
      <c r="B31" s="44">
        <v>1250785.3299999996</v>
      </c>
      <c r="C31" s="45">
        <v>34</v>
      </c>
      <c r="D31" s="44">
        <v>36787.803823529401</v>
      </c>
    </row>
    <row r="32" spans="1:4" x14ac:dyDescent="0.25">
      <c r="A32" s="31" t="s">
        <v>446</v>
      </c>
      <c r="B32" s="32">
        <v>4009213.3599999994</v>
      </c>
      <c r="C32" s="33">
        <v>180</v>
      </c>
      <c r="D32" s="32">
        <v>22273.407555555554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5274-F3A5-4BBA-8D7F-89E71E53C301}">
  <sheetPr codeName="Sayfa2">
    <tabColor theme="8"/>
  </sheetPr>
  <dimension ref="A1:L414"/>
  <sheetViews>
    <sheetView showGridLines="0" zoomScale="115" zoomScaleNormal="115" workbookViewId="0">
      <selection activeCell="B23" sqref="B23"/>
    </sheetView>
  </sheetViews>
  <sheetFormatPr defaultRowHeight="13.8" x14ac:dyDescent="0.25"/>
  <cols>
    <col min="1" max="1" width="8.8984375" style="1" bestFit="1" customWidth="1"/>
    <col min="2" max="2" width="14.59765625" style="1" customWidth="1"/>
    <col min="3" max="3" width="11.09765625" style="1" bestFit="1" customWidth="1"/>
    <col min="4" max="4" width="6.59765625" style="1" customWidth="1"/>
    <col min="5" max="5" width="10.19921875" style="1" customWidth="1"/>
    <col min="6" max="6" width="12.09765625" style="1" customWidth="1"/>
    <col min="7" max="7" width="9" style="1" customWidth="1"/>
    <col min="8" max="8" width="20.5" style="1" customWidth="1"/>
    <col min="9" max="9" width="13.69921875" style="1" customWidth="1"/>
    <col min="10" max="10" width="11" style="1" customWidth="1"/>
    <col min="11" max="11" width="6.5" style="1" customWidth="1"/>
    <col min="12" max="12" width="13.09765625" style="1" customWidth="1"/>
  </cols>
  <sheetData>
    <row r="1" spans="1:12" ht="29.25" customHeight="1" x14ac:dyDescent="0.25">
      <c r="A1" s="17" t="s">
        <v>442</v>
      </c>
      <c r="B1" s="18" t="s">
        <v>443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440</v>
      </c>
      <c r="K1" s="18" t="s">
        <v>439</v>
      </c>
      <c r="L1" s="19" t="s">
        <v>441</v>
      </c>
    </row>
    <row r="2" spans="1:12" x14ac:dyDescent="0.25">
      <c r="A2" s="2">
        <v>43586</v>
      </c>
      <c r="B2" s="3">
        <v>0.54722222222222217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5">
        <v>74.69</v>
      </c>
      <c r="K2" s="4">
        <v>7</v>
      </c>
      <c r="L2" s="6">
        <f>J2*K2</f>
        <v>522.82999999999993</v>
      </c>
    </row>
    <row r="3" spans="1:12" x14ac:dyDescent="0.25">
      <c r="A3" s="7">
        <v>43680</v>
      </c>
      <c r="B3" s="8">
        <v>0.4368055555555555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11</v>
      </c>
      <c r="H3" s="9" t="s">
        <v>18</v>
      </c>
      <c r="I3" s="9" t="s">
        <v>19</v>
      </c>
      <c r="J3" s="10">
        <v>15.28</v>
      </c>
      <c r="K3" s="9">
        <v>5</v>
      </c>
      <c r="L3" s="11">
        <f t="shared" ref="L3:L66" si="0">J3*K3</f>
        <v>76.399999999999991</v>
      </c>
    </row>
    <row r="4" spans="1:12" x14ac:dyDescent="0.25">
      <c r="A4" s="2">
        <v>43527</v>
      </c>
      <c r="B4" s="3">
        <v>0.55763888888888891</v>
      </c>
      <c r="C4" s="4" t="s">
        <v>20</v>
      </c>
      <c r="D4" s="4" t="s">
        <v>8</v>
      </c>
      <c r="E4" s="4" t="s">
        <v>9</v>
      </c>
      <c r="F4" s="4" t="s">
        <v>17</v>
      </c>
      <c r="G4" s="4" t="s">
        <v>21</v>
      </c>
      <c r="H4" s="4" t="s">
        <v>22</v>
      </c>
      <c r="I4" s="4" t="s">
        <v>23</v>
      </c>
      <c r="J4" s="5">
        <v>46.33</v>
      </c>
      <c r="K4" s="4">
        <v>7</v>
      </c>
      <c r="L4" s="6">
        <f t="shared" si="0"/>
        <v>324.31</v>
      </c>
    </row>
    <row r="5" spans="1:12" x14ac:dyDescent="0.25">
      <c r="A5" s="7">
        <v>43679</v>
      </c>
      <c r="B5" s="8">
        <v>0.44236111111111115</v>
      </c>
      <c r="C5" s="9" t="s">
        <v>24</v>
      </c>
      <c r="D5" s="9" t="s">
        <v>8</v>
      </c>
      <c r="E5" s="9" t="s">
        <v>9</v>
      </c>
      <c r="F5" s="9" t="s">
        <v>17</v>
      </c>
      <c r="G5" s="9" t="s">
        <v>21</v>
      </c>
      <c r="H5" s="9" t="s">
        <v>25</v>
      </c>
      <c r="I5" s="9" t="s">
        <v>13</v>
      </c>
      <c r="J5" s="10">
        <v>86.31</v>
      </c>
      <c r="K5" s="9">
        <v>7</v>
      </c>
      <c r="L5" s="11">
        <f t="shared" si="0"/>
        <v>604.17000000000007</v>
      </c>
    </row>
    <row r="6" spans="1:12" x14ac:dyDescent="0.25">
      <c r="A6" s="2">
        <v>43739</v>
      </c>
      <c r="B6" s="3">
        <v>0.71875</v>
      </c>
      <c r="C6" s="4" t="s">
        <v>26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23</v>
      </c>
      <c r="J6" s="5">
        <v>36.26</v>
      </c>
      <c r="K6" s="4">
        <v>2</v>
      </c>
      <c r="L6" s="6">
        <f t="shared" si="0"/>
        <v>72.52</v>
      </c>
    </row>
    <row r="7" spans="1:12" x14ac:dyDescent="0.25">
      <c r="A7" s="7">
        <v>43984</v>
      </c>
      <c r="B7" s="8">
        <v>0.75486111111111109</v>
      </c>
      <c r="C7" s="9" t="s">
        <v>30</v>
      </c>
      <c r="D7" s="9" t="s">
        <v>27</v>
      </c>
      <c r="E7" s="9" t="s">
        <v>28</v>
      </c>
      <c r="F7" s="9" t="s">
        <v>10</v>
      </c>
      <c r="G7" s="9" t="s">
        <v>11</v>
      </c>
      <c r="H7" s="9" t="s">
        <v>31</v>
      </c>
      <c r="I7" s="9" t="s">
        <v>13</v>
      </c>
      <c r="J7" s="10">
        <v>14.48</v>
      </c>
      <c r="K7" s="9">
        <v>4</v>
      </c>
      <c r="L7" s="11">
        <f t="shared" si="0"/>
        <v>57.92</v>
      </c>
    </row>
    <row r="8" spans="1:12" x14ac:dyDescent="0.25">
      <c r="A8" s="2">
        <v>44077</v>
      </c>
      <c r="B8" s="3">
        <v>0.7104166666666667</v>
      </c>
      <c r="C8" s="4" t="s">
        <v>32</v>
      </c>
      <c r="D8" s="4" t="s">
        <v>27</v>
      </c>
      <c r="E8" s="4" t="s">
        <v>28</v>
      </c>
      <c r="F8" s="4" t="s">
        <v>10</v>
      </c>
      <c r="G8" s="4" t="s">
        <v>21</v>
      </c>
      <c r="H8" s="4" t="s">
        <v>18</v>
      </c>
      <c r="I8" s="4" t="s">
        <v>19</v>
      </c>
      <c r="J8" s="5">
        <v>25.51</v>
      </c>
      <c r="K8" s="4">
        <v>4</v>
      </c>
      <c r="L8" s="6">
        <f t="shared" si="0"/>
        <v>102.04</v>
      </c>
    </row>
    <row r="9" spans="1:12" x14ac:dyDescent="0.25">
      <c r="A9" s="7">
        <v>44167</v>
      </c>
      <c r="B9" s="8">
        <v>0.43402777777777773</v>
      </c>
      <c r="C9" s="9" t="s">
        <v>33</v>
      </c>
      <c r="D9" s="9" t="s">
        <v>8</v>
      </c>
      <c r="E9" s="9" t="s">
        <v>9</v>
      </c>
      <c r="F9" s="9" t="s">
        <v>17</v>
      </c>
      <c r="G9" s="9" t="s">
        <v>11</v>
      </c>
      <c r="H9" s="9" t="s">
        <v>18</v>
      </c>
      <c r="I9" s="9" t="s">
        <v>13</v>
      </c>
      <c r="J9" s="10">
        <v>46.95</v>
      </c>
      <c r="K9" s="9">
        <v>5</v>
      </c>
      <c r="L9" s="11">
        <f t="shared" si="0"/>
        <v>234.75</v>
      </c>
    </row>
    <row r="10" spans="1:12" x14ac:dyDescent="0.25">
      <c r="A10" s="2">
        <v>44014</v>
      </c>
      <c r="B10" s="3">
        <v>0.70000000000000007</v>
      </c>
      <c r="C10" s="4" t="s">
        <v>34</v>
      </c>
      <c r="D10" s="4" t="s">
        <v>8</v>
      </c>
      <c r="E10" s="4" t="s">
        <v>9</v>
      </c>
      <c r="F10" s="4" t="s">
        <v>17</v>
      </c>
      <c r="G10" s="4" t="s">
        <v>21</v>
      </c>
      <c r="H10" s="4" t="s">
        <v>29</v>
      </c>
      <c r="I10" s="4" t="s">
        <v>13</v>
      </c>
      <c r="J10" s="5">
        <v>43.19</v>
      </c>
      <c r="K10" s="4">
        <v>10</v>
      </c>
      <c r="L10" s="6">
        <f t="shared" si="0"/>
        <v>431.9</v>
      </c>
    </row>
    <row r="11" spans="1:12" x14ac:dyDescent="0.25">
      <c r="A11" s="7">
        <v>43772</v>
      </c>
      <c r="B11" s="8">
        <v>0.4604166666666667</v>
      </c>
      <c r="C11" s="9" t="s">
        <v>35</v>
      </c>
      <c r="D11" s="9" t="s">
        <v>8</v>
      </c>
      <c r="E11" s="9" t="s">
        <v>9</v>
      </c>
      <c r="F11" s="9" t="s">
        <v>10</v>
      </c>
      <c r="G11" s="9" t="s">
        <v>11</v>
      </c>
      <c r="H11" s="9" t="s">
        <v>12</v>
      </c>
      <c r="I11" s="9" t="s">
        <v>23</v>
      </c>
      <c r="J11" s="10">
        <v>68.930000000000007</v>
      </c>
      <c r="K11" s="9">
        <v>7</v>
      </c>
      <c r="L11" s="11">
        <f t="shared" si="0"/>
        <v>482.51000000000005</v>
      </c>
    </row>
    <row r="12" spans="1:12" x14ac:dyDescent="0.25">
      <c r="A12" s="2">
        <v>43466</v>
      </c>
      <c r="B12" s="3">
        <v>0.44375000000000003</v>
      </c>
      <c r="C12" s="4" t="s">
        <v>36</v>
      </c>
      <c r="D12" s="4" t="s">
        <v>8</v>
      </c>
      <c r="E12" s="4" t="s">
        <v>9</v>
      </c>
      <c r="F12" s="4" t="s">
        <v>17</v>
      </c>
      <c r="G12" s="4" t="s">
        <v>21</v>
      </c>
      <c r="H12" s="4" t="s">
        <v>25</v>
      </c>
      <c r="I12" s="4" t="s">
        <v>23</v>
      </c>
      <c r="J12" s="5">
        <v>72.61</v>
      </c>
      <c r="K12" s="4">
        <v>6</v>
      </c>
      <c r="L12" s="6">
        <f t="shared" si="0"/>
        <v>435.65999999999997</v>
      </c>
    </row>
    <row r="13" spans="1:12" x14ac:dyDescent="0.25">
      <c r="A13" s="7">
        <v>43772</v>
      </c>
      <c r="B13" s="8">
        <v>0.64583333333333337</v>
      </c>
      <c r="C13" s="9" t="s">
        <v>37</v>
      </c>
      <c r="D13" s="9" t="s">
        <v>27</v>
      </c>
      <c r="E13" s="9" t="s">
        <v>28</v>
      </c>
      <c r="F13" s="9" t="s">
        <v>17</v>
      </c>
      <c r="G13" s="9" t="s">
        <v>11</v>
      </c>
      <c r="H13" s="9" t="s">
        <v>22</v>
      </c>
      <c r="I13" s="9" t="s">
        <v>13</v>
      </c>
      <c r="J13" s="10">
        <v>40.299999999999997</v>
      </c>
      <c r="K13" s="9">
        <v>2</v>
      </c>
      <c r="L13" s="11">
        <f t="shared" si="0"/>
        <v>80.599999999999994</v>
      </c>
    </row>
    <row r="14" spans="1:12" x14ac:dyDescent="0.25">
      <c r="A14" s="2">
        <v>43588</v>
      </c>
      <c r="B14" s="3">
        <v>0.44444444444444442</v>
      </c>
      <c r="C14" s="4" t="s">
        <v>38</v>
      </c>
      <c r="D14" s="4" t="s">
        <v>27</v>
      </c>
      <c r="E14" s="4" t="s">
        <v>28</v>
      </c>
      <c r="F14" s="4" t="s">
        <v>17</v>
      </c>
      <c r="G14" s="4" t="s">
        <v>21</v>
      </c>
      <c r="H14" s="4" t="s">
        <v>12</v>
      </c>
      <c r="I14" s="4" t="s">
        <v>13</v>
      </c>
      <c r="J14" s="5">
        <v>87.98</v>
      </c>
      <c r="K14" s="4">
        <v>3</v>
      </c>
      <c r="L14" s="6">
        <f t="shared" si="0"/>
        <v>263.94</v>
      </c>
    </row>
    <row r="15" spans="1:12" x14ac:dyDescent="0.25">
      <c r="A15" s="7">
        <v>43499</v>
      </c>
      <c r="B15" s="8">
        <v>0.73333333333333339</v>
      </c>
      <c r="C15" s="9" t="s">
        <v>39</v>
      </c>
      <c r="D15" s="9" t="s">
        <v>8</v>
      </c>
      <c r="E15" s="9" t="s">
        <v>9</v>
      </c>
      <c r="F15" s="9" t="s">
        <v>10</v>
      </c>
      <c r="G15" s="9" t="s">
        <v>21</v>
      </c>
      <c r="H15" s="9" t="s">
        <v>25</v>
      </c>
      <c r="I15" s="9" t="s">
        <v>13</v>
      </c>
      <c r="J15" s="10">
        <v>88.63</v>
      </c>
      <c r="K15" s="9">
        <v>3</v>
      </c>
      <c r="L15" s="11">
        <f t="shared" si="0"/>
        <v>265.89</v>
      </c>
    </row>
    <row r="16" spans="1:12" x14ac:dyDescent="0.25">
      <c r="A16" s="2">
        <v>43679</v>
      </c>
      <c r="B16" s="3">
        <v>0.64652777777777781</v>
      </c>
      <c r="C16" s="4" t="s">
        <v>40</v>
      </c>
      <c r="D16" s="4" t="s">
        <v>27</v>
      </c>
      <c r="E16" s="4" t="s">
        <v>28</v>
      </c>
      <c r="F16" s="4" t="s">
        <v>17</v>
      </c>
      <c r="G16" s="4" t="s">
        <v>21</v>
      </c>
      <c r="H16" s="4" t="s">
        <v>31</v>
      </c>
      <c r="I16" s="4" t="s">
        <v>19</v>
      </c>
      <c r="J16" s="5">
        <v>33.520000000000003</v>
      </c>
      <c r="K16" s="4">
        <v>1</v>
      </c>
      <c r="L16" s="6">
        <f t="shared" si="0"/>
        <v>33.520000000000003</v>
      </c>
    </row>
    <row r="17" spans="1:12" x14ac:dyDescent="0.25">
      <c r="A17" s="7">
        <v>43741</v>
      </c>
      <c r="B17" s="8">
        <v>0.51180555555555551</v>
      </c>
      <c r="C17" s="9" t="s">
        <v>41</v>
      </c>
      <c r="D17" s="9" t="s">
        <v>8</v>
      </c>
      <c r="E17" s="9" t="s">
        <v>9</v>
      </c>
      <c r="F17" s="9" t="s">
        <v>17</v>
      </c>
      <c r="G17" s="9" t="s">
        <v>11</v>
      </c>
      <c r="H17" s="9" t="s">
        <v>31</v>
      </c>
      <c r="I17" s="9" t="s">
        <v>23</v>
      </c>
      <c r="J17" s="10">
        <v>87.67</v>
      </c>
      <c r="K17" s="9">
        <v>2</v>
      </c>
      <c r="L17" s="11">
        <f t="shared" si="0"/>
        <v>175.34</v>
      </c>
    </row>
    <row r="18" spans="1:12" x14ac:dyDescent="0.25">
      <c r="A18" s="2">
        <v>44105</v>
      </c>
      <c r="B18" s="3">
        <v>0.61736111111111114</v>
      </c>
      <c r="C18" s="4" t="s">
        <v>42</v>
      </c>
      <c r="D18" s="4" t="s">
        <v>27</v>
      </c>
      <c r="E18" s="4" t="s">
        <v>28</v>
      </c>
      <c r="F18" s="4" t="s">
        <v>17</v>
      </c>
      <c r="G18" s="4" t="s">
        <v>21</v>
      </c>
      <c r="H18" s="4" t="s">
        <v>25</v>
      </c>
      <c r="I18" s="4" t="s">
        <v>19</v>
      </c>
      <c r="J18" s="5">
        <v>83.78</v>
      </c>
      <c r="K18" s="4">
        <v>8</v>
      </c>
      <c r="L18" s="6">
        <f t="shared" si="0"/>
        <v>670.24</v>
      </c>
    </row>
    <row r="19" spans="1:12" x14ac:dyDescent="0.25">
      <c r="A19" s="7">
        <v>43984</v>
      </c>
      <c r="B19" s="8">
        <v>0.4458333333333333</v>
      </c>
      <c r="C19" s="9" t="s">
        <v>43</v>
      </c>
      <c r="D19" s="9" t="s">
        <v>15</v>
      </c>
      <c r="E19" s="9" t="s">
        <v>16</v>
      </c>
      <c r="F19" s="9" t="s">
        <v>10</v>
      </c>
      <c r="G19" s="9" t="s">
        <v>11</v>
      </c>
      <c r="H19" s="9" t="s">
        <v>29</v>
      </c>
      <c r="I19" s="9" t="s">
        <v>13</v>
      </c>
      <c r="J19" s="10">
        <v>99.42</v>
      </c>
      <c r="K19" s="9">
        <v>4</v>
      </c>
      <c r="L19" s="11">
        <f t="shared" si="0"/>
        <v>397.68</v>
      </c>
    </row>
    <row r="20" spans="1:12" x14ac:dyDescent="0.25">
      <c r="A20" s="2">
        <v>44013</v>
      </c>
      <c r="B20" s="3">
        <v>0.51944444444444449</v>
      </c>
      <c r="C20" s="4" t="s">
        <v>44</v>
      </c>
      <c r="D20" s="4" t="s">
        <v>15</v>
      </c>
      <c r="E20" s="4" t="s">
        <v>16</v>
      </c>
      <c r="F20" s="4" t="s">
        <v>10</v>
      </c>
      <c r="G20" s="4" t="s">
        <v>11</v>
      </c>
      <c r="H20" s="4" t="s">
        <v>25</v>
      </c>
      <c r="I20" s="4" t="s">
        <v>13</v>
      </c>
      <c r="J20" s="5">
        <v>68.12</v>
      </c>
      <c r="K20" s="4">
        <v>1</v>
      </c>
      <c r="L20" s="6">
        <f t="shared" si="0"/>
        <v>68.12</v>
      </c>
    </row>
    <row r="21" spans="1:12" x14ac:dyDescent="0.25">
      <c r="A21" s="7">
        <v>44107</v>
      </c>
      <c r="B21" s="8">
        <v>0.80208333333333337</v>
      </c>
      <c r="C21" s="9" t="s">
        <v>45</v>
      </c>
      <c r="D21" s="9" t="s">
        <v>8</v>
      </c>
      <c r="E21" s="9" t="s">
        <v>9</v>
      </c>
      <c r="F21" s="9" t="s">
        <v>10</v>
      </c>
      <c r="G21" s="9" t="s">
        <v>21</v>
      </c>
      <c r="H21" s="9" t="s">
        <v>25</v>
      </c>
      <c r="I21" s="9" t="s">
        <v>13</v>
      </c>
      <c r="J21" s="10">
        <v>62.62</v>
      </c>
      <c r="K21" s="9">
        <v>5</v>
      </c>
      <c r="L21" s="11">
        <f t="shared" si="0"/>
        <v>313.09999999999997</v>
      </c>
    </row>
    <row r="22" spans="1:12" x14ac:dyDescent="0.25">
      <c r="A22" s="2">
        <v>43527</v>
      </c>
      <c r="B22" s="3">
        <v>0.54236111111111118</v>
      </c>
      <c r="C22" s="4" t="s">
        <v>46</v>
      </c>
      <c r="D22" s="4" t="s">
        <v>27</v>
      </c>
      <c r="E22" s="4" t="s">
        <v>28</v>
      </c>
      <c r="F22" s="4" t="s">
        <v>10</v>
      </c>
      <c r="G22" s="4" t="s">
        <v>21</v>
      </c>
      <c r="H22" s="4" t="s">
        <v>22</v>
      </c>
      <c r="I22" s="4" t="s">
        <v>19</v>
      </c>
      <c r="J22" s="5">
        <v>44560</v>
      </c>
      <c r="K22" s="4">
        <v>8</v>
      </c>
      <c r="L22" s="6">
        <f t="shared" si="0"/>
        <v>356480</v>
      </c>
    </row>
    <row r="23" spans="1:12" x14ac:dyDescent="0.25">
      <c r="A23" s="7">
        <v>43498</v>
      </c>
      <c r="B23" s="8">
        <v>0.42430555555555555</v>
      </c>
      <c r="C23" s="9" t="s">
        <v>47</v>
      </c>
      <c r="D23" s="9" t="s">
        <v>15</v>
      </c>
      <c r="E23" s="9" t="s">
        <v>16</v>
      </c>
      <c r="F23" s="9" t="s">
        <v>10</v>
      </c>
      <c r="G23" s="9" t="s">
        <v>21</v>
      </c>
      <c r="H23" s="9" t="s">
        <v>22</v>
      </c>
      <c r="I23" s="9" t="s">
        <v>19</v>
      </c>
      <c r="J23" s="10">
        <v>56.11</v>
      </c>
      <c r="K23" s="9">
        <v>2</v>
      </c>
      <c r="L23" s="11">
        <f t="shared" si="0"/>
        <v>112.22</v>
      </c>
    </row>
    <row r="24" spans="1:12" x14ac:dyDescent="0.25">
      <c r="A24" s="2">
        <v>43679</v>
      </c>
      <c r="B24" s="3">
        <v>0.54375000000000007</v>
      </c>
      <c r="C24" s="4" t="s">
        <v>48</v>
      </c>
      <c r="D24" s="4" t="s">
        <v>27</v>
      </c>
      <c r="E24" s="4" t="s">
        <v>28</v>
      </c>
      <c r="F24" s="4" t="s">
        <v>10</v>
      </c>
      <c r="G24" s="4" t="s">
        <v>11</v>
      </c>
      <c r="H24" s="4" t="s">
        <v>25</v>
      </c>
      <c r="I24" s="4" t="s">
        <v>19</v>
      </c>
      <c r="J24" s="5">
        <v>69.12</v>
      </c>
      <c r="K24" s="4">
        <v>6</v>
      </c>
      <c r="L24" s="6">
        <f t="shared" si="0"/>
        <v>414.72</v>
      </c>
    </row>
    <row r="25" spans="1:12" x14ac:dyDescent="0.25">
      <c r="A25" s="7">
        <v>43558</v>
      </c>
      <c r="B25" s="8">
        <v>0.86041666666666661</v>
      </c>
      <c r="C25" s="9" t="s">
        <v>49</v>
      </c>
      <c r="D25" s="9" t="s">
        <v>15</v>
      </c>
      <c r="E25" s="9" t="s">
        <v>16</v>
      </c>
      <c r="F25" s="9" t="s">
        <v>10</v>
      </c>
      <c r="G25" s="9" t="s">
        <v>11</v>
      </c>
      <c r="H25" s="9" t="s">
        <v>29</v>
      </c>
      <c r="I25" s="9" t="s">
        <v>19</v>
      </c>
      <c r="J25" s="10">
        <v>98.7</v>
      </c>
      <c r="K25" s="9">
        <v>8</v>
      </c>
      <c r="L25" s="11">
        <f t="shared" si="0"/>
        <v>789.6</v>
      </c>
    </row>
    <row r="26" spans="1:12" x14ac:dyDescent="0.25">
      <c r="A26" s="2">
        <v>43711</v>
      </c>
      <c r="B26" s="3">
        <v>0.75</v>
      </c>
      <c r="C26" s="4" t="s">
        <v>50</v>
      </c>
      <c r="D26" s="4" t="s">
        <v>27</v>
      </c>
      <c r="E26" s="4" t="s">
        <v>28</v>
      </c>
      <c r="F26" s="4" t="s">
        <v>10</v>
      </c>
      <c r="G26" s="4" t="s">
        <v>11</v>
      </c>
      <c r="H26" s="4" t="s">
        <v>18</v>
      </c>
      <c r="I26" s="4" t="s">
        <v>19</v>
      </c>
      <c r="J26" s="5">
        <v>93.96</v>
      </c>
      <c r="K26" s="4">
        <v>4</v>
      </c>
      <c r="L26" s="6">
        <f t="shared" si="0"/>
        <v>375.84</v>
      </c>
    </row>
    <row r="27" spans="1:12" x14ac:dyDescent="0.25">
      <c r="A27" s="7">
        <v>43984</v>
      </c>
      <c r="B27" s="8">
        <v>0.65763888888888888</v>
      </c>
      <c r="C27" s="9" t="s">
        <v>51</v>
      </c>
      <c r="D27" s="9" t="s">
        <v>27</v>
      </c>
      <c r="E27" s="9" t="s">
        <v>28</v>
      </c>
      <c r="F27" s="9" t="s">
        <v>10</v>
      </c>
      <c r="G27" s="9" t="s">
        <v>11</v>
      </c>
      <c r="H27" s="9" t="s">
        <v>29</v>
      </c>
      <c r="I27" s="9" t="s">
        <v>13</v>
      </c>
      <c r="J27" s="10">
        <v>44216</v>
      </c>
      <c r="K27" s="9">
        <v>9</v>
      </c>
      <c r="L27" s="11">
        <f t="shared" si="0"/>
        <v>397944</v>
      </c>
    </row>
    <row r="28" spans="1:12" x14ac:dyDescent="0.25">
      <c r="A28" s="2">
        <v>44106</v>
      </c>
      <c r="B28" s="3">
        <v>0.53125</v>
      </c>
      <c r="C28" s="4" t="s">
        <v>52</v>
      </c>
      <c r="D28" s="4" t="s">
        <v>27</v>
      </c>
      <c r="E28" s="4" t="s">
        <v>28</v>
      </c>
      <c r="F28" s="4" t="s">
        <v>10</v>
      </c>
      <c r="G28" s="4" t="s">
        <v>21</v>
      </c>
      <c r="H28" s="4" t="s">
        <v>18</v>
      </c>
      <c r="I28" s="4" t="s">
        <v>23</v>
      </c>
      <c r="J28" s="5">
        <v>18.93</v>
      </c>
      <c r="K28" s="4">
        <v>6</v>
      </c>
      <c r="L28" s="6">
        <f t="shared" si="0"/>
        <v>113.58</v>
      </c>
    </row>
    <row r="29" spans="1:12" x14ac:dyDescent="0.25">
      <c r="A29" s="7">
        <v>43526</v>
      </c>
      <c r="B29" s="8">
        <v>0.42986111111111108</v>
      </c>
      <c r="C29" s="9" t="s">
        <v>53</v>
      </c>
      <c r="D29" s="9" t="s">
        <v>15</v>
      </c>
      <c r="E29" s="9" t="s">
        <v>16</v>
      </c>
      <c r="F29" s="9" t="s">
        <v>10</v>
      </c>
      <c r="G29" s="9" t="s">
        <v>21</v>
      </c>
      <c r="H29" s="9" t="s">
        <v>29</v>
      </c>
      <c r="I29" s="9" t="s">
        <v>19</v>
      </c>
      <c r="J29" s="10">
        <v>91.4</v>
      </c>
      <c r="K29" s="9">
        <v>7</v>
      </c>
      <c r="L29" s="11">
        <f t="shared" si="0"/>
        <v>639.80000000000007</v>
      </c>
    </row>
    <row r="30" spans="1:12" x14ac:dyDescent="0.25">
      <c r="A30" s="2">
        <v>44106</v>
      </c>
      <c r="B30" s="3">
        <v>0.63194444444444442</v>
      </c>
      <c r="C30" s="4" t="s">
        <v>54</v>
      </c>
      <c r="D30" s="4" t="s">
        <v>8</v>
      </c>
      <c r="E30" s="4" t="s">
        <v>9</v>
      </c>
      <c r="F30" s="4" t="s">
        <v>10</v>
      </c>
      <c r="G30" s="4" t="s">
        <v>11</v>
      </c>
      <c r="H30" s="4" t="s">
        <v>29</v>
      </c>
      <c r="I30" s="4" t="s">
        <v>19</v>
      </c>
      <c r="J30" s="5">
        <v>44.59</v>
      </c>
      <c r="K30" s="4">
        <v>5</v>
      </c>
      <c r="L30" s="6">
        <f t="shared" si="0"/>
        <v>222.95000000000002</v>
      </c>
    </row>
    <row r="31" spans="1:12" x14ac:dyDescent="0.25">
      <c r="A31" s="7">
        <v>44015</v>
      </c>
      <c r="B31" s="8">
        <v>0.49236111111111108</v>
      </c>
      <c r="C31" s="9" t="s">
        <v>55</v>
      </c>
      <c r="D31" s="9" t="s">
        <v>27</v>
      </c>
      <c r="E31" s="9" t="s">
        <v>28</v>
      </c>
      <c r="F31" s="9" t="s">
        <v>17</v>
      </c>
      <c r="G31" s="9" t="s">
        <v>21</v>
      </c>
      <c r="H31" s="9" t="s">
        <v>22</v>
      </c>
      <c r="I31" s="9" t="s">
        <v>13</v>
      </c>
      <c r="J31" s="10">
        <v>16.16</v>
      </c>
      <c r="K31" s="9">
        <v>2</v>
      </c>
      <c r="L31" s="11">
        <f t="shared" si="0"/>
        <v>32.32</v>
      </c>
    </row>
    <row r="32" spans="1:12" x14ac:dyDescent="0.25">
      <c r="A32" s="2">
        <v>44014</v>
      </c>
      <c r="B32" s="3">
        <v>0.4777777777777778</v>
      </c>
      <c r="C32" s="4" t="s">
        <v>56</v>
      </c>
      <c r="D32" s="4" t="s">
        <v>8</v>
      </c>
      <c r="E32" s="4" t="s">
        <v>9</v>
      </c>
      <c r="F32" s="4" t="s">
        <v>17</v>
      </c>
      <c r="G32" s="4" t="s">
        <v>21</v>
      </c>
      <c r="H32" s="4" t="s">
        <v>12</v>
      </c>
      <c r="I32" s="4" t="s">
        <v>13</v>
      </c>
      <c r="J32" s="5">
        <v>89.6</v>
      </c>
      <c r="K32" s="4">
        <v>8</v>
      </c>
      <c r="L32" s="6">
        <f t="shared" si="0"/>
        <v>716.8</v>
      </c>
    </row>
    <row r="33" spans="1:12" x14ac:dyDescent="0.25">
      <c r="A33" s="7">
        <v>43802</v>
      </c>
      <c r="B33" s="8">
        <v>0.85833333333333339</v>
      </c>
      <c r="C33" s="9" t="s">
        <v>57</v>
      </c>
      <c r="D33" s="9" t="s">
        <v>15</v>
      </c>
      <c r="E33" s="9" t="s">
        <v>16</v>
      </c>
      <c r="F33" s="9" t="s">
        <v>17</v>
      </c>
      <c r="G33" s="9" t="s">
        <v>21</v>
      </c>
      <c r="H33" s="9" t="s">
        <v>18</v>
      </c>
      <c r="I33" s="9" t="s">
        <v>19</v>
      </c>
      <c r="J33" s="10">
        <v>30.61</v>
      </c>
      <c r="K33" s="9">
        <v>6</v>
      </c>
      <c r="L33" s="11">
        <f t="shared" si="0"/>
        <v>183.66</v>
      </c>
    </row>
    <row r="34" spans="1:12" x14ac:dyDescent="0.25">
      <c r="A34" s="2">
        <v>43892</v>
      </c>
      <c r="B34" s="3">
        <v>0.56944444444444442</v>
      </c>
      <c r="C34" s="4" t="s">
        <v>58</v>
      </c>
      <c r="D34" s="4" t="s">
        <v>27</v>
      </c>
      <c r="E34" s="4" t="s">
        <v>28</v>
      </c>
      <c r="F34" s="4" t="s">
        <v>10</v>
      </c>
      <c r="G34" s="4" t="s">
        <v>11</v>
      </c>
      <c r="H34" s="4" t="s">
        <v>25</v>
      </c>
      <c r="I34" s="4" t="s">
        <v>13</v>
      </c>
      <c r="J34" s="5">
        <v>55.07</v>
      </c>
      <c r="K34" s="4">
        <v>9</v>
      </c>
      <c r="L34" s="6">
        <f t="shared" si="0"/>
        <v>495.63</v>
      </c>
    </row>
    <row r="35" spans="1:12" x14ac:dyDescent="0.25">
      <c r="A35" s="7">
        <v>43619</v>
      </c>
      <c r="B35" s="8">
        <v>0.51874999999999993</v>
      </c>
      <c r="C35" s="9" t="s">
        <v>59</v>
      </c>
      <c r="D35" s="9" t="s">
        <v>8</v>
      </c>
      <c r="E35" s="9" t="s">
        <v>9</v>
      </c>
      <c r="F35" s="9" t="s">
        <v>10</v>
      </c>
      <c r="G35" s="9" t="s">
        <v>21</v>
      </c>
      <c r="H35" s="9" t="s">
        <v>25</v>
      </c>
      <c r="I35" s="9" t="s">
        <v>23</v>
      </c>
      <c r="J35" s="10">
        <v>15.81</v>
      </c>
      <c r="K35" s="9">
        <v>10</v>
      </c>
      <c r="L35" s="11">
        <f t="shared" si="0"/>
        <v>158.1</v>
      </c>
    </row>
    <row r="36" spans="1:12" x14ac:dyDescent="0.25">
      <c r="A36" s="2">
        <v>44106</v>
      </c>
      <c r="B36" s="3">
        <v>0.65486111111111112</v>
      </c>
      <c r="C36" s="4" t="s">
        <v>60</v>
      </c>
      <c r="D36" s="4" t="s">
        <v>15</v>
      </c>
      <c r="E36" s="4" t="s">
        <v>16</v>
      </c>
      <c r="F36" s="4" t="s">
        <v>17</v>
      </c>
      <c r="G36" s="4" t="s">
        <v>11</v>
      </c>
      <c r="H36" s="4" t="s">
        <v>12</v>
      </c>
      <c r="I36" s="4" t="s">
        <v>13</v>
      </c>
      <c r="J36" s="5">
        <v>33.47</v>
      </c>
      <c r="K36" s="4">
        <v>2</v>
      </c>
      <c r="L36" s="6">
        <f t="shared" si="0"/>
        <v>66.94</v>
      </c>
    </row>
    <row r="37" spans="1:12" x14ac:dyDescent="0.25">
      <c r="A37" s="7">
        <v>44013</v>
      </c>
      <c r="B37" s="8">
        <v>0.62569444444444444</v>
      </c>
      <c r="C37" s="9" t="s">
        <v>61</v>
      </c>
      <c r="D37" s="9" t="s">
        <v>27</v>
      </c>
      <c r="E37" s="9" t="s">
        <v>28</v>
      </c>
      <c r="F37" s="9" t="s">
        <v>10</v>
      </c>
      <c r="G37" s="9" t="s">
        <v>11</v>
      </c>
      <c r="H37" s="9" t="s">
        <v>31</v>
      </c>
      <c r="I37" s="9" t="s">
        <v>13</v>
      </c>
      <c r="J37" s="10">
        <v>97.61</v>
      </c>
      <c r="K37" s="9">
        <v>6</v>
      </c>
      <c r="L37" s="11">
        <f t="shared" si="0"/>
        <v>585.66</v>
      </c>
    </row>
    <row r="38" spans="1:12" x14ac:dyDescent="0.25">
      <c r="A38" s="2">
        <v>43863</v>
      </c>
      <c r="B38" s="3">
        <v>0.78472222222222221</v>
      </c>
      <c r="C38" s="4" t="s">
        <v>62</v>
      </c>
      <c r="D38" s="4" t="s">
        <v>8</v>
      </c>
      <c r="E38" s="4" t="s">
        <v>9</v>
      </c>
      <c r="F38" s="4" t="s">
        <v>10</v>
      </c>
      <c r="G38" s="4" t="s">
        <v>11</v>
      </c>
      <c r="H38" s="4" t="s">
        <v>12</v>
      </c>
      <c r="I38" s="4" t="s">
        <v>19</v>
      </c>
      <c r="J38" s="5">
        <v>18.329999999999998</v>
      </c>
      <c r="K38" s="4">
        <v>1</v>
      </c>
      <c r="L38" s="6">
        <f t="shared" si="0"/>
        <v>18.329999999999998</v>
      </c>
    </row>
    <row r="39" spans="1:12" x14ac:dyDescent="0.25">
      <c r="A39" s="7">
        <v>43983</v>
      </c>
      <c r="B39" s="8">
        <v>0.53194444444444444</v>
      </c>
      <c r="C39" s="9" t="s">
        <v>63</v>
      </c>
      <c r="D39" s="9" t="s">
        <v>15</v>
      </c>
      <c r="E39" s="9" t="s">
        <v>16</v>
      </c>
      <c r="F39" s="9" t="s">
        <v>17</v>
      </c>
      <c r="G39" s="9" t="s">
        <v>21</v>
      </c>
      <c r="H39" s="9" t="s">
        <v>29</v>
      </c>
      <c r="I39" s="9" t="s">
        <v>23</v>
      </c>
      <c r="J39" s="10">
        <v>89.48</v>
      </c>
      <c r="K39" s="9">
        <v>10</v>
      </c>
      <c r="L39" s="11">
        <f t="shared" si="0"/>
        <v>894.80000000000007</v>
      </c>
    </row>
    <row r="40" spans="1:12" x14ac:dyDescent="0.25">
      <c r="A40" s="2">
        <v>44137</v>
      </c>
      <c r="B40" s="3">
        <v>0.67986111111111114</v>
      </c>
      <c r="C40" s="4" t="s">
        <v>64</v>
      </c>
      <c r="D40" s="4" t="s">
        <v>15</v>
      </c>
      <c r="E40" s="4" t="s">
        <v>16</v>
      </c>
      <c r="F40" s="4" t="s">
        <v>17</v>
      </c>
      <c r="G40" s="4" t="s">
        <v>21</v>
      </c>
      <c r="H40" s="4" t="s">
        <v>31</v>
      </c>
      <c r="I40" s="4" t="s">
        <v>19</v>
      </c>
      <c r="J40" s="5">
        <v>62.12</v>
      </c>
      <c r="K40" s="4">
        <v>10</v>
      </c>
      <c r="L40" s="6">
        <f t="shared" si="0"/>
        <v>621.19999999999993</v>
      </c>
    </row>
    <row r="41" spans="1:12" x14ac:dyDescent="0.25">
      <c r="A41" s="7">
        <v>43954</v>
      </c>
      <c r="B41" s="8">
        <v>0.76180555555555562</v>
      </c>
      <c r="C41" s="9" t="s">
        <v>65</v>
      </c>
      <c r="D41" s="9" t="s">
        <v>27</v>
      </c>
      <c r="E41" s="9" t="s">
        <v>28</v>
      </c>
      <c r="F41" s="9" t="s">
        <v>10</v>
      </c>
      <c r="G41" s="9" t="s">
        <v>11</v>
      </c>
      <c r="H41" s="9" t="s">
        <v>29</v>
      </c>
      <c r="I41" s="9" t="s">
        <v>13</v>
      </c>
      <c r="J41" s="10">
        <v>48.52</v>
      </c>
      <c r="K41" s="9">
        <v>3</v>
      </c>
      <c r="L41" s="11">
        <f t="shared" si="0"/>
        <v>145.56</v>
      </c>
    </row>
    <row r="42" spans="1:12" x14ac:dyDescent="0.25">
      <c r="A42" s="2">
        <v>44077</v>
      </c>
      <c r="B42" s="3">
        <v>0.76458333333333339</v>
      </c>
      <c r="C42" s="4" t="s">
        <v>66</v>
      </c>
      <c r="D42" s="4" t="s">
        <v>15</v>
      </c>
      <c r="E42" s="4" t="s">
        <v>16</v>
      </c>
      <c r="F42" s="4" t="s">
        <v>17</v>
      </c>
      <c r="G42" s="4" t="s">
        <v>11</v>
      </c>
      <c r="H42" s="4" t="s">
        <v>18</v>
      </c>
      <c r="I42" s="4" t="s">
        <v>19</v>
      </c>
      <c r="J42" s="5">
        <v>75.91</v>
      </c>
      <c r="K42" s="4">
        <v>6</v>
      </c>
      <c r="L42" s="6">
        <f t="shared" si="0"/>
        <v>455.46</v>
      </c>
    </row>
    <row r="43" spans="1:12" x14ac:dyDescent="0.25">
      <c r="A43" s="7">
        <v>43709</v>
      </c>
      <c r="B43" s="8">
        <v>0.59722222222222221</v>
      </c>
      <c r="C43" s="9" t="s">
        <v>67</v>
      </c>
      <c r="D43" s="9" t="s">
        <v>15</v>
      </c>
      <c r="E43" s="9" t="s">
        <v>16</v>
      </c>
      <c r="F43" s="9" t="s">
        <v>10</v>
      </c>
      <c r="G43" s="9" t="s">
        <v>21</v>
      </c>
      <c r="H43" s="9" t="s">
        <v>31</v>
      </c>
      <c r="I43" s="9" t="s">
        <v>23</v>
      </c>
      <c r="J43" s="10">
        <v>49.04</v>
      </c>
      <c r="K43" s="9">
        <v>9</v>
      </c>
      <c r="L43" s="11">
        <f t="shared" si="0"/>
        <v>441.36</v>
      </c>
    </row>
    <row r="44" spans="1:12" x14ac:dyDescent="0.25">
      <c r="A44" s="2">
        <v>43800</v>
      </c>
      <c r="B44" s="3">
        <v>0.65833333333333333</v>
      </c>
      <c r="C44" s="4" t="s">
        <v>68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31</v>
      </c>
      <c r="I44" s="4" t="s">
        <v>23</v>
      </c>
      <c r="J44" s="5">
        <v>44216</v>
      </c>
      <c r="K44" s="4">
        <v>9</v>
      </c>
      <c r="L44" s="6">
        <f t="shared" si="0"/>
        <v>397944</v>
      </c>
    </row>
    <row r="45" spans="1:12" x14ac:dyDescent="0.25">
      <c r="A45" s="7">
        <v>43588</v>
      </c>
      <c r="B45" s="8">
        <v>0.68333333333333324</v>
      </c>
      <c r="C45" s="9" t="s">
        <v>69</v>
      </c>
      <c r="D45" s="9" t="s">
        <v>15</v>
      </c>
      <c r="E45" s="9" t="s">
        <v>16</v>
      </c>
      <c r="F45" s="9" t="s">
        <v>10</v>
      </c>
      <c r="G45" s="9" t="s">
        <v>11</v>
      </c>
      <c r="H45" s="9" t="s">
        <v>29</v>
      </c>
      <c r="I45" s="9" t="s">
        <v>13</v>
      </c>
      <c r="J45" s="10">
        <v>78.31</v>
      </c>
      <c r="K45" s="9">
        <v>10</v>
      </c>
      <c r="L45" s="11">
        <f t="shared" si="0"/>
        <v>783.1</v>
      </c>
    </row>
    <row r="46" spans="1:12" x14ac:dyDescent="0.25">
      <c r="A46" s="2">
        <v>43711</v>
      </c>
      <c r="B46" s="3">
        <v>0.4284722222222222</v>
      </c>
      <c r="C46" s="4" t="s">
        <v>70</v>
      </c>
      <c r="D46" s="4" t="s">
        <v>15</v>
      </c>
      <c r="E46" s="4" t="s">
        <v>16</v>
      </c>
      <c r="F46" s="4" t="s">
        <v>10</v>
      </c>
      <c r="G46" s="4" t="s">
        <v>21</v>
      </c>
      <c r="H46" s="4" t="s">
        <v>25</v>
      </c>
      <c r="I46" s="4" t="s">
        <v>19</v>
      </c>
      <c r="J46" s="5">
        <v>48.91</v>
      </c>
      <c r="K46" s="4">
        <v>5</v>
      </c>
      <c r="L46" s="6">
        <f t="shared" si="0"/>
        <v>244.54999999999998</v>
      </c>
    </row>
    <row r="47" spans="1:12" x14ac:dyDescent="0.25">
      <c r="A47" s="7">
        <v>43588</v>
      </c>
      <c r="B47" s="8">
        <v>0.60486111111111118</v>
      </c>
      <c r="C47" s="9" t="s">
        <v>71</v>
      </c>
      <c r="D47" s="9" t="s">
        <v>15</v>
      </c>
      <c r="E47" s="9" t="s">
        <v>16</v>
      </c>
      <c r="F47" s="9" t="s">
        <v>17</v>
      </c>
      <c r="G47" s="9" t="s">
        <v>11</v>
      </c>
      <c r="H47" s="9" t="s">
        <v>25</v>
      </c>
      <c r="I47" s="9" t="s">
        <v>13</v>
      </c>
      <c r="J47" s="10">
        <v>83.06</v>
      </c>
      <c r="K47" s="9">
        <v>7</v>
      </c>
      <c r="L47" s="11">
        <f t="shared" si="0"/>
        <v>581.42000000000007</v>
      </c>
    </row>
    <row r="48" spans="1:12" x14ac:dyDescent="0.25">
      <c r="A48" s="2">
        <v>43497</v>
      </c>
      <c r="B48" s="3">
        <v>0.70624999999999993</v>
      </c>
      <c r="C48" s="4" t="s">
        <v>72</v>
      </c>
      <c r="D48" s="4" t="s">
        <v>8</v>
      </c>
      <c r="E48" s="4" t="s">
        <v>9</v>
      </c>
      <c r="F48" s="4" t="s">
        <v>17</v>
      </c>
      <c r="G48" s="4" t="s">
        <v>21</v>
      </c>
      <c r="H48" s="4" t="s">
        <v>25</v>
      </c>
      <c r="I48" s="4" t="s">
        <v>19</v>
      </c>
      <c r="J48" s="5">
        <v>42.47</v>
      </c>
      <c r="K48" s="4">
        <v>1</v>
      </c>
      <c r="L48" s="6">
        <f t="shared" si="0"/>
        <v>42.47</v>
      </c>
    </row>
    <row r="49" spans="1:12" x14ac:dyDescent="0.25">
      <c r="A49" s="7">
        <v>43739</v>
      </c>
      <c r="B49" s="8">
        <v>0.6958333333333333</v>
      </c>
      <c r="C49" s="9" t="s">
        <v>73</v>
      </c>
      <c r="D49" s="9" t="s">
        <v>8</v>
      </c>
      <c r="E49" s="9" t="s">
        <v>9</v>
      </c>
      <c r="F49" s="9" t="s">
        <v>10</v>
      </c>
      <c r="G49" s="9" t="s">
        <v>11</v>
      </c>
      <c r="H49" s="9" t="s">
        <v>25</v>
      </c>
      <c r="I49" s="9" t="s">
        <v>13</v>
      </c>
      <c r="J49" s="10">
        <v>21.98</v>
      </c>
      <c r="K49" s="9">
        <v>7</v>
      </c>
      <c r="L49" s="11">
        <f t="shared" si="0"/>
        <v>153.86000000000001</v>
      </c>
    </row>
    <row r="50" spans="1:12" x14ac:dyDescent="0.25">
      <c r="A50" s="2">
        <v>44168</v>
      </c>
      <c r="B50" s="3">
        <v>0.50624999999999998</v>
      </c>
      <c r="C50" s="4" t="s">
        <v>74</v>
      </c>
      <c r="D50" s="4" t="s">
        <v>27</v>
      </c>
      <c r="E50" s="4" t="s">
        <v>28</v>
      </c>
      <c r="F50" s="4" t="s">
        <v>10</v>
      </c>
      <c r="G50" s="4" t="s">
        <v>21</v>
      </c>
      <c r="H50" s="4" t="s">
        <v>12</v>
      </c>
      <c r="I50" s="4" t="s">
        <v>23</v>
      </c>
      <c r="J50" s="5">
        <v>64.36</v>
      </c>
      <c r="K50" s="4">
        <v>9</v>
      </c>
      <c r="L50" s="6">
        <f t="shared" si="0"/>
        <v>579.24</v>
      </c>
    </row>
    <row r="51" spans="1:12" x14ac:dyDescent="0.25">
      <c r="A51" s="7">
        <v>43984</v>
      </c>
      <c r="B51" s="8">
        <v>0.83680555555555547</v>
      </c>
      <c r="C51" s="9" t="s">
        <v>75</v>
      </c>
      <c r="D51" s="9" t="s">
        <v>15</v>
      </c>
      <c r="E51" s="9" t="s">
        <v>16</v>
      </c>
      <c r="F51" s="9" t="s">
        <v>17</v>
      </c>
      <c r="G51" s="9" t="s">
        <v>21</v>
      </c>
      <c r="H51" s="9" t="s">
        <v>12</v>
      </c>
      <c r="I51" s="9" t="s">
        <v>23</v>
      </c>
      <c r="J51" s="10">
        <v>89.75</v>
      </c>
      <c r="K51" s="9">
        <v>1</v>
      </c>
      <c r="L51" s="11">
        <f t="shared" si="0"/>
        <v>89.75</v>
      </c>
    </row>
    <row r="52" spans="1:12" x14ac:dyDescent="0.25">
      <c r="A52" s="2">
        <v>44046</v>
      </c>
      <c r="B52" s="3">
        <v>0.85972222222222217</v>
      </c>
      <c r="C52" s="4" t="s">
        <v>76</v>
      </c>
      <c r="D52" s="4" t="s">
        <v>8</v>
      </c>
      <c r="E52" s="4" t="s">
        <v>9</v>
      </c>
      <c r="F52" s="4" t="s">
        <v>17</v>
      </c>
      <c r="G52" s="4" t="s">
        <v>21</v>
      </c>
      <c r="H52" s="4" t="s">
        <v>18</v>
      </c>
      <c r="I52" s="4" t="s">
        <v>13</v>
      </c>
      <c r="J52" s="5">
        <v>97.16</v>
      </c>
      <c r="K52" s="4">
        <v>1</v>
      </c>
      <c r="L52" s="6">
        <f t="shared" si="0"/>
        <v>97.16</v>
      </c>
    </row>
    <row r="53" spans="1:12" x14ac:dyDescent="0.25">
      <c r="A53" s="7">
        <v>44076</v>
      </c>
      <c r="B53" s="8">
        <v>0.5493055555555556</v>
      </c>
      <c r="C53" s="9" t="s">
        <v>77</v>
      </c>
      <c r="D53" s="9" t="s">
        <v>15</v>
      </c>
      <c r="E53" s="9" t="s">
        <v>16</v>
      </c>
      <c r="F53" s="9" t="s">
        <v>17</v>
      </c>
      <c r="G53" s="9" t="s">
        <v>11</v>
      </c>
      <c r="H53" s="9" t="s">
        <v>18</v>
      </c>
      <c r="I53" s="9" t="s">
        <v>19</v>
      </c>
      <c r="J53" s="10">
        <v>16772</v>
      </c>
      <c r="K53" s="9">
        <v>6</v>
      </c>
      <c r="L53" s="11">
        <f t="shared" si="0"/>
        <v>100632</v>
      </c>
    </row>
    <row r="54" spans="1:12" x14ac:dyDescent="0.25">
      <c r="A54" s="2">
        <v>43954</v>
      </c>
      <c r="B54" s="3">
        <v>0.7597222222222223</v>
      </c>
      <c r="C54" s="4" t="s">
        <v>78</v>
      </c>
      <c r="D54" s="4" t="s">
        <v>27</v>
      </c>
      <c r="E54" s="4" t="s">
        <v>28</v>
      </c>
      <c r="F54" s="4" t="s">
        <v>17</v>
      </c>
      <c r="G54" s="4" t="s">
        <v>21</v>
      </c>
      <c r="H54" s="4" t="s">
        <v>22</v>
      </c>
      <c r="I54" s="4" t="s">
        <v>19</v>
      </c>
      <c r="J54" s="5">
        <v>82.7</v>
      </c>
      <c r="K54" s="4">
        <v>6</v>
      </c>
      <c r="L54" s="6">
        <f t="shared" si="0"/>
        <v>496.20000000000005</v>
      </c>
    </row>
    <row r="55" spans="1:12" x14ac:dyDescent="0.25">
      <c r="A55" s="7">
        <v>43833</v>
      </c>
      <c r="B55" s="8">
        <v>0.55694444444444446</v>
      </c>
      <c r="C55" s="9" t="s">
        <v>79</v>
      </c>
      <c r="D55" s="9" t="s">
        <v>15</v>
      </c>
      <c r="E55" s="9" t="s">
        <v>16</v>
      </c>
      <c r="F55" s="9" t="s">
        <v>17</v>
      </c>
      <c r="G55" s="9" t="s">
        <v>21</v>
      </c>
      <c r="H55" s="9" t="s">
        <v>31</v>
      </c>
      <c r="I55" s="9" t="s">
        <v>19</v>
      </c>
      <c r="J55" s="10">
        <v>78.55</v>
      </c>
      <c r="K55" s="9">
        <v>9</v>
      </c>
      <c r="L55" s="11">
        <f t="shared" si="0"/>
        <v>706.94999999999993</v>
      </c>
    </row>
    <row r="56" spans="1:12" x14ac:dyDescent="0.25">
      <c r="A56" s="2">
        <v>43467</v>
      </c>
      <c r="B56" s="3">
        <v>0.4770833333333333</v>
      </c>
      <c r="C56" s="4" t="s">
        <v>80</v>
      </c>
      <c r="D56" s="4" t="s">
        <v>15</v>
      </c>
      <c r="E56" s="4" t="s">
        <v>16</v>
      </c>
      <c r="F56" s="4" t="s">
        <v>17</v>
      </c>
      <c r="G56" s="4" t="s">
        <v>11</v>
      </c>
      <c r="H56" s="4" t="s">
        <v>18</v>
      </c>
      <c r="I56" s="4" t="s">
        <v>19</v>
      </c>
      <c r="J56" s="5">
        <v>44400</v>
      </c>
      <c r="K56" s="4">
        <v>9</v>
      </c>
      <c r="L56" s="6">
        <f t="shared" si="0"/>
        <v>399600</v>
      </c>
    </row>
    <row r="57" spans="1:12" x14ac:dyDescent="0.25">
      <c r="A57" s="7">
        <v>43800</v>
      </c>
      <c r="B57" s="8">
        <v>0.61805555555555558</v>
      </c>
      <c r="C57" s="9" t="s">
        <v>81</v>
      </c>
      <c r="D57" s="9" t="s">
        <v>8</v>
      </c>
      <c r="E57" s="9" t="s">
        <v>9</v>
      </c>
      <c r="F57" s="9" t="s">
        <v>10</v>
      </c>
      <c r="G57" s="9" t="s">
        <v>21</v>
      </c>
      <c r="H57" s="9" t="s">
        <v>18</v>
      </c>
      <c r="I57" s="9" t="s">
        <v>13</v>
      </c>
      <c r="J57" s="10">
        <v>88.67</v>
      </c>
      <c r="K57" s="9">
        <v>10</v>
      </c>
      <c r="L57" s="11">
        <f t="shared" si="0"/>
        <v>886.7</v>
      </c>
    </row>
    <row r="58" spans="1:12" x14ac:dyDescent="0.25">
      <c r="A58" s="2">
        <v>43586</v>
      </c>
      <c r="B58" s="3">
        <v>0.87083333333333324</v>
      </c>
      <c r="C58" s="4" t="s">
        <v>82</v>
      </c>
      <c r="D58" s="4" t="s">
        <v>15</v>
      </c>
      <c r="E58" s="4" t="s">
        <v>16</v>
      </c>
      <c r="F58" s="4" t="s">
        <v>17</v>
      </c>
      <c r="G58" s="4" t="s">
        <v>21</v>
      </c>
      <c r="H58" s="4" t="s">
        <v>31</v>
      </c>
      <c r="I58" s="4" t="s">
        <v>23</v>
      </c>
      <c r="J58" s="5">
        <v>27.38</v>
      </c>
      <c r="K58" s="4">
        <v>6</v>
      </c>
      <c r="L58" s="6">
        <f t="shared" si="0"/>
        <v>164.28</v>
      </c>
    </row>
    <row r="59" spans="1:12" x14ac:dyDescent="0.25">
      <c r="A59" s="7">
        <v>43527</v>
      </c>
      <c r="B59" s="8">
        <v>0.60416666666666663</v>
      </c>
      <c r="C59" s="9" t="s">
        <v>83</v>
      </c>
      <c r="D59" s="9" t="s">
        <v>15</v>
      </c>
      <c r="E59" s="9" t="s">
        <v>16</v>
      </c>
      <c r="F59" s="9" t="s">
        <v>10</v>
      </c>
      <c r="G59" s="9" t="s">
        <v>21</v>
      </c>
      <c r="H59" s="9" t="s">
        <v>18</v>
      </c>
      <c r="I59" s="9" t="s">
        <v>19</v>
      </c>
      <c r="J59" s="10">
        <v>81.97</v>
      </c>
      <c r="K59" s="9">
        <v>10</v>
      </c>
      <c r="L59" s="11">
        <f t="shared" si="0"/>
        <v>819.7</v>
      </c>
    </row>
    <row r="60" spans="1:12" x14ac:dyDescent="0.25">
      <c r="A60" s="2">
        <v>43587</v>
      </c>
      <c r="B60" s="3">
        <v>0.48055555555555557</v>
      </c>
      <c r="C60" s="4" t="s">
        <v>84</v>
      </c>
      <c r="D60" s="4" t="s">
        <v>27</v>
      </c>
      <c r="E60" s="4" t="s">
        <v>28</v>
      </c>
      <c r="F60" s="4" t="s">
        <v>10</v>
      </c>
      <c r="G60" s="4" t="s">
        <v>11</v>
      </c>
      <c r="H60" s="4" t="s">
        <v>25</v>
      </c>
      <c r="I60" s="4" t="s">
        <v>13</v>
      </c>
      <c r="J60" s="5">
        <v>16.489999999999998</v>
      </c>
      <c r="K60" s="4">
        <v>2</v>
      </c>
      <c r="L60" s="6">
        <f t="shared" si="0"/>
        <v>32.979999999999997</v>
      </c>
    </row>
    <row r="61" spans="1:12" x14ac:dyDescent="0.25">
      <c r="A61" s="7">
        <v>43587</v>
      </c>
      <c r="B61" s="8">
        <v>0.44513888888888892</v>
      </c>
      <c r="C61" s="9" t="s">
        <v>85</v>
      </c>
      <c r="D61" s="9" t="s">
        <v>15</v>
      </c>
      <c r="E61" s="9" t="s">
        <v>16</v>
      </c>
      <c r="F61" s="9" t="s">
        <v>10</v>
      </c>
      <c r="G61" s="9" t="s">
        <v>11</v>
      </c>
      <c r="H61" s="9" t="s">
        <v>12</v>
      </c>
      <c r="I61" s="9" t="s">
        <v>23</v>
      </c>
      <c r="J61" s="10">
        <v>98.21</v>
      </c>
      <c r="K61" s="9">
        <v>3</v>
      </c>
      <c r="L61" s="11">
        <f t="shared" si="0"/>
        <v>294.63</v>
      </c>
    </row>
    <row r="62" spans="1:12" x14ac:dyDescent="0.25">
      <c r="A62" s="2">
        <v>43467</v>
      </c>
      <c r="B62" s="3">
        <v>0.85486111111111107</v>
      </c>
      <c r="C62" s="4" t="s">
        <v>86</v>
      </c>
      <c r="D62" s="4" t="s">
        <v>15</v>
      </c>
      <c r="E62" s="4" t="s">
        <v>16</v>
      </c>
      <c r="F62" s="4" t="s">
        <v>10</v>
      </c>
      <c r="G62" s="4" t="s">
        <v>11</v>
      </c>
      <c r="H62" s="4" t="s">
        <v>22</v>
      </c>
      <c r="I62" s="4" t="s">
        <v>23</v>
      </c>
      <c r="J62" s="5">
        <v>80.790000000000006</v>
      </c>
      <c r="K62" s="4">
        <v>9</v>
      </c>
      <c r="L62" s="6">
        <f t="shared" si="0"/>
        <v>727.11</v>
      </c>
    </row>
    <row r="63" spans="1:12" x14ac:dyDescent="0.25">
      <c r="A63" s="7">
        <v>43499</v>
      </c>
      <c r="B63" s="8">
        <v>0.54236111111111118</v>
      </c>
      <c r="C63" s="9" t="s">
        <v>87</v>
      </c>
      <c r="D63" s="9" t="s">
        <v>15</v>
      </c>
      <c r="E63" s="9" t="s">
        <v>16</v>
      </c>
      <c r="F63" s="9" t="s">
        <v>17</v>
      </c>
      <c r="G63" s="9" t="s">
        <v>11</v>
      </c>
      <c r="H63" s="9" t="s">
        <v>31</v>
      </c>
      <c r="I63" s="9" t="s">
        <v>23</v>
      </c>
      <c r="J63" s="10">
        <v>44254</v>
      </c>
      <c r="K63" s="9">
        <v>3</v>
      </c>
      <c r="L63" s="11">
        <f t="shared" si="0"/>
        <v>132762</v>
      </c>
    </row>
    <row r="64" spans="1:12" x14ac:dyDescent="0.25">
      <c r="A64" s="2">
        <v>43954</v>
      </c>
      <c r="B64" s="3">
        <v>0.52013888888888882</v>
      </c>
      <c r="C64" s="4" t="s">
        <v>88</v>
      </c>
      <c r="D64" s="4" t="s">
        <v>27</v>
      </c>
      <c r="E64" s="4" t="s">
        <v>28</v>
      </c>
      <c r="F64" s="4" t="s">
        <v>10</v>
      </c>
      <c r="G64" s="4" t="s">
        <v>21</v>
      </c>
      <c r="H64" s="4" t="s">
        <v>31</v>
      </c>
      <c r="I64" s="4" t="s">
        <v>13</v>
      </c>
      <c r="J64" s="5">
        <v>21.94</v>
      </c>
      <c r="K64" s="4">
        <v>5</v>
      </c>
      <c r="L64" s="6">
        <f t="shared" si="0"/>
        <v>109.7</v>
      </c>
    </row>
    <row r="65" spans="1:12" x14ac:dyDescent="0.25">
      <c r="A65" s="7">
        <v>43863</v>
      </c>
      <c r="B65" s="8">
        <v>0.8666666666666667</v>
      </c>
      <c r="C65" s="9" t="s">
        <v>89</v>
      </c>
      <c r="D65" s="9" t="s">
        <v>8</v>
      </c>
      <c r="E65" s="9" t="s">
        <v>9</v>
      </c>
      <c r="F65" s="9" t="s">
        <v>17</v>
      </c>
      <c r="G65" s="9" t="s">
        <v>11</v>
      </c>
      <c r="H65" s="9" t="s">
        <v>29</v>
      </c>
      <c r="I65" s="9" t="s">
        <v>13</v>
      </c>
      <c r="J65" s="10">
        <v>35339</v>
      </c>
      <c r="K65" s="9">
        <v>10</v>
      </c>
      <c r="L65" s="11">
        <f t="shared" si="0"/>
        <v>353390</v>
      </c>
    </row>
    <row r="66" spans="1:12" x14ac:dyDescent="0.25">
      <c r="A66" s="2">
        <v>44166</v>
      </c>
      <c r="B66" s="3">
        <v>0.50138888888888888</v>
      </c>
      <c r="C66" s="4" t="s">
        <v>90</v>
      </c>
      <c r="D66" s="4" t="s">
        <v>15</v>
      </c>
      <c r="E66" s="4" t="s">
        <v>16</v>
      </c>
      <c r="F66" s="4" t="s">
        <v>10</v>
      </c>
      <c r="G66" s="4" t="s">
        <v>21</v>
      </c>
      <c r="H66" s="4" t="s">
        <v>25</v>
      </c>
      <c r="I66" s="4" t="s">
        <v>23</v>
      </c>
      <c r="J66" s="5">
        <v>57.12</v>
      </c>
      <c r="K66" s="4">
        <v>7</v>
      </c>
      <c r="L66" s="6">
        <f t="shared" si="0"/>
        <v>399.84</v>
      </c>
    </row>
    <row r="67" spans="1:12" x14ac:dyDescent="0.25">
      <c r="A67" s="7">
        <v>44077</v>
      </c>
      <c r="B67" s="8">
        <v>0.72638888888888886</v>
      </c>
      <c r="C67" s="9" t="s">
        <v>91</v>
      </c>
      <c r="D67" s="9" t="s">
        <v>27</v>
      </c>
      <c r="E67" s="9" t="s">
        <v>28</v>
      </c>
      <c r="F67" s="9" t="s">
        <v>10</v>
      </c>
      <c r="G67" s="9" t="s">
        <v>21</v>
      </c>
      <c r="H67" s="9" t="s">
        <v>25</v>
      </c>
      <c r="I67" s="9" t="s">
        <v>23</v>
      </c>
      <c r="J67" s="10">
        <v>99.96</v>
      </c>
      <c r="K67" s="9">
        <v>9</v>
      </c>
      <c r="L67" s="11">
        <f t="shared" ref="L67:L130" si="1">J67*K67</f>
        <v>899.64</v>
      </c>
    </row>
    <row r="68" spans="1:12" x14ac:dyDescent="0.25">
      <c r="A68" s="2">
        <v>44077</v>
      </c>
      <c r="B68" s="3">
        <v>0.62291666666666667</v>
      </c>
      <c r="C68" s="4" t="s">
        <v>92</v>
      </c>
      <c r="D68" s="4" t="s">
        <v>27</v>
      </c>
      <c r="E68" s="4" t="s">
        <v>28</v>
      </c>
      <c r="F68" s="4" t="s">
        <v>10</v>
      </c>
      <c r="G68" s="4" t="s">
        <v>11</v>
      </c>
      <c r="H68" s="4" t="s">
        <v>31</v>
      </c>
      <c r="I68" s="4" t="s">
        <v>13</v>
      </c>
      <c r="J68" s="5">
        <v>56.47</v>
      </c>
      <c r="K68" s="4">
        <v>8</v>
      </c>
      <c r="L68" s="6">
        <f t="shared" si="1"/>
        <v>451.76</v>
      </c>
    </row>
    <row r="69" spans="1:12" x14ac:dyDescent="0.25">
      <c r="A69" s="7">
        <v>44107</v>
      </c>
      <c r="B69" s="8">
        <v>0.78055555555555556</v>
      </c>
      <c r="C69" s="9" t="s">
        <v>93</v>
      </c>
      <c r="D69" s="9" t="s">
        <v>8</v>
      </c>
      <c r="E69" s="9" t="s">
        <v>9</v>
      </c>
      <c r="F69" s="9" t="s">
        <v>17</v>
      </c>
      <c r="G69" s="9" t="s">
        <v>11</v>
      </c>
      <c r="H69" s="9" t="s">
        <v>22</v>
      </c>
      <c r="I69" s="9" t="s">
        <v>23</v>
      </c>
      <c r="J69" s="10">
        <v>93.69</v>
      </c>
      <c r="K69" s="9">
        <v>7</v>
      </c>
      <c r="L69" s="11">
        <f t="shared" si="1"/>
        <v>655.82999999999993</v>
      </c>
    </row>
    <row r="70" spans="1:12" x14ac:dyDescent="0.25">
      <c r="A70" s="2">
        <v>44044</v>
      </c>
      <c r="B70" s="3">
        <v>0.67847222222222225</v>
      </c>
      <c r="C70" s="4" t="s">
        <v>94</v>
      </c>
      <c r="D70" s="4" t="s">
        <v>15</v>
      </c>
      <c r="E70" s="4" t="s">
        <v>16</v>
      </c>
      <c r="F70" s="4" t="s">
        <v>17</v>
      </c>
      <c r="G70" s="4" t="s">
        <v>11</v>
      </c>
      <c r="H70" s="4" t="s">
        <v>31</v>
      </c>
      <c r="I70" s="4" t="s">
        <v>23</v>
      </c>
      <c r="J70" s="5">
        <v>31.73</v>
      </c>
      <c r="K70" s="4">
        <v>9</v>
      </c>
      <c r="L70" s="6">
        <f t="shared" si="1"/>
        <v>285.57</v>
      </c>
    </row>
    <row r="71" spans="1:12" x14ac:dyDescent="0.25">
      <c r="A71" s="7">
        <v>44044</v>
      </c>
      <c r="B71" s="8">
        <v>0.6645833333333333</v>
      </c>
      <c r="C71" s="9" t="s">
        <v>95</v>
      </c>
      <c r="D71" s="9" t="s">
        <v>15</v>
      </c>
      <c r="E71" s="9" t="s">
        <v>16</v>
      </c>
      <c r="F71" s="9" t="s">
        <v>10</v>
      </c>
      <c r="G71" s="9" t="s">
        <v>11</v>
      </c>
      <c r="H71" s="9" t="s">
        <v>29</v>
      </c>
      <c r="I71" s="9" t="s">
        <v>13</v>
      </c>
      <c r="J71" s="10">
        <v>68.540000000000006</v>
      </c>
      <c r="K71" s="9">
        <v>8</v>
      </c>
      <c r="L71" s="11">
        <f t="shared" si="1"/>
        <v>548.32000000000005</v>
      </c>
    </row>
    <row r="72" spans="1:12" x14ac:dyDescent="0.25">
      <c r="A72" s="2">
        <v>44045</v>
      </c>
      <c r="B72" s="3">
        <v>0.46875</v>
      </c>
      <c r="C72" s="4" t="s">
        <v>96</v>
      </c>
      <c r="D72" s="4" t="s">
        <v>27</v>
      </c>
      <c r="E72" s="4" t="s">
        <v>28</v>
      </c>
      <c r="F72" s="4" t="s">
        <v>17</v>
      </c>
      <c r="G72" s="4" t="s">
        <v>11</v>
      </c>
      <c r="H72" s="4" t="s">
        <v>25</v>
      </c>
      <c r="I72" s="4" t="s">
        <v>13</v>
      </c>
      <c r="J72" s="5">
        <v>90.28</v>
      </c>
      <c r="K72" s="4">
        <v>9</v>
      </c>
      <c r="L72" s="6">
        <f t="shared" si="1"/>
        <v>812.52</v>
      </c>
    </row>
    <row r="73" spans="1:12" x14ac:dyDescent="0.25">
      <c r="A73" s="7">
        <v>43619</v>
      </c>
      <c r="B73" s="8">
        <v>0.8569444444444444</v>
      </c>
      <c r="C73" s="9" t="s">
        <v>97</v>
      </c>
      <c r="D73" s="9" t="s">
        <v>8</v>
      </c>
      <c r="E73" s="9" t="s">
        <v>9</v>
      </c>
      <c r="F73" s="9" t="s">
        <v>10</v>
      </c>
      <c r="G73" s="9" t="s">
        <v>11</v>
      </c>
      <c r="H73" s="9" t="s">
        <v>25</v>
      </c>
      <c r="I73" s="9" t="s">
        <v>19</v>
      </c>
      <c r="J73" s="10">
        <v>92.13</v>
      </c>
      <c r="K73" s="9">
        <v>6</v>
      </c>
      <c r="L73" s="11">
        <f t="shared" si="1"/>
        <v>552.78</v>
      </c>
    </row>
    <row r="74" spans="1:12" x14ac:dyDescent="0.25">
      <c r="A74" s="2">
        <v>43740</v>
      </c>
      <c r="B74" s="3">
        <v>0.77500000000000002</v>
      </c>
      <c r="C74" s="4" t="s">
        <v>98</v>
      </c>
      <c r="D74" s="4" t="s">
        <v>27</v>
      </c>
      <c r="E74" s="4" t="s">
        <v>28</v>
      </c>
      <c r="F74" s="4" t="s">
        <v>17</v>
      </c>
      <c r="G74" s="4" t="s">
        <v>11</v>
      </c>
      <c r="H74" s="4" t="s">
        <v>25</v>
      </c>
      <c r="I74" s="4" t="s">
        <v>19</v>
      </c>
      <c r="J74" s="5">
        <v>34.840000000000003</v>
      </c>
      <c r="K74" s="4">
        <v>4</v>
      </c>
      <c r="L74" s="6">
        <f t="shared" si="1"/>
        <v>139.36000000000001</v>
      </c>
    </row>
    <row r="75" spans="1:12" x14ac:dyDescent="0.25">
      <c r="A75" s="7">
        <v>44046</v>
      </c>
      <c r="B75" s="8">
        <v>0.69652777777777775</v>
      </c>
      <c r="C75" s="9" t="s">
        <v>99</v>
      </c>
      <c r="D75" s="9" t="s">
        <v>15</v>
      </c>
      <c r="E75" s="9" t="s">
        <v>16</v>
      </c>
      <c r="F75" s="9" t="s">
        <v>17</v>
      </c>
      <c r="G75" s="9" t="s">
        <v>11</v>
      </c>
      <c r="H75" s="9" t="s">
        <v>12</v>
      </c>
      <c r="I75" s="9" t="s">
        <v>13</v>
      </c>
      <c r="J75" s="10">
        <v>81.3</v>
      </c>
      <c r="K75" s="9">
        <v>6</v>
      </c>
      <c r="L75" s="11">
        <f t="shared" si="1"/>
        <v>487.79999999999995</v>
      </c>
    </row>
    <row r="76" spans="1:12" x14ac:dyDescent="0.25">
      <c r="A76" s="2">
        <v>43587</v>
      </c>
      <c r="B76" s="3">
        <v>0.83124999999999993</v>
      </c>
      <c r="C76" s="4" t="s">
        <v>100</v>
      </c>
      <c r="D76" s="4" t="s">
        <v>15</v>
      </c>
      <c r="E76" s="4" t="s">
        <v>16</v>
      </c>
      <c r="F76" s="4" t="s">
        <v>10</v>
      </c>
      <c r="G76" s="4" t="s">
        <v>11</v>
      </c>
      <c r="H76" s="4" t="s">
        <v>12</v>
      </c>
      <c r="I76" s="4" t="s">
        <v>19</v>
      </c>
      <c r="J76" s="5">
        <v>68.599999999999994</v>
      </c>
      <c r="K76" s="4">
        <v>10</v>
      </c>
      <c r="L76" s="6">
        <f t="shared" si="1"/>
        <v>686</v>
      </c>
    </row>
    <row r="77" spans="1:12" x14ac:dyDescent="0.25">
      <c r="A77" s="7">
        <v>43680</v>
      </c>
      <c r="B77" s="8">
        <v>0.71597222222222223</v>
      </c>
      <c r="C77" s="9" t="s">
        <v>101</v>
      </c>
      <c r="D77" s="9" t="s">
        <v>15</v>
      </c>
      <c r="E77" s="9" t="s">
        <v>16</v>
      </c>
      <c r="F77" s="9" t="s">
        <v>17</v>
      </c>
      <c r="G77" s="9" t="s">
        <v>11</v>
      </c>
      <c r="H77" s="9" t="s">
        <v>12</v>
      </c>
      <c r="I77" s="9" t="s">
        <v>23</v>
      </c>
      <c r="J77" s="10">
        <v>46.26</v>
      </c>
      <c r="K77" s="9">
        <v>6</v>
      </c>
      <c r="L77" s="11">
        <f t="shared" si="1"/>
        <v>277.56</v>
      </c>
    </row>
    <row r="78" spans="1:12" x14ac:dyDescent="0.25">
      <c r="A78" s="2">
        <v>43740</v>
      </c>
      <c r="B78" s="3">
        <v>0.51944444444444449</v>
      </c>
      <c r="C78" s="4" t="s">
        <v>102</v>
      </c>
      <c r="D78" s="4" t="s">
        <v>8</v>
      </c>
      <c r="E78" s="4" t="s">
        <v>9</v>
      </c>
      <c r="F78" s="4" t="s">
        <v>10</v>
      </c>
      <c r="G78" s="4" t="s">
        <v>11</v>
      </c>
      <c r="H78" s="4" t="s">
        <v>31</v>
      </c>
      <c r="I78" s="4" t="s">
        <v>13</v>
      </c>
      <c r="J78" s="5">
        <v>30.14</v>
      </c>
      <c r="K78" s="4">
        <v>10</v>
      </c>
      <c r="L78" s="6">
        <f t="shared" si="1"/>
        <v>301.39999999999998</v>
      </c>
    </row>
    <row r="79" spans="1:12" x14ac:dyDescent="0.25">
      <c r="A79" s="7">
        <v>43619</v>
      </c>
      <c r="B79" s="8">
        <v>0.62986111111111109</v>
      </c>
      <c r="C79" s="9" t="s">
        <v>103</v>
      </c>
      <c r="D79" s="9" t="s">
        <v>27</v>
      </c>
      <c r="E79" s="9" t="s">
        <v>28</v>
      </c>
      <c r="F79" s="9" t="s">
        <v>10</v>
      </c>
      <c r="G79" s="9" t="s">
        <v>21</v>
      </c>
      <c r="H79" s="9" t="s">
        <v>22</v>
      </c>
      <c r="I79" s="9" t="s">
        <v>23</v>
      </c>
      <c r="J79" s="10">
        <v>71.86</v>
      </c>
      <c r="K79" s="9">
        <v>8</v>
      </c>
      <c r="L79" s="11">
        <f t="shared" si="1"/>
        <v>574.88</v>
      </c>
    </row>
    <row r="80" spans="1:12" x14ac:dyDescent="0.25">
      <c r="A80" s="2">
        <v>43772</v>
      </c>
      <c r="B80" s="3">
        <v>0.67152777777777783</v>
      </c>
      <c r="C80" s="4" t="s">
        <v>104</v>
      </c>
      <c r="D80" s="4" t="s">
        <v>15</v>
      </c>
      <c r="E80" s="4" t="s">
        <v>16</v>
      </c>
      <c r="F80" s="4" t="s">
        <v>10</v>
      </c>
      <c r="G80" s="4" t="s">
        <v>21</v>
      </c>
      <c r="H80" s="4" t="s">
        <v>25</v>
      </c>
      <c r="I80" s="4" t="s">
        <v>23</v>
      </c>
      <c r="J80" s="5">
        <v>34.56</v>
      </c>
      <c r="K80" s="4">
        <v>7</v>
      </c>
      <c r="L80" s="6">
        <f t="shared" si="1"/>
        <v>241.92000000000002</v>
      </c>
    </row>
    <row r="81" spans="1:12" x14ac:dyDescent="0.25">
      <c r="A81" s="7">
        <v>43648</v>
      </c>
      <c r="B81" s="8">
        <v>0.76597222222222217</v>
      </c>
      <c r="C81" s="9" t="s">
        <v>105</v>
      </c>
      <c r="D81" s="9" t="s">
        <v>15</v>
      </c>
      <c r="E81" s="9" t="s">
        <v>16</v>
      </c>
      <c r="F81" s="9" t="s">
        <v>17</v>
      </c>
      <c r="G81" s="9" t="s">
        <v>11</v>
      </c>
      <c r="H81" s="9" t="s">
        <v>29</v>
      </c>
      <c r="I81" s="9" t="s">
        <v>13</v>
      </c>
      <c r="J81" s="10">
        <v>16.48</v>
      </c>
      <c r="K81" s="9">
        <v>6</v>
      </c>
      <c r="L81" s="11">
        <f t="shared" si="1"/>
        <v>98.88</v>
      </c>
    </row>
    <row r="82" spans="1:12" x14ac:dyDescent="0.25">
      <c r="A82" s="2">
        <v>43556</v>
      </c>
      <c r="B82" s="3">
        <v>0.81944444444444453</v>
      </c>
      <c r="C82" s="4" t="s">
        <v>106</v>
      </c>
      <c r="D82" s="4" t="s">
        <v>27</v>
      </c>
      <c r="E82" s="4" t="s">
        <v>28</v>
      </c>
      <c r="F82" s="4" t="s">
        <v>10</v>
      </c>
      <c r="G82" s="4" t="s">
        <v>21</v>
      </c>
      <c r="H82" s="4" t="s">
        <v>18</v>
      </c>
      <c r="I82" s="4" t="s">
        <v>19</v>
      </c>
      <c r="J82" s="5">
        <v>72.17</v>
      </c>
      <c r="K82" s="4">
        <v>1</v>
      </c>
      <c r="L82" s="6">
        <f t="shared" si="1"/>
        <v>72.17</v>
      </c>
    </row>
    <row r="83" spans="1:12" x14ac:dyDescent="0.25">
      <c r="A83" s="7">
        <v>44015</v>
      </c>
      <c r="B83" s="8">
        <v>0.58194444444444449</v>
      </c>
      <c r="C83" s="9" t="s">
        <v>107</v>
      </c>
      <c r="D83" s="9" t="s">
        <v>27</v>
      </c>
      <c r="E83" s="9" t="s">
        <v>28</v>
      </c>
      <c r="F83" s="9" t="s">
        <v>17</v>
      </c>
      <c r="G83" s="9" t="s">
        <v>21</v>
      </c>
      <c r="H83" s="9" t="s">
        <v>22</v>
      </c>
      <c r="I83" s="9" t="s">
        <v>13</v>
      </c>
      <c r="J83" s="10">
        <v>50.28</v>
      </c>
      <c r="K83" s="9">
        <v>5</v>
      </c>
      <c r="L83" s="11">
        <f t="shared" si="1"/>
        <v>251.4</v>
      </c>
    </row>
    <row r="84" spans="1:12" x14ac:dyDescent="0.25">
      <c r="A84" s="2">
        <v>43679</v>
      </c>
      <c r="B84" s="3">
        <v>0.68055555555555547</v>
      </c>
      <c r="C84" s="4" t="s">
        <v>108</v>
      </c>
      <c r="D84" s="4" t="s">
        <v>8</v>
      </c>
      <c r="E84" s="4" t="s">
        <v>9</v>
      </c>
      <c r="F84" s="4" t="s">
        <v>17</v>
      </c>
      <c r="G84" s="4" t="s">
        <v>21</v>
      </c>
      <c r="H84" s="4" t="s">
        <v>31</v>
      </c>
      <c r="I84" s="4" t="s">
        <v>23</v>
      </c>
      <c r="J84" s="5">
        <v>98.98</v>
      </c>
      <c r="K84" s="4">
        <v>10</v>
      </c>
      <c r="L84" s="6">
        <f t="shared" si="1"/>
        <v>989.80000000000007</v>
      </c>
    </row>
    <row r="85" spans="1:12" x14ac:dyDescent="0.25">
      <c r="A85" s="7">
        <v>43467</v>
      </c>
      <c r="B85" s="8">
        <v>0.63194444444444442</v>
      </c>
      <c r="C85" s="9" t="s">
        <v>109</v>
      </c>
      <c r="D85" s="9" t="s">
        <v>8</v>
      </c>
      <c r="E85" s="9" t="s">
        <v>9</v>
      </c>
      <c r="F85" s="9" t="s">
        <v>10</v>
      </c>
      <c r="G85" s="9" t="s">
        <v>21</v>
      </c>
      <c r="H85" s="9" t="s">
        <v>25</v>
      </c>
      <c r="I85" s="9" t="s">
        <v>23</v>
      </c>
      <c r="J85" s="10">
        <v>69.52</v>
      </c>
      <c r="K85" s="9">
        <v>7</v>
      </c>
      <c r="L85" s="11">
        <f t="shared" si="1"/>
        <v>486.64</v>
      </c>
    </row>
    <row r="86" spans="1:12" x14ac:dyDescent="0.25">
      <c r="A86" s="2">
        <v>43891</v>
      </c>
      <c r="B86" s="3">
        <v>0.48333333333333334</v>
      </c>
      <c r="C86" s="4" t="s">
        <v>110</v>
      </c>
      <c r="D86" s="4" t="s">
        <v>8</v>
      </c>
      <c r="E86" s="4" t="s">
        <v>9</v>
      </c>
      <c r="F86" s="4" t="s">
        <v>17</v>
      </c>
      <c r="G86" s="4" t="s">
        <v>21</v>
      </c>
      <c r="H86" s="4" t="s">
        <v>12</v>
      </c>
      <c r="I86" s="4" t="s">
        <v>13</v>
      </c>
      <c r="J86" s="5">
        <v>70.010000000000005</v>
      </c>
      <c r="K86" s="4">
        <v>5</v>
      </c>
      <c r="L86" s="6">
        <f t="shared" si="1"/>
        <v>350.05</v>
      </c>
    </row>
    <row r="87" spans="1:12" x14ac:dyDescent="0.25">
      <c r="A87" s="7">
        <v>43527</v>
      </c>
      <c r="B87" s="8">
        <v>0.80347222222222225</v>
      </c>
      <c r="C87" s="9" t="s">
        <v>111</v>
      </c>
      <c r="D87" s="9" t="s">
        <v>15</v>
      </c>
      <c r="E87" s="9" t="s">
        <v>16</v>
      </c>
      <c r="F87" s="9" t="s">
        <v>17</v>
      </c>
      <c r="G87" s="9" t="s">
        <v>21</v>
      </c>
      <c r="H87" s="9" t="s">
        <v>18</v>
      </c>
      <c r="I87" s="9" t="s">
        <v>19</v>
      </c>
      <c r="J87" s="10">
        <v>20.85</v>
      </c>
      <c r="K87" s="9">
        <v>8</v>
      </c>
      <c r="L87" s="11">
        <f t="shared" si="1"/>
        <v>166.8</v>
      </c>
    </row>
    <row r="88" spans="1:12" x14ac:dyDescent="0.25">
      <c r="A88" s="2">
        <v>43527</v>
      </c>
      <c r="B88" s="3">
        <v>0.7090277777777777</v>
      </c>
      <c r="C88" s="4" t="s">
        <v>112</v>
      </c>
      <c r="D88" s="4" t="s">
        <v>8</v>
      </c>
      <c r="E88" s="4" t="s">
        <v>9</v>
      </c>
      <c r="F88" s="4" t="s">
        <v>10</v>
      </c>
      <c r="G88" s="4" t="s">
        <v>21</v>
      </c>
      <c r="H88" s="4" t="s">
        <v>29</v>
      </c>
      <c r="I88" s="4" t="s">
        <v>23</v>
      </c>
      <c r="J88" s="5">
        <v>22.17</v>
      </c>
      <c r="K88" s="4">
        <v>8</v>
      </c>
      <c r="L88" s="6">
        <f t="shared" si="1"/>
        <v>177.36</v>
      </c>
    </row>
    <row r="89" spans="1:12" x14ac:dyDescent="0.25">
      <c r="A89" s="7">
        <v>43710</v>
      </c>
      <c r="B89" s="8">
        <v>0.41666666666666669</v>
      </c>
      <c r="C89" s="9" t="s">
        <v>113</v>
      </c>
      <c r="D89" s="9" t="s">
        <v>15</v>
      </c>
      <c r="E89" s="9" t="s">
        <v>16</v>
      </c>
      <c r="F89" s="9" t="s">
        <v>17</v>
      </c>
      <c r="G89" s="9" t="s">
        <v>21</v>
      </c>
      <c r="H89" s="9" t="s">
        <v>31</v>
      </c>
      <c r="I89" s="9" t="s">
        <v>19</v>
      </c>
      <c r="J89" s="10">
        <v>64.260000000000005</v>
      </c>
      <c r="K89" s="9">
        <v>7</v>
      </c>
      <c r="L89" s="11">
        <f t="shared" si="1"/>
        <v>449.82000000000005</v>
      </c>
    </row>
    <row r="90" spans="1:12" x14ac:dyDescent="0.25">
      <c r="A90" s="2">
        <v>43558</v>
      </c>
      <c r="B90" s="3">
        <v>0.47152777777777777</v>
      </c>
      <c r="C90" s="4" t="s">
        <v>114</v>
      </c>
      <c r="D90" s="4" t="s">
        <v>8</v>
      </c>
      <c r="E90" s="4" t="s">
        <v>9</v>
      </c>
      <c r="F90" s="4" t="s">
        <v>17</v>
      </c>
      <c r="G90" s="4" t="s">
        <v>11</v>
      </c>
      <c r="H90" s="4" t="s">
        <v>25</v>
      </c>
      <c r="I90" s="4" t="s">
        <v>23</v>
      </c>
      <c r="J90" s="5">
        <v>12754</v>
      </c>
      <c r="K90" s="4">
        <v>7</v>
      </c>
      <c r="L90" s="6">
        <f t="shared" si="1"/>
        <v>89278</v>
      </c>
    </row>
    <row r="91" spans="1:12" x14ac:dyDescent="0.25">
      <c r="A91" s="7">
        <v>43954</v>
      </c>
      <c r="B91" s="8">
        <v>0.82361111111111107</v>
      </c>
      <c r="C91" s="9" t="s">
        <v>115</v>
      </c>
      <c r="D91" s="9" t="s">
        <v>27</v>
      </c>
      <c r="E91" s="9" t="s">
        <v>28</v>
      </c>
      <c r="F91" s="9" t="s">
        <v>10</v>
      </c>
      <c r="G91" s="9" t="s">
        <v>21</v>
      </c>
      <c r="H91" s="9" t="s">
        <v>29</v>
      </c>
      <c r="I91" s="9" t="s">
        <v>13</v>
      </c>
      <c r="J91" s="10">
        <v>44426</v>
      </c>
      <c r="K91" s="9">
        <v>3</v>
      </c>
      <c r="L91" s="11">
        <f t="shared" si="1"/>
        <v>133278</v>
      </c>
    </row>
    <row r="92" spans="1:12" x14ac:dyDescent="0.25">
      <c r="A92" s="2">
        <v>43893</v>
      </c>
      <c r="B92" s="3">
        <v>0.79166666666666663</v>
      </c>
      <c r="C92" s="4" t="s">
        <v>116</v>
      </c>
      <c r="D92" s="4" t="s">
        <v>27</v>
      </c>
      <c r="E92" s="4" t="s">
        <v>28</v>
      </c>
      <c r="F92" s="4" t="s">
        <v>10</v>
      </c>
      <c r="G92" s="4" t="s">
        <v>11</v>
      </c>
      <c r="H92" s="4" t="s">
        <v>22</v>
      </c>
      <c r="I92" s="4" t="s">
        <v>13</v>
      </c>
      <c r="J92" s="5">
        <v>94.49</v>
      </c>
      <c r="K92" s="4">
        <v>8</v>
      </c>
      <c r="L92" s="6">
        <f t="shared" si="1"/>
        <v>755.92</v>
      </c>
    </row>
    <row r="93" spans="1:12" x14ac:dyDescent="0.25">
      <c r="A93" s="7">
        <v>44045</v>
      </c>
      <c r="B93" s="8">
        <v>0.45347222222222222</v>
      </c>
      <c r="C93" s="9" t="s">
        <v>117</v>
      </c>
      <c r="D93" s="9" t="s">
        <v>27</v>
      </c>
      <c r="E93" s="9" t="s">
        <v>28</v>
      </c>
      <c r="F93" s="9" t="s">
        <v>10</v>
      </c>
      <c r="G93" s="9" t="s">
        <v>21</v>
      </c>
      <c r="H93" s="9" t="s">
        <v>22</v>
      </c>
      <c r="I93" s="9" t="s">
        <v>19</v>
      </c>
      <c r="J93" s="10">
        <v>46.47</v>
      </c>
      <c r="K93" s="9">
        <v>4</v>
      </c>
      <c r="L93" s="11">
        <f t="shared" si="1"/>
        <v>185.88</v>
      </c>
    </row>
    <row r="94" spans="1:12" x14ac:dyDescent="0.25">
      <c r="A94" s="2">
        <v>44106</v>
      </c>
      <c r="B94" s="3">
        <v>0.53472222222222221</v>
      </c>
      <c r="C94" s="4" t="s">
        <v>118</v>
      </c>
      <c r="D94" s="4" t="s">
        <v>8</v>
      </c>
      <c r="E94" s="4" t="s">
        <v>9</v>
      </c>
      <c r="F94" s="4" t="s">
        <v>17</v>
      </c>
      <c r="G94" s="4" t="s">
        <v>21</v>
      </c>
      <c r="H94" s="4" t="s">
        <v>22</v>
      </c>
      <c r="I94" s="4" t="s">
        <v>13</v>
      </c>
      <c r="J94" s="5">
        <v>74.069999999999993</v>
      </c>
      <c r="K94" s="4">
        <v>1</v>
      </c>
      <c r="L94" s="6">
        <f t="shared" si="1"/>
        <v>74.069999999999993</v>
      </c>
    </row>
    <row r="95" spans="1:12" x14ac:dyDescent="0.25">
      <c r="A95" s="7">
        <v>44137</v>
      </c>
      <c r="B95" s="8">
        <v>0.44375000000000003</v>
      </c>
      <c r="C95" s="9" t="s">
        <v>119</v>
      </c>
      <c r="D95" s="9" t="s">
        <v>27</v>
      </c>
      <c r="E95" s="9" t="s">
        <v>28</v>
      </c>
      <c r="F95" s="9" t="s">
        <v>17</v>
      </c>
      <c r="G95" s="9" t="s">
        <v>11</v>
      </c>
      <c r="H95" s="9" t="s">
        <v>22</v>
      </c>
      <c r="I95" s="9" t="s">
        <v>23</v>
      </c>
      <c r="J95" s="10">
        <v>77.040000000000006</v>
      </c>
      <c r="K95" s="9">
        <v>3</v>
      </c>
      <c r="L95" s="11">
        <f t="shared" si="1"/>
        <v>231.12</v>
      </c>
    </row>
    <row r="96" spans="1:12" x14ac:dyDescent="0.25">
      <c r="A96" s="2">
        <v>44168</v>
      </c>
      <c r="B96" s="3">
        <v>0.83194444444444438</v>
      </c>
      <c r="C96" s="4" t="s">
        <v>120</v>
      </c>
      <c r="D96" s="4" t="s">
        <v>15</v>
      </c>
      <c r="E96" s="4" t="s">
        <v>16</v>
      </c>
      <c r="F96" s="4" t="s">
        <v>17</v>
      </c>
      <c r="G96" s="4" t="s">
        <v>21</v>
      </c>
      <c r="H96" s="4" t="s">
        <v>12</v>
      </c>
      <c r="I96" s="4" t="s">
        <v>23</v>
      </c>
      <c r="J96" s="5">
        <v>41.5</v>
      </c>
      <c r="K96" s="4">
        <v>4</v>
      </c>
      <c r="L96" s="6">
        <f t="shared" si="1"/>
        <v>166</v>
      </c>
    </row>
    <row r="97" spans="1:12" x14ac:dyDescent="0.25">
      <c r="A97" s="7">
        <v>43984</v>
      </c>
      <c r="B97" s="8">
        <v>0.61875000000000002</v>
      </c>
      <c r="C97" s="9" t="s">
        <v>121</v>
      </c>
      <c r="D97" s="9" t="s">
        <v>27</v>
      </c>
      <c r="E97" s="9" t="s">
        <v>28</v>
      </c>
      <c r="F97" s="9" t="s">
        <v>10</v>
      </c>
      <c r="G97" s="9" t="s">
        <v>21</v>
      </c>
      <c r="H97" s="9" t="s">
        <v>12</v>
      </c>
      <c r="I97" s="9" t="s">
        <v>13</v>
      </c>
      <c r="J97" s="10">
        <v>44464</v>
      </c>
      <c r="K97" s="9">
        <v>10</v>
      </c>
      <c r="L97" s="11">
        <f t="shared" si="1"/>
        <v>444640</v>
      </c>
    </row>
    <row r="98" spans="1:12" x14ac:dyDescent="0.25">
      <c r="A98" s="2">
        <v>43891</v>
      </c>
      <c r="B98" s="3">
        <v>0.50138888888888888</v>
      </c>
      <c r="C98" s="4" t="s">
        <v>122</v>
      </c>
      <c r="D98" s="4" t="s">
        <v>8</v>
      </c>
      <c r="E98" s="4" t="s">
        <v>9</v>
      </c>
      <c r="F98" s="4" t="s">
        <v>17</v>
      </c>
      <c r="G98" s="4" t="s">
        <v>11</v>
      </c>
      <c r="H98" s="4" t="s">
        <v>12</v>
      </c>
      <c r="I98" s="4" t="s">
        <v>13</v>
      </c>
      <c r="J98" s="5">
        <v>44278</v>
      </c>
      <c r="K98" s="4">
        <v>9</v>
      </c>
      <c r="L98" s="6">
        <f t="shared" si="1"/>
        <v>398502</v>
      </c>
    </row>
    <row r="99" spans="1:12" x14ac:dyDescent="0.25">
      <c r="A99" s="7">
        <v>43556</v>
      </c>
      <c r="B99" s="8">
        <v>0.7631944444444444</v>
      </c>
      <c r="C99" s="9" t="s">
        <v>123</v>
      </c>
      <c r="D99" s="9" t="s">
        <v>15</v>
      </c>
      <c r="E99" s="9" t="s">
        <v>16</v>
      </c>
      <c r="F99" s="9" t="s">
        <v>10</v>
      </c>
      <c r="G99" s="9" t="s">
        <v>11</v>
      </c>
      <c r="H99" s="9" t="s">
        <v>18</v>
      </c>
      <c r="I99" s="9" t="s">
        <v>23</v>
      </c>
      <c r="J99" s="10">
        <v>66.650000000000006</v>
      </c>
      <c r="K99" s="9">
        <v>9</v>
      </c>
      <c r="L99" s="11">
        <f t="shared" si="1"/>
        <v>599.85</v>
      </c>
    </row>
    <row r="100" spans="1:12" x14ac:dyDescent="0.25">
      <c r="A100" s="2">
        <v>43499</v>
      </c>
      <c r="B100" s="3">
        <v>0.8208333333333333</v>
      </c>
      <c r="C100" s="4" t="s">
        <v>124</v>
      </c>
      <c r="D100" s="4" t="s">
        <v>27</v>
      </c>
      <c r="E100" s="4" t="s">
        <v>28</v>
      </c>
      <c r="F100" s="4" t="s">
        <v>17</v>
      </c>
      <c r="G100" s="4" t="s">
        <v>11</v>
      </c>
      <c r="H100" s="4" t="s">
        <v>18</v>
      </c>
      <c r="I100" s="4" t="s">
        <v>23</v>
      </c>
      <c r="J100" s="5">
        <v>99.73</v>
      </c>
      <c r="K100" s="4">
        <v>9</v>
      </c>
      <c r="L100" s="6">
        <f t="shared" si="1"/>
        <v>897.57</v>
      </c>
    </row>
    <row r="101" spans="1:12" x14ac:dyDescent="0.25">
      <c r="A101" s="7">
        <v>43556</v>
      </c>
      <c r="B101" s="8">
        <v>0.55833333333333335</v>
      </c>
      <c r="C101" s="9" t="s">
        <v>125</v>
      </c>
      <c r="D101" s="9" t="s">
        <v>27</v>
      </c>
      <c r="E101" s="9" t="s">
        <v>28</v>
      </c>
      <c r="F101" s="9" t="s">
        <v>17</v>
      </c>
      <c r="G101" s="9" t="s">
        <v>21</v>
      </c>
      <c r="H101" s="9" t="s">
        <v>25</v>
      </c>
      <c r="I101" s="9" t="s">
        <v>23</v>
      </c>
      <c r="J101" s="10">
        <v>46.42</v>
      </c>
      <c r="K101" s="9">
        <v>3</v>
      </c>
      <c r="L101" s="11">
        <f t="shared" si="1"/>
        <v>139.26</v>
      </c>
    </row>
    <row r="102" spans="1:12" x14ac:dyDescent="0.25">
      <c r="A102" s="2">
        <v>43772</v>
      </c>
      <c r="B102" s="3">
        <v>0.66180555555555554</v>
      </c>
      <c r="C102" s="4" t="s">
        <v>126</v>
      </c>
      <c r="D102" s="4" t="s">
        <v>27</v>
      </c>
      <c r="E102" s="4" t="s">
        <v>28</v>
      </c>
      <c r="F102" s="4" t="s">
        <v>10</v>
      </c>
      <c r="G102" s="4" t="s">
        <v>11</v>
      </c>
      <c r="H102" s="4" t="s">
        <v>25</v>
      </c>
      <c r="I102" s="4" t="s">
        <v>19</v>
      </c>
      <c r="J102" s="5">
        <v>29.61</v>
      </c>
      <c r="K102" s="4">
        <v>7</v>
      </c>
      <c r="L102" s="6">
        <f t="shared" si="1"/>
        <v>207.26999999999998</v>
      </c>
    </row>
    <row r="103" spans="1:12" x14ac:dyDescent="0.25">
      <c r="A103" s="7">
        <v>43801</v>
      </c>
      <c r="B103" s="8">
        <v>0.54027777777777775</v>
      </c>
      <c r="C103" s="9" t="s">
        <v>127</v>
      </c>
      <c r="D103" s="9" t="s">
        <v>27</v>
      </c>
      <c r="E103" s="9" t="s">
        <v>28</v>
      </c>
      <c r="F103" s="9" t="s">
        <v>17</v>
      </c>
      <c r="G103" s="9" t="s">
        <v>21</v>
      </c>
      <c r="H103" s="9" t="s">
        <v>31</v>
      </c>
      <c r="I103" s="9" t="s">
        <v>13</v>
      </c>
      <c r="J103" s="10">
        <v>94.87</v>
      </c>
      <c r="K103" s="9">
        <v>8</v>
      </c>
      <c r="L103" s="11">
        <f t="shared" si="1"/>
        <v>758.96</v>
      </c>
    </row>
    <row r="104" spans="1:12" x14ac:dyDescent="0.25">
      <c r="A104" s="2">
        <v>43741</v>
      </c>
      <c r="B104" s="3">
        <v>0.7909722222222223</v>
      </c>
      <c r="C104" s="4" t="s">
        <v>128</v>
      </c>
      <c r="D104" s="4" t="s">
        <v>27</v>
      </c>
      <c r="E104" s="4" t="s">
        <v>28</v>
      </c>
      <c r="F104" s="4" t="s">
        <v>17</v>
      </c>
      <c r="G104" s="4" t="s">
        <v>11</v>
      </c>
      <c r="H104" s="4" t="s">
        <v>29</v>
      </c>
      <c r="I104" s="4" t="s">
        <v>23</v>
      </c>
      <c r="J104" s="5">
        <v>57.34</v>
      </c>
      <c r="K104" s="4">
        <v>3</v>
      </c>
      <c r="L104" s="6">
        <f t="shared" si="1"/>
        <v>172.02</v>
      </c>
    </row>
    <row r="105" spans="1:12" x14ac:dyDescent="0.25">
      <c r="A105" s="7">
        <v>43619</v>
      </c>
      <c r="B105" s="8">
        <v>0.57361111111111118</v>
      </c>
      <c r="C105" s="9" t="s">
        <v>129</v>
      </c>
      <c r="D105" s="9" t="s">
        <v>27</v>
      </c>
      <c r="E105" s="9" t="s">
        <v>28</v>
      </c>
      <c r="F105" s="9" t="s">
        <v>17</v>
      </c>
      <c r="G105" s="9" t="s">
        <v>21</v>
      </c>
      <c r="H105" s="9" t="s">
        <v>29</v>
      </c>
      <c r="I105" s="9" t="s">
        <v>13</v>
      </c>
      <c r="J105" s="10">
        <v>62.08</v>
      </c>
      <c r="K105" s="9">
        <v>7</v>
      </c>
      <c r="L105" s="11">
        <f t="shared" si="1"/>
        <v>434.56</v>
      </c>
    </row>
    <row r="106" spans="1:12" x14ac:dyDescent="0.25">
      <c r="A106" s="2">
        <v>43770</v>
      </c>
      <c r="B106" s="3">
        <v>0.60347222222222219</v>
      </c>
      <c r="C106" s="4" t="s">
        <v>130</v>
      </c>
      <c r="D106" s="4" t="s">
        <v>15</v>
      </c>
      <c r="E106" s="4" t="s">
        <v>16</v>
      </c>
      <c r="F106" s="4" t="s">
        <v>10</v>
      </c>
      <c r="G106" s="4" t="s">
        <v>11</v>
      </c>
      <c r="H106" s="4" t="s">
        <v>25</v>
      </c>
      <c r="I106" s="4" t="s">
        <v>23</v>
      </c>
      <c r="J106" s="5">
        <v>87.16</v>
      </c>
      <c r="K106" s="4">
        <v>2</v>
      </c>
      <c r="L106" s="6">
        <f t="shared" si="1"/>
        <v>174.32</v>
      </c>
    </row>
    <row r="107" spans="1:12" x14ac:dyDescent="0.25">
      <c r="A107" s="7">
        <v>43772</v>
      </c>
      <c r="B107" s="8">
        <v>0.53819444444444442</v>
      </c>
      <c r="C107" s="9" t="s">
        <v>131</v>
      </c>
      <c r="D107" s="9" t="s">
        <v>8</v>
      </c>
      <c r="E107" s="9" t="s">
        <v>9</v>
      </c>
      <c r="F107" s="9" t="s">
        <v>17</v>
      </c>
      <c r="G107" s="9" t="s">
        <v>11</v>
      </c>
      <c r="H107" s="9" t="s">
        <v>22</v>
      </c>
      <c r="I107" s="9" t="s">
        <v>13</v>
      </c>
      <c r="J107" s="10">
        <v>63.42</v>
      </c>
      <c r="K107" s="9">
        <v>8</v>
      </c>
      <c r="L107" s="11">
        <f t="shared" si="1"/>
        <v>507.36</v>
      </c>
    </row>
    <row r="108" spans="1:12" x14ac:dyDescent="0.25">
      <c r="A108" s="2">
        <v>43802</v>
      </c>
      <c r="B108" s="3">
        <v>0.57777777777777783</v>
      </c>
      <c r="C108" s="4" t="s">
        <v>132</v>
      </c>
      <c r="D108" s="4" t="s">
        <v>27</v>
      </c>
      <c r="E108" s="4" t="s">
        <v>28</v>
      </c>
      <c r="F108" s="4" t="s">
        <v>10</v>
      </c>
      <c r="G108" s="4" t="s">
        <v>11</v>
      </c>
      <c r="H108" s="4" t="s">
        <v>18</v>
      </c>
      <c r="I108" s="4" t="s">
        <v>23</v>
      </c>
      <c r="J108" s="5">
        <v>21824</v>
      </c>
      <c r="K108" s="4">
        <v>3</v>
      </c>
      <c r="L108" s="6">
        <f t="shared" si="1"/>
        <v>65472</v>
      </c>
    </row>
    <row r="109" spans="1:12" x14ac:dyDescent="0.25">
      <c r="A109" s="7">
        <v>43771</v>
      </c>
      <c r="B109" s="8">
        <v>0.45416666666666666</v>
      </c>
      <c r="C109" s="9" t="s">
        <v>133</v>
      </c>
      <c r="D109" s="9" t="s">
        <v>27</v>
      </c>
      <c r="E109" s="9" t="s">
        <v>28</v>
      </c>
      <c r="F109" s="9" t="s">
        <v>17</v>
      </c>
      <c r="G109" s="9" t="s">
        <v>11</v>
      </c>
      <c r="H109" s="9" t="s">
        <v>12</v>
      </c>
      <c r="I109" s="9" t="s">
        <v>19</v>
      </c>
      <c r="J109" s="10">
        <v>84.09</v>
      </c>
      <c r="K109" s="9">
        <v>9</v>
      </c>
      <c r="L109" s="11">
        <f t="shared" si="1"/>
        <v>756.81000000000006</v>
      </c>
    </row>
    <row r="110" spans="1:12" x14ac:dyDescent="0.25">
      <c r="A110" s="2">
        <v>43711</v>
      </c>
      <c r="B110" s="3">
        <v>0.76666666666666661</v>
      </c>
      <c r="C110" s="4" t="s">
        <v>134</v>
      </c>
      <c r="D110" s="4" t="s">
        <v>8</v>
      </c>
      <c r="E110" s="4" t="s">
        <v>9</v>
      </c>
      <c r="F110" s="4" t="s">
        <v>10</v>
      </c>
      <c r="G110" s="4" t="s">
        <v>21</v>
      </c>
      <c r="H110" s="4" t="s">
        <v>12</v>
      </c>
      <c r="I110" s="4" t="s">
        <v>13</v>
      </c>
      <c r="J110" s="5">
        <v>51.94</v>
      </c>
      <c r="K110" s="4">
        <v>10</v>
      </c>
      <c r="L110" s="6">
        <f t="shared" si="1"/>
        <v>519.4</v>
      </c>
    </row>
    <row r="111" spans="1:12" x14ac:dyDescent="0.25">
      <c r="A111" s="7">
        <v>43588</v>
      </c>
      <c r="B111" s="8">
        <v>0.71319444444444446</v>
      </c>
      <c r="C111" s="9" t="s">
        <v>135</v>
      </c>
      <c r="D111" s="9" t="s">
        <v>15</v>
      </c>
      <c r="E111" s="9" t="s">
        <v>16</v>
      </c>
      <c r="F111" s="9" t="s">
        <v>10</v>
      </c>
      <c r="G111" s="9" t="s">
        <v>11</v>
      </c>
      <c r="H111" s="9" t="s">
        <v>31</v>
      </c>
      <c r="I111" s="9" t="s">
        <v>23</v>
      </c>
      <c r="J111" s="10">
        <v>44.22</v>
      </c>
      <c r="K111" s="9">
        <v>5</v>
      </c>
      <c r="L111" s="11">
        <f t="shared" si="1"/>
        <v>221.1</v>
      </c>
    </row>
    <row r="112" spans="1:12" x14ac:dyDescent="0.25">
      <c r="A112" s="2">
        <v>43864</v>
      </c>
      <c r="B112" s="3">
        <v>0.80972222222222223</v>
      </c>
      <c r="C112" s="4" t="s">
        <v>136</v>
      </c>
      <c r="D112" s="4" t="s">
        <v>27</v>
      </c>
      <c r="E112" s="4" t="s">
        <v>28</v>
      </c>
      <c r="F112" s="4" t="s">
        <v>10</v>
      </c>
      <c r="G112" s="4" t="s">
        <v>11</v>
      </c>
      <c r="H112" s="4" t="s">
        <v>18</v>
      </c>
      <c r="I112" s="4" t="s">
        <v>19</v>
      </c>
      <c r="J112" s="5">
        <v>13.22</v>
      </c>
      <c r="K112" s="4">
        <v>5</v>
      </c>
      <c r="L112" s="6">
        <f t="shared" si="1"/>
        <v>66.100000000000009</v>
      </c>
    </row>
    <row r="113" spans="1:12" x14ac:dyDescent="0.25">
      <c r="A113" s="7">
        <v>44136</v>
      </c>
      <c r="B113" s="8">
        <v>0.47222222222222227</v>
      </c>
      <c r="C113" s="9" t="s">
        <v>137</v>
      </c>
      <c r="D113" s="9" t="s">
        <v>8</v>
      </c>
      <c r="E113" s="9" t="s">
        <v>9</v>
      </c>
      <c r="F113" s="9" t="s">
        <v>17</v>
      </c>
      <c r="G113" s="9" t="s">
        <v>21</v>
      </c>
      <c r="H113" s="9" t="s">
        <v>31</v>
      </c>
      <c r="I113" s="9" t="s">
        <v>13</v>
      </c>
      <c r="J113" s="10">
        <v>89.69</v>
      </c>
      <c r="K113" s="9">
        <v>1</v>
      </c>
      <c r="L113" s="11">
        <f t="shared" si="1"/>
        <v>89.69</v>
      </c>
    </row>
    <row r="114" spans="1:12" x14ac:dyDescent="0.25">
      <c r="A114" s="2">
        <v>44136</v>
      </c>
      <c r="B114" s="3">
        <v>0.7006944444444444</v>
      </c>
      <c r="C114" s="4" t="s">
        <v>138</v>
      </c>
      <c r="D114" s="4" t="s">
        <v>8</v>
      </c>
      <c r="E114" s="4" t="s">
        <v>9</v>
      </c>
      <c r="F114" s="4" t="s">
        <v>17</v>
      </c>
      <c r="G114" s="4" t="s">
        <v>21</v>
      </c>
      <c r="H114" s="4" t="s">
        <v>29</v>
      </c>
      <c r="I114" s="4" t="s">
        <v>23</v>
      </c>
      <c r="J114" s="5">
        <v>24.94</v>
      </c>
      <c r="K114" s="4">
        <v>9</v>
      </c>
      <c r="L114" s="6">
        <f t="shared" si="1"/>
        <v>224.46</v>
      </c>
    </row>
    <row r="115" spans="1:12" x14ac:dyDescent="0.25">
      <c r="A115" s="7">
        <v>44138</v>
      </c>
      <c r="B115" s="8">
        <v>0.50069444444444444</v>
      </c>
      <c r="C115" s="9" t="s">
        <v>139</v>
      </c>
      <c r="D115" s="9" t="s">
        <v>8</v>
      </c>
      <c r="E115" s="9" t="s">
        <v>9</v>
      </c>
      <c r="F115" s="9" t="s">
        <v>17</v>
      </c>
      <c r="G115" s="9" t="s">
        <v>21</v>
      </c>
      <c r="H115" s="9" t="s">
        <v>12</v>
      </c>
      <c r="I115" s="9" t="s">
        <v>23</v>
      </c>
      <c r="J115" s="10">
        <v>59.77</v>
      </c>
      <c r="K115" s="9">
        <v>2</v>
      </c>
      <c r="L115" s="11">
        <f t="shared" si="1"/>
        <v>119.54</v>
      </c>
    </row>
    <row r="116" spans="1:12" x14ac:dyDescent="0.25">
      <c r="A116" s="2">
        <v>43586</v>
      </c>
      <c r="B116" s="3">
        <v>0.47569444444444442</v>
      </c>
      <c r="C116" s="4" t="s">
        <v>140</v>
      </c>
      <c r="D116" s="4" t="s">
        <v>8</v>
      </c>
      <c r="E116" s="4" t="s">
        <v>9</v>
      </c>
      <c r="F116" s="4" t="s">
        <v>10</v>
      </c>
      <c r="G116" s="4" t="s">
        <v>21</v>
      </c>
      <c r="H116" s="4" t="s">
        <v>22</v>
      </c>
      <c r="I116" s="4" t="s">
        <v>19</v>
      </c>
      <c r="J116" s="5">
        <v>62.65</v>
      </c>
      <c r="K116" s="4">
        <v>4</v>
      </c>
      <c r="L116" s="6">
        <f t="shared" si="1"/>
        <v>250.6</v>
      </c>
    </row>
    <row r="117" spans="1:12" x14ac:dyDescent="0.25">
      <c r="A117" s="7">
        <v>43498</v>
      </c>
      <c r="B117" s="8">
        <v>0.77916666666666667</v>
      </c>
      <c r="C117" s="9" t="s">
        <v>141</v>
      </c>
      <c r="D117" s="9" t="s">
        <v>27</v>
      </c>
      <c r="E117" s="9" t="s">
        <v>28</v>
      </c>
      <c r="F117" s="9" t="s">
        <v>17</v>
      </c>
      <c r="G117" s="9" t="s">
        <v>21</v>
      </c>
      <c r="H117" s="9" t="s">
        <v>22</v>
      </c>
      <c r="I117" s="9" t="s">
        <v>23</v>
      </c>
      <c r="J117" s="10">
        <v>93.87</v>
      </c>
      <c r="K117" s="9">
        <v>8</v>
      </c>
      <c r="L117" s="11">
        <f t="shared" si="1"/>
        <v>750.96</v>
      </c>
    </row>
    <row r="118" spans="1:12" x14ac:dyDescent="0.25">
      <c r="A118" s="2">
        <v>43466</v>
      </c>
      <c r="B118" s="3">
        <v>0.61597222222222225</v>
      </c>
      <c r="C118" s="4" t="s">
        <v>142</v>
      </c>
      <c r="D118" s="4" t="s">
        <v>8</v>
      </c>
      <c r="E118" s="4" t="s">
        <v>9</v>
      </c>
      <c r="F118" s="4" t="s">
        <v>10</v>
      </c>
      <c r="G118" s="4" t="s">
        <v>21</v>
      </c>
      <c r="H118" s="4" t="s">
        <v>22</v>
      </c>
      <c r="I118" s="4" t="s">
        <v>19</v>
      </c>
      <c r="J118" s="5">
        <v>47.59</v>
      </c>
      <c r="K118" s="4">
        <v>8</v>
      </c>
      <c r="L118" s="6">
        <f t="shared" si="1"/>
        <v>380.72</v>
      </c>
    </row>
    <row r="119" spans="1:12" x14ac:dyDescent="0.25">
      <c r="A119" s="7">
        <v>43710</v>
      </c>
      <c r="B119" s="8">
        <v>0.82152777777777775</v>
      </c>
      <c r="C119" s="9" t="s">
        <v>143</v>
      </c>
      <c r="D119" s="9" t="s">
        <v>27</v>
      </c>
      <c r="E119" s="9" t="s">
        <v>28</v>
      </c>
      <c r="F119" s="9" t="s">
        <v>10</v>
      </c>
      <c r="G119" s="9" t="s">
        <v>11</v>
      </c>
      <c r="H119" s="9" t="s">
        <v>18</v>
      </c>
      <c r="I119" s="9" t="s">
        <v>19</v>
      </c>
      <c r="J119" s="10">
        <v>81.400000000000006</v>
      </c>
      <c r="K119" s="9">
        <v>3</v>
      </c>
      <c r="L119" s="11">
        <f t="shared" si="1"/>
        <v>244.20000000000002</v>
      </c>
    </row>
    <row r="120" spans="1:12" x14ac:dyDescent="0.25">
      <c r="A120" s="2">
        <v>43647</v>
      </c>
      <c r="B120" s="3">
        <v>0.6743055555555556</v>
      </c>
      <c r="C120" s="4" t="s">
        <v>144</v>
      </c>
      <c r="D120" s="4" t="s">
        <v>8</v>
      </c>
      <c r="E120" s="4" t="s">
        <v>9</v>
      </c>
      <c r="F120" s="4" t="s">
        <v>10</v>
      </c>
      <c r="G120" s="4" t="s">
        <v>21</v>
      </c>
      <c r="H120" s="4" t="s">
        <v>18</v>
      </c>
      <c r="I120" s="4" t="s">
        <v>23</v>
      </c>
      <c r="J120" s="5">
        <v>77.72</v>
      </c>
      <c r="K120" s="4">
        <v>4</v>
      </c>
      <c r="L120" s="6">
        <f t="shared" si="1"/>
        <v>310.88</v>
      </c>
    </row>
    <row r="121" spans="1:12" x14ac:dyDescent="0.25">
      <c r="A121" s="7">
        <v>43498</v>
      </c>
      <c r="B121" s="8">
        <v>0.64861111111111114</v>
      </c>
      <c r="C121" s="9" t="s">
        <v>145</v>
      </c>
      <c r="D121" s="9" t="s">
        <v>27</v>
      </c>
      <c r="E121" s="9" t="s">
        <v>28</v>
      </c>
      <c r="F121" s="9" t="s">
        <v>10</v>
      </c>
      <c r="G121" s="9" t="s">
        <v>21</v>
      </c>
      <c r="H121" s="9" t="s">
        <v>29</v>
      </c>
      <c r="I121" s="9" t="s">
        <v>13</v>
      </c>
      <c r="J121" s="10">
        <v>46.55</v>
      </c>
      <c r="K121" s="9">
        <v>9</v>
      </c>
      <c r="L121" s="11">
        <f t="shared" si="1"/>
        <v>418.95</v>
      </c>
    </row>
    <row r="122" spans="1:12" x14ac:dyDescent="0.25">
      <c r="A122" s="2">
        <v>43499</v>
      </c>
      <c r="B122" s="3">
        <v>0.8222222222222223</v>
      </c>
      <c r="C122" s="4" t="s">
        <v>146</v>
      </c>
      <c r="D122" s="4" t="s">
        <v>15</v>
      </c>
      <c r="E122" s="4" t="s">
        <v>16</v>
      </c>
      <c r="F122" s="4" t="s">
        <v>17</v>
      </c>
      <c r="G122" s="4" t="s">
        <v>11</v>
      </c>
      <c r="H122" s="4" t="s">
        <v>25</v>
      </c>
      <c r="I122" s="4" t="s">
        <v>23</v>
      </c>
      <c r="J122" s="5">
        <v>14.39</v>
      </c>
      <c r="K122" s="4">
        <v>2</v>
      </c>
      <c r="L122" s="6">
        <f t="shared" si="1"/>
        <v>28.78</v>
      </c>
    </row>
    <row r="123" spans="1:12" x14ac:dyDescent="0.25">
      <c r="A123" s="7">
        <v>43617</v>
      </c>
      <c r="B123" s="8">
        <v>0.47430555555555554</v>
      </c>
      <c r="C123" s="9" t="s">
        <v>147</v>
      </c>
      <c r="D123" s="9" t="s">
        <v>8</v>
      </c>
      <c r="E123" s="9" t="s">
        <v>9</v>
      </c>
      <c r="F123" s="9" t="s">
        <v>10</v>
      </c>
      <c r="G123" s="9" t="s">
        <v>21</v>
      </c>
      <c r="H123" s="9" t="s">
        <v>22</v>
      </c>
      <c r="I123" s="9" t="s">
        <v>19</v>
      </c>
      <c r="J123" s="10">
        <v>58.9</v>
      </c>
      <c r="K123" s="9">
        <v>8</v>
      </c>
      <c r="L123" s="11">
        <f t="shared" si="1"/>
        <v>471.2</v>
      </c>
    </row>
    <row r="124" spans="1:12" x14ac:dyDescent="0.25">
      <c r="A124" s="2">
        <v>43587</v>
      </c>
      <c r="B124" s="3">
        <v>0.42777777777777781</v>
      </c>
      <c r="C124" s="4" t="s">
        <v>148</v>
      </c>
      <c r="D124" s="4" t="s">
        <v>8</v>
      </c>
      <c r="E124" s="4" t="s">
        <v>9</v>
      </c>
      <c r="F124" s="4" t="s">
        <v>10</v>
      </c>
      <c r="G124" s="4" t="s">
        <v>21</v>
      </c>
      <c r="H124" s="4" t="s">
        <v>22</v>
      </c>
      <c r="I124" s="4" t="s">
        <v>13</v>
      </c>
      <c r="J124" s="5">
        <v>25.91</v>
      </c>
      <c r="K124" s="4">
        <v>6</v>
      </c>
      <c r="L124" s="6">
        <f t="shared" si="1"/>
        <v>155.46</v>
      </c>
    </row>
    <row r="125" spans="1:12" x14ac:dyDescent="0.25">
      <c r="A125" s="7">
        <v>43648</v>
      </c>
      <c r="B125" s="8">
        <v>0.54513888888888895</v>
      </c>
      <c r="C125" s="9" t="s">
        <v>149</v>
      </c>
      <c r="D125" s="9" t="s">
        <v>15</v>
      </c>
      <c r="E125" s="9" t="s">
        <v>16</v>
      </c>
      <c r="F125" s="9" t="s">
        <v>10</v>
      </c>
      <c r="G125" s="9" t="s">
        <v>21</v>
      </c>
      <c r="H125" s="9" t="s">
        <v>18</v>
      </c>
      <c r="I125" s="9" t="s">
        <v>23</v>
      </c>
      <c r="J125" s="10">
        <v>65.94</v>
      </c>
      <c r="K125" s="9">
        <v>4</v>
      </c>
      <c r="L125" s="11">
        <f t="shared" si="1"/>
        <v>263.76</v>
      </c>
    </row>
    <row r="126" spans="1:12" x14ac:dyDescent="0.25">
      <c r="A126" s="2">
        <v>43649</v>
      </c>
      <c r="B126" s="3">
        <v>0.62013888888888891</v>
      </c>
      <c r="C126" s="4" t="s">
        <v>150</v>
      </c>
      <c r="D126" s="4" t="s">
        <v>15</v>
      </c>
      <c r="E126" s="4" t="s">
        <v>16</v>
      </c>
      <c r="F126" s="4" t="s">
        <v>17</v>
      </c>
      <c r="G126" s="4" t="s">
        <v>11</v>
      </c>
      <c r="H126" s="4" t="s">
        <v>31</v>
      </c>
      <c r="I126" s="4" t="s">
        <v>13</v>
      </c>
      <c r="J126" s="5">
        <v>16.45</v>
      </c>
      <c r="K126" s="4">
        <v>4</v>
      </c>
      <c r="L126" s="6">
        <f t="shared" si="1"/>
        <v>65.8</v>
      </c>
    </row>
    <row r="127" spans="1:12" x14ac:dyDescent="0.25">
      <c r="A127" s="7">
        <v>43710</v>
      </c>
      <c r="B127" s="8">
        <v>0.45833333333333331</v>
      </c>
      <c r="C127" s="9" t="s">
        <v>151</v>
      </c>
      <c r="D127" s="9" t="s">
        <v>8</v>
      </c>
      <c r="E127" s="9" t="s">
        <v>9</v>
      </c>
      <c r="F127" s="9" t="s">
        <v>10</v>
      </c>
      <c r="G127" s="9" t="s">
        <v>11</v>
      </c>
      <c r="H127" s="9" t="s">
        <v>25</v>
      </c>
      <c r="I127" s="9" t="s">
        <v>19</v>
      </c>
      <c r="J127" s="10">
        <v>22.24</v>
      </c>
      <c r="K127" s="9">
        <v>10</v>
      </c>
      <c r="L127" s="11">
        <f t="shared" si="1"/>
        <v>222.39999999999998</v>
      </c>
    </row>
    <row r="128" spans="1:12" x14ac:dyDescent="0.25">
      <c r="A128" s="2">
        <v>43802</v>
      </c>
      <c r="B128" s="3">
        <v>0.52986111111111112</v>
      </c>
      <c r="C128" s="4" t="s">
        <v>152</v>
      </c>
      <c r="D128" s="4" t="s">
        <v>8</v>
      </c>
      <c r="E128" s="4" t="s">
        <v>9</v>
      </c>
      <c r="F128" s="4" t="s">
        <v>10</v>
      </c>
      <c r="G128" s="4" t="s">
        <v>11</v>
      </c>
      <c r="H128" s="4" t="s">
        <v>25</v>
      </c>
      <c r="I128" s="4" t="s">
        <v>23</v>
      </c>
      <c r="J128" s="5">
        <v>98.4</v>
      </c>
      <c r="K128" s="4">
        <v>7</v>
      </c>
      <c r="L128" s="6">
        <f t="shared" si="1"/>
        <v>688.80000000000007</v>
      </c>
    </row>
    <row r="129" spans="1:12" x14ac:dyDescent="0.25">
      <c r="A129" s="7">
        <v>43678</v>
      </c>
      <c r="B129" s="8">
        <v>0.87152777777777779</v>
      </c>
      <c r="C129" s="9" t="s">
        <v>153</v>
      </c>
      <c r="D129" s="9" t="s">
        <v>27</v>
      </c>
      <c r="E129" s="9" t="s">
        <v>28</v>
      </c>
      <c r="F129" s="9" t="s">
        <v>10</v>
      </c>
      <c r="G129" s="9" t="s">
        <v>11</v>
      </c>
      <c r="H129" s="9" t="s">
        <v>29</v>
      </c>
      <c r="I129" s="9" t="s">
        <v>19</v>
      </c>
      <c r="J129" s="10">
        <v>74.599999999999994</v>
      </c>
      <c r="K129" s="9">
        <v>10</v>
      </c>
      <c r="L129" s="11">
        <f t="shared" si="1"/>
        <v>746</v>
      </c>
    </row>
    <row r="130" spans="1:12" x14ac:dyDescent="0.25">
      <c r="A130" s="2">
        <v>43586</v>
      </c>
      <c r="B130" s="3">
        <v>0.67013888888888884</v>
      </c>
      <c r="C130" s="4" t="s">
        <v>154</v>
      </c>
      <c r="D130" s="4" t="s">
        <v>8</v>
      </c>
      <c r="E130" s="4" t="s">
        <v>9</v>
      </c>
      <c r="F130" s="4" t="s">
        <v>10</v>
      </c>
      <c r="G130" s="4" t="s">
        <v>21</v>
      </c>
      <c r="H130" s="4" t="s">
        <v>22</v>
      </c>
      <c r="I130" s="4" t="s">
        <v>23</v>
      </c>
      <c r="J130" s="5">
        <v>70.739999999999995</v>
      </c>
      <c r="K130" s="4">
        <v>4</v>
      </c>
      <c r="L130" s="6">
        <f t="shared" si="1"/>
        <v>282.95999999999998</v>
      </c>
    </row>
    <row r="131" spans="1:12" x14ac:dyDescent="0.25">
      <c r="A131" s="7">
        <v>43556</v>
      </c>
      <c r="B131" s="8">
        <v>0.56527777777777777</v>
      </c>
      <c r="C131" s="9" t="s">
        <v>155</v>
      </c>
      <c r="D131" s="9" t="s">
        <v>8</v>
      </c>
      <c r="E131" s="9" t="s">
        <v>9</v>
      </c>
      <c r="F131" s="9" t="s">
        <v>10</v>
      </c>
      <c r="G131" s="9" t="s">
        <v>11</v>
      </c>
      <c r="H131" s="9" t="s">
        <v>22</v>
      </c>
      <c r="I131" s="9" t="s">
        <v>13</v>
      </c>
      <c r="J131" s="10">
        <v>35.54</v>
      </c>
      <c r="K131" s="9">
        <v>10</v>
      </c>
      <c r="L131" s="11">
        <f t="shared" ref="L131:L194" si="2">J131*K131</f>
        <v>355.4</v>
      </c>
    </row>
    <row r="132" spans="1:12" x14ac:dyDescent="0.25">
      <c r="A132" s="2">
        <v>43619</v>
      </c>
      <c r="B132" s="3">
        <v>0.75902777777777775</v>
      </c>
      <c r="C132" s="4" t="s">
        <v>156</v>
      </c>
      <c r="D132" s="4" t="s">
        <v>27</v>
      </c>
      <c r="E132" s="4" t="s">
        <v>28</v>
      </c>
      <c r="F132" s="4" t="s">
        <v>17</v>
      </c>
      <c r="G132" s="4" t="s">
        <v>11</v>
      </c>
      <c r="H132" s="4" t="s">
        <v>25</v>
      </c>
      <c r="I132" s="4" t="s">
        <v>13</v>
      </c>
      <c r="J132" s="5">
        <v>67.430000000000007</v>
      </c>
      <c r="K132" s="4">
        <v>5</v>
      </c>
      <c r="L132" s="6">
        <f t="shared" si="2"/>
        <v>337.15000000000003</v>
      </c>
    </row>
    <row r="133" spans="1:12" x14ac:dyDescent="0.25">
      <c r="A133" s="7">
        <v>43525</v>
      </c>
      <c r="B133" s="8">
        <v>0.80347222222222225</v>
      </c>
      <c r="C133" s="9" t="s">
        <v>157</v>
      </c>
      <c r="D133" s="9" t="s">
        <v>15</v>
      </c>
      <c r="E133" s="9" t="s">
        <v>16</v>
      </c>
      <c r="F133" s="9" t="s">
        <v>10</v>
      </c>
      <c r="G133" s="9" t="s">
        <v>11</v>
      </c>
      <c r="H133" s="9" t="s">
        <v>12</v>
      </c>
      <c r="I133" s="9" t="s">
        <v>19</v>
      </c>
      <c r="J133" s="10">
        <v>44551</v>
      </c>
      <c r="K133" s="9">
        <v>2</v>
      </c>
      <c r="L133" s="11">
        <f t="shared" si="2"/>
        <v>89102</v>
      </c>
    </row>
    <row r="134" spans="1:12" x14ac:dyDescent="0.25">
      <c r="A134" s="2">
        <v>43647</v>
      </c>
      <c r="B134" s="3">
        <v>0.48888888888888887</v>
      </c>
      <c r="C134" s="4" t="s">
        <v>158</v>
      </c>
      <c r="D134" s="4" t="s">
        <v>8</v>
      </c>
      <c r="E134" s="4" t="s">
        <v>9</v>
      </c>
      <c r="F134" s="4" t="s">
        <v>10</v>
      </c>
      <c r="G134" s="4" t="s">
        <v>11</v>
      </c>
      <c r="H134" s="4" t="s">
        <v>22</v>
      </c>
      <c r="I134" s="4" t="s">
        <v>23</v>
      </c>
      <c r="J134" s="5">
        <v>21.54</v>
      </c>
      <c r="K134" s="4">
        <v>9</v>
      </c>
      <c r="L134" s="6">
        <f t="shared" si="2"/>
        <v>193.85999999999999</v>
      </c>
    </row>
    <row r="135" spans="1:12" x14ac:dyDescent="0.25">
      <c r="A135" s="7">
        <v>43647</v>
      </c>
      <c r="B135" s="8">
        <v>0.86944444444444446</v>
      </c>
      <c r="C135" s="9" t="s">
        <v>159</v>
      </c>
      <c r="D135" s="9" t="s">
        <v>27</v>
      </c>
      <c r="E135" s="9" t="s">
        <v>28</v>
      </c>
      <c r="F135" s="9" t="s">
        <v>17</v>
      </c>
      <c r="G135" s="9" t="s">
        <v>21</v>
      </c>
      <c r="H135" s="9" t="s">
        <v>31</v>
      </c>
      <c r="I135" s="9" t="s">
        <v>19</v>
      </c>
      <c r="J135" s="10">
        <v>47.97</v>
      </c>
      <c r="K135" s="9">
        <v>7</v>
      </c>
      <c r="L135" s="11">
        <f t="shared" si="2"/>
        <v>335.78999999999996</v>
      </c>
    </row>
    <row r="136" spans="1:12" x14ac:dyDescent="0.25">
      <c r="A136" s="2">
        <v>43647</v>
      </c>
      <c r="B136" s="3">
        <v>0.73333333333333339</v>
      </c>
      <c r="C136" s="4" t="s">
        <v>160</v>
      </c>
      <c r="D136" s="4" t="s">
        <v>15</v>
      </c>
      <c r="E136" s="4" t="s">
        <v>16</v>
      </c>
      <c r="F136" s="4" t="s">
        <v>10</v>
      </c>
      <c r="G136" s="4" t="s">
        <v>11</v>
      </c>
      <c r="H136" s="4" t="s">
        <v>22</v>
      </c>
      <c r="I136" s="4" t="s">
        <v>19</v>
      </c>
      <c r="J136" s="5">
        <v>21.82</v>
      </c>
      <c r="K136" s="4">
        <v>10</v>
      </c>
      <c r="L136" s="6">
        <f t="shared" si="2"/>
        <v>218.2</v>
      </c>
    </row>
    <row r="137" spans="1:12" x14ac:dyDescent="0.25">
      <c r="A137" s="7">
        <v>43498</v>
      </c>
      <c r="B137" s="8">
        <v>0.55763888888888891</v>
      </c>
      <c r="C137" s="9" t="s">
        <v>161</v>
      </c>
      <c r="D137" s="9" t="s">
        <v>15</v>
      </c>
      <c r="E137" s="9" t="s">
        <v>16</v>
      </c>
      <c r="F137" s="9" t="s">
        <v>17</v>
      </c>
      <c r="G137" s="9" t="s">
        <v>11</v>
      </c>
      <c r="H137" s="9" t="s">
        <v>31</v>
      </c>
      <c r="I137" s="9" t="s">
        <v>13</v>
      </c>
      <c r="J137" s="10">
        <v>95.42</v>
      </c>
      <c r="K137" s="9">
        <v>4</v>
      </c>
      <c r="L137" s="11">
        <f t="shared" si="2"/>
        <v>381.68</v>
      </c>
    </row>
    <row r="138" spans="1:12" x14ac:dyDescent="0.25">
      <c r="A138" s="2">
        <v>43619</v>
      </c>
      <c r="B138" s="3">
        <v>0.56180555555555556</v>
      </c>
      <c r="C138" s="4" t="s">
        <v>162</v>
      </c>
      <c r="D138" s="4" t="s">
        <v>15</v>
      </c>
      <c r="E138" s="4" t="s">
        <v>16</v>
      </c>
      <c r="F138" s="4" t="s">
        <v>17</v>
      </c>
      <c r="G138" s="4" t="s">
        <v>21</v>
      </c>
      <c r="H138" s="4" t="s">
        <v>22</v>
      </c>
      <c r="I138" s="4" t="s">
        <v>23</v>
      </c>
      <c r="J138" s="5">
        <v>37</v>
      </c>
      <c r="K138" s="4">
        <v>1</v>
      </c>
      <c r="L138" s="6">
        <f t="shared" si="2"/>
        <v>37</v>
      </c>
    </row>
    <row r="139" spans="1:12" x14ac:dyDescent="0.25">
      <c r="A139" s="7">
        <v>43617</v>
      </c>
      <c r="B139" s="8">
        <v>0.46458333333333335</v>
      </c>
      <c r="C139" s="9" t="s">
        <v>163</v>
      </c>
      <c r="D139" s="9" t="s">
        <v>8</v>
      </c>
      <c r="E139" s="9" t="s">
        <v>9</v>
      </c>
      <c r="F139" s="9" t="s">
        <v>17</v>
      </c>
      <c r="G139" s="9" t="s">
        <v>11</v>
      </c>
      <c r="H139" s="9" t="s">
        <v>25</v>
      </c>
      <c r="I139" s="9" t="s">
        <v>19</v>
      </c>
      <c r="J139" s="10">
        <v>15.34</v>
      </c>
      <c r="K139" s="9">
        <v>1</v>
      </c>
      <c r="L139" s="11">
        <f t="shared" si="2"/>
        <v>15.34</v>
      </c>
    </row>
    <row r="140" spans="1:12" x14ac:dyDescent="0.25">
      <c r="A140" s="2">
        <v>43558</v>
      </c>
      <c r="B140" s="3">
        <v>0.62638888888888888</v>
      </c>
      <c r="C140" s="4" t="s">
        <v>164</v>
      </c>
      <c r="D140" s="4" t="s">
        <v>8</v>
      </c>
      <c r="E140" s="4" t="s">
        <v>9</v>
      </c>
      <c r="F140" s="4" t="s">
        <v>10</v>
      </c>
      <c r="G140" s="4" t="s">
        <v>21</v>
      </c>
      <c r="H140" s="4" t="s">
        <v>12</v>
      </c>
      <c r="I140" s="4" t="s">
        <v>13</v>
      </c>
      <c r="J140" s="5">
        <v>99.83</v>
      </c>
      <c r="K140" s="4">
        <v>6</v>
      </c>
      <c r="L140" s="6">
        <f t="shared" si="2"/>
        <v>598.98</v>
      </c>
    </row>
    <row r="141" spans="1:12" x14ac:dyDescent="0.25">
      <c r="A141" s="7">
        <v>43802</v>
      </c>
      <c r="B141" s="8">
        <v>0.59791666666666665</v>
      </c>
      <c r="C141" s="9" t="s">
        <v>165</v>
      </c>
      <c r="D141" s="9" t="s">
        <v>8</v>
      </c>
      <c r="E141" s="9" t="s">
        <v>9</v>
      </c>
      <c r="F141" s="9" t="s">
        <v>10</v>
      </c>
      <c r="G141" s="9" t="s">
        <v>11</v>
      </c>
      <c r="H141" s="9" t="s">
        <v>12</v>
      </c>
      <c r="I141" s="9" t="s">
        <v>19</v>
      </c>
      <c r="J141" s="10">
        <v>47.67</v>
      </c>
      <c r="K141" s="9">
        <v>4</v>
      </c>
      <c r="L141" s="11">
        <f t="shared" si="2"/>
        <v>190.68</v>
      </c>
    </row>
    <row r="142" spans="1:12" x14ac:dyDescent="0.25">
      <c r="A142" s="2">
        <v>43526</v>
      </c>
      <c r="B142" s="3">
        <v>0.60972222222222217</v>
      </c>
      <c r="C142" s="4" t="s">
        <v>166</v>
      </c>
      <c r="D142" s="4" t="s">
        <v>8</v>
      </c>
      <c r="E142" s="4" t="s">
        <v>9</v>
      </c>
      <c r="F142" s="4" t="s">
        <v>10</v>
      </c>
      <c r="G142" s="4" t="s">
        <v>11</v>
      </c>
      <c r="H142" s="4" t="s">
        <v>22</v>
      </c>
      <c r="I142" s="4" t="s">
        <v>19</v>
      </c>
      <c r="J142" s="5">
        <v>94.88</v>
      </c>
      <c r="K142" s="4">
        <v>7</v>
      </c>
      <c r="L142" s="6">
        <f t="shared" si="2"/>
        <v>664.16</v>
      </c>
    </row>
    <row r="143" spans="1:12" x14ac:dyDescent="0.25">
      <c r="A143" s="7">
        <v>43527</v>
      </c>
      <c r="B143" s="8">
        <v>0.5708333333333333</v>
      </c>
      <c r="C143" s="9" t="s">
        <v>167</v>
      </c>
      <c r="D143" s="9" t="s">
        <v>15</v>
      </c>
      <c r="E143" s="9" t="s">
        <v>16</v>
      </c>
      <c r="F143" s="9" t="s">
        <v>10</v>
      </c>
      <c r="G143" s="9" t="s">
        <v>11</v>
      </c>
      <c r="H143" s="9" t="s">
        <v>18</v>
      </c>
      <c r="I143" s="9" t="s">
        <v>19</v>
      </c>
      <c r="J143" s="10">
        <v>51.92</v>
      </c>
      <c r="K143" s="9">
        <v>5</v>
      </c>
      <c r="L143" s="11">
        <f t="shared" si="2"/>
        <v>259.60000000000002</v>
      </c>
    </row>
    <row r="144" spans="1:12" x14ac:dyDescent="0.25">
      <c r="A144" s="2">
        <v>43739</v>
      </c>
      <c r="B144" s="3">
        <v>0.59444444444444444</v>
      </c>
      <c r="C144" s="4" t="s">
        <v>168</v>
      </c>
      <c r="D144" s="4" t="s">
        <v>8</v>
      </c>
      <c r="E144" s="4" t="s">
        <v>9</v>
      </c>
      <c r="F144" s="4" t="s">
        <v>10</v>
      </c>
      <c r="G144" s="4" t="s">
        <v>21</v>
      </c>
      <c r="H144" s="4" t="s">
        <v>22</v>
      </c>
      <c r="I144" s="4" t="s">
        <v>13</v>
      </c>
      <c r="J144" s="5">
        <v>78.38</v>
      </c>
      <c r="K144" s="4">
        <v>6</v>
      </c>
      <c r="L144" s="6">
        <f t="shared" si="2"/>
        <v>470.28</v>
      </c>
    </row>
    <row r="145" spans="1:12" x14ac:dyDescent="0.25">
      <c r="A145" s="7">
        <v>43497</v>
      </c>
      <c r="B145" s="8">
        <v>0.75624999999999998</v>
      </c>
      <c r="C145" s="9" t="s">
        <v>169</v>
      </c>
      <c r="D145" s="9" t="s">
        <v>15</v>
      </c>
      <c r="E145" s="9" t="s">
        <v>16</v>
      </c>
      <c r="F145" s="9" t="s">
        <v>17</v>
      </c>
      <c r="G145" s="9" t="s">
        <v>21</v>
      </c>
      <c r="H145" s="9" t="s">
        <v>31</v>
      </c>
      <c r="I145" s="9" t="s">
        <v>23</v>
      </c>
      <c r="J145" s="10">
        <v>99.82</v>
      </c>
      <c r="K145" s="9">
        <v>2</v>
      </c>
      <c r="L145" s="11">
        <f t="shared" si="2"/>
        <v>199.64</v>
      </c>
    </row>
    <row r="146" spans="1:12" x14ac:dyDescent="0.25">
      <c r="A146" s="2">
        <v>43802</v>
      </c>
      <c r="B146" s="3">
        <v>0.69861111111111107</v>
      </c>
      <c r="C146" s="4" t="s">
        <v>170</v>
      </c>
      <c r="D146" s="4" t="s">
        <v>27</v>
      </c>
      <c r="E146" s="4" t="s">
        <v>28</v>
      </c>
      <c r="F146" s="4" t="s">
        <v>10</v>
      </c>
      <c r="G146" s="4" t="s">
        <v>21</v>
      </c>
      <c r="H146" s="4" t="s">
        <v>12</v>
      </c>
      <c r="I146" s="4" t="s">
        <v>23</v>
      </c>
      <c r="J146" s="5">
        <v>39.01</v>
      </c>
      <c r="K146" s="4">
        <v>1</v>
      </c>
      <c r="L146" s="6">
        <f t="shared" si="2"/>
        <v>39.01</v>
      </c>
    </row>
    <row r="147" spans="1:12" x14ac:dyDescent="0.25">
      <c r="A147" s="7">
        <v>43588</v>
      </c>
      <c r="B147" s="8">
        <v>0.73819444444444438</v>
      </c>
      <c r="C147" s="9" t="s">
        <v>171</v>
      </c>
      <c r="D147" s="9" t="s">
        <v>8</v>
      </c>
      <c r="E147" s="9" t="s">
        <v>9</v>
      </c>
      <c r="F147" s="9" t="s">
        <v>17</v>
      </c>
      <c r="G147" s="9" t="s">
        <v>11</v>
      </c>
      <c r="H147" s="9" t="s">
        <v>31</v>
      </c>
      <c r="I147" s="9" t="s">
        <v>19</v>
      </c>
      <c r="J147" s="10">
        <v>81.91</v>
      </c>
      <c r="K147" s="9">
        <v>2</v>
      </c>
      <c r="L147" s="11">
        <f t="shared" si="2"/>
        <v>163.82</v>
      </c>
    </row>
    <row r="148" spans="1:12" x14ac:dyDescent="0.25">
      <c r="A148" s="2">
        <v>43587</v>
      </c>
      <c r="B148" s="3">
        <v>0.79513888888888884</v>
      </c>
      <c r="C148" s="4" t="s">
        <v>172</v>
      </c>
      <c r="D148" s="4" t="s">
        <v>15</v>
      </c>
      <c r="E148" s="4" t="s">
        <v>16</v>
      </c>
      <c r="F148" s="4" t="s">
        <v>10</v>
      </c>
      <c r="G148" s="4" t="s">
        <v>21</v>
      </c>
      <c r="H148" s="4" t="s">
        <v>31</v>
      </c>
      <c r="I148" s="4" t="s">
        <v>13</v>
      </c>
      <c r="J148" s="5">
        <v>69.33</v>
      </c>
      <c r="K148" s="4">
        <v>2</v>
      </c>
      <c r="L148" s="6">
        <f t="shared" si="2"/>
        <v>138.66</v>
      </c>
    </row>
    <row r="149" spans="1:12" x14ac:dyDescent="0.25">
      <c r="A149" s="7">
        <v>43467</v>
      </c>
      <c r="B149" s="8">
        <v>0.42222222222222222</v>
      </c>
      <c r="C149" s="9" t="s">
        <v>173</v>
      </c>
      <c r="D149" s="9" t="s">
        <v>8</v>
      </c>
      <c r="E149" s="9" t="s">
        <v>9</v>
      </c>
      <c r="F149" s="9" t="s">
        <v>10</v>
      </c>
      <c r="G149" s="9" t="s">
        <v>11</v>
      </c>
      <c r="H149" s="9" t="s">
        <v>29</v>
      </c>
      <c r="I149" s="9" t="s">
        <v>23</v>
      </c>
      <c r="J149" s="10">
        <v>14.23</v>
      </c>
      <c r="K149" s="9">
        <v>5</v>
      </c>
      <c r="L149" s="11">
        <f t="shared" si="2"/>
        <v>71.150000000000006</v>
      </c>
    </row>
    <row r="150" spans="1:12" x14ac:dyDescent="0.25">
      <c r="A150" s="2">
        <v>43649</v>
      </c>
      <c r="B150" s="3">
        <v>0.54999999999999993</v>
      </c>
      <c r="C150" s="4" t="s">
        <v>174</v>
      </c>
      <c r="D150" s="4" t="s">
        <v>8</v>
      </c>
      <c r="E150" s="4" t="s">
        <v>9</v>
      </c>
      <c r="F150" s="4" t="s">
        <v>10</v>
      </c>
      <c r="G150" s="4" t="s">
        <v>11</v>
      </c>
      <c r="H150" s="4" t="s">
        <v>12</v>
      </c>
      <c r="I150" s="4" t="s">
        <v>19</v>
      </c>
      <c r="J150" s="5">
        <v>15.55</v>
      </c>
      <c r="K150" s="4">
        <v>9</v>
      </c>
      <c r="L150" s="6">
        <f t="shared" si="2"/>
        <v>139.95000000000002</v>
      </c>
    </row>
    <row r="151" spans="1:12" x14ac:dyDescent="0.25">
      <c r="A151" s="7">
        <v>43740</v>
      </c>
      <c r="B151" s="8">
        <v>0.86875000000000002</v>
      </c>
      <c r="C151" s="9" t="s">
        <v>175</v>
      </c>
      <c r="D151" s="9" t="s">
        <v>15</v>
      </c>
      <c r="E151" s="9" t="s">
        <v>16</v>
      </c>
      <c r="F151" s="9" t="s">
        <v>10</v>
      </c>
      <c r="G151" s="9" t="s">
        <v>11</v>
      </c>
      <c r="H151" s="9" t="s">
        <v>18</v>
      </c>
      <c r="I151" s="9" t="s">
        <v>19</v>
      </c>
      <c r="J151" s="10">
        <v>78.13</v>
      </c>
      <c r="K151" s="9">
        <v>10</v>
      </c>
      <c r="L151" s="11">
        <f t="shared" si="2"/>
        <v>781.3</v>
      </c>
    </row>
    <row r="152" spans="1:12" x14ac:dyDescent="0.25">
      <c r="A152" s="2">
        <v>43710</v>
      </c>
      <c r="B152" s="3">
        <v>0.43402777777777773</v>
      </c>
      <c r="C152" s="4" t="s">
        <v>176</v>
      </c>
      <c r="D152" s="4" t="s">
        <v>15</v>
      </c>
      <c r="E152" s="4" t="s">
        <v>16</v>
      </c>
      <c r="F152" s="4" t="s">
        <v>10</v>
      </c>
      <c r="G152" s="4" t="s">
        <v>11</v>
      </c>
      <c r="H152" s="4" t="s">
        <v>29</v>
      </c>
      <c r="I152" s="4" t="s">
        <v>19</v>
      </c>
      <c r="J152" s="5">
        <v>44429</v>
      </c>
      <c r="K152" s="4">
        <v>3</v>
      </c>
      <c r="L152" s="6">
        <f t="shared" si="2"/>
        <v>133287</v>
      </c>
    </row>
    <row r="153" spans="1:12" x14ac:dyDescent="0.25">
      <c r="A153" s="7">
        <v>43739</v>
      </c>
      <c r="B153" s="8">
        <v>0.48194444444444445</v>
      </c>
      <c r="C153" s="9" t="s">
        <v>177</v>
      </c>
      <c r="D153" s="9" t="s">
        <v>15</v>
      </c>
      <c r="E153" s="9" t="s">
        <v>16</v>
      </c>
      <c r="F153" s="9" t="s">
        <v>10</v>
      </c>
      <c r="G153" s="9" t="s">
        <v>21</v>
      </c>
      <c r="H153" s="9" t="s">
        <v>18</v>
      </c>
      <c r="I153" s="9" t="s">
        <v>19</v>
      </c>
      <c r="J153" s="10">
        <v>74.790000000000006</v>
      </c>
      <c r="K153" s="9">
        <v>5</v>
      </c>
      <c r="L153" s="11">
        <f t="shared" si="2"/>
        <v>373.95000000000005</v>
      </c>
    </row>
    <row r="154" spans="1:12" x14ac:dyDescent="0.25">
      <c r="A154" s="2">
        <v>43772</v>
      </c>
      <c r="B154" s="3">
        <v>0.79027777777777775</v>
      </c>
      <c r="C154" s="4" t="s">
        <v>178</v>
      </c>
      <c r="D154" s="4" t="s">
        <v>15</v>
      </c>
      <c r="E154" s="4" t="s">
        <v>16</v>
      </c>
      <c r="F154" s="4" t="s">
        <v>10</v>
      </c>
      <c r="G154" s="4" t="s">
        <v>11</v>
      </c>
      <c r="H154" s="4" t="s">
        <v>12</v>
      </c>
      <c r="I154" s="4" t="s">
        <v>23</v>
      </c>
      <c r="J154" s="5">
        <v>29.67</v>
      </c>
      <c r="K154" s="4">
        <v>7</v>
      </c>
      <c r="L154" s="6">
        <f t="shared" si="2"/>
        <v>207.69</v>
      </c>
    </row>
    <row r="155" spans="1:12" x14ac:dyDescent="0.25">
      <c r="A155" s="7">
        <v>43680</v>
      </c>
      <c r="B155" s="8">
        <v>0.55625000000000002</v>
      </c>
      <c r="C155" s="9" t="s">
        <v>179</v>
      </c>
      <c r="D155" s="9" t="s">
        <v>8</v>
      </c>
      <c r="E155" s="9" t="s">
        <v>9</v>
      </c>
      <c r="F155" s="9" t="s">
        <v>17</v>
      </c>
      <c r="G155" s="9" t="s">
        <v>11</v>
      </c>
      <c r="H155" s="9" t="s">
        <v>31</v>
      </c>
      <c r="I155" s="9" t="s">
        <v>19</v>
      </c>
      <c r="J155" s="10">
        <v>61.77</v>
      </c>
      <c r="K155" s="9">
        <v>5</v>
      </c>
      <c r="L155" s="11">
        <f t="shared" si="2"/>
        <v>308.85000000000002</v>
      </c>
    </row>
    <row r="156" spans="1:12" x14ac:dyDescent="0.25">
      <c r="A156" s="2">
        <v>43802</v>
      </c>
      <c r="B156" s="3">
        <v>0.82847222222222217</v>
      </c>
      <c r="C156" s="4" t="s">
        <v>180</v>
      </c>
      <c r="D156" s="4" t="s">
        <v>27</v>
      </c>
      <c r="E156" s="4" t="s">
        <v>28</v>
      </c>
      <c r="F156" s="4" t="s">
        <v>17</v>
      </c>
      <c r="G156" s="4" t="s">
        <v>21</v>
      </c>
      <c r="H156" s="4" t="s">
        <v>25</v>
      </c>
      <c r="I156" s="4" t="s">
        <v>13</v>
      </c>
      <c r="J156" s="5">
        <v>97.74</v>
      </c>
      <c r="K156" s="4">
        <v>4</v>
      </c>
      <c r="L156" s="6">
        <f t="shared" si="2"/>
        <v>390.96</v>
      </c>
    </row>
    <row r="157" spans="1:12" x14ac:dyDescent="0.25">
      <c r="A157" s="7">
        <v>43711</v>
      </c>
      <c r="B157" s="8">
        <v>0.79791666666666661</v>
      </c>
      <c r="C157" s="9" t="s">
        <v>181</v>
      </c>
      <c r="D157" s="9" t="s">
        <v>8</v>
      </c>
      <c r="E157" s="9" t="s">
        <v>9</v>
      </c>
      <c r="F157" s="9" t="s">
        <v>10</v>
      </c>
      <c r="G157" s="9" t="s">
        <v>21</v>
      </c>
      <c r="H157" s="9" t="s">
        <v>29</v>
      </c>
      <c r="I157" s="9" t="s">
        <v>19</v>
      </c>
      <c r="J157" s="10">
        <v>99.78</v>
      </c>
      <c r="K157" s="9">
        <v>5</v>
      </c>
      <c r="L157" s="11">
        <f t="shared" si="2"/>
        <v>498.9</v>
      </c>
    </row>
    <row r="158" spans="1:12" x14ac:dyDescent="0.25">
      <c r="A158" s="2">
        <v>43802</v>
      </c>
      <c r="B158" s="3">
        <v>0.6875</v>
      </c>
      <c r="C158" s="4" t="s">
        <v>182</v>
      </c>
      <c r="D158" s="4" t="s">
        <v>15</v>
      </c>
      <c r="E158" s="4" t="s">
        <v>16</v>
      </c>
      <c r="F158" s="4" t="s">
        <v>10</v>
      </c>
      <c r="G158" s="4" t="s">
        <v>21</v>
      </c>
      <c r="H158" s="4" t="s">
        <v>29</v>
      </c>
      <c r="I158" s="4" t="s">
        <v>19</v>
      </c>
      <c r="J158" s="5">
        <v>94.26</v>
      </c>
      <c r="K158" s="4">
        <v>4</v>
      </c>
      <c r="L158" s="6">
        <f t="shared" si="2"/>
        <v>377.04</v>
      </c>
    </row>
    <row r="159" spans="1:12" x14ac:dyDescent="0.25">
      <c r="A159" s="7">
        <v>43648</v>
      </c>
      <c r="B159" s="8">
        <v>0.78333333333333333</v>
      </c>
      <c r="C159" s="9" t="s">
        <v>183</v>
      </c>
      <c r="D159" s="9" t="s">
        <v>27</v>
      </c>
      <c r="E159" s="9" t="s">
        <v>28</v>
      </c>
      <c r="F159" s="9" t="s">
        <v>17</v>
      </c>
      <c r="G159" s="9" t="s">
        <v>21</v>
      </c>
      <c r="H159" s="9" t="s">
        <v>22</v>
      </c>
      <c r="I159" s="9" t="s">
        <v>19</v>
      </c>
      <c r="J159" s="10">
        <v>44249</v>
      </c>
      <c r="K159" s="9">
        <v>9</v>
      </c>
      <c r="L159" s="11">
        <f t="shared" si="2"/>
        <v>398241</v>
      </c>
    </row>
    <row r="160" spans="1:12" x14ac:dyDescent="0.25">
      <c r="A160" s="2">
        <v>43526</v>
      </c>
      <c r="B160" s="3">
        <v>0.66597222222222219</v>
      </c>
      <c r="C160" s="4" t="s">
        <v>184</v>
      </c>
      <c r="D160" s="4" t="s">
        <v>8</v>
      </c>
      <c r="E160" s="4" t="s">
        <v>9</v>
      </c>
      <c r="F160" s="4" t="s">
        <v>17</v>
      </c>
      <c r="G160" s="4" t="s">
        <v>21</v>
      </c>
      <c r="H160" s="4" t="s">
        <v>31</v>
      </c>
      <c r="I160" s="4" t="s">
        <v>19</v>
      </c>
      <c r="J160" s="5">
        <v>77.02</v>
      </c>
      <c r="K160" s="4">
        <v>5</v>
      </c>
      <c r="L160" s="6">
        <f t="shared" si="2"/>
        <v>385.09999999999997</v>
      </c>
    </row>
    <row r="161" spans="1:12" x14ac:dyDescent="0.25">
      <c r="A161" s="7">
        <v>43587</v>
      </c>
      <c r="B161" s="8">
        <v>0.6430555555555556</v>
      </c>
      <c r="C161" s="9" t="s">
        <v>185</v>
      </c>
      <c r="D161" s="9" t="s">
        <v>27</v>
      </c>
      <c r="E161" s="9" t="s">
        <v>28</v>
      </c>
      <c r="F161" s="9" t="s">
        <v>10</v>
      </c>
      <c r="G161" s="9" t="s">
        <v>11</v>
      </c>
      <c r="H161" s="9" t="s">
        <v>29</v>
      </c>
      <c r="I161" s="9" t="s">
        <v>23</v>
      </c>
      <c r="J161" s="10">
        <v>42.82</v>
      </c>
      <c r="K161" s="9">
        <v>9</v>
      </c>
      <c r="L161" s="11">
        <f t="shared" si="2"/>
        <v>385.38</v>
      </c>
    </row>
    <row r="162" spans="1:12" x14ac:dyDescent="0.25">
      <c r="A162" s="2">
        <v>43740</v>
      </c>
      <c r="B162" s="3">
        <v>0.76597222222222217</v>
      </c>
      <c r="C162" s="4" t="s">
        <v>186</v>
      </c>
      <c r="D162" s="4" t="s">
        <v>27</v>
      </c>
      <c r="E162" s="4" t="s">
        <v>28</v>
      </c>
      <c r="F162" s="4" t="s">
        <v>10</v>
      </c>
      <c r="G162" s="4" t="s">
        <v>21</v>
      </c>
      <c r="H162" s="4" t="s">
        <v>18</v>
      </c>
      <c r="I162" s="4" t="s">
        <v>23</v>
      </c>
      <c r="J162" s="5">
        <v>48.09</v>
      </c>
      <c r="K162" s="4">
        <v>3</v>
      </c>
      <c r="L162" s="6">
        <f t="shared" si="2"/>
        <v>144.27000000000001</v>
      </c>
    </row>
    <row r="163" spans="1:12" x14ac:dyDescent="0.25">
      <c r="A163" s="7">
        <v>43588</v>
      </c>
      <c r="B163" s="8">
        <v>0.79583333333333339</v>
      </c>
      <c r="C163" s="9" t="s">
        <v>187</v>
      </c>
      <c r="D163" s="9" t="s">
        <v>27</v>
      </c>
      <c r="E163" s="9" t="s">
        <v>28</v>
      </c>
      <c r="F163" s="9" t="s">
        <v>10</v>
      </c>
      <c r="G163" s="9" t="s">
        <v>11</v>
      </c>
      <c r="H163" s="9" t="s">
        <v>12</v>
      </c>
      <c r="I163" s="9" t="s">
        <v>13</v>
      </c>
      <c r="J163" s="10">
        <v>55.97</v>
      </c>
      <c r="K163" s="9">
        <v>7</v>
      </c>
      <c r="L163" s="11">
        <f t="shared" si="2"/>
        <v>391.78999999999996</v>
      </c>
    </row>
    <row r="164" spans="1:12" x14ac:dyDescent="0.25">
      <c r="A164" s="2">
        <v>43557</v>
      </c>
      <c r="B164" s="3">
        <v>0.50972222222222219</v>
      </c>
      <c r="C164" s="4" t="s">
        <v>188</v>
      </c>
      <c r="D164" s="4" t="s">
        <v>8</v>
      </c>
      <c r="E164" s="4" t="s">
        <v>9</v>
      </c>
      <c r="F164" s="4" t="s">
        <v>10</v>
      </c>
      <c r="G164" s="4" t="s">
        <v>21</v>
      </c>
      <c r="H164" s="4" t="s">
        <v>18</v>
      </c>
      <c r="I164" s="4" t="s">
        <v>19</v>
      </c>
      <c r="J164" s="5">
        <v>71.95</v>
      </c>
      <c r="K164" s="4">
        <v>1</v>
      </c>
      <c r="L164" s="6">
        <f t="shared" si="2"/>
        <v>71.95</v>
      </c>
    </row>
    <row r="165" spans="1:12" x14ac:dyDescent="0.25">
      <c r="A165" s="7">
        <v>43499</v>
      </c>
      <c r="B165" s="8">
        <v>0.59444444444444444</v>
      </c>
      <c r="C165" s="9" t="s">
        <v>189</v>
      </c>
      <c r="D165" s="9" t="s">
        <v>27</v>
      </c>
      <c r="E165" s="9" t="s">
        <v>28</v>
      </c>
      <c r="F165" s="9" t="s">
        <v>10</v>
      </c>
      <c r="G165" s="9" t="s">
        <v>21</v>
      </c>
      <c r="H165" s="9" t="s">
        <v>22</v>
      </c>
      <c r="I165" s="9" t="s">
        <v>19</v>
      </c>
      <c r="J165" s="10">
        <v>27</v>
      </c>
      <c r="K165" s="9">
        <v>9</v>
      </c>
      <c r="L165" s="11">
        <f t="shared" si="2"/>
        <v>243</v>
      </c>
    </row>
    <row r="166" spans="1:12" x14ac:dyDescent="0.25">
      <c r="A166" s="2">
        <v>43558</v>
      </c>
      <c r="B166" s="3">
        <v>0.65555555555555556</v>
      </c>
      <c r="C166" s="4" t="s">
        <v>190</v>
      </c>
      <c r="D166" s="4" t="s">
        <v>15</v>
      </c>
      <c r="E166" s="4" t="s">
        <v>16</v>
      </c>
      <c r="F166" s="4" t="s">
        <v>17</v>
      </c>
      <c r="G166" s="4" t="s">
        <v>11</v>
      </c>
      <c r="H166" s="4" t="s">
        <v>18</v>
      </c>
      <c r="I166" s="4" t="s">
        <v>19</v>
      </c>
      <c r="J166" s="5">
        <v>30.24</v>
      </c>
      <c r="K166" s="4">
        <v>1</v>
      </c>
      <c r="L166" s="6">
        <f t="shared" si="2"/>
        <v>30.24</v>
      </c>
    </row>
    <row r="167" spans="1:12" x14ac:dyDescent="0.25">
      <c r="A167" s="7">
        <v>43647</v>
      </c>
      <c r="B167" s="8">
        <v>0.51388888888888895</v>
      </c>
      <c r="C167" s="9" t="s">
        <v>191</v>
      </c>
      <c r="D167" s="9" t="s">
        <v>27</v>
      </c>
      <c r="E167" s="9" t="s">
        <v>28</v>
      </c>
      <c r="F167" s="9" t="s">
        <v>10</v>
      </c>
      <c r="G167" s="9" t="s">
        <v>11</v>
      </c>
      <c r="H167" s="9" t="s">
        <v>29</v>
      </c>
      <c r="I167" s="9" t="s">
        <v>23</v>
      </c>
      <c r="J167" s="10">
        <v>89.14</v>
      </c>
      <c r="K167" s="9">
        <v>4</v>
      </c>
      <c r="L167" s="11">
        <f t="shared" si="2"/>
        <v>356.56</v>
      </c>
    </row>
    <row r="168" spans="1:12" x14ac:dyDescent="0.25">
      <c r="A168" s="2">
        <v>43680</v>
      </c>
      <c r="B168" s="3">
        <v>0.8340277777777777</v>
      </c>
      <c r="C168" s="4" t="s">
        <v>192</v>
      </c>
      <c r="D168" s="4" t="s">
        <v>15</v>
      </c>
      <c r="E168" s="4" t="s">
        <v>16</v>
      </c>
      <c r="F168" s="4" t="s">
        <v>17</v>
      </c>
      <c r="G168" s="4" t="s">
        <v>11</v>
      </c>
      <c r="H168" s="4" t="s">
        <v>31</v>
      </c>
      <c r="I168" s="4" t="s">
        <v>23</v>
      </c>
      <c r="J168" s="5">
        <v>37.549999999999997</v>
      </c>
      <c r="K168" s="4">
        <v>10</v>
      </c>
      <c r="L168" s="6">
        <f t="shared" si="2"/>
        <v>375.5</v>
      </c>
    </row>
    <row r="169" spans="1:12" x14ac:dyDescent="0.25">
      <c r="A169" s="7">
        <v>43709</v>
      </c>
      <c r="B169" s="8">
        <v>0.57291666666666663</v>
      </c>
      <c r="C169" s="9" t="s">
        <v>193</v>
      </c>
      <c r="D169" s="9" t="s">
        <v>15</v>
      </c>
      <c r="E169" s="9" t="s">
        <v>16</v>
      </c>
      <c r="F169" s="9" t="s">
        <v>17</v>
      </c>
      <c r="G169" s="9" t="s">
        <v>11</v>
      </c>
      <c r="H169" s="9" t="s">
        <v>25</v>
      </c>
      <c r="I169" s="9" t="s">
        <v>19</v>
      </c>
      <c r="J169" s="10">
        <v>95.44</v>
      </c>
      <c r="K169" s="9">
        <v>10</v>
      </c>
      <c r="L169" s="11">
        <f t="shared" si="2"/>
        <v>954.4</v>
      </c>
    </row>
    <row r="170" spans="1:12" x14ac:dyDescent="0.25">
      <c r="A170" s="2">
        <v>43468</v>
      </c>
      <c r="B170" s="3">
        <v>0.65277777777777779</v>
      </c>
      <c r="C170" s="4" t="s">
        <v>194</v>
      </c>
      <c r="D170" s="4" t="s">
        <v>27</v>
      </c>
      <c r="E170" s="4" t="s">
        <v>28</v>
      </c>
      <c r="F170" s="4" t="s">
        <v>17</v>
      </c>
      <c r="G170" s="4" t="s">
        <v>21</v>
      </c>
      <c r="H170" s="4" t="s">
        <v>18</v>
      </c>
      <c r="I170" s="4" t="s">
        <v>13</v>
      </c>
      <c r="J170" s="5">
        <v>44343</v>
      </c>
      <c r="K170" s="4">
        <v>3</v>
      </c>
      <c r="L170" s="6">
        <f t="shared" si="2"/>
        <v>133029</v>
      </c>
    </row>
    <row r="171" spans="1:12" x14ac:dyDescent="0.25">
      <c r="A171" s="7">
        <v>43649</v>
      </c>
      <c r="B171" s="8">
        <v>0.85902777777777783</v>
      </c>
      <c r="C171" s="9" t="s">
        <v>195</v>
      </c>
      <c r="D171" s="9" t="s">
        <v>15</v>
      </c>
      <c r="E171" s="9" t="s">
        <v>16</v>
      </c>
      <c r="F171" s="9" t="s">
        <v>17</v>
      </c>
      <c r="G171" s="9" t="s">
        <v>21</v>
      </c>
      <c r="H171" s="9" t="s">
        <v>29</v>
      </c>
      <c r="I171" s="9" t="s">
        <v>13</v>
      </c>
      <c r="J171" s="10">
        <v>99.79</v>
      </c>
      <c r="K171" s="9">
        <v>2</v>
      </c>
      <c r="L171" s="11">
        <f t="shared" si="2"/>
        <v>199.58</v>
      </c>
    </row>
    <row r="172" spans="1:12" x14ac:dyDescent="0.25">
      <c r="A172" s="2">
        <v>43617</v>
      </c>
      <c r="B172" s="3">
        <v>0.5083333333333333</v>
      </c>
      <c r="C172" s="4" t="s">
        <v>196</v>
      </c>
      <c r="D172" s="4" t="s">
        <v>15</v>
      </c>
      <c r="E172" s="4" t="s">
        <v>16</v>
      </c>
      <c r="F172" s="4" t="s">
        <v>17</v>
      </c>
      <c r="G172" s="4" t="s">
        <v>11</v>
      </c>
      <c r="H172" s="4" t="s">
        <v>31</v>
      </c>
      <c r="I172" s="4" t="s">
        <v>19</v>
      </c>
      <c r="J172" s="5">
        <v>81.680000000000007</v>
      </c>
      <c r="K172" s="4">
        <v>4</v>
      </c>
      <c r="L172" s="6">
        <f t="shared" si="2"/>
        <v>326.72000000000003</v>
      </c>
    </row>
    <row r="173" spans="1:12" x14ac:dyDescent="0.25">
      <c r="A173" s="7">
        <v>43619</v>
      </c>
      <c r="B173" s="8">
        <v>0.53194444444444444</v>
      </c>
      <c r="C173" s="9" t="s">
        <v>197</v>
      </c>
      <c r="D173" s="9" t="s">
        <v>8</v>
      </c>
      <c r="E173" s="9" t="s">
        <v>9</v>
      </c>
      <c r="F173" s="9" t="s">
        <v>10</v>
      </c>
      <c r="G173" s="9" t="s">
        <v>21</v>
      </c>
      <c r="H173" s="9" t="s">
        <v>18</v>
      </c>
      <c r="I173" s="9" t="s">
        <v>23</v>
      </c>
      <c r="J173" s="10">
        <v>44337</v>
      </c>
      <c r="K173" s="9">
        <v>9</v>
      </c>
      <c r="L173" s="11">
        <f t="shared" si="2"/>
        <v>399033</v>
      </c>
    </row>
    <row r="174" spans="1:12" x14ac:dyDescent="0.25">
      <c r="A174" s="2">
        <v>43498</v>
      </c>
      <c r="B174" s="3">
        <v>0.81944444444444453</v>
      </c>
      <c r="C174" s="4" t="s">
        <v>198</v>
      </c>
      <c r="D174" s="4" t="s">
        <v>27</v>
      </c>
      <c r="E174" s="4" t="s">
        <v>28</v>
      </c>
      <c r="F174" s="4" t="s">
        <v>10</v>
      </c>
      <c r="G174" s="4" t="s">
        <v>11</v>
      </c>
      <c r="H174" s="4" t="s">
        <v>18</v>
      </c>
      <c r="I174" s="4" t="s">
        <v>19</v>
      </c>
      <c r="J174" s="5">
        <v>26.26</v>
      </c>
      <c r="K174" s="4">
        <v>7</v>
      </c>
      <c r="L174" s="6">
        <f t="shared" si="2"/>
        <v>183.82000000000002</v>
      </c>
    </row>
    <row r="175" spans="1:12" x14ac:dyDescent="0.25">
      <c r="A175" s="7">
        <v>43525</v>
      </c>
      <c r="B175" s="8">
        <v>0.69930555555555562</v>
      </c>
      <c r="C175" s="9" t="s">
        <v>199</v>
      </c>
      <c r="D175" s="9" t="s">
        <v>8</v>
      </c>
      <c r="E175" s="9" t="s">
        <v>9</v>
      </c>
      <c r="F175" s="9" t="s">
        <v>17</v>
      </c>
      <c r="G175" s="9" t="s">
        <v>11</v>
      </c>
      <c r="H175" s="9" t="s">
        <v>22</v>
      </c>
      <c r="I175" s="9" t="s">
        <v>23</v>
      </c>
      <c r="J175" s="10">
        <v>67.09</v>
      </c>
      <c r="K175" s="9">
        <v>5</v>
      </c>
      <c r="L175" s="11">
        <f t="shared" si="2"/>
        <v>335.45000000000005</v>
      </c>
    </row>
    <row r="176" spans="1:12" x14ac:dyDescent="0.25">
      <c r="A176" s="2">
        <v>43586</v>
      </c>
      <c r="B176" s="3">
        <v>0.82638888888888884</v>
      </c>
      <c r="C176" s="4" t="s">
        <v>200</v>
      </c>
      <c r="D176" s="4" t="s">
        <v>27</v>
      </c>
      <c r="E176" s="4" t="s">
        <v>28</v>
      </c>
      <c r="F176" s="4" t="s">
        <v>10</v>
      </c>
      <c r="G176" s="4" t="s">
        <v>11</v>
      </c>
      <c r="H176" s="4" t="s">
        <v>22</v>
      </c>
      <c r="I176" s="4" t="s">
        <v>23</v>
      </c>
      <c r="J176" s="5">
        <v>35.380000000000003</v>
      </c>
      <c r="K176" s="4">
        <v>9</v>
      </c>
      <c r="L176" s="6">
        <f t="shared" si="2"/>
        <v>318.42</v>
      </c>
    </row>
    <row r="177" spans="1:12" x14ac:dyDescent="0.25">
      <c r="A177" s="7">
        <v>43618</v>
      </c>
      <c r="B177" s="8">
        <v>0.72222222222222221</v>
      </c>
      <c r="C177" s="9" t="s">
        <v>201</v>
      </c>
      <c r="D177" s="9" t="s">
        <v>15</v>
      </c>
      <c r="E177" s="9" t="s">
        <v>16</v>
      </c>
      <c r="F177" s="9" t="s">
        <v>10</v>
      </c>
      <c r="G177" s="9" t="s">
        <v>21</v>
      </c>
      <c r="H177" s="9" t="s">
        <v>31</v>
      </c>
      <c r="I177" s="9" t="s">
        <v>13</v>
      </c>
      <c r="J177" s="10">
        <v>96.98</v>
      </c>
      <c r="K177" s="9">
        <v>4</v>
      </c>
      <c r="L177" s="11">
        <f t="shared" si="2"/>
        <v>387.92</v>
      </c>
    </row>
    <row r="178" spans="1:12" x14ac:dyDescent="0.25">
      <c r="A178" s="2">
        <v>43770</v>
      </c>
      <c r="B178" s="3">
        <v>0.44236111111111115</v>
      </c>
      <c r="C178" s="4" t="s">
        <v>202</v>
      </c>
      <c r="D178" s="4" t="s">
        <v>8</v>
      </c>
      <c r="E178" s="4" t="s">
        <v>9</v>
      </c>
      <c r="F178" s="4" t="s">
        <v>10</v>
      </c>
      <c r="G178" s="4" t="s">
        <v>21</v>
      </c>
      <c r="H178" s="4" t="s">
        <v>25</v>
      </c>
      <c r="I178" s="4" t="s">
        <v>23</v>
      </c>
      <c r="J178" s="5">
        <v>82.33</v>
      </c>
      <c r="K178" s="4">
        <v>4</v>
      </c>
      <c r="L178" s="6">
        <f t="shared" si="2"/>
        <v>329.32</v>
      </c>
    </row>
    <row r="179" spans="1:12" x14ac:dyDescent="0.25">
      <c r="A179" s="7">
        <v>43468</v>
      </c>
      <c r="B179" s="8">
        <v>0.64722222222222225</v>
      </c>
      <c r="C179" s="9" t="s">
        <v>203</v>
      </c>
      <c r="D179" s="9" t="s">
        <v>15</v>
      </c>
      <c r="E179" s="9" t="s">
        <v>16</v>
      </c>
      <c r="F179" s="9" t="s">
        <v>10</v>
      </c>
      <c r="G179" s="9" t="s">
        <v>11</v>
      </c>
      <c r="H179" s="9" t="s">
        <v>29</v>
      </c>
      <c r="I179" s="9" t="s">
        <v>13</v>
      </c>
      <c r="J179" s="10">
        <v>74.89</v>
      </c>
      <c r="K179" s="9">
        <v>4</v>
      </c>
      <c r="L179" s="11">
        <f t="shared" si="2"/>
        <v>299.56</v>
      </c>
    </row>
    <row r="180" spans="1:12" x14ac:dyDescent="0.25">
      <c r="A180" s="2">
        <v>43617</v>
      </c>
      <c r="B180" s="3">
        <v>0.58194444444444449</v>
      </c>
      <c r="C180" s="4" t="s">
        <v>204</v>
      </c>
      <c r="D180" s="4" t="s">
        <v>8</v>
      </c>
      <c r="E180" s="4" t="s">
        <v>9</v>
      </c>
      <c r="F180" s="4" t="s">
        <v>17</v>
      </c>
      <c r="G180" s="4" t="s">
        <v>11</v>
      </c>
      <c r="H180" s="4" t="s">
        <v>29</v>
      </c>
      <c r="I180" s="4" t="s">
        <v>13</v>
      </c>
      <c r="J180" s="5">
        <v>40.94</v>
      </c>
      <c r="K180" s="4">
        <v>5</v>
      </c>
      <c r="L180" s="6">
        <f t="shared" si="2"/>
        <v>204.7</v>
      </c>
    </row>
    <row r="181" spans="1:12" x14ac:dyDescent="0.25">
      <c r="A181" s="7">
        <v>43772</v>
      </c>
      <c r="B181" s="8">
        <v>0.56736111111111109</v>
      </c>
      <c r="C181" s="9" t="s">
        <v>205</v>
      </c>
      <c r="D181" s="9" t="s">
        <v>15</v>
      </c>
      <c r="E181" s="9" t="s">
        <v>16</v>
      </c>
      <c r="F181" s="9" t="s">
        <v>17</v>
      </c>
      <c r="G181" s="9" t="s">
        <v>21</v>
      </c>
      <c r="H181" s="9" t="s">
        <v>29</v>
      </c>
      <c r="I181" s="9" t="s">
        <v>19</v>
      </c>
      <c r="J181" s="10">
        <v>46.77</v>
      </c>
      <c r="K181" s="9">
        <v>6</v>
      </c>
      <c r="L181" s="11">
        <f t="shared" si="2"/>
        <v>280.62</v>
      </c>
    </row>
    <row r="182" spans="1:12" x14ac:dyDescent="0.25">
      <c r="A182" s="2">
        <v>43741</v>
      </c>
      <c r="B182" s="3">
        <v>0.58611111111111114</v>
      </c>
      <c r="C182" s="4" t="s">
        <v>206</v>
      </c>
      <c r="D182" s="4" t="s">
        <v>27</v>
      </c>
      <c r="E182" s="4" t="s">
        <v>28</v>
      </c>
      <c r="F182" s="4" t="s">
        <v>17</v>
      </c>
      <c r="G182" s="4" t="s">
        <v>21</v>
      </c>
      <c r="H182" s="4" t="s">
        <v>29</v>
      </c>
      <c r="I182" s="4" t="s">
        <v>23</v>
      </c>
      <c r="J182" s="5">
        <v>18.22</v>
      </c>
      <c r="K182" s="4">
        <v>7</v>
      </c>
      <c r="L182" s="6">
        <f t="shared" si="2"/>
        <v>127.53999999999999</v>
      </c>
    </row>
    <row r="183" spans="1:12" x14ac:dyDescent="0.25">
      <c r="A183" s="7">
        <v>43711</v>
      </c>
      <c r="B183" s="8">
        <v>0.53125</v>
      </c>
      <c r="C183" s="9" t="s">
        <v>207</v>
      </c>
      <c r="D183" s="9" t="s">
        <v>8</v>
      </c>
      <c r="E183" s="9" t="s">
        <v>9</v>
      </c>
      <c r="F183" s="9" t="s">
        <v>10</v>
      </c>
      <c r="G183" s="9" t="s">
        <v>11</v>
      </c>
      <c r="H183" s="9" t="s">
        <v>25</v>
      </c>
      <c r="I183" s="9" t="s">
        <v>23</v>
      </c>
      <c r="J183" s="10">
        <v>52.26</v>
      </c>
      <c r="K183" s="9">
        <v>10</v>
      </c>
      <c r="L183" s="11">
        <f t="shared" si="2"/>
        <v>522.6</v>
      </c>
    </row>
    <row r="184" spans="1:12" x14ac:dyDescent="0.25">
      <c r="A184" s="2">
        <v>43619</v>
      </c>
      <c r="B184" s="3">
        <v>0.44166666666666665</v>
      </c>
      <c r="C184" s="4" t="s">
        <v>208</v>
      </c>
      <c r="D184" s="4" t="s">
        <v>8</v>
      </c>
      <c r="E184" s="4" t="s">
        <v>9</v>
      </c>
      <c r="F184" s="4" t="s">
        <v>17</v>
      </c>
      <c r="G184" s="4" t="s">
        <v>11</v>
      </c>
      <c r="H184" s="4" t="s">
        <v>12</v>
      </c>
      <c r="I184" s="4" t="s">
        <v>13</v>
      </c>
      <c r="J184" s="5">
        <v>79.739999999999995</v>
      </c>
      <c r="K184" s="4">
        <v>1</v>
      </c>
      <c r="L184" s="6">
        <f t="shared" si="2"/>
        <v>79.739999999999995</v>
      </c>
    </row>
    <row r="185" spans="1:12" x14ac:dyDescent="0.25">
      <c r="A185" s="7">
        <v>43588</v>
      </c>
      <c r="B185" s="8">
        <v>0.5625</v>
      </c>
      <c r="C185" s="9" t="s">
        <v>209</v>
      </c>
      <c r="D185" s="9" t="s">
        <v>27</v>
      </c>
      <c r="E185" s="9" t="s">
        <v>28</v>
      </c>
      <c r="F185" s="9" t="s">
        <v>10</v>
      </c>
      <c r="G185" s="9" t="s">
        <v>11</v>
      </c>
      <c r="H185" s="9" t="s">
        <v>12</v>
      </c>
      <c r="I185" s="9" t="s">
        <v>23</v>
      </c>
      <c r="J185" s="10">
        <v>41.06</v>
      </c>
      <c r="K185" s="9">
        <v>6</v>
      </c>
      <c r="L185" s="11">
        <f t="shared" si="2"/>
        <v>246.36</v>
      </c>
    </row>
    <row r="186" spans="1:12" x14ac:dyDescent="0.25">
      <c r="A186" s="2">
        <v>43558</v>
      </c>
      <c r="B186" s="3">
        <v>0.68611111111111101</v>
      </c>
      <c r="C186" s="4" t="s">
        <v>210</v>
      </c>
      <c r="D186" s="4" t="s">
        <v>27</v>
      </c>
      <c r="E186" s="4" t="s">
        <v>28</v>
      </c>
      <c r="F186" s="4" t="s">
        <v>10</v>
      </c>
      <c r="G186" s="4" t="s">
        <v>21</v>
      </c>
      <c r="H186" s="4" t="s">
        <v>18</v>
      </c>
      <c r="I186" s="4" t="s">
        <v>19</v>
      </c>
      <c r="J186" s="5">
        <v>19.239999999999998</v>
      </c>
      <c r="K186" s="4">
        <v>9</v>
      </c>
      <c r="L186" s="6">
        <f t="shared" si="2"/>
        <v>173.16</v>
      </c>
    </row>
    <row r="187" spans="1:12" x14ac:dyDescent="0.25">
      <c r="A187" s="7">
        <v>43802</v>
      </c>
      <c r="B187" s="8">
        <v>0.83611111111111114</v>
      </c>
      <c r="C187" s="9" t="s">
        <v>211</v>
      </c>
      <c r="D187" s="9" t="s">
        <v>15</v>
      </c>
      <c r="E187" s="9" t="s">
        <v>16</v>
      </c>
      <c r="F187" s="9" t="s">
        <v>17</v>
      </c>
      <c r="G187" s="9" t="s">
        <v>21</v>
      </c>
      <c r="H187" s="9" t="s">
        <v>22</v>
      </c>
      <c r="I187" s="9" t="s">
        <v>23</v>
      </c>
      <c r="J187" s="10">
        <v>46.22</v>
      </c>
      <c r="K187" s="9">
        <v>4</v>
      </c>
      <c r="L187" s="11">
        <f t="shared" si="2"/>
        <v>184.88</v>
      </c>
    </row>
    <row r="188" spans="1:12" x14ac:dyDescent="0.25">
      <c r="A188" s="2">
        <v>43557</v>
      </c>
      <c r="B188" s="3">
        <v>0.56805555555555554</v>
      </c>
      <c r="C188" s="4" t="s">
        <v>212</v>
      </c>
      <c r="D188" s="4" t="s">
        <v>15</v>
      </c>
      <c r="E188" s="4" t="s">
        <v>16</v>
      </c>
      <c r="F188" s="4" t="s">
        <v>10</v>
      </c>
      <c r="G188" s="4" t="s">
        <v>21</v>
      </c>
      <c r="H188" s="4" t="s">
        <v>22</v>
      </c>
      <c r="I188" s="4" t="s">
        <v>13</v>
      </c>
      <c r="J188" s="5">
        <v>13.98</v>
      </c>
      <c r="K188" s="4">
        <v>1</v>
      </c>
      <c r="L188" s="6">
        <f t="shared" si="2"/>
        <v>13.98</v>
      </c>
    </row>
    <row r="189" spans="1:12" x14ac:dyDescent="0.25">
      <c r="A189" s="7">
        <v>43770</v>
      </c>
      <c r="B189" s="8">
        <v>0.79652777777777783</v>
      </c>
      <c r="C189" s="9" t="s">
        <v>213</v>
      </c>
      <c r="D189" s="9" t="s">
        <v>8</v>
      </c>
      <c r="E189" s="9" t="s">
        <v>9</v>
      </c>
      <c r="F189" s="9" t="s">
        <v>17</v>
      </c>
      <c r="G189" s="9" t="s">
        <v>21</v>
      </c>
      <c r="H189" s="9" t="s">
        <v>29</v>
      </c>
      <c r="I189" s="9" t="s">
        <v>23</v>
      </c>
      <c r="J189" s="10">
        <v>13.79</v>
      </c>
      <c r="K189" s="9">
        <v>5</v>
      </c>
      <c r="L189" s="11">
        <f t="shared" si="2"/>
        <v>68.949999999999989</v>
      </c>
    </row>
    <row r="190" spans="1:12" x14ac:dyDescent="0.25">
      <c r="A190" s="2">
        <v>43556</v>
      </c>
      <c r="B190" s="3">
        <v>0.79236111111111107</v>
      </c>
      <c r="C190" s="4" t="s">
        <v>214</v>
      </c>
      <c r="D190" s="4" t="s">
        <v>27</v>
      </c>
      <c r="E190" s="4" t="s">
        <v>28</v>
      </c>
      <c r="F190" s="4" t="s">
        <v>10</v>
      </c>
      <c r="G190" s="4" t="s">
        <v>11</v>
      </c>
      <c r="H190" s="4" t="s">
        <v>31</v>
      </c>
      <c r="I190" s="4" t="s">
        <v>19</v>
      </c>
      <c r="J190" s="5">
        <v>68.709999999999994</v>
      </c>
      <c r="K190" s="4">
        <v>4</v>
      </c>
      <c r="L190" s="6">
        <f t="shared" si="2"/>
        <v>274.83999999999997</v>
      </c>
    </row>
    <row r="191" spans="1:12" x14ac:dyDescent="0.25">
      <c r="A191" s="7">
        <v>43558</v>
      </c>
      <c r="B191" s="8">
        <v>0.82500000000000007</v>
      </c>
      <c r="C191" s="9" t="s">
        <v>215</v>
      </c>
      <c r="D191" s="9" t="s">
        <v>8</v>
      </c>
      <c r="E191" s="9" t="s">
        <v>9</v>
      </c>
      <c r="F191" s="9" t="s">
        <v>17</v>
      </c>
      <c r="G191" s="9" t="s">
        <v>11</v>
      </c>
      <c r="H191" s="9" t="s">
        <v>22</v>
      </c>
      <c r="I191" s="9" t="s">
        <v>13</v>
      </c>
      <c r="J191" s="10">
        <v>56.53</v>
      </c>
      <c r="K191" s="9">
        <v>4</v>
      </c>
      <c r="L191" s="11">
        <f t="shared" si="2"/>
        <v>226.12</v>
      </c>
    </row>
    <row r="192" spans="1:12" x14ac:dyDescent="0.25">
      <c r="A192" s="2">
        <v>43497</v>
      </c>
      <c r="B192" s="3">
        <v>0.54166666666666663</v>
      </c>
      <c r="C192" s="4" t="s">
        <v>216</v>
      </c>
      <c r="D192" s="4" t="s">
        <v>27</v>
      </c>
      <c r="E192" s="4" t="s">
        <v>28</v>
      </c>
      <c r="F192" s="4" t="s">
        <v>17</v>
      </c>
      <c r="G192" s="4" t="s">
        <v>11</v>
      </c>
      <c r="H192" s="4" t="s">
        <v>12</v>
      </c>
      <c r="I192" s="4" t="s">
        <v>19</v>
      </c>
      <c r="J192" s="5">
        <v>34.21</v>
      </c>
      <c r="K192" s="4">
        <v>10</v>
      </c>
      <c r="L192" s="6">
        <f t="shared" si="2"/>
        <v>342.1</v>
      </c>
    </row>
    <row r="193" spans="1:12" x14ac:dyDescent="0.25">
      <c r="A193" s="7">
        <v>43556</v>
      </c>
      <c r="B193" s="8">
        <v>0.55625000000000002</v>
      </c>
      <c r="C193" s="9" t="s">
        <v>217</v>
      </c>
      <c r="D193" s="9" t="s">
        <v>8</v>
      </c>
      <c r="E193" s="9" t="s">
        <v>9</v>
      </c>
      <c r="F193" s="9" t="s">
        <v>10</v>
      </c>
      <c r="G193" s="9" t="s">
        <v>21</v>
      </c>
      <c r="H193" s="9" t="s">
        <v>12</v>
      </c>
      <c r="I193" s="9" t="s">
        <v>19</v>
      </c>
      <c r="J193" s="10">
        <v>20.97</v>
      </c>
      <c r="K193" s="9">
        <v>5</v>
      </c>
      <c r="L193" s="11">
        <f t="shared" si="2"/>
        <v>104.85</v>
      </c>
    </row>
    <row r="194" spans="1:12" x14ac:dyDescent="0.25">
      <c r="A194" s="2">
        <v>43741</v>
      </c>
      <c r="B194" s="3">
        <v>0.78819444444444453</v>
      </c>
      <c r="C194" s="4" t="s">
        <v>218</v>
      </c>
      <c r="D194" s="4" t="s">
        <v>8</v>
      </c>
      <c r="E194" s="4" t="s">
        <v>9</v>
      </c>
      <c r="F194" s="4" t="s">
        <v>17</v>
      </c>
      <c r="G194" s="4" t="s">
        <v>21</v>
      </c>
      <c r="H194" s="4" t="s">
        <v>25</v>
      </c>
      <c r="I194" s="4" t="s">
        <v>13</v>
      </c>
      <c r="J194" s="5">
        <v>25.84</v>
      </c>
      <c r="K194" s="4">
        <v>3</v>
      </c>
      <c r="L194" s="6">
        <f t="shared" si="2"/>
        <v>77.52</v>
      </c>
    </row>
    <row r="195" spans="1:12" x14ac:dyDescent="0.25">
      <c r="A195" s="7">
        <v>43678</v>
      </c>
      <c r="B195" s="8">
        <v>0.57500000000000007</v>
      </c>
      <c r="C195" s="9" t="s">
        <v>219</v>
      </c>
      <c r="D195" s="9" t="s">
        <v>15</v>
      </c>
      <c r="E195" s="9" t="s">
        <v>16</v>
      </c>
      <c r="F195" s="9" t="s">
        <v>17</v>
      </c>
      <c r="G195" s="9" t="s">
        <v>11</v>
      </c>
      <c r="H195" s="9" t="s">
        <v>22</v>
      </c>
      <c r="I195" s="9" t="s">
        <v>23</v>
      </c>
      <c r="J195" s="10">
        <v>45.38</v>
      </c>
      <c r="K195" s="9">
        <v>4</v>
      </c>
      <c r="L195" s="11">
        <f t="shared" ref="L195:L258" si="3">J195*K195</f>
        <v>181.52</v>
      </c>
    </row>
    <row r="196" spans="1:12" x14ac:dyDescent="0.25">
      <c r="A196" s="2">
        <v>43800</v>
      </c>
      <c r="B196" s="3">
        <v>0.71736111111111101</v>
      </c>
      <c r="C196" s="4" t="s">
        <v>220</v>
      </c>
      <c r="D196" s="4" t="s">
        <v>27</v>
      </c>
      <c r="E196" s="4" t="s">
        <v>28</v>
      </c>
      <c r="F196" s="4" t="s">
        <v>17</v>
      </c>
      <c r="G196" s="4" t="s">
        <v>11</v>
      </c>
      <c r="H196" s="4" t="s">
        <v>12</v>
      </c>
      <c r="I196" s="4" t="s">
        <v>13</v>
      </c>
      <c r="J196" s="5">
        <v>57.22</v>
      </c>
      <c r="K196" s="4">
        <v>2</v>
      </c>
      <c r="L196" s="6">
        <f t="shared" si="3"/>
        <v>114.44</v>
      </c>
    </row>
    <row r="197" spans="1:12" x14ac:dyDescent="0.25">
      <c r="A197" s="7">
        <v>43557</v>
      </c>
      <c r="B197" s="8">
        <v>0.43263888888888885</v>
      </c>
      <c r="C197" s="9" t="s">
        <v>221</v>
      </c>
      <c r="D197" s="9" t="s">
        <v>8</v>
      </c>
      <c r="E197" s="9" t="s">
        <v>9</v>
      </c>
      <c r="F197" s="9" t="s">
        <v>10</v>
      </c>
      <c r="G197" s="9" t="s">
        <v>11</v>
      </c>
      <c r="H197" s="9" t="s">
        <v>18</v>
      </c>
      <c r="I197" s="9" t="s">
        <v>19</v>
      </c>
      <c r="J197" s="10">
        <v>25.22</v>
      </c>
      <c r="K197" s="9">
        <v>7</v>
      </c>
      <c r="L197" s="11">
        <f t="shared" si="3"/>
        <v>176.54</v>
      </c>
    </row>
    <row r="198" spans="1:12" x14ac:dyDescent="0.25">
      <c r="A198" s="2">
        <v>43679</v>
      </c>
      <c r="B198" s="3">
        <v>0.54166666666666663</v>
      </c>
      <c r="C198" s="4" t="s">
        <v>222</v>
      </c>
      <c r="D198" s="4" t="s">
        <v>15</v>
      </c>
      <c r="E198" s="4" t="s">
        <v>16</v>
      </c>
      <c r="F198" s="4" t="s">
        <v>10</v>
      </c>
      <c r="G198" s="4" t="s">
        <v>11</v>
      </c>
      <c r="H198" s="4" t="s">
        <v>31</v>
      </c>
      <c r="I198" s="4" t="s">
        <v>23</v>
      </c>
      <c r="J198" s="5">
        <v>97.21</v>
      </c>
      <c r="K198" s="4">
        <v>10</v>
      </c>
      <c r="L198" s="6">
        <f t="shared" si="3"/>
        <v>972.09999999999991</v>
      </c>
    </row>
    <row r="199" spans="1:12" x14ac:dyDescent="0.25">
      <c r="A199" s="7">
        <v>43711</v>
      </c>
      <c r="B199" s="8">
        <v>0.65</v>
      </c>
      <c r="C199" s="9" t="s">
        <v>223</v>
      </c>
      <c r="D199" s="9" t="s">
        <v>15</v>
      </c>
      <c r="E199" s="9" t="s">
        <v>16</v>
      </c>
      <c r="F199" s="9" t="s">
        <v>17</v>
      </c>
      <c r="G199" s="9" t="s">
        <v>21</v>
      </c>
      <c r="H199" s="9" t="s">
        <v>31</v>
      </c>
      <c r="I199" s="9" t="s">
        <v>19</v>
      </c>
      <c r="J199" s="10">
        <v>16.28</v>
      </c>
      <c r="K199" s="9">
        <v>1</v>
      </c>
      <c r="L199" s="11">
        <f t="shared" si="3"/>
        <v>16.28</v>
      </c>
    </row>
    <row r="200" spans="1:12" x14ac:dyDescent="0.25">
      <c r="A200" s="2">
        <v>43497</v>
      </c>
      <c r="B200" s="3">
        <v>0.56944444444444442</v>
      </c>
      <c r="C200" s="4" t="s">
        <v>224</v>
      </c>
      <c r="D200" s="4" t="s">
        <v>27</v>
      </c>
      <c r="E200" s="4" t="s">
        <v>28</v>
      </c>
      <c r="F200" s="4" t="s">
        <v>10</v>
      </c>
      <c r="G200" s="4" t="s">
        <v>21</v>
      </c>
      <c r="H200" s="4" t="s">
        <v>31</v>
      </c>
      <c r="I200" s="4" t="s">
        <v>19</v>
      </c>
      <c r="J200" s="5">
        <v>40.61</v>
      </c>
      <c r="K200" s="4">
        <v>9</v>
      </c>
      <c r="L200" s="6">
        <f t="shared" si="3"/>
        <v>365.49</v>
      </c>
    </row>
    <row r="201" spans="1:12" x14ac:dyDescent="0.25">
      <c r="A201" s="7">
        <v>43680</v>
      </c>
      <c r="B201" s="8">
        <v>0.45347222222222222</v>
      </c>
      <c r="C201" s="9" t="s">
        <v>225</v>
      </c>
      <c r="D201" s="9" t="s">
        <v>8</v>
      </c>
      <c r="E201" s="9" t="s">
        <v>9</v>
      </c>
      <c r="F201" s="9" t="s">
        <v>10</v>
      </c>
      <c r="G201" s="9" t="s">
        <v>11</v>
      </c>
      <c r="H201" s="9" t="s">
        <v>22</v>
      </c>
      <c r="I201" s="9" t="s">
        <v>13</v>
      </c>
      <c r="J201" s="10">
        <v>90.65</v>
      </c>
      <c r="K201" s="9">
        <v>10</v>
      </c>
      <c r="L201" s="11">
        <f t="shared" si="3"/>
        <v>906.5</v>
      </c>
    </row>
    <row r="202" spans="1:12" x14ac:dyDescent="0.25">
      <c r="A202" s="2">
        <v>43680</v>
      </c>
      <c r="B202" s="3">
        <v>0.70347222222222217</v>
      </c>
      <c r="C202" s="4" t="s">
        <v>226</v>
      </c>
      <c r="D202" s="4" t="s">
        <v>15</v>
      </c>
      <c r="E202" s="4" t="s">
        <v>16</v>
      </c>
      <c r="F202" s="4" t="s">
        <v>17</v>
      </c>
      <c r="G202" s="4" t="s">
        <v>21</v>
      </c>
      <c r="H202" s="4" t="s">
        <v>29</v>
      </c>
      <c r="I202" s="4" t="s">
        <v>13</v>
      </c>
      <c r="J202" s="5">
        <v>43.27</v>
      </c>
      <c r="K202" s="4">
        <v>2</v>
      </c>
      <c r="L202" s="6">
        <f t="shared" si="3"/>
        <v>86.54</v>
      </c>
    </row>
    <row r="203" spans="1:12" x14ac:dyDescent="0.25">
      <c r="A203" s="7">
        <v>43711</v>
      </c>
      <c r="B203" s="8">
        <v>0.60833333333333328</v>
      </c>
      <c r="C203" s="9" t="s">
        <v>227</v>
      </c>
      <c r="D203" s="9" t="s">
        <v>27</v>
      </c>
      <c r="E203" s="9" t="s">
        <v>28</v>
      </c>
      <c r="F203" s="9" t="s">
        <v>17</v>
      </c>
      <c r="G203" s="9" t="s">
        <v>21</v>
      </c>
      <c r="H203" s="9" t="s">
        <v>31</v>
      </c>
      <c r="I203" s="9" t="s">
        <v>23</v>
      </c>
      <c r="J203" s="10">
        <v>95.54</v>
      </c>
      <c r="K203" s="9">
        <v>7</v>
      </c>
      <c r="L203" s="11">
        <f t="shared" si="3"/>
        <v>668.78000000000009</v>
      </c>
    </row>
    <row r="204" spans="1:12" x14ac:dyDescent="0.25">
      <c r="A204" s="2">
        <v>43680</v>
      </c>
      <c r="B204" s="3">
        <v>0.65069444444444446</v>
      </c>
      <c r="C204" s="4" t="s">
        <v>228</v>
      </c>
      <c r="D204" s="4" t="s">
        <v>8</v>
      </c>
      <c r="E204" s="4" t="s">
        <v>9</v>
      </c>
      <c r="F204" s="4" t="s">
        <v>17</v>
      </c>
      <c r="G204" s="4" t="s">
        <v>21</v>
      </c>
      <c r="H204" s="4" t="s">
        <v>22</v>
      </c>
      <c r="I204" s="4" t="s">
        <v>23</v>
      </c>
      <c r="J204" s="5">
        <v>33.99</v>
      </c>
      <c r="K204" s="4">
        <v>6</v>
      </c>
      <c r="L204" s="6">
        <f t="shared" si="3"/>
        <v>203.94</v>
      </c>
    </row>
    <row r="205" spans="1:12" x14ac:dyDescent="0.25">
      <c r="A205" s="7">
        <v>43680</v>
      </c>
      <c r="B205" s="8">
        <v>0.84375</v>
      </c>
      <c r="C205" s="9" t="s">
        <v>229</v>
      </c>
      <c r="D205" s="9" t="s">
        <v>15</v>
      </c>
      <c r="E205" s="9" t="s">
        <v>16</v>
      </c>
      <c r="F205" s="9" t="s">
        <v>10</v>
      </c>
      <c r="G205" s="9" t="s">
        <v>21</v>
      </c>
      <c r="H205" s="9" t="s">
        <v>29</v>
      </c>
      <c r="I205" s="9" t="s">
        <v>13</v>
      </c>
      <c r="J205" s="10">
        <v>44303</v>
      </c>
      <c r="K205" s="9">
        <v>4</v>
      </c>
      <c r="L205" s="11">
        <f t="shared" si="3"/>
        <v>177212</v>
      </c>
    </row>
    <row r="206" spans="1:12" x14ac:dyDescent="0.25">
      <c r="A206" s="2">
        <v>43648</v>
      </c>
      <c r="B206" s="3">
        <v>0.60972222222222217</v>
      </c>
      <c r="C206" s="4" t="s">
        <v>230</v>
      </c>
      <c r="D206" s="4" t="s">
        <v>15</v>
      </c>
      <c r="E206" s="4" t="s">
        <v>16</v>
      </c>
      <c r="F206" s="4" t="s">
        <v>17</v>
      </c>
      <c r="G206" s="4" t="s">
        <v>11</v>
      </c>
      <c r="H206" s="4" t="s">
        <v>18</v>
      </c>
      <c r="I206" s="4" t="s">
        <v>23</v>
      </c>
      <c r="J206" s="5">
        <v>40.86</v>
      </c>
      <c r="K206" s="4">
        <v>8</v>
      </c>
      <c r="L206" s="6">
        <f t="shared" si="3"/>
        <v>326.88</v>
      </c>
    </row>
    <row r="207" spans="1:12" x14ac:dyDescent="0.25">
      <c r="A207" s="7">
        <v>43678</v>
      </c>
      <c r="B207" s="8">
        <v>0.59097222222222223</v>
      </c>
      <c r="C207" s="9" t="s">
        <v>231</v>
      </c>
      <c r="D207" s="9" t="s">
        <v>15</v>
      </c>
      <c r="E207" s="9" t="s">
        <v>16</v>
      </c>
      <c r="F207" s="9" t="s">
        <v>17</v>
      </c>
      <c r="G207" s="9" t="s">
        <v>21</v>
      </c>
      <c r="H207" s="9" t="s">
        <v>31</v>
      </c>
      <c r="I207" s="9" t="s">
        <v>13</v>
      </c>
      <c r="J207" s="10">
        <v>28825</v>
      </c>
      <c r="K207" s="9">
        <v>1</v>
      </c>
      <c r="L207" s="11">
        <f t="shared" si="3"/>
        <v>28825</v>
      </c>
    </row>
    <row r="208" spans="1:12" x14ac:dyDescent="0.25">
      <c r="A208" s="2">
        <v>43741</v>
      </c>
      <c r="B208" s="3">
        <v>0.73472222222222217</v>
      </c>
      <c r="C208" s="4" t="s">
        <v>232</v>
      </c>
      <c r="D208" s="4" t="s">
        <v>15</v>
      </c>
      <c r="E208" s="4" t="s">
        <v>16</v>
      </c>
      <c r="F208" s="4" t="s">
        <v>17</v>
      </c>
      <c r="G208" s="4" t="s">
        <v>21</v>
      </c>
      <c r="H208" s="4" t="s">
        <v>31</v>
      </c>
      <c r="I208" s="4" t="s">
        <v>23</v>
      </c>
      <c r="J208" s="5">
        <v>45.74</v>
      </c>
      <c r="K208" s="4">
        <v>3</v>
      </c>
      <c r="L208" s="6">
        <f t="shared" si="3"/>
        <v>137.22</v>
      </c>
    </row>
    <row r="209" spans="1:12" x14ac:dyDescent="0.25">
      <c r="A209" s="7">
        <v>43800</v>
      </c>
      <c r="B209" s="8">
        <v>0.83819444444444446</v>
      </c>
      <c r="C209" s="9" t="s">
        <v>233</v>
      </c>
      <c r="D209" s="9" t="s">
        <v>27</v>
      </c>
      <c r="E209" s="9" t="s">
        <v>28</v>
      </c>
      <c r="F209" s="9" t="s">
        <v>10</v>
      </c>
      <c r="G209" s="9" t="s">
        <v>11</v>
      </c>
      <c r="H209" s="9" t="s">
        <v>12</v>
      </c>
      <c r="I209" s="9" t="s">
        <v>23</v>
      </c>
      <c r="J209" s="10">
        <v>44404</v>
      </c>
      <c r="K209" s="9">
        <v>1</v>
      </c>
      <c r="L209" s="11">
        <f t="shared" si="3"/>
        <v>44404</v>
      </c>
    </row>
    <row r="210" spans="1:12" x14ac:dyDescent="0.25">
      <c r="A210" s="2">
        <v>43466</v>
      </c>
      <c r="B210" s="3">
        <v>0.79652777777777783</v>
      </c>
      <c r="C210" s="4" t="s">
        <v>234</v>
      </c>
      <c r="D210" s="4" t="s">
        <v>27</v>
      </c>
      <c r="E210" s="4" t="s">
        <v>28</v>
      </c>
      <c r="F210" s="4" t="s">
        <v>17</v>
      </c>
      <c r="G210" s="4" t="s">
        <v>11</v>
      </c>
      <c r="H210" s="4" t="s">
        <v>18</v>
      </c>
      <c r="I210" s="4" t="s">
        <v>19</v>
      </c>
      <c r="J210" s="5">
        <v>74.709999999999994</v>
      </c>
      <c r="K210" s="4">
        <v>6</v>
      </c>
      <c r="L210" s="6">
        <f t="shared" si="3"/>
        <v>448.26</v>
      </c>
    </row>
    <row r="211" spans="1:12" x14ac:dyDescent="0.25">
      <c r="A211" s="7">
        <v>43497</v>
      </c>
      <c r="B211" s="8">
        <v>0.78472222222222221</v>
      </c>
      <c r="C211" s="9" t="s">
        <v>235</v>
      </c>
      <c r="D211" s="9" t="s">
        <v>27</v>
      </c>
      <c r="E211" s="9" t="s">
        <v>28</v>
      </c>
      <c r="F211" s="9" t="s">
        <v>17</v>
      </c>
      <c r="G211" s="9" t="s">
        <v>21</v>
      </c>
      <c r="H211" s="9" t="s">
        <v>18</v>
      </c>
      <c r="I211" s="9" t="s">
        <v>19</v>
      </c>
      <c r="J211" s="10">
        <v>44218</v>
      </c>
      <c r="K211" s="9">
        <v>6</v>
      </c>
      <c r="L211" s="11">
        <f t="shared" si="3"/>
        <v>265308</v>
      </c>
    </row>
    <row r="212" spans="1:12" x14ac:dyDescent="0.25">
      <c r="A212" s="2">
        <v>43527</v>
      </c>
      <c r="B212" s="3">
        <v>0.63124999999999998</v>
      </c>
      <c r="C212" s="4" t="s">
        <v>236</v>
      </c>
      <c r="D212" s="4" t="s">
        <v>8</v>
      </c>
      <c r="E212" s="4" t="s">
        <v>9</v>
      </c>
      <c r="F212" s="4" t="s">
        <v>17</v>
      </c>
      <c r="G212" s="4" t="s">
        <v>21</v>
      </c>
      <c r="H212" s="4" t="s">
        <v>12</v>
      </c>
      <c r="I212" s="4" t="s">
        <v>13</v>
      </c>
      <c r="J212" s="5">
        <v>25</v>
      </c>
      <c r="K212" s="4">
        <v>1</v>
      </c>
      <c r="L212" s="6">
        <f t="shared" si="3"/>
        <v>25</v>
      </c>
    </row>
    <row r="213" spans="1:12" x14ac:dyDescent="0.25">
      <c r="A213" s="7">
        <v>43648</v>
      </c>
      <c r="B213" s="8">
        <v>0.85</v>
      </c>
      <c r="C213" s="9" t="s">
        <v>237</v>
      </c>
      <c r="D213" s="9" t="s">
        <v>27</v>
      </c>
      <c r="E213" s="9" t="s">
        <v>28</v>
      </c>
      <c r="F213" s="9" t="s">
        <v>17</v>
      </c>
      <c r="G213" s="9" t="s">
        <v>21</v>
      </c>
      <c r="H213" s="9" t="s">
        <v>18</v>
      </c>
      <c r="I213" s="9" t="s">
        <v>19</v>
      </c>
      <c r="J213" s="10">
        <v>79.39</v>
      </c>
      <c r="K213" s="9">
        <v>10</v>
      </c>
      <c r="L213" s="11">
        <f t="shared" si="3"/>
        <v>793.9</v>
      </c>
    </row>
    <row r="214" spans="1:12" x14ac:dyDescent="0.25">
      <c r="A214" s="2">
        <v>43526</v>
      </c>
      <c r="B214" s="3">
        <v>0.6381944444444444</v>
      </c>
      <c r="C214" s="4" t="s">
        <v>238</v>
      </c>
      <c r="D214" s="4" t="s">
        <v>15</v>
      </c>
      <c r="E214" s="4" t="s">
        <v>16</v>
      </c>
      <c r="F214" s="4" t="s">
        <v>17</v>
      </c>
      <c r="G214" s="4" t="s">
        <v>21</v>
      </c>
      <c r="H214" s="4" t="s">
        <v>29</v>
      </c>
      <c r="I214" s="4" t="s">
        <v>19</v>
      </c>
      <c r="J214" s="5">
        <v>40.520000000000003</v>
      </c>
      <c r="K214" s="4">
        <v>5</v>
      </c>
      <c r="L214" s="6">
        <f t="shared" si="3"/>
        <v>202.60000000000002</v>
      </c>
    </row>
    <row r="215" spans="1:12" x14ac:dyDescent="0.25">
      <c r="A215" s="7">
        <v>43527</v>
      </c>
      <c r="B215" s="8">
        <v>0.51736111111111105</v>
      </c>
      <c r="C215" s="9" t="s">
        <v>239</v>
      </c>
      <c r="D215" s="9" t="s">
        <v>27</v>
      </c>
      <c r="E215" s="9" t="s">
        <v>28</v>
      </c>
      <c r="F215" s="9" t="s">
        <v>10</v>
      </c>
      <c r="G215" s="9" t="s">
        <v>11</v>
      </c>
      <c r="H215" s="9" t="s">
        <v>29</v>
      </c>
      <c r="I215" s="9" t="s">
        <v>23</v>
      </c>
      <c r="J215" s="10">
        <v>73.05</v>
      </c>
      <c r="K215" s="9">
        <v>10</v>
      </c>
      <c r="L215" s="11">
        <f t="shared" si="3"/>
        <v>730.5</v>
      </c>
    </row>
    <row r="216" spans="1:12" x14ac:dyDescent="0.25">
      <c r="A216" s="2">
        <v>43526</v>
      </c>
      <c r="B216" s="3">
        <v>0.41805555555555557</v>
      </c>
      <c r="C216" s="4" t="s">
        <v>240</v>
      </c>
      <c r="D216" s="4" t="s">
        <v>15</v>
      </c>
      <c r="E216" s="4" t="s">
        <v>16</v>
      </c>
      <c r="F216" s="4" t="s">
        <v>17</v>
      </c>
      <c r="G216" s="4" t="s">
        <v>11</v>
      </c>
      <c r="H216" s="4" t="s">
        <v>25</v>
      </c>
      <c r="I216" s="4" t="s">
        <v>19</v>
      </c>
      <c r="J216" s="5">
        <v>73.95</v>
      </c>
      <c r="K216" s="4">
        <v>4</v>
      </c>
      <c r="L216" s="6">
        <f t="shared" si="3"/>
        <v>295.8</v>
      </c>
    </row>
    <row r="217" spans="1:12" x14ac:dyDescent="0.25">
      <c r="A217" s="7">
        <v>43499</v>
      </c>
      <c r="B217" s="8">
        <v>0.47361111111111115</v>
      </c>
      <c r="C217" s="9" t="s">
        <v>241</v>
      </c>
      <c r="D217" s="9" t="s">
        <v>15</v>
      </c>
      <c r="E217" s="9" t="s">
        <v>16</v>
      </c>
      <c r="F217" s="9" t="s">
        <v>10</v>
      </c>
      <c r="G217" s="9" t="s">
        <v>11</v>
      </c>
      <c r="H217" s="9" t="s">
        <v>25</v>
      </c>
      <c r="I217" s="9" t="s">
        <v>23</v>
      </c>
      <c r="J217" s="10">
        <v>54.55</v>
      </c>
      <c r="K217" s="9">
        <v>10</v>
      </c>
      <c r="L217" s="11">
        <f t="shared" si="3"/>
        <v>545.5</v>
      </c>
    </row>
    <row r="218" spans="1:12" x14ac:dyDescent="0.25">
      <c r="A218" s="2">
        <v>43679</v>
      </c>
      <c r="B218" s="3">
        <v>0.54999999999999993</v>
      </c>
      <c r="C218" s="4" t="s">
        <v>242</v>
      </c>
      <c r="D218" s="4" t="s">
        <v>15</v>
      </c>
      <c r="E218" s="4" t="s">
        <v>16</v>
      </c>
      <c r="F218" s="4" t="s">
        <v>10</v>
      </c>
      <c r="G218" s="4" t="s">
        <v>11</v>
      </c>
      <c r="H218" s="4" t="s">
        <v>12</v>
      </c>
      <c r="I218" s="4" t="s">
        <v>23</v>
      </c>
      <c r="J218" s="5">
        <v>37.15</v>
      </c>
      <c r="K218" s="4">
        <v>7</v>
      </c>
      <c r="L218" s="6">
        <f t="shared" si="3"/>
        <v>260.05</v>
      </c>
    </row>
    <row r="219" spans="1:12" x14ac:dyDescent="0.25">
      <c r="A219" s="7">
        <v>43710</v>
      </c>
      <c r="B219" s="8">
        <v>0.41805555555555557</v>
      </c>
      <c r="C219" s="9" t="s">
        <v>243</v>
      </c>
      <c r="D219" s="9" t="s">
        <v>15</v>
      </c>
      <c r="E219" s="9" t="s">
        <v>16</v>
      </c>
      <c r="F219" s="9" t="s">
        <v>17</v>
      </c>
      <c r="G219" s="9" t="s">
        <v>21</v>
      </c>
      <c r="H219" s="9" t="s">
        <v>29</v>
      </c>
      <c r="I219" s="9" t="s">
        <v>13</v>
      </c>
      <c r="J219" s="10">
        <v>21.58</v>
      </c>
      <c r="K219" s="9">
        <v>1</v>
      </c>
      <c r="L219" s="11">
        <f t="shared" si="3"/>
        <v>21.58</v>
      </c>
    </row>
    <row r="220" spans="1:12" x14ac:dyDescent="0.25">
      <c r="A220" s="2">
        <v>43498</v>
      </c>
      <c r="B220" s="3">
        <v>0.7715277777777777</v>
      </c>
      <c r="C220" s="4" t="s">
        <v>244</v>
      </c>
      <c r="D220" s="4" t="s">
        <v>8</v>
      </c>
      <c r="E220" s="4" t="s">
        <v>9</v>
      </c>
      <c r="F220" s="4" t="s">
        <v>10</v>
      </c>
      <c r="G220" s="4" t="s">
        <v>21</v>
      </c>
      <c r="H220" s="4" t="s">
        <v>31</v>
      </c>
      <c r="I220" s="4" t="s">
        <v>23</v>
      </c>
      <c r="J220" s="5">
        <v>43.13</v>
      </c>
      <c r="K220" s="4">
        <v>10</v>
      </c>
      <c r="L220" s="6">
        <f t="shared" si="3"/>
        <v>431.3</v>
      </c>
    </row>
    <row r="221" spans="1:12" x14ac:dyDescent="0.25">
      <c r="A221" s="7">
        <v>43649</v>
      </c>
      <c r="B221" s="8">
        <v>0.70416666666666661</v>
      </c>
      <c r="C221" s="9" t="s">
        <v>245</v>
      </c>
      <c r="D221" s="9" t="s">
        <v>15</v>
      </c>
      <c r="E221" s="9" t="s">
        <v>16</v>
      </c>
      <c r="F221" s="9" t="s">
        <v>17</v>
      </c>
      <c r="G221" s="9" t="s">
        <v>21</v>
      </c>
      <c r="H221" s="9" t="s">
        <v>18</v>
      </c>
      <c r="I221" s="9" t="s">
        <v>13</v>
      </c>
      <c r="J221" s="10">
        <v>84.07</v>
      </c>
      <c r="K221" s="9">
        <v>4</v>
      </c>
      <c r="L221" s="11">
        <f t="shared" si="3"/>
        <v>336.28</v>
      </c>
    </row>
    <row r="222" spans="1:12" x14ac:dyDescent="0.25">
      <c r="A222" s="2">
        <v>43498</v>
      </c>
      <c r="B222" s="3">
        <v>0.8534722222222223</v>
      </c>
      <c r="C222" s="4" t="s">
        <v>246</v>
      </c>
      <c r="D222" s="4" t="s">
        <v>15</v>
      </c>
      <c r="E222" s="4" t="s">
        <v>16</v>
      </c>
      <c r="F222" s="4" t="s">
        <v>17</v>
      </c>
      <c r="G222" s="4" t="s">
        <v>21</v>
      </c>
      <c r="H222" s="4" t="s">
        <v>29</v>
      </c>
      <c r="I222" s="4" t="s">
        <v>19</v>
      </c>
      <c r="J222" s="5">
        <v>65.97</v>
      </c>
      <c r="K222" s="4">
        <v>8</v>
      </c>
      <c r="L222" s="6">
        <f t="shared" si="3"/>
        <v>527.76</v>
      </c>
    </row>
    <row r="223" spans="1:12" x14ac:dyDescent="0.25">
      <c r="A223" s="7">
        <v>43678</v>
      </c>
      <c r="B223" s="8">
        <v>0.54513888888888895</v>
      </c>
      <c r="C223" s="9" t="s">
        <v>247</v>
      </c>
      <c r="D223" s="9" t="s">
        <v>8</v>
      </c>
      <c r="E223" s="9" t="s">
        <v>9</v>
      </c>
      <c r="F223" s="9" t="s">
        <v>17</v>
      </c>
      <c r="G223" s="9" t="s">
        <v>21</v>
      </c>
      <c r="H223" s="9" t="s">
        <v>25</v>
      </c>
      <c r="I223" s="9" t="s">
        <v>13</v>
      </c>
      <c r="J223" s="10">
        <v>37.14</v>
      </c>
      <c r="K223" s="9">
        <v>5</v>
      </c>
      <c r="L223" s="11">
        <f t="shared" si="3"/>
        <v>185.7</v>
      </c>
    </row>
    <row r="224" spans="1:12" x14ac:dyDescent="0.25">
      <c r="A224" s="2">
        <v>43801</v>
      </c>
      <c r="B224" s="3">
        <v>0.67986111111111114</v>
      </c>
      <c r="C224" s="4" t="s">
        <v>248</v>
      </c>
      <c r="D224" s="4" t="s">
        <v>27</v>
      </c>
      <c r="E224" s="4" t="s">
        <v>28</v>
      </c>
      <c r="F224" s="4" t="s">
        <v>10</v>
      </c>
      <c r="G224" s="4" t="s">
        <v>21</v>
      </c>
      <c r="H224" s="4" t="s">
        <v>22</v>
      </c>
      <c r="I224" s="4" t="s">
        <v>19</v>
      </c>
      <c r="J224" s="5">
        <v>60.38</v>
      </c>
      <c r="K224" s="4">
        <v>10</v>
      </c>
      <c r="L224" s="6">
        <f t="shared" si="3"/>
        <v>603.80000000000007</v>
      </c>
    </row>
    <row r="225" spans="1:12" x14ac:dyDescent="0.25">
      <c r="A225" s="7">
        <v>43466</v>
      </c>
      <c r="B225" s="8">
        <v>0.82500000000000007</v>
      </c>
      <c r="C225" s="9" t="s">
        <v>249</v>
      </c>
      <c r="D225" s="9" t="s">
        <v>15</v>
      </c>
      <c r="E225" s="9" t="s">
        <v>16</v>
      </c>
      <c r="F225" s="9" t="s">
        <v>10</v>
      </c>
      <c r="G225" s="9" t="s">
        <v>11</v>
      </c>
      <c r="H225" s="9" t="s">
        <v>25</v>
      </c>
      <c r="I225" s="9" t="s">
        <v>23</v>
      </c>
      <c r="J225" s="10">
        <v>36.979999999999997</v>
      </c>
      <c r="K225" s="9">
        <v>10</v>
      </c>
      <c r="L225" s="11">
        <f t="shared" si="3"/>
        <v>369.79999999999995</v>
      </c>
    </row>
    <row r="226" spans="1:12" x14ac:dyDescent="0.25">
      <c r="A226" s="2">
        <v>43557</v>
      </c>
      <c r="B226" s="3">
        <v>0.55625000000000002</v>
      </c>
      <c r="C226" s="4" t="s">
        <v>250</v>
      </c>
      <c r="D226" s="4" t="s">
        <v>27</v>
      </c>
      <c r="E226" s="4" t="s">
        <v>28</v>
      </c>
      <c r="F226" s="4" t="s">
        <v>10</v>
      </c>
      <c r="G226" s="4" t="s">
        <v>11</v>
      </c>
      <c r="H226" s="4" t="s">
        <v>22</v>
      </c>
      <c r="I226" s="4" t="s">
        <v>13</v>
      </c>
      <c r="J226" s="5">
        <v>77.680000000000007</v>
      </c>
      <c r="K226" s="4">
        <v>9</v>
      </c>
      <c r="L226" s="6">
        <f t="shared" si="3"/>
        <v>699.12000000000012</v>
      </c>
    </row>
    <row r="227" spans="1:12" x14ac:dyDescent="0.25">
      <c r="A227" s="7">
        <v>43588</v>
      </c>
      <c r="B227" s="8">
        <v>0.85</v>
      </c>
      <c r="C227" s="9" t="s">
        <v>251</v>
      </c>
      <c r="D227" s="9" t="s">
        <v>27</v>
      </c>
      <c r="E227" s="9" t="s">
        <v>28</v>
      </c>
      <c r="F227" s="9" t="s">
        <v>10</v>
      </c>
      <c r="G227" s="9" t="s">
        <v>11</v>
      </c>
      <c r="H227" s="9" t="s">
        <v>12</v>
      </c>
      <c r="I227" s="9" t="s">
        <v>13</v>
      </c>
      <c r="J227" s="10">
        <v>25.32</v>
      </c>
      <c r="K227" s="9">
        <v>8</v>
      </c>
      <c r="L227" s="11">
        <f t="shared" si="3"/>
        <v>202.56</v>
      </c>
    </row>
    <row r="228" spans="1:12" x14ac:dyDescent="0.25">
      <c r="A228" s="2">
        <v>43588</v>
      </c>
      <c r="B228" s="3">
        <v>0.57222222222222219</v>
      </c>
      <c r="C228" s="4" t="s">
        <v>252</v>
      </c>
      <c r="D228" s="4" t="s">
        <v>15</v>
      </c>
      <c r="E228" s="4" t="s">
        <v>16</v>
      </c>
      <c r="F228" s="4" t="s">
        <v>10</v>
      </c>
      <c r="G228" s="4" t="s">
        <v>11</v>
      </c>
      <c r="H228" s="4" t="s">
        <v>22</v>
      </c>
      <c r="I228" s="4" t="s">
        <v>23</v>
      </c>
      <c r="J228" s="5">
        <v>44542</v>
      </c>
      <c r="K228" s="4">
        <v>10</v>
      </c>
      <c r="L228" s="6">
        <f t="shared" si="3"/>
        <v>445420</v>
      </c>
    </row>
    <row r="229" spans="1:12" x14ac:dyDescent="0.25">
      <c r="A229" s="7">
        <v>43466</v>
      </c>
      <c r="B229" s="8">
        <v>0.66041666666666665</v>
      </c>
      <c r="C229" s="9" t="s">
        <v>253</v>
      </c>
      <c r="D229" s="9" t="s">
        <v>15</v>
      </c>
      <c r="E229" s="9" t="s">
        <v>16</v>
      </c>
      <c r="F229" s="9" t="s">
        <v>17</v>
      </c>
      <c r="G229" s="9" t="s">
        <v>11</v>
      </c>
      <c r="H229" s="9" t="s">
        <v>18</v>
      </c>
      <c r="I229" s="9" t="s">
        <v>19</v>
      </c>
      <c r="J229" s="10">
        <v>63.22</v>
      </c>
      <c r="K229" s="9">
        <v>2</v>
      </c>
      <c r="L229" s="11">
        <f t="shared" si="3"/>
        <v>126.44</v>
      </c>
    </row>
    <row r="230" spans="1:12" x14ac:dyDescent="0.25">
      <c r="A230" s="2">
        <v>43498</v>
      </c>
      <c r="B230" s="3">
        <v>0.65763888888888888</v>
      </c>
      <c r="C230" s="4" t="s">
        <v>254</v>
      </c>
      <c r="D230" s="4" t="s">
        <v>8</v>
      </c>
      <c r="E230" s="4" t="s">
        <v>9</v>
      </c>
      <c r="F230" s="4" t="s">
        <v>10</v>
      </c>
      <c r="G230" s="4" t="s">
        <v>11</v>
      </c>
      <c r="H230" s="4" t="s">
        <v>25</v>
      </c>
      <c r="I230" s="4" t="s">
        <v>19</v>
      </c>
      <c r="J230" s="5">
        <v>51.52</v>
      </c>
      <c r="K230" s="4">
        <v>8</v>
      </c>
      <c r="L230" s="6">
        <f t="shared" si="3"/>
        <v>412.16</v>
      </c>
    </row>
    <row r="231" spans="1:12" x14ac:dyDescent="0.25">
      <c r="A231" s="7">
        <v>43526</v>
      </c>
      <c r="B231" s="8">
        <v>0.66180555555555554</v>
      </c>
      <c r="C231" s="9" t="s">
        <v>255</v>
      </c>
      <c r="D231" s="9" t="s">
        <v>27</v>
      </c>
      <c r="E231" s="9" t="s">
        <v>28</v>
      </c>
      <c r="F231" s="9" t="s">
        <v>10</v>
      </c>
      <c r="G231" s="9" t="s">
        <v>21</v>
      </c>
      <c r="H231" s="9" t="s">
        <v>25</v>
      </c>
      <c r="I231" s="9" t="s">
        <v>23</v>
      </c>
      <c r="J231" s="10">
        <v>73.97</v>
      </c>
      <c r="K231" s="9">
        <v>1</v>
      </c>
      <c r="L231" s="11">
        <f t="shared" si="3"/>
        <v>73.97</v>
      </c>
    </row>
    <row r="232" spans="1:12" x14ac:dyDescent="0.25">
      <c r="A232" s="2">
        <v>43586</v>
      </c>
      <c r="B232" s="3">
        <v>0.52777777777777779</v>
      </c>
      <c r="C232" s="4" t="s">
        <v>256</v>
      </c>
      <c r="D232" s="4" t="s">
        <v>15</v>
      </c>
      <c r="E232" s="4" t="s">
        <v>16</v>
      </c>
      <c r="F232" s="4" t="s">
        <v>10</v>
      </c>
      <c r="G232" s="4" t="s">
        <v>11</v>
      </c>
      <c r="H232" s="4" t="s">
        <v>31</v>
      </c>
      <c r="I232" s="4" t="s">
        <v>13</v>
      </c>
      <c r="J232" s="5">
        <v>31.9</v>
      </c>
      <c r="K232" s="4">
        <v>1</v>
      </c>
      <c r="L232" s="6">
        <f t="shared" si="3"/>
        <v>31.9</v>
      </c>
    </row>
    <row r="233" spans="1:12" x14ac:dyDescent="0.25">
      <c r="A233" s="7">
        <v>43678</v>
      </c>
      <c r="B233" s="8">
        <v>0.53472222222222221</v>
      </c>
      <c r="C233" s="9" t="s">
        <v>257</v>
      </c>
      <c r="D233" s="9" t="s">
        <v>27</v>
      </c>
      <c r="E233" s="9" t="s">
        <v>28</v>
      </c>
      <c r="F233" s="9" t="s">
        <v>10</v>
      </c>
      <c r="G233" s="9" t="s">
        <v>11</v>
      </c>
      <c r="H233" s="9" t="s">
        <v>25</v>
      </c>
      <c r="I233" s="9" t="s">
        <v>19</v>
      </c>
      <c r="J233" s="10">
        <v>48.5</v>
      </c>
      <c r="K233" s="9">
        <v>3</v>
      </c>
      <c r="L233" s="11">
        <f t="shared" si="3"/>
        <v>145.5</v>
      </c>
    </row>
    <row r="234" spans="1:12" x14ac:dyDescent="0.25">
      <c r="A234" s="2">
        <v>43710</v>
      </c>
      <c r="B234" s="3">
        <v>0.71875</v>
      </c>
      <c r="C234" s="4" t="s">
        <v>258</v>
      </c>
      <c r="D234" s="4" t="s">
        <v>15</v>
      </c>
      <c r="E234" s="4" t="s">
        <v>16</v>
      </c>
      <c r="F234" s="4" t="s">
        <v>10</v>
      </c>
      <c r="G234" s="4" t="s">
        <v>11</v>
      </c>
      <c r="H234" s="4" t="s">
        <v>22</v>
      </c>
      <c r="I234" s="4" t="s">
        <v>23</v>
      </c>
      <c r="J234" s="5">
        <v>15.95</v>
      </c>
      <c r="K234" s="4">
        <v>6</v>
      </c>
      <c r="L234" s="6">
        <f t="shared" si="3"/>
        <v>95.699999999999989</v>
      </c>
    </row>
    <row r="235" spans="1:12" x14ac:dyDescent="0.25">
      <c r="A235" s="7">
        <v>43586</v>
      </c>
      <c r="B235" s="8">
        <v>0.7284722222222223</v>
      </c>
      <c r="C235" s="9" t="s">
        <v>259</v>
      </c>
      <c r="D235" s="9" t="s">
        <v>8</v>
      </c>
      <c r="E235" s="9" t="s">
        <v>9</v>
      </c>
      <c r="F235" s="9" t="s">
        <v>17</v>
      </c>
      <c r="G235" s="9" t="s">
        <v>11</v>
      </c>
      <c r="H235" s="9" t="s">
        <v>22</v>
      </c>
      <c r="I235" s="9" t="s">
        <v>13</v>
      </c>
      <c r="J235" s="10">
        <v>42.91</v>
      </c>
      <c r="K235" s="9">
        <v>5</v>
      </c>
      <c r="L235" s="11">
        <f t="shared" si="3"/>
        <v>214.54999999999998</v>
      </c>
    </row>
    <row r="236" spans="1:12" x14ac:dyDescent="0.25">
      <c r="A236" s="2">
        <v>43468</v>
      </c>
      <c r="B236" s="3">
        <v>0.7597222222222223</v>
      </c>
      <c r="C236" s="4" t="s">
        <v>260</v>
      </c>
      <c r="D236" s="4" t="s">
        <v>8</v>
      </c>
      <c r="E236" s="4" t="s">
        <v>9</v>
      </c>
      <c r="F236" s="4" t="s">
        <v>17</v>
      </c>
      <c r="G236" s="4" t="s">
        <v>21</v>
      </c>
      <c r="H236" s="4" t="s">
        <v>22</v>
      </c>
      <c r="I236" s="4" t="s">
        <v>13</v>
      </c>
      <c r="J236" s="5">
        <v>34.729999999999997</v>
      </c>
      <c r="K236" s="4">
        <v>2</v>
      </c>
      <c r="L236" s="6">
        <f t="shared" si="3"/>
        <v>69.459999999999994</v>
      </c>
    </row>
    <row r="237" spans="1:12" x14ac:dyDescent="0.25">
      <c r="A237" s="7">
        <v>43618</v>
      </c>
      <c r="B237" s="8">
        <v>0.57986111111111105</v>
      </c>
      <c r="C237" s="9" t="s">
        <v>261</v>
      </c>
      <c r="D237" s="9" t="s">
        <v>8</v>
      </c>
      <c r="E237" s="9" t="s">
        <v>9</v>
      </c>
      <c r="F237" s="9" t="s">
        <v>10</v>
      </c>
      <c r="G237" s="9" t="s">
        <v>11</v>
      </c>
      <c r="H237" s="9" t="s">
        <v>22</v>
      </c>
      <c r="I237" s="9" t="s">
        <v>23</v>
      </c>
      <c r="J237" s="10">
        <v>37.44</v>
      </c>
      <c r="K237" s="9">
        <v>6</v>
      </c>
      <c r="L237" s="11">
        <f t="shared" si="3"/>
        <v>224.64</v>
      </c>
    </row>
    <row r="238" spans="1:12" x14ac:dyDescent="0.25">
      <c r="A238" s="2">
        <v>43466</v>
      </c>
      <c r="B238" s="3">
        <v>0.48819444444444443</v>
      </c>
      <c r="C238" s="4" t="s">
        <v>262</v>
      </c>
      <c r="D238" s="4" t="s">
        <v>15</v>
      </c>
      <c r="E238" s="4" t="s">
        <v>16</v>
      </c>
      <c r="F238" s="4" t="s">
        <v>17</v>
      </c>
      <c r="G238" s="4" t="s">
        <v>21</v>
      </c>
      <c r="H238" s="4" t="s">
        <v>12</v>
      </c>
      <c r="I238" s="4" t="s">
        <v>19</v>
      </c>
      <c r="J238" s="5">
        <v>62.87</v>
      </c>
      <c r="K238" s="4">
        <v>2</v>
      </c>
      <c r="L238" s="6">
        <f t="shared" si="3"/>
        <v>125.74</v>
      </c>
    </row>
    <row r="239" spans="1:12" x14ac:dyDescent="0.25">
      <c r="A239" s="7">
        <v>43648</v>
      </c>
      <c r="B239" s="8">
        <v>0.4777777777777778</v>
      </c>
      <c r="C239" s="9" t="s">
        <v>263</v>
      </c>
      <c r="D239" s="9" t="s">
        <v>27</v>
      </c>
      <c r="E239" s="9" t="s">
        <v>28</v>
      </c>
      <c r="F239" s="9" t="s">
        <v>10</v>
      </c>
      <c r="G239" s="9" t="s">
        <v>11</v>
      </c>
      <c r="H239" s="9" t="s">
        <v>29</v>
      </c>
      <c r="I239" s="9" t="s">
        <v>23</v>
      </c>
      <c r="J239" s="10">
        <v>54.36</v>
      </c>
      <c r="K239" s="9">
        <v>10</v>
      </c>
      <c r="L239" s="11">
        <f t="shared" si="3"/>
        <v>543.6</v>
      </c>
    </row>
    <row r="240" spans="1:12" x14ac:dyDescent="0.25">
      <c r="A240" s="2">
        <v>43801</v>
      </c>
      <c r="B240" s="3">
        <v>0.79236111111111107</v>
      </c>
      <c r="C240" s="4" t="s">
        <v>264</v>
      </c>
      <c r="D240" s="4" t="s">
        <v>8</v>
      </c>
      <c r="E240" s="4" t="s">
        <v>9</v>
      </c>
      <c r="F240" s="4" t="s">
        <v>17</v>
      </c>
      <c r="G240" s="4" t="s">
        <v>21</v>
      </c>
      <c r="H240" s="4" t="s">
        <v>12</v>
      </c>
      <c r="I240" s="4" t="s">
        <v>13</v>
      </c>
      <c r="J240" s="5">
        <v>25.43</v>
      </c>
      <c r="K240" s="4">
        <v>6</v>
      </c>
      <c r="L240" s="6">
        <f t="shared" si="3"/>
        <v>152.57999999999998</v>
      </c>
    </row>
    <row r="241" spans="1:12" x14ac:dyDescent="0.25">
      <c r="A241" s="7">
        <v>43618</v>
      </c>
      <c r="B241" s="8">
        <v>0.80555555555555547</v>
      </c>
      <c r="C241" s="9" t="s">
        <v>265</v>
      </c>
      <c r="D241" s="9" t="s">
        <v>27</v>
      </c>
      <c r="E241" s="9" t="s">
        <v>28</v>
      </c>
      <c r="F241" s="9" t="s">
        <v>17</v>
      </c>
      <c r="G241" s="9" t="s">
        <v>21</v>
      </c>
      <c r="H241" s="9" t="s">
        <v>18</v>
      </c>
      <c r="I241" s="9" t="s">
        <v>13</v>
      </c>
      <c r="J241" s="10">
        <v>22.95</v>
      </c>
      <c r="K241" s="9">
        <v>10</v>
      </c>
      <c r="L241" s="11">
        <f t="shared" si="3"/>
        <v>229.5</v>
      </c>
    </row>
    <row r="242" spans="1:12" x14ac:dyDescent="0.25">
      <c r="A242" s="2">
        <v>43772</v>
      </c>
      <c r="B242" s="3">
        <v>0.56111111111111112</v>
      </c>
      <c r="C242" s="4" t="s">
        <v>266</v>
      </c>
      <c r="D242" s="4" t="s">
        <v>8</v>
      </c>
      <c r="E242" s="4" t="s">
        <v>9</v>
      </c>
      <c r="F242" s="4" t="s">
        <v>17</v>
      </c>
      <c r="G242" s="4" t="s">
        <v>11</v>
      </c>
      <c r="H242" s="4" t="s">
        <v>22</v>
      </c>
      <c r="I242" s="4" t="s">
        <v>13</v>
      </c>
      <c r="J242" s="5">
        <v>28.32</v>
      </c>
      <c r="K242" s="4">
        <v>5</v>
      </c>
      <c r="L242" s="6">
        <f t="shared" si="3"/>
        <v>141.6</v>
      </c>
    </row>
    <row r="243" spans="1:12" x14ac:dyDescent="0.25">
      <c r="A243" s="7">
        <v>43648</v>
      </c>
      <c r="B243" s="8">
        <v>0.48333333333333334</v>
      </c>
      <c r="C243" s="9" t="s">
        <v>267</v>
      </c>
      <c r="D243" s="9" t="s">
        <v>15</v>
      </c>
      <c r="E243" s="9" t="s">
        <v>16</v>
      </c>
      <c r="F243" s="9" t="s">
        <v>17</v>
      </c>
      <c r="G243" s="9" t="s">
        <v>21</v>
      </c>
      <c r="H243" s="9" t="s">
        <v>22</v>
      </c>
      <c r="I243" s="9" t="s">
        <v>13</v>
      </c>
      <c r="J243" s="10">
        <v>16.670000000000002</v>
      </c>
      <c r="K243" s="9">
        <v>7</v>
      </c>
      <c r="L243" s="11">
        <f t="shared" si="3"/>
        <v>116.69000000000001</v>
      </c>
    </row>
    <row r="244" spans="1:12" x14ac:dyDescent="0.25">
      <c r="A244" s="2">
        <v>43586</v>
      </c>
      <c r="B244" s="3">
        <v>0.48055555555555557</v>
      </c>
      <c r="C244" s="4" t="s">
        <v>268</v>
      </c>
      <c r="D244" s="4" t="s">
        <v>27</v>
      </c>
      <c r="E244" s="4" t="s">
        <v>28</v>
      </c>
      <c r="F244" s="4" t="s">
        <v>10</v>
      </c>
      <c r="G244" s="4" t="s">
        <v>11</v>
      </c>
      <c r="H244" s="4" t="s">
        <v>31</v>
      </c>
      <c r="I244" s="4" t="s">
        <v>23</v>
      </c>
      <c r="J244" s="5">
        <v>73.959999999999994</v>
      </c>
      <c r="K244" s="4">
        <v>1</v>
      </c>
      <c r="L244" s="6">
        <f t="shared" si="3"/>
        <v>73.959999999999994</v>
      </c>
    </row>
    <row r="245" spans="1:12" x14ac:dyDescent="0.25">
      <c r="A245" s="7">
        <v>43649</v>
      </c>
      <c r="B245" s="8">
        <v>0.48888888888888887</v>
      </c>
      <c r="C245" s="9" t="s">
        <v>269</v>
      </c>
      <c r="D245" s="9" t="s">
        <v>8</v>
      </c>
      <c r="E245" s="9" t="s">
        <v>9</v>
      </c>
      <c r="F245" s="9" t="s">
        <v>17</v>
      </c>
      <c r="G245" s="9" t="s">
        <v>21</v>
      </c>
      <c r="H245" s="9" t="s">
        <v>22</v>
      </c>
      <c r="I245" s="9" t="s">
        <v>13</v>
      </c>
      <c r="J245" s="10">
        <v>97.94</v>
      </c>
      <c r="K245" s="9">
        <v>1</v>
      </c>
      <c r="L245" s="11">
        <f t="shared" si="3"/>
        <v>97.94</v>
      </c>
    </row>
    <row r="246" spans="1:12" x14ac:dyDescent="0.25">
      <c r="A246" s="2">
        <v>43467</v>
      </c>
      <c r="B246" s="3">
        <v>0.77986111111111101</v>
      </c>
      <c r="C246" s="4" t="s">
        <v>270</v>
      </c>
      <c r="D246" s="4" t="s">
        <v>15</v>
      </c>
      <c r="E246" s="4" t="s">
        <v>16</v>
      </c>
      <c r="F246" s="4" t="s">
        <v>10</v>
      </c>
      <c r="G246" s="4" t="s">
        <v>11</v>
      </c>
      <c r="H246" s="4" t="s">
        <v>29</v>
      </c>
      <c r="I246" s="4" t="s">
        <v>13</v>
      </c>
      <c r="J246" s="5">
        <v>87.48</v>
      </c>
      <c r="K246" s="4">
        <v>6</v>
      </c>
      <c r="L246" s="6">
        <f t="shared" si="3"/>
        <v>524.88</v>
      </c>
    </row>
    <row r="247" spans="1:12" x14ac:dyDescent="0.25">
      <c r="A247" s="7">
        <v>43525</v>
      </c>
      <c r="B247" s="8">
        <v>0.4375</v>
      </c>
      <c r="C247" s="9" t="s">
        <v>271</v>
      </c>
      <c r="D247" s="9" t="s">
        <v>15</v>
      </c>
      <c r="E247" s="9" t="s">
        <v>16</v>
      </c>
      <c r="F247" s="9" t="s">
        <v>10</v>
      </c>
      <c r="G247" s="9" t="s">
        <v>21</v>
      </c>
      <c r="H247" s="9" t="s">
        <v>12</v>
      </c>
      <c r="I247" s="9" t="s">
        <v>23</v>
      </c>
      <c r="J247" s="10">
        <v>75.88</v>
      </c>
      <c r="K247" s="9">
        <v>1</v>
      </c>
      <c r="L247" s="11">
        <f t="shared" si="3"/>
        <v>75.88</v>
      </c>
    </row>
    <row r="248" spans="1:12" x14ac:dyDescent="0.25">
      <c r="A248" s="2">
        <v>43586</v>
      </c>
      <c r="B248" s="3">
        <v>0.86111111111111116</v>
      </c>
      <c r="C248" s="4" t="s">
        <v>272</v>
      </c>
      <c r="D248" s="4" t="s">
        <v>27</v>
      </c>
      <c r="E248" s="4" t="s">
        <v>28</v>
      </c>
      <c r="F248" s="4" t="s">
        <v>17</v>
      </c>
      <c r="G248" s="4" t="s">
        <v>11</v>
      </c>
      <c r="H248" s="4" t="s">
        <v>29</v>
      </c>
      <c r="I248" s="4" t="s">
        <v>23</v>
      </c>
      <c r="J248" s="5">
        <v>71.2</v>
      </c>
      <c r="K248" s="4">
        <v>1</v>
      </c>
      <c r="L248" s="6">
        <f t="shared" si="3"/>
        <v>71.2</v>
      </c>
    </row>
    <row r="249" spans="1:12" x14ac:dyDescent="0.25">
      <c r="A249" s="7">
        <v>43800</v>
      </c>
      <c r="B249" s="8">
        <v>0.68263888888888891</v>
      </c>
      <c r="C249" s="9" t="s">
        <v>273</v>
      </c>
      <c r="D249" s="9" t="s">
        <v>8</v>
      </c>
      <c r="E249" s="9" t="s">
        <v>9</v>
      </c>
      <c r="F249" s="9" t="s">
        <v>17</v>
      </c>
      <c r="G249" s="9" t="s">
        <v>11</v>
      </c>
      <c r="H249" s="9" t="s">
        <v>31</v>
      </c>
      <c r="I249" s="9" t="s">
        <v>13</v>
      </c>
      <c r="J249" s="10">
        <v>29.42</v>
      </c>
      <c r="K249" s="9">
        <v>10</v>
      </c>
      <c r="L249" s="11">
        <f t="shared" si="3"/>
        <v>294.20000000000005</v>
      </c>
    </row>
    <row r="250" spans="1:12" x14ac:dyDescent="0.25">
      <c r="A250" s="2">
        <v>43647</v>
      </c>
      <c r="B250" s="3">
        <v>0.50555555555555554</v>
      </c>
      <c r="C250" s="4" t="s">
        <v>274</v>
      </c>
      <c r="D250" s="4" t="s">
        <v>8</v>
      </c>
      <c r="E250" s="4" t="s">
        <v>9</v>
      </c>
      <c r="F250" s="4" t="s">
        <v>17</v>
      </c>
      <c r="G250" s="4" t="s">
        <v>21</v>
      </c>
      <c r="H250" s="4" t="s">
        <v>25</v>
      </c>
      <c r="I250" s="4" t="s">
        <v>23</v>
      </c>
      <c r="J250" s="5">
        <v>60.95</v>
      </c>
      <c r="K250" s="4">
        <v>9</v>
      </c>
      <c r="L250" s="6">
        <f t="shared" si="3"/>
        <v>548.55000000000007</v>
      </c>
    </row>
    <row r="251" spans="1:12" x14ac:dyDescent="0.25">
      <c r="A251" s="7">
        <v>43710</v>
      </c>
      <c r="B251" s="8">
        <v>0.85486111111111107</v>
      </c>
      <c r="C251" s="9" t="s">
        <v>275</v>
      </c>
      <c r="D251" s="9" t="s">
        <v>27</v>
      </c>
      <c r="E251" s="9" t="s">
        <v>28</v>
      </c>
      <c r="F251" s="9" t="s">
        <v>17</v>
      </c>
      <c r="G251" s="9" t="s">
        <v>21</v>
      </c>
      <c r="H251" s="9" t="s">
        <v>31</v>
      </c>
      <c r="I251" s="9" t="s">
        <v>13</v>
      </c>
      <c r="J251" s="10">
        <v>57.27</v>
      </c>
      <c r="K251" s="9">
        <v>3</v>
      </c>
      <c r="L251" s="11">
        <f t="shared" si="3"/>
        <v>171.81</v>
      </c>
    </row>
    <row r="252" spans="1:12" x14ac:dyDescent="0.25">
      <c r="A252" s="2">
        <v>43587</v>
      </c>
      <c r="B252" s="3">
        <v>0.52361111111111114</v>
      </c>
      <c r="C252" s="4" t="s">
        <v>276</v>
      </c>
      <c r="D252" s="4" t="s">
        <v>27</v>
      </c>
      <c r="E252" s="4" t="s">
        <v>28</v>
      </c>
      <c r="F252" s="4" t="s">
        <v>17</v>
      </c>
      <c r="G252" s="4" t="s">
        <v>11</v>
      </c>
      <c r="H252" s="4" t="s">
        <v>12</v>
      </c>
      <c r="I252" s="4" t="s">
        <v>19</v>
      </c>
      <c r="J252" s="5">
        <v>58.24</v>
      </c>
      <c r="K252" s="4">
        <v>9</v>
      </c>
      <c r="L252" s="6">
        <f t="shared" si="3"/>
        <v>524.16</v>
      </c>
    </row>
    <row r="253" spans="1:12" x14ac:dyDescent="0.25">
      <c r="A253" s="7">
        <v>43649</v>
      </c>
      <c r="B253" s="8">
        <v>0.43263888888888885</v>
      </c>
      <c r="C253" s="9" t="s">
        <v>277</v>
      </c>
      <c r="D253" s="9" t="s">
        <v>15</v>
      </c>
      <c r="E253" s="9" t="s">
        <v>16</v>
      </c>
      <c r="F253" s="9" t="s">
        <v>17</v>
      </c>
      <c r="G253" s="9" t="s">
        <v>21</v>
      </c>
      <c r="H253" s="9" t="s">
        <v>18</v>
      </c>
      <c r="I253" s="9" t="s">
        <v>23</v>
      </c>
      <c r="J253" s="10">
        <v>22.21</v>
      </c>
      <c r="K253" s="9">
        <v>6</v>
      </c>
      <c r="L253" s="11">
        <f t="shared" si="3"/>
        <v>133.26</v>
      </c>
    </row>
    <row r="254" spans="1:12" x14ac:dyDescent="0.25">
      <c r="A254" s="2">
        <v>43557</v>
      </c>
      <c r="B254" s="3">
        <v>0.81805555555555554</v>
      </c>
      <c r="C254" s="4" t="s">
        <v>278</v>
      </c>
      <c r="D254" s="4" t="s">
        <v>27</v>
      </c>
      <c r="E254" s="4" t="s">
        <v>28</v>
      </c>
      <c r="F254" s="4" t="s">
        <v>10</v>
      </c>
      <c r="G254" s="4" t="s">
        <v>11</v>
      </c>
      <c r="H254" s="4" t="s">
        <v>31</v>
      </c>
      <c r="I254" s="4" t="s">
        <v>19</v>
      </c>
      <c r="J254" s="5">
        <v>72.040000000000006</v>
      </c>
      <c r="K254" s="4">
        <v>2</v>
      </c>
      <c r="L254" s="6">
        <f t="shared" si="3"/>
        <v>144.08000000000001</v>
      </c>
    </row>
    <row r="255" spans="1:12" x14ac:dyDescent="0.25">
      <c r="A255" s="7">
        <v>43497</v>
      </c>
      <c r="B255" s="8">
        <v>0.64166666666666672</v>
      </c>
      <c r="C255" s="9" t="s">
        <v>279</v>
      </c>
      <c r="D255" s="9" t="s">
        <v>8</v>
      </c>
      <c r="E255" s="9" t="s">
        <v>9</v>
      </c>
      <c r="F255" s="9" t="s">
        <v>10</v>
      </c>
      <c r="G255" s="9" t="s">
        <v>21</v>
      </c>
      <c r="H255" s="9" t="s">
        <v>29</v>
      </c>
      <c r="I255" s="9" t="s">
        <v>13</v>
      </c>
      <c r="J255" s="10">
        <v>41.66</v>
      </c>
      <c r="K255" s="9">
        <v>6</v>
      </c>
      <c r="L255" s="11">
        <f t="shared" si="3"/>
        <v>249.95999999999998</v>
      </c>
    </row>
    <row r="256" spans="1:12" x14ac:dyDescent="0.25">
      <c r="A256" s="2">
        <v>43771</v>
      </c>
      <c r="B256" s="3">
        <v>0.65416666666666667</v>
      </c>
      <c r="C256" s="4" t="s">
        <v>280</v>
      </c>
      <c r="D256" s="4" t="s">
        <v>15</v>
      </c>
      <c r="E256" s="4" t="s">
        <v>16</v>
      </c>
      <c r="F256" s="4" t="s">
        <v>17</v>
      </c>
      <c r="G256" s="4" t="s">
        <v>21</v>
      </c>
      <c r="H256" s="4" t="s">
        <v>29</v>
      </c>
      <c r="I256" s="4" t="s">
        <v>23</v>
      </c>
      <c r="J256" s="5">
        <v>89.2</v>
      </c>
      <c r="K256" s="4">
        <v>10</v>
      </c>
      <c r="L256" s="6">
        <f t="shared" si="3"/>
        <v>892</v>
      </c>
    </row>
    <row r="257" spans="1:12" x14ac:dyDescent="0.25">
      <c r="A257" s="7">
        <v>43526</v>
      </c>
      <c r="B257" s="8">
        <v>0.69444444444444453</v>
      </c>
      <c r="C257" s="9" t="s">
        <v>281</v>
      </c>
      <c r="D257" s="9" t="s">
        <v>15</v>
      </c>
      <c r="E257" s="9" t="s">
        <v>16</v>
      </c>
      <c r="F257" s="9" t="s">
        <v>17</v>
      </c>
      <c r="G257" s="9" t="s">
        <v>11</v>
      </c>
      <c r="H257" s="9" t="s">
        <v>25</v>
      </c>
      <c r="I257" s="9" t="s">
        <v>23</v>
      </c>
      <c r="J257" s="10">
        <v>49.33</v>
      </c>
      <c r="K257" s="9">
        <v>10</v>
      </c>
      <c r="L257" s="11">
        <f t="shared" si="3"/>
        <v>493.29999999999995</v>
      </c>
    </row>
    <row r="258" spans="1:12" x14ac:dyDescent="0.25">
      <c r="A258" s="2">
        <v>43466</v>
      </c>
      <c r="B258" s="3">
        <v>0.57986111111111105</v>
      </c>
      <c r="C258" s="4" t="s">
        <v>282</v>
      </c>
      <c r="D258" s="4" t="s">
        <v>8</v>
      </c>
      <c r="E258" s="4" t="s">
        <v>9</v>
      </c>
      <c r="F258" s="4" t="s">
        <v>17</v>
      </c>
      <c r="G258" s="4" t="s">
        <v>11</v>
      </c>
      <c r="H258" s="4" t="s">
        <v>31</v>
      </c>
      <c r="I258" s="4" t="s">
        <v>19</v>
      </c>
      <c r="J258" s="5">
        <v>65.739999999999995</v>
      </c>
      <c r="K258" s="4">
        <v>9</v>
      </c>
      <c r="L258" s="6">
        <f t="shared" si="3"/>
        <v>591.66</v>
      </c>
    </row>
    <row r="259" spans="1:12" x14ac:dyDescent="0.25">
      <c r="A259" s="7">
        <v>43739</v>
      </c>
      <c r="B259" s="8">
        <v>0.43958333333333338</v>
      </c>
      <c r="C259" s="9" t="s">
        <v>283</v>
      </c>
      <c r="D259" s="9" t="s">
        <v>27</v>
      </c>
      <c r="E259" s="9" t="s">
        <v>28</v>
      </c>
      <c r="F259" s="9" t="s">
        <v>17</v>
      </c>
      <c r="G259" s="9" t="s">
        <v>11</v>
      </c>
      <c r="H259" s="9" t="s">
        <v>31</v>
      </c>
      <c r="I259" s="9" t="s">
        <v>23</v>
      </c>
      <c r="J259" s="10">
        <v>79.86</v>
      </c>
      <c r="K259" s="9">
        <v>7</v>
      </c>
      <c r="L259" s="11">
        <f t="shared" ref="L259:L322" si="4">J259*K259</f>
        <v>559.02</v>
      </c>
    </row>
    <row r="260" spans="1:12" x14ac:dyDescent="0.25">
      <c r="A260" s="2">
        <v>43499</v>
      </c>
      <c r="B260" s="3">
        <v>0.6958333333333333</v>
      </c>
      <c r="C260" s="4" t="s">
        <v>284</v>
      </c>
      <c r="D260" s="4" t="s">
        <v>15</v>
      </c>
      <c r="E260" s="4" t="s">
        <v>16</v>
      </c>
      <c r="F260" s="4" t="s">
        <v>17</v>
      </c>
      <c r="G260" s="4" t="s">
        <v>11</v>
      </c>
      <c r="H260" s="4" t="s">
        <v>25</v>
      </c>
      <c r="I260" s="4" t="s">
        <v>13</v>
      </c>
      <c r="J260" s="5">
        <v>73.98</v>
      </c>
      <c r="K260" s="4">
        <v>7</v>
      </c>
      <c r="L260" s="6">
        <f t="shared" si="4"/>
        <v>517.86</v>
      </c>
    </row>
    <row r="261" spans="1:12" x14ac:dyDescent="0.25">
      <c r="A261" s="7">
        <v>43741</v>
      </c>
      <c r="B261" s="8">
        <v>0.81597222222222221</v>
      </c>
      <c r="C261" s="9" t="s">
        <v>285</v>
      </c>
      <c r="D261" s="9" t="s">
        <v>8</v>
      </c>
      <c r="E261" s="9" t="s">
        <v>9</v>
      </c>
      <c r="F261" s="9" t="s">
        <v>10</v>
      </c>
      <c r="G261" s="9" t="s">
        <v>21</v>
      </c>
      <c r="H261" s="9" t="s">
        <v>29</v>
      </c>
      <c r="I261" s="9" t="s">
        <v>13</v>
      </c>
      <c r="J261" s="10">
        <v>41548</v>
      </c>
      <c r="K261" s="9">
        <v>7</v>
      </c>
      <c r="L261" s="11">
        <f t="shared" si="4"/>
        <v>290836</v>
      </c>
    </row>
    <row r="262" spans="1:12" x14ac:dyDescent="0.25">
      <c r="A262" s="2">
        <v>43468</v>
      </c>
      <c r="B262" s="3">
        <v>0.8256944444444444</v>
      </c>
      <c r="C262" s="4" t="s">
        <v>286</v>
      </c>
      <c r="D262" s="4" t="s">
        <v>27</v>
      </c>
      <c r="E262" s="4" t="s">
        <v>28</v>
      </c>
      <c r="F262" s="4" t="s">
        <v>10</v>
      </c>
      <c r="G262" s="4" t="s">
        <v>21</v>
      </c>
      <c r="H262" s="4" t="s">
        <v>31</v>
      </c>
      <c r="I262" s="4" t="s">
        <v>13</v>
      </c>
      <c r="J262" s="5">
        <v>81.31</v>
      </c>
      <c r="K262" s="4">
        <v>7</v>
      </c>
      <c r="L262" s="6">
        <f t="shared" si="4"/>
        <v>569.17000000000007</v>
      </c>
    </row>
    <row r="263" spans="1:12" x14ac:dyDescent="0.25">
      <c r="A263" s="7">
        <v>43468</v>
      </c>
      <c r="B263" s="8">
        <v>0.51041666666666663</v>
      </c>
      <c r="C263" s="9" t="s">
        <v>287</v>
      </c>
      <c r="D263" s="9" t="s">
        <v>27</v>
      </c>
      <c r="E263" s="9" t="s">
        <v>28</v>
      </c>
      <c r="F263" s="9" t="s">
        <v>17</v>
      </c>
      <c r="G263" s="9" t="s">
        <v>21</v>
      </c>
      <c r="H263" s="9" t="s">
        <v>12</v>
      </c>
      <c r="I263" s="9" t="s">
        <v>13</v>
      </c>
      <c r="J263" s="10">
        <v>69.510000000000005</v>
      </c>
      <c r="K263" s="9">
        <v>2</v>
      </c>
      <c r="L263" s="11">
        <f t="shared" si="4"/>
        <v>139.02000000000001</v>
      </c>
    </row>
    <row r="264" spans="1:12" x14ac:dyDescent="0.25">
      <c r="A264" s="2">
        <v>43647</v>
      </c>
      <c r="B264" s="3">
        <v>0.52569444444444446</v>
      </c>
      <c r="C264" s="4" t="s">
        <v>288</v>
      </c>
      <c r="D264" s="4" t="s">
        <v>15</v>
      </c>
      <c r="E264" s="4" t="s">
        <v>16</v>
      </c>
      <c r="F264" s="4" t="s">
        <v>17</v>
      </c>
      <c r="G264" s="4" t="s">
        <v>21</v>
      </c>
      <c r="H264" s="4" t="s">
        <v>29</v>
      </c>
      <c r="I264" s="4" t="s">
        <v>19</v>
      </c>
      <c r="J264" s="5">
        <v>27.22</v>
      </c>
      <c r="K264" s="4">
        <v>3</v>
      </c>
      <c r="L264" s="6">
        <f t="shared" si="4"/>
        <v>81.66</v>
      </c>
    </row>
    <row r="265" spans="1:12" x14ac:dyDescent="0.25">
      <c r="A265" s="7">
        <v>43467</v>
      </c>
      <c r="B265" s="8">
        <v>0.82916666666666661</v>
      </c>
      <c r="C265" s="9" t="s">
        <v>289</v>
      </c>
      <c r="D265" s="9" t="s">
        <v>8</v>
      </c>
      <c r="E265" s="9" t="s">
        <v>9</v>
      </c>
      <c r="F265" s="9" t="s">
        <v>10</v>
      </c>
      <c r="G265" s="9" t="s">
        <v>11</v>
      </c>
      <c r="H265" s="9" t="s">
        <v>12</v>
      </c>
      <c r="I265" s="9" t="s">
        <v>19</v>
      </c>
      <c r="J265" s="10">
        <v>77.680000000000007</v>
      </c>
      <c r="K265" s="9">
        <v>4</v>
      </c>
      <c r="L265" s="11">
        <f t="shared" si="4"/>
        <v>310.72000000000003</v>
      </c>
    </row>
    <row r="266" spans="1:12" x14ac:dyDescent="0.25">
      <c r="A266" s="2">
        <v>43711</v>
      </c>
      <c r="B266" s="3">
        <v>0.57847222222222217</v>
      </c>
      <c r="C266" s="4" t="s">
        <v>290</v>
      </c>
      <c r="D266" s="4" t="s">
        <v>8</v>
      </c>
      <c r="E266" s="4" t="s">
        <v>9</v>
      </c>
      <c r="F266" s="4" t="s">
        <v>17</v>
      </c>
      <c r="G266" s="4" t="s">
        <v>21</v>
      </c>
      <c r="H266" s="4" t="s">
        <v>12</v>
      </c>
      <c r="I266" s="4" t="s">
        <v>23</v>
      </c>
      <c r="J266" s="5">
        <v>51.71</v>
      </c>
      <c r="K266" s="4">
        <v>4</v>
      </c>
      <c r="L266" s="6">
        <f t="shared" si="4"/>
        <v>206.84</v>
      </c>
    </row>
    <row r="267" spans="1:12" x14ac:dyDescent="0.25">
      <c r="A267" s="7">
        <v>43557</v>
      </c>
      <c r="B267" s="8">
        <v>0.69305555555555554</v>
      </c>
      <c r="C267" s="9" t="s">
        <v>291</v>
      </c>
      <c r="D267" s="9" t="s">
        <v>8</v>
      </c>
      <c r="E267" s="9" t="s">
        <v>9</v>
      </c>
      <c r="F267" s="9" t="s">
        <v>17</v>
      </c>
      <c r="G267" s="9" t="s">
        <v>11</v>
      </c>
      <c r="H267" s="9" t="s">
        <v>25</v>
      </c>
      <c r="I267" s="9" t="s">
        <v>13</v>
      </c>
      <c r="J267" s="10">
        <v>43.06</v>
      </c>
      <c r="K267" s="9">
        <v>5</v>
      </c>
      <c r="L267" s="11">
        <f t="shared" si="4"/>
        <v>215.3</v>
      </c>
    </row>
    <row r="268" spans="1:12" x14ac:dyDescent="0.25">
      <c r="A268" s="2">
        <v>43558</v>
      </c>
      <c r="B268" s="3">
        <v>0.51597222222222217</v>
      </c>
      <c r="C268" s="4" t="s">
        <v>292</v>
      </c>
      <c r="D268" s="4" t="s">
        <v>8</v>
      </c>
      <c r="E268" s="4" t="s">
        <v>9</v>
      </c>
      <c r="F268" s="4" t="s">
        <v>17</v>
      </c>
      <c r="G268" s="4" t="s">
        <v>21</v>
      </c>
      <c r="H268" s="4" t="s">
        <v>12</v>
      </c>
      <c r="I268" s="4" t="s">
        <v>19</v>
      </c>
      <c r="J268" s="5">
        <v>14.62</v>
      </c>
      <c r="K268" s="4">
        <v>5</v>
      </c>
      <c r="L268" s="6">
        <f t="shared" si="4"/>
        <v>73.099999999999994</v>
      </c>
    </row>
    <row r="269" spans="1:12" x14ac:dyDescent="0.25">
      <c r="A269" s="7">
        <v>43527</v>
      </c>
      <c r="B269" s="8">
        <v>0.45416666666666666</v>
      </c>
      <c r="C269" s="9" t="s">
        <v>293</v>
      </c>
      <c r="D269" s="9" t="s">
        <v>15</v>
      </c>
      <c r="E269" s="9" t="s">
        <v>16</v>
      </c>
      <c r="F269" s="9" t="s">
        <v>10</v>
      </c>
      <c r="G269" s="9" t="s">
        <v>21</v>
      </c>
      <c r="H269" s="9" t="s">
        <v>12</v>
      </c>
      <c r="I269" s="9" t="s">
        <v>23</v>
      </c>
      <c r="J269" s="10">
        <v>46.53</v>
      </c>
      <c r="K269" s="9">
        <v>6</v>
      </c>
      <c r="L269" s="11">
        <f t="shared" si="4"/>
        <v>279.18</v>
      </c>
    </row>
    <row r="270" spans="1:12" x14ac:dyDescent="0.25">
      <c r="A270" s="2">
        <v>43648</v>
      </c>
      <c r="B270" s="3">
        <v>0.59236111111111112</v>
      </c>
      <c r="C270" s="4" t="s">
        <v>294</v>
      </c>
      <c r="D270" s="4" t="s">
        <v>8</v>
      </c>
      <c r="E270" s="4" t="s">
        <v>9</v>
      </c>
      <c r="F270" s="4" t="s">
        <v>10</v>
      </c>
      <c r="G270" s="4" t="s">
        <v>11</v>
      </c>
      <c r="H270" s="4" t="s">
        <v>25</v>
      </c>
      <c r="I270" s="4" t="s">
        <v>19</v>
      </c>
      <c r="J270" s="5">
        <v>45.58</v>
      </c>
      <c r="K270" s="4">
        <v>1</v>
      </c>
      <c r="L270" s="6">
        <f t="shared" si="4"/>
        <v>45.58</v>
      </c>
    </row>
    <row r="271" spans="1:12" x14ac:dyDescent="0.25">
      <c r="A271" s="7">
        <v>43587</v>
      </c>
      <c r="B271" s="8">
        <v>0.49374999999999997</v>
      </c>
      <c r="C271" s="9" t="s">
        <v>295</v>
      </c>
      <c r="D271" s="9" t="s">
        <v>8</v>
      </c>
      <c r="E271" s="9" t="s">
        <v>9</v>
      </c>
      <c r="F271" s="9" t="s">
        <v>10</v>
      </c>
      <c r="G271" s="9" t="s">
        <v>11</v>
      </c>
      <c r="H271" s="9" t="s">
        <v>25</v>
      </c>
      <c r="I271" s="9" t="s">
        <v>13</v>
      </c>
      <c r="J271" s="10">
        <v>75.2</v>
      </c>
      <c r="K271" s="9">
        <v>3</v>
      </c>
      <c r="L271" s="11">
        <f t="shared" si="4"/>
        <v>225.60000000000002</v>
      </c>
    </row>
    <row r="272" spans="1:12" x14ac:dyDescent="0.25">
      <c r="A272" s="2">
        <v>43468</v>
      </c>
      <c r="B272" s="3">
        <v>0.47916666666666669</v>
      </c>
      <c r="C272" s="4" t="s">
        <v>296</v>
      </c>
      <c r="D272" s="4" t="s">
        <v>27</v>
      </c>
      <c r="E272" s="4" t="s">
        <v>28</v>
      </c>
      <c r="F272" s="4" t="s">
        <v>17</v>
      </c>
      <c r="G272" s="4" t="s">
        <v>21</v>
      </c>
      <c r="H272" s="4" t="s">
        <v>12</v>
      </c>
      <c r="I272" s="4" t="s">
        <v>23</v>
      </c>
      <c r="J272" s="5">
        <v>14.82</v>
      </c>
      <c r="K272" s="4">
        <v>3</v>
      </c>
      <c r="L272" s="6">
        <f t="shared" si="4"/>
        <v>44.46</v>
      </c>
    </row>
    <row r="273" spans="1:12" x14ac:dyDescent="0.25">
      <c r="A273" s="7">
        <v>43678</v>
      </c>
      <c r="B273" s="8">
        <v>0.83888888888888891</v>
      </c>
      <c r="C273" s="9" t="s">
        <v>297</v>
      </c>
      <c r="D273" s="9" t="s">
        <v>15</v>
      </c>
      <c r="E273" s="9" t="s">
        <v>16</v>
      </c>
      <c r="F273" s="9" t="s">
        <v>10</v>
      </c>
      <c r="G273" s="9" t="s">
        <v>11</v>
      </c>
      <c r="H273" s="9" t="s">
        <v>31</v>
      </c>
      <c r="I273" s="9" t="s">
        <v>19</v>
      </c>
      <c r="J273" s="10">
        <v>51.89</v>
      </c>
      <c r="K273" s="9">
        <v>7</v>
      </c>
      <c r="L273" s="11">
        <f t="shared" si="4"/>
        <v>363.23</v>
      </c>
    </row>
    <row r="274" spans="1:12" x14ac:dyDescent="0.25">
      <c r="A274" s="2">
        <v>43679</v>
      </c>
      <c r="B274" s="3">
        <v>0.6430555555555556</v>
      </c>
      <c r="C274" s="4" t="s">
        <v>298</v>
      </c>
      <c r="D274" s="4" t="s">
        <v>27</v>
      </c>
      <c r="E274" s="4" t="s">
        <v>28</v>
      </c>
      <c r="F274" s="4" t="s">
        <v>17</v>
      </c>
      <c r="G274" s="4" t="s">
        <v>21</v>
      </c>
      <c r="H274" s="4" t="s">
        <v>22</v>
      </c>
      <c r="I274" s="4" t="s">
        <v>19</v>
      </c>
      <c r="J274" s="5">
        <v>31.75</v>
      </c>
      <c r="K274" s="4">
        <v>4</v>
      </c>
      <c r="L274" s="6">
        <f t="shared" si="4"/>
        <v>127</v>
      </c>
    </row>
    <row r="275" spans="1:12" x14ac:dyDescent="0.25">
      <c r="A275" s="7">
        <v>43740</v>
      </c>
      <c r="B275" s="8">
        <v>0.53888888888888886</v>
      </c>
      <c r="C275" s="9" t="s">
        <v>299</v>
      </c>
      <c r="D275" s="9" t="s">
        <v>8</v>
      </c>
      <c r="E275" s="9" t="s">
        <v>9</v>
      </c>
      <c r="F275" s="9" t="s">
        <v>10</v>
      </c>
      <c r="G275" s="9" t="s">
        <v>11</v>
      </c>
      <c r="H275" s="9" t="s">
        <v>31</v>
      </c>
      <c r="I275" s="9" t="s">
        <v>13</v>
      </c>
      <c r="J275" s="10">
        <v>53.65</v>
      </c>
      <c r="K275" s="9">
        <v>7</v>
      </c>
      <c r="L275" s="11">
        <f t="shared" si="4"/>
        <v>375.55</v>
      </c>
    </row>
    <row r="276" spans="1:12" x14ac:dyDescent="0.25">
      <c r="A276" s="2">
        <v>43648</v>
      </c>
      <c r="B276" s="3">
        <v>0.4291666666666667</v>
      </c>
      <c r="C276" s="4" t="s">
        <v>300</v>
      </c>
      <c r="D276" s="4" t="s">
        <v>8</v>
      </c>
      <c r="E276" s="4" t="s">
        <v>9</v>
      </c>
      <c r="F276" s="4" t="s">
        <v>17</v>
      </c>
      <c r="G276" s="4" t="s">
        <v>11</v>
      </c>
      <c r="H276" s="4" t="s">
        <v>18</v>
      </c>
      <c r="I276" s="4" t="s">
        <v>23</v>
      </c>
      <c r="J276" s="5">
        <v>28.96</v>
      </c>
      <c r="K276" s="4">
        <v>1</v>
      </c>
      <c r="L276" s="6">
        <f t="shared" si="4"/>
        <v>28.96</v>
      </c>
    </row>
    <row r="277" spans="1:12" x14ac:dyDescent="0.25">
      <c r="A277" s="7">
        <v>43711</v>
      </c>
      <c r="B277" s="8">
        <v>0.47430555555555554</v>
      </c>
      <c r="C277" s="9" t="s">
        <v>301</v>
      </c>
      <c r="D277" s="9" t="s">
        <v>15</v>
      </c>
      <c r="E277" s="9" t="s">
        <v>16</v>
      </c>
      <c r="F277" s="9" t="s">
        <v>10</v>
      </c>
      <c r="G277" s="9" t="s">
        <v>11</v>
      </c>
      <c r="H277" s="9" t="s">
        <v>29</v>
      </c>
      <c r="I277" s="9" t="s">
        <v>19</v>
      </c>
      <c r="J277" s="10">
        <v>98.97</v>
      </c>
      <c r="K277" s="9">
        <v>9</v>
      </c>
      <c r="L277" s="11">
        <f t="shared" si="4"/>
        <v>890.73</v>
      </c>
    </row>
    <row r="278" spans="1:12" x14ac:dyDescent="0.25">
      <c r="A278" s="2">
        <v>43526</v>
      </c>
      <c r="B278" s="3">
        <v>0.47569444444444442</v>
      </c>
      <c r="C278" s="4" t="s">
        <v>302</v>
      </c>
      <c r="D278" s="4" t="s">
        <v>8</v>
      </c>
      <c r="E278" s="4" t="s">
        <v>9</v>
      </c>
      <c r="F278" s="4" t="s">
        <v>10</v>
      </c>
      <c r="G278" s="4" t="s">
        <v>21</v>
      </c>
      <c r="H278" s="4" t="s">
        <v>29</v>
      </c>
      <c r="I278" s="4" t="s">
        <v>13</v>
      </c>
      <c r="J278" s="5">
        <v>67.45</v>
      </c>
      <c r="K278" s="4">
        <v>10</v>
      </c>
      <c r="L278" s="6">
        <f t="shared" si="4"/>
        <v>674.5</v>
      </c>
    </row>
    <row r="279" spans="1:12" x14ac:dyDescent="0.25">
      <c r="A279" s="7">
        <v>43648</v>
      </c>
      <c r="B279" s="8">
        <v>0.74652777777777779</v>
      </c>
      <c r="C279" s="9" t="s">
        <v>303</v>
      </c>
      <c r="D279" s="9" t="s">
        <v>15</v>
      </c>
      <c r="E279" s="9" t="s">
        <v>16</v>
      </c>
      <c r="F279" s="9" t="s">
        <v>10</v>
      </c>
      <c r="G279" s="9" t="s">
        <v>11</v>
      </c>
      <c r="H279" s="9" t="s">
        <v>31</v>
      </c>
      <c r="I279" s="9" t="s">
        <v>13</v>
      </c>
      <c r="J279" s="10">
        <v>43.46</v>
      </c>
      <c r="K279" s="9">
        <v>6</v>
      </c>
      <c r="L279" s="11">
        <f t="shared" si="4"/>
        <v>260.76</v>
      </c>
    </row>
    <row r="280" spans="1:12" x14ac:dyDescent="0.25">
      <c r="A280" s="2">
        <v>43800</v>
      </c>
      <c r="B280" s="3">
        <v>0.47569444444444442</v>
      </c>
      <c r="C280" s="4" t="s">
        <v>304</v>
      </c>
      <c r="D280" s="4" t="s">
        <v>27</v>
      </c>
      <c r="E280" s="4" t="s">
        <v>28</v>
      </c>
      <c r="F280" s="4" t="s">
        <v>17</v>
      </c>
      <c r="G280" s="4" t="s">
        <v>11</v>
      </c>
      <c r="H280" s="4" t="s">
        <v>31</v>
      </c>
      <c r="I280" s="4" t="s">
        <v>23</v>
      </c>
      <c r="J280" s="5">
        <v>83.25</v>
      </c>
      <c r="K280" s="4">
        <v>10</v>
      </c>
      <c r="L280" s="6">
        <f t="shared" si="4"/>
        <v>832.5</v>
      </c>
    </row>
    <row r="281" spans="1:12" x14ac:dyDescent="0.25">
      <c r="A281" s="7">
        <v>43711</v>
      </c>
      <c r="B281" s="8">
        <v>0.52569444444444446</v>
      </c>
      <c r="C281" s="9" t="s">
        <v>305</v>
      </c>
      <c r="D281" s="9" t="s">
        <v>8</v>
      </c>
      <c r="E281" s="9" t="s">
        <v>9</v>
      </c>
      <c r="F281" s="9" t="s">
        <v>17</v>
      </c>
      <c r="G281" s="9" t="s">
        <v>21</v>
      </c>
      <c r="H281" s="9" t="s">
        <v>25</v>
      </c>
      <c r="I281" s="9" t="s">
        <v>13</v>
      </c>
      <c r="J281" s="10">
        <v>60.87</v>
      </c>
      <c r="K281" s="9">
        <v>2</v>
      </c>
      <c r="L281" s="11">
        <f t="shared" si="4"/>
        <v>121.74</v>
      </c>
    </row>
    <row r="282" spans="1:12" x14ac:dyDescent="0.25">
      <c r="A282" s="2">
        <v>43588</v>
      </c>
      <c r="B282" s="3">
        <v>0.69305555555555554</v>
      </c>
      <c r="C282" s="4" t="s">
        <v>306</v>
      </c>
      <c r="D282" s="4" t="s">
        <v>8</v>
      </c>
      <c r="E282" s="4" t="s">
        <v>9</v>
      </c>
      <c r="F282" s="4" t="s">
        <v>17</v>
      </c>
      <c r="G282" s="4" t="s">
        <v>21</v>
      </c>
      <c r="H282" s="4" t="s">
        <v>18</v>
      </c>
      <c r="I282" s="4" t="s">
        <v>13</v>
      </c>
      <c r="J282" s="5">
        <v>78.31</v>
      </c>
      <c r="K282" s="4">
        <v>3</v>
      </c>
      <c r="L282" s="6">
        <f t="shared" si="4"/>
        <v>234.93</v>
      </c>
    </row>
    <row r="283" spans="1:12" x14ac:dyDescent="0.25">
      <c r="A283" s="7">
        <v>43527</v>
      </c>
      <c r="B283" s="8">
        <v>0.85486111111111107</v>
      </c>
      <c r="C283" s="9" t="s">
        <v>307</v>
      </c>
      <c r="D283" s="9" t="s">
        <v>8</v>
      </c>
      <c r="E283" s="9" t="s">
        <v>9</v>
      </c>
      <c r="F283" s="9" t="s">
        <v>17</v>
      </c>
      <c r="G283" s="9" t="s">
        <v>21</v>
      </c>
      <c r="H283" s="9" t="s">
        <v>12</v>
      </c>
      <c r="I283" s="9" t="s">
        <v>23</v>
      </c>
      <c r="J283" s="10">
        <v>28.95</v>
      </c>
      <c r="K283" s="9">
        <v>7</v>
      </c>
      <c r="L283" s="11">
        <f t="shared" si="4"/>
        <v>202.65</v>
      </c>
    </row>
    <row r="284" spans="1:12" x14ac:dyDescent="0.25">
      <c r="A284" s="2">
        <v>43680</v>
      </c>
      <c r="B284" s="3">
        <v>0.64374999999999993</v>
      </c>
      <c r="C284" s="4" t="s">
        <v>308</v>
      </c>
      <c r="D284" s="4" t="s">
        <v>27</v>
      </c>
      <c r="E284" s="4" t="s">
        <v>28</v>
      </c>
      <c r="F284" s="4" t="s">
        <v>10</v>
      </c>
      <c r="G284" s="4" t="s">
        <v>11</v>
      </c>
      <c r="H284" s="4" t="s">
        <v>29</v>
      </c>
      <c r="I284" s="4" t="s">
        <v>19</v>
      </c>
      <c r="J284" s="5">
        <v>17.63</v>
      </c>
      <c r="K284" s="4">
        <v>5</v>
      </c>
      <c r="L284" s="6">
        <f t="shared" si="4"/>
        <v>88.149999999999991</v>
      </c>
    </row>
    <row r="285" spans="1:12" x14ac:dyDescent="0.25">
      <c r="A285" s="7">
        <v>43526</v>
      </c>
      <c r="B285" s="8">
        <v>0.72499999999999998</v>
      </c>
      <c r="C285" s="9" t="s">
        <v>309</v>
      </c>
      <c r="D285" s="9" t="s">
        <v>8</v>
      </c>
      <c r="E285" s="9" t="s">
        <v>9</v>
      </c>
      <c r="F285" s="9" t="s">
        <v>10</v>
      </c>
      <c r="G285" s="9" t="s">
        <v>21</v>
      </c>
      <c r="H285" s="9" t="s">
        <v>22</v>
      </c>
      <c r="I285" s="9" t="s">
        <v>19</v>
      </c>
      <c r="J285" s="10">
        <v>72.78</v>
      </c>
      <c r="K285" s="9">
        <v>10</v>
      </c>
      <c r="L285" s="11">
        <f t="shared" si="4"/>
        <v>727.8</v>
      </c>
    </row>
    <row r="286" spans="1:12" x14ac:dyDescent="0.25">
      <c r="A286" s="2">
        <v>43985</v>
      </c>
      <c r="B286" s="3">
        <v>0.64652777777777781</v>
      </c>
      <c r="C286" s="4" t="s">
        <v>310</v>
      </c>
      <c r="D286" s="4" t="s">
        <v>27</v>
      </c>
      <c r="E286" s="4" t="s">
        <v>28</v>
      </c>
      <c r="F286" s="4" t="s">
        <v>10</v>
      </c>
      <c r="G286" s="4" t="s">
        <v>21</v>
      </c>
      <c r="H286" s="4" t="s">
        <v>25</v>
      </c>
      <c r="I286" s="4" t="s">
        <v>13</v>
      </c>
      <c r="J286" s="5">
        <v>37.32</v>
      </c>
      <c r="K286" s="4">
        <v>9</v>
      </c>
      <c r="L286" s="6">
        <f t="shared" si="4"/>
        <v>335.88</v>
      </c>
    </row>
    <row r="287" spans="1:12" x14ac:dyDescent="0.25">
      <c r="A287" s="7">
        <v>43892</v>
      </c>
      <c r="B287" s="8">
        <v>0.49027777777777781</v>
      </c>
      <c r="C287" s="9" t="s">
        <v>311</v>
      </c>
      <c r="D287" s="9" t="s">
        <v>27</v>
      </c>
      <c r="E287" s="9" t="s">
        <v>28</v>
      </c>
      <c r="F287" s="9" t="s">
        <v>17</v>
      </c>
      <c r="G287" s="9" t="s">
        <v>11</v>
      </c>
      <c r="H287" s="9" t="s">
        <v>25</v>
      </c>
      <c r="I287" s="9" t="s">
        <v>19</v>
      </c>
      <c r="J287" s="10">
        <v>42.97</v>
      </c>
      <c r="K287" s="9">
        <v>3</v>
      </c>
      <c r="L287" s="11">
        <f t="shared" si="4"/>
        <v>128.91</v>
      </c>
    </row>
    <row r="288" spans="1:12" x14ac:dyDescent="0.25">
      <c r="A288" s="2">
        <v>44167</v>
      </c>
      <c r="B288" s="3">
        <v>0.61458333333333337</v>
      </c>
      <c r="C288" s="4" t="s">
        <v>312</v>
      </c>
      <c r="D288" s="4" t="s">
        <v>15</v>
      </c>
      <c r="E288" s="4" t="s">
        <v>16</v>
      </c>
      <c r="F288" s="4" t="s">
        <v>10</v>
      </c>
      <c r="G288" s="4" t="s">
        <v>11</v>
      </c>
      <c r="H288" s="4" t="s">
        <v>29</v>
      </c>
      <c r="I288" s="4" t="s">
        <v>23</v>
      </c>
      <c r="J288" s="5">
        <v>87.1</v>
      </c>
      <c r="K288" s="4">
        <v>10</v>
      </c>
      <c r="L288" s="6">
        <f t="shared" si="4"/>
        <v>871</v>
      </c>
    </row>
    <row r="289" spans="1:12" x14ac:dyDescent="0.25">
      <c r="A289" s="7">
        <v>43923</v>
      </c>
      <c r="B289" s="8">
        <v>0.65555555555555556</v>
      </c>
      <c r="C289" s="9" t="s">
        <v>313</v>
      </c>
      <c r="D289" s="9" t="s">
        <v>8</v>
      </c>
      <c r="E289" s="9" t="s">
        <v>9</v>
      </c>
      <c r="F289" s="9" t="s">
        <v>17</v>
      </c>
      <c r="G289" s="9" t="s">
        <v>11</v>
      </c>
      <c r="H289" s="9" t="s">
        <v>31</v>
      </c>
      <c r="I289" s="9" t="s">
        <v>13</v>
      </c>
      <c r="J289" s="10">
        <v>48.63</v>
      </c>
      <c r="K289" s="9">
        <v>4</v>
      </c>
      <c r="L289" s="11">
        <f t="shared" si="4"/>
        <v>194.52</v>
      </c>
    </row>
    <row r="290" spans="1:12" x14ac:dyDescent="0.25">
      <c r="A290" s="2">
        <v>43864</v>
      </c>
      <c r="B290" s="3">
        <v>0.54861111111111105</v>
      </c>
      <c r="C290" s="4" t="s">
        <v>314</v>
      </c>
      <c r="D290" s="4" t="s">
        <v>27</v>
      </c>
      <c r="E290" s="4" t="s">
        <v>28</v>
      </c>
      <c r="F290" s="4" t="s">
        <v>17</v>
      </c>
      <c r="G290" s="4" t="s">
        <v>11</v>
      </c>
      <c r="H290" s="4" t="s">
        <v>12</v>
      </c>
      <c r="I290" s="4" t="s">
        <v>13</v>
      </c>
      <c r="J290" s="5">
        <v>73.41</v>
      </c>
      <c r="K290" s="4">
        <v>3</v>
      </c>
      <c r="L290" s="6">
        <f t="shared" si="4"/>
        <v>220.23</v>
      </c>
    </row>
    <row r="291" spans="1:12" x14ac:dyDescent="0.25">
      <c r="A291" s="7">
        <v>43833</v>
      </c>
      <c r="B291" s="8">
        <v>0.43194444444444446</v>
      </c>
      <c r="C291" s="9" t="s">
        <v>315</v>
      </c>
      <c r="D291" s="9" t="s">
        <v>8</v>
      </c>
      <c r="E291" s="9" t="s">
        <v>9</v>
      </c>
      <c r="F291" s="9" t="s">
        <v>17</v>
      </c>
      <c r="G291" s="9" t="s">
        <v>11</v>
      </c>
      <c r="H291" s="9" t="s">
        <v>18</v>
      </c>
      <c r="I291" s="9" t="s">
        <v>23</v>
      </c>
      <c r="J291" s="10">
        <v>45.48</v>
      </c>
      <c r="K291" s="9">
        <v>10</v>
      </c>
      <c r="L291" s="11">
        <f t="shared" si="4"/>
        <v>454.79999999999995</v>
      </c>
    </row>
    <row r="292" spans="1:12" x14ac:dyDescent="0.25">
      <c r="A292" s="2">
        <v>44014</v>
      </c>
      <c r="B292" s="3">
        <v>0.6020833333333333</v>
      </c>
      <c r="C292" s="4" t="s">
        <v>316</v>
      </c>
      <c r="D292" s="4" t="s">
        <v>15</v>
      </c>
      <c r="E292" s="4" t="s">
        <v>16</v>
      </c>
      <c r="F292" s="4" t="s">
        <v>17</v>
      </c>
      <c r="G292" s="4" t="s">
        <v>21</v>
      </c>
      <c r="H292" s="4" t="s">
        <v>12</v>
      </c>
      <c r="I292" s="4" t="s">
        <v>13</v>
      </c>
      <c r="J292" s="5">
        <v>58.95</v>
      </c>
      <c r="K292" s="4">
        <v>10</v>
      </c>
      <c r="L292" s="6">
        <f t="shared" si="4"/>
        <v>589.5</v>
      </c>
    </row>
    <row r="293" spans="1:12" x14ac:dyDescent="0.25">
      <c r="A293" s="7">
        <v>44136</v>
      </c>
      <c r="B293" s="8">
        <v>0.58124999999999993</v>
      </c>
      <c r="C293" s="9" t="s">
        <v>317</v>
      </c>
      <c r="D293" s="9" t="s">
        <v>8</v>
      </c>
      <c r="E293" s="9" t="s">
        <v>9</v>
      </c>
      <c r="F293" s="9" t="s">
        <v>10</v>
      </c>
      <c r="G293" s="9" t="s">
        <v>21</v>
      </c>
      <c r="H293" s="9" t="s">
        <v>29</v>
      </c>
      <c r="I293" s="9" t="s">
        <v>13</v>
      </c>
      <c r="J293" s="10">
        <v>48.5</v>
      </c>
      <c r="K293" s="9">
        <v>6</v>
      </c>
      <c r="L293" s="11">
        <f t="shared" si="4"/>
        <v>291</v>
      </c>
    </row>
    <row r="294" spans="1:12" x14ac:dyDescent="0.25">
      <c r="A294" s="2">
        <v>44167</v>
      </c>
      <c r="B294" s="3">
        <v>0.82152777777777775</v>
      </c>
      <c r="C294" s="4" t="s">
        <v>318</v>
      </c>
      <c r="D294" s="4" t="s">
        <v>27</v>
      </c>
      <c r="E294" s="4" t="s">
        <v>28</v>
      </c>
      <c r="F294" s="4" t="s">
        <v>10</v>
      </c>
      <c r="G294" s="4" t="s">
        <v>11</v>
      </c>
      <c r="H294" s="4" t="s">
        <v>18</v>
      </c>
      <c r="I294" s="4" t="s">
        <v>19</v>
      </c>
      <c r="J294" s="5">
        <v>39.479999999999997</v>
      </c>
      <c r="K294" s="4">
        <v>1</v>
      </c>
      <c r="L294" s="6">
        <f t="shared" si="4"/>
        <v>39.479999999999997</v>
      </c>
    </row>
    <row r="295" spans="1:12" x14ac:dyDescent="0.25">
      <c r="A295" s="7">
        <v>44075</v>
      </c>
      <c r="B295" s="8">
        <v>0.57361111111111118</v>
      </c>
      <c r="C295" s="9" t="s">
        <v>319</v>
      </c>
      <c r="D295" s="9" t="s">
        <v>15</v>
      </c>
      <c r="E295" s="9" t="s">
        <v>16</v>
      </c>
      <c r="F295" s="9" t="s">
        <v>17</v>
      </c>
      <c r="G295" s="9" t="s">
        <v>11</v>
      </c>
      <c r="H295" s="9" t="s">
        <v>31</v>
      </c>
      <c r="I295" s="9" t="s">
        <v>13</v>
      </c>
      <c r="J295" s="10">
        <v>49.32</v>
      </c>
      <c r="K295" s="9">
        <v>6</v>
      </c>
      <c r="L295" s="11">
        <f t="shared" si="4"/>
        <v>295.92</v>
      </c>
    </row>
    <row r="296" spans="1:12" x14ac:dyDescent="0.25">
      <c r="A296" s="2">
        <v>44044</v>
      </c>
      <c r="B296" s="3">
        <v>0.54027777777777775</v>
      </c>
      <c r="C296" s="4" t="s">
        <v>320</v>
      </c>
      <c r="D296" s="4" t="s">
        <v>27</v>
      </c>
      <c r="E296" s="4" t="s">
        <v>28</v>
      </c>
      <c r="F296" s="4" t="s">
        <v>10</v>
      </c>
      <c r="G296" s="4" t="s">
        <v>11</v>
      </c>
      <c r="H296" s="4" t="s">
        <v>22</v>
      </c>
      <c r="I296" s="4" t="s">
        <v>23</v>
      </c>
      <c r="J296" s="5">
        <v>49.1</v>
      </c>
      <c r="K296" s="4">
        <v>2</v>
      </c>
      <c r="L296" s="6">
        <f t="shared" si="4"/>
        <v>98.2</v>
      </c>
    </row>
    <row r="297" spans="1:12" x14ac:dyDescent="0.25">
      <c r="A297" s="7">
        <v>44044</v>
      </c>
      <c r="B297" s="8">
        <v>0.4993055555555555</v>
      </c>
      <c r="C297" s="9" t="s">
        <v>321</v>
      </c>
      <c r="D297" s="9" t="s">
        <v>27</v>
      </c>
      <c r="E297" s="9" t="s">
        <v>28</v>
      </c>
      <c r="F297" s="9" t="s">
        <v>10</v>
      </c>
      <c r="G297" s="9" t="s">
        <v>11</v>
      </c>
      <c r="H297" s="9" t="s">
        <v>25</v>
      </c>
      <c r="I297" s="9" t="s">
        <v>23</v>
      </c>
      <c r="J297" s="10">
        <v>64.83</v>
      </c>
      <c r="K297" s="9">
        <v>2</v>
      </c>
      <c r="L297" s="11">
        <f t="shared" si="4"/>
        <v>129.66</v>
      </c>
    </row>
    <row r="298" spans="1:12" x14ac:dyDescent="0.25">
      <c r="A298" s="2">
        <v>44168</v>
      </c>
      <c r="B298" s="3">
        <v>0.81874999999999998</v>
      </c>
      <c r="C298" s="4" t="s">
        <v>322</v>
      </c>
      <c r="D298" s="4" t="s">
        <v>15</v>
      </c>
      <c r="E298" s="4" t="s">
        <v>16</v>
      </c>
      <c r="F298" s="4" t="s">
        <v>10</v>
      </c>
      <c r="G298" s="4" t="s">
        <v>21</v>
      </c>
      <c r="H298" s="4" t="s">
        <v>29</v>
      </c>
      <c r="I298" s="4" t="s">
        <v>13</v>
      </c>
      <c r="J298" s="5">
        <v>55.04</v>
      </c>
      <c r="K298" s="4">
        <v>7</v>
      </c>
      <c r="L298" s="6">
        <f t="shared" si="4"/>
        <v>385.28</v>
      </c>
    </row>
    <row r="299" spans="1:12" x14ac:dyDescent="0.25">
      <c r="A299" s="7">
        <v>43924</v>
      </c>
      <c r="B299" s="8">
        <v>0.53055555555555556</v>
      </c>
      <c r="C299" s="9" t="s">
        <v>323</v>
      </c>
      <c r="D299" s="9" t="s">
        <v>8</v>
      </c>
      <c r="E299" s="9" t="s">
        <v>9</v>
      </c>
      <c r="F299" s="9" t="s">
        <v>10</v>
      </c>
      <c r="G299" s="9" t="s">
        <v>21</v>
      </c>
      <c r="H299" s="9" t="s">
        <v>12</v>
      </c>
      <c r="I299" s="9" t="s">
        <v>19</v>
      </c>
      <c r="J299" s="10">
        <v>48.63</v>
      </c>
      <c r="K299" s="9">
        <v>10</v>
      </c>
      <c r="L299" s="11">
        <f t="shared" si="4"/>
        <v>486.3</v>
      </c>
    </row>
    <row r="300" spans="1:12" x14ac:dyDescent="0.25">
      <c r="A300" s="2">
        <v>44106</v>
      </c>
      <c r="B300" s="3">
        <v>0.5805555555555556</v>
      </c>
      <c r="C300" s="4" t="s">
        <v>324</v>
      </c>
      <c r="D300" s="4" t="s">
        <v>15</v>
      </c>
      <c r="E300" s="4" t="s">
        <v>16</v>
      </c>
      <c r="F300" s="4" t="s">
        <v>10</v>
      </c>
      <c r="G300" s="4" t="s">
        <v>11</v>
      </c>
      <c r="H300" s="4" t="s">
        <v>31</v>
      </c>
      <c r="I300" s="4" t="s">
        <v>19</v>
      </c>
      <c r="J300" s="5">
        <v>73.38</v>
      </c>
      <c r="K300" s="4">
        <v>7</v>
      </c>
      <c r="L300" s="6">
        <f t="shared" si="4"/>
        <v>513.66</v>
      </c>
    </row>
    <row r="301" spans="1:12" x14ac:dyDescent="0.25">
      <c r="A301" s="7">
        <v>43831</v>
      </c>
      <c r="B301" s="8">
        <v>0.85138888888888886</v>
      </c>
      <c r="C301" s="9" t="s">
        <v>325</v>
      </c>
      <c r="D301" s="9" t="s">
        <v>8</v>
      </c>
      <c r="E301" s="9" t="s">
        <v>9</v>
      </c>
      <c r="F301" s="9" t="s">
        <v>10</v>
      </c>
      <c r="G301" s="9" t="s">
        <v>11</v>
      </c>
      <c r="H301" s="9" t="s">
        <v>25</v>
      </c>
      <c r="I301" s="9" t="s">
        <v>13</v>
      </c>
      <c r="J301" s="10">
        <v>44313</v>
      </c>
      <c r="K301" s="9">
        <v>4</v>
      </c>
      <c r="L301" s="11">
        <f t="shared" si="4"/>
        <v>177252</v>
      </c>
    </row>
    <row r="302" spans="1:12" x14ac:dyDescent="0.25">
      <c r="A302" s="2">
        <v>43983</v>
      </c>
      <c r="B302" s="3">
        <v>0.82361111111111107</v>
      </c>
      <c r="C302" s="4" t="s">
        <v>326</v>
      </c>
      <c r="D302" s="4" t="s">
        <v>27</v>
      </c>
      <c r="E302" s="4" t="s">
        <v>28</v>
      </c>
      <c r="F302" s="4" t="s">
        <v>17</v>
      </c>
      <c r="G302" s="4" t="s">
        <v>21</v>
      </c>
      <c r="H302" s="4" t="s">
        <v>22</v>
      </c>
      <c r="I302" s="4" t="s">
        <v>13</v>
      </c>
      <c r="J302" s="5">
        <v>62.19</v>
      </c>
      <c r="K302" s="4">
        <v>4</v>
      </c>
      <c r="L302" s="6">
        <f t="shared" si="4"/>
        <v>248.76</v>
      </c>
    </row>
    <row r="303" spans="1:12" x14ac:dyDescent="0.25">
      <c r="A303" s="7">
        <v>44166</v>
      </c>
      <c r="B303" s="8">
        <v>0.6791666666666667</v>
      </c>
      <c r="C303" s="9" t="s">
        <v>327</v>
      </c>
      <c r="D303" s="9" t="s">
        <v>15</v>
      </c>
      <c r="E303" s="9" t="s">
        <v>16</v>
      </c>
      <c r="F303" s="9" t="s">
        <v>17</v>
      </c>
      <c r="G303" s="9" t="s">
        <v>21</v>
      </c>
      <c r="H303" s="9" t="s">
        <v>22</v>
      </c>
      <c r="I303" s="9" t="s">
        <v>13</v>
      </c>
      <c r="J303" s="10">
        <v>97.5</v>
      </c>
      <c r="K303" s="9">
        <v>10</v>
      </c>
      <c r="L303" s="11">
        <f t="shared" si="4"/>
        <v>975</v>
      </c>
    </row>
    <row r="304" spans="1:12" x14ac:dyDescent="0.25">
      <c r="A304" s="2">
        <v>44014</v>
      </c>
      <c r="B304" s="3">
        <v>0.51597222222222217</v>
      </c>
      <c r="C304" s="4" t="s">
        <v>328</v>
      </c>
      <c r="D304" s="4" t="s">
        <v>15</v>
      </c>
      <c r="E304" s="4" t="s">
        <v>16</v>
      </c>
      <c r="F304" s="4" t="s">
        <v>17</v>
      </c>
      <c r="G304" s="4" t="s">
        <v>11</v>
      </c>
      <c r="H304" s="4" t="s">
        <v>31</v>
      </c>
      <c r="I304" s="4" t="s">
        <v>13</v>
      </c>
      <c r="J304" s="5">
        <v>60.41</v>
      </c>
      <c r="K304" s="4">
        <v>8</v>
      </c>
      <c r="L304" s="6">
        <f t="shared" si="4"/>
        <v>483.28</v>
      </c>
    </row>
    <row r="305" spans="1:12" x14ac:dyDescent="0.25">
      <c r="A305" s="7">
        <v>43983</v>
      </c>
      <c r="B305" s="8">
        <v>0.47083333333333338</v>
      </c>
      <c r="C305" s="9" t="s">
        <v>329</v>
      </c>
      <c r="D305" s="9" t="s">
        <v>27</v>
      </c>
      <c r="E305" s="9" t="s">
        <v>28</v>
      </c>
      <c r="F305" s="9" t="s">
        <v>10</v>
      </c>
      <c r="G305" s="9" t="s">
        <v>21</v>
      </c>
      <c r="H305" s="9" t="s">
        <v>12</v>
      </c>
      <c r="I305" s="9" t="s">
        <v>19</v>
      </c>
      <c r="J305" s="10">
        <v>80.47</v>
      </c>
      <c r="K305" s="9">
        <v>9</v>
      </c>
      <c r="L305" s="11">
        <f t="shared" si="4"/>
        <v>724.23</v>
      </c>
    </row>
    <row r="306" spans="1:12" x14ac:dyDescent="0.25">
      <c r="A306" s="2">
        <v>43864</v>
      </c>
      <c r="B306" s="3">
        <v>0.52777777777777779</v>
      </c>
      <c r="C306" s="4" t="s">
        <v>330</v>
      </c>
      <c r="D306" s="4" t="s">
        <v>27</v>
      </c>
      <c r="E306" s="4" t="s">
        <v>28</v>
      </c>
      <c r="F306" s="4" t="s">
        <v>10</v>
      </c>
      <c r="G306" s="4" t="s">
        <v>11</v>
      </c>
      <c r="H306" s="4" t="s">
        <v>22</v>
      </c>
      <c r="I306" s="4" t="s">
        <v>19</v>
      </c>
      <c r="J306" s="5">
        <v>88.39</v>
      </c>
      <c r="K306" s="4">
        <v>9</v>
      </c>
      <c r="L306" s="6">
        <f t="shared" si="4"/>
        <v>795.51</v>
      </c>
    </row>
    <row r="307" spans="1:12" x14ac:dyDescent="0.25">
      <c r="A307" s="7">
        <v>43923</v>
      </c>
      <c r="B307" s="8">
        <v>0.53472222222222221</v>
      </c>
      <c r="C307" s="9" t="s">
        <v>331</v>
      </c>
      <c r="D307" s="9" t="s">
        <v>15</v>
      </c>
      <c r="E307" s="9" t="s">
        <v>16</v>
      </c>
      <c r="F307" s="9" t="s">
        <v>17</v>
      </c>
      <c r="G307" s="9" t="s">
        <v>11</v>
      </c>
      <c r="H307" s="9" t="s">
        <v>12</v>
      </c>
      <c r="I307" s="9" t="s">
        <v>13</v>
      </c>
      <c r="J307" s="10">
        <v>13.85</v>
      </c>
      <c r="K307" s="9">
        <v>9</v>
      </c>
      <c r="L307" s="11">
        <f t="shared" si="4"/>
        <v>124.64999999999999</v>
      </c>
    </row>
    <row r="308" spans="1:12" x14ac:dyDescent="0.25">
      <c r="A308" s="2">
        <v>43984</v>
      </c>
      <c r="B308" s="3">
        <v>0.7729166666666667</v>
      </c>
      <c r="C308" s="4" t="s">
        <v>332</v>
      </c>
      <c r="D308" s="4" t="s">
        <v>8</v>
      </c>
      <c r="E308" s="4" t="s">
        <v>9</v>
      </c>
      <c r="F308" s="4" t="s">
        <v>17</v>
      </c>
      <c r="G308" s="4" t="s">
        <v>11</v>
      </c>
      <c r="H308" s="4" t="s">
        <v>12</v>
      </c>
      <c r="I308" s="4" t="s">
        <v>23</v>
      </c>
      <c r="J308" s="5">
        <v>35.68</v>
      </c>
      <c r="K308" s="4">
        <v>5</v>
      </c>
      <c r="L308" s="6">
        <f t="shared" si="4"/>
        <v>178.4</v>
      </c>
    </row>
    <row r="309" spans="1:12" x14ac:dyDescent="0.25">
      <c r="A309" s="7">
        <v>43863</v>
      </c>
      <c r="B309" s="8">
        <v>0.86249999999999993</v>
      </c>
      <c r="C309" s="9" t="s">
        <v>333</v>
      </c>
      <c r="D309" s="9" t="s">
        <v>27</v>
      </c>
      <c r="E309" s="9" t="s">
        <v>28</v>
      </c>
      <c r="F309" s="9" t="s">
        <v>17</v>
      </c>
      <c r="G309" s="9" t="s">
        <v>11</v>
      </c>
      <c r="H309" s="9" t="s">
        <v>31</v>
      </c>
      <c r="I309" s="9" t="s">
        <v>19</v>
      </c>
      <c r="J309" s="10">
        <v>25.56</v>
      </c>
      <c r="K309" s="9">
        <v>7</v>
      </c>
      <c r="L309" s="11">
        <f t="shared" si="4"/>
        <v>178.92</v>
      </c>
    </row>
    <row r="310" spans="1:12" x14ac:dyDescent="0.25">
      <c r="A310" s="2">
        <v>44136</v>
      </c>
      <c r="B310" s="3">
        <v>0.84027777777777779</v>
      </c>
      <c r="C310" s="4" t="s">
        <v>334</v>
      </c>
      <c r="D310" s="4" t="s">
        <v>15</v>
      </c>
      <c r="E310" s="4" t="s">
        <v>16</v>
      </c>
      <c r="F310" s="4" t="s">
        <v>10</v>
      </c>
      <c r="G310" s="4" t="s">
        <v>11</v>
      </c>
      <c r="H310" s="4" t="s">
        <v>29</v>
      </c>
      <c r="I310" s="4" t="s">
        <v>19</v>
      </c>
      <c r="J310" s="5">
        <v>36.770000000000003</v>
      </c>
      <c r="K310" s="4">
        <v>7</v>
      </c>
      <c r="L310" s="6">
        <f t="shared" si="4"/>
        <v>257.39000000000004</v>
      </c>
    </row>
    <row r="311" spans="1:12" x14ac:dyDescent="0.25">
      <c r="A311" s="7">
        <v>43923</v>
      </c>
      <c r="B311" s="8">
        <v>0.78680555555555554</v>
      </c>
      <c r="C311" s="9" t="s">
        <v>335</v>
      </c>
      <c r="D311" s="9" t="s">
        <v>27</v>
      </c>
      <c r="E311" s="9" t="s">
        <v>28</v>
      </c>
      <c r="F311" s="9" t="s">
        <v>10</v>
      </c>
      <c r="G311" s="9" t="s">
        <v>21</v>
      </c>
      <c r="H311" s="9" t="s">
        <v>29</v>
      </c>
      <c r="I311" s="9" t="s">
        <v>13</v>
      </c>
      <c r="J311" s="10">
        <v>23.34</v>
      </c>
      <c r="K311" s="9">
        <v>4</v>
      </c>
      <c r="L311" s="11">
        <f t="shared" si="4"/>
        <v>93.36</v>
      </c>
    </row>
    <row r="312" spans="1:12" x14ac:dyDescent="0.25">
      <c r="A312" s="2">
        <v>43984</v>
      </c>
      <c r="B312" s="3">
        <v>0.6</v>
      </c>
      <c r="C312" s="4" t="s">
        <v>336</v>
      </c>
      <c r="D312" s="4" t="s">
        <v>15</v>
      </c>
      <c r="E312" s="4" t="s">
        <v>16</v>
      </c>
      <c r="F312" s="4" t="s">
        <v>10</v>
      </c>
      <c r="G312" s="4" t="s">
        <v>11</v>
      </c>
      <c r="H312" s="4" t="s">
        <v>12</v>
      </c>
      <c r="I312" s="4" t="s">
        <v>19</v>
      </c>
      <c r="J312" s="5">
        <v>44344</v>
      </c>
      <c r="K312" s="4">
        <v>8</v>
      </c>
      <c r="L312" s="6">
        <f t="shared" si="4"/>
        <v>354752</v>
      </c>
    </row>
    <row r="313" spans="1:12" x14ac:dyDescent="0.25">
      <c r="A313" s="7">
        <v>44044</v>
      </c>
      <c r="B313" s="8">
        <v>0.48749999999999999</v>
      </c>
      <c r="C313" s="9" t="s">
        <v>337</v>
      </c>
      <c r="D313" s="9" t="s">
        <v>15</v>
      </c>
      <c r="E313" s="9" t="s">
        <v>16</v>
      </c>
      <c r="F313" s="9" t="s">
        <v>10</v>
      </c>
      <c r="G313" s="9" t="s">
        <v>21</v>
      </c>
      <c r="H313" s="9" t="s">
        <v>22</v>
      </c>
      <c r="I313" s="9" t="s">
        <v>23</v>
      </c>
      <c r="J313" s="10">
        <v>55.57</v>
      </c>
      <c r="K313" s="9">
        <v>3</v>
      </c>
      <c r="L313" s="11">
        <f t="shared" si="4"/>
        <v>166.71</v>
      </c>
    </row>
    <row r="314" spans="1:12" x14ac:dyDescent="0.25">
      <c r="A314" s="2">
        <v>43954</v>
      </c>
      <c r="B314" s="3">
        <v>0.74236111111111114</v>
      </c>
      <c r="C314" s="4" t="s">
        <v>338</v>
      </c>
      <c r="D314" s="4" t="s">
        <v>27</v>
      </c>
      <c r="E314" s="4" t="s">
        <v>28</v>
      </c>
      <c r="F314" s="4" t="s">
        <v>17</v>
      </c>
      <c r="G314" s="4" t="s">
        <v>21</v>
      </c>
      <c r="H314" s="4" t="s">
        <v>25</v>
      </c>
      <c r="I314" s="4" t="s">
        <v>23</v>
      </c>
      <c r="J314" s="5">
        <v>69.739999999999995</v>
      </c>
      <c r="K314" s="4">
        <v>10</v>
      </c>
      <c r="L314" s="6">
        <f t="shared" si="4"/>
        <v>697.4</v>
      </c>
    </row>
    <row r="315" spans="1:12" x14ac:dyDescent="0.25">
      <c r="A315" s="7">
        <v>44077</v>
      </c>
      <c r="B315" s="8">
        <v>0.45416666666666666</v>
      </c>
      <c r="C315" s="9" t="s">
        <v>339</v>
      </c>
      <c r="D315" s="9" t="s">
        <v>27</v>
      </c>
      <c r="E315" s="9" t="s">
        <v>28</v>
      </c>
      <c r="F315" s="9" t="s">
        <v>10</v>
      </c>
      <c r="G315" s="9" t="s">
        <v>11</v>
      </c>
      <c r="H315" s="9" t="s">
        <v>22</v>
      </c>
      <c r="I315" s="9" t="s">
        <v>19</v>
      </c>
      <c r="J315" s="10">
        <v>52.18</v>
      </c>
      <c r="K315" s="9">
        <v>7</v>
      </c>
      <c r="L315" s="11">
        <f t="shared" si="4"/>
        <v>365.26</v>
      </c>
    </row>
    <row r="316" spans="1:12" x14ac:dyDescent="0.25">
      <c r="A316" s="2">
        <v>43833</v>
      </c>
      <c r="B316" s="3">
        <v>0.68263888888888891</v>
      </c>
      <c r="C316" s="4" t="s">
        <v>340</v>
      </c>
      <c r="D316" s="4" t="s">
        <v>8</v>
      </c>
      <c r="E316" s="4" t="s">
        <v>9</v>
      </c>
      <c r="F316" s="4" t="s">
        <v>10</v>
      </c>
      <c r="G316" s="4" t="s">
        <v>11</v>
      </c>
      <c r="H316" s="4" t="s">
        <v>31</v>
      </c>
      <c r="I316" s="4" t="s">
        <v>23</v>
      </c>
      <c r="J316" s="5">
        <v>22.32</v>
      </c>
      <c r="K316" s="4">
        <v>4</v>
      </c>
      <c r="L316" s="6">
        <f t="shared" si="4"/>
        <v>89.28</v>
      </c>
    </row>
    <row r="317" spans="1:12" x14ac:dyDescent="0.25">
      <c r="A317" s="7">
        <v>44045</v>
      </c>
      <c r="B317" s="8">
        <v>0.48541666666666666</v>
      </c>
      <c r="C317" s="9" t="s">
        <v>341</v>
      </c>
      <c r="D317" s="9" t="s">
        <v>8</v>
      </c>
      <c r="E317" s="9" t="s">
        <v>9</v>
      </c>
      <c r="F317" s="9" t="s">
        <v>10</v>
      </c>
      <c r="G317" s="9" t="s">
        <v>21</v>
      </c>
      <c r="H317" s="9" t="s">
        <v>31</v>
      </c>
      <c r="I317" s="9" t="s">
        <v>13</v>
      </c>
      <c r="J317" s="10">
        <v>44396</v>
      </c>
      <c r="K317" s="9">
        <v>1</v>
      </c>
      <c r="L317" s="11">
        <f t="shared" si="4"/>
        <v>44396</v>
      </c>
    </row>
    <row r="318" spans="1:12" x14ac:dyDescent="0.25">
      <c r="A318" s="2">
        <v>43833</v>
      </c>
      <c r="B318" s="3">
        <v>0.8354166666666667</v>
      </c>
      <c r="C318" s="4" t="s">
        <v>342</v>
      </c>
      <c r="D318" s="4" t="s">
        <v>27</v>
      </c>
      <c r="E318" s="4" t="s">
        <v>28</v>
      </c>
      <c r="F318" s="4" t="s">
        <v>10</v>
      </c>
      <c r="G318" s="4" t="s">
        <v>21</v>
      </c>
      <c r="H318" s="4" t="s">
        <v>29</v>
      </c>
      <c r="I318" s="4" t="s">
        <v>13</v>
      </c>
      <c r="J318" s="5">
        <v>53.72</v>
      </c>
      <c r="K318" s="4">
        <v>1</v>
      </c>
      <c r="L318" s="6">
        <f t="shared" si="4"/>
        <v>53.72</v>
      </c>
    </row>
    <row r="319" spans="1:12" x14ac:dyDescent="0.25">
      <c r="A319" s="7">
        <v>44107</v>
      </c>
      <c r="B319" s="8">
        <v>0.52708333333333335</v>
      </c>
      <c r="C319" s="9" t="s">
        <v>343</v>
      </c>
      <c r="D319" s="9" t="s">
        <v>15</v>
      </c>
      <c r="E319" s="9" t="s">
        <v>16</v>
      </c>
      <c r="F319" s="9" t="s">
        <v>10</v>
      </c>
      <c r="G319" s="9" t="s">
        <v>21</v>
      </c>
      <c r="H319" s="9" t="s">
        <v>12</v>
      </c>
      <c r="I319" s="9" t="s">
        <v>23</v>
      </c>
      <c r="J319" s="10">
        <v>81.95</v>
      </c>
      <c r="K319" s="9">
        <v>10</v>
      </c>
      <c r="L319" s="11">
        <f t="shared" si="4"/>
        <v>819.5</v>
      </c>
    </row>
    <row r="320" spans="1:12" x14ac:dyDescent="0.25">
      <c r="A320" s="2">
        <v>44166</v>
      </c>
      <c r="B320" s="3">
        <v>0.76527777777777783</v>
      </c>
      <c r="C320" s="4" t="s">
        <v>344</v>
      </c>
      <c r="D320" s="4" t="s">
        <v>27</v>
      </c>
      <c r="E320" s="4" t="s">
        <v>28</v>
      </c>
      <c r="F320" s="4" t="s">
        <v>10</v>
      </c>
      <c r="G320" s="4" t="s">
        <v>21</v>
      </c>
      <c r="H320" s="4" t="s">
        <v>18</v>
      </c>
      <c r="I320" s="4" t="s">
        <v>13</v>
      </c>
      <c r="J320" s="5">
        <v>91.56</v>
      </c>
      <c r="K320" s="4">
        <v>8</v>
      </c>
      <c r="L320" s="6">
        <f t="shared" si="4"/>
        <v>732.48</v>
      </c>
    </row>
    <row r="321" spans="1:12" x14ac:dyDescent="0.25">
      <c r="A321" s="7">
        <v>44167</v>
      </c>
      <c r="B321" s="8">
        <v>0.60625000000000007</v>
      </c>
      <c r="C321" s="9" t="s">
        <v>345</v>
      </c>
      <c r="D321" s="9" t="s">
        <v>8</v>
      </c>
      <c r="E321" s="9" t="s">
        <v>9</v>
      </c>
      <c r="F321" s="9" t="s">
        <v>10</v>
      </c>
      <c r="G321" s="9" t="s">
        <v>11</v>
      </c>
      <c r="H321" s="9" t="s">
        <v>25</v>
      </c>
      <c r="I321" s="9" t="s">
        <v>13</v>
      </c>
      <c r="J321" s="10">
        <v>71.63</v>
      </c>
      <c r="K321" s="9">
        <v>2</v>
      </c>
      <c r="L321" s="11">
        <f t="shared" si="4"/>
        <v>143.26</v>
      </c>
    </row>
    <row r="322" spans="1:12" x14ac:dyDescent="0.25">
      <c r="A322" s="2">
        <v>43862</v>
      </c>
      <c r="B322" s="3">
        <v>0.67986111111111114</v>
      </c>
      <c r="C322" s="4" t="s">
        <v>346</v>
      </c>
      <c r="D322" s="4" t="s">
        <v>15</v>
      </c>
      <c r="E322" s="4" t="s">
        <v>16</v>
      </c>
      <c r="F322" s="4" t="s">
        <v>10</v>
      </c>
      <c r="G322" s="4" t="s">
        <v>11</v>
      </c>
      <c r="H322" s="4" t="s">
        <v>25</v>
      </c>
      <c r="I322" s="4" t="s">
        <v>23</v>
      </c>
      <c r="J322" s="5">
        <v>31.67</v>
      </c>
      <c r="K322" s="4">
        <v>8</v>
      </c>
      <c r="L322" s="6">
        <f t="shared" si="4"/>
        <v>253.36</v>
      </c>
    </row>
    <row r="323" spans="1:12" x14ac:dyDescent="0.25">
      <c r="A323" s="7">
        <v>43863</v>
      </c>
      <c r="B323" s="8">
        <v>0.68958333333333333</v>
      </c>
      <c r="C323" s="9" t="s">
        <v>347</v>
      </c>
      <c r="D323" s="9" t="s">
        <v>15</v>
      </c>
      <c r="E323" s="9" t="s">
        <v>16</v>
      </c>
      <c r="F323" s="9" t="s">
        <v>10</v>
      </c>
      <c r="G323" s="9" t="s">
        <v>11</v>
      </c>
      <c r="H323" s="9" t="s">
        <v>29</v>
      </c>
      <c r="I323" s="9" t="s">
        <v>19</v>
      </c>
      <c r="J323" s="10">
        <v>38.42</v>
      </c>
      <c r="K323" s="9">
        <v>1</v>
      </c>
      <c r="L323" s="11">
        <f t="shared" ref="L323:L386" si="5">J323*K323</f>
        <v>38.42</v>
      </c>
    </row>
    <row r="324" spans="1:12" x14ac:dyDescent="0.25">
      <c r="A324" s="2">
        <v>44044</v>
      </c>
      <c r="B324" s="3">
        <v>0.79652777777777783</v>
      </c>
      <c r="C324" s="4" t="s">
        <v>348</v>
      </c>
      <c r="D324" s="4" t="s">
        <v>27</v>
      </c>
      <c r="E324" s="4" t="s">
        <v>28</v>
      </c>
      <c r="F324" s="4" t="s">
        <v>10</v>
      </c>
      <c r="G324" s="4" t="s">
        <v>21</v>
      </c>
      <c r="H324" s="4" t="s">
        <v>31</v>
      </c>
      <c r="I324" s="4" t="s">
        <v>23</v>
      </c>
      <c r="J324" s="5">
        <v>65.23</v>
      </c>
      <c r="K324" s="4">
        <v>10</v>
      </c>
      <c r="L324" s="6">
        <f t="shared" si="5"/>
        <v>652.30000000000007</v>
      </c>
    </row>
    <row r="325" spans="1:12" x14ac:dyDescent="0.25">
      <c r="A325" s="7">
        <v>43892</v>
      </c>
      <c r="B325" s="8">
        <v>0.4381944444444445</v>
      </c>
      <c r="C325" s="9" t="s">
        <v>349</v>
      </c>
      <c r="D325" s="9" t="s">
        <v>8</v>
      </c>
      <c r="E325" s="9" t="s">
        <v>9</v>
      </c>
      <c r="F325" s="9" t="s">
        <v>17</v>
      </c>
      <c r="G325" s="9" t="s">
        <v>11</v>
      </c>
      <c r="H325" s="9" t="s">
        <v>29</v>
      </c>
      <c r="I325" s="9" t="s">
        <v>23</v>
      </c>
      <c r="J325" s="10">
        <v>27.28</v>
      </c>
      <c r="K325" s="9">
        <v>5</v>
      </c>
      <c r="L325" s="11">
        <f t="shared" si="5"/>
        <v>136.4</v>
      </c>
    </row>
    <row r="326" spans="1:12" x14ac:dyDescent="0.25">
      <c r="A326" s="2">
        <v>44077</v>
      </c>
      <c r="B326" s="3">
        <v>0.5541666666666667</v>
      </c>
      <c r="C326" s="4" t="s">
        <v>350</v>
      </c>
      <c r="D326" s="4" t="s">
        <v>8</v>
      </c>
      <c r="E326" s="4" t="s">
        <v>9</v>
      </c>
      <c r="F326" s="4" t="s">
        <v>17</v>
      </c>
      <c r="G326" s="4" t="s">
        <v>11</v>
      </c>
      <c r="H326" s="4" t="s">
        <v>31</v>
      </c>
      <c r="I326" s="4" t="s">
        <v>23</v>
      </c>
      <c r="J326" s="5">
        <v>97.29</v>
      </c>
      <c r="K326" s="4">
        <v>8</v>
      </c>
      <c r="L326" s="6">
        <f t="shared" si="5"/>
        <v>778.32</v>
      </c>
    </row>
    <row r="327" spans="1:12" x14ac:dyDescent="0.25">
      <c r="A327" s="7">
        <v>44136</v>
      </c>
      <c r="B327" s="8">
        <v>0.49444444444444446</v>
      </c>
      <c r="C327" s="9" t="s">
        <v>351</v>
      </c>
      <c r="D327" s="9" t="s">
        <v>8</v>
      </c>
      <c r="E327" s="9" t="s">
        <v>9</v>
      </c>
      <c r="F327" s="9" t="s">
        <v>17</v>
      </c>
      <c r="G327" s="9" t="s">
        <v>11</v>
      </c>
      <c r="H327" s="9" t="s">
        <v>22</v>
      </c>
      <c r="I327" s="9" t="s">
        <v>19</v>
      </c>
      <c r="J327" s="10">
        <v>96.52</v>
      </c>
      <c r="K327" s="9">
        <v>6</v>
      </c>
      <c r="L327" s="11">
        <f t="shared" si="5"/>
        <v>579.12</v>
      </c>
    </row>
    <row r="328" spans="1:12" x14ac:dyDescent="0.25">
      <c r="A328" s="2">
        <v>44137</v>
      </c>
      <c r="B328" s="3">
        <v>0.44305555555555554</v>
      </c>
      <c r="C328" s="4" t="s">
        <v>352</v>
      </c>
      <c r="D328" s="4" t="s">
        <v>27</v>
      </c>
      <c r="E328" s="4" t="s">
        <v>28</v>
      </c>
      <c r="F328" s="4" t="s">
        <v>10</v>
      </c>
      <c r="G328" s="4" t="s">
        <v>11</v>
      </c>
      <c r="H328" s="4" t="s">
        <v>29</v>
      </c>
      <c r="I328" s="4" t="s">
        <v>23</v>
      </c>
      <c r="J328" s="5">
        <v>77.2</v>
      </c>
      <c r="K328" s="4">
        <v>10</v>
      </c>
      <c r="L328" s="6">
        <f t="shared" si="5"/>
        <v>772</v>
      </c>
    </row>
    <row r="329" spans="1:12" x14ac:dyDescent="0.25">
      <c r="A329" s="7">
        <v>43954</v>
      </c>
      <c r="B329" s="8">
        <v>0.81944444444444453</v>
      </c>
      <c r="C329" s="9" t="s">
        <v>353</v>
      </c>
      <c r="D329" s="9" t="s">
        <v>27</v>
      </c>
      <c r="E329" s="9" t="s">
        <v>28</v>
      </c>
      <c r="F329" s="9" t="s">
        <v>17</v>
      </c>
      <c r="G329" s="9" t="s">
        <v>11</v>
      </c>
      <c r="H329" s="9" t="s">
        <v>22</v>
      </c>
      <c r="I329" s="9" t="s">
        <v>13</v>
      </c>
      <c r="J329" s="10">
        <v>95.46</v>
      </c>
      <c r="K329" s="9">
        <v>8</v>
      </c>
      <c r="L329" s="11">
        <f t="shared" si="5"/>
        <v>763.68</v>
      </c>
    </row>
    <row r="330" spans="1:12" x14ac:dyDescent="0.25">
      <c r="A330" s="2">
        <v>43952</v>
      </c>
      <c r="B330" s="3">
        <v>0.85416666666666663</v>
      </c>
      <c r="C330" s="4" t="s">
        <v>354</v>
      </c>
      <c r="D330" s="4" t="s">
        <v>15</v>
      </c>
      <c r="E330" s="4" t="s">
        <v>16</v>
      </c>
      <c r="F330" s="4" t="s">
        <v>17</v>
      </c>
      <c r="G330" s="4" t="s">
        <v>11</v>
      </c>
      <c r="H330" s="4" t="s">
        <v>31</v>
      </c>
      <c r="I330" s="4" t="s">
        <v>23</v>
      </c>
      <c r="J330" s="5">
        <v>76.06</v>
      </c>
      <c r="K330" s="4">
        <v>3</v>
      </c>
      <c r="L330" s="6">
        <f t="shared" si="5"/>
        <v>228.18</v>
      </c>
    </row>
    <row r="331" spans="1:12" x14ac:dyDescent="0.25">
      <c r="A331" s="7">
        <v>43984</v>
      </c>
      <c r="B331" s="8">
        <v>0.43194444444444446</v>
      </c>
      <c r="C331" s="9" t="s">
        <v>355</v>
      </c>
      <c r="D331" s="9" t="s">
        <v>15</v>
      </c>
      <c r="E331" s="9" t="s">
        <v>16</v>
      </c>
      <c r="F331" s="9" t="s">
        <v>17</v>
      </c>
      <c r="G331" s="9" t="s">
        <v>11</v>
      </c>
      <c r="H331" s="9" t="s">
        <v>29</v>
      </c>
      <c r="I331" s="9" t="s">
        <v>23</v>
      </c>
      <c r="J331" s="10">
        <v>52.42</v>
      </c>
      <c r="K331" s="9">
        <v>1</v>
      </c>
      <c r="L331" s="11">
        <f t="shared" si="5"/>
        <v>52.42</v>
      </c>
    </row>
    <row r="332" spans="1:12" x14ac:dyDescent="0.25">
      <c r="A332" s="2">
        <v>43954</v>
      </c>
      <c r="B332" s="3">
        <v>0.75138888888888899</v>
      </c>
      <c r="C332" s="4" t="s">
        <v>356</v>
      </c>
      <c r="D332" s="4" t="s">
        <v>15</v>
      </c>
      <c r="E332" s="4" t="s">
        <v>16</v>
      </c>
      <c r="F332" s="4" t="s">
        <v>10</v>
      </c>
      <c r="G332" s="4" t="s">
        <v>21</v>
      </c>
      <c r="H332" s="4" t="s">
        <v>12</v>
      </c>
      <c r="I332" s="4" t="s">
        <v>23</v>
      </c>
      <c r="J332" s="5">
        <v>65.31</v>
      </c>
      <c r="K332" s="4">
        <v>7</v>
      </c>
      <c r="L332" s="6">
        <f t="shared" si="5"/>
        <v>457.17</v>
      </c>
    </row>
    <row r="333" spans="1:12" x14ac:dyDescent="0.25">
      <c r="A333" s="7">
        <v>43891</v>
      </c>
      <c r="B333" s="8">
        <v>0.54652777777777783</v>
      </c>
      <c r="C333" s="9" t="s">
        <v>357</v>
      </c>
      <c r="D333" s="9" t="s">
        <v>27</v>
      </c>
      <c r="E333" s="9" t="s">
        <v>28</v>
      </c>
      <c r="F333" s="9" t="s">
        <v>17</v>
      </c>
      <c r="G333" s="9" t="s">
        <v>21</v>
      </c>
      <c r="H333" s="9" t="s">
        <v>25</v>
      </c>
      <c r="I333" s="9" t="s">
        <v>19</v>
      </c>
      <c r="J333" s="10">
        <v>93.38</v>
      </c>
      <c r="K333" s="9">
        <v>1</v>
      </c>
      <c r="L333" s="11">
        <f t="shared" si="5"/>
        <v>93.38</v>
      </c>
    </row>
    <row r="334" spans="1:12" x14ac:dyDescent="0.25">
      <c r="A334" s="2">
        <v>44137</v>
      </c>
      <c r="B334" s="3">
        <v>0.67083333333333339</v>
      </c>
      <c r="C334" s="4" t="s">
        <v>358</v>
      </c>
      <c r="D334" s="4" t="s">
        <v>8</v>
      </c>
      <c r="E334" s="4" t="s">
        <v>9</v>
      </c>
      <c r="F334" s="4" t="s">
        <v>17</v>
      </c>
      <c r="G334" s="4" t="s">
        <v>11</v>
      </c>
      <c r="H334" s="4" t="s">
        <v>25</v>
      </c>
      <c r="I334" s="4" t="s">
        <v>13</v>
      </c>
      <c r="J334" s="5">
        <v>94.76</v>
      </c>
      <c r="K334" s="4">
        <v>4</v>
      </c>
      <c r="L334" s="6">
        <f t="shared" si="5"/>
        <v>379.04</v>
      </c>
    </row>
    <row r="335" spans="1:12" x14ac:dyDescent="0.25">
      <c r="A335" s="7">
        <v>43953</v>
      </c>
      <c r="B335" s="8">
        <v>0.59305555555555556</v>
      </c>
      <c r="C335" s="9" t="s">
        <v>359</v>
      </c>
      <c r="D335" s="9" t="s">
        <v>8</v>
      </c>
      <c r="E335" s="9" t="s">
        <v>9</v>
      </c>
      <c r="F335" s="9" t="s">
        <v>10</v>
      </c>
      <c r="G335" s="9" t="s">
        <v>11</v>
      </c>
      <c r="H335" s="9" t="s">
        <v>31</v>
      </c>
      <c r="I335" s="9" t="s">
        <v>23</v>
      </c>
      <c r="J335" s="10">
        <v>30.62</v>
      </c>
      <c r="K335" s="9">
        <v>1</v>
      </c>
      <c r="L335" s="11">
        <f t="shared" si="5"/>
        <v>30.62</v>
      </c>
    </row>
    <row r="336" spans="1:12" x14ac:dyDescent="0.25">
      <c r="A336" s="2">
        <v>43893</v>
      </c>
      <c r="B336" s="3">
        <v>0.73333333333333339</v>
      </c>
      <c r="C336" s="4" t="s">
        <v>360</v>
      </c>
      <c r="D336" s="4" t="s">
        <v>15</v>
      </c>
      <c r="E336" s="4" t="s">
        <v>16</v>
      </c>
      <c r="F336" s="4" t="s">
        <v>17</v>
      </c>
      <c r="G336" s="4" t="s">
        <v>11</v>
      </c>
      <c r="H336" s="4" t="s">
        <v>22</v>
      </c>
      <c r="I336" s="4" t="s">
        <v>19</v>
      </c>
      <c r="J336" s="5">
        <v>44.01</v>
      </c>
      <c r="K336" s="4">
        <v>8</v>
      </c>
      <c r="L336" s="6">
        <f t="shared" si="5"/>
        <v>352.08</v>
      </c>
    </row>
    <row r="337" spans="1:12" x14ac:dyDescent="0.25">
      <c r="A337" s="7">
        <v>43923</v>
      </c>
      <c r="B337" s="8">
        <v>0.67291666666666661</v>
      </c>
      <c r="C337" s="9" t="s">
        <v>361</v>
      </c>
      <c r="D337" s="9" t="s">
        <v>8</v>
      </c>
      <c r="E337" s="9" t="s">
        <v>9</v>
      </c>
      <c r="F337" s="9" t="s">
        <v>17</v>
      </c>
      <c r="G337" s="9" t="s">
        <v>21</v>
      </c>
      <c r="H337" s="9" t="s">
        <v>18</v>
      </c>
      <c r="I337" s="9" t="s">
        <v>23</v>
      </c>
      <c r="J337" s="10">
        <v>74.58</v>
      </c>
      <c r="K337" s="9">
        <v>7</v>
      </c>
      <c r="L337" s="11">
        <f t="shared" si="5"/>
        <v>522.05999999999995</v>
      </c>
    </row>
    <row r="338" spans="1:12" x14ac:dyDescent="0.25">
      <c r="A338" s="2">
        <v>43893</v>
      </c>
      <c r="B338" s="3">
        <v>0.83750000000000002</v>
      </c>
      <c r="C338" s="4" t="s">
        <v>362</v>
      </c>
      <c r="D338" s="4" t="s">
        <v>8</v>
      </c>
      <c r="E338" s="4" t="s">
        <v>9</v>
      </c>
      <c r="F338" s="4" t="s">
        <v>17</v>
      </c>
      <c r="G338" s="4" t="s">
        <v>21</v>
      </c>
      <c r="H338" s="4" t="s">
        <v>31</v>
      </c>
      <c r="I338" s="4" t="s">
        <v>23</v>
      </c>
      <c r="J338" s="5">
        <v>46.41</v>
      </c>
      <c r="K338" s="4">
        <v>1</v>
      </c>
      <c r="L338" s="6">
        <f t="shared" si="5"/>
        <v>46.41</v>
      </c>
    </row>
    <row r="339" spans="1:12" x14ac:dyDescent="0.25">
      <c r="A339" s="7">
        <v>44137</v>
      </c>
      <c r="B339" s="8">
        <v>0.77638888888888891</v>
      </c>
      <c r="C339" s="9" t="s">
        <v>363</v>
      </c>
      <c r="D339" s="9" t="s">
        <v>15</v>
      </c>
      <c r="E339" s="9" t="s">
        <v>16</v>
      </c>
      <c r="F339" s="9" t="s">
        <v>10</v>
      </c>
      <c r="G339" s="9" t="s">
        <v>21</v>
      </c>
      <c r="H339" s="9" t="s">
        <v>22</v>
      </c>
      <c r="I339" s="9" t="s">
        <v>13</v>
      </c>
      <c r="J339" s="10">
        <v>86.69</v>
      </c>
      <c r="K339" s="9">
        <v>5</v>
      </c>
      <c r="L339" s="11">
        <f t="shared" si="5"/>
        <v>433.45</v>
      </c>
    </row>
    <row r="340" spans="1:12" x14ac:dyDescent="0.25">
      <c r="A340" s="2">
        <v>44166</v>
      </c>
      <c r="B340" s="3">
        <v>0.69791666666666663</v>
      </c>
      <c r="C340" s="4" t="s">
        <v>364</v>
      </c>
      <c r="D340" s="4" t="s">
        <v>27</v>
      </c>
      <c r="E340" s="4" t="s">
        <v>28</v>
      </c>
      <c r="F340" s="4" t="s">
        <v>17</v>
      </c>
      <c r="G340" s="4" t="s">
        <v>21</v>
      </c>
      <c r="H340" s="4" t="s">
        <v>25</v>
      </c>
      <c r="I340" s="4" t="s">
        <v>13</v>
      </c>
      <c r="J340" s="5">
        <v>44219</v>
      </c>
      <c r="K340" s="4">
        <v>6</v>
      </c>
      <c r="L340" s="6">
        <f t="shared" si="5"/>
        <v>265314</v>
      </c>
    </row>
    <row r="341" spans="1:12" x14ac:dyDescent="0.25">
      <c r="A341" s="7">
        <v>43893</v>
      </c>
      <c r="B341" s="8">
        <v>0.8125</v>
      </c>
      <c r="C341" s="9" t="s">
        <v>365</v>
      </c>
      <c r="D341" s="9" t="s">
        <v>15</v>
      </c>
      <c r="E341" s="9" t="s">
        <v>16</v>
      </c>
      <c r="F341" s="9" t="s">
        <v>10</v>
      </c>
      <c r="G341" s="9" t="s">
        <v>11</v>
      </c>
      <c r="H341" s="9" t="s">
        <v>18</v>
      </c>
      <c r="I341" s="9" t="s">
        <v>13</v>
      </c>
      <c r="J341" s="10">
        <v>30.2</v>
      </c>
      <c r="K341" s="9">
        <v>8</v>
      </c>
      <c r="L341" s="11">
        <f t="shared" si="5"/>
        <v>241.6</v>
      </c>
    </row>
    <row r="342" spans="1:12" x14ac:dyDescent="0.25">
      <c r="A342" s="2">
        <v>43924</v>
      </c>
      <c r="B342" s="3">
        <v>0.4770833333333333</v>
      </c>
      <c r="C342" s="4" t="s">
        <v>366</v>
      </c>
      <c r="D342" s="4" t="s">
        <v>8</v>
      </c>
      <c r="E342" s="4" t="s">
        <v>9</v>
      </c>
      <c r="F342" s="4" t="s">
        <v>10</v>
      </c>
      <c r="G342" s="4" t="s">
        <v>11</v>
      </c>
      <c r="H342" s="4" t="s">
        <v>31</v>
      </c>
      <c r="I342" s="4" t="s">
        <v>19</v>
      </c>
      <c r="J342" s="5">
        <v>48.96</v>
      </c>
      <c r="K342" s="4">
        <v>9</v>
      </c>
      <c r="L342" s="6">
        <f t="shared" si="5"/>
        <v>440.64</v>
      </c>
    </row>
    <row r="343" spans="1:12" x14ac:dyDescent="0.25">
      <c r="A343" s="7">
        <v>44044</v>
      </c>
      <c r="B343" s="8">
        <v>0.71666666666666667</v>
      </c>
      <c r="C343" s="9" t="s">
        <v>367</v>
      </c>
      <c r="D343" s="9" t="s">
        <v>8</v>
      </c>
      <c r="E343" s="9" t="s">
        <v>9</v>
      </c>
      <c r="F343" s="9" t="s">
        <v>17</v>
      </c>
      <c r="G343" s="9" t="s">
        <v>11</v>
      </c>
      <c r="H343" s="9" t="s">
        <v>18</v>
      </c>
      <c r="I343" s="9" t="s">
        <v>19</v>
      </c>
      <c r="J343" s="10">
        <v>50.23</v>
      </c>
      <c r="K343" s="9">
        <v>4</v>
      </c>
      <c r="L343" s="11">
        <f t="shared" si="5"/>
        <v>200.92</v>
      </c>
    </row>
    <row r="344" spans="1:12" x14ac:dyDescent="0.25">
      <c r="A344" s="2">
        <v>44045</v>
      </c>
      <c r="B344" s="3">
        <v>0.53611111111111109</v>
      </c>
      <c r="C344" s="4" t="s">
        <v>368</v>
      </c>
      <c r="D344" s="4" t="s">
        <v>15</v>
      </c>
      <c r="E344" s="4" t="s">
        <v>16</v>
      </c>
      <c r="F344" s="4" t="s">
        <v>10</v>
      </c>
      <c r="G344" s="4" t="s">
        <v>11</v>
      </c>
      <c r="H344" s="4" t="s">
        <v>25</v>
      </c>
      <c r="I344" s="4" t="s">
        <v>23</v>
      </c>
      <c r="J344" s="5">
        <v>64.97</v>
      </c>
      <c r="K344" s="4">
        <v>5</v>
      </c>
      <c r="L344" s="6">
        <f t="shared" si="5"/>
        <v>324.85000000000002</v>
      </c>
    </row>
    <row r="345" spans="1:12" x14ac:dyDescent="0.25">
      <c r="A345" s="7">
        <v>43892</v>
      </c>
      <c r="B345" s="8">
        <v>0.60763888888888895</v>
      </c>
      <c r="C345" s="9" t="s">
        <v>369</v>
      </c>
      <c r="D345" s="9" t="s">
        <v>27</v>
      </c>
      <c r="E345" s="9" t="s">
        <v>28</v>
      </c>
      <c r="F345" s="9" t="s">
        <v>10</v>
      </c>
      <c r="G345" s="9" t="s">
        <v>21</v>
      </c>
      <c r="H345" s="9" t="s">
        <v>29</v>
      </c>
      <c r="I345" s="9" t="s">
        <v>23</v>
      </c>
      <c r="J345" s="10">
        <v>47.16</v>
      </c>
      <c r="K345" s="9">
        <v>5</v>
      </c>
      <c r="L345" s="11">
        <f t="shared" si="5"/>
        <v>235.79999999999998</v>
      </c>
    </row>
    <row r="346" spans="1:12" x14ac:dyDescent="0.25">
      <c r="A346" s="2">
        <v>44014</v>
      </c>
      <c r="B346" s="3">
        <v>0.59375</v>
      </c>
      <c r="C346" s="4" t="s">
        <v>370</v>
      </c>
      <c r="D346" s="4" t="s">
        <v>15</v>
      </c>
      <c r="E346" s="4" t="s">
        <v>16</v>
      </c>
      <c r="F346" s="4" t="s">
        <v>10</v>
      </c>
      <c r="G346" s="4" t="s">
        <v>21</v>
      </c>
      <c r="H346" s="4" t="s">
        <v>25</v>
      </c>
      <c r="I346" s="4" t="s">
        <v>19</v>
      </c>
      <c r="J346" s="5">
        <v>43009</v>
      </c>
      <c r="K346" s="4">
        <v>1</v>
      </c>
      <c r="L346" s="6">
        <f t="shared" si="5"/>
        <v>43009</v>
      </c>
    </row>
    <row r="347" spans="1:12" x14ac:dyDescent="0.25">
      <c r="A347" s="7">
        <v>43924</v>
      </c>
      <c r="B347" s="8">
        <v>0.4201388888888889</v>
      </c>
      <c r="C347" s="9" t="s">
        <v>371</v>
      </c>
      <c r="D347" s="9" t="s">
        <v>8</v>
      </c>
      <c r="E347" s="9" t="s">
        <v>9</v>
      </c>
      <c r="F347" s="9" t="s">
        <v>17</v>
      </c>
      <c r="G347" s="9" t="s">
        <v>11</v>
      </c>
      <c r="H347" s="9" t="s">
        <v>12</v>
      </c>
      <c r="I347" s="9" t="s">
        <v>19</v>
      </c>
      <c r="J347" s="10">
        <v>68.709999999999994</v>
      </c>
      <c r="K347" s="9">
        <v>3</v>
      </c>
      <c r="L347" s="11">
        <f t="shared" si="5"/>
        <v>206.13</v>
      </c>
    </row>
    <row r="348" spans="1:12" x14ac:dyDescent="0.25">
      <c r="A348" s="2">
        <v>43831</v>
      </c>
      <c r="B348" s="3">
        <v>0.61249999999999993</v>
      </c>
      <c r="C348" s="4" t="s">
        <v>372</v>
      </c>
      <c r="D348" s="4" t="s">
        <v>8</v>
      </c>
      <c r="E348" s="4" t="s">
        <v>9</v>
      </c>
      <c r="F348" s="4" t="s">
        <v>10</v>
      </c>
      <c r="G348" s="4" t="s">
        <v>11</v>
      </c>
      <c r="H348" s="4" t="s">
        <v>18</v>
      </c>
      <c r="I348" s="4" t="s">
        <v>23</v>
      </c>
      <c r="J348" s="5">
        <v>74.22</v>
      </c>
      <c r="K348" s="4">
        <v>10</v>
      </c>
      <c r="L348" s="6">
        <f t="shared" si="5"/>
        <v>742.2</v>
      </c>
    </row>
    <row r="349" spans="1:12" x14ac:dyDescent="0.25">
      <c r="A349" s="7">
        <v>44075</v>
      </c>
      <c r="B349" s="8">
        <v>0.69027777777777777</v>
      </c>
      <c r="C349" s="9" t="s">
        <v>373</v>
      </c>
      <c r="D349" s="9" t="s">
        <v>27</v>
      </c>
      <c r="E349" s="9" t="s">
        <v>28</v>
      </c>
      <c r="F349" s="9" t="s">
        <v>10</v>
      </c>
      <c r="G349" s="9" t="s">
        <v>11</v>
      </c>
      <c r="H349" s="9" t="s">
        <v>25</v>
      </c>
      <c r="I349" s="9" t="s">
        <v>19</v>
      </c>
      <c r="J349" s="10">
        <v>31352</v>
      </c>
      <c r="K349" s="9">
        <v>8</v>
      </c>
      <c r="L349" s="11">
        <f t="shared" si="5"/>
        <v>250816</v>
      </c>
    </row>
    <row r="350" spans="1:12" x14ac:dyDescent="0.25">
      <c r="A350" s="2">
        <v>44168</v>
      </c>
      <c r="B350" s="3">
        <v>0.45902777777777781</v>
      </c>
      <c r="C350" s="4" t="s">
        <v>374</v>
      </c>
      <c r="D350" s="4" t="s">
        <v>27</v>
      </c>
      <c r="E350" s="4" t="s">
        <v>28</v>
      </c>
      <c r="F350" s="4" t="s">
        <v>10</v>
      </c>
      <c r="G350" s="4" t="s">
        <v>11</v>
      </c>
      <c r="H350" s="4" t="s">
        <v>22</v>
      </c>
      <c r="I350" s="4" t="s">
        <v>13</v>
      </c>
      <c r="J350" s="5">
        <v>40.729999999999997</v>
      </c>
      <c r="K350" s="4">
        <v>7</v>
      </c>
      <c r="L350" s="6">
        <f t="shared" si="5"/>
        <v>285.10999999999996</v>
      </c>
    </row>
    <row r="351" spans="1:12" x14ac:dyDescent="0.25">
      <c r="A351" s="7">
        <v>44075</v>
      </c>
      <c r="B351" s="8">
        <v>0.56527777777777777</v>
      </c>
      <c r="C351" s="9" t="s">
        <v>375</v>
      </c>
      <c r="D351" s="9" t="s">
        <v>8</v>
      </c>
      <c r="E351" s="9" t="s">
        <v>9</v>
      </c>
      <c r="F351" s="9" t="s">
        <v>10</v>
      </c>
      <c r="G351" s="9" t="s">
        <v>21</v>
      </c>
      <c r="H351" s="9" t="s">
        <v>31</v>
      </c>
      <c r="I351" s="9" t="s">
        <v>13</v>
      </c>
      <c r="J351" s="10">
        <v>38.54</v>
      </c>
      <c r="K351" s="9">
        <v>5</v>
      </c>
      <c r="L351" s="11">
        <f t="shared" si="5"/>
        <v>192.7</v>
      </c>
    </row>
    <row r="352" spans="1:12" x14ac:dyDescent="0.25">
      <c r="A352" s="2">
        <v>43862</v>
      </c>
      <c r="B352" s="3">
        <v>0.83888888888888891</v>
      </c>
      <c r="C352" s="4" t="s">
        <v>376</v>
      </c>
      <c r="D352" s="4" t="s">
        <v>27</v>
      </c>
      <c r="E352" s="4" t="s">
        <v>28</v>
      </c>
      <c r="F352" s="4" t="s">
        <v>17</v>
      </c>
      <c r="G352" s="4" t="s">
        <v>21</v>
      </c>
      <c r="H352" s="4" t="s">
        <v>25</v>
      </c>
      <c r="I352" s="4" t="s">
        <v>23</v>
      </c>
      <c r="J352" s="5">
        <v>44.63</v>
      </c>
      <c r="K352" s="4">
        <v>6</v>
      </c>
      <c r="L352" s="6">
        <f t="shared" si="5"/>
        <v>267.78000000000003</v>
      </c>
    </row>
    <row r="353" spans="1:12" x14ac:dyDescent="0.25">
      <c r="A353" s="7">
        <v>43831</v>
      </c>
      <c r="B353" s="8">
        <v>0.4861111111111111</v>
      </c>
      <c r="C353" s="9" t="s">
        <v>377</v>
      </c>
      <c r="D353" s="9" t="s">
        <v>15</v>
      </c>
      <c r="E353" s="9" t="s">
        <v>16</v>
      </c>
      <c r="F353" s="9" t="s">
        <v>10</v>
      </c>
      <c r="G353" s="9" t="s">
        <v>11</v>
      </c>
      <c r="H353" s="9" t="s">
        <v>25</v>
      </c>
      <c r="I353" s="9" t="s">
        <v>13</v>
      </c>
      <c r="J353" s="10">
        <v>29.22</v>
      </c>
      <c r="K353" s="9">
        <v>6</v>
      </c>
      <c r="L353" s="11">
        <f t="shared" si="5"/>
        <v>175.32</v>
      </c>
    </row>
    <row r="354" spans="1:12" x14ac:dyDescent="0.25">
      <c r="A354" s="2">
        <v>43864</v>
      </c>
      <c r="B354" s="3">
        <v>0.6777777777777777</v>
      </c>
      <c r="C354" s="4" t="s">
        <v>378</v>
      </c>
      <c r="D354" s="4" t="s">
        <v>8</v>
      </c>
      <c r="E354" s="4" t="s">
        <v>9</v>
      </c>
      <c r="F354" s="4" t="s">
        <v>10</v>
      </c>
      <c r="G354" s="4" t="s">
        <v>11</v>
      </c>
      <c r="H354" s="4" t="s">
        <v>25</v>
      </c>
      <c r="I354" s="4" t="s">
        <v>23</v>
      </c>
      <c r="J354" s="5">
        <v>39.47</v>
      </c>
      <c r="K354" s="4">
        <v>2</v>
      </c>
      <c r="L354" s="6">
        <f t="shared" si="5"/>
        <v>78.94</v>
      </c>
    </row>
    <row r="355" spans="1:12" x14ac:dyDescent="0.25">
      <c r="A355" s="7">
        <v>44044</v>
      </c>
      <c r="B355" s="8">
        <v>0.81805555555555554</v>
      </c>
      <c r="C355" s="9" t="s">
        <v>379</v>
      </c>
      <c r="D355" s="9" t="s">
        <v>15</v>
      </c>
      <c r="E355" s="9" t="s">
        <v>16</v>
      </c>
      <c r="F355" s="9" t="s">
        <v>10</v>
      </c>
      <c r="G355" s="9" t="s">
        <v>11</v>
      </c>
      <c r="H355" s="9" t="s">
        <v>29</v>
      </c>
      <c r="I355" s="9" t="s">
        <v>19</v>
      </c>
      <c r="J355" s="10">
        <v>72.88</v>
      </c>
      <c r="K355" s="9">
        <v>9</v>
      </c>
      <c r="L355" s="11">
        <f t="shared" si="5"/>
        <v>655.92</v>
      </c>
    </row>
    <row r="356" spans="1:12" x14ac:dyDescent="0.25">
      <c r="A356" s="2">
        <v>43831</v>
      </c>
      <c r="B356" s="3">
        <v>0.81319444444444444</v>
      </c>
      <c r="C356" s="4" t="s">
        <v>380</v>
      </c>
      <c r="D356" s="4" t="s">
        <v>27</v>
      </c>
      <c r="E356" s="4" t="s">
        <v>28</v>
      </c>
      <c r="F356" s="4" t="s">
        <v>17</v>
      </c>
      <c r="G356" s="4" t="s">
        <v>21</v>
      </c>
      <c r="H356" s="4" t="s">
        <v>29</v>
      </c>
      <c r="I356" s="4" t="s">
        <v>19</v>
      </c>
      <c r="J356" s="5">
        <v>44551</v>
      </c>
      <c r="K356" s="4">
        <v>8</v>
      </c>
      <c r="L356" s="6">
        <f t="shared" si="5"/>
        <v>356408</v>
      </c>
    </row>
    <row r="357" spans="1:12" x14ac:dyDescent="0.25">
      <c r="A357" s="7">
        <v>44015</v>
      </c>
      <c r="B357" s="8">
        <v>0.77430555555555547</v>
      </c>
      <c r="C357" s="9" t="s">
        <v>381</v>
      </c>
      <c r="D357" s="9" t="s">
        <v>8</v>
      </c>
      <c r="E357" s="9" t="s">
        <v>9</v>
      </c>
      <c r="F357" s="9" t="s">
        <v>10</v>
      </c>
      <c r="G357" s="9" t="s">
        <v>11</v>
      </c>
      <c r="H357" s="9" t="s">
        <v>22</v>
      </c>
      <c r="I357" s="9" t="s">
        <v>19</v>
      </c>
      <c r="J357" s="10">
        <v>28.31</v>
      </c>
      <c r="K357" s="9">
        <v>4</v>
      </c>
      <c r="L357" s="11">
        <f t="shared" si="5"/>
        <v>113.24</v>
      </c>
    </row>
    <row r="358" spans="1:12" x14ac:dyDescent="0.25">
      <c r="A358" s="2">
        <v>44044</v>
      </c>
      <c r="B358" s="3">
        <v>0.75416666666666676</v>
      </c>
      <c r="C358" s="4" t="s">
        <v>382</v>
      </c>
      <c r="D358" s="4" t="s">
        <v>8</v>
      </c>
      <c r="E358" s="4" t="s">
        <v>9</v>
      </c>
      <c r="F358" s="4" t="s">
        <v>10</v>
      </c>
      <c r="G358" s="4" t="s">
        <v>21</v>
      </c>
      <c r="H358" s="4" t="s">
        <v>25</v>
      </c>
      <c r="I358" s="4" t="s">
        <v>13</v>
      </c>
      <c r="J358" s="5">
        <v>28095</v>
      </c>
      <c r="K358" s="4">
        <v>2</v>
      </c>
      <c r="L358" s="6">
        <f t="shared" si="5"/>
        <v>56190</v>
      </c>
    </row>
    <row r="359" spans="1:12" x14ac:dyDescent="0.25">
      <c r="A359" s="7">
        <v>44166</v>
      </c>
      <c r="B359" s="8">
        <v>0.48749999999999999</v>
      </c>
      <c r="C359" s="9" t="s">
        <v>383</v>
      </c>
      <c r="D359" s="9" t="s">
        <v>27</v>
      </c>
      <c r="E359" s="9" t="s">
        <v>28</v>
      </c>
      <c r="F359" s="9" t="s">
        <v>17</v>
      </c>
      <c r="G359" s="9" t="s">
        <v>11</v>
      </c>
      <c r="H359" s="9" t="s">
        <v>22</v>
      </c>
      <c r="I359" s="9" t="s">
        <v>19</v>
      </c>
      <c r="J359" s="10">
        <v>51.07</v>
      </c>
      <c r="K359" s="9">
        <v>7</v>
      </c>
      <c r="L359" s="11">
        <f t="shared" si="5"/>
        <v>357.49</v>
      </c>
    </row>
    <row r="360" spans="1:12" x14ac:dyDescent="0.25">
      <c r="A360" s="2">
        <v>44044</v>
      </c>
      <c r="B360" s="3">
        <v>0.60416666666666663</v>
      </c>
      <c r="C360" s="4" t="s">
        <v>384</v>
      </c>
      <c r="D360" s="4" t="s">
        <v>8</v>
      </c>
      <c r="E360" s="4" t="s">
        <v>9</v>
      </c>
      <c r="F360" s="4" t="s">
        <v>10</v>
      </c>
      <c r="G360" s="4" t="s">
        <v>11</v>
      </c>
      <c r="H360" s="4" t="s">
        <v>18</v>
      </c>
      <c r="I360" s="4" t="s">
        <v>19</v>
      </c>
      <c r="J360" s="5">
        <v>79.59</v>
      </c>
      <c r="K360" s="4">
        <v>3</v>
      </c>
      <c r="L360" s="6">
        <f t="shared" si="5"/>
        <v>238.77</v>
      </c>
    </row>
    <row r="361" spans="1:12" x14ac:dyDescent="0.25">
      <c r="A361" s="7">
        <v>44044</v>
      </c>
      <c r="B361" s="8">
        <v>0.79791666666666661</v>
      </c>
      <c r="C361" s="9" t="s">
        <v>385</v>
      </c>
      <c r="D361" s="9" t="s">
        <v>15</v>
      </c>
      <c r="E361" s="9" t="s">
        <v>16</v>
      </c>
      <c r="F361" s="9" t="s">
        <v>10</v>
      </c>
      <c r="G361" s="9" t="s">
        <v>21</v>
      </c>
      <c r="H361" s="9" t="s">
        <v>29</v>
      </c>
      <c r="I361" s="9" t="s">
        <v>23</v>
      </c>
      <c r="J361" s="10">
        <v>24.31</v>
      </c>
      <c r="K361" s="9">
        <v>3</v>
      </c>
      <c r="L361" s="11">
        <f t="shared" si="5"/>
        <v>72.929999999999993</v>
      </c>
    </row>
    <row r="362" spans="1:12" x14ac:dyDescent="0.25">
      <c r="A362" s="2">
        <v>43983</v>
      </c>
      <c r="B362" s="3">
        <v>0.56597222222222221</v>
      </c>
      <c r="C362" s="4" t="s">
        <v>386</v>
      </c>
      <c r="D362" s="4" t="s">
        <v>8</v>
      </c>
      <c r="E362" s="4" t="s">
        <v>9</v>
      </c>
      <c r="F362" s="4" t="s">
        <v>17</v>
      </c>
      <c r="G362" s="4" t="s">
        <v>21</v>
      </c>
      <c r="H362" s="4" t="s">
        <v>25</v>
      </c>
      <c r="I362" s="4" t="s">
        <v>13</v>
      </c>
      <c r="J362" s="5">
        <v>64.59</v>
      </c>
      <c r="K362" s="4">
        <v>4</v>
      </c>
      <c r="L362" s="6">
        <f t="shared" si="5"/>
        <v>258.36</v>
      </c>
    </row>
    <row r="363" spans="1:12" x14ac:dyDescent="0.25">
      <c r="A363" s="7">
        <v>44167</v>
      </c>
      <c r="B363" s="8">
        <v>0.74236111111111114</v>
      </c>
      <c r="C363" s="9" t="s">
        <v>387</v>
      </c>
      <c r="D363" s="9" t="s">
        <v>15</v>
      </c>
      <c r="E363" s="9" t="s">
        <v>16</v>
      </c>
      <c r="F363" s="9" t="s">
        <v>10</v>
      </c>
      <c r="G363" s="9" t="s">
        <v>21</v>
      </c>
      <c r="H363" s="9" t="s">
        <v>31</v>
      </c>
      <c r="I363" s="9" t="s">
        <v>19</v>
      </c>
      <c r="J363" s="10">
        <v>52.35</v>
      </c>
      <c r="K363" s="9">
        <v>1</v>
      </c>
      <c r="L363" s="11">
        <f t="shared" si="5"/>
        <v>52.35</v>
      </c>
    </row>
    <row r="364" spans="1:12" x14ac:dyDescent="0.25">
      <c r="A364" s="2">
        <v>44044</v>
      </c>
      <c r="B364" s="3">
        <v>0.60069444444444442</v>
      </c>
      <c r="C364" s="4" t="s">
        <v>388</v>
      </c>
      <c r="D364" s="4" t="s">
        <v>27</v>
      </c>
      <c r="E364" s="4" t="s">
        <v>28</v>
      </c>
      <c r="F364" s="4" t="s">
        <v>10</v>
      </c>
      <c r="G364" s="4" t="s">
        <v>11</v>
      </c>
      <c r="H364" s="4" t="s">
        <v>29</v>
      </c>
      <c r="I364" s="4" t="s">
        <v>13</v>
      </c>
      <c r="J364" s="5">
        <v>33.21</v>
      </c>
      <c r="K364" s="4">
        <v>10</v>
      </c>
      <c r="L364" s="6">
        <f t="shared" si="5"/>
        <v>332.1</v>
      </c>
    </row>
    <row r="365" spans="1:12" x14ac:dyDescent="0.25">
      <c r="A365" s="7">
        <v>43953</v>
      </c>
      <c r="B365" s="8">
        <v>0.8208333333333333</v>
      </c>
      <c r="C365" s="9" t="s">
        <v>389</v>
      </c>
      <c r="D365" s="9" t="s">
        <v>8</v>
      </c>
      <c r="E365" s="9" t="s">
        <v>9</v>
      </c>
      <c r="F365" s="9" t="s">
        <v>10</v>
      </c>
      <c r="G365" s="9" t="s">
        <v>21</v>
      </c>
      <c r="H365" s="9" t="s">
        <v>29</v>
      </c>
      <c r="I365" s="9" t="s">
        <v>13</v>
      </c>
      <c r="J365" s="10">
        <v>87.9</v>
      </c>
      <c r="K365" s="9">
        <v>1</v>
      </c>
      <c r="L365" s="11">
        <f t="shared" si="5"/>
        <v>87.9</v>
      </c>
    </row>
    <row r="366" spans="1:12" x14ac:dyDescent="0.25">
      <c r="A366" s="2">
        <v>44014</v>
      </c>
      <c r="B366" s="3">
        <v>0.62916666666666665</v>
      </c>
      <c r="C366" s="4" t="s">
        <v>390</v>
      </c>
      <c r="D366" s="4" t="s">
        <v>27</v>
      </c>
      <c r="E366" s="4" t="s">
        <v>28</v>
      </c>
      <c r="F366" s="4" t="s">
        <v>17</v>
      </c>
      <c r="G366" s="4" t="s">
        <v>11</v>
      </c>
      <c r="H366" s="4" t="s">
        <v>18</v>
      </c>
      <c r="I366" s="4" t="s">
        <v>19</v>
      </c>
      <c r="J366" s="5">
        <v>57.91</v>
      </c>
      <c r="K366" s="4">
        <v>8</v>
      </c>
      <c r="L366" s="6">
        <f t="shared" si="5"/>
        <v>463.28</v>
      </c>
    </row>
    <row r="367" spans="1:12" x14ac:dyDescent="0.25">
      <c r="A367" s="7">
        <v>43864</v>
      </c>
      <c r="B367" s="8">
        <v>0.69097222222222221</v>
      </c>
      <c r="C367" s="9" t="s">
        <v>391</v>
      </c>
      <c r="D367" s="9" t="s">
        <v>15</v>
      </c>
      <c r="E367" s="9" t="s">
        <v>16</v>
      </c>
      <c r="F367" s="9" t="s">
        <v>10</v>
      </c>
      <c r="G367" s="9" t="s">
        <v>11</v>
      </c>
      <c r="H367" s="9" t="s">
        <v>31</v>
      </c>
      <c r="I367" s="9" t="s">
        <v>23</v>
      </c>
      <c r="J367" s="10">
        <v>92.49</v>
      </c>
      <c r="K367" s="9">
        <v>5</v>
      </c>
      <c r="L367" s="11">
        <f t="shared" si="5"/>
        <v>462.45</v>
      </c>
    </row>
    <row r="368" spans="1:12" x14ac:dyDescent="0.25">
      <c r="A368" s="2">
        <v>43985</v>
      </c>
      <c r="B368" s="3">
        <v>0.87291666666666667</v>
      </c>
      <c r="C368" s="4" t="s">
        <v>392</v>
      </c>
      <c r="D368" s="4" t="s">
        <v>27</v>
      </c>
      <c r="E368" s="4" t="s">
        <v>28</v>
      </c>
      <c r="F368" s="4" t="s">
        <v>17</v>
      </c>
      <c r="G368" s="4" t="s">
        <v>21</v>
      </c>
      <c r="H368" s="4" t="s">
        <v>18</v>
      </c>
      <c r="I368" s="4" t="s">
        <v>19</v>
      </c>
      <c r="J368" s="5">
        <v>28.38</v>
      </c>
      <c r="K368" s="4">
        <v>5</v>
      </c>
      <c r="L368" s="6">
        <f t="shared" si="5"/>
        <v>141.9</v>
      </c>
    </row>
    <row r="369" spans="1:12" x14ac:dyDescent="0.25">
      <c r="A369" s="7">
        <v>43984</v>
      </c>
      <c r="B369" s="8">
        <v>0.63611111111111118</v>
      </c>
      <c r="C369" s="9" t="s">
        <v>393</v>
      </c>
      <c r="D369" s="9" t="s">
        <v>27</v>
      </c>
      <c r="E369" s="9" t="s">
        <v>28</v>
      </c>
      <c r="F369" s="9" t="s">
        <v>10</v>
      </c>
      <c r="G369" s="9" t="s">
        <v>21</v>
      </c>
      <c r="H369" s="9" t="s">
        <v>18</v>
      </c>
      <c r="I369" s="9" t="s">
        <v>23</v>
      </c>
      <c r="J369" s="10">
        <v>50.45</v>
      </c>
      <c r="K369" s="9">
        <v>6</v>
      </c>
      <c r="L369" s="11">
        <f t="shared" si="5"/>
        <v>302.70000000000005</v>
      </c>
    </row>
    <row r="370" spans="1:12" x14ac:dyDescent="0.25">
      <c r="A370" s="2">
        <v>43953</v>
      </c>
      <c r="B370" s="3">
        <v>0.4284722222222222</v>
      </c>
      <c r="C370" s="4" t="s">
        <v>394</v>
      </c>
      <c r="D370" s="4" t="s">
        <v>15</v>
      </c>
      <c r="E370" s="4" t="s">
        <v>16</v>
      </c>
      <c r="F370" s="4" t="s">
        <v>10</v>
      </c>
      <c r="G370" s="4" t="s">
        <v>11</v>
      </c>
      <c r="H370" s="4" t="s">
        <v>29</v>
      </c>
      <c r="I370" s="4" t="s">
        <v>19</v>
      </c>
      <c r="J370" s="5">
        <v>47.27</v>
      </c>
      <c r="K370" s="4">
        <v>6</v>
      </c>
      <c r="L370" s="6">
        <f t="shared" si="5"/>
        <v>283.62</v>
      </c>
    </row>
    <row r="371" spans="1:12" x14ac:dyDescent="0.25">
      <c r="A371" s="7">
        <v>43864</v>
      </c>
      <c r="B371" s="8">
        <v>0.57638888888888895</v>
      </c>
      <c r="C371" s="9" t="s">
        <v>395</v>
      </c>
      <c r="D371" s="9" t="s">
        <v>15</v>
      </c>
      <c r="E371" s="9" t="s">
        <v>16</v>
      </c>
      <c r="F371" s="9" t="s">
        <v>10</v>
      </c>
      <c r="G371" s="9" t="s">
        <v>21</v>
      </c>
      <c r="H371" s="9" t="s">
        <v>12</v>
      </c>
      <c r="I371" s="9" t="s">
        <v>19</v>
      </c>
      <c r="J371" s="10">
        <v>85.6</v>
      </c>
      <c r="K371" s="9">
        <v>7</v>
      </c>
      <c r="L371" s="11">
        <f t="shared" si="5"/>
        <v>599.19999999999993</v>
      </c>
    </row>
    <row r="372" spans="1:12" x14ac:dyDescent="0.25">
      <c r="A372" s="2">
        <v>44076</v>
      </c>
      <c r="B372" s="3">
        <v>0.80347222222222225</v>
      </c>
      <c r="C372" s="4" t="s">
        <v>396</v>
      </c>
      <c r="D372" s="4" t="s">
        <v>8</v>
      </c>
      <c r="E372" s="4" t="s">
        <v>9</v>
      </c>
      <c r="F372" s="4" t="s">
        <v>10</v>
      </c>
      <c r="G372" s="4" t="s">
        <v>21</v>
      </c>
      <c r="H372" s="4" t="s">
        <v>29</v>
      </c>
      <c r="I372" s="4" t="s">
        <v>13</v>
      </c>
      <c r="J372" s="5">
        <v>35.04</v>
      </c>
      <c r="K372" s="4">
        <v>9</v>
      </c>
      <c r="L372" s="6">
        <f t="shared" si="5"/>
        <v>315.36</v>
      </c>
    </row>
    <row r="373" spans="1:12" x14ac:dyDescent="0.25">
      <c r="A373" s="7">
        <v>44076</v>
      </c>
      <c r="B373" s="8">
        <v>0.50138888888888888</v>
      </c>
      <c r="C373" s="9" t="s">
        <v>397</v>
      </c>
      <c r="D373" s="9" t="s">
        <v>27</v>
      </c>
      <c r="E373" s="9" t="s">
        <v>28</v>
      </c>
      <c r="F373" s="9" t="s">
        <v>17</v>
      </c>
      <c r="G373" s="9" t="s">
        <v>21</v>
      </c>
      <c r="H373" s="9" t="s">
        <v>22</v>
      </c>
      <c r="I373" s="9" t="s">
        <v>13</v>
      </c>
      <c r="J373" s="10">
        <v>45.97</v>
      </c>
      <c r="K373" s="9">
        <v>4</v>
      </c>
      <c r="L373" s="11">
        <f t="shared" si="5"/>
        <v>183.88</v>
      </c>
    </row>
    <row r="374" spans="1:12" x14ac:dyDescent="0.25">
      <c r="A374" s="2">
        <v>44076</v>
      </c>
      <c r="B374" s="3">
        <v>0.79027777777777775</v>
      </c>
      <c r="C374" s="4" t="s">
        <v>398</v>
      </c>
      <c r="D374" s="4" t="s">
        <v>15</v>
      </c>
      <c r="E374" s="4" t="s">
        <v>16</v>
      </c>
      <c r="F374" s="4" t="s">
        <v>17</v>
      </c>
      <c r="G374" s="4" t="s">
        <v>21</v>
      </c>
      <c r="H374" s="4" t="s">
        <v>12</v>
      </c>
      <c r="I374" s="4" t="s">
        <v>23</v>
      </c>
      <c r="J374" s="5">
        <v>84.61</v>
      </c>
      <c r="K374" s="4">
        <v>10</v>
      </c>
      <c r="L374" s="6">
        <f t="shared" si="5"/>
        <v>846.1</v>
      </c>
    </row>
    <row r="375" spans="1:12" x14ac:dyDescent="0.25">
      <c r="A375" s="7">
        <v>44014</v>
      </c>
      <c r="B375" s="8">
        <v>0.42291666666666666</v>
      </c>
      <c r="C375" s="9" t="s">
        <v>399</v>
      </c>
      <c r="D375" s="9" t="s">
        <v>8</v>
      </c>
      <c r="E375" s="9" t="s">
        <v>9</v>
      </c>
      <c r="F375" s="9" t="s">
        <v>17</v>
      </c>
      <c r="G375" s="9" t="s">
        <v>11</v>
      </c>
      <c r="H375" s="9" t="s">
        <v>22</v>
      </c>
      <c r="I375" s="9" t="s">
        <v>19</v>
      </c>
      <c r="J375" s="10">
        <v>93.12</v>
      </c>
      <c r="K375" s="9">
        <v>8</v>
      </c>
      <c r="L375" s="11">
        <f t="shared" si="5"/>
        <v>744.96</v>
      </c>
    </row>
    <row r="376" spans="1:12" x14ac:dyDescent="0.25">
      <c r="A376" s="2">
        <v>43863</v>
      </c>
      <c r="B376" s="3">
        <v>0.52777777777777779</v>
      </c>
      <c r="C376" s="4" t="s">
        <v>400</v>
      </c>
      <c r="D376" s="4" t="s">
        <v>15</v>
      </c>
      <c r="E376" s="4" t="s">
        <v>16</v>
      </c>
      <c r="F376" s="4" t="s">
        <v>17</v>
      </c>
      <c r="G376" s="4" t="s">
        <v>11</v>
      </c>
      <c r="H376" s="4" t="s">
        <v>18</v>
      </c>
      <c r="I376" s="4" t="s">
        <v>19</v>
      </c>
      <c r="J376" s="5">
        <v>35.49</v>
      </c>
      <c r="K376" s="4">
        <v>6</v>
      </c>
      <c r="L376" s="6">
        <f t="shared" si="5"/>
        <v>212.94</v>
      </c>
    </row>
    <row r="377" spans="1:12" x14ac:dyDescent="0.25">
      <c r="A377" s="7">
        <v>44138</v>
      </c>
      <c r="B377" s="8">
        <v>0.50277777777777777</v>
      </c>
      <c r="C377" s="9" t="s">
        <v>401</v>
      </c>
      <c r="D377" s="9" t="s">
        <v>8</v>
      </c>
      <c r="E377" s="9" t="s">
        <v>9</v>
      </c>
      <c r="F377" s="9" t="s">
        <v>17</v>
      </c>
      <c r="G377" s="9" t="s">
        <v>11</v>
      </c>
      <c r="H377" s="9" t="s">
        <v>31</v>
      </c>
      <c r="I377" s="9" t="s">
        <v>19</v>
      </c>
      <c r="J377" s="10">
        <v>94.67</v>
      </c>
      <c r="K377" s="9">
        <v>4</v>
      </c>
      <c r="L377" s="11">
        <f t="shared" si="5"/>
        <v>378.68</v>
      </c>
    </row>
    <row r="378" spans="1:12" x14ac:dyDescent="0.25">
      <c r="A378" s="2">
        <v>43864</v>
      </c>
      <c r="B378" s="3">
        <v>0.52500000000000002</v>
      </c>
      <c r="C378" s="4" t="s">
        <v>402</v>
      </c>
      <c r="D378" s="4" t="s">
        <v>27</v>
      </c>
      <c r="E378" s="4" t="s">
        <v>28</v>
      </c>
      <c r="F378" s="4" t="s">
        <v>10</v>
      </c>
      <c r="G378" s="4" t="s">
        <v>11</v>
      </c>
      <c r="H378" s="4" t="s">
        <v>18</v>
      </c>
      <c r="I378" s="4" t="s">
        <v>13</v>
      </c>
      <c r="J378" s="5">
        <v>26.26</v>
      </c>
      <c r="K378" s="4">
        <v>3</v>
      </c>
      <c r="L378" s="6">
        <f t="shared" si="5"/>
        <v>78.78</v>
      </c>
    </row>
    <row r="379" spans="1:12" x14ac:dyDescent="0.25">
      <c r="A379" s="7">
        <v>44107</v>
      </c>
      <c r="B379" s="8">
        <v>0.62916666666666665</v>
      </c>
      <c r="C379" s="9" t="s">
        <v>403</v>
      </c>
      <c r="D379" s="9" t="s">
        <v>15</v>
      </c>
      <c r="E379" s="9" t="s">
        <v>16</v>
      </c>
      <c r="F379" s="9" t="s">
        <v>10</v>
      </c>
      <c r="G379" s="9" t="s">
        <v>11</v>
      </c>
      <c r="H379" s="9" t="s">
        <v>22</v>
      </c>
      <c r="I379" s="9" t="s">
        <v>23</v>
      </c>
      <c r="J379" s="10">
        <v>35.79</v>
      </c>
      <c r="K379" s="9">
        <v>9</v>
      </c>
      <c r="L379" s="11">
        <f t="shared" si="5"/>
        <v>322.11</v>
      </c>
    </row>
    <row r="380" spans="1:12" x14ac:dyDescent="0.25">
      <c r="A380" s="2">
        <v>44045</v>
      </c>
      <c r="B380" s="3">
        <v>0.45694444444444443</v>
      </c>
      <c r="C380" s="4" t="s">
        <v>404</v>
      </c>
      <c r="D380" s="4" t="s">
        <v>27</v>
      </c>
      <c r="E380" s="4" t="s">
        <v>28</v>
      </c>
      <c r="F380" s="4" t="s">
        <v>17</v>
      </c>
      <c r="G380" s="4" t="s">
        <v>11</v>
      </c>
      <c r="H380" s="4" t="s">
        <v>22</v>
      </c>
      <c r="I380" s="4" t="s">
        <v>19</v>
      </c>
      <c r="J380" s="5">
        <v>16.37</v>
      </c>
      <c r="K380" s="4">
        <v>6</v>
      </c>
      <c r="L380" s="6">
        <f t="shared" si="5"/>
        <v>98.22</v>
      </c>
    </row>
    <row r="381" spans="1:12" x14ac:dyDescent="0.25">
      <c r="A381" s="7">
        <v>44105</v>
      </c>
      <c r="B381" s="8">
        <v>0.4381944444444445</v>
      </c>
      <c r="C381" s="9" t="s">
        <v>405</v>
      </c>
      <c r="D381" s="9" t="s">
        <v>15</v>
      </c>
      <c r="E381" s="9" t="s">
        <v>16</v>
      </c>
      <c r="F381" s="9" t="s">
        <v>17</v>
      </c>
      <c r="G381" s="9" t="s">
        <v>11</v>
      </c>
      <c r="H381" s="9" t="s">
        <v>25</v>
      </c>
      <c r="I381" s="9" t="s">
        <v>23</v>
      </c>
      <c r="J381" s="10">
        <v>83.14</v>
      </c>
      <c r="K381" s="9">
        <v>7</v>
      </c>
      <c r="L381" s="11">
        <f t="shared" si="5"/>
        <v>581.98</v>
      </c>
    </row>
    <row r="382" spans="1:12" x14ac:dyDescent="0.25">
      <c r="A382" s="2">
        <v>44105</v>
      </c>
      <c r="B382" s="3">
        <v>0.46527777777777773</v>
      </c>
      <c r="C382" s="4" t="s">
        <v>406</v>
      </c>
      <c r="D382" s="4" t="s">
        <v>27</v>
      </c>
      <c r="E382" s="4" t="s">
        <v>28</v>
      </c>
      <c r="F382" s="4" t="s">
        <v>17</v>
      </c>
      <c r="G382" s="4" t="s">
        <v>11</v>
      </c>
      <c r="H382" s="4" t="s">
        <v>18</v>
      </c>
      <c r="I382" s="4" t="s">
        <v>13</v>
      </c>
      <c r="J382" s="5">
        <v>13.78</v>
      </c>
      <c r="K382" s="4">
        <v>4</v>
      </c>
      <c r="L382" s="6">
        <f t="shared" si="5"/>
        <v>55.12</v>
      </c>
    </row>
    <row r="383" spans="1:12" x14ac:dyDescent="0.25">
      <c r="A383" s="7">
        <v>43864</v>
      </c>
      <c r="B383" s="8">
        <v>0.80972222222222223</v>
      </c>
      <c r="C383" s="9" t="s">
        <v>407</v>
      </c>
      <c r="D383" s="9" t="s">
        <v>27</v>
      </c>
      <c r="E383" s="9" t="s">
        <v>28</v>
      </c>
      <c r="F383" s="9" t="s">
        <v>17</v>
      </c>
      <c r="G383" s="9" t="s">
        <v>21</v>
      </c>
      <c r="H383" s="9" t="s">
        <v>25</v>
      </c>
      <c r="I383" s="9" t="s">
        <v>13</v>
      </c>
      <c r="J383" s="10">
        <v>25.31</v>
      </c>
      <c r="K383" s="9">
        <v>2</v>
      </c>
      <c r="L383" s="11">
        <f t="shared" si="5"/>
        <v>50.62</v>
      </c>
    </row>
    <row r="384" spans="1:12" x14ac:dyDescent="0.25">
      <c r="A384" s="2">
        <v>43863</v>
      </c>
      <c r="B384" s="3">
        <v>0.58680555555555558</v>
      </c>
      <c r="C384" s="4" t="s">
        <v>408</v>
      </c>
      <c r="D384" s="4" t="s">
        <v>15</v>
      </c>
      <c r="E384" s="4" t="s">
        <v>16</v>
      </c>
      <c r="F384" s="4" t="s">
        <v>10</v>
      </c>
      <c r="G384" s="4" t="s">
        <v>11</v>
      </c>
      <c r="H384" s="4" t="s">
        <v>31</v>
      </c>
      <c r="I384" s="4" t="s">
        <v>23</v>
      </c>
      <c r="J384" s="5">
        <v>83.35</v>
      </c>
      <c r="K384" s="4">
        <v>2</v>
      </c>
      <c r="L384" s="6">
        <f t="shared" si="5"/>
        <v>166.7</v>
      </c>
    </row>
    <row r="385" spans="1:12" x14ac:dyDescent="0.25">
      <c r="A385" s="7">
        <v>43891</v>
      </c>
      <c r="B385" s="8">
        <v>0.85</v>
      </c>
      <c r="C385" s="9" t="s">
        <v>409</v>
      </c>
      <c r="D385" s="9" t="s">
        <v>27</v>
      </c>
      <c r="E385" s="9" t="s">
        <v>28</v>
      </c>
      <c r="F385" s="9" t="s">
        <v>17</v>
      </c>
      <c r="G385" s="9" t="s">
        <v>11</v>
      </c>
      <c r="H385" s="9" t="s">
        <v>22</v>
      </c>
      <c r="I385" s="9" t="s">
        <v>13</v>
      </c>
      <c r="J385" s="10">
        <v>63.15</v>
      </c>
      <c r="K385" s="9">
        <v>6</v>
      </c>
      <c r="L385" s="11">
        <f t="shared" si="5"/>
        <v>378.9</v>
      </c>
    </row>
    <row r="386" spans="1:12" x14ac:dyDescent="0.25">
      <c r="A386" s="2">
        <v>43952</v>
      </c>
      <c r="B386" s="3">
        <v>0.82500000000000007</v>
      </c>
      <c r="C386" s="4" t="s">
        <v>410</v>
      </c>
      <c r="D386" s="4" t="s">
        <v>15</v>
      </c>
      <c r="E386" s="4" t="s">
        <v>16</v>
      </c>
      <c r="F386" s="4" t="s">
        <v>17</v>
      </c>
      <c r="G386" s="4" t="s">
        <v>11</v>
      </c>
      <c r="H386" s="4" t="s">
        <v>12</v>
      </c>
      <c r="I386" s="4" t="s">
        <v>13</v>
      </c>
      <c r="J386" s="5">
        <v>78.89</v>
      </c>
      <c r="K386" s="4">
        <v>7</v>
      </c>
      <c r="L386" s="6">
        <f t="shared" si="5"/>
        <v>552.23</v>
      </c>
    </row>
    <row r="387" spans="1:12" x14ac:dyDescent="0.25">
      <c r="A387" s="7">
        <v>43864</v>
      </c>
      <c r="B387" s="8">
        <v>0.7597222222222223</v>
      </c>
      <c r="C387" s="9" t="s">
        <v>411</v>
      </c>
      <c r="D387" s="9" t="s">
        <v>8</v>
      </c>
      <c r="E387" s="9" t="s">
        <v>9</v>
      </c>
      <c r="F387" s="9" t="s">
        <v>17</v>
      </c>
      <c r="G387" s="9" t="s">
        <v>21</v>
      </c>
      <c r="H387" s="9" t="s">
        <v>29</v>
      </c>
      <c r="I387" s="9" t="s">
        <v>13</v>
      </c>
      <c r="J387" s="10">
        <v>66.52</v>
      </c>
      <c r="K387" s="9">
        <v>4</v>
      </c>
      <c r="L387" s="11">
        <f t="shared" ref="L387:L414" si="6">J387*K387</f>
        <v>266.08</v>
      </c>
    </row>
    <row r="388" spans="1:12" x14ac:dyDescent="0.25">
      <c r="A388" s="2">
        <v>43952</v>
      </c>
      <c r="B388" s="3">
        <v>0.49374999999999997</v>
      </c>
      <c r="C388" s="4" t="s">
        <v>412</v>
      </c>
      <c r="D388" s="4" t="s">
        <v>8</v>
      </c>
      <c r="E388" s="4" t="s">
        <v>9</v>
      </c>
      <c r="F388" s="4" t="s">
        <v>17</v>
      </c>
      <c r="G388" s="4" t="s">
        <v>11</v>
      </c>
      <c r="H388" s="4" t="s">
        <v>18</v>
      </c>
      <c r="I388" s="4" t="s">
        <v>23</v>
      </c>
      <c r="J388" s="5">
        <v>93.88</v>
      </c>
      <c r="K388" s="4">
        <v>7</v>
      </c>
      <c r="L388" s="6">
        <f t="shared" si="6"/>
        <v>657.16</v>
      </c>
    </row>
    <row r="389" spans="1:12" x14ac:dyDescent="0.25">
      <c r="A389" s="7">
        <v>43892</v>
      </c>
      <c r="B389" s="8">
        <v>0.84236111111111101</v>
      </c>
      <c r="C389" s="9" t="s">
        <v>413</v>
      </c>
      <c r="D389" s="9" t="s">
        <v>27</v>
      </c>
      <c r="E389" s="9" t="s">
        <v>28</v>
      </c>
      <c r="F389" s="9" t="s">
        <v>10</v>
      </c>
      <c r="G389" s="9" t="s">
        <v>21</v>
      </c>
      <c r="H389" s="9" t="s">
        <v>31</v>
      </c>
      <c r="I389" s="9" t="s">
        <v>13</v>
      </c>
      <c r="J389" s="10">
        <v>53.78</v>
      </c>
      <c r="K389" s="9">
        <v>1</v>
      </c>
      <c r="L389" s="11">
        <f t="shared" si="6"/>
        <v>53.78</v>
      </c>
    </row>
    <row r="390" spans="1:12" x14ac:dyDescent="0.25">
      <c r="A390" s="2">
        <v>43984</v>
      </c>
      <c r="B390" s="3">
        <v>0.78055555555555556</v>
      </c>
      <c r="C390" s="4" t="s">
        <v>414</v>
      </c>
      <c r="D390" s="4" t="s">
        <v>15</v>
      </c>
      <c r="E390" s="4" t="s">
        <v>16</v>
      </c>
      <c r="F390" s="4" t="s">
        <v>10</v>
      </c>
      <c r="G390" s="4" t="s">
        <v>21</v>
      </c>
      <c r="H390" s="4" t="s">
        <v>22</v>
      </c>
      <c r="I390" s="4" t="s">
        <v>13</v>
      </c>
      <c r="J390" s="5">
        <v>35.81</v>
      </c>
      <c r="K390" s="4">
        <v>5</v>
      </c>
      <c r="L390" s="6">
        <f t="shared" si="6"/>
        <v>179.05</v>
      </c>
    </row>
    <row r="391" spans="1:12" x14ac:dyDescent="0.25">
      <c r="A391" s="7">
        <v>44075</v>
      </c>
      <c r="B391" s="8">
        <v>0.77986111111111101</v>
      </c>
      <c r="C391" s="9" t="s">
        <v>415</v>
      </c>
      <c r="D391" s="9" t="s">
        <v>27</v>
      </c>
      <c r="E391" s="9" t="s">
        <v>28</v>
      </c>
      <c r="F391" s="9" t="s">
        <v>10</v>
      </c>
      <c r="G391" s="9" t="s">
        <v>11</v>
      </c>
      <c r="H391" s="9" t="s">
        <v>22</v>
      </c>
      <c r="I391" s="9" t="s">
        <v>13</v>
      </c>
      <c r="J391" s="10">
        <v>44460</v>
      </c>
      <c r="K391" s="9">
        <v>3</v>
      </c>
      <c r="L391" s="11">
        <f t="shared" si="6"/>
        <v>133380</v>
      </c>
    </row>
    <row r="392" spans="1:12" x14ac:dyDescent="0.25">
      <c r="A392" s="2">
        <v>44076</v>
      </c>
      <c r="B392" s="3">
        <v>0.48958333333333331</v>
      </c>
      <c r="C392" s="4" t="s">
        <v>416</v>
      </c>
      <c r="D392" s="4" t="s">
        <v>27</v>
      </c>
      <c r="E392" s="4" t="s">
        <v>28</v>
      </c>
      <c r="F392" s="4" t="s">
        <v>10</v>
      </c>
      <c r="G392" s="4" t="s">
        <v>21</v>
      </c>
      <c r="H392" s="4" t="s">
        <v>22</v>
      </c>
      <c r="I392" s="4" t="s">
        <v>19</v>
      </c>
      <c r="J392" s="5">
        <v>65.91</v>
      </c>
      <c r="K392" s="4">
        <v>6</v>
      </c>
      <c r="L392" s="6">
        <f t="shared" si="6"/>
        <v>395.46</v>
      </c>
    </row>
    <row r="393" spans="1:12" x14ac:dyDescent="0.25">
      <c r="A393" s="7">
        <v>43983</v>
      </c>
      <c r="B393" s="8">
        <v>0.49374999999999997</v>
      </c>
      <c r="C393" s="9" t="s">
        <v>417</v>
      </c>
      <c r="D393" s="9" t="s">
        <v>8</v>
      </c>
      <c r="E393" s="9" t="s">
        <v>9</v>
      </c>
      <c r="F393" s="9" t="s">
        <v>17</v>
      </c>
      <c r="G393" s="9" t="s">
        <v>11</v>
      </c>
      <c r="H393" s="9" t="s">
        <v>31</v>
      </c>
      <c r="I393" s="9" t="s">
        <v>19</v>
      </c>
      <c r="J393" s="10">
        <v>42.57</v>
      </c>
      <c r="K393" s="9">
        <v>7</v>
      </c>
      <c r="L393" s="11">
        <f t="shared" si="6"/>
        <v>297.99</v>
      </c>
    </row>
    <row r="394" spans="1:12" x14ac:dyDescent="0.25">
      <c r="A394" s="2">
        <v>44105</v>
      </c>
      <c r="B394" s="3">
        <v>0.71944444444444444</v>
      </c>
      <c r="C394" s="4" t="s">
        <v>418</v>
      </c>
      <c r="D394" s="4" t="s">
        <v>15</v>
      </c>
      <c r="E394" s="4" t="s">
        <v>16</v>
      </c>
      <c r="F394" s="4" t="s">
        <v>10</v>
      </c>
      <c r="G394" s="4" t="s">
        <v>21</v>
      </c>
      <c r="H394" s="4" t="s">
        <v>29</v>
      </c>
      <c r="I394" s="4" t="s">
        <v>19</v>
      </c>
      <c r="J394" s="5">
        <v>50.49</v>
      </c>
      <c r="K394" s="4">
        <v>9</v>
      </c>
      <c r="L394" s="6">
        <f t="shared" si="6"/>
        <v>454.41</v>
      </c>
    </row>
    <row r="395" spans="1:12" x14ac:dyDescent="0.25">
      <c r="A395" s="7">
        <v>44014</v>
      </c>
      <c r="B395" s="8">
        <v>0.66319444444444442</v>
      </c>
      <c r="C395" s="9" t="s">
        <v>419</v>
      </c>
      <c r="D395" s="9" t="s">
        <v>27</v>
      </c>
      <c r="E395" s="9" t="s">
        <v>28</v>
      </c>
      <c r="F395" s="9" t="s">
        <v>17</v>
      </c>
      <c r="G395" s="9" t="s">
        <v>21</v>
      </c>
      <c r="H395" s="9" t="s">
        <v>18</v>
      </c>
      <c r="I395" s="9" t="s">
        <v>19</v>
      </c>
      <c r="J395" s="10">
        <v>46.02</v>
      </c>
      <c r="K395" s="9">
        <v>6</v>
      </c>
      <c r="L395" s="11">
        <f t="shared" si="6"/>
        <v>276.12</v>
      </c>
    </row>
    <row r="396" spans="1:12" x14ac:dyDescent="0.25">
      <c r="A396" s="2">
        <v>44075</v>
      </c>
      <c r="B396" s="3">
        <v>0.50486111111111109</v>
      </c>
      <c r="C396" s="4" t="s">
        <v>420</v>
      </c>
      <c r="D396" s="4" t="s">
        <v>15</v>
      </c>
      <c r="E396" s="4" t="s">
        <v>16</v>
      </c>
      <c r="F396" s="4" t="s">
        <v>17</v>
      </c>
      <c r="G396" s="4" t="s">
        <v>11</v>
      </c>
      <c r="H396" s="4" t="s">
        <v>22</v>
      </c>
      <c r="I396" s="4" t="s">
        <v>19</v>
      </c>
      <c r="J396" s="5">
        <v>44423</v>
      </c>
      <c r="K396" s="4">
        <v>10</v>
      </c>
      <c r="L396" s="6">
        <f t="shared" si="6"/>
        <v>444230</v>
      </c>
    </row>
    <row r="397" spans="1:12" x14ac:dyDescent="0.25">
      <c r="A397" s="7">
        <v>43953</v>
      </c>
      <c r="B397" s="8">
        <v>0.78125</v>
      </c>
      <c r="C397" s="9" t="s">
        <v>421</v>
      </c>
      <c r="D397" s="9" t="s">
        <v>8</v>
      </c>
      <c r="E397" s="9" t="s">
        <v>9</v>
      </c>
      <c r="F397" s="9" t="s">
        <v>10</v>
      </c>
      <c r="G397" s="9" t="s">
        <v>21</v>
      </c>
      <c r="H397" s="9" t="s">
        <v>18</v>
      </c>
      <c r="I397" s="9" t="s">
        <v>19</v>
      </c>
      <c r="J397" s="10">
        <v>20.89</v>
      </c>
      <c r="K397" s="9">
        <v>2</v>
      </c>
      <c r="L397" s="11">
        <f t="shared" si="6"/>
        <v>41.78</v>
      </c>
    </row>
    <row r="398" spans="1:12" x14ac:dyDescent="0.25">
      <c r="A398" s="2">
        <v>43864</v>
      </c>
      <c r="B398" s="3">
        <v>0.76250000000000007</v>
      </c>
      <c r="C398" s="4" t="s">
        <v>422</v>
      </c>
      <c r="D398" s="4" t="s">
        <v>27</v>
      </c>
      <c r="E398" s="4" t="s">
        <v>28</v>
      </c>
      <c r="F398" s="4" t="s">
        <v>17</v>
      </c>
      <c r="G398" s="4" t="s">
        <v>11</v>
      </c>
      <c r="H398" s="4" t="s">
        <v>18</v>
      </c>
      <c r="I398" s="4" t="s">
        <v>23</v>
      </c>
      <c r="J398" s="5">
        <v>38.270000000000003</v>
      </c>
      <c r="K398" s="4">
        <v>2</v>
      </c>
      <c r="L398" s="6">
        <f t="shared" si="6"/>
        <v>76.540000000000006</v>
      </c>
    </row>
    <row r="399" spans="1:12" x14ac:dyDescent="0.25">
      <c r="A399" s="7">
        <v>43924</v>
      </c>
      <c r="B399" s="8">
        <v>0.64374999999999993</v>
      </c>
      <c r="C399" s="9" t="s">
        <v>423</v>
      </c>
      <c r="D399" s="9" t="s">
        <v>8</v>
      </c>
      <c r="E399" s="9" t="s">
        <v>9</v>
      </c>
      <c r="F399" s="9" t="s">
        <v>17</v>
      </c>
      <c r="G399" s="9" t="s">
        <v>11</v>
      </c>
      <c r="H399" s="9" t="s">
        <v>22</v>
      </c>
      <c r="I399" s="9" t="s">
        <v>13</v>
      </c>
      <c r="J399" s="10">
        <v>33.299999999999997</v>
      </c>
      <c r="K399" s="9">
        <v>9</v>
      </c>
      <c r="L399" s="11">
        <f t="shared" si="6"/>
        <v>299.7</v>
      </c>
    </row>
    <row r="400" spans="1:12" x14ac:dyDescent="0.25">
      <c r="A400" s="2">
        <v>44138</v>
      </c>
      <c r="B400" s="3">
        <v>0.8222222222222223</v>
      </c>
      <c r="C400" s="4" t="s">
        <v>424</v>
      </c>
      <c r="D400" s="4" t="s">
        <v>27</v>
      </c>
      <c r="E400" s="4" t="s">
        <v>28</v>
      </c>
      <c r="F400" s="4" t="s">
        <v>10</v>
      </c>
      <c r="G400" s="4" t="s">
        <v>11</v>
      </c>
      <c r="H400" s="4" t="s">
        <v>18</v>
      </c>
      <c r="I400" s="4" t="s">
        <v>23</v>
      </c>
      <c r="J400" s="5">
        <v>34.49</v>
      </c>
      <c r="K400" s="4">
        <v>5</v>
      </c>
      <c r="L400" s="6">
        <f t="shared" si="6"/>
        <v>172.45000000000002</v>
      </c>
    </row>
    <row r="401" spans="1:12" x14ac:dyDescent="0.25">
      <c r="A401" s="7">
        <v>43831</v>
      </c>
      <c r="B401" s="8">
        <v>0.48333333333333334</v>
      </c>
      <c r="C401" s="9" t="s">
        <v>425</v>
      </c>
      <c r="D401" s="9" t="s">
        <v>27</v>
      </c>
      <c r="E401" s="9" t="s">
        <v>28</v>
      </c>
      <c r="F401" s="9" t="s">
        <v>10</v>
      </c>
      <c r="G401" s="9" t="s">
        <v>11</v>
      </c>
      <c r="H401" s="9" t="s">
        <v>29</v>
      </c>
      <c r="I401" s="9" t="s">
        <v>23</v>
      </c>
      <c r="J401" s="10">
        <v>84.63</v>
      </c>
      <c r="K401" s="9">
        <v>10</v>
      </c>
      <c r="L401" s="11">
        <f t="shared" si="6"/>
        <v>846.3</v>
      </c>
    </row>
    <row r="402" spans="1:12" x14ac:dyDescent="0.25">
      <c r="A402" s="2">
        <v>44106</v>
      </c>
      <c r="B402" s="3">
        <v>0.57708333333333328</v>
      </c>
      <c r="C402" s="4" t="s">
        <v>426</v>
      </c>
      <c r="D402" s="4" t="s">
        <v>27</v>
      </c>
      <c r="E402" s="4" t="s">
        <v>28</v>
      </c>
      <c r="F402" s="4" t="s">
        <v>10</v>
      </c>
      <c r="G402" s="4" t="s">
        <v>21</v>
      </c>
      <c r="H402" s="4" t="s">
        <v>22</v>
      </c>
      <c r="I402" s="4" t="s">
        <v>13</v>
      </c>
      <c r="J402" s="5">
        <v>36.909999999999997</v>
      </c>
      <c r="K402" s="4">
        <v>7</v>
      </c>
      <c r="L402" s="6">
        <f t="shared" si="6"/>
        <v>258.37</v>
      </c>
    </row>
    <row r="403" spans="1:12" x14ac:dyDescent="0.25">
      <c r="A403" s="7">
        <v>44137</v>
      </c>
      <c r="B403" s="8">
        <v>0.64513888888888882</v>
      </c>
      <c r="C403" s="9" t="s">
        <v>427</v>
      </c>
      <c r="D403" s="9" t="s">
        <v>8</v>
      </c>
      <c r="E403" s="9" t="s">
        <v>9</v>
      </c>
      <c r="F403" s="9" t="s">
        <v>17</v>
      </c>
      <c r="G403" s="9" t="s">
        <v>21</v>
      </c>
      <c r="H403" s="9" t="s">
        <v>22</v>
      </c>
      <c r="I403" s="9" t="s">
        <v>19</v>
      </c>
      <c r="J403" s="10">
        <v>80.08</v>
      </c>
      <c r="K403" s="9">
        <v>3</v>
      </c>
      <c r="L403" s="11">
        <f t="shared" si="6"/>
        <v>240.24</v>
      </c>
    </row>
    <row r="404" spans="1:12" x14ac:dyDescent="0.25">
      <c r="A404" s="2">
        <v>44014</v>
      </c>
      <c r="B404" s="3">
        <v>0.74930555555555556</v>
      </c>
      <c r="C404" s="4" t="s">
        <v>428</v>
      </c>
      <c r="D404" s="4" t="s">
        <v>15</v>
      </c>
      <c r="E404" s="4" t="s">
        <v>16</v>
      </c>
      <c r="F404" s="4" t="s">
        <v>17</v>
      </c>
      <c r="G404" s="4" t="s">
        <v>21</v>
      </c>
      <c r="H404" s="4" t="s">
        <v>31</v>
      </c>
      <c r="I404" s="4" t="s">
        <v>19</v>
      </c>
      <c r="J404" s="5">
        <v>86.13</v>
      </c>
      <c r="K404" s="4">
        <v>2</v>
      </c>
      <c r="L404" s="6">
        <f t="shared" si="6"/>
        <v>172.26</v>
      </c>
    </row>
    <row r="405" spans="1:12" x14ac:dyDescent="0.25">
      <c r="A405" s="7">
        <v>43985</v>
      </c>
      <c r="B405" s="8">
        <v>0.49652777777777773</v>
      </c>
      <c r="C405" s="9" t="s">
        <v>429</v>
      </c>
      <c r="D405" s="9" t="s">
        <v>27</v>
      </c>
      <c r="E405" s="9" t="s">
        <v>28</v>
      </c>
      <c r="F405" s="9" t="s">
        <v>10</v>
      </c>
      <c r="G405" s="9" t="s">
        <v>21</v>
      </c>
      <c r="H405" s="9" t="s">
        <v>31</v>
      </c>
      <c r="I405" s="9" t="s">
        <v>23</v>
      </c>
      <c r="J405" s="10">
        <v>49.92</v>
      </c>
      <c r="K405" s="9">
        <v>2</v>
      </c>
      <c r="L405" s="11">
        <f t="shared" si="6"/>
        <v>99.84</v>
      </c>
    </row>
    <row r="406" spans="1:12" x14ac:dyDescent="0.25">
      <c r="A406" s="2">
        <v>43924</v>
      </c>
      <c r="B406" s="3">
        <v>0.44375000000000003</v>
      </c>
      <c r="C406" s="4" t="s">
        <v>430</v>
      </c>
      <c r="D406" s="4" t="s">
        <v>8</v>
      </c>
      <c r="E406" s="4" t="s">
        <v>9</v>
      </c>
      <c r="F406" s="4" t="s">
        <v>17</v>
      </c>
      <c r="G406" s="4" t="s">
        <v>11</v>
      </c>
      <c r="H406" s="4" t="s">
        <v>29</v>
      </c>
      <c r="I406" s="4" t="s">
        <v>19</v>
      </c>
      <c r="J406" s="5">
        <v>74.66</v>
      </c>
      <c r="K406" s="4">
        <v>4</v>
      </c>
      <c r="L406" s="6">
        <f t="shared" si="6"/>
        <v>298.64</v>
      </c>
    </row>
    <row r="407" spans="1:12" x14ac:dyDescent="0.25">
      <c r="A407" s="7">
        <v>44107</v>
      </c>
      <c r="B407" s="8">
        <v>0.75694444444444453</v>
      </c>
      <c r="C407" s="9" t="s">
        <v>431</v>
      </c>
      <c r="D407" s="9" t="s">
        <v>27</v>
      </c>
      <c r="E407" s="9" t="s">
        <v>28</v>
      </c>
      <c r="F407" s="9" t="s">
        <v>17</v>
      </c>
      <c r="G407" s="9" t="s">
        <v>11</v>
      </c>
      <c r="H407" s="9" t="s">
        <v>18</v>
      </c>
      <c r="I407" s="9" t="s">
        <v>23</v>
      </c>
      <c r="J407" s="10">
        <v>25.45</v>
      </c>
      <c r="K407" s="9">
        <v>1</v>
      </c>
      <c r="L407" s="11">
        <f t="shared" si="6"/>
        <v>25.45</v>
      </c>
    </row>
    <row r="408" spans="1:12" x14ac:dyDescent="0.25">
      <c r="A408" s="2">
        <v>43923</v>
      </c>
      <c r="B408" s="3">
        <v>0.86319444444444438</v>
      </c>
      <c r="C408" s="4" t="s">
        <v>432</v>
      </c>
      <c r="D408" s="4" t="s">
        <v>27</v>
      </c>
      <c r="E408" s="4" t="s">
        <v>28</v>
      </c>
      <c r="F408" s="4" t="s">
        <v>17</v>
      </c>
      <c r="G408" s="4" t="s">
        <v>11</v>
      </c>
      <c r="H408" s="4" t="s">
        <v>29</v>
      </c>
      <c r="I408" s="4" t="s">
        <v>23</v>
      </c>
      <c r="J408" s="5">
        <v>67.77</v>
      </c>
      <c r="K408" s="4">
        <v>1</v>
      </c>
      <c r="L408" s="6">
        <f t="shared" si="6"/>
        <v>67.77</v>
      </c>
    </row>
    <row r="409" spans="1:12" x14ac:dyDescent="0.25">
      <c r="A409" s="7">
        <v>44075</v>
      </c>
      <c r="B409" s="8">
        <v>0.4861111111111111</v>
      </c>
      <c r="C409" s="9" t="s">
        <v>433</v>
      </c>
      <c r="D409" s="9" t="s">
        <v>15</v>
      </c>
      <c r="E409" s="9" t="s">
        <v>16</v>
      </c>
      <c r="F409" s="9" t="s">
        <v>17</v>
      </c>
      <c r="G409" s="9" t="s">
        <v>21</v>
      </c>
      <c r="H409" s="9" t="s">
        <v>18</v>
      </c>
      <c r="I409" s="9" t="s">
        <v>19</v>
      </c>
      <c r="J409" s="10">
        <v>96.37</v>
      </c>
      <c r="K409" s="9">
        <v>7</v>
      </c>
      <c r="L409" s="11">
        <f t="shared" si="6"/>
        <v>674.59</v>
      </c>
    </row>
    <row r="410" spans="1:12" x14ac:dyDescent="0.25">
      <c r="A410" s="2">
        <v>44014</v>
      </c>
      <c r="B410" s="3">
        <v>0.8125</v>
      </c>
      <c r="C410" s="4" t="s">
        <v>434</v>
      </c>
      <c r="D410" s="4" t="s">
        <v>27</v>
      </c>
      <c r="E410" s="4" t="s">
        <v>28</v>
      </c>
      <c r="F410" s="4" t="s">
        <v>17</v>
      </c>
      <c r="G410" s="4" t="s">
        <v>11</v>
      </c>
      <c r="H410" s="4" t="s">
        <v>31</v>
      </c>
      <c r="I410" s="4" t="s">
        <v>13</v>
      </c>
      <c r="J410" s="5">
        <v>63.71</v>
      </c>
      <c r="K410" s="4">
        <v>5</v>
      </c>
      <c r="L410" s="6">
        <f t="shared" si="6"/>
        <v>318.55</v>
      </c>
    </row>
    <row r="411" spans="1:12" x14ac:dyDescent="0.25">
      <c r="A411" s="7">
        <v>43891</v>
      </c>
      <c r="B411" s="8">
        <v>0.79722222222222217</v>
      </c>
      <c r="C411" s="9" t="s">
        <v>435</v>
      </c>
      <c r="D411" s="9" t="s">
        <v>27</v>
      </c>
      <c r="E411" s="9" t="s">
        <v>28</v>
      </c>
      <c r="F411" s="9" t="s">
        <v>10</v>
      </c>
      <c r="G411" s="9" t="s">
        <v>21</v>
      </c>
      <c r="H411" s="9" t="s">
        <v>12</v>
      </c>
      <c r="I411" s="9" t="s">
        <v>23</v>
      </c>
      <c r="J411" s="10">
        <v>62</v>
      </c>
      <c r="K411" s="9">
        <v>8</v>
      </c>
      <c r="L411" s="11">
        <f t="shared" si="6"/>
        <v>496</v>
      </c>
    </row>
    <row r="412" spans="1:12" x14ac:dyDescent="0.25">
      <c r="A412" s="2">
        <v>44107</v>
      </c>
      <c r="B412" s="3">
        <v>0.8652777777777777</v>
      </c>
      <c r="C412" s="4" t="s">
        <v>436</v>
      </c>
      <c r="D412" s="4" t="s">
        <v>8</v>
      </c>
      <c r="E412" s="4" t="s">
        <v>9</v>
      </c>
      <c r="F412" s="4" t="s">
        <v>17</v>
      </c>
      <c r="G412" s="4" t="s">
        <v>21</v>
      </c>
      <c r="H412" s="4" t="s">
        <v>18</v>
      </c>
      <c r="I412" s="4" t="s">
        <v>13</v>
      </c>
      <c r="J412" s="5">
        <v>58.03</v>
      </c>
      <c r="K412" s="4">
        <v>2</v>
      </c>
      <c r="L412" s="6">
        <f t="shared" si="6"/>
        <v>116.06</v>
      </c>
    </row>
    <row r="413" spans="1:12" x14ac:dyDescent="0.25">
      <c r="A413" s="7">
        <v>43864</v>
      </c>
      <c r="B413" s="8">
        <v>0.71944444444444444</v>
      </c>
      <c r="C413" s="9" t="s">
        <v>437</v>
      </c>
      <c r="D413" s="9" t="s">
        <v>27</v>
      </c>
      <c r="E413" s="9" t="s">
        <v>28</v>
      </c>
      <c r="F413" s="9" t="s">
        <v>17</v>
      </c>
      <c r="G413" s="9" t="s">
        <v>11</v>
      </c>
      <c r="H413" s="9" t="s">
        <v>22</v>
      </c>
      <c r="I413" s="9" t="s">
        <v>13</v>
      </c>
      <c r="J413" s="10">
        <v>97.38</v>
      </c>
      <c r="K413" s="9">
        <v>10</v>
      </c>
      <c r="L413" s="11">
        <f t="shared" si="6"/>
        <v>973.8</v>
      </c>
    </row>
    <row r="414" spans="1:12" x14ac:dyDescent="0.25">
      <c r="A414" s="12">
        <v>44076</v>
      </c>
      <c r="B414" s="13">
        <v>0.55694444444444446</v>
      </c>
      <c r="C414" s="14" t="s">
        <v>438</v>
      </c>
      <c r="D414" s="14" t="s">
        <v>8</v>
      </c>
      <c r="E414" s="14" t="s">
        <v>9</v>
      </c>
      <c r="F414" s="14" t="s">
        <v>10</v>
      </c>
      <c r="G414" s="14" t="s">
        <v>21</v>
      </c>
      <c r="H414" s="14" t="s">
        <v>29</v>
      </c>
      <c r="I414" s="14" t="s">
        <v>19</v>
      </c>
      <c r="J414" s="15">
        <v>31.84</v>
      </c>
      <c r="K414" s="14">
        <v>1</v>
      </c>
      <c r="L414" s="16">
        <f t="shared" si="6"/>
        <v>31.84</v>
      </c>
    </row>
  </sheetData>
  <autoFilter ref="A1:L414" xr:uid="{73445274-F3A5-4BBA-8D7F-89E71E53C30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5" baseType="lpstr">
      <vt:lpstr>Dashboard</vt:lpstr>
      <vt:lpstr>pvt</vt:lpstr>
      <vt:lpstr>Ktg_Pvt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2021-09-03T16:38:46Z</dcterms:created>
  <dcterms:modified xsi:type="dcterms:W3CDTF">2023-04-20T10:22:44Z</dcterms:modified>
</cp:coreProperties>
</file>