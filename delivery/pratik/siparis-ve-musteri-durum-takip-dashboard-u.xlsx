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09/9/main" xmlns:ns8="http://schemas.microsoft.com/office/spreadsheetml/2010/11/main" xmlns:ns9="http://schemas.microsoft.com/office/spreadsheetml/2018/calcfeatures" ns1:Ignorable="x15 xr xr6 xr10 xr2">
  <ns0:fileVersion appName="xl" lastEdited="7" lowestEdited="7" rupBuild="26227" codeName="{37A63EE7-654F-3FA9-A528-636911D70600}"/>
  <ns0:workbookPr hidePivotFieldList="1"/>
  <ns2:revisionPtr revIDLastSave="0" documentId="13_ncr:1_{D387CF53-C38F-40D8-B2CE-ACE5D3ED9F5D}" ns3:coauthVersionLast="47" ns3:coauthVersionMax="47" ns4:uidLastSave="{00000000-0000-0000-0000-000000000000}"/>
  <ns0:bookViews>
    <ns0:workbookView xWindow="-96" yWindow="0" windowWidth="11712" windowHeight="12336" tabRatio="663" ns5:uid="{00000000-000D-0000-FFFF-FFFF00000000}" activeTab="0"/>
  </ns0:bookViews>
  <ns0:sheets>
    <ns0:sheet name="DashBoard" sheetId="10" ns6:id="rId2"/>
    <ns0:sheet name="G_Siparişler" sheetId="3" ns6:id="rId3"/>
    <ns0:sheet name="Dash_Pvt_1" sheetId="6" state="hidden" ns6:id="rId4"/>
    <ns0:sheet name="Dash_Pvt_2" sheetId="7" state="hidden" ns6:id="rId5"/>
    <ns0:sheet name="Dash_Pvt_3" sheetId="8" state="hidden" ns6:id="rId6"/>
    <ns0:sheet name="Dash_Pvt_4" sheetId="9" state="hidden" ns6:id="rId7"/>
    <ns0:sheet name="V_Ürünler" sheetId="1" ns6:id="rId8"/>
    <ns0:sheet name="V_Müşteriler" sheetId="2" ns6:id="rId9"/>
    <ns0:sheet name="Ayarlar" sheetId="4" ns6:id="rId10"/>
    <ns0:sheet name="Pvt" sheetId="5" state="hidden" ns6:id="rId11"/>
  </ns0:sheets>
  <ns0:externalReferences>
    <ns0:externalReference ns6:id="rId12"/>
    <ns0:externalReference ns6:id="rId13"/>
    <ns0:externalReference ns6:id="rId14"/>
    <ns0:externalReference ns6:id="rId15"/>
    <ns0:externalReference ns6:id="rId16"/>
    <ns0:externalReference ns6:id="rId17"/>
    <ns0:externalReference ns6:id="rId18"/>
    <ns0:externalReference ns6:id="rId19"/>
  </ns0:externalReferences>
  <ns0:definedNames>
    <ns0:definedName name="Dilimleyici_Ay">#N/A</ns0:definedName>
    <ns0:definedName name="Dilimleyici_Kategori">#N/A</ns0:definedName>
    <ns0:definedName name="Dilimleyici_Ürün_Adı">#N/A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Kategori_Ürün_Adları">OFFSET(Pvt!$I$1,MATCH(G_Siparişler!XFD1,Pvt!$H:$H,0)-1,0,COUNTIF(Pvt!$H:$H,G_Siparişler!XFD1),1)</ns0:definedName>
    <ns0:definedName name="Lst_Maliye_Kategorileri">OFFSET([3]Pvt_Listeler!$A$3,1,0,COUNTA([3]Pvt_Listeler!$A:$A)-1,1)</ns0:definedName>
    <ns0:definedName name="Lst_Müşteri_Bilgileri" localSheetId="3">Tbl_Müşteriler[No-Ad-Şehir]</ns0:definedName>
    <ns0:definedName name="Lst_Müşteri_Bilgileri" localSheetId="4">Tbl_Müşteriler[No-Ad-Şehir]</ns0:definedName>
    <ns0:definedName name="Lst_Müşteri_Bilgileri" localSheetId="5">Tbl_Müşteriler[No-Ad-Şehir]</ns0:definedName>
    <ns0:definedName name="Lst_Müşteri_Bilgileri">Tbl_Müşteriler[No-Ad-Şehir]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Sipariş_Durumları" localSheetId="3">Tbl_Sipariş_Durumları[Sipariş Durumlar]</ns0:definedName>
    <ns0:definedName name="Lst_Sipariş_Durumları" localSheetId="4">Tbl_Sipariş_Durumları[Sipariş Durumlar]</ns0:definedName>
    <ns0:definedName name="Lst_Sipariş_Durumları" localSheetId="5">Tbl_Sipariş_Durumları[Sipariş Durumlar]</ns0:definedName>
    <ns0:definedName name="Lst_Sipariş_Durumları">Tbl_Sipariş_Durumları[Sipariş Durumlar]</ns0:definedName>
    <ns0:definedName name="Lst_TümHisseler">[7]!TÜM_HİSSELER_1[Menkul]</ns0:definedName>
    <ns0:definedName name="Lst_Ürün_Ailesi">[3]!Tbl_Ürün_Ailesi[Ürün Ailesi]</ns0:definedName>
    <ns0:definedName name="Lst_Ürün_Kategorileri">OFFSET(Pvt!$A$1,1,0,COUNTA(Pvt!$A:$A)-1,1)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pivotCaches>
    <ns0:pivotCache cacheId="4" ns6:id="rId20"/>
    <ns0:pivotCache cacheId="5" ns6:id="rId21"/>
  </ns0:pivotCaches>
  <ns0:extLst>
    <ns0:ext uri="{BBE1A952-AA13-448e-AADC-164F8A28A991}">
      <ns7:slicerCaches>
        <ns7:slicerCache ns6:id="rId22"/>
        <ns7:slicerCache ns6:id="rId23"/>
        <ns7:slicerCache ns6:id="rId24"/>
      </ns7:slicerCaches>
    </ns0:ext>
    <ns0:ext uri="{79F54976-1DA5-4618-B147-4CDE4B953A38}">
      <ns7:workbookPr/>
    </ns0:ex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ns0:ext>
  </ns0:extLst>
</ns0:workbook>
</file>

<file path=xl/calcChain.xml><?xml version="1.0" encoding="utf-8"?>
<calcChain xmlns="http://schemas.openxmlformats.org/spreadsheetml/2006/main">
  <c r="B685" i="3" l="1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A2" i="9"/>
  <c r="C2" i="9"/>
  <c r="E2" i="9"/>
  <c r="B17" i="2" l="1"/>
  <c r="B16" i="2"/>
  <c r="B17" i="1"/>
  <c r="L17" i="1"/>
  <c r="B5" i="1" l="1"/>
  <c r="B6" i="1"/>
  <c r="B7" i="1"/>
  <c r="B8" i="1"/>
  <c r="B9" i="1"/>
  <c r="B10" i="1"/>
  <c r="B11" i="1"/>
  <c r="B12" i="1"/>
  <c r="B13" i="1"/>
  <c r="B14" i="1"/>
  <c r="B15" i="1"/>
  <c r="B16" i="1"/>
  <c r="L16" i="1"/>
  <c r="L15" i="1"/>
  <c r="C2" i="5" a="1"/>
  <c r="B5" i="2"/>
  <c r="B6" i="2"/>
  <c r="B7" i="2"/>
  <c r="B8" i="2"/>
  <c r="B9" i="2"/>
  <c r="B10" i="2"/>
  <c r="B11" i="2"/>
  <c r="B12" i="2"/>
  <c r="B13" i="2"/>
  <c r="B14" i="2"/>
  <c r="B15" i="2"/>
  <c r="L7" i="1"/>
  <c r="L8" i="1"/>
  <c r="L9" i="1"/>
  <c r="L10" i="1"/>
  <c r="L11" i="1"/>
  <c r="L12" i="1"/>
  <c r="L13" i="1"/>
  <c r="L14" i="1"/>
  <c r="L6" i="1"/>
  <c r="L5" i="1"/>
  <c r="C2" i="5" l="1"/>
  <c r="J133" i="3" l="1"/>
  <c r="J104" i="3"/>
  <c r="J330" i="3"/>
  <c r="J681" i="3"/>
  <c r="J631" i="3"/>
  <c r="J633" i="3"/>
  <c r="J676" i="3"/>
  <c r="J462" i="3"/>
  <c r="J480" i="3"/>
  <c r="J551" i="3"/>
  <c r="J440" i="3"/>
  <c r="J430" i="3"/>
  <c r="J458" i="3"/>
  <c r="J353" i="3"/>
  <c r="J349" i="3"/>
  <c r="J429" i="3"/>
  <c r="J291" i="3"/>
  <c r="J344" i="3"/>
  <c r="J310" i="3"/>
  <c r="J242" i="3"/>
  <c r="J255" i="3"/>
  <c r="J243" i="3"/>
  <c r="J151" i="3"/>
  <c r="J142" i="3"/>
  <c r="J514" i="3"/>
  <c r="J588" i="3"/>
  <c r="J657" i="3"/>
  <c r="J683" i="3"/>
  <c r="J629" i="3"/>
  <c r="J664" i="3"/>
  <c r="J585" i="3"/>
  <c r="J531" i="3"/>
  <c r="J441" i="3"/>
  <c r="J427" i="3"/>
  <c r="J375" i="3"/>
  <c r="J318" i="3"/>
  <c r="J332" i="3"/>
  <c r="J337" i="3"/>
  <c r="J240" i="3"/>
  <c r="J219" i="3"/>
  <c r="J149" i="3"/>
  <c r="J139" i="3"/>
  <c r="J130" i="3"/>
  <c r="J669" i="3"/>
  <c r="J511" i="3"/>
  <c r="J603" i="3"/>
  <c r="J578" i="3"/>
  <c r="J671" i="3"/>
  <c r="J592" i="3"/>
  <c r="J652" i="3"/>
  <c r="J570" i="3"/>
  <c r="J519" i="3"/>
  <c r="J416" i="3"/>
  <c r="J394" i="3"/>
  <c r="J424" i="3"/>
  <c r="J274" i="3"/>
  <c r="J325" i="3"/>
  <c r="J207" i="3"/>
  <c r="J137" i="3"/>
  <c r="J115" i="3"/>
  <c r="J201" i="3"/>
  <c r="J118" i="3"/>
  <c r="J537" i="3"/>
  <c r="J548" i="3"/>
  <c r="J640" i="3"/>
  <c r="J558" i="3"/>
  <c r="J507" i="3"/>
  <c r="J380" i="3"/>
  <c r="J371" i="3"/>
  <c r="J305" i="3"/>
  <c r="J316" i="3"/>
  <c r="J381" i="3"/>
  <c r="J412" i="3"/>
  <c r="J272" i="3"/>
  <c r="J262" i="3"/>
  <c r="J301" i="3"/>
  <c r="J156" i="3"/>
  <c r="J195" i="3"/>
  <c r="J125" i="3"/>
  <c r="J103" i="3"/>
  <c r="J189" i="3"/>
  <c r="J239" i="3"/>
  <c r="J595" i="3"/>
  <c r="J684" i="3"/>
  <c r="J658" i="3"/>
  <c r="J632" i="3"/>
  <c r="J546" i="3"/>
  <c r="J622" i="3"/>
  <c r="J564" i="3"/>
  <c r="J275" i="3"/>
  <c r="J468" i="3"/>
  <c r="J378" i="3"/>
  <c r="J241" i="3"/>
  <c r="J287" i="3"/>
  <c r="J362" i="3"/>
  <c r="J400" i="3"/>
  <c r="J258" i="3"/>
  <c r="J144" i="3"/>
  <c r="J159" i="3"/>
  <c r="J224" i="3"/>
  <c r="J177" i="3"/>
  <c r="J227" i="3"/>
  <c r="J677" i="3"/>
  <c r="J506" i="3"/>
  <c r="J680" i="3"/>
  <c r="J625" i="3"/>
  <c r="J530" i="3"/>
  <c r="J522" i="3"/>
  <c r="J478" i="3"/>
  <c r="J557" i="3"/>
  <c r="J552" i="3"/>
  <c r="J261" i="3"/>
  <c r="J449" i="3"/>
  <c r="J273" i="3"/>
  <c r="J351" i="3"/>
  <c r="J388" i="3"/>
  <c r="J343" i="3"/>
  <c r="J217" i="3"/>
  <c r="J263" i="3"/>
  <c r="J265" i="3"/>
  <c r="J132" i="3"/>
  <c r="J135" i="3"/>
  <c r="J210" i="3"/>
  <c r="J215" i="3"/>
  <c r="J566" i="3"/>
  <c r="J496" i="3"/>
  <c r="J668" i="3"/>
  <c r="J598" i="3"/>
  <c r="J533" i="3"/>
  <c r="J433" i="3"/>
  <c r="J481" i="3"/>
  <c r="J299" i="3"/>
  <c r="J363" i="3"/>
  <c r="J338" i="3"/>
  <c r="J331" i="3"/>
  <c r="J251" i="3"/>
  <c r="J229" i="3"/>
  <c r="J108" i="3"/>
  <c r="J123" i="3"/>
  <c r="J174" i="3"/>
  <c r="J188" i="3"/>
  <c r="J117" i="3"/>
  <c r="J513" i="3"/>
  <c r="J618" i="3"/>
  <c r="J594" i="3"/>
  <c r="J621" i="3"/>
  <c r="J624" i="3"/>
  <c r="J504" i="3"/>
  <c r="J413" i="3"/>
  <c r="J445" i="3"/>
  <c r="J438" i="3"/>
  <c r="J439" i="3"/>
  <c r="J326" i="3"/>
  <c r="J280" i="3"/>
  <c r="J319" i="3"/>
  <c r="J145" i="3"/>
  <c r="J336" i="3"/>
  <c r="J193" i="3"/>
  <c r="J220" i="3"/>
  <c r="J162" i="3"/>
  <c r="J176" i="3"/>
  <c r="J105" i="3"/>
  <c r="J191" i="3"/>
  <c r="J617" i="3"/>
  <c r="J653" i="3"/>
  <c r="J583" i="3"/>
  <c r="J679" i="3"/>
  <c r="J644" i="3"/>
  <c r="J536" i="3"/>
  <c r="J520" i="3"/>
  <c r="J612" i="3"/>
  <c r="J613" i="3"/>
  <c r="J509" i="3"/>
  <c r="J403" i="3"/>
  <c r="J404" i="3"/>
  <c r="J483" i="3"/>
  <c r="J425" i="3"/>
  <c r="J383" i="3"/>
  <c r="J302" i="3"/>
  <c r="J169" i="3"/>
  <c r="J307" i="3"/>
  <c r="J358" i="3"/>
  <c r="J312" i="3"/>
  <c r="J157" i="3"/>
  <c r="J218" i="3"/>
  <c r="J208" i="3"/>
  <c r="J138" i="3"/>
  <c r="J214" i="3"/>
  <c r="J648" i="3"/>
  <c r="J579" i="3"/>
  <c r="J518" i="3"/>
  <c r="J608" i="3"/>
  <c r="J611" i="3"/>
  <c r="J476" i="3"/>
  <c r="J431" i="3"/>
  <c r="J410" i="3"/>
  <c r="J283" i="3"/>
  <c r="J346" i="3"/>
  <c r="J300" i="3"/>
  <c r="J121" i="3"/>
  <c r="J206" i="3"/>
  <c r="J102" i="3"/>
  <c r="J140" i="3"/>
  <c r="J190" i="3"/>
  <c r="J143" i="3"/>
  <c r="J549" i="3"/>
  <c r="J639" i="3"/>
  <c r="J655" i="3"/>
  <c r="J484" i="3"/>
  <c r="J586" i="3"/>
  <c r="J577" i="3"/>
  <c r="J575" i="3"/>
  <c r="J464" i="3"/>
  <c r="J340" i="3"/>
  <c r="J482" i="3"/>
  <c r="J398" i="3"/>
  <c r="J354" i="3"/>
  <c r="J271" i="3"/>
  <c r="J276" i="3"/>
  <c r="J266" i="3"/>
  <c r="J194" i="3"/>
  <c r="J112" i="3"/>
  <c r="J235" i="3"/>
  <c r="J128" i="3"/>
  <c r="J559" i="3"/>
  <c r="J529" i="3"/>
  <c r="J561" i="3"/>
  <c r="J643" i="3"/>
  <c r="J463" i="3"/>
  <c r="J638" i="3"/>
  <c r="J584" i="3"/>
  <c r="J495" i="3"/>
  <c r="J567" i="3"/>
  <c r="J563" i="3"/>
  <c r="J452" i="3"/>
  <c r="J443" i="3"/>
  <c r="J470" i="3"/>
  <c r="J386" i="3"/>
  <c r="J342" i="3"/>
  <c r="J247" i="3"/>
  <c r="J322" i="3"/>
  <c r="J252" i="3"/>
  <c r="J279" i="3"/>
  <c r="J134" i="3"/>
  <c r="J221" i="3"/>
  <c r="J199" i="3"/>
  <c r="J154" i="3"/>
  <c r="J6" i="3"/>
  <c r="J99" i="3"/>
  <c r="J85" i="3"/>
  <c r="J55" i="3"/>
  <c r="J35" i="3"/>
  <c r="J11" i="3"/>
  <c r="J81" i="3"/>
  <c r="J67" i="3"/>
  <c r="J65" i="3"/>
  <c r="J42" i="3"/>
  <c r="J22" i="3"/>
  <c r="J66" i="3"/>
  <c r="J30" i="3"/>
  <c r="J8" i="3"/>
  <c r="J34" i="3"/>
  <c r="J46" i="3"/>
  <c r="J86" i="3"/>
  <c r="J289" i="3" l="1"/>
  <c r="J107" i="3"/>
  <c r="J150" i="3"/>
  <c r="J120" i="3"/>
  <c r="J356" i="3"/>
  <c r="J367" i="3"/>
  <c r="J616" i="3"/>
  <c r="J525" i="3"/>
  <c r="J524" i="3"/>
  <c r="J596" i="3"/>
  <c r="J574" i="3"/>
  <c r="J472" i="3"/>
  <c r="J572" i="3"/>
  <c r="J329" i="3"/>
  <c r="J459" i="3"/>
  <c r="J419" i="3"/>
  <c r="J303" i="3"/>
  <c r="J313" i="3"/>
  <c r="J111" i="3"/>
  <c r="J198" i="3"/>
  <c r="J238" i="3"/>
  <c r="J155" i="3"/>
  <c r="J186" i="3"/>
  <c r="J192" i="3"/>
  <c r="J295" i="3"/>
  <c r="J278" i="3"/>
  <c r="J426" i="3"/>
  <c r="J479" i="3"/>
  <c r="J665" i="3"/>
  <c r="J663" i="3"/>
  <c r="J505" i="3"/>
  <c r="J628" i="3"/>
  <c r="J543" i="3"/>
  <c r="J309" i="3"/>
  <c r="J352" i="3"/>
  <c r="J447" i="3"/>
  <c r="J409" i="3"/>
  <c r="J435" i="3"/>
  <c r="J253" i="3"/>
  <c r="J244" i="3"/>
  <c r="J126" i="3"/>
  <c r="J200" i="3"/>
  <c r="J296" i="3"/>
  <c r="J379" i="3"/>
  <c r="J444" i="3"/>
  <c r="J451" i="3"/>
  <c r="J649" i="3"/>
  <c r="J101" i="3"/>
  <c r="J294" i="3"/>
  <c r="J389" i="3"/>
  <c r="J407" i="3"/>
  <c r="J465" i="3"/>
  <c r="J500" i="3"/>
  <c r="J167" i="3"/>
  <c r="J173" i="3"/>
  <c r="J228" i="3"/>
  <c r="J246" i="3"/>
  <c r="J382" i="3"/>
  <c r="J450" i="3"/>
  <c r="J544" i="3"/>
  <c r="J535" i="3"/>
  <c r="J682" i="3"/>
  <c r="J477" i="3"/>
  <c r="J650" i="3"/>
  <c r="J460" i="3"/>
  <c r="J581" i="3"/>
  <c r="J293" i="3"/>
  <c r="J333" i="3"/>
  <c r="J421" i="3"/>
  <c r="J406" i="3"/>
  <c r="J399" i="3"/>
  <c r="J254" i="3"/>
  <c r="J196" i="3"/>
  <c r="J223" i="3"/>
  <c r="J106" i="3"/>
  <c r="J197" i="3"/>
  <c r="J267" i="3"/>
  <c r="J270" i="3"/>
  <c r="J385" i="3"/>
  <c r="J474" i="3"/>
  <c r="J556" i="3"/>
  <c r="J646" i="3"/>
  <c r="J670" i="3"/>
  <c r="J553" i="3"/>
  <c r="J619" i="3"/>
  <c r="J545" i="3"/>
  <c r="J453" i="3"/>
  <c r="J493" i="3"/>
  <c r="J408" i="3"/>
  <c r="J373" i="3"/>
  <c r="J387" i="3"/>
  <c r="J216" i="3"/>
  <c r="J148" i="3"/>
  <c r="J211" i="3"/>
  <c r="J185" i="3"/>
  <c r="J306" i="3"/>
  <c r="J415" i="3"/>
  <c r="J377" i="3"/>
  <c r="J473" i="3"/>
  <c r="J659" i="3"/>
  <c r="J119" i="3"/>
  <c r="J136" i="3"/>
  <c r="J376" i="3"/>
  <c r="J321" i="3"/>
  <c r="J488" i="3"/>
  <c r="J591" i="3"/>
  <c r="J610" i="3"/>
  <c r="J160" i="3"/>
  <c r="J418" i="3"/>
  <c r="J515" i="3"/>
  <c r="J645" i="3"/>
  <c r="J626" i="3"/>
  <c r="J647" i="3"/>
  <c r="J502" i="3"/>
  <c r="J606" i="3"/>
  <c r="J497" i="3"/>
  <c r="J442" i="3"/>
  <c r="J469" i="3"/>
  <c r="J372" i="3"/>
  <c r="J364" i="3"/>
  <c r="J180" i="3"/>
  <c r="J124" i="3"/>
  <c r="J163" i="3"/>
  <c r="J77" i="3"/>
  <c r="J202" i="3"/>
  <c r="J172" i="3"/>
  <c r="J264" i="3"/>
  <c r="J411" i="3"/>
  <c r="J471" i="3"/>
  <c r="J485" i="3"/>
  <c r="J494" i="3"/>
  <c r="J597" i="3"/>
  <c r="J666" i="3"/>
  <c r="J600" i="3"/>
  <c r="J492" i="3"/>
  <c r="J580" i="3"/>
  <c r="J599" i="3"/>
  <c r="J390" i="3"/>
  <c r="J457" i="3"/>
  <c r="J268" i="3"/>
  <c r="J369" i="3"/>
  <c r="J282" i="3"/>
  <c r="J168" i="3"/>
  <c r="J245" i="3"/>
  <c r="J236" i="3"/>
  <c r="J131" i="3"/>
  <c r="J230" i="3"/>
  <c r="J393" i="3"/>
  <c r="J341" i="3"/>
  <c r="J528" i="3"/>
  <c r="J510" i="3"/>
  <c r="J656" i="3"/>
  <c r="J641" i="3"/>
  <c r="J361" i="3"/>
  <c r="J423" i="3"/>
  <c r="J311" i="3"/>
  <c r="J179" i="3"/>
  <c r="J204" i="3"/>
  <c r="J417" i="3"/>
  <c r="J436" i="3"/>
  <c r="J454" i="3"/>
  <c r="J589" i="3"/>
  <c r="J614" i="3"/>
  <c r="J660" i="3"/>
  <c r="J226" i="3"/>
  <c r="J184" i="3"/>
  <c r="J348" i="3"/>
  <c r="J365" i="3"/>
  <c r="J569" i="3"/>
  <c r="J512" i="3"/>
  <c r="J654" i="3"/>
  <c r="J675" i="3"/>
  <c r="J560" i="3"/>
  <c r="J562" i="3"/>
  <c r="J615" i="3"/>
  <c r="J534" i="3"/>
  <c r="J587" i="3"/>
  <c r="J434" i="3"/>
  <c r="J285" i="3"/>
  <c r="J359" i="3"/>
  <c r="J355" i="3"/>
  <c r="J182" i="3"/>
  <c r="J233" i="3"/>
  <c r="J212" i="3"/>
  <c r="J27" i="3"/>
  <c r="J152" i="3"/>
  <c r="J232" i="3"/>
  <c r="J360" i="3"/>
  <c r="J327" i="3"/>
  <c r="J249" i="3"/>
  <c r="J605" i="3"/>
  <c r="J630" i="3"/>
  <c r="J678" i="3"/>
  <c r="J550" i="3"/>
  <c r="J554" i="3"/>
  <c r="J573" i="3"/>
  <c r="J475" i="3"/>
  <c r="J503" i="3"/>
  <c r="J304" i="3"/>
  <c r="J257" i="3"/>
  <c r="J461" i="3"/>
  <c r="J314" i="3"/>
  <c r="J259" i="3"/>
  <c r="J170" i="3"/>
  <c r="J209" i="3"/>
  <c r="J237" i="3"/>
  <c r="J203" i="3"/>
  <c r="J277" i="3"/>
  <c r="J347" i="3"/>
  <c r="J395" i="3"/>
  <c r="J527" i="3"/>
  <c r="J489" i="3"/>
  <c r="J667" i="3"/>
  <c r="J672" i="3"/>
  <c r="J166" i="3"/>
  <c r="J250" i="3"/>
  <c r="J357" i="3"/>
  <c r="J292" i="3"/>
  <c r="J539" i="3"/>
  <c r="J604" i="3"/>
  <c r="J178" i="3"/>
  <c r="J568" i="3"/>
  <c r="J405" i="3"/>
  <c r="J635" i="3"/>
  <c r="J446" i="3"/>
  <c r="J161" i="3"/>
  <c r="J175" i="3"/>
  <c r="J231" i="3"/>
  <c r="J284" i="3"/>
  <c r="J396" i="3"/>
  <c r="J317" i="3"/>
  <c r="J490" i="3"/>
  <c r="J662" i="3"/>
  <c r="J517" i="3"/>
  <c r="J661" i="3"/>
  <c r="J508" i="3"/>
  <c r="J607" i="3"/>
  <c r="J540" i="3"/>
  <c r="J384" i="3"/>
  <c r="J414" i="3"/>
  <c r="J392" i="3"/>
  <c r="J422" i="3"/>
  <c r="J286" i="3"/>
  <c r="J146" i="3"/>
  <c r="J113" i="3"/>
  <c r="J153" i="3"/>
  <c r="J165" i="3"/>
  <c r="J298" i="3"/>
  <c r="J370" i="3"/>
  <c r="J328" i="3"/>
  <c r="J521" i="3"/>
  <c r="J609" i="3"/>
  <c r="J565" i="3"/>
  <c r="J501" i="3"/>
  <c r="J127" i="3"/>
  <c r="J183" i="3"/>
  <c r="J109" i="3"/>
  <c r="J374" i="3"/>
  <c r="J297" i="3"/>
  <c r="J455" i="3"/>
  <c r="J526" i="3"/>
  <c r="J601" i="3"/>
  <c r="J673" i="3"/>
  <c r="J532" i="3"/>
  <c r="J576" i="3"/>
  <c r="J466" i="3"/>
  <c r="J397" i="3"/>
  <c r="J428" i="3"/>
  <c r="J290" i="3"/>
  <c r="J248" i="3"/>
  <c r="J158" i="3"/>
  <c r="J225" i="3"/>
  <c r="J213" i="3"/>
  <c r="J334" i="3"/>
  <c r="J256" i="3"/>
  <c r="J391" i="3"/>
  <c r="J593" i="3"/>
  <c r="J623" i="3"/>
  <c r="J499" i="3"/>
  <c r="J541" i="3"/>
  <c r="J187" i="3"/>
  <c r="J110" i="3"/>
  <c r="J308" i="3"/>
  <c r="J402" i="3"/>
  <c r="J420" i="3"/>
  <c r="J634" i="3"/>
  <c r="J674" i="3"/>
  <c r="J637" i="3"/>
  <c r="J636" i="3"/>
  <c r="J620" i="3"/>
  <c r="J491" i="3"/>
  <c r="J602" i="3"/>
  <c r="J516" i="3"/>
  <c r="J350" i="3"/>
  <c r="J335" i="3"/>
  <c r="J366" i="3"/>
  <c r="J339" i="3"/>
  <c r="J324" i="3"/>
  <c r="J171" i="3"/>
  <c r="J234" i="3"/>
  <c r="J141" i="3"/>
  <c r="J114" i="3"/>
  <c r="J122" i="3"/>
  <c r="J320" i="3"/>
  <c r="J437" i="3"/>
  <c r="J269" i="3"/>
  <c r="J498" i="3"/>
  <c r="J523" i="3"/>
  <c r="J651" i="3"/>
  <c r="J547" i="3"/>
  <c r="J627" i="3"/>
  <c r="J590" i="3"/>
  <c r="J486" i="3"/>
  <c r="J571" i="3"/>
  <c r="J487" i="3"/>
  <c r="J281" i="3"/>
  <c r="J205" i="3"/>
  <c r="J432" i="3"/>
  <c r="J315" i="3"/>
  <c r="J288" i="3"/>
  <c r="J147" i="3"/>
  <c r="J222" i="3"/>
  <c r="J129" i="3"/>
  <c r="J116" i="3"/>
  <c r="J181" i="3"/>
  <c r="J323" i="3"/>
  <c r="J401" i="3"/>
  <c r="J555" i="3"/>
  <c r="J542" i="3"/>
  <c r="J582" i="3"/>
  <c r="J74" i="3"/>
  <c r="J448" i="3"/>
  <c r="J456" i="3"/>
  <c r="J164" i="3"/>
  <c r="J260" i="3"/>
  <c r="J345" i="3"/>
  <c r="J368" i="3"/>
  <c r="J467" i="3"/>
  <c r="J538" i="3"/>
  <c r="J642" i="3"/>
  <c r="J20" i="3"/>
  <c r="J63" i="3"/>
  <c r="J33" i="3"/>
  <c r="J54" i="3"/>
  <c r="J18" i="3"/>
  <c r="J69" i="3"/>
  <c r="J28" i="3"/>
  <c r="J98" i="3"/>
  <c r="J78" i="3"/>
  <c r="J93" i="3"/>
  <c r="J58" i="3"/>
  <c r="J72" i="3"/>
  <c r="J56" i="3"/>
  <c r="J64" i="3"/>
  <c r="J76" i="3"/>
  <c r="J57" i="3"/>
  <c r="J38" i="3"/>
  <c r="J36" i="3"/>
  <c r="J88" i="3"/>
  <c r="J89" i="3"/>
  <c r="J16" i="3"/>
  <c r="J60" i="3"/>
  <c r="J62" i="3"/>
  <c r="J29" i="3"/>
  <c r="J100" i="3"/>
  <c r="J82" i="3"/>
  <c r="J14" i="3"/>
  <c r="J12" i="3"/>
  <c r="J52" i="3"/>
  <c r="J9" i="3"/>
  <c r="J24" i="3"/>
  <c r="J40" i="3"/>
  <c r="J19" i="3"/>
  <c r="J51" i="3"/>
  <c r="J13" i="3"/>
  <c r="J94" i="3"/>
  <c r="J59" i="3"/>
  <c r="J96" i="3"/>
  <c r="J95" i="3"/>
  <c r="J32" i="3"/>
  <c r="J44" i="3"/>
  <c r="J10" i="3"/>
  <c r="J71" i="3"/>
  <c r="J47" i="3"/>
  <c r="J48" i="3"/>
  <c r="J21" i="3"/>
  <c r="J49" i="3"/>
  <c r="J80" i="3"/>
  <c r="J23" i="3"/>
  <c r="J37" i="3"/>
  <c r="J73" i="3"/>
  <c r="J91" i="3"/>
  <c r="J92" i="3"/>
  <c r="J75" i="3"/>
  <c r="J41" i="3"/>
  <c r="J7" i="3"/>
  <c r="J39" i="3"/>
  <c r="J53" i="3"/>
  <c r="J90" i="3"/>
  <c r="J79" i="3"/>
  <c r="J97" i="3"/>
  <c r="J15" i="3"/>
  <c r="J68" i="3"/>
  <c r="J31" i="3"/>
  <c r="J17" i="3"/>
  <c r="J50" i="3"/>
  <c r="J87" i="3"/>
  <c r="J25" i="3"/>
  <c r="J83" i="3"/>
  <c r="J61" i="3"/>
  <c r="J43" i="3"/>
  <c r="J45" i="3"/>
  <c r="J70" i="3"/>
  <c r="J84" i="3"/>
  <c r="J26" i="3"/>
  <c r="K2" i="5" a="1"/>
  <c r="K2" i="5" s="1"/>
  <c r="J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<sst xmlns="http://schemas.openxmlformats.org/spreadsheetml/2006/main" count="3230" uniqueCount="148">
  <si>
    <t>ÜRÜNLER</t>
  </si>
  <si>
    <t>No</t>
  </si>
  <si>
    <t>Kategori</t>
  </si>
  <si>
    <t>Ürün Adı</t>
  </si>
  <si>
    <t>Alış Fiyatı</t>
  </si>
  <si>
    <t>Kargo Fiyatı</t>
  </si>
  <si>
    <t>Birim Satış Fiyatı</t>
  </si>
  <si>
    <t>Kâr Oranı</t>
  </si>
  <si>
    <t>MÜŞTERİLER</t>
  </si>
  <si>
    <t>Ad Soyad</t>
  </si>
  <si>
    <t>TCKN</t>
  </si>
  <si>
    <t>Telefon</t>
  </si>
  <si>
    <t>Adres</t>
  </si>
  <si>
    <t>İlçe</t>
  </si>
  <si>
    <t>Şehir</t>
  </si>
  <si>
    <t>SİPARİŞLER</t>
  </si>
  <si>
    <t>Sipariş Alınan Tarih</t>
  </si>
  <si>
    <t>Durum</t>
  </si>
  <si>
    <t>Kargo Takip No</t>
  </si>
  <si>
    <t>Müşteri</t>
  </si>
  <si>
    <t>Adet</t>
  </si>
  <si>
    <t>Genel Tutar</t>
  </si>
  <si>
    <t>AYARLAR</t>
  </si>
  <si>
    <t>Sipariş Durumlar</t>
  </si>
  <si>
    <t>Paketlemede</t>
  </si>
  <si>
    <t>Kargoya Verildi</t>
  </si>
  <si>
    <t>Beklemede</t>
  </si>
  <si>
    <t>Ödeme Bekleniyor</t>
  </si>
  <si>
    <t>Ödeme Alındı</t>
  </si>
  <si>
    <t>Apple</t>
  </si>
  <si>
    <t>iphone 11</t>
  </si>
  <si>
    <t>Renk</t>
  </si>
  <si>
    <t>Hafıza</t>
  </si>
  <si>
    <t>Bellek</t>
  </si>
  <si>
    <t>Beyaz</t>
  </si>
  <si>
    <t>128 GB</t>
  </si>
  <si>
    <t>4 GB</t>
  </si>
  <si>
    <t>iphone 12</t>
  </si>
  <si>
    <t>Siyah</t>
  </si>
  <si>
    <t>256 GB</t>
  </si>
  <si>
    <t>8 GB</t>
  </si>
  <si>
    <t>iphone 13</t>
  </si>
  <si>
    <t>iphone 13 pro</t>
  </si>
  <si>
    <t>Samsung</t>
  </si>
  <si>
    <t>Galaxy Note20</t>
  </si>
  <si>
    <t>Galaxy S21</t>
  </si>
  <si>
    <t>Galaxy S21 +</t>
  </si>
  <si>
    <t>Xiaomi</t>
  </si>
  <si>
    <t>Redmi Note 10 Lite</t>
  </si>
  <si>
    <t>Redmi Note 10 Pro</t>
  </si>
  <si>
    <t>Galaxy A32</t>
  </si>
  <si>
    <t>Mavi</t>
  </si>
  <si>
    <t>Gümüş</t>
  </si>
  <si>
    <t>64 GB</t>
  </si>
  <si>
    <t>512 GB</t>
  </si>
  <si>
    <t>32 GB</t>
  </si>
  <si>
    <t>16 GB</t>
  </si>
  <si>
    <t>2 GB</t>
  </si>
  <si>
    <t>6 GB</t>
  </si>
  <si>
    <t>Feza Gürdal</t>
  </si>
  <si>
    <t>İbni Sina Mah.</t>
  </si>
  <si>
    <t>Beylikova</t>
  </si>
  <si>
    <t>Eskişehir</t>
  </si>
  <si>
    <t>İnci Yüce</t>
  </si>
  <si>
    <t>Nusret Mah.</t>
  </si>
  <si>
    <t>Levent</t>
  </si>
  <si>
    <t>İstanbul</t>
  </si>
  <si>
    <t>İlknur Akgül</t>
  </si>
  <si>
    <t>Faraday Mah. Hilmi Cad.</t>
  </si>
  <si>
    <t>Üsküdar</t>
  </si>
  <si>
    <t>Mürşit Doğan</t>
  </si>
  <si>
    <t>Omega Mah.</t>
  </si>
  <si>
    <t>Kadıköy</t>
  </si>
  <si>
    <t>Ankara</t>
  </si>
  <si>
    <t>Özge Sarıca Darol</t>
  </si>
  <si>
    <t>Fenerli Mh. 1969. Sk. Aktan Apt.</t>
  </si>
  <si>
    <t>Muratpaşa</t>
  </si>
  <si>
    <t>Antalya</t>
  </si>
  <si>
    <t>Ali Baymak</t>
  </si>
  <si>
    <t>Cayhan Sok.</t>
  </si>
  <si>
    <t>Gaziosmanpaşa</t>
  </si>
  <si>
    <t>Mustafa Gürhan Özdemir</t>
  </si>
  <si>
    <t>Sedat Simav Sok.</t>
  </si>
  <si>
    <t>Çankaya</t>
  </si>
  <si>
    <t>Nizamettin Uyar</t>
  </si>
  <si>
    <t>Ersoy Mah.296.Cad.</t>
  </si>
  <si>
    <t>Yenimahalle</t>
  </si>
  <si>
    <t>Erhan Demirkol</t>
  </si>
  <si>
    <t>Aydın Mah.Bahattin Nakiboğlu Bul.</t>
  </si>
  <si>
    <t>Şehitkamil</t>
  </si>
  <si>
    <t>Gaziantep</t>
  </si>
  <si>
    <t>Aykut Al</t>
  </si>
  <si>
    <t>Conrad Cad.</t>
  </si>
  <si>
    <t>Tayfur Taşkıran</t>
  </si>
  <si>
    <t>Akar Mah. 1405. Sok.</t>
  </si>
  <si>
    <t>İade edildi</t>
  </si>
  <si>
    <t>No-Ad-Şehir</t>
  </si>
  <si>
    <t>Kategoriler</t>
  </si>
  <si>
    <t>Huawei</t>
  </si>
  <si>
    <t>P30 Lite</t>
  </si>
  <si>
    <t>Nova 9</t>
  </si>
  <si>
    <t>2GB</t>
  </si>
  <si>
    <t>Kategori-Ürün</t>
  </si>
  <si>
    <t>P20 Lite</t>
  </si>
  <si>
    <t>Ahmet Yalçın</t>
  </si>
  <si>
    <t>Deniz Mah.</t>
  </si>
  <si>
    <t>Ürün Stokta Yok</t>
  </si>
  <si>
    <t>1004-Mürşit Doğan-Ankara</t>
  </si>
  <si>
    <t>1005-Özge Sarıca Darol-Antalya</t>
  </si>
  <si>
    <t>1008-Nizamettin Uyar-Ankara</t>
  </si>
  <si>
    <t>1007-Mustafa Gürhan Özdemir-Ankara</t>
  </si>
  <si>
    <t>1010-Aykut Al-Ankara</t>
  </si>
  <si>
    <t>1012-Ahmet Yalçın-İstanbul</t>
  </si>
  <si>
    <t>1003-İlknur Akgül-İstanbul</t>
  </si>
  <si>
    <t>1009-Erhan Demirkol-Gaziantep</t>
  </si>
  <si>
    <t>1001-Feza Gürdal-Eskişehir</t>
  </si>
  <si>
    <t>1006-Ali Baymak-Ankara</t>
  </si>
  <si>
    <t>1002-İnci Yüce-İstanbul</t>
  </si>
  <si>
    <t>1011-Tayfur Taşkıran-Ankara</t>
  </si>
  <si>
    <t>Satır Etiketleri</t>
  </si>
  <si>
    <t>Genel Toplam</t>
  </si>
  <si>
    <t>Toplam Adet</t>
  </si>
  <si>
    <t>Toplam Genel Tutar</t>
  </si>
  <si>
    <t>Nis</t>
  </si>
  <si>
    <t>May</t>
  </si>
  <si>
    <t>Haz</t>
  </si>
  <si>
    <t>Say Kargo Takip No</t>
  </si>
  <si>
    <t>Haftalar</t>
  </si>
  <si>
    <t>Toplam Sipariş Sayısı</t>
  </si>
  <si>
    <t>Ortalama Genel Tutar</t>
  </si>
  <si>
    <t>Sipariş Başına Ortalama Tutar</t>
  </si>
  <si>
    <t>Toplam Ürün Adedi</t>
  </si>
  <si>
    <t>Oca</t>
  </si>
  <si>
    <t>Şub</t>
  </si>
  <si>
    <t>Mar</t>
  </si>
  <si>
    <t>Tem</t>
  </si>
  <si>
    <t>Ağu</t>
  </si>
  <si>
    <t>Eyl</t>
  </si>
  <si>
    <t>Eki</t>
  </si>
  <si>
    <t>Kas</t>
  </si>
  <si>
    <t>Ara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</si>
  <si>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</si>
  <si>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</si>
  <si>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</si>
  <si>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</si>
  <si>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</si>
  <si>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Segoe UI"/>
        <family val="2"/>
        <scheme val="minor"/>
      </rPr>
      <t>Kullanıcı Kılavuzunu in</t>
    </r>
    <r>
      <rPr>
        <sz val="11"/>
        <color theme="1"/>
        <rFont val="Segoe U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</si>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</sst>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₺&quot;#,##0.00;[Red]\-&quot;₺&quot;#,##0.00"/>
    <numFmt numFmtId="164" formatCode="[&lt;=9999999]###\-####;\(###\)\ ###\-##\-##"/>
    <numFmt numFmtId="165" formatCode="0.00,,\ &quot;M&quot;"/>
    <numFmt numFmtId="166" formatCode="0.00,\ &quot;B&quot;"/>
  </numFmts>
  <fonts count="11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charset val="162"/>
      <scheme val="minor"/>
    </font>
    <font>
      <sz val="8"/>
      <name val="Segoe UI"/>
      <family val="2"/>
      <scheme val="minor"/>
    </font>
    <font>
      <b/>
      <sz val="26"/>
      <color theme="4"/>
      <name val="Segoe UI"/>
      <family val="2"/>
      <scheme val="minor"/>
    </font>
    <font>
      <b/>
      <sz val="26"/>
      <color theme="6"/>
      <name val="Segoe UI"/>
      <family val="2"/>
      <scheme val="minor"/>
    </font>
    <font>
      <b/>
      <sz val="26"/>
      <color theme="8" tint="0.39997558519241921"/>
      <name val="Segoe UI"/>
      <family val="2"/>
      <scheme val="minor"/>
    </font>
    <font>
      <sz val="11"/>
      <color theme="1"/>
      <name val="Century Gothic"/>
      <family val="2"/>
      <charset val="162"/>
    </font>
    <font>
      <sz val="11"/>
      <color theme="0"/>
      <name val="Segoe U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Segoe UI"/>
      <family val="2"/>
      <scheme val="minor"/>
    </font>
    <font>
      <u/>
      <sz val="11"/>
      <color theme="10"/>
      <name val="Segoe U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8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6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indent="1"/>
    </xf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0" fillId="2" borderId="0" xfId="0" applyFill="1"/>
    <xf numFmtId="0" fontId="7" fillId="5" borderId="0" xfId="2" applyFont="1" applyFill="1" applyAlignment="1">
      <alignment horizontal="left" vertical="center" wrapText="1"/>
    </xf>
    <xf numFmtId="0" fontId="7" fillId="5" borderId="0" xfId="2" applyFont="1" applyFill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 indent="1"/>
    </xf>
    <xf numFmtId="0" fontId="8" fillId="5" borderId="0" xfId="2" applyFont="1" applyFill="1" applyAlignment="1">
      <alignment horizontal="left" vertical="center" wrapText="1" indent="1"/>
    </xf>
    <xf numFmtId="0" fontId="8" fillId="5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9" fillId="2" borderId="2" xfId="2" applyFont="1" applyFill="1" applyBorder="1" applyAlignment="1">
      <alignment vertical="top"/>
    </xf>
    <xf numFmtId="0" fontId="1" fillId="2" borderId="2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0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81876120-297A-4617-8ABE-03B03581E4E2}"/>
    <cellStyle name="Normal" xfId="0" builtinId="0"/>
    <cellStyle name="Normal 2" xfId="1" xr:uid="{6D86CFE0-1974-4C37-8393-6D62804A0A55}"/>
    <cellStyle name="Normal 2 2" xfId="2" xr:uid="{4745920F-CE42-40C7-AB6B-CD34D7A74604}"/>
  </cellStyles>
  <dxfs count="4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[&lt;=9999999]###\-####;\(###\)\ ###\-##\-##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2" formatCode="&quot;₺&quot;#,##0.00;[Red]\-&quot;₺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numFmt numFmtId="13" formatCode="0%"/>
      <alignment horizontal="general" vertical="center" textRotation="0" wrapText="0" indent="0" justifyLastLine="0" shrinkToFit="0" readingOrder="0"/>
    </dxf>
    <dxf>
      <numFmt numFmtId="12" formatCode="&quot;₺&quot;#,##0.00;[Red]\-&quot;₺&quot;#,##0.00"/>
      <alignment horizontal="general" vertical="center" textRotation="0" wrapText="0" indent="0" justifyLastLine="0" shrinkToFit="0" readingOrder="0"/>
    </dxf>
    <dxf>
      <numFmt numFmtId="12" formatCode="&quot;₺&quot;#,##0.00;[Red]\-&quot;₺&quot;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2" formatCode="&quot;₺&quot;#,##0.00;[Red]\-&quot;₺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9" formatCode="d/mm/yyyy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>
          <bgColor rgb="FFFFCCCC"/>
        </patternFill>
      </fill>
    </dxf>
    <dxf>
      <fill>
        <patternFill>
          <bgColor theme="6" tint="0.7999816888943144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4506668294322"/>
        </vertical>
        <horizontal style="thin">
          <color theme="4" tint="0.39997558519241921"/>
        </horizontal>
      </border>
    </dxf>
    <dxf>
      <font>
        <b/>
        <color theme="1"/>
      </font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751 Stil" pivot="0" table="0" count="10" xr9:uid="{48567648-D73C-45FA-9B59-99FF0394CFAE}">
      <tableStyleElement type="wholeTable" dxfId="44"/>
      <tableStyleElement type="headerRow" dxfId="43"/>
    </tableStyle>
    <tableStyle name="751 tablo Stili" pivot="0" count="7" xr9:uid="{E4B293A9-E418-47E5-A8A4-03939C689F21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</tableStyles>
  <colors>
    <mruColors>
      <color rgb="FFFFCCC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751 Stil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openxmlformats.org/officeDocument/2006/relationships/externalLink" Target="externalLinks/externalLink2.xml" /><ns0:Relationship Id="rId18" Type="http://schemas.openxmlformats.org/officeDocument/2006/relationships/externalLink" Target="externalLinks/externalLink7.xml" /><ns0:Relationship Id="rId26" Type="http://schemas.openxmlformats.org/officeDocument/2006/relationships/styles" Target="styles.xml" /><ns0:Relationship Id="rId3" Type="http://schemas.openxmlformats.org/officeDocument/2006/relationships/worksheet" Target="worksheets/sheet3.xml" /><ns0:Relationship Id="rId21" Type="http://schemas.openxmlformats.org/officeDocument/2006/relationships/pivotCacheDefinition" Target="pivotCache/pivotCacheDefinition2.xml" /><ns0:Relationship Id="rId7" Type="http://schemas.openxmlformats.org/officeDocument/2006/relationships/worksheet" Target="worksheets/sheet7.xml" /><ns0:Relationship Id="rId12" Type="http://schemas.openxmlformats.org/officeDocument/2006/relationships/externalLink" Target="externalLinks/externalLink1.xml" /><ns0:Relationship Id="rId17" Type="http://schemas.openxmlformats.org/officeDocument/2006/relationships/externalLink" Target="externalLinks/externalLink6.xml" /><ns0:Relationship Id="rId25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6" Type="http://schemas.openxmlformats.org/officeDocument/2006/relationships/externalLink" Target="externalLinks/externalLink5.xml" /><ns0:Relationship Id="rId20" Type="http://schemas.openxmlformats.org/officeDocument/2006/relationships/pivotCacheDefinition" Target="pivotCache/pivotCacheDefinition1.xml" /><ns0:Relationship Id="rId29" Type="http://schemas.openxmlformats.org/officeDocument/2006/relationships/calcChain" Target="calcChain.xml" /><ns0:Relationship Id="rId6" Type="http://schemas.openxmlformats.org/officeDocument/2006/relationships/worksheet" Target="worksheets/sheet6.xml" /><ns0:Relationship Id="rId11" Type="http://schemas.openxmlformats.org/officeDocument/2006/relationships/worksheet" Target="worksheets/sheet11.xml" /><ns0:Relationship Id="rId24" Type="http://schemas.microsoft.com/office/2007/relationships/slicerCache" Target="slicerCaches/slicerCache3.xml" /><ns0:Relationship Id="rId5" Type="http://schemas.openxmlformats.org/officeDocument/2006/relationships/worksheet" Target="worksheets/sheet5.xml" /><ns0:Relationship Id="rId15" Type="http://schemas.openxmlformats.org/officeDocument/2006/relationships/externalLink" Target="externalLinks/externalLink4.xml" /><ns0:Relationship Id="rId23" Type="http://schemas.microsoft.com/office/2007/relationships/slicerCache" Target="slicerCaches/slicerCache2.xml" /><ns0:Relationship Id="rId28" Type="http://schemas.openxmlformats.org/officeDocument/2006/relationships/sheetMetadata" Target="metadata.xml" /><ns0:Relationship Id="rId10" Type="http://schemas.openxmlformats.org/officeDocument/2006/relationships/worksheet" Target="worksheets/sheet10.xml" /><ns0:Relationship Id="rId19" Type="http://schemas.openxmlformats.org/officeDocument/2006/relationships/externalLink" Target="externalLinks/externalLink8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ns0:Relationship Id="rId14" Type="http://schemas.openxmlformats.org/officeDocument/2006/relationships/externalLink" Target="externalLinks/externalLink3.xml" /><ns0:Relationship Id="rId22" Type="http://schemas.microsoft.com/office/2007/relationships/slicerCache" Target="slicerCaches/slicerCache1.xml" /><ns0:Relationship Id="rId27" Type="http://schemas.openxmlformats.org/officeDocument/2006/relationships/sharedStrings" Target="sharedStrings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[-Sipariş_Takip_Programı_DashBoard.xlsm]Dash_Pvt_1!PivotTable1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 i="0" baseline="0">
                <a:effectLst/>
              </a:rPr>
              <a:t>Marka/Ürün Bazlı Ürün Adeti - Sipariş Tutarı</a:t>
            </a:r>
            <a:endParaRPr lang="tr-TR" sz="1600">
              <a:effectLst/>
            </a:endParaRPr>
          </a:p>
        </c:rich>
      </c:tx>
      <c:layout>
        <c:manualLayout>
          <c:xMode val="edge"/>
          <c:yMode val="edge"/>
          <c:x val="0.22189645587264378"/>
          <c:y val="1.2599284469769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4171081404624465"/>
          <c:y val="0.1350429873157146"/>
          <c:w val="0.59629239673951029"/>
          <c:h val="0.8252569235770818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Dash_Pvt_1!$C$3</c:f>
              <c:strCache>
                <c:ptCount val="1"/>
                <c:pt idx="0">
                  <c:v>Toplam Genel Tutar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Dash_Pvt_1!$A$4:$A$21</c:f>
              <c:multiLvlStrCache>
                <c:ptCount val="13"/>
                <c:lvl>
                  <c:pt idx="0">
                    <c:v>iphone 12</c:v>
                  </c:pt>
                  <c:pt idx="1">
                    <c:v>iphone 11</c:v>
                  </c:pt>
                  <c:pt idx="2">
                    <c:v>iphone 13</c:v>
                  </c:pt>
                  <c:pt idx="3">
                    <c:v>iphone 13 pro</c:v>
                  </c:pt>
                  <c:pt idx="4">
                    <c:v>P30 Lite</c:v>
                  </c:pt>
                  <c:pt idx="5">
                    <c:v>P20 Lite</c:v>
                  </c:pt>
                  <c:pt idx="6">
                    <c:v>Nova 9</c:v>
                  </c:pt>
                  <c:pt idx="7">
                    <c:v>Galaxy A32</c:v>
                  </c:pt>
                  <c:pt idx="8">
                    <c:v>Galaxy S21</c:v>
                  </c:pt>
                  <c:pt idx="9">
                    <c:v>Galaxy S21 +</c:v>
                  </c:pt>
                  <c:pt idx="10">
                    <c:v>Galaxy Note20</c:v>
                  </c:pt>
                  <c:pt idx="11">
                    <c:v>Redmi Note 10 Lite</c:v>
                  </c:pt>
                  <c:pt idx="12">
                    <c:v>Redmi Note 10 Pro</c:v>
                  </c:pt>
                </c:lvl>
                <c:lvl>
                  <c:pt idx="0">
                    <c:v>Apple</c:v>
                  </c:pt>
                  <c:pt idx="4">
                    <c:v>Huawei</c:v>
                  </c:pt>
                  <c:pt idx="7">
                    <c:v>Samsung</c:v>
                  </c:pt>
                  <c:pt idx="11">
                    <c:v>Xiaomi</c:v>
                  </c:pt>
                </c:lvl>
              </c:multiLvlStrCache>
            </c:multiLvlStrRef>
          </c:cat>
          <c:val>
            <c:numRef>
              <c:f>Dash_Pvt_1!$C$4:$C$21</c:f>
              <c:numCache>
                <c:formatCode>0.00,,\ "M"</c:formatCode>
                <c:ptCount val="13"/>
                <c:pt idx="0">
                  <c:v>617428.35</c:v>
                </c:pt>
                <c:pt idx="1">
                  <c:v>764306.4</c:v>
                </c:pt>
                <c:pt idx="2">
                  <c:v>1186374</c:v>
                </c:pt>
                <c:pt idx="3">
                  <c:v>1519128</c:v>
                </c:pt>
                <c:pt idx="4">
                  <c:v>1051974.0200000007</c:v>
                </c:pt>
                <c:pt idx="5">
                  <c:v>1234237.5</c:v>
                </c:pt>
                <c:pt idx="6">
                  <c:v>1662336.0000000002</c:v>
                </c:pt>
                <c:pt idx="7">
                  <c:v>1168916.0999999999</c:v>
                </c:pt>
                <c:pt idx="8">
                  <c:v>1439250.5999999999</c:v>
                </c:pt>
                <c:pt idx="9">
                  <c:v>1774672.2000000002</c:v>
                </c:pt>
                <c:pt idx="10">
                  <c:v>1836407.5999999994</c:v>
                </c:pt>
                <c:pt idx="11">
                  <c:v>2625441</c:v>
                </c:pt>
                <c:pt idx="12">
                  <c:v>2669960.25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0-487A-A9A5-A0820AF3C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0443727"/>
        <c:axId val="1070441647"/>
      </c:barChart>
      <c:barChart>
        <c:barDir val="bar"/>
        <c:grouping val="clustered"/>
        <c:varyColors val="0"/>
        <c:ser>
          <c:idx val="0"/>
          <c:order val="0"/>
          <c:tx>
            <c:strRef>
              <c:f>Dash_Pvt_1!$B$3</c:f>
              <c:strCache>
                <c:ptCount val="1"/>
                <c:pt idx="0">
                  <c:v>Toplam Adet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Dash_Pvt_1!$A$4:$A$21</c:f>
              <c:multiLvlStrCache>
                <c:ptCount val="13"/>
                <c:lvl>
                  <c:pt idx="0">
                    <c:v>iphone 12</c:v>
                  </c:pt>
                  <c:pt idx="1">
                    <c:v>iphone 11</c:v>
                  </c:pt>
                  <c:pt idx="2">
                    <c:v>iphone 13</c:v>
                  </c:pt>
                  <c:pt idx="3">
                    <c:v>iphone 13 pro</c:v>
                  </c:pt>
                  <c:pt idx="4">
                    <c:v>P30 Lite</c:v>
                  </c:pt>
                  <c:pt idx="5">
                    <c:v>P20 Lite</c:v>
                  </c:pt>
                  <c:pt idx="6">
                    <c:v>Nova 9</c:v>
                  </c:pt>
                  <c:pt idx="7">
                    <c:v>Galaxy A32</c:v>
                  </c:pt>
                  <c:pt idx="8">
                    <c:v>Galaxy S21</c:v>
                  </c:pt>
                  <c:pt idx="9">
                    <c:v>Galaxy S21 +</c:v>
                  </c:pt>
                  <c:pt idx="10">
                    <c:v>Galaxy Note20</c:v>
                  </c:pt>
                  <c:pt idx="11">
                    <c:v>Redmi Note 10 Lite</c:v>
                  </c:pt>
                  <c:pt idx="12">
                    <c:v>Redmi Note 10 Pro</c:v>
                  </c:pt>
                </c:lvl>
                <c:lvl>
                  <c:pt idx="0">
                    <c:v>Apple</c:v>
                  </c:pt>
                  <c:pt idx="4">
                    <c:v>Huawei</c:v>
                  </c:pt>
                  <c:pt idx="7">
                    <c:v>Samsung</c:v>
                  </c:pt>
                  <c:pt idx="11">
                    <c:v>Xiaomi</c:v>
                  </c:pt>
                </c:lvl>
              </c:multiLvlStrCache>
            </c:multiLvlStrRef>
          </c:cat>
          <c:val>
            <c:numRef>
              <c:f>Dash_Pvt_1!$B$4:$B$21</c:f>
              <c:numCache>
                <c:formatCode>General</c:formatCode>
                <c:ptCount val="13"/>
                <c:pt idx="0">
                  <c:v>63</c:v>
                </c:pt>
                <c:pt idx="1">
                  <c:v>88</c:v>
                </c:pt>
                <c:pt idx="2">
                  <c:v>94</c:v>
                </c:pt>
                <c:pt idx="3">
                  <c:v>108</c:v>
                </c:pt>
                <c:pt idx="4">
                  <c:v>254</c:v>
                </c:pt>
                <c:pt idx="5">
                  <c:v>207</c:v>
                </c:pt>
                <c:pt idx="6">
                  <c:v>180</c:v>
                </c:pt>
                <c:pt idx="7">
                  <c:v>181</c:v>
                </c:pt>
                <c:pt idx="8">
                  <c:v>149</c:v>
                </c:pt>
                <c:pt idx="9">
                  <c:v>133</c:v>
                </c:pt>
                <c:pt idx="10">
                  <c:v>206</c:v>
                </c:pt>
                <c:pt idx="11">
                  <c:v>326</c:v>
                </c:pt>
                <c:pt idx="12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0-487A-A9A5-A0820AF3C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31932047"/>
        <c:axId val="1431928719"/>
      </c:barChart>
      <c:catAx>
        <c:axId val="10704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41647"/>
        <c:crosses val="autoZero"/>
        <c:auto val="1"/>
        <c:lblAlgn val="ctr"/>
        <c:lblOffset val="100"/>
        <c:noMultiLvlLbl val="0"/>
      </c:catAx>
      <c:valAx>
        <c:axId val="1070441647"/>
        <c:scaling>
          <c:orientation val="minMax"/>
        </c:scaling>
        <c:delete val="0"/>
        <c:axPos val="b"/>
        <c:numFmt formatCode="0.00,,\ &quot;M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43727"/>
        <c:crosses val="autoZero"/>
        <c:crossBetween val="between"/>
      </c:valAx>
      <c:valAx>
        <c:axId val="143192871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32047"/>
        <c:crosses val="max"/>
        <c:crossBetween val="between"/>
      </c:valAx>
      <c:catAx>
        <c:axId val="1431932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31928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228600" sx="96000" sy="96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[-Sipariş_Takip_Programı_DashBoard.xlsm]Dash_Pvt_2!PivotTable1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r-TR" sz="1600" b="1" i="0" baseline="0">
                <a:effectLst/>
              </a:rPr>
              <a:t>Aylık/Haftalık Sipariş Sayısı</a:t>
            </a:r>
            <a:endParaRPr lang="tr-TR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377038101584807E-2"/>
          <c:y val="0.20181526600899982"/>
          <c:w val="0.91879621474943107"/>
          <c:h val="0.48994058779838739"/>
        </c:manualLayout>
      </c:layout>
      <c:lineChart>
        <c:grouping val="standard"/>
        <c:varyColors val="0"/>
        <c:ser>
          <c:idx val="0"/>
          <c:order val="0"/>
          <c:tx>
            <c:strRef>
              <c:f>Dash_Pvt_2!$B$3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Dash_Pvt_2!$A$4:$A$74</c:f>
              <c:multiLvlStrCache>
                <c:ptCount val="5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32</c:v>
                  </c:pt>
                  <c:pt idx="35">
                    <c:v>33</c:v>
                  </c:pt>
                  <c:pt idx="36">
                    <c:v>34</c:v>
                  </c:pt>
                  <c:pt idx="37">
                    <c:v>35</c:v>
                  </c:pt>
                  <c:pt idx="38">
                    <c:v>36</c:v>
                  </c:pt>
                  <c:pt idx="39">
                    <c:v>37</c:v>
                  </c:pt>
                  <c:pt idx="40">
                    <c:v>38</c:v>
                  </c:pt>
                  <c:pt idx="41">
                    <c:v>39</c:v>
                  </c:pt>
                  <c:pt idx="42">
                    <c:v>40</c:v>
                  </c:pt>
                  <c:pt idx="43">
                    <c:v>40</c:v>
                  </c:pt>
                  <c:pt idx="44">
                    <c:v>41</c:v>
                  </c:pt>
                  <c:pt idx="45">
                    <c:v>42</c:v>
                  </c:pt>
                  <c:pt idx="46">
                    <c:v>43</c:v>
                  </c:pt>
                  <c:pt idx="47">
                    <c:v>44</c:v>
                  </c:pt>
                  <c:pt idx="48">
                    <c:v>45</c:v>
                  </c:pt>
                  <c:pt idx="49">
                    <c:v>46</c:v>
                  </c:pt>
                  <c:pt idx="50">
                    <c:v>47</c:v>
                  </c:pt>
                  <c:pt idx="51">
                    <c:v>48</c:v>
                  </c:pt>
                  <c:pt idx="52">
                    <c:v>49</c:v>
                  </c:pt>
                  <c:pt idx="53">
                    <c:v>49</c:v>
                  </c:pt>
                  <c:pt idx="54">
                    <c:v>50</c:v>
                  </c:pt>
                  <c:pt idx="55">
                    <c:v>51</c:v>
                  </c:pt>
                  <c:pt idx="56">
                    <c:v>52</c:v>
                  </c:pt>
                  <c:pt idx="57">
                    <c:v>53</c:v>
                  </c:pt>
                </c:lvl>
                <c:lvl>
                  <c:pt idx="0">
                    <c:v>Oca</c:v>
                  </c:pt>
                  <c:pt idx="5">
                    <c:v>Şub</c:v>
                  </c:pt>
                  <c:pt idx="10">
                    <c:v>Mar</c:v>
                  </c:pt>
                  <c:pt idx="15">
                    <c:v>Nis</c:v>
                  </c:pt>
                  <c:pt idx="20">
                    <c:v>May</c:v>
                  </c:pt>
                  <c:pt idx="24">
                    <c:v>Haz</c:v>
                  </c:pt>
                  <c:pt idx="29">
                    <c:v>Tem</c:v>
                  </c:pt>
                  <c:pt idx="34">
                    <c:v>Ağu</c:v>
                  </c:pt>
                  <c:pt idx="38">
                    <c:v>Eyl</c:v>
                  </c:pt>
                  <c:pt idx="43">
                    <c:v>Eki</c:v>
                  </c:pt>
                  <c:pt idx="48">
                    <c:v>Kas</c:v>
                  </c:pt>
                  <c:pt idx="53">
                    <c:v>Ara</c:v>
                  </c:pt>
                </c:lvl>
              </c:multiLvlStrCache>
            </c:multiLvlStrRef>
          </c:cat>
          <c:val>
            <c:numRef>
              <c:f>Dash_Pvt_2!$B$4:$B$74</c:f>
              <c:numCache>
                <c:formatCode>General</c:formatCode>
                <c:ptCount val="58"/>
                <c:pt idx="0">
                  <c:v>9</c:v>
                </c:pt>
                <c:pt idx="1">
                  <c:v>14</c:v>
                </c:pt>
                <c:pt idx="2">
                  <c:v>18</c:v>
                </c:pt>
                <c:pt idx="3">
                  <c:v>17</c:v>
                </c:pt>
                <c:pt idx="4">
                  <c:v>7</c:v>
                </c:pt>
                <c:pt idx="5">
                  <c:v>14</c:v>
                </c:pt>
                <c:pt idx="6">
                  <c:v>7</c:v>
                </c:pt>
                <c:pt idx="7">
                  <c:v>17</c:v>
                </c:pt>
                <c:pt idx="8">
                  <c:v>20</c:v>
                </c:pt>
                <c:pt idx="9">
                  <c:v>4</c:v>
                </c:pt>
                <c:pt idx="10">
                  <c:v>18</c:v>
                </c:pt>
                <c:pt idx="11">
                  <c:v>18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  <c:pt idx="15">
                  <c:v>6</c:v>
                </c:pt>
                <c:pt idx="16">
                  <c:v>14</c:v>
                </c:pt>
                <c:pt idx="17">
                  <c:v>19</c:v>
                </c:pt>
                <c:pt idx="18">
                  <c:v>12</c:v>
                </c:pt>
                <c:pt idx="19">
                  <c:v>7</c:v>
                </c:pt>
                <c:pt idx="20">
                  <c:v>16</c:v>
                </c:pt>
                <c:pt idx="21">
                  <c:v>16</c:v>
                </c:pt>
                <c:pt idx="22">
                  <c:v>15</c:v>
                </c:pt>
                <c:pt idx="23">
                  <c:v>16</c:v>
                </c:pt>
                <c:pt idx="24">
                  <c:v>15</c:v>
                </c:pt>
                <c:pt idx="25">
                  <c:v>17</c:v>
                </c:pt>
                <c:pt idx="26">
                  <c:v>12</c:v>
                </c:pt>
                <c:pt idx="27">
                  <c:v>12</c:v>
                </c:pt>
                <c:pt idx="28">
                  <c:v>8</c:v>
                </c:pt>
                <c:pt idx="29">
                  <c:v>4</c:v>
                </c:pt>
                <c:pt idx="30">
                  <c:v>16</c:v>
                </c:pt>
                <c:pt idx="31">
                  <c:v>18</c:v>
                </c:pt>
                <c:pt idx="32">
                  <c:v>18</c:v>
                </c:pt>
                <c:pt idx="33">
                  <c:v>9</c:v>
                </c:pt>
                <c:pt idx="34">
                  <c:v>19</c:v>
                </c:pt>
                <c:pt idx="35">
                  <c:v>22</c:v>
                </c:pt>
                <c:pt idx="36">
                  <c:v>17</c:v>
                </c:pt>
                <c:pt idx="37">
                  <c:v>17</c:v>
                </c:pt>
                <c:pt idx="38">
                  <c:v>8</c:v>
                </c:pt>
                <c:pt idx="39">
                  <c:v>13</c:v>
                </c:pt>
                <c:pt idx="40">
                  <c:v>17</c:v>
                </c:pt>
                <c:pt idx="41">
                  <c:v>17</c:v>
                </c:pt>
                <c:pt idx="42">
                  <c:v>9</c:v>
                </c:pt>
                <c:pt idx="43">
                  <c:v>7</c:v>
                </c:pt>
                <c:pt idx="44">
                  <c:v>15</c:v>
                </c:pt>
                <c:pt idx="45">
                  <c:v>15</c:v>
                </c:pt>
                <c:pt idx="46">
                  <c:v>13</c:v>
                </c:pt>
                <c:pt idx="47">
                  <c:v>8</c:v>
                </c:pt>
                <c:pt idx="48">
                  <c:v>11</c:v>
                </c:pt>
                <c:pt idx="49">
                  <c:v>13</c:v>
                </c:pt>
                <c:pt idx="50">
                  <c:v>15</c:v>
                </c:pt>
                <c:pt idx="51">
                  <c:v>11</c:v>
                </c:pt>
                <c:pt idx="52">
                  <c:v>3</c:v>
                </c:pt>
                <c:pt idx="53">
                  <c:v>9</c:v>
                </c:pt>
                <c:pt idx="54">
                  <c:v>11</c:v>
                </c:pt>
                <c:pt idx="55">
                  <c:v>10</c:v>
                </c:pt>
                <c:pt idx="56">
                  <c:v>17</c:v>
                </c:pt>
                <c:pt idx="57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B7-42DC-AFCE-83557B2F6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058847"/>
        <c:axId val="1434534463"/>
      </c:lineChart>
      <c:catAx>
        <c:axId val="132905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534463"/>
        <c:crosses val="autoZero"/>
        <c:auto val="1"/>
        <c:lblAlgn val="ctr"/>
        <c:lblOffset val="100"/>
        <c:noMultiLvlLbl val="0"/>
      </c:catAx>
      <c:valAx>
        <c:axId val="14345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5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228600" sx="96000" sy="96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[-Sipariş_Takip_Programı_DashBoard.xlsm]Dash_Pvt_3!PivotTable1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/>
              <a:t>Markaların Sipariş Sayısı Dağılımı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85000"/>
            </a:schemeClr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Dash_Pvt_3!$B$3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1D-4921-90CB-3BDF0F4A218F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1D-4921-90CB-3BDF0F4A218F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1D-4921-90CB-3BDF0F4A218F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1D-4921-90CB-3BDF0F4A21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Dash_Pvt_3!$A$4:$A$8</c:f>
              <c:strCache>
                <c:ptCount val="4"/>
                <c:pt idx="0">
                  <c:v>Apple</c:v>
                </c:pt>
                <c:pt idx="1">
                  <c:v>Huawei</c:v>
                </c:pt>
                <c:pt idx="2">
                  <c:v>Samsung</c:v>
                </c:pt>
                <c:pt idx="3">
                  <c:v>Xiaomi</c:v>
                </c:pt>
              </c:strCache>
            </c:strRef>
          </c:cat>
          <c:val>
            <c:numRef>
              <c:f>Dash_Pvt_3!$B$4:$B$8</c:f>
              <c:numCache>
                <c:formatCode>General</c:formatCode>
                <c:ptCount val="4"/>
                <c:pt idx="0">
                  <c:v>119</c:v>
                </c:pt>
                <c:pt idx="1">
                  <c:v>212</c:v>
                </c:pt>
                <c:pt idx="2">
                  <c:v>221</c:v>
                </c:pt>
                <c:pt idx="3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1D-4921-90CB-3BDF0F4A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228600" sx="96000" sy="96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[-Sipariş_Takip_Programı_DashBoard.xlsm]Dash_Pvt_1!PivotTable1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100" b="1" i="0" baseline="0">
                <a:effectLst/>
              </a:rPr>
              <a:t>Marka/Ürün Bazlı Ürün Adeti - Sipariş Tutarı</a:t>
            </a:r>
            <a:endParaRPr lang="tr-TR" sz="1100">
              <a:effectLst/>
            </a:endParaRPr>
          </a:p>
        </c:rich>
      </c:tx>
      <c:layout>
        <c:manualLayout>
          <c:xMode val="edge"/>
          <c:yMode val="edge"/>
          <c:x val="0.22189645587264378"/>
          <c:y val="1.2599284469769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Dash_Pvt_1!$C$3</c:f>
              <c:strCache>
                <c:ptCount val="1"/>
                <c:pt idx="0">
                  <c:v>Toplam Genel Tutar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Dash_Pvt_1!$A$4:$A$21</c:f>
              <c:multiLvlStrCache>
                <c:ptCount val="13"/>
                <c:lvl>
                  <c:pt idx="0">
                    <c:v>iphone 12</c:v>
                  </c:pt>
                  <c:pt idx="1">
                    <c:v>iphone 11</c:v>
                  </c:pt>
                  <c:pt idx="2">
                    <c:v>iphone 13</c:v>
                  </c:pt>
                  <c:pt idx="3">
                    <c:v>iphone 13 pro</c:v>
                  </c:pt>
                  <c:pt idx="4">
                    <c:v>P30 Lite</c:v>
                  </c:pt>
                  <c:pt idx="5">
                    <c:v>P20 Lite</c:v>
                  </c:pt>
                  <c:pt idx="6">
                    <c:v>Nova 9</c:v>
                  </c:pt>
                  <c:pt idx="7">
                    <c:v>Galaxy A32</c:v>
                  </c:pt>
                  <c:pt idx="8">
                    <c:v>Galaxy S21</c:v>
                  </c:pt>
                  <c:pt idx="9">
                    <c:v>Galaxy S21 +</c:v>
                  </c:pt>
                  <c:pt idx="10">
                    <c:v>Galaxy Note20</c:v>
                  </c:pt>
                  <c:pt idx="11">
                    <c:v>Redmi Note 10 Lite</c:v>
                  </c:pt>
                  <c:pt idx="12">
                    <c:v>Redmi Note 10 Pro</c:v>
                  </c:pt>
                </c:lvl>
                <c:lvl>
                  <c:pt idx="0">
                    <c:v>Apple</c:v>
                  </c:pt>
                  <c:pt idx="4">
                    <c:v>Huawei</c:v>
                  </c:pt>
                  <c:pt idx="7">
                    <c:v>Samsung</c:v>
                  </c:pt>
                  <c:pt idx="11">
                    <c:v>Xiaomi</c:v>
                  </c:pt>
                </c:lvl>
              </c:multiLvlStrCache>
            </c:multiLvlStrRef>
          </c:cat>
          <c:val>
            <c:numRef>
              <c:f>Dash_Pvt_1!$C$4:$C$21</c:f>
              <c:numCache>
                <c:formatCode>0.00,,\ "M"</c:formatCode>
                <c:ptCount val="13"/>
                <c:pt idx="0">
                  <c:v>617428.35</c:v>
                </c:pt>
                <c:pt idx="1">
                  <c:v>764306.4</c:v>
                </c:pt>
                <c:pt idx="2">
                  <c:v>1186374</c:v>
                </c:pt>
                <c:pt idx="3">
                  <c:v>1519128</c:v>
                </c:pt>
                <c:pt idx="4">
                  <c:v>1051974.0200000007</c:v>
                </c:pt>
                <c:pt idx="5">
                  <c:v>1234237.5</c:v>
                </c:pt>
                <c:pt idx="6">
                  <c:v>1662336.0000000002</c:v>
                </c:pt>
                <c:pt idx="7">
                  <c:v>1168916.0999999999</c:v>
                </c:pt>
                <c:pt idx="8">
                  <c:v>1439250.5999999999</c:v>
                </c:pt>
                <c:pt idx="9">
                  <c:v>1774672.2000000002</c:v>
                </c:pt>
                <c:pt idx="10">
                  <c:v>1836407.5999999994</c:v>
                </c:pt>
                <c:pt idx="11">
                  <c:v>2625441</c:v>
                </c:pt>
                <c:pt idx="12">
                  <c:v>2669960.25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A-423B-B87A-065E70B5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0443727"/>
        <c:axId val="1070441647"/>
      </c:barChart>
      <c:barChart>
        <c:barDir val="bar"/>
        <c:grouping val="clustered"/>
        <c:varyColors val="0"/>
        <c:ser>
          <c:idx val="0"/>
          <c:order val="0"/>
          <c:tx>
            <c:strRef>
              <c:f>Dash_Pvt_1!$B$3</c:f>
              <c:strCache>
                <c:ptCount val="1"/>
                <c:pt idx="0">
                  <c:v>Toplam Adet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Dash_Pvt_1!$A$4:$A$21</c:f>
              <c:multiLvlStrCache>
                <c:ptCount val="13"/>
                <c:lvl>
                  <c:pt idx="0">
                    <c:v>iphone 12</c:v>
                  </c:pt>
                  <c:pt idx="1">
                    <c:v>iphone 11</c:v>
                  </c:pt>
                  <c:pt idx="2">
                    <c:v>iphone 13</c:v>
                  </c:pt>
                  <c:pt idx="3">
                    <c:v>iphone 13 pro</c:v>
                  </c:pt>
                  <c:pt idx="4">
                    <c:v>P30 Lite</c:v>
                  </c:pt>
                  <c:pt idx="5">
                    <c:v>P20 Lite</c:v>
                  </c:pt>
                  <c:pt idx="6">
                    <c:v>Nova 9</c:v>
                  </c:pt>
                  <c:pt idx="7">
                    <c:v>Galaxy A32</c:v>
                  </c:pt>
                  <c:pt idx="8">
                    <c:v>Galaxy S21</c:v>
                  </c:pt>
                  <c:pt idx="9">
                    <c:v>Galaxy S21 +</c:v>
                  </c:pt>
                  <c:pt idx="10">
                    <c:v>Galaxy Note20</c:v>
                  </c:pt>
                  <c:pt idx="11">
                    <c:v>Redmi Note 10 Lite</c:v>
                  </c:pt>
                  <c:pt idx="12">
                    <c:v>Redmi Note 10 Pro</c:v>
                  </c:pt>
                </c:lvl>
                <c:lvl>
                  <c:pt idx="0">
                    <c:v>Apple</c:v>
                  </c:pt>
                  <c:pt idx="4">
                    <c:v>Huawei</c:v>
                  </c:pt>
                  <c:pt idx="7">
                    <c:v>Samsung</c:v>
                  </c:pt>
                  <c:pt idx="11">
                    <c:v>Xiaomi</c:v>
                  </c:pt>
                </c:lvl>
              </c:multiLvlStrCache>
            </c:multiLvlStrRef>
          </c:cat>
          <c:val>
            <c:numRef>
              <c:f>Dash_Pvt_1!$B$4:$B$21</c:f>
              <c:numCache>
                <c:formatCode>General</c:formatCode>
                <c:ptCount val="13"/>
                <c:pt idx="0">
                  <c:v>63</c:v>
                </c:pt>
                <c:pt idx="1">
                  <c:v>88</c:v>
                </c:pt>
                <c:pt idx="2">
                  <c:v>94</c:v>
                </c:pt>
                <c:pt idx="3">
                  <c:v>108</c:v>
                </c:pt>
                <c:pt idx="4">
                  <c:v>254</c:v>
                </c:pt>
                <c:pt idx="5">
                  <c:v>207</c:v>
                </c:pt>
                <c:pt idx="6">
                  <c:v>180</c:v>
                </c:pt>
                <c:pt idx="7">
                  <c:v>181</c:v>
                </c:pt>
                <c:pt idx="8">
                  <c:v>149</c:v>
                </c:pt>
                <c:pt idx="9">
                  <c:v>133</c:v>
                </c:pt>
                <c:pt idx="10">
                  <c:v>206</c:v>
                </c:pt>
                <c:pt idx="11">
                  <c:v>326</c:v>
                </c:pt>
                <c:pt idx="12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A-423B-B87A-065E70B5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31932047"/>
        <c:axId val="1431928719"/>
      </c:barChart>
      <c:catAx>
        <c:axId val="10704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41647"/>
        <c:crosses val="autoZero"/>
        <c:auto val="1"/>
        <c:lblAlgn val="ctr"/>
        <c:lblOffset val="100"/>
        <c:noMultiLvlLbl val="0"/>
      </c:catAx>
      <c:valAx>
        <c:axId val="1070441647"/>
        <c:scaling>
          <c:orientation val="minMax"/>
        </c:scaling>
        <c:delete val="0"/>
        <c:axPos val="b"/>
        <c:numFmt formatCode="0.00,,\ &quot;M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43727"/>
        <c:crosses val="autoZero"/>
        <c:crossBetween val="between"/>
      </c:valAx>
      <c:valAx>
        <c:axId val="143192871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32047"/>
        <c:crosses val="max"/>
        <c:crossBetween val="between"/>
      </c:valAx>
      <c:catAx>
        <c:axId val="1431932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31928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[-Sipariş_Takip_Programı_DashBoard.xlsm]Dash_Pvt_2!PivotTable1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r-TR" sz="1100" b="1" i="0" baseline="0">
                <a:effectLst/>
              </a:rPr>
              <a:t>Aylık/Haftalık Sipariş Sayısı</a:t>
            </a:r>
            <a:endParaRPr lang="tr-T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Dash_Pvt_2!$B$3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Dash_Pvt_2!$A$4:$A$74</c:f>
              <c:multiLvlStrCache>
                <c:ptCount val="5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32</c:v>
                  </c:pt>
                  <c:pt idx="35">
                    <c:v>33</c:v>
                  </c:pt>
                  <c:pt idx="36">
                    <c:v>34</c:v>
                  </c:pt>
                  <c:pt idx="37">
                    <c:v>35</c:v>
                  </c:pt>
                  <c:pt idx="38">
                    <c:v>36</c:v>
                  </c:pt>
                  <c:pt idx="39">
                    <c:v>37</c:v>
                  </c:pt>
                  <c:pt idx="40">
                    <c:v>38</c:v>
                  </c:pt>
                  <c:pt idx="41">
                    <c:v>39</c:v>
                  </c:pt>
                  <c:pt idx="42">
                    <c:v>40</c:v>
                  </c:pt>
                  <c:pt idx="43">
                    <c:v>40</c:v>
                  </c:pt>
                  <c:pt idx="44">
                    <c:v>41</c:v>
                  </c:pt>
                  <c:pt idx="45">
                    <c:v>42</c:v>
                  </c:pt>
                  <c:pt idx="46">
                    <c:v>43</c:v>
                  </c:pt>
                  <c:pt idx="47">
                    <c:v>44</c:v>
                  </c:pt>
                  <c:pt idx="48">
                    <c:v>45</c:v>
                  </c:pt>
                  <c:pt idx="49">
                    <c:v>46</c:v>
                  </c:pt>
                  <c:pt idx="50">
                    <c:v>47</c:v>
                  </c:pt>
                  <c:pt idx="51">
                    <c:v>48</c:v>
                  </c:pt>
                  <c:pt idx="52">
                    <c:v>49</c:v>
                  </c:pt>
                  <c:pt idx="53">
                    <c:v>49</c:v>
                  </c:pt>
                  <c:pt idx="54">
                    <c:v>50</c:v>
                  </c:pt>
                  <c:pt idx="55">
                    <c:v>51</c:v>
                  </c:pt>
                  <c:pt idx="56">
                    <c:v>52</c:v>
                  </c:pt>
                  <c:pt idx="57">
                    <c:v>53</c:v>
                  </c:pt>
                </c:lvl>
                <c:lvl>
                  <c:pt idx="0">
                    <c:v>Oca</c:v>
                  </c:pt>
                  <c:pt idx="5">
                    <c:v>Şub</c:v>
                  </c:pt>
                  <c:pt idx="10">
                    <c:v>Mar</c:v>
                  </c:pt>
                  <c:pt idx="15">
                    <c:v>Nis</c:v>
                  </c:pt>
                  <c:pt idx="20">
                    <c:v>May</c:v>
                  </c:pt>
                  <c:pt idx="24">
                    <c:v>Haz</c:v>
                  </c:pt>
                  <c:pt idx="29">
                    <c:v>Tem</c:v>
                  </c:pt>
                  <c:pt idx="34">
                    <c:v>Ağu</c:v>
                  </c:pt>
                  <c:pt idx="38">
                    <c:v>Eyl</c:v>
                  </c:pt>
                  <c:pt idx="43">
                    <c:v>Eki</c:v>
                  </c:pt>
                  <c:pt idx="48">
                    <c:v>Kas</c:v>
                  </c:pt>
                  <c:pt idx="53">
                    <c:v>Ara</c:v>
                  </c:pt>
                </c:lvl>
              </c:multiLvlStrCache>
            </c:multiLvlStrRef>
          </c:cat>
          <c:val>
            <c:numRef>
              <c:f>Dash_Pvt_2!$B$4:$B$74</c:f>
              <c:numCache>
                <c:formatCode>General</c:formatCode>
                <c:ptCount val="58"/>
                <c:pt idx="0">
                  <c:v>9</c:v>
                </c:pt>
                <c:pt idx="1">
                  <c:v>14</c:v>
                </c:pt>
                <c:pt idx="2">
                  <c:v>18</c:v>
                </c:pt>
                <c:pt idx="3">
                  <c:v>17</c:v>
                </c:pt>
                <c:pt idx="4">
                  <c:v>7</c:v>
                </c:pt>
                <c:pt idx="5">
                  <c:v>14</c:v>
                </c:pt>
                <c:pt idx="6">
                  <c:v>7</c:v>
                </c:pt>
                <c:pt idx="7">
                  <c:v>17</c:v>
                </c:pt>
                <c:pt idx="8">
                  <c:v>20</c:v>
                </c:pt>
                <c:pt idx="9">
                  <c:v>4</c:v>
                </c:pt>
                <c:pt idx="10">
                  <c:v>18</c:v>
                </c:pt>
                <c:pt idx="11">
                  <c:v>18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  <c:pt idx="15">
                  <c:v>6</c:v>
                </c:pt>
                <c:pt idx="16">
                  <c:v>14</c:v>
                </c:pt>
                <c:pt idx="17">
                  <c:v>19</c:v>
                </c:pt>
                <c:pt idx="18">
                  <c:v>12</c:v>
                </c:pt>
                <c:pt idx="19">
                  <c:v>7</c:v>
                </c:pt>
                <c:pt idx="20">
                  <c:v>16</c:v>
                </c:pt>
                <c:pt idx="21">
                  <c:v>16</c:v>
                </c:pt>
                <c:pt idx="22">
                  <c:v>15</c:v>
                </c:pt>
                <c:pt idx="23">
                  <c:v>16</c:v>
                </c:pt>
                <c:pt idx="24">
                  <c:v>15</c:v>
                </c:pt>
                <c:pt idx="25">
                  <c:v>17</c:v>
                </c:pt>
                <c:pt idx="26">
                  <c:v>12</c:v>
                </c:pt>
                <c:pt idx="27">
                  <c:v>12</c:v>
                </c:pt>
                <c:pt idx="28">
                  <c:v>8</c:v>
                </c:pt>
                <c:pt idx="29">
                  <c:v>4</c:v>
                </c:pt>
                <c:pt idx="30">
                  <c:v>16</c:v>
                </c:pt>
                <c:pt idx="31">
                  <c:v>18</c:v>
                </c:pt>
                <c:pt idx="32">
                  <c:v>18</c:v>
                </c:pt>
                <c:pt idx="33">
                  <c:v>9</c:v>
                </c:pt>
                <c:pt idx="34">
                  <c:v>19</c:v>
                </c:pt>
                <c:pt idx="35">
                  <c:v>22</c:v>
                </c:pt>
                <c:pt idx="36">
                  <c:v>17</c:v>
                </c:pt>
                <c:pt idx="37">
                  <c:v>17</c:v>
                </c:pt>
                <c:pt idx="38">
                  <c:v>8</c:v>
                </c:pt>
                <c:pt idx="39">
                  <c:v>13</c:v>
                </c:pt>
                <c:pt idx="40">
                  <c:v>17</c:v>
                </c:pt>
                <c:pt idx="41">
                  <c:v>17</c:v>
                </c:pt>
                <c:pt idx="42">
                  <c:v>9</c:v>
                </c:pt>
                <c:pt idx="43">
                  <c:v>7</c:v>
                </c:pt>
                <c:pt idx="44">
                  <c:v>15</c:v>
                </c:pt>
                <c:pt idx="45">
                  <c:v>15</c:v>
                </c:pt>
                <c:pt idx="46">
                  <c:v>13</c:v>
                </c:pt>
                <c:pt idx="47">
                  <c:v>8</c:v>
                </c:pt>
                <c:pt idx="48">
                  <c:v>11</c:v>
                </c:pt>
                <c:pt idx="49">
                  <c:v>13</c:v>
                </c:pt>
                <c:pt idx="50">
                  <c:v>15</c:v>
                </c:pt>
                <c:pt idx="51">
                  <c:v>11</c:v>
                </c:pt>
                <c:pt idx="52">
                  <c:v>3</c:v>
                </c:pt>
                <c:pt idx="53">
                  <c:v>9</c:v>
                </c:pt>
                <c:pt idx="54">
                  <c:v>11</c:v>
                </c:pt>
                <c:pt idx="55">
                  <c:v>10</c:v>
                </c:pt>
                <c:pt idx="56">
                  <c:v>17</c:v>
                </c:pt>
                <c:pt idx="57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96-41CC-90F1-C413AB984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058847"/>
        <c:axId val="1434534463"/>
      </c:lineChart>
      <c:catAx>
        <c:axId val="132905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534463"/>
        <c:crosses val="autoZero"/>
        <c:auto val="1"/>
        <c:lblAlgn val="ctr"/>
        <c:lblOffset val="100"/>
        <c:noMultiLvlLbl val="0"/>
      </c:catAx>
      <c:valAx>
        <c:axId val="14345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5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[-Sipariş_Takip_Programı_DashBoard.xlsm]Dash_Pvt_3!PivotTable1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Markaların Sipariş Sayısı Dağılımı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Dash_Pvt_3!$B$3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5C-4C22-A1F6-03CFA071E398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5C-4C22-A1F6-03CFA071E398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5C-4C22-A1F6-03CFA071E39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5C-4C22-A1F6-03CFA071E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Dash_Pvt_3!$A$4:$A$8</c:f>
              <c:strCache>
                <c:ptCount val="4"/>
                <c:pt idx="0">
                  <c:v>Apple</c:v>
                </c:pt>
                <c:pt idx="1">
                  <c:v>Huawei</c:v>
                </c:pt>
                <c:pt idx="2">
                  <c:v>Samsung</c:v>
                </c:pt>
                <c:pt idx="3">
                  <c:v>Xiaomi</c:v>
                </c:pt>
              </c:strCache>
            </c:strRef>
          </c:cat>
          <c:val>
            <c:numRef>
              <c:f>Dash_Pvt_3!$B$4:$B$8</c:f>
              <c:numCache>
                <c:formatCode>General</c:formatCode>
                <c:ptCount val="4"/>
                <c:pt idx="0">
                  <c:v>119</c:v>
                </c:pt>
                <c:pt idx="1">
                  <c:v>212</c:v>
                </c:pt>
                <c:pt idx="2">
                  <c:v>221</c:v>
                </c:pt>
                <c:pt idx="3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C-4C22-A1F6-03CFA071E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chart" Target="../charts/chart3.xml"/><Relationship Id="rId7" Type="http://schemas.openxmlformats.org/officeDocument/2006/relationships/image" Target="../media/image15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4.png"/><Relationship Id="rId5" Type="http://schemas.openxmlformats.org/officeDocument/2006/relationships/image" Target="../media/image13.svg"/><Relationship Id="rId4" Type="http://schemas.openxmlformats.org/officeDocument/2006/relationships/image" Target="../media/image12.png"/><Relationship Id="rId9" Type="http://schemas.openxmlformats.org/officeDocument/2006/relationships/image" Target="../media/image17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7042</xdr:rowOff>
    </xdr:from>
    <xdr:to>
      <xdr:col>11</xdr:col>
      <xdr:colOff>0</xdr:colOff>
      <xdr:row>18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5F55772-4663-4A01-9F74-988A9BEC2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28</xdr:col>
      <xdr:colOff>0</xdr:colOff>
      <xdr:row>9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CCC5C44E-9756-4BBA-A9DC-293909C36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18</xdr:col>
      <xdr:colOff>500742</xdr:colOff>
      <xdr:row>18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E4CDF2D1-7A68-4E83-8523-F5AD7061F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10</xdr:row>
      <xdr:rowOff>0</xdr:rowOff>
    </xdr:from>
    <xdr:to>
      <xdr:col>28</xdr:col>
      <xdr:colOff>0</xdr:colOff>
      <xdr:row>11</xdr:row>
      <xdr:rowOff>337457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E15E8C71-9C5D-4E9C-99C0-D762251AA6BF}"/>
            </a:ext>
          </a:extLst>
        </xdr:cNvPr>
        <xdr:cNvSpPr/>
      </xdr:nvSpPr>
      <xdr:spPr>
        <a:xfrm>
          <a:off x="10601325" y="4762500"/>
          <a:ext cx="3533775" cy="813707"/>
        </a:xfrm>
        <a:prstGeom prst="roundRect">
          <a:avLst>
            <a:gd name="adj" fmla="val 7645"/>
          </a:avLst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>
          <a:outerShdw blurRad="228600" dist="114300" dir="2700000" algn="ctr" rotWithShape="0">
            <a:prstClr val="black">
              <a:alpha val="23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21</xdr:col>
      <xdr:colOff>0</xdr:colOff>
      <xdr:row>13</xdr:row>
      <xdr:rowOff>130628</xdr:rowOff>
    </xdr:from>
    <xdr:to>
      <xdr:col>28</xdr:col>
      <xdr:colOff>0</xdr:colOff>
      <xdr:row>15</xdr:row>
      <xdr:rowOff>0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E6E94830-2531-4F27-AA70-639A834F8B00}"/>
            </a:ext>
          </a:extLst>
        </xdr:cNvPr>
        <xdr:cNvSpPr/>
      </xdr:nvSpPr>
      <xdr:spPr>
        <a:xfrm>
          <a:off x="10601325" y="6321878"/>
          <a:ext cx="3533775" cy="821872"/>
        </a:xfrm>
        <a:prstGeom prst="roundRect">
          <a:avLst>
            <a:gd name="adj" fmla="val 9286"/>
          </a:avLst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>
          <a:outerShdw blurRad="228600" dist="114300" dir="2700000" algn="ctr" rotWithShape="0">
            <a:prstClr val="black">
              <a:alpha val="23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0</xdr:colOff>
      <xdr:row>16</xdr:row>
      <xdr:rowOff>178254</xdr:rowOff>
    </xdr:from>
    <xdr:to>
      <xdr:col>28</xdr:col>
      <xdr:colOff>0</xdr:colOff>
      <xdr:row>18</xdr:row>
      <xdr:rowOff>47625</xdr:rowOff>
    </xdr:to>
    <xdr:sp macro="" textlink="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704BC7AF-ED91-42A2-887C-7B3D2E749CA3}"/>
            </a:ext>
          </a:extLst>
        </xdr:cNvPr>
        <xdr:cNvSpPr/>
      </xdr:nvSpPr>
      <xdr:spPr>
        <a:xfrm>
          <a:off x="10601325" y="7798254"/>
          <a:ext cx="3533775" cy="821871"/>
        </a:xfrm>
        <a:prstGeom prst="roundRect">
          <a:avLst>
            <a:gd name="adj" fmla="val 8490"/>
          </a:avLst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>
          <a:outerShdw blurRad="228600" dist="114300" dir="2700000" algn="ctr" rotWithShape="0">
            <a:prstClr val="black">
              <a:alpha val="23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130629</xdr:colOff>
      <xdr:row>9</xdr:row>
      <xdr:rowOff>326573</xdr:rowOff>
    </xdr:from>
    <xdr:to>
      <xdr:col>26</xdr:col>
      <xdr:colOff>195942</xdr:colOff>
      <xdr:row>10</xdr:row>
      <xdr:rowOff>283029</xdr:rowOff>
    </xdr:to>
    <xdr:sp macro="" textlink="Dash_Pvt_4!A1">
      <xdr:nvSpPr>
        <xdr:cNvPr id="8" name="Metin kutusu 7">
          <a:extLst>
            <a:ext uri="{FF2B5EF4-FFF2-40B4-BE49-F238E27FC236}">
              <a16:creationId xmlns:a16="http://schemas.microsoft.com/office/drawing/2014/main" id="{8755F38C-158B-4729-ABB9-0DDC7579D9F0}"/>
            </a:ext>
          </a:extLst>
        </xdr:cNvPr>
        <xdr:cNvSpPr txBox="1"/>
      </xdr:nvSpPr>
      <xdr:spPr>
        <a:xfrm>
          <a:off x="10731954" y="4612823"/>
          <a:ext cx="2589438" cy="43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26FD963-DC47-4972-98AF-2AC1CFEAB6DE}" type="TxLink">
            <a:rPr lang="en-US" sz="1200" b="0" i="0" u="none" strike="noStrike">
              <a:solidFill>
                <a:srgbClr val="000000"/>
              </a:solidFill>
              <a:latin typeface="Segoe UI"/>
              <a:cs typeface="Segoe UI"/>
            </a:rPr>
            <a:pPr/>
            <a:t>Toplam Sipariş Sayısı</a:t>
          </a:fld>
          <a:endParaRPr lang="tr-TR" sz="1200"/>
        </a:p>
      </xdr:txBody>
    </xdr:sp>
    <xdr:clientData/>
  </xdr:twoCellAnchor>
  <xdr:twoCellAnchor>
    <xdr:from>
      <xdr:col>21</xdr:col>
      <xdr:colOff>130629</xdr:colOff>
      <xdr:row>12</xdr:row>
      <xdr:rowOff>435429</xdr:rowOff>
    </xdr:from>
    <xdr:to>
      <xdr:col>26</xdr:col>
      <xdr:colOff>195942</xdr:colOff>
      <xdr:row>13</xdr:row>
      <xdr:rowOff>391885</xdr:rowOff>
    </xdr:to>
    <xdr:sp macro="" textlink="Dash_Pvt_4!C1">
      <xdr:nvSpPr>
        <xdr:cNvPr id="9" name="Metin kutusu 8">
          <a:extLst>
            <a:ext uri="{FF2B5EF4-FFF2-40B4-BE49-F238E27FC236}">
              <a16:creationId xmlns:a16="http://schemas.microsoft.com/office/drawing/2014/main" id="{F0DEBA07-5715-4587-8613-077754573D11}"/>
            </a:ext>
          </a:extLst>
        </xdr:cNvPr>
        <xdr:cNvSpPr txBox="1"/>
      </xdr:nvSpPr>
      <xdr:spPr>
        <a:xfrm>
          <a:off x="10731954" y="6150429"/>
          <a:ext cx="2589438" cy="43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D32078B-35FB-4545-89F8-9FB82C2CCCEA}" type="TxLink">
            <a:rPr lang="en-US" sz="1200" b="0" i="0" u="none" strike="noStrike">
              <a:solidFill>
                <a:srgbClr val="000000"/>
              </a:solidFill>
              <a:latin typeface="Segoe UI"/>
              <a:cs typeface="Segoe UI"/>
            </a:rPr>
            <a:pPr/>
            <a:t>Sipariş Başına Ortalama Tutar</a:t>
          </a:fld>
          <a:endParaRPr lang="tr-TR" sz="1200"/>
        </a:p>
      </xdr:txBody>
    </xdr:sp>
    <xdr:clientData/>
  </xdr:twoCellAnchor>
  <xdr:twoCellAnchor>
    <xdr:from>
      <xdr:col>21</xdr:col>
      <xdr:colOff>130629</xdr:colOff>
      <xdr:row>16</xdr:row>
      <xdr:rowOff>28577</xdr:rowOff>
    </xdr:from>
    <xdr:to>
      <xdr:col>26</xdr:col>
      <xdr:colOff>195942</xdr:colOff>
      <xdr:row>16</xdr:row>
      <xdr:rowOff>461283</xdr:rowOff>
    </xdr:to>
    <xdr:sp macro="" textlink="Dash_Pvt_4!E1">
      <xdr:nvSpPr>
        <xdr:cNvPr id="10" name="Metin kutusu 9">
          <a:extLst>
            <a:ext uri="{FF2B5EF4-FFF2-40B4-BE49-F238E27FC236}">
              <a16:creationId xmlns:a16="http://schemas.microsoft.com/office/drawing/2014/main" id="{7F64E607-1330-48C9-BF99-C24C95A2676D}"/>
            </a:ext>
          </a:extLst>
        </xdr:cNvPr>
        <xdr:cNvSpPr txBox="1"/>
      </xdr:nvSpPr>
      <xdr:spPr>
        <a:xfrm>
          <a:off x="10731954" y="7648577"/>
          <a:ext cx="2589438" cy="43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C3D9AC-06CB-4757-A0AB-41D3B4E71A7F}" type="TxLink">
            <a:rPr lang="en-US" sz="1200" b="0" i="0" u="none" strike="noStrike">
              <a:solidFill>
                <a:srgbClr val="000000"/>
              </a:solidFill>
              <a:latin typeface="Segoe UI"/>
              <a:cs typeface="Segoe UI"/>
            </a:rPr>
            <a:pPr/>
            <a:t>Toplam Ürün Adedi</a:t>
          </a:fld>
          <a:endParaRPr lang="tr-TR" sz="1200"/>
        </a:p>
      </xdr:txBody>
    </xdr:sp>
    <xdr:clientData/>
  </xdr:twoCellAnchor>
  <xdr:twoCellAnchor>
    <xdr:from>
      <xdr:col>21</xdr:col>
      <xdr:colOff>130630</xdr:colOff>
      <xdr:row>10</xdr:row>
      <xdr:rowOff>97972</xdr:rowOff>
    </xdr:from>
    <xdr:to>
      <xdr:col>24</xdr:col>
      <xdr:colOff>413658</xdr:colOff>
      <xdr:row>11</xdr:row>
      <xdr:rowOff>283029</xdr:rowOff>
    </xdr:to>
    <xdr:sp macro="" textlink="Dash_Pvt_4!A2">
      <xdr:nvSpPr>
        <xdr:cNvPr id="11" name="Metin kutusu 10">
          <a:extLst>
            <a:ext uri="{FF2B5EF4-FFF2-40B4-BE49-F238E27FC236}">
              <a16:creationId xmlns:a16="http://schemas.microsoft.com/office/drawing/2014/main" id="{8D56F24E-22B0-4BEF-9D3D-23EB3462E214}"/>
            </a:ext>
          </a:extLst>
        </xdr:cNvPr>
        <xdr:cNvSpPr txBox="1"/>
      </xdr:nvSpPr>
      <xdr:spPr>
        <a:xfrm>
          <a:off x="10731955" y="4860472"/>
          <a:ext cx="1797503" cy="661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008647-133E-4864-8605-ED5B6CDE208A}" type="TxLink">
            <a:rPr lang="en-US" sz="3600" b="1" i="0" u="none" strike="noStrike">
              <a:solidFill>
                <a:srgbClr val="000000"/>
              </a:solidFill>
              <a:latin typeface="Segoe UI"/>
              <a:cs typeface="Segoe UI"/>
            </a:rPr>
            <a:pPr/>
            <a:t>747</a:t>
          </a:fld>
          <a:endParaRPr lang="tr-TR" sz="3600" b="1"/>
        </a:p>
      </xdr:txBody>
    </xdr:sp>
    <xdr:clientData/>
  </xdr:twoCellAnchor>
  <xdr:twoCellAnchor>
    <xdr:from>
      <xdr:col>21</xdr:col>
      <xdr:colOff>130630</xdr:colOff>
      <xdr:row>13</xdr:row>
      <xdr:rowOff>206827</xdr:rowOff>
    </xdr:from>
    <xdr:to>
      <xdr:col>24</xdr:col>
      <xdr:colOff>413658</xdr:colOff>
      <xdr:row>14</xdr:row>
      <xdr:rowOff>391884</xdr:rowOff>
    </xdr:to>
    <xdr:sp macro="" textlink="Dash_Pvt_4!C2">
      <xdr:nvSpPr>
        <xdr:cNvPr id="12" name="Metin kutusu 11">
          <a:extLst>
            <a:ext uri="{FF2B5EF4-FFF2-40B4-BE49-F238E27FC236}">
              <a16:creationId xmlns:a16="http://schemas.microsoft.com/office/drawing/2014/main" id="{A1B76C0B-3724-4E1B-BA52-5BE35D883A4D}"/>
            </a:ext>
          </a:extLst>
        </xdr:cNvPr>
        <xdr:cNvSpPr txBox="1"/>
      </xdr:nvSpPr>
      <xdr:spPr>
        <a:xfrm>
          <a:off x="10731955" y="6398077"/>
          <a:ext cx="1797503" cy="661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047204A-6BB7-4871-AEDA-7E2763A1D6F3}" type="TxLink">
            <a:rPr lang="en-US" sz="3600" b="1" i="0" u="none" strike="noStrike">
              <a:solidFill>
                <a:srgbClr val="000000"/>
              </a:solidFill>
              <a:latin typeface="Segoe UI"/>
              <a:cs typeface="Segoe UI"/>
            </a:rPr>
            <a:pPr/>
            <a:t>26,17 B</a:t>
          </a:fld>
          <a:endParaRPr lang="tr-TR" sz="3600" b="1"/>
        </a:p>
      </xdr:txBody>
    </xdr:sp>
    <xdr:clientData/>
  </xdr:twoCellAnchor>
  <xdr:twoCellAnchor>
    <xdr:from>
      <xdr:col>21</xdr:col>
      <xdr:colOff>130630</xdr:colOff>
      <xdr:row>16</xdr:row>
      <xdr:rowOff>210911</xdr:rowOff>
    </xdr:from>
    <xdr:to>
      <xdr:col>24</xdr:col>
      <xdr:colOff>413658</xdr:colOff>
      <xdr:row>17</xdr:row>
      <xdr:rowOff>395968</xdr:rowOff>
    </xdr:to>
    <xdr:sp macro="" textlink="Dash_Pvt_4!E2">
      <xdr:nvSpPr>
        <xdr:cNvPr id="13" name="Metin kutusu 12">
          <a:extLst>
            <a:ext uri="{FF2B5EF4-FFF2-40B4-BE49-F238E27FC236}">
              <a16:creationId xmlns:a16="http://schemas.microsoft.com/office/drawing/2014/main" id="{A7938885-A21F-4C5B-A760-D7248215039C}"/>
            </a:ext>
          </a:extLst>
        </xdr:cNvPr>
        <xdr:cNvSpPr txBox="1"/>
      </xdr:nvSpPr>
      <xdr:spPr>
        <a:xfrm>
          <a:off x="10731955" y="7830911"/>
          <a:ext cx="1797503" cy="661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2609AB3-036F-45DD-9588-CEE62C450073}" type="TxLink">
            <a:rPr lang="en-US" sz="3600" b="1" i="0" u="none" strike="noStrike">
              <a:solidFill>
                <a:srgbClr val="000000"/>
              </a:solidFill>
              <a:latin typeface="Segoe UI"/>
              <a:cs typeface="Segoe UI"/>
            </a:rPr>
            <a:pPr/>
            <a:t>2.268</a:t>
          </a:fld>
          <a:endParaRPr lang="tr-TR" sz="3600" b="1"/>
        </a:p>
      </xdr:txBody>
    </xdr:sp>
    <xdr:clientData/>
  </xdr:twoCellAnchor>
  <xdr:twoCellAnchor editAs="oneCell">
    <xdr:from>
      <xdr:col>26</xdr:col>
      <xdr:colOff>170572</xdr:colOff>
      <xdr:row>16</xdr:row>
      <xdr:rowOff>276227</xdr:rowOff>
    </xdr:from>
    <xdr:to>
      <xdr:col>27</xdr:col>
      <xdr:colOff>268543</xdr:colOff>
      <xdr:row>17</xdr:row>
      <xdr:rowOff>406855</xdr:rowOff>
    </xdr:to>
    <xdr:pic>
      <xdr:nvPicPr>
        <xdr:cNvPr id="15" name="Grafik 14" descr="Sürekli Gelişim düz dolguyla">
          <a:extLst>
            <a:ext uri="{FF2B5EF4-FFF2-40B4-BE49-F238E27FC236}">
              <a16:creationId xmlns:a16="http://schemas.microsoft.com/office/drawing/2014/main" id="{16CEB305-6656-4E43-86F2-95A7F8128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296022" y="7896227"/>
          <a:ext cx="602796" cy="606878"/>
        </a:xfrm>
        <a:prstGeom prst="rect">
          <a:avLst/>
        </a:prstGeom>
      </xdr:spPr>
    </xdr:pic>
    <xdr:clientData/>
  </xdr:twoCellAnchor>
  <xdr:twoCellAnchor editAs="oneCell">
    <xdr:from>
      <xdr:col>26</xdr:col>
      <xdr:colOff>170571</xdr:colOff>
      <xdr:row>13</xdr:row>
      <xdr:rowOff>280628</xdr:rowOff>
    </xdr:from>
    <xdr:to>
      <xdr:col>27</xdr:col>
      <xdr:colOff>170956</xdr:colOff>
      <xdr:row>14</xdr:row>
      <xdr:rowOff>313670</xdr:rowOff>
    </xdr:to>
    <xdr:pic>
      <xdr:nvPicPr>
        <xdr:cNvPr id="17" name="Grafik 16" descr="Dolar düz dolguyla">
          <a:extLst>
            <a:ext uri="{FF2B5EF4-FFF2-40B4-BE49-F238E27FC236}">
              <a16:creationId xmlns:a16="http://schemas.microsoft.com/office/drawing/2014/main" id="{BE1761AD-6186-44B3-B84D-5EAE4C18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3296021" y="6471878"/>
          <a:ext cx="505210" cy="509292"/>
        </a:xfrm>
        <a:prstGeom prst="rect">
          <a:avLst/>
        </a:prstGeom>
      </xdr:spPr>
    </xdr:pic>
    <xdr:clientData/>
  </xdr:twoCellAnchor>
  <xdr:twoCellAnchor editAs="oneCell">
    <xdr:from>
      <xdr:col>26</xdr:col>
      <xdr:colOff>170571</xdr:colOff>
      <xdr:row>10</xdr:row>
      <xdr:rowOff>147600</xdr:rowOff>
    </xdr:from>
    <xdr:to>
      <xdr:col>27</xdr:col>
      <xdr:colOff>170956</xdr:colOff>
      <xdr:row>11</xdr:row>
      <xdr:rowOff>180642</xdr:rowOff>
    </xdr:to>
    <xdr:pic>
      <xdr:nvPicPr>
        <xdr:cNvPr id="19" name="Grafik 18" descr="Akıllı Telefon düz dolguyla">
          <a:extLst>
            <a:ext uri="{FF2B5EF4-FFF2-40B4-BE49-F238E27FC236}">
              <a16:creationId xmlns:a16="http://schemas.microsoft.com/office/drawing/2014/main" id="{62F8933E-BD39-49E5-BFC5-451A7C3B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296021" y="4910100"/>
          <a:ext cx="505210" cy="509292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449640</xdr:rowOff>
    </xdr:from>
    <xdr:to>
      <xdr:col>34</xdr:col>
      <xdr:colOff>0</xdr:colOff>
      <xdr:row>11</xdr:row>
      <xdr:rowOff>86919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Kategori">
              <a:extLst>
                <a:ext uri="{FF2B5EF4-FFF2-40B4-BE49-F238E27FC236}">
                  <a16:creationId xmlns:a16="http://schemas.microsoft.com/office/drawing/2014/main" id="{70188506-29E3-474E-B42F-9CA04A1F90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1543" y="4194326"/>
              <a:ext cx="2503714" cy="1041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25248</xdr:colOff>
      <xdr:row>13</xdr:row>
      <xdr:rowOff>20781</xdr:rowOff>
    </xdr:from>
    <xdr:to>
      <xdr:col>34</xdr:col>
      <xdr:colOff>1</xdr:colOff>
      <xdr:row>18</xdr:row>
      <xdr:rowOff>311726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Ürün Adı">
              <a:extLst>
                <a:ext uri="{FF2B5EF4-FFF2-40B4-BE49-F238E27FC236}">
                  <a16:creationId xmlns:a16="http://schemas.microsoft.com/office/drawing/2014/main" id="{814027DA-5EFC-406F-81F1-8003CDB94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ı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6791" y="6105895"/>
              <a:ext cx="2478467" cy="2631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0</xdr:colOff>
      <xdr:row>3</xdr:row>
      <xdr:rowOff>377537</xdr:rowOff>
    </xdr:from>
    <xdr:to>
      <xdr:col>34</xdr:col>
      <xdr:colOff>0</xdr:colOff>
      <xdr:row>6</xdr:row>
      <xdr:rowOff>412173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Ay">
              <a:extLst>
                <a:ext uri="{FF2B5EF4-FFF2-40B4-BE49-F238E27FC236}">
                  <a16:creationId xmlns:a16="http://schemas.microsoft.com/office/drawing/2014/main" id="{06A6AC04-8E2D-4CD1-8067-C0919C7A60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1543" y="1781794"/>
              <a:ext cx="2503714" cy="1438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28</xdr:col>
      <xdr:colOff>473075</xdr:colOff>
      <xdr:row>2</xdr:row>
      <xdr:rowOff>438398</xdr:rowOff>
    </xdr:from>
    <xdr:to>
      <xdr:col>34</xdr:col>
      <xdr:colOff>81065</xdr:colOff>
      <xdr:row>3</xdr:row>
      <xdr:rowOff>394854</xdr:rowOff>
    </xdr:to>
    <xdr:sp macro="" textlink="">
      <xdr:nvSpPr>
        <xdr:cNvPr id="23" name="Metin kutusu 22">
          <a:extLst>
            <a:ext uri="{FF2B5EF4-FFF2-40B4-BE49-F238E27FC236}">
              <a16:creationId xmlns:a16="http://schemas.microsoft.com/office/drawing/2014/main" id="{68C117B6-4B8D-47B0-B473-4D0CA084A91F}"/>
            </a:ext>
          </a:extLst>
        </xdr:cNvPr>
        <xdr:cNvSpPr txBox="1"/>
      </xdr:nvSpPr>
      <xdr:spPr>
        <a:xfrm>
          <a:off x="14608175" y="1390898"/>
          <a:ext cx="2636940" cy="43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/>
              <a:cs typeface="Segoe UI"/>
            </a:rPr>
            <a:t>|</a:t>
          </a:r>
          <a:r>
            <a:rPr lang="tr-TR" sz="14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Segoe UI"/>
              <a:cs typeface="Segoe UI"/>
            </a:rPr>
            <a:t> Aylar</a:t>
          </a:r>
          <a:endParaRPr lang="en-US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29</xdr:col>
      <xdr:colOff>0</xdr:colOff>
      <xdr:row>8</xdr:row>
      <xdr:rowOff>0</xdr:rowOff>
    </xdr:from>
    <xdr:to>
      <xdr:col>34</xdr:col>
      <xdr:colOff>112815</xdr:colOff>
      <xdr:row>8</xdr:row>
      <xdr:rowOff>432706</xdr:rowOff>
    </xdr:to>
    <xdr:sp macro="" textlink="">
      <xdr:nvSpPr>
        <xdr:cNvPr id="24" name="Metin kutusu 23">
          <a:extLst>
            <a:ext uri="{FF2B5EF4-FFF2-40B4-BE49-F238E27FC236}">
              <a16:creationId xmlns:a16="http://schemas.microsoft.com/office/drawing/2014/main" id="{B2F0D1A0-74B6-447E-8ACA-C59835C378FA}"/>
            </a:ext>
          </a:extLst>
        </xdr:cNvPr>
        <xdr:cNvSpPr txBox="1"/>
      </xdr:nvSpPr>
      <xdr:spPr>
        <a:xfrm>
          <a:off x="14639925" y="3810000"/>
          <a:ext cx="2636940" cy="43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tr-TR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/>
              <a:ea typeface="+mn-ea"/>
              <a:cs typeface="Segoe UI"/>
            </a:rPr>
            <a:t>| Markalar</a:t>
          </a:r>
          <a:endParaRPr lang="en-US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29</xdr:col>
      <xdr:colOff>0</xdr:colOff>
      <xdr:row>12</xdr:row>
      <xdr:rowOff>0</xdr:rowOff>
    </xdr:from>
    <xdr:to>
      <xdr:col>34</xdr:col>
      <xdr:colOff>112815</xdr:colOff>
      <xdr:row>12</xdr:row>
      <xdr:rowOff>427511</xdr:rowOff>
    </xdr:to>
    <xdr:sp macro="" textlink="">
      <xdr:nvSpPr>
        <xdr:cNvPr id="25" name="Metin kutusu 24">
          <a:extLst>
            <a:ext uri="{FF2B5EF4-FFF2-40B4-BE49-F238E27FC236}">
              <a16:creationId xmlns:a16="http://schemas.microsoft.com/office/drawing/2014/main" id="{FAC23B56-5201-4B2E-87AE-2397604E3A26}"/>
            </a:ext>
          </a:extLst>
        </xdr:cNvPr>
        <xdr:cNvSpPr txBox="1"/>
      </xdr:nvSpPr>
      <xdr:spPr>
        <a:xfrm>
          <a:off x="14639925" y="5715000"/>
          <a:ext cx="2636940" cy="427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tr-TR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/>
              <a:ea typeface="+mn-ea"/>
              <a:cs typeface="Segoe UI"/>
            </a:rPr>
            <a:t>| Ürünler</a:t>
          </a:r>
          <a:endParaRPr lang="en-US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</xdr:col>
      <xdr:colOff>112986</xdr:colOff>
      <xdr:row>0</xdr:row>
      <xdr:rowOff>0</xdr:rowOff>
    </xdr:from>
    <xdr:to>
      <xdr:col>35</xdr:col>
      <xdr:colOff>36786</xdr:colOff>
      <xdr:row>2</xdr:row>
      <xdr:rowOff>241300</xdr:rowOff>
    </xdr:to>
    <xdr:sp macro="" textlink="">
      <xdr:nvSpPr>
        <xdr:cNvPr id="26" name="Metin kutusu 25">
          <a:extLst>
            <a:ext uri="{FF2B5EF4-FFF2-40B4-BE49-F238E27FC236}">
              <a16:creationId xmlns:a16="http://schemas.microsoft.com/office/drawing/2014/main" id="{658D46B6-0EF8-4725-907A-FA7C4FC7A1B9}"/>
            </a:ext>
          </a:extLst>
        </xdr:cNvPr>
        <xdr:cNvSpPr txBox="1"/>
      </xdr:nvSpPr>
      <xdr:spPr>
        <a:xfrm>
          <a:off x="1121979" y="0"/>
          <a:ext cx="17076683" cy="1187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tr-TR" sz="48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/>
              <a:cs typeface="Segoe UI"/>
            </a:rPr>
            <a:t>SİPARİŞ DETAYLARI DASHBOARD</a:t>
          </a:r>
          <a:endParaRPr lang="en-US" sz="4800" b="1" i="0" u="none" strike="noStrike">
            <a:solidFill>
              <a:schemeClr val="tx1">
                <a:lumMod val="75000"/>
                <a:lumOff val="25000"/>
              </a:schemeClr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</xdr:col>
      <xdr:colOff>10511</xdr:colOff>
      <xdr:row>0</xdr:row>
      <xdr:rowOff>315310</xdr:rowOff>
    </xdr:from>
    <xdr:to>
      <xdr:col>1</xdr:col>
      <xdr:colOff>10511</xdr:colOff>
      <xdr:row>1</xdr:row>
      <xdr:rowOff>409903</xdr:rowOff>
    </xdr:to>
    <xdr:cxnSp macro="">
      <xdr:nvCxnSpPr>
        <xdr:cNvPr id="28" name="Düz Bağlayıcı 27">
          <a:extLst>
            <a:ext uri="{FF2B5EF4-FFF2-40B4-BE49-F238E27FC236}">
              <a16:creationId xmlns:a16="http://schemas.microsoft.com/office/drawing/2014/main" id="{B0F019C7-B06F-4EE6-8192-688BF4F04AA4}"/>
            </a:ext>
          </a:extLst>
        </xdr:cNvPr>
        <xdr:cNvCxnSpPr/>
      </xdr:nvCxnSpPr>
      <xdr:spPr>
        <a:xfrm>
          <a:off x="1019504" y="315310"/>
          <a:ext cx="0" cy="567559"/>
        </a:xfrm>
        <a:prstGeom prst="line">
          <a:avLst/>
        </a:prstGeom>
        <a:ln w="571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516835</xdr:colOff>
      <xdr:row>1</xdr:row>
      <xdr:rowOff>62946</xdr:rowOff>
    </xdr:from>
    <xdr:to>
      <xdr:col>9</xdr:col>
      <xdr:colOff>510211</xdr:colOff>
      <xdr:row>21</xdr:row>
      <xdr:rowOff>19879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2E57D1A8-2EF5-4CE7-9F52-2007C0664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76199</xdr:rowOff>
    </xdr:from>
    <xdr:to>
      <xdr:col>8</xdr:col>
      <xdr:colOff>235226</xdr:colOff>
      <xdr:row>15</xdr:row>
      <xdr:rowOff>62947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D749E6C-24C4-430F-9D92-0F2D082C5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304799</xdr:colOff>
      <xdr:row>1</xdr:row>
      <xdr:rowOff>110358</xdr:rowOff>
    </xdr:from>
    <xdr:to>
      <xdr:col>5</xdr:col>
      <xdr:colOff>662151</xdr:colOff>
      <xdr:row>13</xdr:row>
      <xdr:rowOff>73572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C31BF02F-A6C4-40EE-A9E9-AA1B4B798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ğlu" refreshedDate="44595.700100694441" createdVersion="7" refreshedVersion="7" minRefreshableVersion="3" recordCount="13" xr:uid="{8B948642-D2AE-4B6C-8836-44A5488E29B4}">
  <cacheSource type="worksheet">
    <worksheetSource name="Tbl_Ürünler"/>
  </cacheSource>
  <cacheFields count="11">
    <cacheField name="Kategori-Ürün" numFmtId="0">
      <sharedItems/>
    </cacheField>
    <cacheField name="No" numFmtId="0">
      <sharedItems containsSemiMixedTypes="0" containsString="0" containsNumber="1" containsInteger="1" minValue="1" maxValue="13"/>
    </cacheField>
    <cacheField name="Kategori" numFmtId="0">
      <sharedItems containsBlank="1" count="6">
        <s v="Apple"/>
        <s v="Samsung"/>
        <s v="Xiaomi"/>
        <s v="Huawei"/>
        <m u="1"/>
        <s v="One" u="1"/>
      </sharedItems>
    </cacheField>
    <cacheField name="Ürün Adı" numFmtId="0">
      <sharedItems containsBlank="1" count="15">
        <s v="iphone 11"/>
        <s v="iphone 12"/>
        <s v="iphone 13"/>
        <s v="iphone 13 pro"/>
        <s v="Galaxy Note20"/>
        <s v="Galaxy S21"/>
        <s v="Galaxy S21 +"/>
        <s v="Redmi Note 10 Lite"/>
        <s v="Redmi Note 10 Pro"/>
        <s v="Galaxy A32"/>
        <s v="P30 Lite"/>
        <s v="Nova 9"/>
        <s v="P20 Lite"/>
        <m u="1"/>
        <s v="One telefon" u="1"/>
      </sharedItems>
    </cacheField>
    <cacheField name="Renk" numFmtId="0">
      <sharedItems/>
    </cacheField>
    <cacheField name="Hafıza" numFmtId="0">
      <sharedItems/>
    </cacheField>
    <cacheField name="Bellek" numFmtId="0">
      <sharedItems/>
    </cacheField>
    <cacheField name="Alış Fiyatı" numFmtId="8">
      <sharedItems containsSemiMixedTypes="0" containsString="0" containsNumber="1" containsInteger="1" minValue="3996" maxValue="13500"/>
    </cacheField>
    <cacheField name="Kargo Fiyatı" numFmtId="8">
      <sharedItems containsSemiMixedTypes="0" containsString="0" containsNumber="1" containsInteger="1" minValue="10" maxValue="30"/>
    </cacheField>
    <cacheField name="Kâr Oranı" numFmtId="9">
      <sharedItems containsSemiMixedTypes="0" containsString="0" containsNumber="1" minValue="0.01" maxValue="0.08"/>
    </cacheField>
    <cacheField name="Birim Satış Fiyatı" numFmtId="8">
      <sharedItems containsSemiMixedTypes="0" containsString="0" containsNumber="1" minValue="4141.63" maxValue="140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ğlu" refreshedDate="44595.700101504626" createdVersion="7" refreshedVersion="7" minRefreshableVersion="3" recordCount="747" xr:uid="{387F164A-C9D5-498B-B3F6-DCFE2A6119C0}">
  <cacheSource type="worksheet">
    <worksheetSource name="Tbl_Siparişler"/>
  </cacheSource>
  <cacheFields count="10">
    <cacheField name="Haftalar" numFmtId="0">
      <sharedItems containsSemiMixedTypes="0" containsString="0" containsNumber="1" containsInteger="1" minValue="1" maxValue="53" count="53">
        <n v="11"/>
        <n v="40"/>
        <n v="35"/>
        <n v="39"/>
        <n v="28"/>
        <n v="23"/>
        <n v="44"/>
        <n v="16"/>
        <n v="48"/>
        <n v="37"/>
        <n v="29"/>
        <n v="15"/>
        <n v="5"/>
        <n v="14"/>
        <n v="13"/>
        <n v="50"/>
        <n v="43"/>
        <n v="22"/>
        <n v="45"/>
        <n v="25"/>
        <n v="34"/>
        <n v="8"/>
        <n v="3"/>
        <n v="1"/>
        <n v="10"/>
        <n v="32"/>
        <n v="21"/>
        <n v="20"/>
        <n v="33"/>
        <n v="42"/>
        <n v="30"/>
        <n v="2"/>
        <n v="38"/>
        <n v="41"/>
        <n v="24"/>
        <n v="4"/>
        <n v="31"/>
        <n v="12"/>
        <n v="49"/>
        <n v="46"/>
        <n v="6"/>
        <n v="51"/>
        <n v="26"/>
        <n v="9"/>
        <n v="27"/>
        <n v="52"/>
        <n v="18"/>
        <n v="47"/>
        <n v="19"/>
        <n v="53"/>
        <n v="7"/>
        <n v="17"/>
        <n v="36"/>
      </sharedItems>
    </cacheField>
    <cacheField name="Sipariş Alınan Tarih" numFmtId="14">
      <sharedItems containsSemiMixedTypes="0" containsNonDate="0" containsDate="1" containsString="0" minDate="2021-01-01T00:00:00" maxDate="2021-12-29T00:00:00" count="288">
        <d v="2021-03-11T00:00:00"/>
        <d v="2021-09-27T00:00:00"/>
        <d v="2021-08-25T00:00:00"/>
        <d v="2021-09-19T00:00:00"/>
        <d v="2021-09-20T00:00:00"/>
        <d v="2021-07-09T00:00:00"/>
        <d v="2021-10-02T00:00:00"/>
        <d v="2021-03-08T00:00:00"/>
        <d v="2021-06-03T00:00:00"/>
        <d v="2021-10-26T00:00:00"/>
        <d v="2021-04-14T00:00:00"/>
        <d v="2021-11-22T00:00:00"/>
        <d v="2021-09-07T00:00:00"/>
        <d v="2021-07-14T00:00:00"/>
        <d v="2021-04-04T00:00:00"/>
        <d v="2021-07-16T00:00:00"/>
        <d v="2021-04-15T00:00:00"/>
        <d v="2021-04-12T00:00:00"/>
        <d v="2021-01-24T00:00:00"/>
        <d v="2021-07-11T00:00:00"/>
        <d v="2021-09-23T00:00:00"/>
        <d v="2021-03-28T00:00:00"/>
        <d v="2021-04-11T00:00:00"/>
        <d v="2021-11-26T00:00:00"/>
        <d v="2021-03-24T00:00:00"/>
        <d v="2021-12-11T00:00:00"/>
        <d v="2021-10-19T00:00:00"/>
        <d v="2021-05-26T00:00:00"/>
        <d v="2021-11-03T00:00:00"/>
        <d v="2021-07-08T00:00:00"/>
        <d v="2021-06-15T00:00:00"/>
        <d v="2021-10-18T00:00:00"/>
        <d v="2021-08-20T00:00:00"/>
        <d v="2021-07-15T00:00:00"/>
        <d v="2021-02-17T00:00:00"/>
        <d v="2021-01-14T00:00:00"/>
        <d v="2021-04-16T00:00:00"/>
        <d v="2021-01-01T00:00:00"/>
        <d v="2021-12-08T00:00:00"/>
        <d v="2021-09-26T00:00:00"/>
        <d v="2021-03-05T00:00:00"/>
        <d v="2021-09-21T00:00:00"/>
        <d v="2021-08-02T00:00:00"/>
        <d v="2021-01-10T00:00:00"/>
        <d v="2021-05-19T00:00:00"/>
        <d v="2021-05-27T00:00:00"/>
        <d v="2021-08-27T00:00:00"/>
        <d v="2021-12-10T00:00:00"/>
        <d v="2021-05-10T00:00:00"/>
        <d v="2021-08-08T00:00:00"/>
        <d v="2021-10-14T00:00:00"/>
        <d v="2021-06-04T00:00:00"/>
        <d v="2021-07-23T00:00:00"/>
        <d v="2021-07-07T00:00:00"/>
        <d v="2021-01-05T00:00:00"/>
        <d v="2021-06-18T00:00:00"/>
        <d v="2021-09-15T00:00:00"/>
        <d v="2021-10-06T00:00:00"/>
        <d v="2021-06-12T00:00:00"/>
        <d v="2021-08-21T00:00:00"/>
        <d v="2021-09-06T00:00:00"/>
        <d v="2021-01-23T00:00:00"/>
        <d v="2021-04-17T00:00:00"/>
        <d v="2021-10-12T00:00:00"/>
        <d v="2021-01-26T00:00:00"/>
        <d v="2021-07-26T00:00:00"/>
        <d v="2021-03-02T00:00:00"/>
        <d v="2021-01-06T00:00:00"/>
        <d v="2021-03-20T00:00:00"/>
        <d v="2021-12-04T00:00:00"/>
        <d v="2021-06-14T00:00:00"/>
        <d v="2021-03-16T00:00:00"/>
        <d v="2021-08-19T00:00:00"/>
        <d v="2021-11-11T00:00:00"/>
        <d v="2021-02-05T00:00:00"/>
        <d v="2021-11-06T00:00:00"/>
        <d v="2021-08-07T00:00:00"/>
        <d v="2021-01-20T00:00:00"/>
        <d v="2021-10-17T00:00:00"/>
        <d v="2021-03-01T00:00:00"/>
        <d v="2021-03-04T00:00:00"/>
        <d v="2021-03-25T00:00:00"/>
        <d v="2021-06-02T00:00:00"/>
        <d v="2021-11-08T00:00:00"/>
        <d v="2021-12-16T00:00:00"/>
        <d v="2021-01-02T00:00:00"/>
        <d v="2021-06-25T00:00:00"/>
        <d v="2021-06-08T00:00:00"/>
        <d v="2021-10-11T00:00:00"/>
        <d v="2021-02-04T00:00:00"/>
        <d v="2021-02-25T00:00:00"/>
        <d v="2021-06-07T00:00:00"/>
        <d v="2021-07-04T00:00:00"/>
        <d v="2021-04-02T00:00:00"/>
        <d v="2021-07-02T00:00:00"/>
        <d v="2021-07-21T00:00:00"/>
        <d v="2021-08-09T00:00:00"/>
        <d v="2021-04-13T00:00:00"/>
        <d v="2021-01-16T00:00:00"/>
        <d v="2021-02-06T00:00:00"/>
        <d v="2021-01-13T00:00:00"/>
        <d v="2021-07-06T00:00:00"/>
        <d v="2021-12-25T00:00:00"/>
        <d v="2021-12-06T00:00:00"/>
        <d v="2021-10-27T00:00:00"/>
        <d v="2021-09-14T00:00:00"/>
        <d v="2021-05-13T00:00:00"/>
        <d v="2021-02-14T00:00:00"/>
        <d v="2021-04-27T00:00:00"/>
        <d v="2021-10-21T00:00:00"/>
        <d v="2021-08-10T00:00:00"/>
        <d v="2021-06-20T00:00:00"/>
        <d v="2021-11-27T00:00:00"/>
        <d v="2021-11-14T00:00:00"/>
        <d v="2021-09-09T00:00:00"/>
        <d v="2021-05-05T00:00:00"/>
        <d v="2021-10-01T00:00:00"/>
        <d v="2021-08-06T00:00:00"/>
        <d v="2021-12-28T00:00:00"/>
        <d v="2021-08-14T00:00:00"/>
        <d v="2021-08-23T00:00:00"/>
        <d v="2021-12-27T00:00:00"/>
        <d v="2021-02-28T00:00:00"/>
        <d v="2021-10-16T00:00:00"/>
        <d v="2021-05-17T00:00:00"/>
        <d v="2021-05-25T00:00:00"/>
        <d v="2021-08-26T00:00:00"/>
        <d v="2021-08-12T00:00:00"/>
        <d v="2021-07-25T00:00:00"/>
        <d v="2021-02-01T00:00:00"/>
        <d v="2021-07-20T00:00:00"/>
        <d v="2021-10-03T00:00:00"/>
        <d v="2021-10-08T00:00:00"/>
        <d v="2021-01-12T00:00:00"/>
        <d v="2021-09-11T00:00:00"/>
        <d v="2021-09-25T00:00:00"/>
        <d v="2021-06-28T00:00:00"/>
        <d v="2021-09-16T00:00:00"/>
        <d v="2021-05-21T00:00:00"/>
        <d v="2021-01-17T00:00:00"/>
        <d v="2021-02-26T00:00:00"/>
        <d v="2021-08-03T00:00:00"/>
        <d v="2021-12-13T00:00:00"/>
        <d v="2021-04-06T00:00:00"/>
        <d v="2021-03-21T00:00:00"/>
        <d v="2021-01-18T00:00:00"/>
        <d v="2021-03-14T00:00:00"/>
        <d v="2021-11-18T00:00:00"/>
        <d v="2021-02-24T00:00:00"/>
        <d v="2021-07-22T00:00:00"/>
        <d v="2021-09-10T00:00:00"/>
        <d v="2021-05-15T00:00:00"/>
        <d v="2021-02-23T00:00:00"/>
        <d v="2021-08-15T00:00:00"/>
        <d v="2021-06-01T00:00:00"/>
        <d v="2021-03-07T00:00:00"/>
        <d v="2021-07-28T00:00:00"/>
        <d v="2021-08-16T00:00:00"/>
        <d v="2021-01-19T00:00:00"/>
        <d v="2021-03-17T00:00:00"/>
        <d v="2021-11-13T00:00:00"/>
        <d v="2021-06-10T00:00:00"/>
        <d v="2021-02-13T00:00:00"/>
        <d v="2021-06-21T00:00:00"/>
        <d v="2021-05-06T00:00:00"/>
        <d v="2021-04-20T00:00:00"/>
        <d v="2021-05-09T00:00:00"/>
        <d v="2021-10-10T00:00:00"/>
        <d v="2021-04-25T00:00:00"/>
        <d v="2021-07-03T00:00:00"/>
        <d v="2021-01-22T00:00:00"/>
        <d v="2021-06-27T00:00:00"/>
        <d v="2021-11-04T00:00:00"/>
        <d v="2021-02-22T00:00:00"/>
        <d v="2021-02-18T00:00:00"/>
        <d v="2021-04-03T00:00:00"/>
        <d v="2021-06-05T00:00:00"/>
        <d v="2021-04-19T00:00:00"/>
        <d v="2021-05-07T00:00:00"/>
        <d v="2021-04-24T00:00:00"/>
        <d v="2021-04-23T00:00:00"/>
        <d v="2021-08-05T00:00:00"/>
        <d v="2021-05-18T00:00:00"/>
        <d v="2021-01-27T00:00:00"/>
        <d v="2021-05-03T00:00:00"/>
        <d v="2021-09-13T00:00:00"/>
        <d v="2021-01-07T00:00:00"/>
        <d v="2021-05-20T00:00:00"/>
        <d v="2021-10-24T00:00:00"/>
        <d v="2021-12-23T00:00:00"/>
        <d v="2021-02-27T00:00:00"/>
        <d v="2021-03-03T00:00:00"/>
        <d v="2021-12-02T00:00:00"/>
        <d v="2021-08-22T00:00:00"/>
        <d v="2021-09-03T00:00:00"/>
        <d v="2021-02-08T00:00:00"/>
        <d v="2021-04-09T00:00:00"/>
        <d v="2021-09-17T00:00:00"/>
        <d v="2021-01-25T00:00:00"/>
        <d v="2021-06-11T00:00:00"/>
        <d v="2021-12-21T00:00:00"/>
        <d v="2021-09-04T00:00:00"/>
        <d v="2021-06-17T00:00:00"/>
        <d v="2021-02-21T00:00:00"/>
        <d v="2021-10-05T00:00:00"/>
        <d v="2021-01-09T00:00:00"/>
        <d v="2021-04-08T00:00:00"/>
        <d v="2021-03-26T00:00:00"/>
        <d v="2021-04-18T00:00:00"/>
        <d v="2021-09-12T00:00:00"/>
        <d v="2021-03-10T00:00:00"/>
        <d v="2021-11-28T00:00:00"/>
        <d v="2021-11-01T00:00:00"/>
        <d v="2021-12-18T00:00:00"/>
        <d v="2021-06-26T00:00:00"/>
        <d v="2021-07-24T00:00:00"/>
        <d v="2021-05-24T00:00:00"/>
        <d v="2021-12-26T00:00:00"/>
        <d v="2021-10-09T00:00:00"/>
        <d v="2021-11-07T00:00:00"/>
        <d v="2021-06-06T00:00:00"/>
        <d v="2021-03-19T00:00:00"/>
        <d v="2021-07-12T00:00:00"/>
        <d v="2021-11-21T00:00:00"/>
        <d v="2021-11-19T00:00:00"/>
        <d v="2021-02-12T00:00:00"/>
        <d v="2021-09-24T00:00:00"/>
        <d v="2021-05-22T00:00:00"/>
        <d v="2021-04-22T00:00:00"/>
        <d v="2021-02-16T00:00:00"/>
        <d v="2021-05-08T00:00:00"/>
        <d v="2021-04-01T00:00:00"/>
        <d v="2021-12-22T00:00:00"/>
        <d v="2021-12-07T00:00:00"/>
        <d v="2021-01-11T00:00:00"/>
        <d v="2021-01-21T00:00:00"/>
        <d v="2021-08-13T00:00:00"/>
        <d v="2021-03-23T00:00:00"/>
        <d v="2021-07-18T00:00:00"/>
        <d v="2021-05-16T00:00:00"/>
        <d v="2021-03-13T00:00:00"/>
        <d v="2021-08-24T00:00:00"/>
        <d v="2021-02-02T00:00:00"/>
        <d v="2021-08-11T00:00:00"/>
        <d v="2021-04-07T00:00:00"/>
        <d v="2021-07-19T00:00:00"/>
        <d v="2021-01-08T00:00:00"/>
        <d v="2021-03-09T00:00:00"/>
        <d v="2021-06-23T00:00:00"/>
        <d v="2021-10-15T00:00:00"/>
        <d v="2021-02-09T00:00:00"/>
        <d v="2021-09-05T00:00:00"/>
        <d v="2021-12-05T00:00:00"/>
        <d v="2021-12-20T00:00:00"/>
        <d v="2021-12-24T00:00:00"/>
        <d v="2021-10-25T00:00:00"/>
        <d v="2021-12-19T00:00:00"/>
        <d v="2021-11-20T00:00:00"/>
        <d v="2021-05-11T00:00:00"/>
        <d v="2021-03-15T00:00:00"/>
        <d v="2021-05-04T00:00:00"/>
        <d v="2021-11-15T00:00:00"/>
        <d v="2021-11-10T00:00:00"/>
        <d v="2021-10-13T00:00:00"/>
        <d v="2021-06-22T00:00:00"/>
        <d v="2021-01-28T00:00:00"/>
        <d v="2021-04-05T00:00:00"/>
        <d v="2021-12-03T00:00:00"/>
        <d v="2021-12-15T00:00:00"/>
        <d v="2021-09-02T00:00:00"/>
        <d v="2021-12-14T00:00:00"/>
        <d v="2021-01-15T00:00:00"/>
        <d v="2021-01-03T00:00:00"/>
        <d v="2021-08-04T00:00:00"/>
        <d v="2021-10-23T00:00:00"/>
        <d v="2021-04-28T00:00:00"/>
        <d v="2021-01-04T00:00:00"/>
        <d v="2021-11-09T00:00:00"/>
        <d v="2021-05-12T00:00:00"/>
        <d v="2021-02-11T00:00:00"/>
        <d v="2021-11-12T00:00:00"/>
        <d v="2021-08-28T00:00:00"/>
        <d v="2021-06-13T00:00:00"/>
        <d v="2021-05-28T00:00:00"/>
        <d v="2021-02-03T00:00:00"/>
        <d v="2021-10-07T00:00:00"/>
        <d v="2021-08-17T00:00:00"/>
        <d v="2021-06-19T00:00:00"/>
      </sharedItems>
      <fieldGroup par="9" base="1">
        <rangePr groupBy="days" startDate="2021-01-01T00:00:00" endDate="2021-12-29T00:00:00"/>
        <groupItems count="368">
          <s v="&lt;1.01.2021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9.12.2021"/>
        </groupItems>
      </fieldGroup>
    </cacheField>
    <cacheField name="Durum" numFmtId="0">
      <sharedItems/>
    </cacheField>
    <cacheField name="Kargo Takip No" numFmtId="0">
      <sharedItems containsSemiMixedTypes="0" containsString="0" containsNumber="1" containsInteger="1" minValue="10010" maxValue="99995"/>
    </cacheField>
    <cacheField name="Müşteri" numFmtId="0">
      <sharedItems/>
    </cacheField>
    <cacheField name="Kategori" numFmtId="0">
      <sharedItems count="4">
        <s v="Samsung"/>
        <s v="Huawei"/>
        <s v="Xiaomi"/>
        <s v="Apple"/>
      </sharedItems>
    </cacheField>
    <cacheField name="Ürün Adı" numFmtId="0">
      <sharedItems count="13">
        <s v="Galaxy A32"/>
        <s v="P30 Lite"/>
        <s v="Redmi Note 10 Pro"/>
        <s v="Galaxy S21 +"/>
        <s v="Galaxy Note20"/>
        <s v="Redmi Note 10 Lite"/>
        <s v="P20 Lite"/>
        <s v="iphone 13"/>
        <s v="Nova 9"/>
        <s v="iphone 11"/>
        <s v="iphone 13 pro"/>
        <s v="Galaxy S21"/>
        <s v="iphone 12"/>
      </sharedItems>
    </cacheField>
    <cacheField name="Adet" numFmtId="0">
      <sharedItems containsSemiMixedTypes="0" containsString="0" containsNumber="1" containsInteger="1" minValue="1" maxValue="5"/>
    </cacheField>
    <cacheField name="Genel Tutar" numFmtId="8">
      <sharedItems containsSemiMixedTypes="0" containsString="0" containsNumber="1" minValue="4141.63" maxValue="70330"/>
    </cacheField>
    <cacheField name="Ay" numFmtId="0" databaseField="0">
      <fieldGroup base="1">
        <rangePr groupBy="months" startDate="2021-01-01T00:00:00" endDate="2021-12-29T00:00:00"/>
        <groupItems count="14">
          <s v="&lt;1.01.2021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9.12.2021"/>
        </groupItems>
      </fieldGroup>
    </cacheField>
  </cacheFields>
  <extLst>
    <ext xmlns:x14="http://schemas.microsoft.com/office/spreadsheetml/2009/9/main" uri="{725AE2AE-9491-48be-B2B4-4EB974FC3084}">
      <x14:pivotCacheDefinition pivotCacheId="16842904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Apple-iphone 11"/>
    <n v="1"/>
    <x v="0"/>
    <x v="0"/>
    <s v="Beyaz"/>
    <s v="128 GB"/>
    <s v="4 GB"/>
    <n v="8500"/>
    <n v="15"/>
    <n v="0.02"/>
    <n v="8685.2999999999993"/>
  </r>
  <r>
    <s v="Apple-iphone 12"/>
    <n v="2"/>
    <x v="0"/>
    <x v="1"/>
    <s v="Siyah"/>
    <s v="256 GB"/>
    <s v="8 GB"/>
    <n v="9500"/>
    <n v="15"/>
    <n v="0.03"/>
    <n v="9800.4500000000007"/>
  </r>
  <r>
    <s v="Apple-iphone 13"/>
    <n v="3"/>
    <x v="0"/>
    <x v="2"/>
    <s v="Mavi"/>
    <s v="64 GB"/>
    <s v="2 GB"/>
    <n v="12000"/>
    <n v="20"/>
    <n v="0.05"/>
    <n v="12621"/>
  </r>
  <r>
    <s v="Apple-iphone 13 pro"/>
    <n v="4"/>
    <x v="0"/>
    <x v="3"/>
    <s v="Beyaz"/>
    <s v="128 GB"/>
    <s v="6 GB"/>
    <n v="13500"/>
    <n v="25"/>
    <n v="0.04"/>
    <n v="14066"/>
  </r>
  <r>
    <s v="Samsung-Galaxy Note20"/>
    <n v="5"/>
    <x v="1"/>
    <x v="4"/>
    <s v="Gümüş"/>
    <s v="256 GB"/>
    <s v="8 GB"/>
    <n v="8400"/>
    <n v="10"/>
    <n v="0.06"/>
    <n v="8914.6"/>
  </r>
  <r>
    <s v="Samsung-Galaxy S21"/>
    <n v="6"/>
    <x v="1"/>
    <x v="5"/>
    <s v="Siyah"/>
    <s v="512 GB"/>
    <s v="4 GB"/>
    <n v="9460"/>
    <n v="10"/>
    <n v="0.02"/>
    <n v="9659.4"/>
  </r>
  <r>
    <s v="Samsung-Galaxy S21 +"/>
    <n v="7"/>
    <x v="1"/>
    <x v="6"/>
    <s v="Beyaz"/>
    <s v="32 GB"/>
    <s v="4 GB"/>
    <n v="12340"/>
    <n v="15"/>
    <n v="0.08"/>
    <n v="13343.400000000001"/>
  </r>
  <r>
    <s v="Xiaomi-Redmi Note 10 Lite"/>
    <n v="8"/>
    <x v="2"/>
    <x v="7"/>
    <s v="Mavi"/>
    <s v="64 GB"/>
    <s v="2 GB"/>
    <n v="7650"/>
    <n v="20"/>
    <n v="0.05"/>
    <n v="8053.5"/>
  </r>
  <r>
    <s v="Xiaomi-Redmi Note 10 Pro"/>
    <n v="9"/>
    <x v="2"/>
    <x v="8"/>
    <s v="Mavi"/>
    <s v="64 GB"/>
    <s v="6 GB"/>
    <n v="9450"/>
    <n v="25"/>
    <n v="0.01"/>
    <n v="9569.75"/>
  </r>
  <r>
    <s v="Samsung-Galaxy A32"/>
    <n v="10"/>
    <x v="1"/>
    <x v="9"/>
    <s v="Gümüş"/>
    <s v="16 GB"/>
    <s v="4 GB"/>
    <n v="6250"/>
    <n v="20"/>
    <n v="0.03"/>
    <n v="6458.1"/>
  </r>
  <r>
    <s v="Huawei-P30 Lite"/>
    <n v="11"/>
    <x v="3"/>
    <x v="10"/>
    <s v="Siyah"/>
    <s v="128 GB"/>
    <s v="4 GB"/>
    <n v="3996"/>
    <n v="25"/>
    <n v="0.03"/>
    <n v="4141.63"/>
  </r>
  <r>
    <s v="Huawei-Nova 9"/>
    <n v="12"/>
    <x v="3"/>
    <x v="11"/>
    <s v="Gümüş"/>
    <s v="128 GB"/>
    <s v="2GB"/>
    <n v="8850"/>
    <n v="30"/>
    <n v="0.04"/>
    <n v="9235.2000000000007"/>
  </r>
  <r>
    <s v="Huawei-P20 Lite"/>
    <n v="13"/>
    <x v="3"/>
    <x v="12"/>
    <s v="Beyaz"/>
    <s v="256 GB"/>
    <s v="4 GB"/>
    <n v="5600"/>
    <n v="25"/>
    <n v="0.06"/>
    <n v="596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">
  <r>
    <x v="0"/>
    <x v="0"/>
    <s v="Ürün Stokta Yok"/>
    <n v="11856"/>
    <s v="1004-Mürşit Doğan-Ankara"/>
    <x v="0"/>
    <x v="0"/>
    <n v="1"/>
    <n v="6458.1"/>
  </r>
  <r>
    <x v="1"/>
    <x v="1"/>
    <s v="Beklemede"/>
    <n v="57983"/>
    <s v="1005-Özge Sarıca Darol-Antalya"/>
    <x v="1"/>
    <x v="1"/>
    <n v="1"/>
    <n v="4141.63"/>
  </r>
  <r>
    <x v="2"/>
    <x v="2"/>
    <s v="Paketlemede"/>
    <n v="41868"/>
    <s v="1008-Nizamettin Uyar-Ankara"/>
    <x v="2"/>
    <x v="2"/>
    <n v="1"/>
    <n v="9569.75"/>
  </r>
  <r>
    <x v="3"/>
    <x v="3"/>
    <s v="Ödeme Alındı"/>
    <n v="27450"/>
    <s v="1008-Nizamettin Uyar-Ankara"/>
    <x v="0"/>
    <x v="3"/>
    <n v="1"/>
    <n v="13343.400000000001"/>
  </r>
  <r>
    <x v="3"/>
    <x v="4"/>
    <s v="Kargoya Verildi"/>
    <n v="61927"/>
    <s v="1007-Mustafa Gürhan Özdemir-Ankara"/>
    <x v="1"/>
    <x v="1"/>
    <n v="4"/>
    <n v="16566.52"/>
  </r>
  <r>
    <x v="4"/>
    <x v="5"/>
    <s v="Beklemede"/>
    <n v="21103"/>
    <s v="1010-Aykut Al-Ankara"/>
    <x v="0"/>
    <x v="4"/>
    <n v="1"/>
    <n v="8914.6"/>
  </r>
  <r>
    <x v="1"/>
    <x v="6"/>
    <s v="İade edildi"/>
    <n v="14645"/>
    <s v="1012-Ahmet Yalçın-İstanbul"/>
    <x v="2"/>
    <x v="5"/>
    <n v="3"/>
    <n v="24160.5"/>
  </r>
  <r>
    <x v="0"/>
    <x v="7"/>
    <s v="Beklemede"/>
    <n v="33531"/>
    <s v="1003-İlknur Akgül-İstanbul"/>
    <x v="2"/>
    <x v="2"/>
    <n v="1"/>
    <n v="9569.75"/>
  </r>
  <r>
    <x v="5"/>
    <x v="8"/>
    <s v="Ödeme Alındı"/>
    <n v="19785"/>
    <s v="1009-Erhan Demirkol-Gaziantep"/>
    <x v="2"/>
    <x v="5"/>
    <n v="1"/>
    <n v="8053.5"/>
  </r>
  <r>
    <x v="6"/>
    <x v="9"/>
    <s v="Ürün Stokta Yok"/>
    <n v="97258"/>
    <s v="1001-Feza Gürdal-Eskişehir"/>
    <x v="0"/>
    <x v="4"/>
    <n v="1"/>
    <n v="8914.6"/>
  </r>
  <r>
    <x v="7"/>
    <x v="10"/>
    <s v="İade edildi"/>
    <n v="12731"/>
    <s v="1010-Aykut Al-Ankara"/>
    <x v="2"/>
    <x v="2"/>
    <n v="5"/>
    <n v="47848.75"/>
  </r>
  <r>
    <x v="8"/>
    <x v="11"/>
    <s v="Paketlemede"/>
    <n v="95890"/>
    <s v="1004-Mürşit Doğan-Ankara"/>
    <x v="2"/>
    <x v="2"/>
    <n v="4"/>
    <n v="38279"/>
  </r>
  <r>
    <x v="9"/>
    <x v="12"/>
    <s v="İade edildi"/>
    <n v="44934"/>
    <s v="1004-Mürşit Doğan-Ankara"/>
    <x v="1"/>
    <x v="6"/>
    <n v="4"/>
    <n v="23850"/>
  </r>
  <r>
    <x v="10"/>
    <x v="13"/>
    <s v="Ürün Stokta Yok"/>
    <n v="15354"/>
    <s v="1010-Aykut Al-Ankara"/>
    <x v="2"/>
    <x v="5"/>
    <n v="1"/>
    <n v="8053.5"/>
  </r>
  <r>
    <x v="11"/>
    <x v="14"/>
    <s v="Ödeme Bekleniyor"/>
    <n v="46591"/>
    <s v="1004-Mürşit Doğan-Ankara"/>
    <x v="1"/>
    <x v="1"/>
    <n v="1"/>
    <n v="4141.63"/>
  </r>
  <r>
    <x v="11"/>
    <x v="14"/>
    <s v="Beklemede"/>
    <n v="67750"/>
    <s v="1004-Mürşit Doğan-Ankara"/>
    <x v="3"/>
    <x v="7"/>
    <n v="3"/>
    <n v="37863"/>
  </r>
  <r>
    <x v="10"/>
    <x v="15"/>
    <s v="İade edildi"/>
    <n v="61503"/>
    <s v="1006-Ali Baymak-Ankara"/>
    <x v="0"/>
    <x v="4"/>
    <n v="2"/>
    <n v="17829.2"/>
  </r>
  <r>
    <x v="7"/>
    <x v="16"/>
    <s v="Ödeme Bekleniyor"/>
    <n v="39321"/>
    <s v="1008-Nizamettin Uyar-Ankara"/>
    <x v="0"/>
    <x v="0"/>
    <n v="4"/>
    <n v="25832.400000000001"/>
  </r>
  <r>
    <x v="7"/>
    <x v="17"/>
    <s v="İade edildi"/>
    <n v="59962"/>
    <s v="1007-Mustafa Gürhan Özdemir-Ankara"/>
    <x v="1"/>
    <x v="8"/>
    <n v="2"/>
    <n v="18470.400000000001"/>
  </r>
  <r>
    <x v="12"/>
    <x v="18"/>
    <s v="Paketlemede"/>
    <n v="77015"/>
    <s v="1002-İnci Yüce-İstanbul"/>
    <x v="0"/>
    <x v="4"/>
    <n v="4"/>
    <n v="35658.400000000001"/>
  </r>
  <r>
    <x v="10"/>
    <x v="19"/>
    <s v="İade edildi"/>
    <n v="36016"/>
    <s v="1008-Nizamettin Uyar-Ankara"/>
    <x v="0"/>
    <x v="4"/>
    <n v="4"/>
    <n v="35658.400000000001"/>
  </r>
  <r>
    <x v="3"/>
    <x v="20"/>
    <s v="Paketlemede"/>
    <n v="86473"/>
    <s v="1002-İnci Yüce-İstanbul"/>
    <x v="3"/>
    <x v="9"/>
    <n v="1"/>
    <n v="8685.2999999999993"/>
  </r>
  <r>
    <x v="13"/>
    <x v="21"/>
    <s v="Ürün Stokta Yok"/>
    <n v="74709"/>
    <s v="1008-Nizamettin Uyar-Ankara"/>
    <x v="3"/>
    <x v="9"/>
    <n v="1"/>
    <n v="8685.2999999999993"/>
  </r>
  <r>
    <x v="7"/>
    <x v="22"/>
    <s v="Ödeme Bekleniyor"/>
    <n v="91931"/>
    <s v="1012-Ahmet Yalçın-İstanbul"/>
    <x v="3"/>
    <x v="10"/>
    <n v="5"/>
    <n v="70330"/>
  </r>
  <r>
    <x v="8"/>
    <x v="23"/>
    <s v="Ödeme Alındı"/>
    <n v="84346"/>
    <s v="1007-Mustafa Gürhan Özdemir-Ankara"/>
    <x v="3"/>
    <x v="9"/>
    <n v="5"/>
    <n v="43426.5"/>
  </r>
  <r>
    <x v="14"/>
    <x v="24"/>
    <s v="Beklemede"/>
    <n v="29047"/>
    <s v="1012-Ahmet Yalçın-İstanbul"/>
    <x v="0"/>
    <x v="4"/>
    <n v="4"/>
    <n v="35658.400000000001"/>
  </r>
  <r>
    <x v="15"/>
    <x v="25"/>
    <s v="Ödeme Alındı"/>
    <n v="40065"/>
    <s v="1003-İlknur Akgül-İstanbul"/>
    <x v="0"/>
    <x v="4"/>
    <n v="2"/>
    <n v="17829.2"/>
  </r>
  <r>
    <x v="16"/>
    <x v="26"/>
    <s v="Kargoya Verildi"/>
    <n v="55822"/>
    <s v="1012-Ahmet Yalçın-İstanbul"/>
    <x v="3"/>
    <x v="10"/>
    <n v="5"/>
    <n v="70330"/>
  </r>
  <r>
    <x v="17"/>
    <x v="27"/>
    <s v="Beklemede"/>
    <n v="49546"/>
    <s v="1003-İlknur Akgül-İstanbul"/>
    <x v="0"/>
    <x v="4"/>
    <n v="5"/>
    <n v="44573"/>
  </r>
  <r>
    <x v="18"/>
    <x v="28"/>
    <s v="İade edildi"/>
    <n v="88330"/>
    <s v="1012-Ahmet Yalçın-İstanbul"/>
    <x v="0"/>
    <x v="4"/>
    <n v="2"/>
    <n v="17829.2"/>
  </r>
  <r>
    <x v="4"/>
    <x v="29"/>
    <s v="Kargoya Verildi"/>
    <n v="39886"/>
    <s v="1011-Tayfur Taşkıran-Ankara"/>
    <x v="1"/>
    <x v="8"/>
    <n v="3"/>
    <n v="27705.600000000002"/>
  </r>
  <r>
    <x v="19"/>
    <x v="30"/>
    <s v="İade edildi"/>
    <n v="81231"/>
    <s v="1012-Ahmet Yalçın-İstanbul"/>
    <x v="0"/>
    <x v="4"/>
    <n v="5"/>
    <n v="44573"/>
  </r>
  <r>
    <x v="16"/>
    <x v="31"/>
    <s v="İade edildi"/>
    <n v="31540"/>
    <s v="1003-İlknur Akgül-İstanbul"/>
    <x v="1"/>
    <x v="8"/>
    <n v="5"/>
    <n v="46176"/>
  </r>
  <r>
    <x v="20"/>
    <x v="32"/>
    <s v="Paketlemede"/>
    <n v="27799"/>
    <s v="1001-Feza Gürdal-Eskişehir"/>
    <x v="1"/>
    <x v="8"/>
    <n v="2"/>
    <n v="18470.400000000001"/>
  </r>
  <r>
    <x v="10"/>
    <x v="33"/>
    <s v="Ödeme Alındı"/>
    <n v="24427"/>
    <s v="1008-Nizamettin Uyar-Ankara"/>
    <x v="0"/>
    <x v="11"/>
    <n v="3"/>
    <n v="28978.199999999997"/>
  </r>
  <r>
    <x v="16"/>
    <x v="31"/>
    <s v="Kargoya Verildi"/>
    <n v="51970"/>
    <s v="1009-Erhan Demirkol-Gaziantep"/>
    <x v="2"/>
    <x v="5"/>
    <n v="5"/>
    <n v="40267.5"/>
  </r>
  <r>
    <x v="21"/>
    <x v="34"/>
    <s v="Ödeme Alındı"/>
    <n v="77072"/>
    <s v="1007-Mustafa Gürhan Özdemir-Ankara"/>
    <x v="0"/>
    <x v="4"/>
    <n v="1"/>
    <n v="8914.6"/>
  </r>
  <r>
    <x v="22"/>
    <x v="35"/>
    <s v="Ödeme Alındı"/>
    <n v="89481"/>
    <s v="1002-İnci Yüce-İstanbul"/>
    <x v="3"/>
    <x v="12"/>
    <n v="5"/>
    <n v="49002.25"/>
  </r>
  <r>
    <x v="7"/>
    <x v="36"/>
    <s v="Ürün Stokta Yok"/>
    <n v="83075"/>
    <s v="1004-Mürşit Doğan-Ankara"/>
    <x v="3"/>
    <x v="7"/>
    <n v="5"/>
    <n v="63105"/>
  </r>
  <r>
    <x v="23"/>
    <x v="37"/>
    <s v="Ürün Stokta Yok"/>
    <n v="21639"/>
    <s v="1001-Feza Gürdal-Eskişehir"/>
    <x v="3"/>
    <x v="12"/>
    <n v="2"/>
    <n v="19600.900000000001"/>
  </r>
  <r>
    <x v="15"/>
    <x v="38"/>
    <s v="Beklemede"/>
    <n v="55235"/>
    <s v="1007-Mustafa Gürhan Özdemir-Ankara"/>
    <x v="2"/>
    <x v="5"/>
    <n v="5"/>
    <n v="40267.5"/>
  </r>
  <r>
    <x v="1"/>
    <x v="39"/>
    <s v="Kargoya Verildi"/>
    <n v="83377"/>
    <s v="1010-Aykut Al-Ankara"/>
    <x v="0"/>
    <x v="11"/>
    <n v="1"/>
    <n v="9659.4"/>
  </r>
  <r>
    <x v="24"/>
    <x v="40"/>
    <s v="Paketlemede"/>
    <n v="34122"/>
    <s v="1007-Mustafa Gürhan Özdemir-Ankara"/>
    <x v="1"/>
    <x v="1"/>
    <n v="5"/>
    <n v="20708.150000000001"/>
  </r>
  <r>
    <x v="3"/>
    <x v="41"/>
    <s v="Paketlemede"/>
    <n v="87095"/>
    <s v="1005-Özge Sarıca Darol-Antalya"/>
    <x v="2"/>
    <x v="5"/>
    <n v="4"/>
    <n v="32214"/>
  </r>
  <r>
    <x v="25"/>
    <x v="42"/>
    <s v="Ödeme Bekleniyor"/>
    <n v="91092"/>
    <s v="1009-Erhan Demirkol-Gaziantep"/>
    <x v="1"/>
    <x v="6"/>
    <n v="4"/>
    <n v="23850"/>
  </r>
  <r>
    <x v="22"/>
    <x v="43"/>
    <s v="Kargoya Verildi"/>
    <n v="42537"/>
    <s v="1010-Aykut Al-Ankara"/>
    <x v="2"/>
    <x v="2"/>
    <n v="3"/>
    <n v="28709.25"/>
  </r>
  <r>
    <x v="26"/>
    <x v="44"/>
    <s v="Kargoya Verildi"/>
    <n v="55344"/>
    <s v="1002-İnci Yüce-İstanbul"/>
    <x v="0"/>
    <x v="4"/>
    <n v="5"/>
    <n v="44573"/>
  </r>
  <r>
    <x v="17"/>
    <x v="45"/>
    <s v="Kargoya Verildi"/>
    <n v="86754"/>
    <s v="1009-Erhan Demirkol-Gaziantep"/>
    <x v="3"/>
    <x v="7"/>
    <n v="4"/>
    <n v="50484"/>
  </r>
  <r>
    <x v="2"/>
    <x v="46"/>
    <s v="Beklemede"/>
    <n v="11944"/>
    <s v="1010-Aykut Al-Ankara"/>
    <x v="2"/>
    <x v="2"/>
    <n v="4"/>
    <n v="38279"/>
  </r>
  <r>
    <x v="15"/>
    <x v="47"/>
    <s v="Ödeme Alındı"/>
    <n v="91812"/>
    <s v="1007-Mustafa Gürhan Özdemir-Ankara"/>
    <x v="1"/>
    <x v="1"/>
    <n v="1"/>
    <n v="4141.63"/>
  </r>
  <r>
    <x v="0"/>
    <x v="0"/>
    <s v="İade edildi"/>
    <n v="21383"/>
    <s v="1012-Ahmet Yalçın-İstanbul"/>
    <x v="1"/>
    <x v="8"/>
    <n v="4"/>
    <n v="36940.800000000003"/>
  </r>
  <r>
    <x v="27"/>
    <x v="48"/>
    <s v="Paketlemede"/>
    <n v="72287"/>
    <s v="1012-Ahmet Yalçın-İstanbul"/>
    <x v="3"/>
    <x v="10"/>
    <n v="3"/>
    <n v="42198"/>
  </r>
  <r>
    <x v="15"/>
    <x v="25"/>
    <s v="Ödeme Alındı"/>
    <n v="25402"/>
    <s v="1011-Tayfur Taşkıran-Ankara"/>
    <x v="1"/>
    <x v="1"/>
    <n v="2"/>
    <n v="8283.26"/>
  </r>
  <r>
    <x v="28"/>
    <x v="49"/>
    <s v="Kargoya Verildi"/>
    <n v="36576"/>
    <s v="1007-Mustafa Gürhan Özdemir-Ankara"/>
    <x v="0"/>
    <x v="0"/>
    <n v="3"/>
    <n v="19374.300000000003"/>
  </r>
  <r>
    <x v="29"/>
    <x v="50"/>
    <s v="Ürün Stokta Yok"/>
    <n v="95432"/>
    <s v="1008-Nizamettin Uyar-Ankara"/>
    <x v="1"/>
    <x v="6"/>
    <n v="2"/>
    <n v="11925"/>
  </r>
  <r>
    <x v="5"/>
    <x v="51"/>
    <s v="Ödeme Alındı"/>
    <n v="15298"/>
    <s v="1010-Aykut Al-Ankara"/>
    <x v="0"/>
    <x v="3"/>
    <n v="2"/>
    <n v="26686.800000000003"/>
  </r>
  <r>
    <x v="30"/>
    <x v="52"/>
    <s v="Beklemede"/>
    <n v="62926"/>
    <s v="1003-İlknur Akgül-İstanbul"/>
    <x v="2"/>
    <x v="5"/>
    <n v="3"/>
    <n v="24160.5"/>
  </r>
  <r>
    <x v="4"/>
    <x v="53"/>
    <s v="Ödeme Bekleniyor"/>
    <n v="84622"/>
    <s v="1001-Feza Gürdal-Eskişehir"/>
    <x v="1"/>
    <x v="8"/>
    <n v="1"/>
    <n v="9235.2000000000007"/>
  </r>
  <r>
    <x v="31"/>
    <x v="54"/>
    <s v="Kargoya Verildi"/>
    <n v="79773"/>
    <s v="1008-Nizamettin Uyar-Ankara"/>
    <x v="1"/>
    <x v="6"/>
    <n v="5"/>
    <n v="29812.5"/>
  </r>
  <r>
    <x v="19"/>
    <x v="55"/>
    <s v="Ödeme Bekleniyor"/>
    <n v="23525"/>
    <s v="1004-Mürşit Doğan-Ankara"/>
    <x v="2"/>
    <x v="5"/>
    <n v="1"/>
    <n v="8053.5"/>
  </r>
  <r>
    <x v="32"/>
    <x v="56"/>
    <s v="Ödeme Alındı"/>
    <n v="47953"/>
    <s v="1005-Özge Sarıca Darol-Antalya"/>
    <x v="2"/>
    <x v="2"/>
    <n v="5"/>
    <n v="47848.75"/>
  </r>
  <r>
    <x v="21"/>
    <x v="34"/>
    <s v="Beklemede"/>
    <n v="12780"/>
    <s v="1001-Feza Gürdal-Eskişehir"/>
    <x v="0"/>
    <x v="11"/>
    <n v="2"/>
    <n v="19318.8"/>
  </r>
  <r>
    <x v="33"/>
    <x v="57"/>
    <s v="Kargoya Verildi"/>
    <n v="62534"/>
    <s v="1001-Feza Gürdal-Eskişehir"/>
    <x v="1"/>
    <x v="1"/>
    <n v="4"/>
    <n v="16566.52"/>
  </r>
  <r>
    <x v="34"/>
    <x v="58"/>
    <s v="Kargoya Verildi"/>
    <n v="82912"/>
    <s v="1010-Aykut Al-Ankara"/>
    <x v="0"/>
    <x v="11"/>
    <n v="3"/>
    <n v="28978.199999999997"/>
  </r>
  <r>
    <x v="20"/>
    <x v="59"/>
    <s v="İade edildi"/>
    <n v="85935"/>
    <s v="1001-Feza Gürdal-Eskişehir"/>
    <x v="0"/>
    <x v="11"/>
    <n v="4"/>
    <n v="38637.599999999999"/>
  </r>
  <r>
    <x v="9"/>
    <x v="60"/>
    <s v="Beklemede"/>
    <n v="83404"/>
    <s v="1011-Tayfur Taşkıran-Ankara"/>
    <x v="3"/>
    <x v="7"/>
    <n v="1"/>
    <n v="12621"/>
  </r>
  <r>
    <x v="35"/>
    <x v="61"/>
    <s v="Beklemede"/>
    <n v="40112"/>
    <s v="1010-Aykut Al-Ankara"/>
    <x v="3"/>
    <x v="9"/>
    <n v="4"/>
    <n v="34741.199999999997"/>
  </r>
  <r>
    <x v="7"/>
    <x v="62"/>
    <s v="Paketlemede"/>
    <n v="87124"/>
    <s v="1009-Erhan Demirkol-Gaziantep"/>
    <x v="1"/>
    <x v="8"/>
    <n v="3"/>
    <n v="27705.600000000002"/>
  </r>
  <r>
    <x v="4"/>
    <x v="5"/>
    <s v="İade edildi"/>
    <n v="15736"/>
    <s v="1003-İlknur Akgül-İstanbul"/>
    <x v="1"/>
    <x v="1"/>
    <n v="2"/>
    <n v="8283.26"/>
  </r>
  <r>
    <x v="29"/>
    <x v="63"/>
    <s v="Ödeme Bekleniyor"/>
    <n v="67121"/>
    <s v="1004-Mürşit Doğan-Ankara"/>
    <x v="1"/>
    <x v="6"/>
    <n v="5"/>
    <n v="29812.5"/>
  </r>
  <r>
    <x v="12"/>
    <x v="64"/>
    <s v="Beklemede"/>
    <n v="78672"/>
    <s v="1003-İlknur Akgül-İstanbul"/>
    <x v="2"/>
    <x v="2"/>
    <n v="1"/>
    <n v="9569.75"/>
  </r>
  <r>
    <x v="36"/>
    <x v="65"/>
    <s v="Paketlemede"/>
    <n v="89477"/>
    <s v="1012-Ahmet Yalçın-İstanbul"/>
    <x v="1"/>
    <x v="6"/>
    <n v="2"/>
    <n v="11925"/>
  </r>
  <r>
    <x v="18"/>
    <x v="28"/>
    <s v="Ödeme Alındı"/>
    <n v="88185"/>
    <s v="1002-İnci Yüce-İstanbul"/>
    <x v="1"/>
    <x v="6"/>
    <n v="2"/>
    <n v="11925"/>
  </r>
  <r>
    <x v="24"/>
    <x v="66"/>
    <s v="Ödeme Alındı"/>
    <n v="24808"/>
    <s v="1007-Mustafa Gürhan Özdemir-Ankara"/>
    <x v="0"/>
    <x v="0"/>
    <n v="2"/>
    <n v="12916.2"/>
  </r>
  <r>
    <x v="26"/>
    <x v="44"/>
    <s v="Ödeme Bekleniyor"/>
    <n v="50820"/>
    <s v="1010-Aykut Al-Ankara"/>
    <x v="2"/>
    <x v="2"/>
    <n v="4"/>
    <n v="38279"/>
  </r>
  <r>
    <x v="31"/>
    <x v="67"/>
    <s v="İade edildi"/>
    <n v="91300"/>
    <s v="1010-Aykut Al-Ankara"/>
    <x v="2"/>
    <x v="5"/>
    <n v="5"/>
    <n v="40267.5"/>
  </r>
  <r>
    <x v="37"/>
    <x v="68"/>
    <s v="Ödeme Bekleniyor"/>
    <n v="36336"/>
    <s v="1010-Aykut Al-Ankara"/>
    <x v="3"/>
    <x v="9"/>
    <n v="1"/>
    <n v="8685.2999999999993"/>
  </r>
  <r>
    <x v="38"/>
    <x v="69"/>
    <s v="Ödeme Bekleniyor"/>
    <n v="57662"/>
    <s v="1004-Mürşit Doğan-Ankara"/>
    <x v="1"/>
    <x v="1"/>
    <n v="2"/>
    <n v="8283.26"/>
  </r>
  <r>
    <x v="19"/>
    <x v="70"/>
    <s v="Paketlemede"/>
    <n v="40465"/>
    <s v="1006-Ali Baymak-Ankara"/>
    <x v="1"/>
    <x v="1"/>
    <n v="1"/>
    <n v="4141.63"/>
  </r>
  <r>
    <x v="4"/>
    <x v="53"/>
    <s v="İade edildi"/>
    <n v="77440"/>
    <s v="1002-İnci Yüce-İstanbul"/>
    <x v="0"/>
    <x v="3"/>
    <n v="5"/>
    <n v="66717"/>
  </r>
  <r>
    <x v="37"/>
    <x v="71"/>
    <s v="İade edildi"/>
    <n v="30000"/>
    <s v="1004-Mürşit Doğan-Ankara"/>
    <x v="1"/>
    <x v="8"/>
    <n v="4"/>
    <n v="36940.800000000003"/>
  </r>
  <r>
    <x v="20"/>
    <x v="72"/>
    <s v="Beklemede"/>
    <n v="73309"/>
    <s v="1010-Aykut Al-Ankara"/>
    <x v="0"/>
    <x v="3"/>
    <n v="1"/>
    <n v="13343.400000000001"/>
  </r>
  <r>
    <x v="8"/>
    <x v="23"/>
    <s v="Paketlemede"/>
    <n v="62846"/>
    <s v="1009-Erhan Demirkol-Gaziantep"/>
    <x v="1"/>
    <x v="6"/>
    <n v="4"/>
    <n v="23850"/>
  </r>
  <r>
    <x v="28"/>
    <x v="49"/>
    <s v="Ürün Stokta Yok"/>
    <n v="84622"/>
    <s v="1005-Özge Sarıca Darol-Antalya"/>
    <x v="1"/>
    <x v="8"/>
    <n v="3"/>
    <n v="27705.600000000002"/>
  </r>
  <r>
    <x v="39"/>
    <x v="73"/>
    <s v="Paketlemede"/>
    <n v="78275"/>
    <s v="1002-İnci Yüce-İstanbul"/>
    <x v="3"/>
    <x v="12"/>
    <n v="1"/>
    <n v="9800.4500000000007"/>
  </r>
  <r>
    <x v="40"/>
    <x v="74"/>
    <s v="İade edildi"/>
    <n v="45521"/>
    <s v="1008-Nizamettin Uyar-Ankara"/>
    <x v="1"/>
    <x v="6"/>
    <n v="2"/>
    <n v="11925"/>
  </r>
  <r>
    <x v="18"/>
    <x v="75"/>
    <s v="Ödeme Alındı"/>
    <n v="17620"/>
    <s v="1002-İnci Yüce-İstanbul"/>
    <x v="3"/>
    <x v="9"/>
    <n v="5"/>
    <n v="43426.5"/>
  </r>
  <r>
    <x v="32"/>
    <x v="56"/>
    <s v="Ödeme Alındı"/>
    <n v="52682"/>
    <s v="1012-Ahmet Yalçın-İstanbul"/>
    <x v="1"/>
    <x v="6"/>
    <n v="5"/>
    <n v="29812.5"/>
  </r>
  <r>
    <x v="25"/>
    <x v="76"/>
    <s v="İade edildi"/>
    <n v="85763"/>
    <s v="1011-Tayfur Taşkıran-Ankara"/>
    <x v="2"/>
    <x v="2"/>
    <n v="5"/>
    <n v="47848.75"/>
  </r>
  <r>
    <x v="35"/>
    <x v="77"/>
    <s v="İade edildi"/>
    <n v="94100"/>
    <s v="1009-Erhan Demirkol-Gaziantep"/>
    <x v="2"/>
    <x v="5"/>
    <n v="4"/>
    <n v="32214"/>
  </r>
  <r>
    <x v="16"/>
    <x v="78"/>
    <s v="İade edildi"/>
    <n v="95586"/>
    <s v="1007-Mustafa Gürhan Özdemir-Ankara"/>
    <x v="0"/>
    <x v="3"/>
    <n v="2"/>
    <n v="26686.800000000003"/>
  </r>
  <r>
    <x v="24"/>
    <x v="79"/>
    <s v="İade edildi"/>
    <n v="23344"/>
    <s v="1001-Feza Gürdal-Eskişehir"/>
    <x v="1"/>
    <x v="6"/>
    <n v="3"/>
    <n v="17887.5"/>
  </r>
  <r>
    <x v="24"/>
    <x v="80"/>
    <s v="Paketlemede"/>
    <n v="47180"/>
    <s v="1010-Aykut Al-Ankara"/>
    <x v="1"/>
    <x v="6"/>
    <n v="1"/>
    <n v="5962.5"/>
  </r>
  <r>
    <x v="14"/>
    <x v="81"/>
    <s v="Ödeme Alındı"/>
    <n v="51690"/>
    <s v="1001-Feza Gürdal-Eskişehir"/>
    <x v="1"/>
    <x v="1"/>
    <n v="1"/>
    <n v="4141.63"/>
  </r>
  <r>
    <x v="5"/>
    <x v="82"/>
    <s v="İade edildi"/>
    <n v="86364"/>
    <s v="1012-Ahmet Yalçın-İstanbul"/>
    <x v="3"/>
    <x v="10"/>
    <n v="1"/>
    <n v="14066"/>
  </r>
  <r>
    <x v="39"/>
    <x v="83"/>
    <s v="Ödeme Alındı"/>
    <n v="17464"/>
    <s v="1005-Özge Sarıca Darol-Antalya"/>
    <x v="3"/>
    <x v="12"/>
    <n v="1"/>
    <n v="9800.4500000000007"/>
  </r>
  <r>
    <x v="41"/>
    <x v="84"/>
    <s v="Kargoya Verildi"/>
    <n v="59857"/>
    <s v="1005-Özge Sarıca Darol-Antalya"/>
    <x v="1"/>
    <x v="6"/>
    <n v="4"/>
    <n v="23850"/>
  </r>
  <r>
    <x v="24"/>
    <x v="80"/>
    <s v="Beklemede"/>
    <n v="73321"/>
    <s v="1010-Aykut Al-Ankara"/>
    <x v="0"/>
    <x v="3"/>
    <n v="2"/>
    <n v="26686.800000000003"/>
  </r>
  <r>
    <x v="10"/>
    <x v="33"/>
    <s v="Paketlemede"/>
    <n v="13992"/>
    <s v="1009-Erhan Demirkol-Gaziantep"/>
    <x v="0"/>
    <x v="0"/>
    <n v="4"/>
    <n v="25832.400000000001"/>
  </r>
  <r>
    <x v="23"/>
    <x v="85"/>
    <s v="Ödeme Bekleniyor"/>
    <n v="25206"/>
    <s v="1007-Mustafa Gürhan Özdemir-Ankara"/>
    <x v="3"/>
    <x v="12"/>
    <n v="3"/>
    <n v="29401.350000000002"/>
  </r>
  <r>
    <x v="31"/>
    <x v="54"/>
    <s v="Beklemede"/>
    <n v="74666"/>
    <s v="1004-Mürşit Doğan-Ankara"/>
    <x v="1"/>
    <x v="1"/>
    <n v="5"/>
    <n v="20708.150000000001"/>
  </r>
  <r>
    <x v="42"/>
    <x v="86"/>
    <s v="Paketlemede"/>
    <n v="14183"/>
    <s v="1006-Ali Baymak-Ankara"/>
    <x v="2"/>
    <x v="2"/>
    <n v="1"/>
    <n v="9569.75"/>
  </r>
  <r>
    <x v="34"/>
    <x v="87"/>
    <s v="Ödeme Alındı"/>
    <n v="12652"/>
    <s v="1002-İnci Yüce-İstanbul"/>
    <x v="1"/>
    <x v="6"/>
    <n v="1"/>
    <n v="5962.5"/>
  </r>
  <r>
    <x v="29"/>
    <x v="88"/>
    <s v="Ödeme Bekleniyor"/>
    <n v="49948"/>
    <s v="1006-Ali Baymak-Ankara"/>
    <x v="2"/>
    <x v="5"/>
    <n v="1"/>
    <n v="8053.5"/>
  </r>
  <r>
    <x v="40"/>
    <x v="89"/>
    <s v="Ödeme Alındı"/>
    <n v="45016"/>
    <s v="1010-Aykut Al-Ankara"/>
    <x v="1"/>
    <x v="1"/>
    <n v="3"/>
    <n v="12424.89"/>
  </r>
  <r>
    <x v="43"/>
    <x v="90"/>
    <s v="Ödeme Alındı"/>
    <n v="64488"/>
    <s v="1011-Tayfur Taşkıran-Ankara"/>
    <x v="3"/>
    <x v="10"/>
    <n v="2"/>
    <n v="28132"/>
  </r>
  <r>
    <x v="34"/>
    <x v="91"/>
    <s v="Paketlemede"/>
    <n v="47104"/>
    <s v="1001-Feza Gürdal-Eskişehir"/>
    <x v="2"/>
    <x v="2"/>
    <n v="3"/>
    <n v="28709.25"/>
  </r>
  <r>
    <x v="4"/>
    <x v="92"/>
    <s v="İade edildi"/>
    <n v="78307"/>
    <s v="1011-Tayfur Taşkıran-Ankara"/>
    <x v="0"/>
    <x v="11"/>
    <n v="5"/>
    <n v="48297"/>
  </r>
  <r>
    <x v="13"/>
    <x v="93"/>
    <s v="Ürün Stokta Yok"/>
    <n v="43915"/>
    <s v="1010-Aykut Al-Ankara"/>
    <x v="2"/>
    <x v="2"/>
    <n v="4"/>
    <n v="38279"/>
  </r>
  <r>
    <x v="44"/>
    <x v="94"/>
    <s v="İade edildi"/>
    <n v="25989"/>
    <s v="1001-Feza Gürdal-Eskişehir"/>
    <x v="2"/>
    <x v="5"/>
    <n v="1"/>
    <n v="8053.5"/>
  </r>
  <r>
    <x v="30"/>
    <x v="95"/>
    <s v="Ürün Stokta Yok"/>
    <n v="40540"/>
    <s v="1004-Mürşit Doğan-Ankara"/>
    <x v="0"/>
    <x v="0"/>
    <n v="2"/>
    <n v="12916.2"/>
  </r>
  <r>
    <x v="28"/>
    <x v="96"/>
    <s v="Ürün Stokta Yok"/>
    <n v="92343"/>
    <s v="1009-Erhan Demirkol-Gaziantep"/>
    <x v="2"/>
    <x v="5"/>
    <n v="3"/>
    <n v="24160.5"/>
  </r>
  <r>
    <x v="7"/>
    <x v="97"/>
    <s v="Kargoya Verildi"/>
    <n v="53831"/>
    <s v="1009-Erhan Demirkol-Gaziantep"/>
    <x v="1"/>
    <x v="8"/>
    <n v="2"/>
    <n v="18470.400000000001"/>
  </r>
  <r>
    <x v="13"/>
    <x v="21"/>
    <s v="Paketlemede"/>
    <n v="34219"/>
    <s v="1001-Feza Gürdal-Eskişehir"/>
    <x v="1"/>
    <x v="1"/>
    <n v="4"/>
    <n v="16566.52"/>
  </r>
  <r>
    <x v="22"/>
    <x v="98"/>
    <s v="İade edildi"/>
    <n v="36204"/>
    <s v="1011-Tayfur Taşkıran-Ankara"/>
    <x v="0"/>
    <x v="0"/>
    <n v="5"/>
    <n v="32290.5"/>
  </r>
  <r>
    <x v="40"/>
    <x v="99"/>
    <s v="Ödeme Bekleniyor"/>
    <n v="56838"/>
    <s v="1003-İlknur Akgül-İstanbul"/>
    <x v="2"/>
    <x v="5"/>
    <n v="5"/>
    <n v="40267.5"/>
  </r>
  <r>
    <x v="22"/>
    <x v="100"/>
    <s v="Ödeme Bekleniyor"/>
    <n v="79783"/>
    <s v="1011-Tayfur Taşkıran-Ankara"/>
    <x v="1"/>
    <x v="1"/>
    <n v="5"/>
    <n v="20708.150000000001"/>
  </r>
  <r>
    <x v="25"/>
    <x v="76"/>
    <s v="İade edildi"/>
    <n v="44896"/>
    <s v="1012-Ahmet Yalçın-İstanbul"/>
    <x v="2"/>
    <x v="2"/>
    <n v="1"/>
    <n v="9569.75"/>
  </r>
  <r>
    <x v="27"/>
    <x v="48"/>
    <s v="Ödeme Alındı"/>
    <n v="85073"/>
    <s v="1001-Feza Gürdal-Eskişehir"/>
    <x v="0"/>
    <x v="11"/>
    <n v="2"/>
    <n v="19318.8"/>
  </r>
  <r>
    <x v="4"/>
    <x v="101"/>
    <s v="Beklemede"/>
    <n v="45575"/>
    <s v="1011-Tayfur Taşkıran-Ankara"/>
    <x v="3"/>
    <x v="7"/>
    <n v="4"/>
    <n v="50484"/>
  </r>
  <r>
    <x v="7"/>
    <x v="10"/>
    <s v="Ürün Stokta Yok"/>
    <n v="98868"/>
    <s v="1006-Ali Baymak-Ankara"/>
    <x v="0"/>
    <x v="11"/>
    <n v="5"/>
    <n v="48297"/>
  </r>
  <r>
    <x v="45"/>
    <x v="102"/>
    <s v="Kargoya Verildi"/>
    <n v="24341"/>
    <s v="1010-Aykut Al-Ankara"/>
    <x v="1"/>
    <x v="1"/>
    <n v="2"/>
    <n v="8283.26"/>
  </r>
  <r>
    <x v="15"/>
    <x v="103"/>
    <s v="Ürün Stokta Yok"/>
    <n v="89391"/>
    <s v="1002-İnci Yüce-İstanbul"/>
    <x v="2"/>
    <x v="5"/>
    <n v="4"/>
    <n v="32214"/>
  </r>
  <r>
    <x v="6"/>
    <x v="104"/>
    <s v="Ödeme Bekleniyor"/>
    <n v="72974"/>
    <s v="1003-İlknur Akgül-İstanbul"/>
    <x v="0"/>
    <x v="4"/>
    <n v="4"/>
    <n v="35658.400000000001"/>
  </r>
  <r>
    <x v="32"/>
    <x v="105"/>
    <s v="Ödeme Alındı"/>
    <n v="42059"/>
    <s v="1012-Ahmet Yalçın-İstanbul"/>
    <x v="1"/>
    <x v="6"/>
    <n v="2"/>
    <n v="11925"/>
  </r>
  <r>
    <x v="29"/>
    <x v="50"/>
    <s v="Kargoya Verildi"/>
    <n v="81718"/>
    <s v="1010-Aykut Al-Ankara"/>
    <x v="1"/>
    <x v="6"/>
    <n v="2"/>
    <n v="11925"/>
  </r>
  <r>
    <x v="27"/>
    <x v="106"/>
    <s v="Kargoya Verildi"/>
    <n v="86767"/>
    <s v="1004-Mürşit Doğan-Ankara"/>
    <x v="1"/>
    <x v="1"/>
    <n v="2"/>
    <n v="8283.26"/>
  </r>
  <r>
    <x v="17"/>
    <x v="27"/>
    <s v="Ürün Stokta Yok"/>
    <n v="85943"/>
    <s v="1002-İnci Yüce-İstanbul"/>
    <x v="1"/>
    <x v="1"/>
    <n v="5"/>
    <n v="20708.150000000001"/>
  </r>
  <r>
    <x v="21"/>
    <x v="107"/>
    <s v="Ödeme Bekleniyor"/>
    <n v="43067"/>
    <s v="1012-Ahmet Yalçın-İstanbul"/>
    <x v="2"/>
    <x v="5"/>
    <n v="4"/>
    <n v="32214"/>
  </r>
  <r>
    <x v="4"/>
    <x v="29"/>
    <s v="İade edildi"/>
    <n v="60356"/>
    <s v="1003-İlknur Akgül-İstanbul"/>
    <x v="2"/>
    <x v="2"/>
    <n v="3"/>
    <n v="28709.25"/>
  </r>
  <r>
    <x v="46"/>
    <x v="108"/>
    <s v="Ödeme Alındı"/>
    <n v="65363"/>
    <s v="1004-Mürşit Doğan-Ankara"/>
    <x v="3"/>
    <x v="7"/>
    <n v="2"/>
    <n v="25242"/>
  </r>
  <r>
    <x v="16"/>
    <x v="109"/>
    <s v="Ürün Stokta Yok"/>
    <n v="90105"/>
    <s v="1006-Ali Baymak-Ankara"/>
    <x v="1"/>
    <x v="1"/>
    <n v="3"/>
    <n v="12424.89"/>
  </r>
  <r>
    <x v="28"/>
    <x v="110"/>
    <s v="İade edildi"/>
    <n v="49836"/>
    <s v="1002-İnci Yüce-İstanbul"/>
    <x v="0"/>
    <x v="3"/>
    <n v="2"/>
    <n v="26686.800000000003"/>
  </r>
  <r>
    <x v="15"/>
    <x v="25"/>
    <s v="İade edildi"/>
    <n v="88493"/>
    <s v="1003-İlknur Akgül-İstanbul"/>
    <x v="2"/>
    <x v="2"/>
    <n v="2"/>
    <n v="19139.5"/>
  </r>
  <r>
    <x v="42"/>
    <x v="111"/>
    <s v="Kargoya Verildi"/>
    <n v="61513"/>
    <s v="1006-Ali Baymak-Ankara"/>
    <x v="2"/>
    <x v="2"/>
    <n v="2"/>
    <n v="19139.5"/>
  </r>
  <r>
    <x v="8"/>
    <x v="112"/>
    <s v="İade edildi"/>
    <n v="69746"/>
    <s v="1004-Mürşit Doğan-Ankara"/>
    <x v="1"/>
    <x v="1"/>
    <n v="4"/>
    <n v="16566.52"/>
  </r>
  <r>
    <x v="47"/>
    <x v="113"/>
    <s v="Ödeme Alındı"/>
    <n v="40634"/>
    <s v="1001-Feza Gürdal-Eskişehir"/>
    <x v="1"/>
    <x v="6"/>
    <n v="1"/>
    <n v="5962.5"/>
  </r>
  <r>
    <x v="28"/>
    <x v="49"/>
    <s v="Ödeme Bekleniyor"/>
    <n v="59189"/>
    <s v="1004-Mürşit Doğan-Ankara"/>
    <x v="0"/>
    <x v="4"/>
    <n v="2"/>
    <n v="17829.2"/>
  </r>
  <r>
    <x v="8"/>
    <x v="112"/>
    <s v="İade edildi"/>
    <n v="50661"/>
    <s v="1005-Özge Sarıca Darol-Antalya"/>
    <x v="2"/>
    <x v="5"/>
    <n v="4"/>
    <n v="32214"/>
  </r>
  <r>
    <x v="9"/>
    <x v="114"/>
    <s v="İade edildi"/>
    <n v="69422"/>
    <s v="1010-Aykut Al-Ankara"/>
    <x v="2"/>
    <x v="2"/>
    <n v="5"/>
    <n v="47848.75"/>
  </r>
  <r>
    <x v="4"/>
    <x v="92"/>
    <s v="Paketlemede"/>
    <n v="60478"/>
    <s v="1005-Özge Sarıca Darol-Antalya"/>
    <x v="0"/>
    <x v="4"/>
    <n v="2"/>
    <n v="17829.2"/>
  </r>
  <r>
    <x v="48"/>
    <x v="115"/>
    <s v="Ürün Stokta Yok"/>
    <n v="94126"/>
    <s v="1008-Nizamettin Uyar-Ankara"/>
    <x v="1"/>
    <x v="1"/>
    <n v="2"/>
    <n v="8283.26"/>
  </r>
  <r>
    <x v="1"/>
    <x v="116"/>
    <s v="Ödeme Bekleniyor"/>
    <n v="38041"/>
    <s v="1012-Ahmet Yalçın-İstanbul"/>
    <x v="1"/>
    <x v="1"/>
    <n v="5"/>
    <n v="20708.150000000001"/>
  </r>
  <r>
    <x v="25"/>
    <x v="117"/>
    <s v="Beklemede"/>
    <n v="30316"/>
    <s v="1005-Özge Sarıca Darol-Antalya"/>
    <x v="2"/>
    <x v="5"/>
    <n v="2"/>
    <n v="16107"/>
  </r>
  <r>
    <x v="49"/>
    <x v="118"/>
    <s v="İade edildi"/>
    <n v="31735"/>
    <s v="1004-Mürşit Doğan-Ankara"/>
    <x v="2"/>
    <x v="5"/>
    <n v="3"/>
    <n v="24160.5"/>
  </r>
  <r>
    <x v="28"/>
    <x v="119"/>
    <s v="Kargoya Verildi"/>
    <n v="14366"/>
    <s v="1012-Ahmet Yalçın-İstanbul"/>
    <x v="2"/>
    <x v="5"/>
    <n v="4"/>
    <n v="32214"/>
  </r>
  <r>
    <x v="13"/>
    <x v="93"/>
    <s v="Ürün Stokta Yok"/>
    <n v="57788"/>
    <s v="1009-Erhan Demirkol-Gaziantep"/>
    <x v="1"/>
    <x v="8"/>
    <n v="4"/>
    <n v="36940.800000000003"/>
  </r>
  <r>
    <x v="24"/>
    <x v="80"/>
    <s v="İade edildi"/>
    <n v="50205"/>
    <s v="1002-İnci Yüce-İstanbul"/>
    <x v="0"/>
    <x v="0"/>
    <n v="5"/>
    <n v="32290.5"/>
  </r>
  <r>
    <x v="2"/>
    <x v="120"/>
    <s v="İade edildi"/>
    <n v="96373"/>
    <s v="1010-Aykut Al-Ankara"/>
    <x v="2"/>
    <x v="5"/>
    <n v="5"/>
    <n v="40267.5"/>
  </r>
  <r>
    <x v="49"/>
    <x v="121"/>
    <s v="Ödeme Alındı"/>
    <n v="34159"/>
    <s v="1011-Tayfur Taşkıran-Ankara"/>
    <x v="1"/>
    <x v="8"/>
    <n v="5"/>
    <n v="46176"/>
  </r>
  <r>
    <x v="24"/>
    <x v="122"/>
    <s v="Beklemede"/>
    <n v="81067"/>
    <s v="1004-Mürşit Doğan-Ankara"/>
    <x v="3"/>
    <x v="12"/>
    <n v="1"/>
    <n v="9800.4500000000007"/>
  </r>
  <r>
    <x v="29"/>
    <x v="123"/>
    <s v="Beklemede"/>
    <n v="15595"/>
    <s v="1006-Ali Baymak-Ankara"/>
    <x v="1"/>
    <x v="6"/>
    <n v="3"/>
    <n v="17887.5"/>
  </r>
  <r>
    <x v="3"/>
    <x v="20"/>
    <s v="Beklemede"/>
    <n v="73732"/>
    <s v="1001-Feza Gürdal-Eskişehir"/>
    <x v="0"/>
    <x v="4"/>
    <n v="5"/>
    <n v="44573"/>
  </r>
  <r>
    <x v="5"/>
    <x v="8"/>
    <s v="Paketlemede"/>
    <n v="57933"/>
    <s v="1002-İnci Yüce-İstanbul"/>
    <x v="2"/>
    <x v="5"/>
    <n v="1"/>
    <n v="8053.5"/>
  </r>
  <r>
    <x v="26"/>
    <x v="124"/>
    <s v="Ödeme Alındı"/>
    <n v="91552"/>
    <s v="1011-Tayfur Taşkıran-Ankara"/>
    <x v="1"/>
    <x v="8"/>
    <n v="5"/>
    <n v="46176"/>
  </r>
  <r>
    <x v="17"/>
    <x v="125"/>
    <s v="Paketlemede"/>
    <n v="83985"/>
    <s v="1005-Özge Sarıca Darol-Antalya"/>
    <x v="1"/>
    <x v="8"/>
    <n v="2"/>
    <n v="18470.400000000001"/>
  </r>
  <r>
    <x v="16"/>
    <x v="26"/>
    <s v="Kargoya Verildi"/>
    <n v="27044"/>
    <s v="1010-Aykut Al-Ankara"/>
    <x v="3"/>
    <x v="10"/>
    <n v="4"/>
    <n v="56264"/>
  </r>
  <r>
    <x v="2"/>
    <x v="126"/>
    <s v="Ödeme Alındı"/>
    <n v="40398"/>
    <s v="1004-Mürşit Doğan-Ankara"/>
    <x v="0"/>
    <x v="11"/>
    <n v="2"/>
    <n v="19318.8"/>
  </r>
  <r>
    <x v="28"/>
    <x v="127"/>
    <s v="Ödeme Bekleniyor"/>
    <n v="77430"/>
    <s v="1008-Nizamettin Uyar-Ankara"/>
    <x v="0"/>
    <x v="11"/>
    <n v="3"/>
    <n v="28978.199999999997"/>
  </r>
  <r>
    <x v="17"/>
    <x v="27"/>
    <s v="Ödeme Bekleniyor"/>
    <n v="37999"/>
    <s v="1004-Mürşit Doğan-Ankara"/>
    <x v="2"/>
    <x v="2"/>
    <n v="2"/>
    <n v="19139.5"/>
  </r>
  <r>
    <x v="18"/>
    <x v="28"/>
    <s v="Paketlemede"/>
    <n v="82454"/>
    <s v="1008-Nizamettin Uyar-Ankara"/>
    <x v="2"/>
    <x v="5"/>
    <n v="2"/>
    <n v="16107"/>
  </r>
  <r>
    <x v="36"/>
    <x v="128"/>
    <s v="Kargoya Verildi"/>
    <n v="99499"/>
    <s v="1001-Feza Gürdal-Eskişehir"/>
    <x v="3"/>
    <x v="10"/>
    <n v="1"/>
    <n v="14066"/>
  </r>
  <r>
    <x v="40"/>
    <x v="129"/>
    <s v="Kargoya Verildi"/>
    <n v="66102"/>
    <s v="1008-Nizamettin Uyar-Ankara"/>
    <x v="3"/>
    <x v="7"/>
    <n v="2"/>
    <n v="25242"/>
  </r>
  <r>
    <x v="30"/>
    <x v="130"/>
    <s v="Kargoya Verildi"/>
    <n v="17913"/>
    <s v="1008-Nizamettin Uyar-Ankara"/>
    <x v="0"/>
    <x v="4"/>
    <n v="3"/>
    <n v="26743.800000000003"/>
  </r>
  <r>
    <x v="9"/>
    <x v="60"/>
    <s v="Paketlemede"/>
    <n v="25950"/>
    <s v="1007-Mustafa Gürhan Özdemir-Ankara"/>
    <x v="0"/>
    <x v="0"/>
    <n v="3"/>
    <n v="19374.300000000003"/>
  </r>
  <r>
    <x v="33"/>
    <x v="131"/>
    <s v="Ödeme Alındı"/>
    <n v="10172"/>
    <s v="1003-İlknur Akgül-İstanbul"/>
    <x v="3"/>
    <x v="12"/>
    <n v="2"/>
    <n v="19600.900000000001"/>
  </r>
  <r>
    <x v="33"/>
    <x v="132"/>
    <s v="Kargoya Verildi"/>
    <n v="26244"/>
    <s v="1001-Feza Gürdal-Eskişehir"/>
    <x v="1"/>
    <x v="6"/>
    <n v="5"/>
    <n v="29812.5"/>
  </r>
  <r>
    <x v="1"/>
    <x v="116"/>
    <s v="Ödeme Alındı"/>
    <n v="99755"/>
    <s v="1012-Ahmet Yalçın-İstanbul"/>
    <x v="2"/>
    <x v="5"/>
    <n v="1"/>
    <n v="8053.5"/>
  </r>
  <r>
    <x v="1"/>
    <x v="6"/>
    <s v="Ödeme Bekleniyor"/>
    <n v="43154"/>
    <s v="1002-İnci Yüce-İstanbul"/>
    <x v="0"/>
    <x v="11"/>
    <n v="2"/>
    <n v="19318.8"/>
  </r>
  <r>
    <x v="10"/>
    <x v="19"/>
    <s v="İade edildi"/>
    <n v="46718"/>
    <s v="1004-Mürşit Doğan-Ankara"/>
    <x v="1"/>
    <x v="6"/>
    <n v="4"/>
    <n v="23850"/>
  </r>
  <r>
    <x v="22"/>
    <x v="133"/>
    <s v="Beklemede"/>
    <n v="99633"/>
    <s v="1002-İnci Yüce-İstanbul"/>
    <x v="1"/>
    <x v="8"/>
    <n v="2"/>
    <n v="18470.400000000001"/>
  </r>
  <r>
    <x v="9"/>
    <x v="134"/>
    <s v="Beklemede"/>
    <n v="42763"/>
    <s v="1004-Mürşit Doğan-Ankara"/>
    <x v="1"/>
    <x v="8"/>
    <n v="5"/>
    <n v="46176"/>
  </r>
  <r>
    <x v="3"/>
    <x v="20"/>
    <s v="Ürün Stokta Yok"/>
    <n v="38373"/>
    <s v="1001-Feza Gürdal-Eskişehir"/>
    <x v="2"/>
    <x v="5"/>
    <n v="2"/>
    <n v="16107"/>
  </r>
  <r>
    <x v="3"/>
    <x v="135"/>
    <s v="Paketlemede"/>
    <n v="65715"/>
    <s v="1009-Erhan Demirkol-Gaziantep"/>
    <x v="3"/>
    <x v="10"/>
    <n v="5"/>
    <n v="70330"/>
  </r>
  <r>
    <x v="26"/>
    <x v="124"/>
    <s v="Kargoya Verildi"/>
    <n v="69829"/>
    <s v="1003-İlknur Akgül-İstanbul"/>
    <x v="0"/>
    <x v="11"/>
    <n v="4"/>
    <n v="38637.599999999999"/>
  </r>
  <r>
    <x v="44"/>
    <x v="136"/>
    <s v="Ödeme Bekleniyor"/>
    <n v="71736"/>
    <s v="1006-Ali Baymak-Ankara"/>
    <x v="1"/>
    <x v="8"/>
    <n v="5"/>
    <n v="46176"/>
  </r>
  <r>
    <x v="19"/>
    <x v="30"/>
    <s v="Ödeme Bekleniyor"/>
    <n v="82023"/>
    <s v="1009-Erhan Demirkol-Gaziantep"/>
    <x v="3"/>
    <x v="9"/>
    <n v="1"/>
    <n v="8685.2999999999993"/>
  </r>
  <r>
    <x v="32"/>
    <x v="137"/>
    <s v="İade edildi"/>
    <n v="52376"/>
    <s v="1010-Aykut Al-Ankara"/>
    <x v="0"/>
    <x v="0"/>
    <n v="5"/>
    <n v="32290.5"/>
  </r>
  <r>
    <x v="38"/>
    <x v="69"/>
    <s v="Beklemede"/>
    <n v="29330"/>
    <s v="1007-Mustafa Gürhan Özdemir-Ankara"/>
    <x v="0"/>
    <x v="11"/>
    <n v="5"/>
    <n v="48297"/>
  </r>
  <r>
    <x v="26"/>
    <x v="138"/>
    <s v="İade edildi"/>
    <n v="27175"/>
    <s v="1007-Mustafa Gürhan Özdemir-Ankara"/>
    <x v="3"/>
    <x v="12"/>
    <n v="2"/>
    <n v="19600.900000000001"/>
  </r>
  <r>
    <x v="17"/>
    <x v="27"/>
    <s v="Kargoya Verildi"/>
    <n v="65427"/>
    <s v="1006-Ali Baymak-Ankara"/>
    <x v="3"/>
    <x v="9"/>
    <n v="4"/>
    <n v="34741.199999999997"/>
  </r>
  <r>
    <x v="13"/>
    <x v="21"/>
    <s v="Ödeme Bekleniyor"/>
    <n v="35533"/>
    <s v="1007-Mustafa Gürhan Özdemir-Ankara"/>
    <x v="3"/>
    <x v="7"/>
    <n v="5"/>
    <n v="63105"/>
  </r>
  <r>
    <x v="35"/>
    <x v="139"/>
    <s v="Ödeme Bekleniyor"/>
    <n v="65492"/>
    <s v="1003-İlknur Akgül-İstanbul"/>
    <x v="1"/>
    <x v="1"/>
    <n v="4"/>
    <n v="16566.52"/>
  </r>
  <r>
    <x v="11"/>
    <x v="14"/>
    <s v="Ödeme Bekleniyor"/>
    <n v="40511"/>
    <s v="1012-Ahmet Yalçın-İstanbul"/>
    <x v="2"/>
    <x v="2"/>
    <n v="2"/>
    <n v="19139.5"/>
  </r>
  <r>
    <x v="43"/>
    <x v="140"/>
    <s v="Ürün Stokta Yok"/>
    <n v="29868"/>
    <s v="1001-Feza Gürdal-Eskişehir"/>
    <x v="2"/>
    <x v="5"/>
    <n v="1"/>
    <n v="8053.5"/>
  </r>
  <r>
    <x v="25"/>
    <x v="141"/>
    <s v="Beklemede"/>
    <n v="32135"/>
    <s v="1004-Mürşit Doğan-Ankara"/>
    <x v="2"/>
    <x v="5"/>
    <n v="4"/>
    <n v="32214"/>
  </r>
  <r>
    <x v="37"/>
    <x v="71"/>
    <s v="Ödeme Alındı"/>
    <n v="74199"/>
    <s v="1004-Mürşit Doğan-Ankara"/>
    <x v="0"/>
    <x v="0"/>
    <n v="3"/>
    <n v="19374.300000000003"/>
  </r>
  <r>
    <x v="41"/>
    <x v="142"/>
    <s v="Paketlemede"/>
    <n v="41546"/>
    <s v="1005-Özge Sarıca Darol-Antalya"/>
    <x v="2"/>
    <x v="2"/>
    <n v="4"/>
    <n v="38279"/>
  </r>
  <r>
    <x v="40"/>
    <x v="89"/>
    <s v="Kargoya Verildi"/>
    <n v="85593"/>
    <s v="1006-Ali Baymak-Ankara"/>
    <x v="2"/>
    <x v="5"/>
    <n v="1"/>
    <n v="8053.5"/>
  </r>
  <r>
    <x v="23"/>
    <x v="85"/>
    <s v="Paketlemede"/>
    <n v="97849"/>
    <s v="1008-Nizamettin Uyar-Ankara"/>
    <x v="0"/>
    <x v="3"/>
    <n v="4"/>
    <n v="53373.600000000006"/>
  </r>
  <r>
    <x v="21"/>
    <x v="107"/>
    <s v="Kargoya Verildi"/>
    <n v="64059"/>
    <s v="1009-Erhan Demirkol-Gaziantep"/>
    <x v="3"/>
    <x v="10"/>
    <n v="3"/>
    <n v="42198"/>
  </r>
  <r>
    <x v="45"/>
    <x v="102"/>
    <s v="Ödeme Alındı"/>
    <n v="78332"/>
    <s v="1008-Nizamettin Uyar-Ankara"/>
    <x v="0"/>
    <x v="4"/>
    <n v="2"/>
    <n v="17829.2"/>
  </r>
  <r>
    <x v="11"/>
    <x v="143"/>
    <s v="Ödeme Bekleniyor"/>
    <n v="37118"/>
    <s v="1008-Nizamettin Uyar-Ankara"/>
    <x v="2"/>
    <x v="5"/>
    <n v="5"/>
    <n v="40267.5"/>
  </r>
  <r>
    <x v="20"/>
    <x v="72"/>
    <s v="Ödeme Bekleniyor"/>
    <n v="76717"/>
    <s v="1003-İlknur Akgül-İstanbul"/>
    <x v="0"/>
    <x v="0"/>
    <n v="2"/>
    <n v="12916.2"/>
  </r>
  <r>
    <x v="14"/>
    <x v="144"/>
    <s v="Kargoya Verildi"/>
    <n v="25855"/>
    <s v="1009-Erhan Demirkol-Gaziantep"/>
    <x v="1"/>
    <x v="1"/>
    <n v="2"/>
    <n v="8283.26"/>
  </r>
  <r>
    <x v="35"/>
    <x v="145"/>
    <s v="Ürün Stokta Yok"/>
    <n v="40472"/>
    <s v="1005-Özge Sarıca Darol-Antalya"/>
    <x v="3"/>
    <x v="9"/>
    <n v="5"/>
    <n v="43426.5"/>
  </r>
  <r>
    <x v="37"/>
    <x v="146"/>
    <s v="Beklemede"/>
    <n v="64965"/>
    <s v="1011-Tayfur Taşkıran-Ankara"/>
    <x v="2"/>
    <x v="5"/>
    <n v="4"/>
    <n v="32214"/>
  </r>
  <r>
    <x v="41"/>
    <x v="142"/>
    <s v="Ödeme Alındı"/>
    <n v="52198"/>
    <s v="1007-Mustafa Gürhan Özdemir-Ankara"/>
    <x v="2"/>
    <x v="2"/>
    <n v="2"/>
    <n v="19139.5"/>
  </r>
  <r>
    <x v="3"/>
    <x v="3"/>
    <s v="Beklemede"/>
    <n v="65976"/>
    <s v="1008-Nizamettin Uyar-Ankara"/>
    <x v="1"/>
    <x v="1"/>
    <n v="3"/>
    <n v="12424.89"/>
  </r>
  <r>
    <x v="19"/>
    <x v="30"/>
    <s v="Ürün Stokta Yok"/>
    <n v="19307"/>
    <s v="1007-Mustafa Gürhan Özdemir-Ankara"/>
    <x v="1"/>
    <x v="6"/>
    <n v="1"/>
    <n v="5962.5"/>
  </r>
  <r>
    <x v="47"/>
    <x v="147"/>
    <s v="Beklemede"/>
    <n v="32897"/>
    <s v="1010-Aykut Al-Ankara"/>
    <x v="0"/>
    <x v="0"/>
    <n v="5"/>
    <n v="32290.5"/>
  </r>
  <r>
    <x v="2"/>
    <x v="46"/>
    <s v="Beklemede"/>
    <n v="56824"/>
    <s v="1005-Özge Sarıca Darol-Antalya"/>
    <x v="0"/>
    <x v="0"/>
    <n v="2"/>
    <n v="12916.2"/>
  </r>
  <r>
    <x v="2"/>
    <x v="2"/>
    <s v="Beklemede"/>
    <n v="69272"/>
    <s v="1004-Mürşit Doğan-Ankara"/>
    <x v="0"/>
    <x v="0"/>
    <n v="4"/>
    <n v="25832.400000000001"/>
  </r>
  <r>
    <x v="43"/>
    <x v="148"/>
    <s v="İade edildi"/>
    <n v="22030"/>
    <s v="1006-Ali Baymak-Ankara"/>
    <x v="1"/>
    <x v="6"/>
    <n v="2"/>
    <n v="11925"/>
  </r>
  <r>
    <x v="30"/>
    <x v="149"/>
    <s v="İade edildi"/>
    <n v="34764"/>
    <s v="1011-Tayfur Taşkıran-Ankara"/>
    <x v="3"/>
    <x v="12"/>
    <n v="3"/>
    <n v="29401.350000000002"/>
  </r>
  <r>
    <x v="6"/>
    <x v="104"/>
    <s v="Paketlemede"/>
    <n v="71621"/>
    <s v="1007-Mustafa Gürhan Özdemir-Ankara"/>
    <x v="0"/>
    <x v="11"/>
    <n v="1"/>
    <n v="9659.4"/>
  </r>
  <r>
    <x v="9"/>
    <x v="150"/>
    <s v="Ürün Stokta Yok"/>
    <n v="52818"/>
    <s v="1006-Ali Baymak-Ankara"/>
    <x v="2"/>
    <x v="2"/>
    <n v="3"/>
    <n v="28709.25"/>
  </r>
  <r>
    <x v="27"/>
    <x v="151"/>
    <s v="Kargoya Verildi"/>
    <n v="27278"/>
    <s v="1001-Feza Gürdal-Eskişehir"/>
    <x v="2"/>
    <x v="5"/>
    <n v="4"/>
    <n v="32214"/>
  </r>
  <r>
    <x v="43"/>
    <x v="152"/>
    <s v="Paketlemede"/>
    <n v="59592"/>
    <s v="1004-Mürşit Doğan-Ankara"/>
    <x v="0"/>
    <x v="4"/>
    <n v="5"/>
    <n v="44573"/>
  </r>
  <r>
    <x v="25"/>
    <x v="117"/>
    <s v="Beklemede"/>
    <n v="69106"/>
    <s v="1009-Erhan Demirkol-Gaziantep"/>
    <x v="1"/>
    <x v="1"/>
    <n v="5"/>
    <n v="20708.150000000001"/>
  </r>
  <r>
    <x v="20"/>
    <x v="153"/>
    <s v="Ödeme Alındı"/>
    <n v="95740"/>
    <s v="1011-Tayfur Taşkıran-Ankara"/>
    <x v="2"/>
    <x v="2"/>
    <n v="3"/>
    <n v="28709.25"/>
  </r>
  <r>
    <x v="5"/>
    <x v="154"/>
    <s v="Paketlemede"/>
    <n v="57180"/>
    <s v="1005-Özge Sarıca Darol-Antalya"/>
    <x v="0"/>
    <x v="4"/>
    <n v="5"/>
    <n v="44573"/>
  </r>
  <r>
    <x v="37"/>
    <x v="68"/>
    <s v="İade edildi"/>
    <n v="36999"/>
    <s v="1011-Tayfur Taşkıran-Ankara"/>
    <x v="2"/>
    <x v="5"/>
    <n v="3"/>
    <n v="24160.5"/>
  </r>
  <r>
    <x v="0"/>
    <x v="155"/>
    <s v="Paketlemede"/>
    <n v="87939"/>
    <s v="1008-Nizamettin Uyar-Ankara"/>
    <x v="2"/>
    <x v="2"/>
    <n v="2"/>
    <n v="19139.5"/>
  </r>
  <r>
    <x v="10"/>
    <x v="13"/>
    <s v="Ödeme Alındı"/>
    <n v="77436"/>
    <s v="1010-Aykut Al-Ankara"/>
    <x v="0"/>
    <x v="4"/>
    <n v="3"/>
    <n v="26743.800000000003"/>
  </r>
  <r>
    <x v="36"/>
    <x v="156"/>
    <s v="Kargoya Verildi"/>
    <n v="99784"/>
    <s v="1005-Özge Sarıca Darol-Antalya"/>
    <x v="1"/>
    <x v="1"/>
    <n v="3"/>
    <n v="12424.89"/>
  </r>
  <r>
    <x v="22"/>
    <x v="98"/>
    <s v="İade edildi"/>
    <n v="90232"/>
    <s v="1006-Ali Baymak-Ankara"/>
    <x v="2"/>
    <x v="2"/>
    <n v="1"/>
    <n v="9569.75"/>
  </r>
  <r>
    <x v="20"/>
    <x v="157"/>
    <s v="İade edildi"/>
    <n v="86640"/>
    <s v="1009-Erhan Demirkol-Gaziantep"/>
    <x v="2"/>
    <x v="2"/>
    <n v="5"/>
    <n v="47848.75"/>
  </r>
  <r>
    <x v="35"/>
    <x v="158"/>
    <s v="Kargoya Verildi"/>
    <n v="28010"/>
    <s v="1004-Mürşit Doğan-Ankara"/>
    <x v="2"/>
    <x v="5"/>
    <n v="2"/>
    <n v="16107"/>
  </r>
  <r>
    <x v="20"/>
    <x v="72"/>
    <s v="Kargoya Verildi"/>
    <n v="30952"/>
    <s v="1009-Erhan Demirkol-Gaziantep"/>
    <x v="0"/>
    <x v="11"/>
    <n v="2"/>
    <n v="19318.8"/>
  </r>
  <r>
    <x v="37"/>
    <x v="159"/>
    <s v="Paketlemede"/>
    <n v="55667"/>
    <s v="1003-İlknur Akgül-İstanbul"/>
    <x v="0"/>
    <x v="4"/>
    <n v="3"/>
    <n v="26743.800000000003"/>
  </r>
  <r>
    <x v="39"/>
    <x v="160"/>
    <s v="İade edildi"/>
    <n v="41795"/>
    <s v="1007-Mustafa Gürhan Özdemir-Ankara"/>
    <x v="1"/>
    <x v="6"/>
    <n v="4"/>
    <n v="23850"/>
  </r>
  <r>
    <x v="3"/>
    <x v="20"/>
    <s v="Ödeme Alındı"/>
    <n v="82842"/>
    <s v="1011-Tayfur Taşkıran-Ankara"/>
    <x v="0"/>
    <x v="0"/>
    <n v="4"/>
    <n v="25832.400000000001"/>
  </r>
  <r>
    <x v="8"/>
    <x v="11"/>
    <s v="Ürün Stokta Yok"/>
    <n v="28395"/>
    <s v="1003-İlknur Akgül-İstanbul"/>
    <x v="2"/>
    <x v="5"/>
    <n v="2"/>
    <n v="16107"/>
  </r>
  <r>
    <x v="34"/>
    <x v="161"/>
    <s v="Kargoya Verildi"/>
    <n v="10557"/>
    <s v="1004-Mürşit Doğan-Ankara"/>
    <x v="0"/>
    <x v="11"/>
    <n v="3"/>
    <n v="28978.199999999997"/>
  </r>
  <r>
    <x v="27"/>
    <x v="151"/>
    <s v="Kargoya Verildi"/>
    <n v="56569"/>
    <s v="1010-Aykut Al-Ankara"/>
    <x v="2"/>
    <x v="2"/>
    <n v="2"/>
    <n v="19139.5"/>
  </r>
  <r>
    <x v="28"/>
    <x v="119"/>
    <s v="Ödeme Bekleniyor"/>
    <n v="36341"/>
    <s v="1008-Nizamettin Uyar-Ankara"/>
    <x v="3"/>
    <x v="9"/>
    <n v="3"/>
    <n v="26055.899999999998"/>
  </r>
  <r>
    <x v="35"/>
    <x v="61"/>
    <s v="Ödeme Alındı"/>
    <n v="68910"/>
    <s v="1005-Özge Sarıca Darol-Antalya"/>
    <x v="0"/>
    <x v="11"/>
    <n v="3"/>
    <n v="28978.199999999997"/>
  </r>
  <r>
    <x v="24"/>
    <x v="66"/>
    <s v="Beklemede"/>
    <n v="14598"/>
    <s v="1011-Tayfur Taşkıran-Ankara"/>
    <x v="3"/>
    <x v="7"/>
    <n v="2"/>
    <n v="25242"/>
  </r>
  <r>
    <x v="24"/>
    <x v="66"/>
    <s v="Ödeme Bekleniyor"/>
    <n v="82039"/>
    <s v="1007-Mustafa Gürhan Özdemir-Ankara"/>
    <x v="3"/>
    <x v="7"/>
    <n v="1"/>
    <n v="12621"/>
  </r>
  <r>
    <x v="19"/>
    <x v="30"/>
    <s v="Ödeme Alındı"/>
    <n v="42238"/>
    <s v="1010-Aykut Al-Ankara"/>
    <x v="0"/>
    <x v="0"/>
    <n v="4"/>
    <n v="25832.400000000001"/>
  </r>
  <r>
    <x v="24"/>
    <x v="122"/>
    <s v="Ürün Stokta Yok"/>
    <n v="72406"/>
    <s v="1011-Tayfur Taşkıran-Ankara"/>
    <x v="3"/>
    <x v="10"/>
    <n v="4"/>
    <n v="56264"/>
  </r>
  <r>
    <x v="50"/>
    <x v="162"/>
    <s v="Ödeme Alındı"/>
    <n v="56425"/>
    <s v="1006-Ali Baymak-Ankara"/>
    <x v="1"/>
    <x v="1"/>
    <n v="5"/>
    <n v="20708.150000000001"/>
  </r>
  <r>
    <x v="42"/>
    <x v="163"/>
    <s v="İade edildi"/>
    <n v="91975"/>
    <s v="1006-Ali Baymak-Ankara"/>
    <x v="0"/>
    <x v="3"/>
    <n v="1"/>
    <n v="13343.400000000001"/>
  </r>
  <r>
    <x v="48"/>
    <x v="164"/>
    <s v="Ödeme Bekleniyor"/>
    <n v="93845"/>
    <s v="1003-İlknur Akgül-İstanbul"/>
    <x v="0"/>
    <x v="0"/>
    <n v="3"/>
    <n v="19374.300000000003"/>
  </r>
  <r>
    <x v="32"/>
    <x v="105"/>
    <s v="İade edildi"/>
    <n v="66205"/>
    <s v="1001-Feza Gürdal-Eskişehir"/>
    <x v="1"/>
    <x v="1"/>
    <n v="4"/>
    <n v="16566.52"/>
  </r>
  <r>
    <x v="51"/>
    <x v="165"/>
    <s v="İade edildi"/>
    <n v="18996"/>
    <s v="1010-Aykut Al-Ankara"/>
    <x v="0"/>
    <x v="4"/>
    <n v="3"/>
    <n v="26743.800000000003"/>
  </r>
  <r>
    <x v="27"/>
    <x v="166"/>
    <s v="İade edildi"/>
    <n v="91675"/>
    <s v="1010-Aykut Al-Ankara"/>
    <x v="2"/>
    <x v="2"/>
    <n v="1"/>
    <n v="9569.75"/>
  </r>
  <r>
    <x v="25"/>
    <x v="76"/>
    <s v="Ürün Stokta Yok"/>
    <n v="62475"/>
    <s v="1007-Mustafa Gürhan Özdemir-Ankara"/>
    <x v="1"/>
    <x v="6"/>
    <n v="3"/>
    <n v="17887.5"/>
  </r>
  <r>
    <x v="29"/>
    <x v="123"/>
    <s v="Ürün Stokta Yok"/>
    <n v="79085"/>
    <s v="1005-Özge Sarıca Darol-Antalya"/>
    <x v="3"/>
    <x v="10"/>
    <n v="4"/>
    <n v="56264"/>
  </r>
  <r>
    <x v="29"/>
    <x v="167"/>
    <s v="Ödeme Bekleniyor"/>
    <n v="80886"/>
    <s v="1004-Mürşit Doğan-Ankara"/>
    <x v="3"/>
    <x v="10"/>
    <n v="5"/>
    <n v="70330"/>
  </r>
  <r>
    <x v="27"/>
    <x v="151"/>
    <s v="İade edildi"/>
    <n v="40688"/>
    <s v="1009-Erhan Demirkol-Gaziantep"/>
    <x v="2"/>
    <x v="2"/>
    <n v="1"/>
    <n v="9569.75"/>
  </r>
  <r>
    <x v="46"/>
    <x v="168"/>
    <s v="Kargoya Verildi"/>
    <n v="61545"/>
    <s v="1004-Mürşit Doğan-Ankara"/>
    <x v="2"/>
    <x v="2"/>
    <n v="5"/>
    <n v="47848.75"/>
  </r>
  <r>
    <x v="2"/>
    <x v="2"/>
    <s v="Ödeme Alındı"/>
    <n v="98805"/>
    <s v="1001-Feza Gürdal-Eskişehir"/>
    <x v="2"/>
    <x v="5"/>
    <n v="5"/>
    <n v="40267.5"/>
  </r>
  <r>
    <x v="44"/>
    <x v="169"/>
    <s v="Ürün Stokta Yok"/>
    <n v="80887"/>
    <s v="1002-İnci Yüce-İstanbul"/>
    <x v="1"/>
    <x v="1"/>
    <n v="4"/>
    <n v="16566.52"/>
  </r>
  <r>
    <x v="35"/>
    <x v="170"/>
    <s v="İade edildi"/>
    <n v="42177"/>
    <s v="1004-Mürşit Doğan-Ankara"/>
    <x v="3"/>
    <x v="10"/>
    <n v="4"/>
    <n v="56264"/>
  </r>
  <r>
    <x v="1"/>
    <x v="6"/>
    <s v="Ödeme Alındı"/>
    <n v="32010"/>
    <s v="1008-Nizamettin Uyar-Ankara"/>
    <x v="0"/>
    <x v="11"/>
    <n v="5"/>
    <n v="48297"/>
  </r>
  <r>
    <x v="3"/>
    <x v="20"/>
    <s v="Paketlemede"/>
    <n v="88968"/>
    <s v="1011-Tayfur Taşkıran-Ankara"/>
    <x v="0"/>
    <x v="3"/>
    <n v="5"/>
    <n v="66717"/>
  </r>
  <r>
    <x v="44"/>
    <x v="171"/>
    <s v="Ödeme Bekleniyor"/>
    <n v="50030"/>
    <s v="1003-İlknur Akgül-İstanbul"/>
    <x v="1"/>
    <x v="1"/>
    <n v="5"/>
    <n v="20708.150000000001"/>
  </r>
  <r>
    <x v="18"/>
    <x v="75"/>
    <s v="Ödeme Alındı"/>
    <n v="94636"/>
    <s v="1005-Özge Sarıca Darol-Antalya"/>
    <x v="0"/>
    <x v="11"/>
    <n v="1"/>
    <n v="9659.4"/>
  </r>
  <r>
    <x v="7"/>
    <x v="17"/>
    <s v="Kargoya Verildi"/>
    <n v="17988"/>
    <s v="1004-Mürşit Doğan-Ankara"/>
    <x v="1"/>
    <x v="6"/>
    <n v="2"/>
    <n v="11925"/>
  </r>
  <r>
    <x v="10"/>
    <x v="33"/>
    <s v="Ödeme Bekleniyor"/>
    <n v="19610"/>
    <s v="1004-Mürşit Doğan-Ankara"/>
    <x v="2"/>
    <x v="2"/>
    <n v="3"/>
    <n v="28709.25"/>
  </r>
  <r>
    <x v="21"/>
    <x v="107"/>
    <s v="Paketlemede"/>
    <n v="73556"/>
    <s v="1010-Aykut Al-Ankara"/>
    <x v="0"/>
    <x v="0"/>
    <n v="2"/>
    <n v="12916.2"/>
  </r>
  <r>
    <x v="3"/>
    <x v="41"/>
    <s v="Ürün Stokta Yok"/>
    <n v="55938"/>
    <s v="1008-Nizamettin Uyar-Ankara"/>
    <x v="2"/>
    <x v="5"/>
    <n v="3"/>
    <n v="24160.5"/>
  </r>
  <r>
    <x v="18"/>
    <x v="172"/>
    <s v="Paketlemede"/>
    <n v="16149"/>
    <s v="1001-Feza Gürdal-Eskişehir"/>
    <x v="0"/>
    <x v="11"/>
    <n v="4"/>
    <n v="38637.599999999999"/>
  </r>
  <r>
    <x v="43"/>
    <x v="173"/>
    <s v="Ürün Stokta Yok"/>
    <n v="62333"/>
    <s v="1005-Özge Sarıca Darol-Antalya"/>
    <x v="3"/>
    <x v="7"/>
    <n v="2"/>
    <n v="25242"/>
  </r>
  <r>
    <x v="21"/>
    <x v="174"/>
    <s v="Beklemede"/>
    <n v="17666"/>
    <s v="1011-Tayfur Taşkıran-Ankara"/>
    <x v="3"/>
    <x v="10"/>
    <n v="5"/>
    <n v="70330"/>
  </r>
  <r>
    <x v="39"/>
    <x v="83"/>
    <s v="Ödeme Alındı"/>
    <n v="11707"/>
    <s v="1003-İlknur Akgül-İstanbul"/>
    <x v="1"/>
    <x v="6"/>
    <n v="2"/>
    <n v="11925"/>
  </r>
  <r>
    <x v="32"/>
    <x v="105"/>
    <s v="Ürün Stokta Yok"/>
    <n v="56142"/>
    <s v="1001-Feza Gürdal-Eskişehir"/>
    <x v="0"/>
    <x v="4"/>
    <n v="5"/>
    <n v="44573"/>
  </r>
  <r>
    <x v="13"/>
    <x v="175"/>
    <s v="Ürün Stokta Yok"/>
    <n v="99331"/>
    <s v="1008-Nizamettin Uyar-Ankara"/>
    <x v="0"/>
    <x v="3"/>
    <n v="2"/>
    <n v="26686.800000000003"/>
  </r>
  <r>
    <x v="5"/>
    <x v="176"/>
    <s v="Beklemede"/>
    <n v="91059"/>
    <s v="1003-İlknur Akgül-İstanbul"/>
    <x v="1"/>
    <x v="6"/>
    <n v="3"/>
    <n v="17887.5"/>
  </r>
  <r>
    <x v="39"/>
    <x v="73"/>
    <s v="Beklemede"/>
    <n v="71246"/>
    <s v="1002-İnci Yüce-İstanbul"/>
    <x v="0"/>
    <x v="0"/>
    <n v="3"/>
    <n v="19374.300000000003"/>
  </r>
  <r>
    <x v="51"/>
    <x v="177"/>
    <s v="Ödeme Alındı"/>
    <n v="97658"/>
    <s v="1012-Ahmet Yalçın-İstanbul"/>
    <x v="0"/>
    <x v="11"/>
    <n v="1"/>
    <n v="9659.4"/>
  </r>
  <r>
    <x v="28"/>
    <x v="110"/>
    <s v="Beklemede"/>
    <n v="43464"/>
    <s v="1004-Mürşit Doğan-Ankara"/>
    <x v="1"/>
    <x v="1"/>
    <n v="4"/>
    <n v="16566.52"/>
  </r>
  <r>
    <x v="48"/>
    <x v="178"/>
    <s v="Kargoya Verildi"/>
    <n v="68195"/>
    <s v="1003-İlknur Akgül-İstanbul"/>
    <x v="1"/>
    <x v="1"/>
    <n v="5"/>
    <n v="20708.150000000001"/>
  </r>
  <r>
    <x v="15"/>
    <x v="25"/>
    <s v="Beklemede"/>
    <n v="59448"/>
    <s v="1004-Mürşit Doğan-Ankara"/>
    <x v="3"/>
    <x v="7"/>
    <n v="5"/>
    <n v="63105"/>
  </r>
  <r>
    <x v="48"/>
    <x v="178"/>
    <s v="Beklemede"/>
    <n v="66752"/>
    <s v="1001-Feza Gürdal-Eskişehir"/>
    <x v="2"/>
    <x v="2"/>
    <n v="5"/>
    <n v="47848.75"/>
  </r>
  <r>
    <x v="11"/>
    <x v="14"/>
    <s v="Ödeme Alındı"/>
    <n v="53845"/>
    <s v="1012-Ahmet Yalçın-İstanbul"/>
    <x v="3"/>
    <x v="12"/>
    <n v="2"/>
    <n v="19600.900000000001"/>
  </r>
  <r>
    <x v="22"/>
    <x v="133"/>
    <s v="Ödeme Bekleniyor"/>
    <n v="51928"/>
    <s v="1012-Ahmet Yalçın-İstanbul"/>
    <x v="1"/>
    <x v="6"/>
    <n v="2"/>
    <n v="11925"/>
  </r>
  <r>
    <x v="5"/>
    <x v="176"/>
    <s v="Paketlemede"/>
    <n v="47692"/>
    <s v="1007-Mustafa Gürhan Özdemir-Ankara"/>
    <x v="3"/>
    <x v="9"/>
    <n v="2"/>
    <n v="17370.599999999999"/>
  </r>
  <r>
    <x v="51"/>
    <x v="179"/>
    <s v="Kargoya Verildi"/>
    <n v="35372"/>
    <s v="1003-İlknur Akgül-İstanbul"/>
    <x v="0"/>
    <x v="4"/>
    <n v="1"/>
    <n v="8914.6"/>
  </r>
  <r>
    <x v="10"/>
    <x v="19"/>
    <s v="Kargoya Verildi"/>
    <n v="92588"/>
    <s v="1002-İnci Yüce-İstanbul"/>
    <x v="0"/>
    <x v="4"/>
    <n v="4"/>
    <n v="35658.400000000001"/>
  </r>
  <r>
    <x v="11"/>
    <x v="14"/>
    <s v="Ödeme Alındı"/>
    <n v="48167"/>
    <s v="1001-Feza Gürdal-Eskişehir"/>
    <x v="1"/>
    <x v="8"/>
    <n v="3"/>
    <n v="27705.600000000002"/>
  </r>
  <r>
    <x v="13"/>
    <x v="93"/>
    <s v="Ödeme Bekleniyor"/>
    <n v="27358"/>
    <s v="1003-İlknur Akgül-İstanbul"/>
    <x v="0"/>
    <x v="0"/>
    <n v="3"/>
    <n v="19374.300000000003"/>
  </r>
  <r>
    <x v="51"/>
    <x v="180"/>
    <s v="Paketlemede"/>
    <n v="11416"/>
    <s v="1011-Tayfur Taşkıran-Ankara"/>
    <x v="0"/>
    <x v="3"/>
    <n v="5"/>
    <n v="66717"/>
  </r>
  <r>
    <x v="25"/>
    <x v="181"/>
    <s v="Beklemede"/>
    <n v="24059"/>
    <s v="1009-Erhan Demirkol-Gaziantep"/>
    <x v="1"/>
    <x v="1"/>
    <n v="5"/>
    <n v="20708.150000000001"/>
  </r>
  <r>
    <x v="23"/>
    <x v="37"/>
    <s v="Kargoya Verildi"/>
    <n v="10010"/>
    <s v="1010-Aykut Al-Ankara"/>
    <x v="0"/>
    <x v="11"/>
    <n v="5"/>
    <n v="48297"/>
  </r>
  <r>
    <x v="26"/>
    <x v="182"/>
    <s v="Paketlemede"/>
    <n v="76508"/>
    <s v="1011-Tayfur Taşkıran-Ankara"/>
    <x v="3"/>
    <x v="10"/>
    <n v="1"/>
    <n v="14066"/>
  </r>
  <r>
    <x v="12"/>
    <x v="183"/>
    <s v="Ödeme Alındı"/>
    <n v="74778"/>
    <s v="1009-Erhan Demirkol-Gaziantep"/>
    <x v="2"/>
    <x v="5"/>
    <n v="2"/>
    <n v="16107"/>
  </r>
  <r>
    <x v="48"/>
    <x v="184"/>
    <s v="Kargoya Verildi"/>
    <n v="78588"/>
    <s v="1006-Ali Baymak-Ankara"/>
    <x v="1"/>
    <x v="8"/>
    <n v="4"/>
    <n v="36940.800000000003"/>
  </r>
  <r>
    <x v="19"/>
    <x v="30"/>
    <s v="Paketlemede"/>
    <n v="24868"/>
    <s v="1006-Ali Baymak-Ankara"/>
    <x v="0"/>
    <x v="3"/>
    <n v="3"/>
    <n v="40030.200000000004"/>
  </r>
  <r>
    <x v="48"/>
    <x v="164"/>
    <s v="İade edildi"/>
    <n v="29817"/>
    <s v="1012-Ahmet Yalçın-İstanbul"/>
    <x v="3"/>
    <x v="9"/>
    <n v="2"/>
    <n v="17370.599999999999"/>
  </r>
  <r>
    <x v="44"/>
    <x v="136"/>
    <s v="İade edildi"/>
    <n v="48140"/>
    <s v="1002-İnci Yüce-İstanbul"/>
    <x v="1"/>
    <x v="1"/>
    <n v="3"/>
    <n v="12424.89"/>
  </r>
  <r>
    <x v="32"/>
    <x v="185"/>
    <s v="Ürün Stokta Yok"/>
    <n v="74121"/>
    <s v="1001-Feza Gürdal-Eskişehir"/>
    <x v="0"/>
    <x v="3"/>
    <n v="5"/>
    <n v="66717"/>
  </r>
  <r>
    <x v="48"/>
    <x v="115"/>
    <s v="Ürün Stokta Yok"/>
    <n v="25293"/>
    <s v="1005-Özge Sarıca Darol-Antalya"/>
    <x v="1"/>
    <x v="1"/>
    <n v="2"/>
    <n v="8283.26"/>
  </r>
  <r>
    <x v="31"/>
    <x v="186"/>
    <s v="Ürün Stokta Yok"/>
    <n v="43782"/>
    <s v="1010-Aykut Al-Ankara"/>
    <x v="2"/>
    <x v="5"/>
    <n v="3"/>
    <n v="24160.5"/>
  </r>
  <r>
    <x v="26"/>
    <x v="187"/>
    <s v="Beklemede"/>
    <n v="85728"/>
    <s v="1010-Aykut Al-Ankara"/>
    <x v="2"/>
    <x v="2"/>
    <n v="2"/>
    <n v="19139.5"/>
  </r>
  <r>
    <x v="6"/>
    <x v="188"/>
    <s v="Paketlemede"/>
    <n v="24129"/>
    <s v="1005-Özge Sarıca Darol-Antalya"/>
    <x v="3"/>
    <x v="7"/>
    <n v="4"/>
    <n v="50484"/>
  </r>
  <r>
    <x v="35"/>
    <x v="61"/>
    <s v="Ödeme Alındı"/>
    <n v="98208"/>
    <s v="1008-Nizamettin Uyar-Ankara"/>
    <x v="2"/>
    <x v="5"/>
    <n v="4"/>
    <n v="32214"/>
  </r>
  <r>
    <x v="5"/>
    <x v="8"/>
    <s v="İade edildi"/>
    <n v="32683"/>
    <s v="1002-İnci Yüce-İstanbul"/>
    <x v="3"/>
    <x v="10"/>
    <n v="2"/>
    <n v="28132"/>
  </r>
  <r>
    <x v="45"/>
    <x v="189"/>
    <s v="Kargoya Verildi"/>
    <n v="97678"/>
    <s v="1010-Aykut Al-Ankara"/>
    <x v="1"/>
    <x v="1"/>
    <n v="2"/>
    <n v="8283.26"/>
  </r>
  <r>
    <x v="43"/>
    <x v="190"/>
    <s v="Ürün Stokta Yok"/>
    <n v="88215"/>
    <s v="1002-İnci Yüce-İstanbul"/>
    <x v="0"/>
    <x v="4"/>
    <n v="2"/>
    <n v="17829.2"/>
  </r>
  <r>
    <x v="43"/>
    <x v="173"/>
    <s v="Beklemede"/>
    <n v="94364"/>
    <s v="1006-Ali Baymak-Ankara"/>
    <x v="2"/>
    <x v="5"/>
    <n v="3"/>
    <n v="24160.5"/>
  </r>
  <r>
    <x v="24"/>
    <x v="191"/>
    <s v="İade edildi"/>
    <n v="75344"/>
    <s v="1005-Özge Sarıca Darol-Antalya"/>
    <x v="0"/>
    <x v="3"/>
    <n v="5"/>
    <n v="66717"/>
  </r>
  <r>
    <x v="38"/>
    <x v="192"/>
    <s v="Ürün Stokta Yok"/>
    <n v="39822"/>
    <s v="1006-Ali Baymak-Ankara"/>
    <x v="0"/>
    <x v="11"/>
    <n v="5"/>
    <n v="48297"/>
  </r>
  <r>
    <x v="7"/>
    <x v="10"/>
    <s v="İade edildi"/>
    <n v="12127"/>
    <s v="1008-Nizamettin Uyar-Ankara"/>
    <x v="0"/>
    <x v="4"/>
    <n v="3"/>
    <n v="26743.800000000003"/>
  </r>
  <r>
    <x v="2"/>
    <x v="193"/>
    <s v="Ödeme Bekleniyor"/>
    <n v="31481"/>
    <s v="1007-Mustafa Gürhan Özdemir-Ankara"/>
    <x v="2"/>
    <x v="2"/>
    <n v="4"/>
    <n v="38279"/>
  </r>
  <r>
    <x v="43"/>
    <x v="148"/>
    <s v="Ödeme Alındı"/>
    <n v="31028"/>
    <s v="1011-Tayfur Taşkıran-Ankara"/>
    <x v="3"/>
    <x v="9"/>
    <n v="1"/>
    <n v="8685.2999999999993"/>
  </r>
  <r>
    <x v="10"/>
    <x v="33"/>
    <s v="Paketlemede"/>
    <n v="45739"/>
    <s v="1005-Özge Sarıca Darol-Antalya"/>
    <x v="0"/>
    <x v="11"/>
    <n v="2"/>
    <n v="19318.8"/>
  </r>
  <r>
    <x v="52"/>
    <x v="194"/>
    <s v="Ödeme Bekleniyor"/>
    <n v="58049"/>
    <s v="1009-Erhan Demirkol-Gaziantep"/>
    <x v="3"/>
    <x v="12"/>
    <n v="4"/>
    <n v="39201.800000000003"/>
  </r>
  <r>
    <x v="50"/>
    <x v="195"/>
    <s v="Ürün Stokta Yok"/>
    <n v="53577"/>
    <s v="1005-Özge Sarıca Darol-Antalya"/>
    <x v="1"/>
    <x v="6"/>
    <n v="1"/>
    <n v="5962.5"/>
  </r>
  <r>
    <x v="28"/>
    <x v="119"/>
    <s v="İade edildi"/>
    <n v="87637"/>
    <s v="1004-Mürşit Doğan-Ankara"/>
    <x v="0"/>
    <x v="4"/>
    <n v="4"/>
    <n v="35658.400000000001"/>
  </r>
  <r>
    <x v="31"/>
    <x v="54"/>
    <s v="Ödeme Alındı"/>
    <n v="79201"/>
    <s v="1003-İlknur Akgül-İstanbul"/>
    <x v="2"/>
    <x v="5"/>
    <n v="1"/>
    <n v="8053.5"/>
  </r>
  <r>
    <x v="31"/>
    <x v="54"/>
    <s v="Paketlemede"/>
    <n v="58587"/>
    <s v="1009-Erhan Demirkol-Gaziantep"/>
    <x v="2"/>
    <x v="5"/>
    <n v="2"/>
    <n v="16107"/>
  </r>
  <r>
    <x v="4"/>
    <x v="5"/>
    <s v="Ürün Stokta Yok"/>
    <n v="15743"/>
    <s v="1003-İlknur Akgül-İstanbul"/>
    <x v="2"/>
    <x v="2"/>
    <n v="5"/>
    <n v="47848.75"/>
  </r>
  <r>
    <x v="3"/>
    <x v="3"/>
    <s v="Kargoya Verildi"/>
    <n v="66525"/>
    <s v="1007-Mustafa Gürhan Özdemir-Ankara"/>
    <x v="0"/>
    <x v="0"/>
    <n v="3"/>
    <n v="19374.300000000003"/>
  </r>
  <r>
    <x v="35"/>
    <x v="139"/>
    <s v="İade edildi"/>
    <n v="66674"/>
    <s v="1005-Özge Sarıca Darol-Antalya"/>
    <x v="1"/>
    <x v="6"/>
    <n v="3"/>
    <n v="17887.5"/>
  </r>
  <r>
    <x v="11"/>
    <x v="196"/>
    <s v="Ödeme Bekleniyor"/>
    <n v="11485"/>
    <s v="1010-Aykut Al-Ankara"/>
    <x v="0"/>
    <x v="0"/>
    <n v="5"/>
    <n v="32290.5"/>
  </r>
  <r>
    <x v="1"/>
    <x v="6"/>
    <s v="Ürün Stokta Yok"/>
    <n v="83733"/>
    <s v="1005-Özge Sarıca Darol-Antalya"/>
    <x v="2"/>
    <x v="5"/>
    <n v="1"/>
    <n v="8053.5"/>
  </r>
  <r>
    <x v="14"/>
    <x v="144"/>
    <s v="Beklemede"/>
    <n v="41127"/>
    <s v="1007-Mustafa Gürhan Özdemir-Ankara"/>
    <x v="3"/>
    <x v="12"/>
    <n v="5"/>
    <n v="49002.25"/>
  </r>
  <r>
    <x v="19"/>
    <x v="55"/>
    <s v="Ödeme Bekleniyor"/>
    <n v="79247"/>
    <s v="1003-İlknur Akgül-İstanbul"/>
    <x v="2"/>
    <x v="2"/>
    <n v="5"/>
    <n v="47848.75"/>
  </r>
  <r>
    <x v="28"/>
    <x v="127"/>
    <s v="Ürün Stokta Yok"/>
    <n v="21141"/>
    <s v="1003-İlknur Akgül-İstanbul"/>
    <x v="2"/>
    <x v="2"/>
    <n v="4"/>
    <n v="38279"/>
  </r>
  <r>
    <x v="0"/>
    <x v="7"/>
    <s v="Kargoya Verildi"/>
    <n v="85335"/>
    <s v="1011-Tayfur Taşkıran-Ankara"/>
    <x v="3"/>
    <x v="7"/>
    <n v="1"/>
    <n v="12621"/>
  </r>
  <r>
    <x v="20"/>
    <x v="72"/>
    <s v="Beklemede"/>
    <n v="29724"/>
    <s v="1005-Özge Sarıca Darol-Antalya"/>
    <x v="2"/>
    <x v="5"/>
    <n v="2"/>
    <n v="16107"/>
  </r>
  <r>
    <x v="32"/>
    <x v="197"/>
    <s v="Ödeme Bekleniyor"/>
    <n v="17191"/>
    <s v="1005-Özge Sarıca Darol-Antalya"/>
    <x v="1"/>
    <x v="8"/>
    <n v="5"/>
    <n v="46176"/>
  </r>
  <r>
    <x v="12"/>
    <x v="198"/>
    <s v="Beklemede"/>
    <n v="67437"/>
    <s v="1007-Mustafa Gürhan Özdemir-Ankara"/>
    <x v="2"/>
    <x v="2"/>
    <n v="1"/>
    <n v="9569.75"/>
  </r>
  <r>
    <x v="34"/>
    <x v="199"/>
    <s v="İade edildi"/>
    <n v="75119"/>
    <s v="1012-Ahmet Yalçın-İstanbul"/>
    <x v="3"/>
    <x v="9"/>
    <n v="2"/>
    <n v="17370.599999999999"/>
  </r>
  <r>
    <x v="45"/>
    <x v="200"/>
    <s v="Ödeme Bekleniyor"/>
    <n v="33449"/>
    <s v="1005-Özge Sarıca Darol-Antalya"/>
    <x v="1"/>
    <x v="8"/>
    <n v="3"/>
    <n v="27705.600000000002"/>
  </r>
  <r>
    <x v="44"/>
    <x v="136"/>
    <s v="Kargoya Verildi"/>
    <n v="93986"/>
    <s v="1003-İlknur Akgül-İstanbul"/>
    <x v="1"/>
    <x v="1"/>
    <n v="1"/>
    <n v="4141.63"/>
  </r>
  <r>
    <x v="52"/>
    <x v="201"/>
    <s v="Kargoya Verildi"/>
    <n v="35415"/>
    <s v="1007-Mustafa Gürhan Özdemir-Ankara"/>
    <x v="0"/>
    <x v="0"/>
    <n v="5"/>
    <n v="32290.5"/>
  </r>
  <r>
    <x v="24"/>
    <x v="79"/>
    <s v="Beklemede"/>
    <n v="55406"/>
    <s v="1005-Özge Sarıca Darol-Antalya"/>
    <x v="0"/>
    <x v="3"/>
    <n v="4"/>
    <n v="53373.600000000006"/>
  </r>
  <r>
    <x v="0"/>
    <x v="155"/>
    <s v="Ödeme Bekleniyor"/>
    <n v="58904"/>
    <s v="1003-İlknur Akgül-İstanbul"/>
    <x v="0"/>
    <x v="4"/>
    <n v="3"/>
    <n v="26743.800000000003"/>
  </r>
  <r>
    <x v="36"/>
    <x v="65"/>
    <s v="Ödeme Bekleniyor"/>
    <n v="88430"/>
    <s v="1010-Aykut Al-Ankara"/>
    <x v="2"/>
    <x v="5"/>
    <n v="4"/>
    <n v="32214"/>
  </r>
  <r>
    <x v="17"/>
    <x v="27"/>
    <s v="Ürün Stokta Yok"/>
    <n v="89123"/>
    <s v="1007-Mustafa Gürhan Özdemir-Ankara"/>
    <x v="0"/>
    <x v="3"/>
    <n v="5"/>
    <n v="66717"/>
  </r>
  <r>
    <x v="19"/>
    <x v="202"/>
    <s v="Ürün Stokta Yok"/>
    <n v="47820"/>
    <s v="1011-Tayfur Taşkıran-Ankara"/>
    <x v="1"/>
    <x v="1"/>
    <n v="2"/>
    <n v="8283.26"/>
  </r>
  <r>
    <x v="25"/>
    <x v="76"/>
    <s v="Beklemede"/>
    <n v="64149"/>
    <s v="1010-Aykut Al-Ankara"/>
    <x v="3"/>
    <x v="7"/>
    <n v="5"/>
    <n v="63105"/>
  </r>
  <r>
    <x v="27"/>
    <x v="166"/>
    <s v="Beklemede"/>
    <n v="74092"/>
    <s v="1010-Aykut Al-Ankara"/>
    <x v="1"/>
    <x v="6"/>
    <n v="4"/>
    <n v="23850"/>
  </r>
  <r>
    <x v="43"/>
    <x v="203"/>
    <s v="Paketlemede"/>
    <n v="55782"/>
    <s v="1003-İlknur Akgül-İstanbul"/>
    <x v="2"/>
    <x v="2"/>
    <n v="3"/>
    <n v="28709.25"/>
  </r>
  <r>
    <x v="33"/>
    <x v="204"/>
    <s v="İade edildi"/>
    <n v="61614"/>
    <s v="1010-Aykut Al-Ankara"/>
    <x v="0"/>
    <x v="3"/>
    <n v="2"/>
    <n v="26686.800000000003"/>
  </r>
  <r>
    <x v="22"/>
    <x v="100"/>
    <s v="Kargoya Verildi"/>
    <n v="65749"/>
    <s v="1006-Ali Baymak-Ankara"/>
    <x v="1"/>
    <x v="6"/>
    <n v="1"/>
    <n v="5962.5"/>
  </r>
  <r>
    <x v="31"/>
    <x v="205"/>
    <s v="Beklemede"/>
    <n v="26633"/>
    <s v="1012-Ahmet Yalçın-İstanbul"/>
    <x v="0"/>
    <x v="0"/>
    <n v="1"/>
    <n v="6458.1"/>
  </r>
  <r>
    <x v="27"/>
    <x v="151"/>
    <s v="Ürün Stokta Yok"/>
    <n v="71915"/>
    <s v="1007-Mustafa Gürhan Özdemir-Ankara"/>
    <x v="0"/>
    <x v="11"/>
    <n v="5"/>
    <n v="48297"/>
  </r>
  <r>
    <x v="11"/>
    <x v="206"/>
    <s v="Ödeme Alındı"/>
    <n v="46465"/>
    <s v="1008-Nizamettin Uyar-Ankara"/>
    <x v="2"/>
    <x v="2"/>
    <n v="2"/>
    <n v="19139.5"/>
  </r>
  <r>
    <x v="10"/>
    <x v="19"/>
    <s v="Beklemede"/>
    <n v="33823"/>
    <s v="1005-Özge Sarıca Darol-Antalya"/>
    <x v="0"/>
    <x v="11"/>
    <n v="1"/>
    <n v="9659.4"/>
  </r>
  <r>
    <x v="28"/>
    <x v="49"/>
    <s v="Ödeme Alındı"/>
    <n v="83488"/>
    <s v="1003-İlknur Akgül-İstanbul"/>
    <x v="3"/>
    <x v="9"/>
    <n v="5"/>
    <n v="43426.5"/>
  </r>
  <r>
    <x v="48"/>
    <x v="178"/>
    <s v="Kargoya Verildi"/>
    <n v="45375"/>
    <s v="1004-Mürşit Doğan-Ankara"/>
    <x v="0"/>
    <x v="3"/>
    <n v="1"/>
    <n v="13343.400000000001"/>
  </r>
  <r>
    <x v="14"/>
    <x v="207"/>
    <s v="Ürün Stokta Yok"/>
    <n v="74728"/>
    <s v="1012-Ahmet Yalçın-İstanbul"/>
    <x v="1"/>
    <x v="1"/>
    <n v="3"/>
    <n v="12424.89"/>
  </r>
  <r>
    <x v="51"/>
    <x v="208"/>
    <s v="Beklemede"/>
    <n v="62264"/>
    <s v="1003-İlknur Akgül-İstanbul"/>
    <x v="0"/>
    <x v="4"/>
    <n v="5"/>
    <n v="44573"/>
  </r>
  <r>
    <x v="40"/>
    <x v="99"/>
    <s v="Ödeme Bekleniyor"/>
    <n v="34144"/>
    <s v="1002-İnci Yüce-İstanbul"/>
    <x v="1"/>
    <x v="1"/>
    <n v="5"/>
    <n v="20708.150000000001"/>
  </r>
  <r>
    <x v="38"/>
    <x v="192"/>
    <s v="İade edildi"/>
    <n v="24690"/>
    <s v="1001-Feza Gürdal-Eskişehir"/>
    <x v="1"/>
    <x v="1"/>
    <n v="5"/>
    <n v="20708.150000000001"/>
  </r>
  <r>
    <x v="32"/>
    <x v="209"/>
    <s v="Paketlemede"/>
    <n v="57541"/>
    <s v="1007-Mustafa Gürhan Özdemir-Ankara"/>
    <x v="2"/>
    <x v="5"/>
    <n v="4"/>
    <n v="32214"/>
  </r>
  <r>
    <x v="36"/>
    <x v="156"/>
    <s v="Ürün Stokta Yok"/>
    <n v="44580"/>
    <s v="1002-İnci Yüce-İstanbul"/>
    <x v="0"/>
    <x v="0"/>
    <n v="5"/>
    <n v="32290.5"/>
  </r>
  <r>
    <x v="20"/>
    <x v="32"/>
    <s v="Kargoya Verildi"/>
    <n v="67390"/>
    <s v="1010-Aykut Al-Ankara"/>
    <x v="1"/>
    <x v="1"/>
    <n v="2"/>
    <n v="8283.26"/>
  </r>
  <r>
    <x v="26"/>
    <x v="187"/>
    <s v="Ödeme Alındı"/>
    <n v="23331"/>
    <s v="1009-Erhan Demirkol-Gaziantep"/>
    <x v="3"/>
    <x v="7"/>
    <n v="2"/>
    <n v="25242"/>
  </r>
  <r>
    <x v="15"/>
    <x v="47"/>
    <s v="Beklemede"/>
    <n v="14703"/>
    <s v="1008-Nizamettin Uyar-Ankara"/>
    <x v="2"/>
    <x v="5"/>
    <n v="5"/>
    <n v="40267.5"/>
  </r>
  <r>
    <x v="14"/>
    <x v="207"/>
    <s v="Kargoya Verildi"/>
    <n v="71349"/>
    <s v="1009-Erhan Demirkol-Gaziantep"/>
    <x v="1"/>
    <x v="8"/>
    <n v="2"/>
    <n v="18470.400000000001"/>
  </r>
  <r>
    <x v="49"/>
    <x v="121"/>
    <s v="İade edildi"/>
    <n v="51122"/>
    <s v="1004-Mürşit Doğan-Ankara"/>
    <x v="0"/>
    <x v="4"/>
    <n v="5"/>
    <n v="44573"/>
  </r>
  <r>
    <x v="30"/>
    <x v="130"/>
    <s v="Paketlemede"/>
    <n v="34832"/>
    <s v="1006-Ali Baymak-Ankara"/>
    <x v="1"/>
    <x v="8"/>
    <n v="2"/>
    <n v="18470.400000000001"/>
  </r>
  <r>
    <x v="0"/>
    <x v="210"/>
    <s v="Ödeme Bekleniyor"/>
    <n v="63723"/>
    <s v="1002-İnci Yüce-İstanbul"/>
    <x v="2"/>
    <x v="2"/>
    <n v="2"/>
    <n v="19139.5"/>
  </r>
  <r>
    <x v="34"/>
    <x v="58"/>
    <s v="Ürün Stokta Yok"/>
    <n v="12411"/>
    <s v="1005-Özge Sarıca Darol-Antalya"/>
    <x v="2"/>
    <x v="5"/>
    <n v="5"/>
    <n v="40267.5"/>
  </r>
  <r>
    <x v="38"/>
    <x v="211"/>
    <s v="Ürün Stokta Yok"/>
    <n v="41716"/>
    <s v="1011-Tayfur Taşkıran-Ankara"/>
    <x v="2"/>
    <x v="2"/>
    <n v="4"/>
    <n v="38279"/>
  </r>
  <r>
    <x v="12"/>
    <x v="183"/>
    <s v="Kargoya Verildi"/>
    <n v="37928"/>
    <s v="1011-Tayfur Taşkıran-Ankara"/>
    <x v="1"/>
    <x v="6"/>
    <n v="2"/>
    <n v="11925"/>
  </r>
  <r>
    <x v="18"/>
    <x v="212"/>
    <s v="Paketlemede"/>
    <n v="11382"/>
    <s v="1002-İnci Yüce-İstanbul"/>
    <x v="3"/>
    <x v="7"/>
    <n v="1"/>
    <n v="12621"/>
  </r>
  <r>
    <x v="41"/>
    <x v="213"/>
    <s v="Ödeme Bekleniyor"/>
    <n v="90633"/>
    <s v="1012-Ahmet Yalçın-İstanbul"/>
    <x v="0"/>
    <x v="3"/>
    <n v="1"/>
    <n v="13343.400000000001"/>
  </r>
  <r>
    <x v="21"/>
    <x v="174"/>
    <s v="Paketlemede"/>
    <n v="94131"/>
    <s v="1004-Mürşit Doğan-Ankara"/>
    <x v="1"/>
    <x v="6"/>
    <n v="2"/>
    <n v="11925"/>
  </r>
  <r>
    <x v="9"/>
    <x v="12"/>
    <s v="İade edildi"/>
    <n v="57589"/>
    <s v="1006-Ali Baymak-Ankara"/>
    <x v="2"/>
    <x v="5"/>
    <n v="1"/>
    <n v="8053.5"/>
  </r>
  <r>
    <x v="4"/>
    <x v="5"/>
    <s v="Paketlemede"/>
    <n v="40437"/>
    <s v="1012-Ahmet Yalçın-İstanbul"/>
    <x v="0"/>
    <x v="4"/>
    <n v="3"/>
    <n v="26743.800000000003"/>
  </r>
  <r>
    <x v="42"/>
    <x v="214"/>
    <s v="Ödeme Alındı"/>
    <n v="56018"/>
    <s v="1007-Mustafa Gürhan Özdemir-Ankara"/>
    <x v="2"/>
    <x v="2"/>
    <n v="4"/>
    <n v="38279"/>
  </r>
  <r>
    <x v="30"/>
    <x v="215"/>
    <s v="Ürün Stokta Yok"/>
    <n v="28734"/>
    <s v="1003-İlknur Akgül-İstanbul"/>
    <x v="1"/>
    <x v="8"/>
    <n v="1"/>
    <n v="9235.2000000000007"/>
  </r>
  <r>
    <x v="39"/>
    <x v="83"/>
    <s v="Beklemede"/>
    <n v="29373"/>
    <s v="1003-İlknur Akgül-İstanbul"/>
    <x v="1"/>
    <x v="8"/>
    <n v="3"/>
    <n v="27705.600000000002"/>
  </r>
  <r>
    <x v="17"/>
    <x v="216"/>
    <s v="Paketlemede"/>
    <n v="56113"/>
    <s v="1008-Nizamettin Uyar-Ankara"/>
    <x v="1"/>
    <x v="8"/>
    <n v="5"/>
    <n v="46176"/>
  </r>
  <r>
    <x v="49"/>
    <x v="217"/>
    <s v="Kargoya Verildi"/>
    <n v="93147"/>
    <s v="1001-Feza Gürdal-Eskişehir"/>
    <x v="3"/>
    <x v="12"/>
    <n v="5"/>
    <n v="49002.25"/>
  </r>
  <r>
    <x v="0"/>
    <x v="0"/>
    <s v="Paketlemede"/>
    <n v="84835"/>
    <s v="1004-Mürşit Doğan-Ankara"/>
    <x v="2"/>
    <x v="5"/>
    <n v="5"/>
    <n v="40267.5"/>
  </r>
  <r>
    <x v="33"/>
    <x v="218"/>
    <s v="Ödeme Alındı"/>
    <n v="91078"/>
    <s v="1002-İnci Yüce-İstanbul"/>
    <x v="1"/>
    <x v="8"/>
    <n v="5"/>
    <n v="46176"/>
  </r>
  <r>
    <x v="32"/>
    <x v="197"/>
    <s v="Kargoya Verildi"/>
    <n v="90371"/>
    <s v="1011-Tayfur Taşkıran-Ankara"/>
    <x v="0"/>
    <x v="11"/>
    <n v="2"/>
    <n v="19318.8"/>
  </r>
  <r>
    <x v="52"/>
    <x v="194"/>
    <s v="Kargoya Verildi"/>
    <n v="29786"/>
    <s v="1004-Mürşit Doğan-Ankara"/>
    <x v="0"/>
    <x v="0"/>
    <n v="2"/>
    <n v="12916.2"/>
  </r>
  <r>
    <x v="24"/>
    <x v="80"/>
    <s v="Ürün Stokta Yok"/>
    <n v="27682"/>
    <s v="1004-Mürşit Doğan-Ankara"/>
    <x v="0"/>
    <x v="0"/>
    <n v="2"/>
    <n v="12916.2"/>
  </r>
  <r>
    <x v="39"/>
    <x v="219"/>
    <s v="Ödeme Bekleniyor"/>
    <n v="14039"/>
    <s v="1002-İnci Yüce-İstanbul"/>
    <x v="2"/>
    <x v="5"/>
    <n v="1"/>
    <n v="8053.5"/>
  </r>
  <r>
    <x v="9"/>
    <x v="150"/>
    <s v="Ödeme Alındı"/>
    <n v="75091"/>
    <s v="1006-Ali Baymak-Ankara"/>
    <x v="2"/>
    <x v="5"/>
    <n v="1"/>
    <n v="8053.5"/>
  </r>
  <r>
    <x v="41"/>
    <x v="213"/>
    <s v="Ödeme Alındı"/>
    <n v="56698"/>
    <s v="1001-Feza Gürdal-Eskişehir"/>
    <x v="0"/>
    <x v="11"/>
    <n v="2"/>
    <n v="19318.8"/>
  </r>
  <r>
    <x v="34"/>
    <x v="199"/>
    <s v="Beklemede"/>
    <n v="27544"/>
    <s v="1003-İlknur Akgül-İstanbul"/>
    <x v="0"/>
    <x v="0"/>
    <n v="3"/>
    <n v="19374.300000000003"/>
  </r>
  <r>
    <x v="34"/>
    <x v="220"/>
    <s v="Kargoya Verildi"/>
    <n v="20358"/>
    <s v="1002-İnci Yüce-İstanbul"/>
    <x v="2"/>
    <x v="5"/>
    <n v="5"/>
    <n v="40267.5"/>
  </r>
  <r>
    <x v="37"/>
    <x v="221"/>
    <s v="İade edildi"/>
    <n v="85064"/>
    <s v="1003-İlknur Akgül-İstanbul"/>
    <x v="3"/>
    <x v="9"/>
    <n v="4"/>
    <n v="34741.199999999997"/>
  </r>
  <r>
    <x v="0"/>
    <x v="155"/>
    <s v="Beklemede"/>
    <n v="54007"/>
    <s v="1004-Mürşit Doğan-Ankara"/>
    <x v="1"/>
    <x v="8"/>
    <n v="3"/>
    <n v="27705.600000000002"/>
  </r>
  <r>
    <x v="49"/>
    <x v="217"/>
    <s v="Ödeme Bekleniyor"/>
    <n v="25971"/>
    <s v="1006-Ali Baymak-Ankara"/>
    <x v="2"/>
    <x v="5"/>
    <n v="5"/>
    <n v="40267.5"/>
  </r>
  <r>
    <x v="51"/>
    <x v="177"/>
    <s v="Paketlemede"/>
    <n v="57016"/>
    <s v="1008-Nizamettin Uyar-Ankara"/>
    <x v="1"/>
    <x v="6"/>
    <n v="3"/>
    <n v="17887.5"/>
  </r>
  <r>
    <x v="14"/>
    <x v="24"/>
    <s v="Ödeme Alındı"/>
    <n v="21378"/>
    <s v="1002-İnci Yüce-İstanbul"/>
    <x v="2"/>
    <x v="5"/>
    <n v="1"/>
    <n v="8053.5"/>
  </r>
  <r>
    <x v="20"/>
    <x v="32"/>
    <s v="İade edildi"/>
    <n v="95365"/>
    <s v="1007-Mustafa Gürhan Özdemir-Ankara"/>
    <x v="3"/>
    <x v="10"/>
    <n v="3"/>
    <n v="42198"/>
  </r>
  <r>
    <x v="33"/>
    <x v="204"/>
    <s v="Beklemede"/>
    <n v="24052"/>
    <s v="1005-Özge Sarıca Darol-Antalya"/>
    <x v="1"/>
    <x v="6"/>
    <n v="4"/>
    <n v="23850"/>
  </r>
  <r>
    <x v="1"/>
    <x v="39"/>
    <s v="Paketlemede"/>
    <n v="55715"/>
    <s v="1002-İnci Yüce-İstanbul"/>
    <x v="1"/>
    <x v="8"/>
    <n v="4"/>
    <n v="36940.800000000003"/>
  </r>
  <r>
    <x v="6"/>
    <x v="104"/>
    <s v="Beklemede"/>
    <n v="53656"/>
    <s v="1002-İnci Yüce-İstanbul"/>
    <x v="3"/>
    <x v="12"/>
    <n v="2"/>
    <n v="19600.900000000001"/>
  </r>
  <r>
    <x v="22"/>
    <x v="133"/>
    <s v="Ürün Stokta Yok"/>
    <n v="95345"/>
    <s v="1003-İlknur Akgül-İstanbul"/>
    <x v="2"/>
    <x v="2"/>
    <n v="5"/>
    <n v="47848.75"/>
  </r>
  <r>
    <x v="10"/>
    <x v="222"/>
    <s v="Ödeme Alındı"/>
    <n v="73257"/>
    <s v="1006-Ali Baymak-Ankara"/>
    <x v="0"/>
    <x v="4"/>
    <n v="3"/>
    <n v="26743.800000000003"/>
  </r>
  <r>
    <x v="26"/>
    <x v="138"/>
    <s v="Ürün Stokta Yok"/>
    <n v="92736"/>
    <s v="1001-Feza Gürdal-Eskişehir"/>
    <x v="1"/>
    <x v="1"/>
    <n v="1"/>
    <n v="4141.63"/>
  </r>
  <r>
    <x v="16"/>
    <x v="78"/>
    <s v="İade edildi"/>
    <n v="58290"/>
    <s v="1005-Özge Sarıca Darol-Antalya"/>
    <x v="2"/>
    <x v="5"/>
    <n v="5"/>
    <n v="40267.5"/>
  </r>
  <r>
    <x v="8"/>
    <x v="223"/>
    <s v="Ürün Stokta Yok"/>
    <n v="56020"/>
    <s v="1012-Ahmet Yalçın-İstanbul"/>
    <x v="0"/>
    <x v="11"/>
    <n v="3"/>
    <n v="28978.199999999997"/>
  </r>
  <r>
    <x v="47"/>
    <x v="224"/>
    <s v="Beklemede"/>
    <n v="77397"/>
    <s v="1011-Tayfur Taşkıran-Ankara"/>
    <x v="3"/>
    <x v="10"/>
    <n v="5"/>
    <n v="70330"/>
  </r>
  <r>
    <x v="39"/>
    <x v="83"/>
    <s v="Beklemede"/>
    <n v="80053"/>
    <s v="1012-Ahmet Yalçın-İstanbul"/>
    <x v="2"/>
    <x v="2"/>
    <n v="1"/>
    <n v="9569.75"/>
  </r>
  <r>
    <x v="7"/>
    <x v="36"/>
    <s v="Paketlemede"/>
    <n v="51502"/>
    <s v="1004-Mürşit Doğan-Ankara"/>
    <x v="2"/>
    <x v="2"/>
    <n v="2"/>
    <n v="19139.5"/>
  </r>
  <r>
    <x v="10"/>
    <x v="15"/>
    <s v="Kargoya Verildi"/>
    <n v="56321"/>
    <s v="1006-Ali Baymak-Ankara"/>
    <x v="1"/>
    <x v="8"/>
    <n v="2"/>
    <n v="18470.400000000001"/>
  </r>
  <r>
    <x v="1"/>
    <x v="39"/>
    <s v="Kargoya Verildi"/>
    <n v="27380"/>
    <s v="1001-Feza Gürdal-Eskişehir"/>
    <x v="1"/>
    <x v="8"/>
    <n v="4"/>
    <n v="36940.800000000003"/>
  </r>
  <r>
    <x v="16"/>
    <x v="78"/>
    <s v="Paketlemede"/>
    <n v="71238"/>
    <s v="1007-Mustafa Gürhan Özdemir-Ankara"/>
    <x v="1"/>
    <x v="8"/>
    <n v="4"/>
    <n v="36940.800000000003"/>
  </r>
  <r>
    <x v="51"/>
    <x v="165"/>
    <s v="Paketlemede"/>
    <n v="22581"/>
    <s v="1010-Aykut Al-Ankara"/>
    <x v="3"/>
    <x v="9"/>
    <n v="4"/>
    <n v="34741.199999999997"/>
  </r>
  <r>
    <x v="35"/>
    <x v="77"/>
    <s v="Ödeme Bekleniyor"/>
    <n v="17984"/>
    <s v="1005-Özge Sarıca Darol-Antalya"/>
    <x v="2"/>
    <x v="5"/>
    <n v="2"/>
    <n v="16107"/>
  </r>
  <r>
    <x v="16"/>
    <x v="31"/>
    <s v="Ödeme Alındı"/>
    <n v="73575"/>
    <s v="1005-Özge Sarıca Darol-Antalya"/>
    <x v="3"/>
    <x v="10"/>
    <n v="4"/>
    <n v="56264"/>
  </r>
  <r>
    <x v="1"/>
    <x v="1"/>
    <s v="İade edildi"/>
    <n v="54854"/>
    <s v="1012-Ahmet Yalçın-İstanbul"/>
    <x v="0"/>
    <x v="4"/>
    <n v="1"/>
    <n v="8914.6"/>
  </r>
  <r>
    <x v="45"/>
    <x v="102"/>
    <s v="Ödeme Bekleniyor"/>
    <n v="39229"/>
    <s v="1012-Ahmet Yalçın-İstanbul"/>
    <x v="1"/>
    <x v="6"/>
    <n v="1"/>
    <n v="5962.5"/>
  </r>
  <r>
    <x v="8"/>
    <x v="23"/>
    <s v="Kargoya Verildi"/>
    <n v="26302"/>
    <s v="1007-Mustafa Gürhan Özdemir-Ankara"/>
    <x v="3"/>
    <x v="7"/>
    <n v="5"/>
    <n v="63105"/>
  </r>
  <r>
    <x v="27"/>
    <x v="166"/>
    <s v="Kargoya Verildi"/>
    <n v="99900"/>
    <s v="1002-İnci Yüce-İstanbul"/>
    <x v="1"/>
    <x v="1"/>
    <n v="3"/>
    <n v="12424.89"/>
  </r>
  <r>
    <x v="50"/>
    <x v="225"/>
    <s v="İade edildi"/>
    <n v="86086"/>
    <s v="1012-Ahmet Yalçın-İstanbul"/>
    <x v="0"/>
    <x v="0"/>
    <n v="2"/>
    <n v="12916.2"/>
  </r>
  <r>
    <x v="47"/>
    <x v="113"/>
    <s v="İade edildi"/>
    <n v="99069"/>
    <s v="1002-İnci Yüce-İstanbul"/>
    <x v="2"/>
    <x v="5"/>
    <n v="5"/>
    <n v="40267.5"/>
  </r>
  <r>
    <x v="34"/>
    <x v="58"/>
    <s v="Ürün Stokta Yok"/>
    <n v="89353"/>
    <s v="1006-Ali Baymak-Ankara"/>
    <x v="3"/>
    <x v="7"/>
    <n v="2"/>
    <n v="25242"/>
  </r>
  <r>
    <x v="48"/>
    <x v="115"/>
    <s v="Paketlemede"/>
    <n v="81927"/>
    <s v="1009-Erhan Demirkol-Gaziantep"/>
    <x v="0"/>
    <x v="3"/>
    <n v="5"/>
    <n v="66717"/>
  </r>
  <r>
    <x v="3"/>
    <x v="226"/>
    <s v="Ürün Stokta Yok"/>
    <n v="80605"/>
    <s v="1002-İnci Yüce-İstanbul"/>
    <x v="1"/>
    <x v="8"/>
    <n v="5"/>
    <n v="46176"/>
  </r>
  <r>
    <x v="29"/>
    <x v="88"/>
    <s v="Beklemede"/>
    <n v="42017"/>
    <s v="1005-Özge Sarıca Darol-Antalya"/>
    <x v="3"/>
    <x v="9"/>
    <n v="2"/>
    <n v="17370.599999999999"/>
  </r>
  <r>
    <x v="50"/>
    <x v="162"/>
    <s v="Ürün Stokta Yok"/>
    <n v="56517"/>
    <s v="1003-İlknur Akgül-İstanbul"/>
    <x v="1"/>
    <x v="8"/>
    <n v="4"/>
    <n v="36940.800000000003"/>
  </r>
  <r>
    <x v="22"/>
    <x v="133"/>
    <s v="Beklemede"/>
    <n v="35025"/>
    <s v="1006-Ali Baymak-Ankara"/>
    <x v="2"/>
    <x v="2"/>
    <n v="4"/>
    <n v="38279"/>
  </r>
  <r>
    <x v="26"/>
    <x v="227"/>
    <s v="Kargoya Verildi"/>
    <n v="32351"/>
    <s v="1001-Feza Gürdal-Eskişehir"/>
    <x v="2"/>
    <x v="5"/>
    <n v="4"/>
    <n v="32214"/>
  </r>
  <r>
    <x v="50"/>
    <x v="225"/>
    <s v="Ödeme Alındı"/>
    <n v="73628"/>
    <s v="1001-Feza Gürdal-Eskişehir"/>
    <x v="1"/>
    <x v="1"/>
    <n v="3"/>
    <n v="12424.89"/>
  </r>
  <r>
    <x v="6"/>
    <x v="9"/>
    <s v="Ödeme Bekleniyor"/>
    <n v="85822"/>
    <s v="1010-Aykut Al-Ankara"/>
    <x v="3"/>
    <x v="9"/>
    <n v="5"/>
    <n v="43426.5"/>
  </r>
  <r>
    <x v="17"/>
    <x v="27"/>
    <s v="Ödeme Alındı"/>
    <n v="17269"/>
    <s v="1002-İnci Yüce-İstanbul"/>
    <x v="0"/>
    <x v="4"/>
    <n v="1"/>
    <n v="8914.6"/>
  </r>
  <r>
    <x v="2"/>
    <x v="126"/>
    <s v="Paketlemede"/>
    <n v="23285"/>
    <s v="1011-Tayfur Taşkıran-Ankara"/>
    <x v="1"/>
    <x v="8"/>
    <n v="1"/>
    <n v="9235.2000000000007"/>
  </r>
  <r>
    <x v="46"/>
    <x v="168"/>
    <s v="Ödeme Bekleniyor"/>
    <n v="80164"/>
    <s v="1005-Özge Sarıca Darol-Antalya"/>
    <x v="0"/>
    <x v="4"/>
    <n v="1"/>
    <n v="8914.6"/>
  </r>
  <r>
    <x v="7"/>
    <x v="62"/>
    <s v="Kargoya Verildi"/>
    <n v="63437"/>
    <s v="1009-Erhan Demirkol-Gaziantep"/>
    <x v="2"/>
    <x v="2"/>
    <n v="5"/>
    <n v="47848.75"/>
  </r>
  <r>
    <x v="5"/>
    <x v="51"/>
    <s v="Beklemede"/>
    <n v="41464"/>
    <s v="1005-Özge Sarıca Darol-Antalya"/>
    <x v="1"/>
    <x v="8"/>
    <n v="3"/>
    <n v="27705.600000000002"/>
  </r>
  <r>
    <x v="51"/>
    <x v="228"/>
    <s v="Kargoya Verildi"/>
    <n v="21625"/>
    <s v="1005-Özge Sarıca Darol-Antalya"/>
    <x v="0"/>
    <x v="3"/>
    <n v="2"/>
    <n v="26686.800000000003"/>
  </r>
  <r>
    <x v="24"/>
    <x v="80"/>
    <s v="Paketlemede"/>
    <n v="66223"/>
    <s v="1010-Aykut Al-Ankara"/>
    <x v="2"/>
    <x v="5"/>
    <n v="4"/>
    <n v="32214"/>
  </r>
  <r>
    <x v="44"/>
    <x v="136"/>
    <s v="Ödeme Alındı"/>
    <n v="46931"/>
    <s v="1010-Aykut Al-Ankara"/>
    <x v="0"/>
    <x v="11"/>
    <n v="4"/>
    <n v="38637.599999999999"/>
  </r>
  <r>
    <x v="49"/>
    <x v="118"/>
    <s v="İade edildi"/>
    <n v="41065"/>
    <s v="1004-Mürşit Doğan-Ankara"/>
    <x v="2"/>
    <x v="5"/>
    <n v="4"/>
    <n v="32214"/>
  </r>
  <r>
    <x v="21"/>
    <x v="229"/>
    <s v="Ödeme Bekleniyor"/>
    <n v="54264"/>
    <s v="1010-Aykut Al-Ankara"/>
    <x v="2"/>
    <x v="5"/>
    <n v="4"/>
    <n v="32214"/>
  </r>
  <r>
    <x v="39"/>
    <x v="83"/>
    <s v="Paketlemede"/>
    <n v="30033"/>
    <s v="1002-İnci Yüce-İstanbul"/>
    <x v="0"/>
    <x v="4"/>
    <n v="1"/>
    <n v="8914.6"/>
  </r>
  <r>
    <x v="48"/>
    <x v="230"/>
    <s v="Kargoya Verildi"/>
    <n v="55414"/>
    <s v="1004-Mürşit Doğan-Ankara"/>
    <x v="1"/>
    <x v="8"/>
    <n v="3"/>
    <n v="27705.600000000002"/>
  </r>
  <r>
    <x v="3"/>
    <x v="41"/>
    <s v="Paketlemede"/>
    <n v="12175"/>
    <s v="1002-İnci Yüce-İstanbul"/>
    <x v="0"/>
    <x v="11"/>
    <n v="2"/>
    <n v="19318.8"/>
  </r>
  <r>
    <x v="13"/>
    <x v="231"/>
    <s v="Ödeme Bekleniyor"/>
    <n v="46907"/>
    <s v="1008-Nizamettin Uyar-Ankara"/>
    <x v="2"/>
    <x v="2"/>
    <n v="2"/>
    <n v="19139.5"/>
  </r>
  <r>
    <x v="40"/>
    <x v="99"/>
    <s v="İade edildi"/>
    <n v="87691"/>
    <s v="1002-İnci Yüce-İstanbul"/>
    <x v="0"/>
    <x v="4"/>
    <n v="2"/>
    <n v="17829.2"/>
  </r>
  <r>
    <x v="32"/>
    <x v="137"/>
    <s v="İade edildi"/>
    <n v="82213"/>
    <s v="1002-İnci Yüce-İstanbul"/>
    <x v="0"/>
    <x v="11"/>
    <n v="1"/>
    <n v="9659.4"/>
  </r>
  <r>
    <x v="36"/>
    <x v="65"/>
    <s v="Ödeme Bekleniyor"/>
    <n v="18728"/>
    <s v="1010-Aykut Al-Ankara"/>
    <x v="2"/>
    <x v="5"/>
    <n v="3"/>
    <n v="24160.5"/>
  </r>
  <r>
    <x v="43"/>
    <x v="140"/>
    <s v="Beklemede"/>
    <n v="31106"/>
    <s v="1009-Erhan Demirkol-Gaziantep"/>
    <x v="0"/>
    <x v="3"/>
    <n v="2"/>
    <n v="26686.800000000003"/>
  </r>
  <r>
    <x v="45"/>
    <x v="232"/>
    <s v="Kargoya Verildi"/>
    <n v="68973"/>
    <s v="1009-Erhan Demirkol-Gaziantep"/>
    <x v="1"/>
    <x v="8"/>
    <n v="4"/>
    <n v="36940.800000000003"/>
  </r>
  <r>
    <x v="52"/>
    <x v="194"/>
    <s v="Paketlemede"/>
    <n v="68832"/>
    <s v="1002-İnci Yüce-İstanbul"/>
    <x v="3"/>
    <x v="9"/>
    <n v="5"/>
    <n v="43426.5"/>
  </r>
  <r>
    <x v="37"/>
    <x v="71"/>
    <s v="Ödeme Alındı"/>
    <n v="33391"/>
    <s v="1006-Ali Baymak-Ankara"/>
    <x v="1"/>
    <x v="8"/>
    <n v="2"/>
    <n v="18470.400000000001"/>
  </r>
  <r>
    <x v="34"/>
    <x v="220"/>
    <s v="İade edildi"/>
    <n v="80219"/>
    <s v="1004-Mürşit Doğan-Ankara"/>
    <x v="0"/>
    <x v="3"/>
    <n v="3"/>
    <n v="40030.200000000004"/>
  </r>
  <r>
    <x v="24"/>
    <x v="66"/>
    <s v="Kargoya Verildi"/>
    <n v="99150"/>
    <s v="1004-Mürşit Doğan-Ankara"/>
    <x v="0"/>
    <x v="0"/>
    <n v="2"/>
    <n v="12916.2"/>
  </r>
  <r>
    <x v="40"/>
    <x v="74"/>
    <s v="Ödeme Bekleniyor"/>
    <n v="34487"/>
    <s v="1003-İlknur Akgül-İstanbul"/>
    <x v="0"/>
    <x v="4"/>
    <n v="3"/>
    <n v="26743.800000000003"/>
  </r>
  <r>
    <x v="28"/>
    <x v="49"/>
    <s v="Ödeme Bekleniyor"/>
    <n v="27280"/>
    <s v="1002-İnci Yüce-İstanbul"/>
    <x v="2"/>
    <x v="5"/>
    <n v="3"/>
    <n v="24160.5"/>
  </r>
  <r>
    <x v="0"/>
    <x v="7"/>
    <s v="Paketlemede"/>
    <n v="19868"/>
    <s v="1003-İlknur Akgül-İstanbul"/>
    <x v="0"/>
    <x v="4"/>
    <n v="5"/>
    <n v="44573"/>
  </r>
  <r>
    <x v="15"/>
    <x v="233"/>
    <s v="Kargoya Verildi"/>
    <n v="19841"/>
    <s v="1008-Nizamettin Uyar-Ankara"/>
    <x v="0"/>
    <x v="3"/>
    <n v="3"/>
    <n v="40030.200000000004"/>
  </r>
  <r>
    <x v="22"/>
    <x v="234"/>
    <s v="İade edildi"/>
    <n v="11710"/>
    <s v="1011-Tayfur Taşkıran-Ankara"/>
    <x v="1"/>
    <x v="1"/>
    <n v="4"/>
    <n v="16566.52"/>
  </r>
  <r>
    <x v="46"/>
    <x v="168"/>
    <s v="Paketlemede"/>
    <n v="88142"/>
    <s v="1008-Nizamettin Uyar-Ankara"/>
    <x v="3"/>
    <x v="12"/>
    <n v="2"/>
    <n v="19600.900000000001"/>
  </r>
  <r>
    <x v="35"/>
    <x v="235"/>
    <s v="İade edildi"/>
    <n v="29190"/>
    <s v="1002-İnci Yüce-İstanbul"/>
    <x v="2"/>
    <x v="5"/>
    <n v="5"/>
    <n v="40267.5"/>
  </r>
  <r>
    <x v="48"/>
    <x v="184"/>
    <s v="Beklemede"/>
    <n v="23165"/>
    <s v="1012-Ahmet Yalçın-İstanbul"/>
    <x v="2"/>
    <x v="5"/>
    <n v="5"/>
    <n v="40267.5"/>
  </r>
  <r>
    <x v="24"/>
    <x v="191"/>
    <s v="İade edildi"/>
    <n v="42469"/>
    <s v="1011-Tayfur Taşkıran-Ankara"/>
    <x v="2"/>
    <x v="2"/>
    <n v="2"/>
    <n v="19139.5"/>
  </r>
  <r>
    <x v="28"/>
    <x v="236"/>
    <s v="Beklemede"/>
    <n v="60683"/>
    <s v="1005-Özge Sarıca Darol-Antalya"/>
    <x v="0"/>
    <x v="11"/>
    <n v="2"/>
    <n v="19318.8"/>
  </r>
  <r>
    <x v="7"/>
    <x v="17"/>
    <s v="İade edildi"/>
    <n v="45785"/>
    <s v="1002-İnci Yüce-İstanbul"/>
    <x v="2"/>
    <x v="2"/>
    <n v="1"/>
    <n v="9569.75"/>
  </r>
  <r>
    <x v="36"/>
    <x v="128"/>
    <s v="Beklemede"/>
    <n v="25839"/>
    <s v="1003-İlknur Akgül-İstanbul"/>
    <x v="0"/>
    <x v="4"/>
    <n v="4"/>
    <n v="35658.400000000001"/>
  </r>
  <r>
    <x v="21"/>
    <x v="34"/>
    <s v="Kargoya Verildi"/>
    <n v="28472"/>
    <s v="1005-Özge Sarıca Darol-Antalya"/>
    <x v="1"/>
    <x v="1"/>
    <n v="5"/>
    <n v="20708.150000000001"/>
  </r>
  <r>
    <x v="1"/>
    <x v="39"/>
    <s v="Paketlemede"/>
    <n v="95535"/>
    <s v="1004-Mürşit Doğan-Ankara"/>
    <x v="2"/>
    <x v="5"/>
    <n v="1"/>
    <n v="8053.5"/>
  </r>
  <r>
    <x v="30"/>
    <x v="95"/>
    <s v="Kargoya Verildi"/>
    <n v="21696"/>
    <s v="1011-Tayfur Taşkıran-Ankara"/>
    <x v="0"/>
    <x v="4"/>
    <n v="2"/>
    <n v="17829.2"/>
  </r>
  <r>
    <x v="14"/>
    <x v="237"/>
    <s v="Beklemede"/>
    <n v="37042"/>
    <s v="1008-Nizamettin Uyar-Ankara"/>
    <x v="0"/>
    <x v="11"/>
    <n v="3"/>
    <n v="28978.199999999997"/>
  </r>
  <r>
    <x v="1"/>
    <x v="1"/>
    <s v="Beklemede"/>
    <n v="49226"/>
    <s v="1006-Ali Baymak-Ankara"/>
    <x v="0"/>
    <x v="4"/>
    <n v="4"/>
    <n v="35658.400000000001"/>
  </r>
  <r>
    <x v="21"/>
    <x v="174"/>
    <s v="Beklemede"/>
    <n v="97510"/>
    <s v="1002-İnci Yüce-İstanbul"/>
    <x v="0"/>
    <x v="3"/>
    <n v="2"/>
    <n v="26686.800000000003"/>
  </r>
  <r>
    <x v="8"/>
    <x v="11"/>
    <s v="Beklemede"/>
    <n v="91577"/>
    <s v="1012-Ahmet Yalçın-İstanbul"/>
    <x v="1"/>
    <x v="6"/>
    <n v="4"/>
    <n v="23850"/>
  </r>
  <r>
    <x v="23"/>
    <x v="37"/>
    <s v="İade edildi"/>
    <n v="43069"/>
    <s v="1001-Feza Gürdal-Eskişehir"/>
    <x v="0"/>
    <x v="11"/>
    <n v="4"/>
    <n v="38637.599999999999"/>
  </r>
  <r>
    <x v="30"/>
    <x v="238"/>
    <s v="Paketlemede"/>
    <n v="99154"/>
    <s v="1004-Mürşit Doğan-Ankara"/>
    <x v="1"/>
    <x v="1"/>
    <n v="3"/>
    <n v="12424.89"/>
  </r>
  <r>
    <x v="51"/>
    <x v="165"/>
    <s v="Kargoya Verildi"/>
    <n v="68494"/>
    <s v="1002-İnci Yüce-İstanbul"/>
    <x v="3"/>
    <x v="10"/>
    <n v="4"/>
    <n v="56264"/>
  </r>
  <r>
    <x v="11"/>
    <x v="196"/>
    <s v="Ödeme Bekleniyor"/>
    <n v="26894"/>
    <s v="1011-Tayfur Taşkıran-Ankara"/>
    <x v="0"/>
    <x v="3"/>
    <n v="5"/>
    <n v="66717"/>
  </r>
  <r>
    <x v="26"/>
    <x v="239"/>
    <s v="Ürün Stokta Yok"/>
    <n v="24276"/>
    <s v="1007-Mustafa Gürhan Özdemir-Ankara"/>
    <x v="1"/>
    <x v="8"/>
    <n v="1"/>
    <n v="9235.2000000000007"/>
  </r>
  <r>
    <x v="34"/>
    <x v="87"/>
    <s v="Ödeme Alındı"/>
    <n v="40282"/>
    <s v="1006-Ali Baymak-Ankara"/>
    <x v="0"/>
    <x v="3"/>
    <n v="3"/>
    <n v="40030.200000000004"/>
  </r>
  <r>
    <x v="0"/>
    <x v="240"/>
    <s v="Ürün Stokta Yok"/>
    <n v="20967"/>
    <s v="1008-Nizamettin Uyar-Ankara"/>
    <x v="0"/>
    <x v="11"/>
    <n v="1"/>
    <n v="9659.4"/>
  </r>
  <r>
    <x v="33"/>
    <x v="218"/>
    <s v="Kargoya Verildi"/>
    <n v="79798"/>
    <s v="1012-Ahmet Yalçın-İstanbul"/>
    <x v="0"/>
    <x v="0"/>
    <n v="1"/>
    <n v="6458.1"/>
  </r>
  <r>
    <x v="21"/>
    <x v="107"/>
    <s v="Ödeme Bekleniyor"/>
    <n v="26820"/>
    <s v="1005-Özge Sarıca Darol-Antalya"/>
    <x v="0"/>
    <x v="4"/>
    <n v="3"/>
    <n v="26743.800000000003"/>
  </r>
  <r>
    <x v="2"/>
    <x v="241"/>
    <s v="Ürün Stokta Yok"/>
    <n v="55970"/>
    <s v="1006-Ali Baymak-Ankara"/>
    <x v="2"/>
    <x v="5"/>
    <n v="3"/>
    <n v="24160.5"/>
  </r>
  <r>
    <x v="28"/>
    <x v="127"/>
    <s v="Ödeme Alındı"/>
    <n v="97422"/>
    <s v="1008-Nizamettin Uyar-Ankara"/>
    <x v="1"/>
    <x v="1"/>
    <n v="1"/>
    <n v="4141.63"/>
  </r>
  <r>
    <x v="40"/>
    <x v="242"/>
    <s v="Ödeme Bekleniyor"/>
    <n v="35046"/>
    <s v="1009-Erhan Demirkol-Gaziantep"/>
    <x v="3"/>
    <x v="10"/>
    <n v="3"/>
    <n v="42198"/>
  </r>
  <r>
    <x v="24"/>
    <x v="40"/>
    <s v="İade edildi"/>
    <n v="73043"/>
    <s v="1003-İlknur Akgül-İstanbul"/>
    <x v="1"/>
    <x v="1"/>
    <n v="4"/>
    <n v="16566.52"/>
  </r>
  <r>
    <x v="28"/>
    <x v="243"/>
    <s v="Kargoya Verildi"/>
    <n v="25634"/>
    <s v="1011-Tayfur Taşkıran-Ankara"/>
    <x v="0"/>
    <x v="0"/>
    <n v="2"/>
    <n v="12916.2"/>
  </r>
  <r>
    <x v="20"/>
    <x v="153"/>
    <s v="Ödeme Alındı"/>
    <n v="93946"/>
    <s v="1005-Özge Sarıca Darol-Antalya"/>
    <x v="0"/>
    <x v="0"/>
    <n v="3"/>
    <n v="19374.300000000003"/>
  </r>
  <r>
    <x v="5"/>
    <x v="154"/>
    <s v="Ürün Stokta Yok"/>
    <n v="67946"/>
    <s v="1007-Mustafa Gürhan Özdemir-Ankara"/>
    <x v="2"/>
    <x v="2"/>
    <n v="3"/>
    <n v="28709.25"/>
  </r>
  <r>
    <x v="13"/>
    <x v="21"/>
    <s v="Beklemede"/>
    <n v="99995"/>
    <s v="1001-Feza Gürdal-Eskişehir"/>
    <x v="0"/>
    <x v="0"/>
    <n v="5"/>
    <n v="32290.5"/>
  </r>
  <r>
    <x v="35"/>
    <x v="170"/>
    <s v="Beklemede"/>
    <n v="42744"/>
    <s v="1012-Ahmet Yalçın-İstanbul"/>
    <x v="0"/>
    <x v="0"/>
    <n v="3"/>
    <n v="19374.300000000003"/>
  </r>
  <r>
    <x v="11"/>
    <x v="244"/>
    <s v="Ödeme Alındı"/>
    <n v="32733"/>
    <s v="1008-Nizamettin Uyar-Ankara"/>
    <x v="0"/>
    <x v="0"/>
    <n v="1"/>
    <n v="6458.1"/>
  </r>
  <r>
    <x v="28"/>
    <x v="127"/>
    <s v="Ödeme Alındı"/>
    <n v="91105"/>
    <s v="1012-Ahmet Yalçın-İstanbul"/>
    <x v="2"/>
    <x v="2"/>
    <n v="2"/>
    <n v="19139.5"/>
  </r>
  <r>
    <x v="26"/>
    <x v="44"/>
    <s v="Ürün Stokta Yok"/>
    <n v="33235"/>
    <s v="1002-İnci Yüce-İstanbul"/>
    <x v="1"/>
    <x v="1"/>
    <n v="1"/>
    <n v="4141.63"/>
  </r>
  <r>
    <x v="22"/>
    <x v="98"/>
    <s v="Kargoya Verildi"/>
    <n v="35737"/>
    <s v="1002-İnci Yüce-İstanbul"/>
    <x v="0"/>
    <x v="4"/>
    <n v="1"/>
    <n v="8914.6"/>
  </r>
  <r>
    <x v="2"/>
    <x v="241"/>
    <s v="Ödeme Alındı"/>
    <n v="64647"/>
    <s v="1009-Erhan Demirkol-Gaziantep"/>
    <x v="2"/>
    <x v="5"/>
    <n v="4"/>
    <n v="32214"/>
  </r>
  <r>
    <x v="24"/>
    <x v="79"/>
    <s v="Ödeme Bekleniyor"/>
    <n v="11542"/>
    <s v="1009-Erhan Demirkol-Gaziantep"/>
    <x v="1"/>
    <x v="1"/>
    <n v="1"/>
    <n v="4141.63"/>
  </r>
  <r>
    <x v="34"/>
    <x v="91"/>
    <s v="Kargoya Verildi"/>
    <n v="52484"/>
    <s v="1001-Feza Gürdal-Eskişehir"/>
    <x v="1"/>
    <x v="6"/>
    <n v="3"/>
    <n v="17887.5"/>
  </r>
  <r>
    <x v="18"/>
    <x v="212"/>
    <s v="Ödeme Bekleniyor"/>
    <n v="88653"/>
    <s v="1004-Mürşit Doğan-Ankara"/>
    <x v="1"/>
    <x v="6"/>
    <n v="1"/>
    <n v="5962.5"/>
  </r>
  <r>
    <x v="30"/>
    <x v="245"/>
    <s v="Kargoya Verildi"/>
    <n v="19555"/>
    <s v="1002-İnci Yüce-İstanbul"/>
    <x v="2"/>
    <x v="2"/>
    <n v="5"/>
    <n v="47848.75"/>
  </r>
  <r>
    <x v="37"/>
    <x v="159"/>
    <s v="İade edildi"/>
    <n v="18777"/>
    <s v="1004-Mürşit Doğan-Ankara"/>
    <x v="2"/>
    <x v="5"/>
    <n v="1"/>
    <n v="8053.5"/>
  </r>
  <r>
    <x v="34"/>
    <x v="161"/>
    <s v="Ürün Stokta Yok"/>
    <n v="26331"/>
    <s v="1005-Özge Sarıca Darol-Antalya"/>
    <x v="1"/>
    <x v="6"/>
    <n v="4"/>
    <n v="23850"/>
  </r>
  <r>
    <x v="22"/>
    <x v="35"/>
    <s v="İade edildi"/>
    <n v="35757"/>
    <s v="1007-Mustafa Gürhan Özdemir-Ankara"/>
    <x v="3"/>
    <x v="10"/>
    <n v="5"/>
    <n v="70330"/>
  </r>
  <r>
    <x v="43"/>
    <x v="190"/>
    <s v="İade edildi"/>
    <n v="90466"/>
    <s v="1001-Feza Gürdal-Eskişehir"/>
    <x v="3"/>
    <x v="9"/>
    <n v="5"/>
    <n v="43426.5"/>
  </r>
  <r>
    <x v="21"/>
    <x v="174"/>
    <s v="Ürün Stokta Yok"/>
    <n v="82651"/>
    <s v="1006-Ali Baymak-Ankara"/>
    <x v="0"/>
    <x v="0"/>
    <n v="4"/>
    <n v="25832.400000000001"/>
  </r>
  <r>
    <x v="0"/>
    <x v="240"/>
    <s v="Paketlemede"/>
    <n v="24158"/>
    <s v="1001-Feza Gürdal-Eskişehir"/>
    <x v="2"/>
    <x v="5"/>
    <n v="4"/>
    <n v="32214"/>
  </r>
  <r>
    <x v="31"/>
    <x v="246"/>
    <s v="Ödeme Alındı"/>
    <n v="99533"/>
    <s v="1001-Feza Gürdal-Eskişehir"/>
    <x v="0"/>
    <x v="4"/>
    <n v="5"/>
    <n v="44573"/>
  </r>
  <r>
    <x v="45"/>
    <x v="200"/>
    <s v="Ödeme Bekleniyor"/>
    <n v="58944"/>
    <s v="1007-Mustafa Gürhan Özdemir-Ankara"/>
    <x v="3"/>
    <x v="10"/>
    <n v="1"/>
    <n v="14066"/>
  </r>
  <r>
    <x v="18"/>
    <x v="172"/>
    <s v="Kargoya Verildi"/>
    <n v="42455"/>
    <s v="1012-Ahmet Yalçın-İstanbul"/>
    <x v="2"/>
    <x v="2"/>
    <n v="4"/>
    <n v="38279"/>
  </r>
  <r>
    <x v="18"/>
    <x v="75"/>
    <s v="Ürün Stokta Yok"/>
    <n v="64679"/>
    <s v="1008-Nizamettin Uyar-Ankara"/>
    <x v="1"/>
    <x v="8"/>
    <n v="1"/>
    <n v="9235.2000000000007"/>
  </r>
  <r>
    <x v="37"/>
    <x v="71"/>
    <s v="Ödeme Bekleniyor"/>
    <n v="99110"/>
    <s v="1002-İnci Yüce-İstanbul"/>
    <x v="0"/>
    <x v="3"/>
    <n v="3"/>
    <n v="40030.200000000004"/>
  </r>
  <r>
    <x v="4"/>
    <x v="5"/>
    <s v="Paketlemede"/>
    <n v="26179"/>
    <s v="1001-Feza Gürdal-Eskişehir"/>
    <x v="1"/>
    <x v="1"/>
    <n v="5"/>
    <n v="20708.150000000001"/>
  </r>
  <r>
    <x v="0"/>
    <x v="247"/>
    <s v="Ödeme Bekleniyor"/>
    <n v="33939"/>
    <s v="1010-Aykut Al-Ankara"/>
    <x v="0"/>
    <x v="3"/>
    <n v="4"/>
    <n v="53373.600000000006"/>
  </r>
  <r>
    <x v="42"/>
    <x v="248"/>
    <s v="Ödeme Alındı"/>
    <n v="42881"/>
    <s v="1004-Mürşit Doğan-Ankara"/>
    <x v="1"/>
    <x v="8"/>
    <n v="4"/>
    <n v="36940.800000000003"/>
  </r>
  <r>
    <x v="29"/>
    <x v="249"/>
    <s v="Beklemede"/>
    <n v="76288"/>
    <s v="1009-Erhan Demirkol-Gaziantep"/>
    <x v="2"/>
    <x v="5"/>
    <n v="3"/>
    <n v="24160.5"/>
  </r>
  <r>
    <x v="24"/>
    <x v="122"/>
    <s v="Ödeme Alındı"/>
    <n v="28920"/>
    <s v="1002-İnci Yüce-İstanbul"/>
    <x v="3"/>
    <x v="7"/>
    <n v="4"/>
    <n v="50484"/>
  </r>
  <r>
    <x v="36"/>
    <x v="156"/>
    <s v="İade edildi"/>
    <n v="89329"/>
    <s v="1006-Ali Baymak-Ankara"/>
    <x v="1"/>
    <x v="1"/>
    <n v="3"/>
    <n v="12424.89"/>
  </r>
  <r>
    <x v="29"/>
    <x v="123"/>
    <s v="Ödeme Alındı"/>
    <n v="34099"/>
    <s v="1007-Mustafa Gürhan Özdemir-Ankara"/>
    <x v="2"/>
    <x v="2"/>
    <n v="5"/>
    <n v="47848.75"/>
  </r>
  <r>
    <x v="17"/>
    <x v="27"/>
    <s v="Paketlemede"/>
    <n v="36521"/>
    <s v="1003-İlknur Akgül-İstanbul"/>
    <x v="2"/>
    <x v="2"/>
    <n v="2"/>
    <n v="19139.5"/>
  </r>
  <r>
    <x v="45"/>
    <x v="232"/>
    <s v="İade edildi"/>
    <n v="96436"/>
    <s v="1002-İnci Yüce-İstanbul"/>
    <x v="3"/>
    <x v="10"/>
    <n v="1"/>
    <n v="14066"/>
  </r>
  <r>
    <x v="34"/>
    <x v="87"/>
    <s v="Ödeme Alındı"/>
    <n v="33064"/>
    <s v="1005-Özge Sarıca Darol-Antalya"/>
    <x v="0"/>
    <x v="11"/>
    <n v="3"/>
    <n v="28978.199999999997"/>
  </r>
  <r>
    <x v="32"/>
    <x v="105"/>
    <s v="İade edildi"/>
    <n v="90380"/>
    <s v="1006-Ali Baymak-Ankara"/>
    <x v="0"/>
    <x v="0"/>
    <n v="3"/>
    <n v="19374.300000000003"/>
  </r>
  <r>
    <x v="50"/>
    <x v="250"/>
    <s v="Kargoya Verildi"/>
    <n v="53256"/>
    <s v="1011-Tayfur Taşkıran-Ankara"/>
    <x v="3"/>
    <x v="10"/>
    <n v="5"/>
    <n v="70330"/>
  </r>
  <r>
    <x v="46"/>
    <x v="168"/>
    <s v="Ürün Stokta Yok"/>
    <n v="72700"/>
    <s v="1009-Erhan Demirkol-Gaziantep"/>
    <x v="1"/>
    <x v="8"/>
    <n v="1"/>
    <n v="9235.2000000000007"/>
  </r>
  <r>
    <x v="4"/>
    <x v="29"/>
    <s v="İade edildi"/>
    <n v="86303"/>
    <s v="1012-Ahmet Yalçın-İstanbul"/>
    <x v="3"/>
    <x v="9"/>
    <n v="2"/>
    <n v="17370.599999999999"/>
  </r>
  <r>
    <x v="21"/>
    <x v="174"/>
    <s v="Beklemede"/>
    <n v="11244"/>
    <s v="1006-Ali Baymak-Ankara"/>
    <x v="2"/>
    <x v="2"/>
    <n v="1"/>
    <n v="9569.75"/>
  </r>
  <r>
    <x v="8"/>
    <x v="112"/>
    <s v="Paketlemede"/>
    <n v="58857"/>
    <s v="1012-Ahmet Yalçın-İstanbul"/>
    <x v="0"/>
    <x v="4"/>
    <n v="5"/>
    <n v="44573"/>
  </r>
  <r>
    <x v="21"/>
    <x v="107"/>
    <s v="İade edildi"/>
    <n v="77086"/>
    <s v="1006-Ali Baymak-Ankara"/>
    <x v="2"/>
    <x v="2"/>
    <n v="5"/>
    <n v="47848.75"/>
  </r>
  <r>
    <x v="28"/>
    <x v="127"/>
    <s v="Ürün Stokta Yok"/>
    <n v="60748"/>
    <s v="1008-Nizamettin Uyar-Ankara"/>
    <x v="3"/>
    <x v="12"/>
    <n v="2"/>
    <n v="19600.900000000001"/>
  </r>
  <r>
    <x v="4"/>
    <x v="101"/>
    <s v="Kargoya Verildi"/>
    <n v="48457"/>
    <s v="1009-Erhan Demirkol-Gaziantep"/>
    <x v="2"/>
    <x v="5"/>
    <n v="5"/>
    <n v="40267.5"/>
  </r>
  <r>
    <x v="9"/>
    <x v="251"/>
    <s v="İade edildi"/>
    <n v="81369"/>
    <s v="1004-Mürşit Doğan-Ankara"/>
    <x v="0"/>
    <x v="0"/>
    <n v="1"/>
    <n v="6458.1"/>
  </r>
  <r>
    <x v="15"/>
    <x v="252"/>
    <s v="Ödeme Alındı"/>
    <n v="46840"/>
    <s v="1010-Aykut Al-Ankara"/>
    <x v="2"/>
    <x v="5"/>
    <n v="4"/>
    <n v="32214"/>
  </r>
  <r>
    <x v="45"/>
    <x v="253"/>
    <s v="Beklemede"/>
    <n v="67039"/>
    <s v="1004-Mürşit Doğan-Ankara"/>
    <x v="0"/>
    <x v="3"/>
    <n v="3"/>
    <n v="40030.200000000004"/>
  </r>
  <r>
    <x v="17"/>
    <x v="216"/>
    <s v="Paketlemede"/>
    <n v="54315"/>
    <s v="1011-Tayfur Taşkıran-Ankara"/>
    <x v="3"/>
    <x v="9"/>
    <n v="1"/>
    <n v="8685.2999999999993"/>
  </r>
  <r>
    <x v="3"/>
    <x v="135"/>
    <s v="Beklemede"/>
    <n v="48549"/>
    <s v="1011-Tayfur Taşkıran-Ankara"/>
    <x v="2"/>
    <x v="5"/>
    <n v="1"/>
    <n v="8053.5"/>
  </r>
  <r>
    <x v="44"/>
    <x v="171"/>
    <s v="Beklemede"/>
    <n v="22166"/>
    <s v="1007-Mustafa Gürhan Özdemir-Ankara"/>
    <x v="1"/>
    <x v="6"/>
    <n v="3"/>
    <n v="17887.5"/>
  </r>
  <r>
    <x v="2"/>
    <x v="46"/>
    <s v="Beklemede"/>
    <n v="76819"/>
    <s v="1011-Tayfur Taşkıran-Ankara"/>
    <x v="1"/>
    <x v="1"/>
    <n v="2"/>
    <n v="8283.26"/>
  </r>
  <r>
    <x v="43"/>
    <x v="190"/>
    <s v="İade edildi"/>
    <n v="66144"/>
    <s v="1008-Nizamettin Uyar-Ankara"/>
    <x v="1"/>
    <x v="6"/>
    <n v="3"/>
    <n v="17887.5"/>
  </r>
  <r>
    <x v="45"/>
    <x v="254"/>
    <s v="İade edildi"/>
    <n v="81228"/>
    <s v="1008-Nizamettin Uyar-Ankara"/>
    <x v="1"/>
    <x v="6"/>
    <n v="5"/>
    <n v="29812.5"/>
  </r>
  <r>
    <x v="2"/>
    <x v="2"/>
    <s v="Ödeme Bekleniyor"/>
    <n v="70858"/>
    <s v="1008-Nizamettin Uyar-Ankara"/>
    <x v="1"/>
    <x v="6"/>
    <n v="3"/>
    <n v="17887.5"/>
  </r>
  <r>
    <x v="38"/>
    <x v="211"/>
    <s v="İade edildi"/>
    <n v="62129"/>
    <s v="1001-Feza Gürdal-Eskişehir"/>
    <x v="3"/>
    <x v="9"/>
    <n v="3"/>
    <n v="26055.899999999998"/>
  </r>
  <r>
    <x v="35"/>
    <x v="61"/>
    <s v="Beklemede"/>
    <n v="40898"/>
    <s v="1012-Ahmet Yalçın-İstanbul"/>
    <x v="1"/>
    <x v="6"/>
    <n v="4"/>
    <n v="23850"/>
  </r>
  <r>
    <x v="6"/>
    <x v="255"/>
    <s v="Ödeme Bekleniyor"/>
    <n v="94539"/>
    <s v="1002-İnci Yüce-İstanbul"/>
    <x v="3"/>
    <x v="7"/>
    <n v="3"/>
    <n v="37863"/>
  </r>
  <r>
    <x v="40"/>
    <x v="99"/>
    <s v="Ödeme Alındı"/>
    <n v="50190"/>
    <s v="1001-Feza Gürdal-Eskişehir"/>
    <x v="3"/>
    <x v="7"/>
    <n v="2"/>
    <n v="25242"/>
  </r>
  <r>
    <x v="3"/>
    <x v="20"/>
    <s v="Ödeme Bekleniyor"/>
    <n v="68112"/>
    <s v="1004-Mürşit Doğan-Ankara"/>
    <x v="3"/>
    <x v="10"/>
    <n v="4"/>
    <n v="56264"/>
  </r>
  <r>
    <x v="23"/>
    <x v="85"/>
    <s v="Kargoya Verildi"/>
    <n v="43256"/>
    <s v="1011-Tayfur Taşkıran-Ankara"/>
    <x v="0"/>
    <x v="11"/>
    <n v="2"/>
    <n v="19318.8"/>
  </r>
  <r>
    <x v="22"/>
    <x v="234"/>
    <s v="Beklemede"/>
    <n v="55700"/>
    <s v="1011-Tayfur Taşkıran-Ankara"/>
    <x v="2"/>
    <x v="5"/>
    <n v="2"/>
    <n v="16107"/>
  </r>
  <r>
    <x v="45"/>
    <x v="256"/>
    <s v="Ürün Stokta Yok"/>
    <n v="67064"/>
    <s v="1011-Tayfur Taşkıran-Ankara"/>
    <x v="0"/>
    <x v="3"/>
    <n v="2"/>
    <n v="26686.800000000003"/>
  </r>
  <r>
    <x v="47"/>
    <x v="257"/>
    <s v="İade edildi"/>
    <n v="76532"/>
    <s v="1012-Ahmet Yalçın-İstanbul"/>
    <x v="1"/>
    <x v="1"/>
    <n v="4"/>
    <n v="16566.52"/>
  </r>
  <r>
    <x v="45"/>
    <x v="254"/>
    <s v="Ürün Stokta Yok"/>
    <n v="53651"/>
    <s v="1002-İnci Yüce-İstanbul"/>
    <x v="0"/>
    <x v="11"/>
    <n v="1"/>
    <n v="9659.4"/>
  </r>
  <r>
    <x v="30"/>
    <x v="95"/>
    <s v="Ödeme Bekleniyor"/>
    <n v="40774"/>
    <s v="1005-Özge Sarıca Darol-Antalya"/>
    <x v="3"/>
    <x v="12"/>
    <n v="1"/>
    <n v="9800.4500000000007"/>
  </r>
  <r>
    <x v="33"/>
    <x v="204"/>
    <s v="Paketlemede"/>
    <n v="22623"/>
    <s v="1012-Ahmet Yalçın-İstanbul"/>
    <x v="0"/>
    <x v="11"/>
    <n v="5"/>
    <n v="48297"/>
  </r>
  <r>
    <x v="42"/>
    <x v="111"/>
    <s v="Paketlemede"/>
    <n v="28972"/>
    <s v="1011-Tayfur Taşkıran-Ankara"/>
    <x v="0"/>
    <x v="3"/>
    <n v="1"/>
    <n v="13343.400000000001"/>
  </r>
  <r>
    <x v="20"/>
    <x v="59"/>
    <s v="Paketlemede"/>
    <n v="15870"/>
    <s v="1009-Erhan Demirkol-Gaziantep"/>
    <x v="0"/>
    <x v="4"/>
    <n v="4"/>
    <n v="35658.400000000001"/>
  </r>
  <r>
    <x v="29"/>
    <x v="167"/>
    <s v="Beklemede"/>
    <n v="56904"/>
    <s v="1008-Nizamettin Uyar-Ankara"/>
    <x v="1"/>
    <x v="1"/>
    <n v="3"/>
    <n v="12424.89"/>
  </r>
  <r>
    <x v="27"/>
    <x v="258"/>
    <s v="Ödeme Alındı"/>
    <n v="81562"/>
    <s v="1008-Nizamettin Uyar-Ankara"/>
    <x v="0"/>
    <x v="11"/>
    <n v="3"/>
    <n v="28978.199999999997"/>
  </r>
  <r>
    <x v="47"/>
    <x v="224"/>
    <s v="Paketlemede"/>
    <n v="78200"/>
    <s v="1001-Feza Gürdal-Eskişehir"/>
    <x v="2"/>
    <x v="2"/>
    <n v="3"/>
    <n v="28709.25"/>
  </r>
  <r>
    <x v="27"/>
    <x v="166"/>
    <s v="Ürün Stokta Yok"/>
    <n v="59855"/>
    <s v="1008-Nizamettin Uyar-Ankara"/>
    <x v="1"/>
    <x v="8"/>
    <n v="4"/>
    <n v="36940.800000000003"/>
  </r>
  <r>
    <x v="25"/>
    <x v="42"/>
    <s v="Ödeme Alındı"/>
    <n v="11950"/>
    <s v="1003-İlknur Akgül-İstanbul"/>
    <x v="2"/>
    <x v="5"/>
    <n v="1"/>
    <n v="8053.5"/>
  </r>
  <r>
    <x v="37"/>
    <x v="259"/>
    <s v="Paketlemede"/>
    <n v="27337"/>
    <s v="1008-Nizamettin Uyar-Ankara"/>
    <x v="3"/>
    <x v="7"/>
    <n v="3"/>
    <n v="37863"/>
  </r>
  <r>
    <x v="19"/>
    <x v="55"/>
    <s v="Ödeme Alındı"/>
    <n v="10468"/>
    <s v="1005-Özge Sarıca Darol-Antalya"/>
    <x v="0"/>
    <x v="3"/>
    <n v="2"/>
    <n v="26686.800000000003"/>
  </r>
  <r>
    <x v="48"/>
    <x v="260"/>
    <s v="Ödeme Bekleniyor"/>
    <n v="77375"/>
    <s v="1008-Nizamettin Uyar-Ankara"/>
    <x v="3"/>
    <x v="12"/>
    <n v="5"/>
    <n v="49002.25"/>
  </r>
  <r>
    <x v="11"/>
    <x v="14"/>
    <s v="İade edildi"/>
    <n v="91977"/>
    <s v="1008-Nizamettin Uyar-Ankara"/>
    <x v="0"/>
    <x v="0"/>
    <n v="2"/>
    <n v="12916.2"/>
  </r>
  <r>
    <x v="47"/>
    <x v="261"/>
    <s v="Kargoya Verildi"/>
    <n v="52138"/>
    <s v="1006-Ali Baymak-Ankara"/>
    <x v="1"/>
    <x v="8"/>
    <n v="3"/>
    <n v="27705.600000000002"/>
  </r>
  <r>
    <x v="43"/>
    <x v="173"/>
    <s v="Ödeme Alındı"/>
    <n v="76391"/>
    <s v="1002-İnci Yüce-İstanbul"/>
    <x v="0"/>
    <x v="4"/>
    <n v="4"/>
    <n v="35658.400000000001"/>
  </r>
  <r>
    <x v="47"/>
    <x v="147"/>
    <s v="Ödeme Alındı"/>
    <n v="75051"/>
    <s v="1006-Ali Baymak-Ankara"/>
    <x v="2"/>
    <x v="2"/>
    <n v="4"/>
    <n v="38279"/>
  </r>
  <r>
    <x v="28"/>
    <x v="236"/>
    <s v="Ürün Stokta Yok"/>
    <n v="79638"/>
    <s v="1005-Özge Sarıca Darol-Antalya"/>
    <x v="0"/>
    <x v="0"/>
    <n v="5"/>
    <n v="32290.5"/>
  </r>
  <r>
    <x v="17"/>
    <x v="125"/>
    <s v="Paketlemede"/>
    <n v="20966"/>
    <s v="1002-İnci Yüce-İstanbul"/>
    <x v="1"/>
    <x v="6"/>
    <n v="3"/>
    <n v="17887.5"/>
  </r>
  <r>
    <x v="47"/>
    <x v="257"/>
    <s v="Ürün Stokta Yok"/>
    <n v="29904"/>
    <s v="1003-İlknur Akgül-İstanbul"/>
    <x v="2"/>
    <x v="5"/>
    <n v="4"/>
    <n v="32214"/>
  </r>
  <r>
    <x v="39"/>
    <x v="262"/>
    <s v="Paketlemede"/>
    <n v="81822"/>
    <s v="1003-İlknur Akgül-İstanbul"/>
    <x v="1"/>
    <x v="1"/>
    <n v="1"/>
    <n v="4141.63"/>
  </r>
  <r>
    <x v="35"/>
    <x v="139"/>
    <s v="Beklemede"/>
    <n v="15792"/>
    <s v="1009-Erhan Demirkol-Gaziantep"/>
    <x v="1"/>
    <x v="1"/>
    <n v="3"/>
    <n v="12424.89"/>
  </r>
  <r>
    <x v="17"/>
    <x v="216"/>
    <s v="İade edildi"/>
    <n v="14449"/>
    <s v="1011-Tayfur Taşkıran-Ankara"/>
    <x v="2"/>
    <x v="5"/>
    <n v="4"/>
    <n v="32214"/>
  </r>
  <r>
    <x v="27"/>
    <x v="106"/>
    <s v="Ödeme Alındı"/>
    <n v="29916"/>
    <s v="1001-Feza Gürdal-Eskişehir"/>
    <x v="1"/>
    <x v="6"/>
    <n v="1"/>
    <n v="5962.5"/>
  </r>
  <r>
    <x v="29"/>
    <x v="263"/>
    <s v="Beklemede"/>
    <n v="75156"/>
    <s v="1005-Özge Sarıca Darol-Antalya"/>
    <x v="1"/>
    <x v="1"/>
    <n v="3"/>
    <n v="12424.89"/>
  </r>
  <r>
    <x v="11"/>
    <x v="206"/>
    <s v="Kargoya Verildi"/>
    <n v="58166"/>
    <s v="1002-İnci Yüce-İstanbul"/>
    <x v="3"/>
    <x v="12"/>
    <n v="5"/>
    <n v="49002.25"/>
  </r>
  <r>
    <x v="42"/>
    <x v="264"/>
    <s v="Ödeme Bekleniyor"/>
    <n v="65177"/>
    <s v="1004-Mürşit Doğan-Ankara"/>
    <x v="1"/>
    <x v="8"/>
    <n v="1"/>
    <n v="9235.2000000000007"/>
  </r>
  <r>
    <x v="35"/>
    <x v="145"/>
    <s v="Ödeme Bekleniyor"/>
    <n v="73585"/>
    <s v="1012-Ahmet Yalçın-İstanbul"/>
    <x v="3"/>
    <x v="7"/>
    <n v="2"/>
    <n v="25242"/>
  </r>
  <r>
    <x v="12"/>
    <x v="265"/>
    <s v="Beklemede"/>
    <n v="56661"/>
    <s v="1006-Ali Baymak-Ankara"/>
    <x v="2"/>
    <x v="5"/>
    <n v="4"/>
    <n v="32214"/>
  </r>
  <r>
    <x v="8"/>
    <x v="223"/>
    <s v="Ürün Stokta Yok"/>
    <n v="13967"/>
    <s v="1008-Nizamettin Uyar-Ankara"/>
    <x v="3"/>
    <x v="12"/>
    <n v="3"/>
    <n v="29401.350000000002"/>
  </r>
  <r>
    <x v="9"/>
    <x v="134"/>
    <s v="Ödeme Alındı"/>
    <n v="67667"/>
    <s v="1012-Ahmet Yalçın-İstanbul"/>
    <x v="0"/>
    <x v="11"/>
    <n v="4"/>
    <n v="38637.599999999999"/>
  </r>
  <r>
    <x v="11"/>
    <x v="266"/>
    <s v="İade edildi"/>
    <n v="33103"/>
    <s v="1010-Aykut Al-Ankara"/>
    <x v="0"/>
    <x v="4"/>
    <n v="4"/>
    <n v="35658.400000000001"/>
  </r>
  <r>
    <x v="38"/>
    <x v="192"/>
    <s v="Ödeme Alındı"/>
    <n v="37712"/>
    <s v="1010-Aykut Al-Ankara"/>
    <x v="0"/>
    <x v="11"/>
    <n v="3"/>
    <n v="28978.199999999997"/>
  </r>
  <r>
    <x v="7"/>
    <x v="22"/>
    <s v="Ödeme Alındı"/>
    <n v="18050"/>
    <s v="1005-Özge Sarıca Darol-Antalya"/>
    <x v="2"/>
    <x v="2"/>
    <n v="4"/>
    <n v="38279"/>
  </r>
  <r>
    <x v="16"/>
    <x v="31"/>
    <s v="Kargoya Verildi"/>
    <n v="19502"/>
    <s v="1005-Özge Sarıca Darol-Antalya"/>
    <x v="1"/>
    <x v="6"/>
    <n v="4"/>
    <n v="23850"/>
  </r>
  <r>
    <x v="44"/>
    <x v="171"/>
    <s v="Kargoya Verildi"/>
    <n v="41045"/>
    <s v="1012-Ahmet Yalçın-İstanbul"/>
    <x v="0"/>
    <x v="4"/>
    <n v="3"/>
    <n v="26743.800000000003"/>
  </r>
  <r>
    <x v="32"/>
    <x v="56"/>
    <s v="Ödeme Alındı"/>
    <n v="87119"/>
    <s v="1008-Nizamettin Uyar-Ankara"/>
    <x v="1"/>
    <x v="1"/>
    <n v="2"/>
    <n v="8283.26"/>
  </r>
  <r>
    <x v="38"/>
    <x v="192"/>
    <s v="Paketlemede"/>
    <n v="75889"/>
    <s v="1001-Feza Gürdal-Eskişehir"/>
    <x v="1"/>
    <x v="8"/>
    <n v="2"/>
    <n v="18470.400000000001"/>
  </r>
  <r>
    <x v="30"/>
    <x v="238"/>
    <s v="Ürün Stokta Yok"/>
    <n v="45099"/>
    <s v="1006-Ali Baymak-Ankara"/>
    <x v="2"/>
    <x v="5"/>
    <n v="3"/>
    <n v="24160.5"/>
  </r>
  <r>
    <x v="47"/>
    <x v="261"/>
    <s v="Ödeme Bekleniyor"/>
    <n v="95343"/>
    <s v="1005-Özge Sarıca Darol-Antalya"/>
    <x v="3"/>
    <x v="7"/>
    <n v="1"/>
    <n v="12621"/>
  </r>
  <r>
    <x v="38"/>
    <x v="267"/>
    <s v="Kargoya Verildi"/>
    <n v="30197"/>
    <s v="1003-İlknur Akgül-İstanbul"/>
    <x v="3"/>
    <x v="7"/>
    <n v="2"/>
    <n v="25242"/>
  </r>
  <r>
    <x v="31"/>
    <x v="246"/>
    <s v="Ödeme Bekleniyor"/>
    <n v="39501"/>
    <s v="1008-Nizamettin Uyar-Ankara"/>
    <x v="3"/>
    <x v="9"/>
    <n v="3"/>
    <n v="26055.899999999998"/>
  </r>
  <r>
    <x v="45"/>
    <x v="256"/>
    <s v="Ödeme Bekleniyor"/>
    <n v="44377"/>
    <s v="1012-Ahmet Yalçın-İstanbul"/>
    <x v="1"/>
    <x v="6"/>
    <n v="5"/>
    <n v="29812.5"/>
  </r>
  <r>
    <x v="40"/>
    <x v="99"/>
    <s v="Ödeme Alındı"/>
    <n v="82510"/>
    <s v="1001-Feza Gürdal-Eskişehir"/>
    <x v="1"/>
    <x v="6"/>
    <n v="1"/>
    <n v="5962.5"/>
  </r>
  <r>
    <x v="47"/>
    <x v="113"/>
    <s v="Kargoya Verildi"/>
    <n v="89108"/>
    <s v="1005-Özge Sarıca Darol-Antalya"/>
    <x v="0"/>
    <x v="0"/>
    <n v="5"/>
    <n v="32290.5"/>
  </r>
  <r>
    <x v="43"/>
    <x v="140"/>
    <s v="Ürün Stokta Yok"/>
    <n v="34796"/>
    <s v="1007-Mustafa Gürhan Özdemir-Ankara"/>
    <x v="2"/>
    <x v="2"/>
    <n v="2"/>
    <n v="19139.5"/>
  </r>
  <r>
    <x v="44"/>
    <x v="94"/>
    <s v="Kargoya Verildi"/>
    <n v="77742"/>
    <s v="1008-Nizamettin Uyar-Ankara"/>
    <x v="2"/>
    <x v="5"/>
    <n v="3"/>
    <n v="24160.5"/>
  </r>
  <r>
    <x v="32"/>
    <x v="105"/>
    <s v="Beklemede"/>
    <n v="81623"/>
    <s v="1001-Feza Gürdal-Eskişehir"/>
    <x v="1"/>
    <x v="6"/>
    <n v="4"/>
    <n v="23850"/>
  </r>
  <r>
    <x v="13"/>
    <x v="21"/>
    <s v="İade edildi"/>
    <n v="96916"/>
    <s v="1009-Erhan Demirkol-Gaziantep"/>
    <x v="3"/>
    <x v="9"/>
    <n v="2"/>
    <n v="17370.599999999999"/>
  </r>
  <r>
    <x v="48"/>
    <x v="115"/>
    <s v="Kargoya Verildi"/>
    <n v="18236"/>
    <s v="1008-Nizamettin Uyar-Ankara"/>
    <x v="0"/>
    <x v="0"/>
    <n v="4"/>
    <n v="25832.400000000001"/>
  </r>
  <r>
    <x v="33"/>
    <x v="131"/>
    <s v="Ödeme Bekleniyor"/>
    <n v="34327"/>
    <s v="1011-Tayfur Taşkıran-Ankara"/>
    <x v="1"/>
    <x v="6"/>
    <n v="4"/>
    <n v="23850"/>
  </r>
  <r>
    <x v="41"/>
    <x v="268"/>
    <s v="Kargoya Verildi"/>
    <n v="23835"/>
    <s v="1003-İlknur Akgül-İstanbul"/>
    <x v="0"/>
    <x v="3"/>
    <n v="2"/>
    <n v="26686.800000000003"/>
  </r>
  <r>
    <x v="42"/>
    <x v="264"/>
    <s v="İade edildi"/>
    <n v="91524"/>
    <s v="1003-İlknur Akgül-İstanbul"/>
    <x v="1"/>
    <x v="6"/>
    <n v="1"/>
    <n v="5962.5"/>
  </r>
  <r>
    <x v="10"/>
    <x v="13"/>
    <s v="Beklemede"/>
    <n v="17527"/>
    <s v="1003-İlknur Akgül-İstanbul"/>
    <x v="0"/>
    <x v="3"/>
    <n v="4"/>
    <n v="53373.600000000006"/>
  </r>
  <r>
    <x v="52"/>
    <x v="269"/>
    <s v="İade edildi"/>
    <n v="77044"/>
    <s v="1011-Tayfur Taşkıran-Ankara"/>
    <x v="0"/>
    <x v="0"/>
    <n v="2"/>
    <n v="12916.2"/>
  </r>
  <r>
    <x v="45"/>
    <x v="189"/>
    <s v="Paketlemede"/>
    <n v="47849"/>
    <s v="1006-Ali Baymak-Ankara"/>
    <x v="0"/>
    <x v="4"/>
    <n v="4"/>
    <n v="35658.400000000001"/>
  </r>
  <r>
    <x v="0"/>
    <x v="7"/>
    <s v="Beklemede"/>
    <n v="44605"/>
    <s v="1008-Nizamettin Uyar-Ankara"/>
    <x v="0"/>
    <x v="4"/>
    <n v="3"/>
    <n v="26743.800000000003"/>
  </r>
  <r>
    <x v="37"/>
    <x v="221"/>
    <s v="Beklemede"/>
    <n v="49079"/>
    <s v="1010-Aykut Al-Ankara"/>
    <x v="2"/>
    <x v="2"/>
    <n v="4"/>
    <n v="38279"/>
  </r>
  <r>
    <x v="7"/>
    <x v="62"/>
    <s v="Ürün Stokta Yok"/>
    <n v="28604"/>
    <s v="1003-İlknur Akgül-İstanbul"/>
    <x v="2"/>
    <x v="5"/>
    <n v="5"/>
    <n v="40267.5"/>
  </r>
  <r>
    <x v="13"/>
    <x v="175"/>
    <s v="Ürün Stokta Yok"/>
    <n v="80069"/>
    <s v="1001-Feza Gürdal-Eskişehir"/>
    <x v="0"/>
    <x v="11"/>
    <n v="3"/>
    <n v="28978.199999999997"/>
  </r>
  <r>
    <x v="42"/>
    <x v="111"/>
    <s v="Ödeme Bekleniyor"/>
    <n v="75410"/>
    <s v="1004-Mürşit Doğan-Ankara"/>
    <x v="0"/>
    <x v="3"/>
    <n v="4"/>
    <n v="53373.600000000006"/>
  </r>
  <r>
    <x v="35"/>
    <x v="139"/>
    <s v="Ürün Stokta Yok"/>
    <n v="88937"/>
    <s v="1009-Erhan Demirkol-Gaziantep"/>
    <x v="2"/>
    <x v="5"/>
    <n v="1"/>
    <n v="8053.5"/>
  </r>
  <r>
    <x v="3"/>
    <x v="41"/>
    <s v="Beklemede"/>
    <n v="58435"/>
    <s v="1005-Özge Sarıca Darol-Antalya"/>
    <x v="1"/>
    <x v="1"/>
    <n v="4"/>
    <n v="16566.52"/>
  </r>
  <r>
    <x v="17"/>
    <x v="216"/>
    <s v="Beklemede"/>
    <n v="56348"/>
    <s v="1003-İlknur Akgül-İstanbul"/>
    <x v="1"/>
    <x v="6"/>
    <n v="1"/>
    <n v="5962.5"/>
  </r>
  <r>
    <x v="13"/>
    <x v="21"/>
    <s v="Kargoya Verildi"/>
    <n v="14277"/>
    <s v="1011-Tayfur Taşkıran-Ankara"/>
    <x v="3"/>
    <x v="10"/>
    <n v="3"/>
    <n v="42198"/>
  </r>
  <r>
    <x v="0"/>
    <x v="210"/>
    <s v="Ürün Stokta Yok"/>
    <n v="36204"/>
    <s v="1003-İlknur Akgül-İstanbul"/>
    <x v="0"/>
    <x v="11"/>
    <n v="5"/>
    <n v="48297"/>
  </r>
  <r>
    <x v="10"/>
    <x v="33"/>
    <s v="Paketlemede"/>
    <n v="42012"/>
    <s v="1005-Özge Sarıca Darol-Antalya"/>
    <x v="3"/>
    <x v="9"/>
    <n v="3"/>
    <n v="26055.899999999998"/>
  </r>
  <r>
    <x v="43"/>
    <x v="152"/>
    <s v="Ürün Stokta Yok"/>
    <n v="94361"/>
    <s v="1009-Erhan Demirkol-Gaziantep"/>
    <x v="2"/>
    <x v="2"/>
    <n v="4"/>
    <n v="38279"/>
  </r>
  <r>
    <x v="32"/>
    <x v="197"/>
    <s v="Ürün Stokta Yok"/>
    <n v="88902"/>
    <s v="1007-Mustafa Gürhan Özdemir-Ankara"/>
    <x v="0"/>
    <x v="4"/>
    <n v="4"/>
    <n v="35658.400000000001"/>
  </r>
  <r>
    <x v="42"/>
    <x v="214"/>
    <s v="İade edildi"/>
    <n v="63153"/>
    <s v="1001-Feza Gürdal-Eskişehir"/>
    <x v="2"/>
    <x v="2"/>
    <n v="1"/>
    <n v="9569.75"/>
  </r>
  <r>
    <x v="36"/>
    <x v="156"/>
    <s v="Beklemede"/>
    <n v="95501"/>
    <s v="1001-Feza Gürdal-Eskişehir"/>
    <x v="2"/>
    <x v="5"/>
    <n v="5"/>
    <n v="40267.5"/>
  </r>
  <r>
    <x v="43"/>
    <x v="148"/>
    <s v="Paketlemede"/>
    <n v="22082"/>
    <s v="1004-Mürşit Doğan-Ankara"/>
    <x v="1"/>
    <x v="1"/>
    <n v="5"/>
    <n v="20708.150000000001"/>
  </r>
  <r>
    <x v="33"/>
    <x v="131"/>
    <s v="Paketlemede"/>
    <n v="96610"/>
    <s v="1012-Ahmet Yalçın-İstanbul"/>
    <x v="3"/>
    <x v="7"/>
    <n v="4"/>
    <n v="50484"/>
  </r>
  <r>
    <x v="41"/>
    <x v="270"/>
    <s v="Beklemede"/>
    <n v="31211"/>
    <s v="1010-Aykut Al-Ankara"/>
    <x v="2"/>
    <x v="2"/>
    <n v="2"/>
    <n v="19139.5"/>
  </r>
  <r>
    <x v="37"/>
    <x v="259"/>
    <s v="Paketlemede"/>
    <n v="71895"/>
    <s v="1010-Aykut Al-Ankara"/>
    <x v="0"/>
    <x v="0"/>
    <n v="5"/>
    <n v="32290.5"/>
  </r>
  <r>
    <x v="32"/>
    <x v="197"/>
    <s v="Ödeme Alındı"/>
    <n v="81556"/>
    <s v="1010-Aykut Al-Ankara"/>
    <x v="1"/>
    <x v="6"/>
    <n v="4"/>
    <n v="23850"/>
  </r>
  <r>
    <x v="16"/>
    <x v="78"/>
    <s v="Kargoya Verildi"/>
    <n v="55367"/>
    <s v="1001-Feza Gürdal-Eskişehir"/>
    <x v="2"/>
    <x v="2"/>
    <n v="3"/>
    <n v="28709.25"/>
  </r>
  <r>
    <x v="22"/>
    <x v="271"/>
    <s v="Ürün Stokta Yok"/>
    <n v="11166"/>
    <s v="1006-Ali Baymak-Ankara"/>
    <x v="1"/>
    <x v="8"/>
    <n v="1"/>
    <n v="9235.2000000000007"/>
  </r>
  <r>
    <x v="10"/>
    <x v="13"/>
    <s v="Ödeme Alındı"/>
    <n v="69343"/>
    <s v="1012-Ahmet Yalçın-İstanbul"/>
    <x v="0"/>
    <x v="0"/>
    <n v="5"/>
    <n v="32290.5"/>
  </r>
  <r>
    <x v="33"/>
    <x v="57"/>
    <s v="Ödeme Alındı"/>
    <n v="79957"/>
    <s v="1002-İnci Yüce-İstanbul"/>
    <x v="1"/>
    <x v="8"/>
    <n v="4"/>
    <n v="36940.800000000003"/>
  </r>
  <r>
    <x v="31"/>
    <x v="272"/>
    <s v="Kargoya Verildi"/>
    <n v="19530"/>
    <s v="1006-Ali Baymak-Ankara"/>
    <x v="0"/>
    <x v="0"/>
    <n v="1"/>
    <n v="6458.1"/>
  </r>
  <r>
    <x v="33"/>
    <x v="204"/>
    <s v="Ödeme Bekleniyor"/>
    <n v="58902"/>
    <s v="1009-Erhan Demirkol-Gaziantep"/>
    <x v="1"/>
    <x v="6"/>
    <n v="3"/>
    <n v="17887.5"/>
  </r>
  <r>
    <x v="20"/>
    <x v="157"/>
    <s v="Kargoya Verildi"/>
    <n v="32563"/>
    <s v="1007-Mustafa Gürhan Özdemir-Ankara"/>
    <x v="1"/>
    <x v="8"/>
    <n v="5"/>
    <n v="46176"/>
  </r>
  <r>
    <x v="24"/>
    <x v="79"/>
    <s v="Ödeme Alındı"/>
    <n v="85878"/>
    <s v="1005-Özge Sarıca Darol-Antalya"/>
    <x v="1"/>
    <x v="1"/>
    <n v="5"/>
    <n v="20708.150000000001"/>
  </r>
  <r>
    <x v="7"/>
    <x v="36"/>
    <s v="Paketlemede"/>
    <n v="40203"/>
    <s v="1002-İnci Yüce-İstanbul"/>
    <x v="0"/>
    <x v="11"/>
    <n v="1"/>
    <n v="9659.4"/>
  </r>
  <r>
    <x v="28"/>
    <x v="119"/>
    <s v="Beklemede"/>
    <n v="65720"/>
    <s v="1002-İnci Yüce-İstanbul"/>
    <x v="2"/>
    <x v="5"/>
    <n v="3"/>
    <n v="24160.5"/>
  </r>
  <r>
    <x v="30"/>
    <x v="215"/>
    <s v="Ödeme Bekleniyor"/>
    <n v="90347"/>
    <s v="1010-Aykut Al-Ankara"/>
    <x v="2"/>
    <x v="5"/>
    <n v="2"/>
    <n v="16107"/>
  </r>
  <r>
    <x v="30"/>
    <x v="245"/>
    <s v="Ödeme Alındı"/>
    <n v="60397"/>
    <s v="1005-Özge Sarıca Darol-Antalya"/>
    <x v="3"/>
    <x v="7"/>
    <n v="2"/>
    <n v="25242"/>
  </r>
  <r>
    <x v="43"/>
    <x v="90"/>
    <s v="Ödeme Alındı"/>
    <n v="74496"/>
    <s v="1010-Aykut Al-Ankara"/>
    <x v="0"/>
    <x v="4"/>
    <n v="3"/>
    <n v="26743.800000000003"/>
  </r>
  <r>
    <x v="25"/>
    <x v="273"/>
    <s v="Beklemede"/>
    <n v="24257"/>
    <s v="1008-Nizamettin Uyar-Ankara"/>
    <x v="0"/>
    <x v="4"/>
    <n v="2"/>
    <n v="17829.2"/>
  </r>
  <r>
    <x v="25"/>
    <x v="117"/>
    <s v="Paketlemede"/>
    <n v="16120"/>
    <s v="1002-İnci Yüce-İstanbul"/>
    <x v="2"/>
    <x v="2"/>
    <n v="3"/>
    <n v="28709.25"/>
  </r>
  <r>
    <x v="26"/>
    <x v="138"/>
    <s v="Beklemede"/>
    <n v="62695"/>
    <s v="1005-Özge Sarıca Darol-Antalya"/>
    <x v="0"/>
    <x v="0"/>
    <n v="2"/>
    <n v="12916.2"/>
  </r>
  <r>
    <x v="38"/>
    <x v="211"/>
    <s v="Paketlemede"/>
    <n v="67032"/>
    <s v="1002-İnci Yüce-İstanbul"/>
    <x v="0"/>
    <x v="3"/>
    <n v="4"/>
    <n v="53373.600000000006"/>
  </r>
  <r>
    <x v="1"/>
    <x v="39"/>
    <s v="Beklemede"/>
    <n v="20039"/>
    <s v="1012-Ahmet Yalçın-İstanbul"/>
    <x v="2"/>
    <x v="2"/>
    <n v="4"/>
    <n v="38279"/>
  </r>
  <r>
    <x v="38"/>
    <x v="192"/>
    <s v="Kargoya Verildi"/>
    <n v="40947"/>
    <s v="1003-İlknur Akgül-İstanbul"/>
    <x v="3"/>
    <x v="7"/>
    <n v="3"/>
    <n v="37863"/>
  </r>
  <r>
    <x v="48"/>
    <x v="164"/>
    <s v="Kargoya Verildi"/>
    <n v="89426"/>
    <s v="1008-Nizamettin Uyar-Ankara"/>
    <x v="3"/>
    <x v="9"/>
    <n v="1"/>
    <n v="8685.2999999999993"/>
  </r>
  <r>
    <x v="34"/>
    <x v="58"/>
    <s v="Beklemede"/>
    <n v="81104"/>
    <s v="1008-Nizamettin Uyar-Ankara"/>
    <x v="2"/>
    <x v="2"/>
    <n v="4"/>
    <n v="38279"/>
  </r>
  <r>
    <x v="33"/>
    <x v="204"/>
    <s v="Ödeme Bekleniyor"/>
    <n v="11894"/>
    <s v="1008-Nizamettin Uyar-Ankara"/>
    <x v="2"/>
    <x v="2"/>
    <n v="1"/>
    <n v="9569.75"/>
  </r>
  <r>
    <x v="44"/>
    <x v="169"/>
    <s v="Ürün Stokta Yok"/>
    <n v="53356"/>
    <s v="1011-Tayfur Taşkıran-Ankara"/>
    <x v="1"/>
    <x v="6"/>
    <n v="5"/>
    <n v="29812.5"/>
  </r>
  <r>
    <x v="31"/>
    <x v="246"/>
    <s v="Ödeme Alındı"/>
    <n v="79703"/>
    <s v="1009-Erhan Demirkol-Gaziantep"/>
    <x v="2"/>
    <x v="2"/>
    <n v="5"/>
    <n v="47848.75"/>
  </r>
  <r>
    <x v="16"/>
    <x v="274"/>
    <s v="Paketlemede"/>
    <n v="74859"/>
    <s v="1001-Feza Gürdal-Eskişehir"/>
    <x v="1"/>
    <x v="6"/>
    <n v="5"/>
    <n v="29812.5"/>
  </r>
  <r>
    <x v="46"/>
    <x v="108"/>
    <s v="İade edildi"/>
    <n v="75377"/>
    <s v="1001-Feza Gürdal-Eskişehir"/>
    <x v="0"/>
    <x v="11"/>
    <n v="2"/>
    <n v="19318.8"/>
  </r>
  <r>
    <x v="51"/>
    <x v="177"/>
    <s v="İade edildi"/>
    <n v="44004"/>
    <s v="1010-Aykut Al-Ankara"/>
    <x v="1"/>
    <x v="6"/>
    <n v="1"/>
    <n v="5962.5"/>
  </r>
  <r>
    <x v="47"/>
    <x v="261"/>
    <s v="Paketlemede"/>
    <n v="75489"/>
    <s v="1008-Nizamettin Uyar-Ankara"/>
    <x v="2"/>
    <x v="5"/>
    <n v="2"/>
    <n v="16107"/>
  </r>
  <r>
    <x v="14"/>
    <x v="144"/>
    <s v="Paketlemede"/>
    <n v="35817"/>
    <s v="1006-Ali Baymak-Ankara"/>
    <x v="1"/>
    <x v="1"/>
    <n v="2"/>
    <n v="8283.26"/>
  </r>
  <r>
    <x v="46"/>
    <x v="275"/>
    <s v="Beklemede"/>
    <n v="24774"/>
    <s v="1005-Özge Sarıca Darol-Antalya"/>
    <x v="1"/>
    <x v="1"/>
    <n v="2"/>
    <n v="8283.26"/>
  </r>
  <r>
    <x v="4"/>
    <x v="92"/>
    <s v="Ödeme Bekleniyor"/>
    <n v="27133"/>
    <s v="1004-Mürşit Doğan-Ankara"/>
    <x v="0"/>
    <x v="3"/>
    <n v="2"/>
    <n v="26686.800000000003"/>
  </r>
  <r>
    <x v="2"/>
    <x v="193"/>
    <s v="Beklemede"/>
    <n v="91476"/>
    <s v="1010-Aykut Al-Ankara"/>
    <x v="2"/>
    <x v="2"/>
    <n v="5"/>
    <n v="47848.75"/>
  </r>
  <r>
    <x v="27"/>
    <x v="106"/>
    <s v="Ödeme Bekleniyor"/>
    <n v="96877"/>
    <s v="1001-Feza Gürdal-Eskişehir"/>
    <x v="2"/>
    <x v="5"/>
    <n v="1"/>
    <n v="8053.5"/>
  </r>
  <r>
    <x v="34"/>
    <x v="58"/>
    <s v="Beklemede"/>
    <n v="25469"/>
    <s v="1012-Ahmet Yalçın-İstanbul"/>
    <x v="0"/>
    <x v="0"/>
    <n v="4"/>
    <n v="25832.400000000001"/>
  </r>
  <r>
    <x v="1"/>
    <x v="1"/>
    <s v="Ürün Stokta Yok"/>
    <n v="80483"/>
    <s v="1008-Nizamettin Uyar-Ankara"/>
    <x v="1"/>
    <x v="6"/>
    <n v="1"/>
    <n v="5962.5"/>
  </r>
  <r>
    <x v="29"/>
    <x v="263"/>
    <s v="Ödeme Alındı"/>
    <n v="41839"/>
    <s v="1005-Özge Sarıca Darol-Antalya"/>
    <x v="1"/>
    <x v="6"/>
    <n v="2"/>
    <n v="11925"/>
  </r>
  <r>
    <x v="39"/>
    <x v="83"/>
    <s v="Paketlemede"/>
    <n v="75649"/>
    <s v="1010-Aykut Al-Ankara"/>
    <x v="1"/>
    <x v="1"/>
    <n v="4"/>
    <n v="16566.52"/>
  </r>
  <r>
    <x v="26"/>
    <x v="124"/>
    <s v="Beklemede"/>
    <n v="53940"/>
    <s v="1004-Mürşit Doğan-Ankara"/>
    <x v="1"/>
    <x v="6"/>
    <n v="2"/>
    <n v="11925"/>
  </r>
  <r>
    <x v="31"/>
    <x v="276"/>
    <s v="Ödeme Bekleniyor"/>
    <n v="89884"/>
    <s v="1012-Ahmet Yalçın-İstanbul"/>
    <x v="1"/>
    <x v="1"/>
    <n v="1"/>
    <n v="4141.63"/>
  </r>
  <r>
    <x v="28"/>
    <x v="49"/>
    <s v="Ödeme Alındı"/>
    <n v="56606"/>
    <s v="1010-Aykut Al-Ankara"/>
    <x v="1"/>
    <x v="8"/>
    <n v="1"/>
    <n v="9235.2000000000007"/>
  </r>
  <r>
    <x v="41"/>
    <x v="84"/>
    <s v="İade edildi"/>
    <n v="75021"/>
    <s v="1002-İnci Yüce-İstanbul"/>
    <x v="3"/>
    <x v="9"/>
    <n v="2"/>
    <n v="17370.599999999999"/>
  </r>
  <r>
    <x v="39"/>
    <x v="277"/>
    <s v="Kargoya Verildi"/>
    <n v="16978"/>
    <s v="1011-Tayfur Taşkıran-Ankara"/>
    <x v="2"/>
    <x v="5"/>
    <n v="4"/>
    <n v="32214"/>
  </r>
  <r>
    <x v="27"/>
    <x v="278"/>
    <s v="Paketlemede"/>
    <n v="88835"/>
    <s v="1009-Erhan Demirkol-Gaziantep"/>
    <x v="0"/>
    <x v="4"/>
    <n v="4"/>
    <n v="35658.400000000001"/>
  </r>
  <r>
    <x v="50"/>
    <x v="279"/>
    <s v="Ödeme Alındı"/>
    <n v="51074"/>
    <s v="1010-Aykut Al-Ankara"/>
    <x v="1"/>
    <x v="1"/>
    <n v="4"/>
    <n v="16566.52"/>
  </r>
  <r>
    <x v="30"/>
    <x v="215"/>
    <s v="İade edildi"/>
    <n v="39601"/>
    <s v="1009-Erhan Demirkol-Gaziantep"/>
    <x v="0"/>
    <x v="4"/>
    <n v="2"/>
    <n v="17829.2"/>
  </r>
  <r>
    <x v="43"/>
    <x v="203"/>
    <s v="Ödeme Alındı"/>
    <n v="95873"/>
    <s v="1009-Erhan Demirkol-Gaziantep"/>
    <x v="3"/>
    <x v="12"/>
    <n v="3"/>
    <n v="29401.350000000002"/>
  </r>
  <r>
    <x v="39"/>
    <x v="280"/>
    <s v="Beklemede"/>
    <n v="34229"/>
    <s v="1003-İlknur Akgül-İstanbul"/>
    <x v="0"/>
    <x v="3"/>
    <n v="5"/>
    <n v="66717"/>
  </r>
  <r>
    <x v="2"/>
    <x v="281"/>
    <s v="Ürün Stokta Yok"/>
    <n v="62033"/>
    <s v="1006-Ali Baymak-Ankara"/>
    <x v="2"/>
    <x v="5"/>
    <n v="1"/>
    <n v="8053.5"/>
  </r>
  <r>
    <x v="51"/>
    <x v="180"/>
    <s v="Ürün Stokta Yok"/>
    <n v="53261"/>
    <s v="1005-Özge Sarıca Darol-Antalya"/>
    <x v="2"/>
    <x v="2"/>
    <n v="4"/>
    <n v="38279"/>
  </r>
  <r>
    <x v="23"/>
    <x v="85"/>
    <s v="İade edildi"/>
    <n v="41786"/>
    <s v="1010-Aykut Al-Ankara"/>
    <x v="1"/>
    <x v="6"/>
    <n v="3"/>
    <n v="17887.5"/>
  </r>
  <r>
    <x v="20"/>
    <x v="157"/>
    <s v="İade edildi"/>
    <n v="14450"/>
    <s v="1003-İlknur Akgül-İstanbul"/>
    <x v="2"/>
    <x v="2"/>
    <n v="1"/>
    <n v="9569.75"/>
  </r>
  <r>
    <x v="10"/>
    <x v="19"/>
    <s v="Paketlemede"/>
    <n v="97143"/>
    <s v="1001-Feza Gürdal-Eskişehir"/>
    <x v="0"/>
    <x v="0"/>
    <n v="4"/>
    <n v="25832.400000000001"/>
  </r>
  <r>
    <x v="41"/>
    <x v="213"/>
    <s v="Kargoya Verildi"/>
    <n v="45703"/>
    <s v="1009-Erhan Demirkol-Gaziantep"/>
    <x v="2"/>
    <x v="5"/>
    <n v="1"/>
    <n v="8053.5"/>
  </r>
  <r>
    <x v="25"/>
    <x v="141"/>
    <s v="İade edildi"/>
    <n v="45064"/>
    <s v="1004-Mürşit Doğan-Ankara"/>
    <x v="3"/>
    <x v="7"/>
    <n v="4"/>
    <n v="50484"/>
  </r>
  <r>
    <x v="26"/>
    <x v="239"/>
    <s v="Paketlemede"/>
    <n v="26683"/>
    <s v="1010-Aykut Al-Ankara"/>
    <x v="1"/>
    <x v="6"/>
    <n v="5"/>
    <n v="29812.5"/>
  </r>
  <r>
    <x v="5"/>
    <x v="51"/>
    <s v="Paketlemede"/>
    <n v="11728"/>
    <s v="1006-Ali Baymak-Ankara"/>
    <x v="3"/>
    <x v="7"/>
    <n v="4"/>
    <n v="50484"/>
  </r>
  <r>
    <x v="0"/>
    <x v="240"/>
    <s v="İade edildi"/>
    <n v="30526"/>
    <s v="1005-Özge Sarıca Darol-Antalya"/>
    <x v="0"/>
    <x v="0"/>
    <n v="2"/>
    <n v="12916.2"/>
  </r>
  <r>
    <x v="7"/>
    <x v="22"/>
    <s v="Ürün Stokta Yok"/>
    <n v="59029"/>
    <s v="1012-Ahmet Yalçın-İstanbul"/>
    <x v="0"/>
    <x v="3"/>
    <n v="3"/>
    <n v="40030.200000000004"/>
  </r>
  <r>
    <x v="21"/>
    <x v="34"/>
    <s v="Kargoya Verildi"/>
    <n v="20182"/>
    <s v="1010-Aykut Al-Ankara"/>
    <x v="3"/>
    <x v="10"/>
    <n v="3"/>
    <n v="42198"/>
  </r>
  <r>
    <x v="25"/>
    <x v="141"/>
    <s v="İade edildi"/>
    <n v="82098"/>
    <s v="1002-İnci Yüce-İstanbul"/>
    <x v="0"/>
    <x v="11"/>
    <n v="2"/>
    <n v="19318.8"/>
  </r>
  <r>
    <x v="21"/>
    <x v="107"/>
    <s v="Ödeme Alındı"/>
    <n v="30841"/>
    <s v="1009-Erhan Demirkol-Gaziantep"/>
    <x v="3"/>
    <x v="12"/>
    <n v="3"/>
    <n v="29401.350000000002"/>
  </r>
  <r>
    <x v="27"/>
    <x v="258"/>
    <s v="Ödeme Bekleniyor"/>
    <n v="60785"/>
    <s v="1009-Erhan Demirkol-Gaziantep"/>
    <x v="0"/>
    <x v="4"/>
    <n v="4"/>
    <n v="35658.400000000001"/>
  </r>
  <r>
    <x v="9"/>
    <x v="114"/>
    <s v="Paketlemede"/>
    <n v="43334"/>
    <s v="1011-Tayfur Taşkıran-Ankara"/>
    <x v="0"/>
    <x v="11"/>
    <n v="1"/>
    <n v="9659.4"/>
  </r>
  <r>
    <x v="22"/>
    <x v="271"/>
    <s v="Beklemede"/>
    <n v="38635"/>
    <s v="1005-Özge Sarıca Darol-Antalya"/>
    <x v="1"/>
    <x v="1"/>
    <n v="5"/>
    <n v="20708.150000000001"/>
  </r>
  <r>
    <x v="7"/>
    <x v="62"/>
    <s v="Paketlemede"/>
    <n v="64196"/>
    <s v="1006-Ali Baymak-Ankara"/>
    <x v="2"/>
    <x v="5"/>
    <n v="1"/>
    <n v="8053.5"/>
  </r>
  <r>
    <x v="20"/>
    <x v="59"/>
    <s v="Ödeme Bekleniyor"/>
    <n v="85254"/>
    <s v="1001-Feza Gürdal-Eskişehir"/>
    <x v="3"/>
    <x v="7"/>
    <n v="1"/>
    <n v="12621"/>
  </r>
  <r>
    <x v="30"/>
    <x v="130"/>
    <s v="Beklemede"/>
    <n v="45019"/>
    <s v="1011-Tayfur Taşkıran-Ankara"/>
    <x v="3"/>
    <x v="9"/>
    <n v="3"/>
    <n v="26055.899999999998"/>
  </r>
  <r>
    <x v="1"/>
    <x v="6"/>
    <s v="Paketlemede"/>
    <n v="65572"/>
    <s v="1008-Nizamettin Uyar-Ankara"/>
    <x v="0"/>
    <x v="3"/>
    <n v="1"/>
    <n v="13343.400000000001"/>
  </r>
  <r>
    <x v="11"/>
    <x v="14"/>
    <s v="Kargoya Verildi"/>
    <n v="30856"/>
    <s v="1001-Feza Gürdal-Eskişehir"/>
    <x v="1"/>
    <x v="6"/>
    <n v="3"/>
    <n v="17887.5"/>
  </r>
  <r>
    <x v="31"/>
    <x v="272"/>
    <s v="Ürün Stokta Yok"/>
    <n v="66469"/>
    <s v="1008-Nizamettin Uyar-Ankara"/>
    <x v="2"/>
    <x v="5"/>
    <n v="5"/>
    <n v="40267.5"/>
  </r>
  <r>
    <x v="25"/>
    <x v="117"/>
    <s v="İade edildi"/>
    <n v="74081"/>
    <s v="1007-Mustafa Gürhan Özdemir-Ankara"/>
    <x v="2"/>
    <x v="2"/>
    <n v="4"/>
    <n v="38279"/>
  </r>
  <r>
    <x v="12"/>
    <x v="198"/>
    <s v="Ürün Stokta Yok"/>
    <n v="70344"/>
    <s v="1006-Ali Baymak-Ankara"/>
    <x v="1"/>
    <x v="8"/>
    <n v="5"/>
    <n v="46176"/>
  </r>
  <r>
    <x v="34"/>
    <x v="87"/>
    <s v="Kargoya Verildi"/>
    <n v="31370"/>
    <s v="1002-İnci Yüce-İstanbul"/>
    <x v="2"/>
    <x v="5"/>
    <n v="4"/>
    <n v="32214"/>
  </r>
  <r>
    <x v="9"/>
    <x v="60"/>
    <s v="İade edildi"/>
    <n v="90145"/>
    <s v="1011-Tayfur Taşkıran-Ankara"/>
    <x v="2"/>
    <x v="2"/>
    <n v="5"/>
    <n v="47848.75"/>
  </r>
  <r>
    <x v="47"/>
    <x v="147"/>
    <s v="Kargoya Verildi"/>
    <n v="61142"/>
    <s v="1004-Mürşit Doğan-Ankara"/>
    <x v="2"/>
    <x v="2"/>
    <n v="5"/>
    <n v="47848.75"/>
  </r>
  <r>
    <x v="25"/>
    <x v="42"/>
    <s v="İade edildi"/>
    <n v="63028"/>
    <s v="1005-Özge Sarıca Darol-Antalya"/>
    <x v="0"/>
    <x v="0"/>
    <n v="4"/>
    <n v="25832.400000000001"/>
  </r>
  <r>
    <x v="5"/>
    <x v="82"/>
    <s v="Paketlemede"/>
    <n v="50802"/>
    <s v="1009-Erhan Demirkol-Gaziantep"/>
    <x v="3"/>
    <x v="10"/>
    <n v="3"/>
    <n v="42198"/>
  </r>
  <r>
    <x v="37"/>
    <x v="259"/>
    <s v="Ödeme Bekleniyor"/>
    <n v="17515"/>
    <s v="1009-Erhan Demirkol-Gaziantep"/>
    <x v="2"/>
    <x v="2"/>
    <n v="3"/>
    <n v="28709.25"/>
  </r>
  <r>
    <x v="47"/>
    <x v="113"/>
    <s v="Paketlemede"/>
    <n v="53280"/>
    <s v="1009-Erhan Demirkol-Gaziantep"/>
    <x v="2"/>
    <x v="2"/>
    <n v="1"/>
    <n v="9569.75"/>
  </r>
  <r>
    <x v="29"/>
    <x v="167"/>
    <s v="Ürün Stokta Yok"/>
    <n v="72023"/>
    <s v="1001-Feza Gürdal-Eskişehir"/>
    <x v="2"/>
    <x v="5"/>
    <n v="4"/>
    <n v="32214"/>
  </r>
  <r>
    <x v="48"/>
    <x v="184"/>
    <s v="Ödeme Bekleniyor"/>
    <n v="82441"/>
    <s v="1005-Özge Sarıca Darol-Antalya"/>
    <x v="2"/>
    <x v="5"/>
    <n v="4"/>
    <n v="32214"/>
  </r>
  <r>
    <x v="22"/>
    <x v="98"/>
    <s v="İade edildi"/>
    <n v="81488"/>
    <s v="1003-İlknur Akgül-İstanbul"/>
    <x v="2"/>
    <x v="2"/>
    <n v="2"/>
    <n v="19139.5"/>
  </r>
  <r>
    <x v="25"/>
    <x v="273"/>
    <s v="Ödeme Alındı"/>
    <n v="50992"/>
    <s v="1007-Mustafa Gürhan Özdemir-Ankara"/>
    <x v="0"/>
    <x v="0"/>
    <n v="5"/>
    <n v="32290.5"/>
  </r>
  <r>
    <x v="4"/>
    <x v="92"/>
    <s v="Paketlemede"/>
    <n v="23185"/>
    <s v="1001-Feza Gürdal-Eskişehir"/>
    <x v="1"/>
    <x v="1"/>
    <n v="1"/>
    <n v="4141.63"/>
  </r>
  <r>
    <x v="45"/>
    <x v="253"/>
    <s v="Ürün Stokta Yok"/>
    <n v="45027"/>
    <s v="1007-Mustafa Gürhan Özdemir-Ankara"/>
    <x v="2"/>
    <x v="5"/>
    <n v="4"/>
    <n v="32214"/>
  </r>
  <r>
    <x v="52"/>
    <x v="201"/>
    <s v="Ödeme Alındı"/>
    <n v="43947"/>
    <s v="1012-Ahmet Yalçın-İstanbul"/>
    <x v="2"/>
    <x v="5"/>
    <n v="2"/>
    <n v="16107"/>
  </r>
  <r>
    <x v="6"/>
    <x v="9"/>
    <s v="Ürün Stokta Yok"/>
    <n v="48821"/>
    <s v="1006-Ali Baymak-Ankara"/>
    <x v="3"/>
    <x v="10"/>
    <n v="4"/>
    <n v="56264"/>
  </r>
  <r>
    <x v="15"/>
    <x v="47"/>
    <s v="Ödeme Alındı"/>
    <n v="71722"/>
    <s v="1008-Nizamettin Uyar-Ankara"/>
    <x v="2"/>
    <x v="5"/>
    <n v="3"/>
    <n v="24160.5"/>
  </r>
  <r>
    <x v="43"/>
    <x v="173"/>
    <s v="Ödeme Bekleniyor"/>
    <n v="28856"/>
    <s v="1004-Mürşit Doğan-Ankara"/>
    <x v="0"/>
    <x v="11"/>
    <n v="3"/>
    <n v="28978.199999999997"/>
  </r>
  <r>
    <x v="45"/>
    <x v="189"/>
    <s v="Beklemede"/>
    <n v="67197"/>
    <s v="1007-Mustafa Gürhan Özdemir-Ankara"/>
    <x v="0"/>
    <x v="3"/>
    <n v="2"/>
    <n v="26686.800000000003"/>
  </r>
  <r>
    <x v="48"/>
    <x v="178"/>
    <s v="Kargoya Verildi"/>
    <n v="41231"/>
    <s v="1003-İlknur Akgül-İstanbul"/>
    <x v="2"/>
    <x v="2"/>
    <n v="5"/>
    <n v="47848.75"/>
  </r>
  <r>
    <x v="19"/>
    <x v="282"/>
    <s v="Paketlemede"/>
    <n v="50155"/>
    <s v="1010-Aykut Al-Ankara"/>
    <x v="3"/>
    <x v="9"/>
    <n v="1"/>
    <n v="8685.2999999999993"/>
  </r>
  <r>
    <x v="0"/>
    <x v="0"/>
    <s v="Ödeme Alındı"/>
    <n v="94386"/>
    <s v="1010-Aykut Al-Ankara"/>
    <x v="0"/>
    <x v="4"/>
    <n v="4"/>
    <n v="35658.400000000001"/>
  </r>
  <r>
    <x v="25"/>
    <x v="76"/>
    <s v="Ödeme Alındı"/>
    <n v="74472"/>
    <s v="1010-Aykut Al-Ankara"/>
    <x v="1"/>
    <x v="8"/>
    <n v="1"/>
    <n v="9235.2000000000007"/>
  </r>
  <r>
    <x v="22"/>
    <x v="43"/>
    <s v="Paketlemede"/>
    <n v="52020"/>
    <s v="1004-Mürşit Doğan-Ankara"/>
    <x v="0"/>
    <x v="3"/>
    <n v="3"/>
    <n v="40030.200000000004"/>
  </r>
  <r>
    <x v="35"/>
    <x v="235"/>
    <s v="Ödeme Alındı"/>
    <n v="56942"/>
    <s v="1007-Mustafa Gürhan Özdemir-Ankara"/>
    <x v="1"/>
    <x v="8"/>
    <n v="3"/>
    <n v="27705.600000000002"/>
  </r>
  <r>
    <x v="24"/>
    <x v="66"/>
    <s v="Ürün Stokta Yok"/>
    <n v="31263"/>
    <s v="1009-Erhan Demirkol-Gaziantep"/>
    <x v="1"/>
    <x v="1"/>
    <n v="1"/>
    <n v="4141.63"/>
  </r>
  <r>
    <x v="38"/>
    <x v="267"/>
    <s v="Paketlemede"/>
    <n v="68464"/>
    <s v="1003-İlknur Akgül-İstanbul"/>
    <x v="1"/>
    <x v="8"/>
    <n v="5"/>
    <n v="46176"/>
  </r>
  <r>
    <x v="42"/>
    <x v="264"/>
    <s v="Ödeme Bekleniyor"/>
    <n v="82922"/>
    <s v="1005-Özge Sarıca Darol-Antalya"/>
    <x v="2"/>
    <x v="2"/>
    <n v="5"/>
    <n v="47848.75"/>
  </r>
  <r>
    <x v="31"/>
    <x v="54"/>
    <s v="Beklemede"/>
    <n v="11153"/>
    <s v="1005-Özge Sarıca Darol-Antalya"/>
    <x v="2"/>
    <x v="2"/>
    <n v="5"/>
    <n v="47848.75"/>
  </r>
  <r>
    <x v="5"/>
    <x v="82"/>
    <s v="Kargoya Verildi"/>
    <n v="80316"/>
    <s v="1012-Ahmet Yalçın-İstanbul"/>
    <x v="1"/>
    <x v="6"/>
    <n v="4"/>
    <n v="23850"/>
  </r>
  <r>
    <x v="42"/>
    <x v="214"/>
    <s v="Kargoya Verildi"/>
    <n v="14974"/>
    <s v="1011-Tayfur Taşkıran-Ankara"/>
    <x v="2"/>
    <x v="2"/>
    <n v="4"/>
    <n v="38279"/>
  </r>
  <r>
    <x v="40"/>
    <x v="129"/>
    <s v="İade edildi"/>
    <n v="35189"/>
    <s v="1010-Aykut Al-Ankara"/>
    <x v="1"/>
    <x v="6"/>
    <n v="1"/>
    <n v="5962.5"/>
  </r>
  <r>
    <x v="21"/>
    <x v="229"/>
    <s v="Ödeme Bekleniyor"/>
    <n v="97982"/>
    <s v="1006-Ali Baymak-Ankara"/>
    <x v="0"/>
    <x v="0"/>
    <n v="1"/>
    <n v="6458.1"/>
  </r>
  <r>
    <x v="17"/>
    <x v="283"/>
    <s v="Ödeme Alındı"/>
    <n v="81709"/>
    <s v="1001-Feza Gürdal-Eskişehir"/>
    <x v="2"/>
    <x v="2"/>
    <n v="1"/>
    <n v="9569.75"/>
  </r>
  <r>
    <x v="17"/>
    <x v="45"/>
    <s v="Ürün Stokta Yok"/>
    <n v="22748"/>
    <s v="1011-Tayfur Taşkıran-Ankara"/>
    <x v="1"/>
    <x v="1"/>
    <n v="5"/>
    <n v="20708.150000000001"/>
  </r>
  <r>
    <x v="40"/>
    <x v="284"/>
    <s v="Beklemede"/>
    <n v="55283"/>
    <s v="1008-Nizamettin Uyar-Ankara"/>
    <x v="1"/>
    <x v="1"/>
    <n v="2"/>
    <n v="8283.26"/>
  </r>
  <r>
    <x v="0"/>
    <x v="240"/>
    <s v="Ödeme Bekleniyor"/>
    <n v="56339"/>
    <s v="1008-Nizamettin Uyar-Ankara"/>
    <x v="2"/>
    <x v="5"/>
    <n v="4"/>
    <n v="32214"/>
  </r>
  <r>
    <x v="23"/>
    <x v="37"/>
    <s v="Ödeme Bekleniyor"/>
    <n v="31542"/>
    <s v="1010-Aykut Al-Ankara"/>
    <x v="1"/>
    <x v="1"/>
    <n v="4"/>
    <n v="16566.52"/>
  </r>
  <r>
    <x v="52"/>
    <x v="201"/>
    <s v="Ödeme Bekleniyor"/>
    <n v="59398"/>
    <s v="1011-Tayfur Taşkıran-Ankara"/>
    <x v="0"/>
    <x v="3"/>
    <n v="1"/>
    <n v="13343.400000000001"/>
  </r>
  <r>
    <x v="32"/>
    <x v="56"/>
    <s v="Ödeme Alındı"/>
    <n v="61103"/>
    <s v="1012-Ahmet Yalçın-İstanbul"/>
    <x v="0"/>
    <x v="11"/>
    <n v="1"/>
    <n v="9659.4"/>
  </r>
  <r>
    <x v="30"/>
    <x v="95"/>
    <s v="Beklemede"/>
    <n v="20684"/>
    <s v="1005-Özge Sarıca Darol-Antalya"/>
    <x v="1"/>
    <x v="1"/>
    <n v="4"/>
    <n v="16566.52"/>
  </r>
  <r>
    <x v="47"/>
    <x v="257"/>
    <s v="İade edildi"/>
    <n v="57547"/>
    <s v="1008-Nizamettin Uyar-Ankara"/>
    <x v="0"/>
    <x v="11"/>
    <n v="5"/>
    <n v="48297"/>
  </r>
  <r>
    <x v="33"/>
    <x v="204"/>
    <s v="Kargoya Verildi"/>
    <n v="15056"/>
    <s v="1011-Tayfur Taşkıran-Ankara"/>
    <x v="0"/>
    <x v="4"/>
    <n v="2"/>
    <n v="17829.2"/>
  </r>
  <r>
    <x v="16"/>
    <x v="274"/>
    <s v="Ödeme Bekleniyor"/>
    <n v="27204"/>
    <s v="1007-Mustafa Gürhan Özdemir-Ankara"/>
    <x v="0"/>
    <x v="4"/>
    <n v="5"/>
    <n v="44573"/>
  </r>
  <r>
    <x v="14"/>
    <x v="207"/>
    <s v="İade edildi"/>
    <n v="51087"/>
    <s v="1011-Tayfur Taşkıran-Ankara"/>
    <x v="0"/>
    <x v="3"/>
    <n v="4"/>
    <n v="53373.600000000006"/>
  </r>
  <r>
    <x v="43"/>
    <x v="190"/>
    <s v="Ödeme Alındı"/>
    <n v="19381"/>
    <s v="1010-Aykut Al-Ankara"/>
    <x v="0"/>
    <x v="0"/>
    <n v="2"/>
    <n v="12916.2"/>
  </r>
  <r>
    <x v="33"/>
    <x v="285"/>
    <s v="Beklemede"/>
    <n v="14754"/>
    <s v="1011-Tayfur Taşkıran-Ankara"/>
    <x v="3"/>
    <x v="10"/>
    <n v="5"/>
    <n v="70330"/>
  </r>
  <r>
    <x v="51"/>
    <x v="180"/>
    <s v="Beklemede"/>
    <n v="44792"/>
    <s v="1002-İnci Yüce-İstanbul"/>
    <x v="1"/>
    <x v="6"/>
    <n v="5"/>
    <n v="29812.5"/>
  </r>
  <r>
    <x v="5"/>
    <x v="8"/>
    <s v="Ödeme Alındı"/>
    <n v="53822"/>
    <s v="1009-Erhan Demirkol-Gaziantep"/>
    <x v="3"/>
    <x v="10"/>
    <n v="1"/>
    <n v="14066"/>
  </r>
  <r>
    <x v="45"/>
    <x v="254"/>
    <s v="Beklemede"/>
    <n v="68674"/>
    <s v="1007-Mustafa Gürhan Özdemir-Ankara"/>
    <x v="1"/>
    <x v="1"/>
    <n v="5"/>
    <n v="20708.150000000001"/>
  </r>
  <r>
    <x v="10"/>
    <x v="19"/>
    <s v="Ödeme Alındı"/>
    <n v="20576"/>
    <s v="1007-Mustafa Gürhan Özdemir-Ankara"/>
    <x v="1"/>
    <x v="1"/>
    <n v="3"/>
    <n v="12424.89"/>
  </r>
  <r>
    <x v="44"/>
    <x v="136"/>
    <s v="Ürün Stokta Yok"/>
    <n v="94874"/>
    <s v="1011-Tayfur Taşkıran-Ankara"/>
    <x v="1"/>
    <x v="8"/>
    <n v="3"/>
    <n v="27705.600000000002"/>
  </r>
  <r>
    <x v="18"/>
    <x v="212"/>
    <s v="Paketlemede"/>
    <n v="51775"/>
    <s v="1011-Tayfur Taşkıran-Ankara"/>
    <x v="3"/>
    <x v="12"/>
    <n v="1"/>
    <n v="9800.4500000000007"/>
  </r>
  <r>
    <x v="5"/>
    <x v="154"/>
    <s v="Ödeme Alındı"/>
    <n v="57272"/>
    <s v="1004-Mürşit Doğan-Ankara"/>
    <x v="1"/>
    <x v="1"/>
    <n v="3"/>
    <n v="12424.89"/>
  </r>
  <r>
    <x v="52"/>
    <x v="269"/>
    <s v="Ürün Stokta Yok"/>
    <n v="10054"/>
    <s v="1001-Feza Gürdal-Eskişehir"/>
    <x v="0"/>
    <x v="0"/>
    <n v="1"/>
    <n v="6458.1"/>
  </r>
  <r>
    <x v="2"/>
    <x v="241"/>
    <s v="Kargoya Verildi"/>
    <n v="78912"/>
    <s v="1004-Mürşit Doğan-Ankara"/>
    <x v="0"/>
    <x v="11"/>
    <n v="2"/>
    <n v="19318.8"/>
  </r>
  <r>
    <x v="29"/>
    <x v="167"/>
    <s v="Beklemede"/>
    <n v="51778"/>
    <s v="1002-İnci Yüce-İstanbul"/>
    <x v="1"/>
    <x v="6"/>
    <n v="4"/>
    <n v="23850"/>
  </r>
  <r>
    <x v="40"/>
    <x v="129"/>
    <s v="Ödeme Alındı"/>
    <n v="40952"/>
    <s v="1002-İnci Yüce-İstanbul"/>
    <x v="1"/>
    <x v="1"/>
    <n v="2"/>
    <n v="8283.26"/>
  </r>
  <r>
    <x v="28"/>
    <x v="119"/>
    <s v="İade edildi"/>
    <n v="31828"/>
    <s v="1002-İnci Yüce-İstanbul"/>
    <x v="2"/>
    <x v="2"/>
    <n v="4"/>
    <n v="38279"/>
  </r>
  <r>
    <x v="37"/>
    <x v="221"/>
    <s v="Ödeme Alındı"/>
    <n v="51599"/>
    <s v="1010-Aykut Al-Ankara"/>
    <x v="1"/>
    <x v="6"/>
    <n v="3"/>
    <n v="17887.5"/>
  </r>
  <r>
    <x v="2"/>
    <x v="46"/>
    <s v="Ödeme Alındı"/>
    <n v="44129"/>
    <s v="1005-Özge Sarıca Darol-Antalya"/>
    <x v="1"/>
    <x v="1"/>
    <n v="2"/>
    <n v="8283.26"/>
  </r>
  <r>
    <x v="9"/>
    <x v="12"/>
    <s v="Ödeme Bekleniyor"/>
    <n v="70043"/>
    <s v="1002-İnci Yüce-İstanbul"/>
    <x v="3"/>
    <x v="7"/>
    <n v="3"/>
    <n v="37863"/>
  </r>
  <r>
    <x v="30"/>
    <x v="215"/>
    <s v="İade edildi"/>
    <n v="13652"/>
    <s v="1003-İlknur Akgül-İstanbul"/>
    <x v="2"/>
    <x v="5"/>
    <n v="5"/>
    <n v="40267.5"/>
  </r>
  <r>
    <x v="7"/>
    <x v="10"/>
    <s v="Kargoya Verildi"/>
    <n v="27879"/>
    <s v="1011-Tayfur Taşkıran-Ankara"/>
    <x v="2"/>
    <x v="2"/>
    <n v="1"/>
    <n v="9569.75"/>
  </r>
  <r>
    <x v="23"/>
    <x v="37"/>
    <s v="Paketlemede"/>
    <n v="15725"/>
    <s v="1007-Mustafa Gürhan Özdemir-Ankara"/>
    <x v="2"/>
    <x v="5"/>
    <n v="1"/>
    <n v="8053.5"/>
  </r>
  <r>
    <x v="20"/>
    <x v="157"/>
    <s v="Ödeme Bekleniyor"/>
    <n v="88368"/>
    <s v="1003-İlknur Akgül-İstanbul"/>
    <x v="2"/>
    <x v="5"/>
    <n v="5"/>
    <n v="40267.5"/>
  </r>
  <r>
    <x v="24"/>
    <x v="122"/>
    <s v="Paketlemede"/>
    <n v="91041"/>
    <s v="1009-Erhan Demirkol-Gaziantep"/>
    <x v="1"/>
    <x v="8"/>
    <n v="4"/>
    <n v="36940.800000000003"/>
  </r>
  <r>
    <x v="25"/>
    <x v="42"/>
    <s v="Ödeme Bekleniyor"/>
    <n v="39019"/>
    <s v="1008-Nizamettin Uyar-Ankara"/>
    <x v="0"/>
    <x v="0"/>
    <n v="5"/>
    <n v="32290.5"/>
  </r>
  <r>
    <x v="20"/>
    <x v="286"/>
    <s v="Beklemede"/>
    <n v="41215"/>
    <s v="1005-Özge Sarıca Darol-Antalya"/>
    <x v="1"/>
    <x v="8"/>
    <n v="2"/>
    <n v="18470.400000000001"/>
  </r>
  <r>
    <x v="19"/>
    <x v="287"/>
    <s v="Ürün Stokta Yok"/>
    <n v="78906"/>
    <s v="1012-Ahmet Yalçın-İstanbul"/>
    <x v="0"/>
    <x v="4"/>
    <n v="5"/>
    <n v="44573"/>
  </r>
  <r>
    <x v="41"/>
    <x v="268"/>
    <s v="Ödeme Bekleniyor"/>
    <n v="95388"/>
    <s v="1003-İlknur Akgül-İstanbul"/>
    <x v="2"/>
    <x v="5"/>
    <n v="5"/>
    <n v="40267.5"/>
  </r>
  <r>
    <x v="30"/>
    <x v="52"/>
    <s v="Ödeme Alındı"/>
    <n v="77688"/>
    <s v="1010-Aykut Al-Ankara"/>
    <x v="1"/>
    <x v="6"/>
    <n v="1"/>
    <n v="596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4F3A0-CC55-428D-A989-8BED087513B0}" name="PivotTable1" cacheId="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4">
  <location ref="A3:C21" firstHeaderRow="0" firstDataRow="1" firstDataCol="1"/>
  <pivotFields count="10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Row" showAll="0" sortType="ascending">
      <items count="14">
        <item x="0"/>
        <item x="4"/>
        <item x="11"/>
        <item x="3"/>
        <item x="9"/>
        <item x="12"/>
        <item x="7"/>
        <item x="10"/>
        <item x="8"/>
        <item x="6"/>
        <item x="1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numFmtId="8"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2">
    <field x="5"/>
    <field x="6"/>
  </rowFields>
  <rowItems count="18">
    <i>
      <x/>
    </i>
    <i r="1">
      <x v="5"/>
    </i>
    <i r="1">
      <x v="4"/>
    </i>
    <i r="1">
      <x v="6"/>
    </i>
    <i r="1">
      <x v="7"/>
    </i>
    <i>
      <x v="1"/>
    </i>
    <i r="1">
      <x v="10"/>
    </i>
    <i r="1">
      <x v="9"/>
    </i>
    <i r="1">
      <x v="8"/>
    </i>
    <i>
      <x v="2"/>
    </i>
    <i r="1">
      <x/>
    </i>
    <i r="1">
      <x v="2"/>
    </i>
    <i r="1">
      <x v="3"/>
    </i>
    <i r="1">
      <x v="1"/>
    </i>
    <i>
      <x v="3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Adet" fld="7" baseField="0" baseItem="0"/>
    <dataField name="Toplam Genel Tutar" fld="8" baseField="0" baseItem="0" numFmtId="165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5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7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0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9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8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11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9DD82-BF67-41F3-92A5-40DF3DF5973E}" name="PivotTable1" cacheId="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6">
  <location ref="A3:B74" firstHeaderRow="1" firstDataRow="1" firstDataCol="1"/>
  <pivotFields count="10">
    <pivotField axis="axisRow" showAll="0">
      <items count="54">
        <item x="23"/>
        <item x="31"/>
        <item x="22"/>
        <item x="35"/>
        <item x="12"/>
        <item x="40"/>
        <item x="50"/>
        <item x="21"/>
        <item x="43"/>
        <item x="24"/>
        <item x="0"/>
        <item x="37"/>
        <item x="14"/>
        <item x="13"/>
        <item x="11"/>
        <item x="7"/>
        <item x="51"/>
        <item x="46"/>
        <item x="48"/>
        <item x="27"/>
        <item x="26"/>
        <item x="17"/>
        <item x="5"/>
        <item x="34"/>
        <item x="19"/>
        <item x="42"/>
        <item x="44"/>
        <item x="4"/>
        <item x="10"/>
        <item x="30"/>
        <item x="36"/>
        <item x="25"/>
        <item x="28"/>
        <item x="20"/>
        <item x="2"/>
        <item x="52"/>
        <item x="9"/>
        <item x="32"/>
        <item x="3"/>
        <item x="1"/>
        <item x="33"/>
        <item x="29"/>
        <item x="16"/>
        <item x="6"/>
        <item x="18"/>
        <item x="39"/>
        <item x="47"/>
        <item x="8"/>
        <item x="38"/>
        <item x="15"/>
        <item x="41"/>
        <item x="45"/>
        <item x="49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14">
        <item x="0"/>
        <item x="4"/>
        <item x="11"/>
        <item x="3"/>
        <item x="9"/>
        <item x="12"/>
        <item x="7"/>
        <item x="10"/>
        <item x="8"/>
        <item x="6"/>
        <item x="1"/>
        <item x="5"/>
        <item x="2"/>
        <item t="default"/>
      </items>
    </pivotField>
    <pivotField showAll="0"/>
    <pivotField numFmtId="8"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2">
    <field x="9"/>
    <field x="0"/>
  </rowFields>
  <rowItems count="71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 r="1">
      <x v="9"/>
    </i>
    <i>
      <x v="3"/>
    </i>
    <i r="1">
      <x v="9"/>
    </i>
    <i r="1">
      <x v="10"/>
    </i>
    <i r="1">
      <x v="11"/>
    </i>
    <i r="1">
      <x v="12"/>
    </i>
    <i r="1">
      <x v="13"/>
    </i>
    <i>
      <x v="4"/>
    </i>
    <i r="1">
      <x v="13"/>
    </i>
    <i r="1">
      <x v="14"/>
    </i>
    <i r="1">
      <x v="15"/>
    </i>
    <i r="1">
      <x v="16"/>
    </i>
    <i r="1">
      <x v="17"/>
    </i>
    <i>
      <x v="5"/>
    </i>
    <i r="1">
      <x v="18"/>
    </i>
    <i r="1">
      <x v="19"/>
    </i>
    <i r="1">
      <x v="20"/>
    </i>
    <i r="1">
      <x v="21"/>
    </i>
    <i>
      <x v="6"/>
    </i>
    <i r="1">
      <x v="22"/>
    </i>
    <i r="1">
      <x v="23"/>
    </i>
    <i r="1">
      <x v="24"/>
    </i>
    <i r="1">
      <x v="25"/>
    </i>
    <i r="1">
      <x v="26"/>
    </i>
    <i>
      <x v="7"/>
    </i>
    <i r="1">
      <x v="26"/>
    </i>
    <i r="1">
      <x v="27"/>
    </i>
    <i r="1">
      <x v="28"/>
    </i>
    <i r="1">
      <x v="29"/>
    </i>
    <i r="1">
      <x v="30"/>
    </i>
    <i>
      <x v="8"/>
    </i>
    <i r="1">
      <x v="31"/>
    </i>
    <i r="1">
      <x v="32"/>
    </i>
    <i r="1">
      <x v="33"/>
    </i>
    <i r="1">
      <x v="34"/>
    </i>
    <i>
      <x v="9"/>
    </i>
    <i r="1">
      <x v="35"/>
    </i>
    <i r="1">
      <x v="36"/>
    </i>
    <i r="1">
      <x v="37"/>
    </i>
    <i r="1">
      <x v="38"/>
    </i>
    <i r="1">
      <x v="39"/>
    </i>
    <i>
      <x v="10"/>
    </i>
    <i r="1">
      <x v="39"/>
    </i>
    <i r="1">
      <x v="40"/>
    </i>
    <i r="1">
      <x v="41"/>
    </i>
    <i r="1">
      <x v="42"/>
    </i>
    <i r="1">
      <x v="43"/>
    </i>
    <i>
      <x v="11"/>
    </i>
    <i r="1">
      <x v="44"/>
    </i>
    <i r="1">
      <x v="45"/>
    </i>
    <i r="1">
      <x v="46"/>
    </i>
    <i r="1">
      <x v="47"/>
    </i>
    <i r="1">
      <x v="48"/>
    </i>
    <i>
      <x v="12"/>
    </i>
    <i r="1">
      <x v="48"/>
    </i>
    <i r="1">
      <x v="49"/>
    </i>
    <i r="1">
      <x v="50"/>
    </i>
    <i r="1">
      <x v="51"/>
    </i>
    <i r="1">
      <x v="52"/>
    </i>
    <i t="grand">
      <x/>
    </i>
  </rowItems>
  <colItems count="1">
    <i/>
  </colItems>
  <dataFields count="1">
    <dataField name="Say Kargo Takip No" fld="3" subtotal="count" baseField="8" baseItem="1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C6C16-EAF3-4C0D-B96E-2136024A20C5}" name="PivotTable1" cacheId="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8">
  <location ref="A3:B8" firstHeaderRow="1" firstDataRow="1" firstDataCol="1"/>
  <pivotFields count="10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14">
        <item x="0"/>
        <item x="4"/>
        <item x="11"/>
        <item x="3"/>
        <item x="9"/>
        <item x="12"/>
        <item x="7"/>
        <item x="10"/>
        <item x="8"/>
        <item x="6"/>
        <item x="1"/>
        <item x="5"/>
        <item x="2"/>
        <item t="default"/>
      </items>
    </pivotField>
    <pivotField showAll="0"/>
    <pivotField numFmtId="8" showAll="0"/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y Kargo Takip No" fld="3" subtotal="count" baseField="8" baseItem="1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CB8E7-3410-4A25-8C47-89EC8083DA38}" name="PivotTable2" cacheId="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6">
  <location ref="C4:C5" firstHeaderRow="1" firstDataRow="1" firstDataCol="0"/>
  <pivotFields count="10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14">
        <item x="0"/>
        <item x="4"/>
        <item x="11"/>
        <item x="3"/>
        <item x="9"/>
        <item x="12"/>
        <item x="7"/>
        <item x="10"/>
        <item x="8"/>
        <item x="6"/>
        <item x="1"/>
        <item x="5"/>
        <item x="2"/>
        <item t="default"/>
      </items>
    </pivotField>
    <pivotField showAll="0"/>
    <pivotField dataField="1" numFmtId="8" showAll="0"/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</pivotFields>
  <rowItems count="1">
    <i/>
  </rowItems>
  <colItems count="1">
    <i/>
  </colItems>
  <dataFields count="1">
    <dataField name="Ortalama Genel Tutar" fld="8" subtotal="average" baseField="0" baseItem="19214483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C5C5D-9E56-41B9-8180-4267A766AA18}" name="PivotTable1" cacheId="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6">
  <location ref="A4:A5" firstHeaderRow="1" firstDataRow="1" firstDataCol="0"/>
  <pivotFields count="10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14">
        <item x="0"/>
        <item x="4"/>
        <item x="11"/>
        <item x="3"/>
        <item x="9"/>
        <item x="12"/>
        <item x="7"/>
        <item x="10"/>
        <item x="8"/>
        <item x="6"/>
        <item x="1"/>
        <item x="5"/>
        <item x="2"/>
        <item t="default"/>
      </items>
    </pivotField>
    <pivotField showAll="0"/>
    <pivotField numFmtId="8" showAll="0"/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</pivotFields>
  <rowItems count="1">
    <i/>
  </rowItems>
  <colItems count="1">
    <i/>
  </colItems>
  <dataFields count="1">
    <dataField name="Toplam Sipariş Sayısı" fld="3" subtotal="count" baseField="8" baseItem="1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0F447-A137-4CD4-AECF-EF18DA64C811}" name="PivotTable3" cacheId="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6">
  <location ref="E4:E5" firstHeaderRow="1" firstDataRow="1" firstDataCol="0"/>
  <pivotFields count="10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14">
        <item x="0"/>
        <item x="4"/>
        <item x="11"/>
        <item x="3"/>
        <item x="9"/>
        <item x="12"/>
        <item x="7"/>
        <item x="10"/>
        <item x="8"/>
        <item x="6"/>
        <item x="1"/>
        <item x="5"/>
        <item x="2"/>
        <item t="default"/>
      </items>
    </pivotField>
    <pivotField dataField="1" showAll="0"/>
    <pivotField numFmtId="8" showAll="0"/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</pivotFields>
  <rowItems count="1">
    <i/>
  </rowItems>
  <colItems count="1">
    <i/>
  </colItems>
  <dataFields count="1">
    <dataField name="Toplam Ade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0678E-ADD2-4790-89DE-1E40B22F7FD9}" name="PivotTable2" cacheId="4" applyNumberFormats="0" applyBorderFormats="0" applyFontFormats="0" applyPatternFormats="0" applyAlignmentFormats="0" applyWidthHeightFormats="1" dataCaption="Değerler" updatedVersion="7" minRefreshableVersion="3" useAutoFormatting="1" rowGrandTotals="0" colGrandTotals="0" itemPrintTitles="1" createdVersion="7" indent="0" compact="0" compactData="0" multipleFieldFilters="0" rowHeaderCaption="Kategoriler">
  <location ref="H1:I14" firstHeaderRow="1" firstDataRow="1" firstDataCol="2"/>
  <pivotFields count="11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m="1" x="5"/>
        <item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9"/>
        <item x="4"/>
        <item x="5"/>
        <item x="6"/>
        <item x="0"/>
        <item x="1"/>
        <item x="2"/>
        <item x="3"/>
        <item x="7"/>
        <item x="8"/>
        <item m="1" x="14"/>
        <item x="10"/>
        <item x="11"/>
        <item m="1" x="13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3">
    <i>
      <x/>
      <x v="4"/>
    </i>
    <i r="1">
      <x v="5"/>
    </i>
    <i r="1">
      <x v="6"/>
    </i>
    <i r="1">
      <x v="7"/>
    </i>
    <i>
      <x v="1"/>
      <x/>
    </i>
    <i r="1">
      <x v="1"/>
    </i>
    <i r="1">
      <x v="2"/>
    </i>
    <i r="1">
      <x v="3"/>
    </i>
    <i>
      <x v="2"/>
      <x v="8"/>
    </i>
    <i r="1">
      <x v="9"/>
    </i>
    <i>
      <x v="4"/>
      <x v="11"/>
    </i>
    <i r="1">
      <x v="12"/>
    </i>
    <i r="1">
      <x v="1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B254F-736E-4B97-9CC5-68950553A75E}" name="PivotTable1" cacheId="4" applyNumberFormats="0" applyBorderFormats="0" applyFontFormats="0" applyPatternFormats="0" applyAlignmentFormats="0" applyWidthHeightFormats="1" dataCaption="Değerler" updatedVersion="7" minRefreshableVersion="3" useAutoFormatting="1" rowGrandTotals="0" colGrandTotals="0" itemPrintTitles="1" createdVersion="7" indent="0" outline="1" outlineData="1" multipleFieldFilters="0" rowHeaderCaption="Kategoriler">
  <location ref="A1:A5" firstHeaderRow="1" firstDataRow="1" firstDataCol="1"/>
  <pivotFields count="11">
    <pivotField subtotalTop="0" showAll="0" defaultSubtotal="0"/>
    <pivotField showAll="0" defaultSubtotal="0"/>
    <pivotField axis="axisRow" showAll="0" defaultSubtotal="0">
      <items count="6">
        <item x="0"/>
        <item x="1"/>
        <item x="2"/>
        <item m="1" x="5"/>
        <item x="3"/>
        <item m="1" x="4"/>
      </items>
    </pivotField>
    <pivotField showAll="0" defaultSubtotal="0"/>
    <pivotField showAll="0" defaultSubtotal="0"/>
    <pivotField showAll="0" defaultSubtotal="0"/>
    <pivotField showAll="0" defaultSubtotal="0"/>
    <pivotField numFmtId="8" showAll="0" defaultSubtotal="0"/>
    <pivotField numFmtId="8" showAll="0" defaultSubtotal="0"/>
    <pivotField numFmtId="9" showAll="0" defaultSubtotal="0"/>
    <pivotField numFmtId="8" showAll="0" defaultSubtotal="0"/>
  </pivotFields>
  <rowFields count="1">
    <field x="2"/>
  </rowFields>
  <rowItems count="4">
    <i>
      <x/>
    </i>
    <i>
      <x v="1"/>
    </i>
    <i>
      <x v="2"/>
    </i>
    <i>
      <x v="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tegori" xr10:uid="{6BD8347A-322E-4EA1-A9F1-3988E0C435A6}" sourceName="Kategori">
  <pivotTables>
    <pivotTable tabId="7" name="PivotTable1"/>
    <pivotTable tabId="6" name="PivotTable1"/>
    <pivotTable tabId="8" name="PivotTable1"/>
    <pivotTable tabId="9" name="PivotTable1"/>
    <pivotTable tabId="9" name="PivotTable2"/>
    <pivotTable tabId="9" name="PivotTable3"/>
  </pivotTables>
  <data>
    <tabular pivotCacheId="1684290419" showMissing="0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rün_Adı" xr10:uid="{58D33DD3-6E7B-4109-9E53-155BD866C377}" sourceName="Ürün Adı">
  <pivotTables>
    <pivotTable tabId="7" name="PivotTable1"/>
    <pivotTable tabId="6" name="PivotTable1"/>
    <pivotTable tabId="8" name="PivotTable1"/>
    <pivotTable tabId="9" name="PivotTable1"/>
    <pivotTable tabId="9" name="PivotTable2"/>
    <pivotTable tabId="9" name="PivotTable3"/>
  </pivotTables>
  <data>
    <tabular pivotCacheId="1684290419" showMissing="0">
      <items count="13">
        <i x="0" s="1"/>
        <i x="4" s="1"/>
        <i x="11" s="1"/>
        <i x="3" s="1"/>
        <i x="9" s="1"/>
        <i x="12" s="1"/>
        <i x="7" s="1"/>
        <i x="10" s="1"/>
        <i x="8" s="1"/>
        <i x="6" s="1"/>
        <i x="1" s="1"/>
        <i x="5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" xr10:uid="{C5F908BC-533F-4866-86D1-123689F10857}" sourceName="Ay">
  <pivotTables>
    <pivotTable tabId="7" name="PivotTable1"/>
    <pivotTable tabId="6" name="PivotTable1"/>
    <pivotTable tabId="8" name="PivotTable1"/>
    <pivotTable tabId="9" name="PivotTable1"/>
    <pivotTable tabId="9" name="PivotTable2"/>
    <pivotTable tabId="9" name="PivotTable3"/>
  </pivotTables>
  <data>
    <tabular pivotCacheId="1684290419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ategori" xr10:uid="{83C26EB0-2EEF-4689-9AEE-81881AF9B6C5}" cache="Dilimleyici_Kategori" caption="Kategori" columnCount="2" showCaption="0" style="751 Stil" rowHeight="273050"/>
  <slicer name="Ürün Adı" xr10:uid="{CE24BABC-BA4D-46B6-B8AD-535678C5EAB1}" cache="Dilimleyici_Ürün_Adı" caption="Ürün Adı" columnCount="2" showCaption="0" style="751 Stil" rowHeight="273050"/>
  <slicer name="Ay" xr10:uid="{3CD45485-2BF0-4ED0-A3E4-903CD2A6E211}" cache="Dilimleyici_Ay" caption="Ay" columnCount="3" showCaption="0" style="751 Stil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EA6B00-DE14-4C5D-900B-65C628540DEC}" name="Tbl_Siparişler" displayName="Tbl_Siparişler" ref="B4:J751" totalsRowShown="0" headerRowDxfId="33" dataDxfId="32">
  <autoFilter ref="B4:J751" xr:uid="{45EA6B00-DE14-4C5D-900B-65C628540DEC}"/>
  <tableColumns count="9">
    <tableColumn id="8" xr3:uid="{EFF0CE74-6359-4CA8-951A-3ED73F1C1408}" name="Haftalar" dataDxfId="31">
      <calculatedColumnFormula>WEEKNUM(Tbl_Siparişler[[#This Row],[Sipariş Alınan Tarih]])</calculatedColumnFormula>
    </tableColumn>
    <tableColumn id="1" xr3:uid="{52AE74C1-4E2C-43E3-9484-02B9FC884141}" name="Sipariş Alınan Tarih" dataDxfId="30"/>
    <tableColumn id="2" xr3:uid="{6426A547-8E8F-4A51-875D-22B0651D5800}" name="Durum" dataDxfId="29"/>
    <tableColumn id="3" xr3:uid="{CB991E4E-3883-4306-B153-3A2700172AF0}" name="Kargo Takip No" dataDxfId="28"/>
    <tableColumn id="4" xr3:uid="{C74EE45B-C892-468F-9631-3AC4014A9ECB}" name="Müşteri" dataDxfId="27"/>
    <tableColumn id="5" xr3:uid="{5245CD5F-F2FF-4C99-8B1D-AAB924079890}" name="Kategori" dataDxfId="26"/>
    <tableColumn id="6" xr3:uid="{DABB4EFE-6DDC-46BE-B873-5F72618B010C}" name="Ürün Adı" dataDxfId="25"/>
    <tableColumn id="7" xr3:uid="{DB9DC33D-17D2-4F91-8E3F-98863A25A686}" name="Adet" dataDxfId="24"/>
    <tableColumn id="13" xr3:uid="{718E2173-3448-48EF-947F-0476C15FAD49}" name="Genel Tutar" dataDxfId="23">
      <calculatedColumnFormula>IFERROR(VLOOKUP(Tbl_Siparişler[[#This Row],[Kategori]]&amp;"-"&amp;Tbl_Siparişler[[#This Row],[Ürün Adı]],Tbl_Ürünler[],11,0)*Tbl_Siparişler[[#This Row],[Adet]],"")</calculatedColumnFormula>
    </tableColumn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CA0B5-E024-4F47-92B2-0C098A246659}" name="Tbl_Ürünler" displayName="Tbl_Ürünler" ref="B4:L17" totalsRowShown="0" headerRowDxfId="22" dataDxfId="21">
  <autoFilter ref="B4:L17" xr:uid="{AEACA0B5-E024-4F47-92B2-0C098A246659}"/>
  <tableColumns count="11">
    <tableColumn id="13" xr3:uid="{0CBFFD04-4424-46FB-9308-39278B31DDC2}" name="Kategori-Ürün" dataDxfId="20">
      <calculatedColumnFormula>Tbl_Ürünler[[#This Row],[Kategori]]&amp;"-"&amp;Tbl_Ürünler[[#This Row],[Ürün Adı]]</calculatedColumnFormula>
    </tableColumn>
    <tableColumn id="1" xr3:uid="{122F3820-6B1A-4B8B-BE51-44CD2F4C3212}" name="No" dataDxfId="19"/>
    <tableColumn id="2" xr3:uid="{34BAA68A-1A85-49EA-B63C-5A1911795603}" name="Kategori" dataDxfId="18"/>
    <tableColumn id="3" xr3:uid="{9D94C6B0-ECCD-4D48-82FC-4F86C251479D}" name="Ürün Adı" dataDxfId="17"/>
    <tableColumn id="4" xr3:uid="{361241B5-1D7E-4E4E-A998-39B6207C0560}" name="Renk" dataDxfId="16"/>
    <tableColumn id="5" xr3:uid="{8EC23ED0-2CA6-4C75-B440-2604E8DD0126}" name="Hafıza" dataDxfId="15"/>
    <tableColumn id="6" xr3:uid="{67FA64F7-AD40-4651-B8E6-422D38D7DD14}" name="Bellek" dataDxfId="14"/>
    <tableColumn id="7" xr3:uid="{09C87FC9-02AA-40F1-A153-6902B9D9A656}" name="Alış Fiyatı" dataDxfId="13"/>
    <tableColumn id="8" xr3:uid="{0143E94D-29B2-44B1-B93F-557F87F0D146}" name="Kargo Fiyatı" dataDxfId="12"/>
    <tableColumn id="9" xr3:uid="{FF8E5DEC-DD40-439C-9E74-C0CE2A65EC2C}" name="Kâr Oranı" dataDxfId="11"/>
    <tableColumn id="10" xr3:uid="{BC6D1D58-C27E-48C9-9B8C-401559DECBF7}" name="Birim Satış Fiyatı" dataDxfId="10">
      <calculatedColumnFormula>(Tbl_Ürünler[[#This Row],[Alış Fiyatı]]+Tbl_Ürünler[[#This Row],[Kargo Fiyatı]])*(1+Tbl_Ürünler[[#This Row],[Kâr Oranı]])</calculatedColumnFormula>
    </tableColumn>
  </tableColumns>
  <tableStyleInfo name="751 tablo Stili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58B962-34F5-4731-8927-07E3D34A6C6B}" name="Tbl_Müşteriler" displayName="Tbl_Müşteriler" ref="B4:I16" totalsRowShown="0" headerRowDxfId="9" dataDxfId="8">
  <tableColumns count="8">
    <tableColumn id="14" xr3:uid="{E32FE628-E985-45EE-BEF7-0D6987F63DD4}" name="No-Ad-Şehir" dataDxfId="7">
      <calculatedColumnFormula>Tbl_Müşteriler[[#This Row],[No]]&amp;"-"&amp;Tbl_Müşteriler[[#This Row],[Ad Soyad]]&amp;"-"&amp;Tbl_Müşteriler[[#This Row],[Şehir]]</calculatedColumnFormula>
    </tableColumn>
    <tableColumn id="1" xr3:uid="{EB64858F-D2D8-4A3A-99D6-3C72EDE34318}" name="No" dataDxfId="6"/>
    <tableColumn id="2" xr3:uid="{A9721D19-ACD3-4ECD-B0BA-D4A5E667882E}" name="Ad Soyad" dataDxfId="5"/>
    <tableColumn id="3" xr3:uid="{6123F8C4-8776-48FD-AE81-4FDAFA7D831F}" name="TCKN" dataDxfId="4"/>
    <tableColumn id="4" xr3:uid="{BBF468BB-7175-44D8-B58D-3FFCDA5F13E0}" name="Telefon" dataDxfId="3"/>
    <tableColumn id="5" xr3:uid="{AC6341DC-A148-413F-997B-D38BEB5338CC}" name="Adres" dataDxfId="2"/>
    <tableColumn id="6" xr3:uid="{CE0FFF54-987B-4C9B-AD34-5D4A70BCF3FC}" name="İlçe" dataDxfId="1"/>
    <tableColumn id="7" xr3:uid="{375BFCA6-B031-487C-99A3-7BDFED359A3F}" name="Şehir" dataDxfId="0"/>
  </tableColumns>
  <tableStyleInfo name="751 tablo Stili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8E8524-EBAB-46F4-8E59-8ED916A4CD3C}" name="Tbl_Sipariş_Durumları" displayName="Tbl_Sipariş_Durumları" ref="B4:B11" totalsRowShown="0">
  <autoFilter ref="B4:B11" xr:uid="{A58E8524-EBAB-46F4-8E59-8ED916A4CD3C}">
    <filterColumn colId="0" hiddenButton="1"/>
  </autoFilter>
  <tableColumns count="1">
    <tableColumn id="1" xr3:uid="{6AB9A182-67C6-48C2-8E9C-F9AD786B2CCC}" name="Sipariş Durumla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lih2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AktifLin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D8A8-8F6E-487D-BA92-0BCEEB6148BA}">
  <sheetPr codeName="Sayfa6">
    <tabColor theme="4" tint="-0.249977111117893"/>
  </sheetPr>
  <dimension ref="A1"/>
  <sheetViews>
    <sheetView showGridLines="0" zoomScale="70" zoomScaleNormal="70" workbookViewId="0">
      <selection activeCell="AK4" sqref="AK4"/>
    </sheetView>
  </sheetViews>
  <sheetFormatPr defaultColWidth="6.59765625" defaultRowHeight="37.200000000000003" customHeight="1" x14ac:dyDescent="0.4"/>
  <cols>
    <col min="1" max="16384" width="6.59765625" style="19"/>
  </cols>
  <sheetData>
    <row r="1" s="19" customFormat="1" ht="37.200000000000003" customHeight="1" x14ac:dyDescent="0.4"/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BDCE-A241-4060-B360-4543349ABBD2}">
  <sheetPr codeName="Sayfa1">
    <tabColor theme="6" tint="0.39997558519241921"/>
  </sheetPr>
  <dimension ref="B1:J751"/>
  <sheetViews>
    <sheetView showGridLines="0" zoomScale="85" zoomScaleNormal="85" workbookViewId="0">
      <pane ySplit="4" topLeftCell="A734" activePane="bottomLeft" state="frozen"/>
      <selection pane="bottomLeft" activeCell="E730" sqref="E730"/>
    </sheetView>
  </sheetViews>
  <sheetFormatPr defaultRowHeight="27" customHeight="1" x14ac:dyDescent="0.4"/>
  <cols>
    <col min="1" max="1" width="4.09765625" style="7" customWidth="1"/>
    <col min="2" max="2" width="14.3984375" style="7" hidden="1" customWidth="1"/>
    <col min="3" max="3" width="19.19921875" style="7" customWidth="1"/>
    <col min="4" max="4" width="15.8984375" style="7" customWidth="1"/>
    <col min="5" max="5" width="14.296875" style="7" customWidth="1"/>
    <col min="6" max="6" width="33.09765625" style="7" bestFit="1" customWidth="1"/>
    <col min="7" max="7" width="14.296875" style="7" customWidth="1"/>
    <col min="8" max="8" width="16.3984375" style="7" bestFit="1" customWidth="1"/>
    <col min="9" max="9" width="8" style="7" customWidth="1"/>
    <col min="10" max="10" width="17.296875" style="7" customWidth="1"/>
    <col min="11" max="16384" width="8.796875" style="7"/>
  </cols>
  <sheetData>
    <row r="1" spans="2:10" customFormat="1" ht="16.8" x14ac:dyDescent="0.4"/>
    <row r="2" spans="2:10" customFormat="1" ht="38.4" x14ac:dyDescent="0.85">
      <c r="C2" s="2" t="s">
        <v>15</v>
      </c>
    </row>
    <row r="3" spans="2:10" customFormat="1" ht="16.8" x14ac:dyDescent="0.4"/>
    <row r="4" spans="2:10" ht="30" customHeight="1" x14ac:dyDescent="0.4">
      <c r="B4" s="7" t="s">
        <v>127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</v>
      </c>
      <c r="H4" s="7" t="s">
        <v>3</v>
      </c>
      <c r="I4" s="7" t="s">
        <v>20</v>
      </c>
      <c r="J4" s="7" t="s">
        <v>21</v>
      </c>
    </row>
    <row r="5" spans="2:10" ht="27" customHeight="1" x14ac:dyDescent="0.4">
      <c r="B5" s="9">
        <f>WEEKNUM(Tbl_Siparişler[[#This Row],[Sipariş Alınan Tarih]])</f>
        <v>11</v>
      </c>
      <c r="C5" s="6">
        <v>44266</v>
      </c>
      <c r="D5" s="7" t="s">
        <v>106</v>
      </c>
      <c r="E5" s="7">
        <v>11856</v>
      </c>
      <c r="F5" s="7" t="s">
        <v>107</v>
      </c>
      <c r="G5" s="7" t="s">
        <v>43</v>
      </c>
      <c r="H5" s="7" t="s">
        <v>50</v>
      </c>
      <c r="I5" s="7">
        <v>1</v>
      </c>
      <c r="J5" s="8">
        <f>IFERROR(VLOOKUP(Tbl_Siparişler[[#This Row],[Kategori]]&amp;"-"&amp;Tbl_Siparişler[[#This Row],[Ürün Adı]],Tbl_Ürünler[],11,0)*Tbl_Siparişler[[#This Row],[Adet]],"")</f>
        <v>6458.1</v>
      </c>
    </row>
    <row r="6" spans="2:10" ht="27" customHeight="1" x14ac:dyDescent="0.4">
      <c r="B6" s="9">
        <f>WEEKNUM(Tbl_Siparişler[[#This Row],[Sipariş Alınan Tarih]])</f>
        <v>40</v>
      </c>
      <c r="C6" s="6">
        <v>44466</v>
      </c>
      <c r="D6" s="7" t="s">
        <v>26</v>
      </c>
      <c r="E6" s="7">
        <v>57983</v>
      </c>
      <c r="F6" s="7" t="s">
        <v>108</v>
      </c>
      <c r="G6" s="7" t="s">
        <v>98</v>
      </c>
      <c r="H6" s="7" t="s">
        <v>99</v>
      </c>
      <c r="I6" s="7">
        <v>1</v>
      </c>
      <c r="J6" s="8">
        <f>IFERROR(VLOOKUP(Tbl_Siparişler[[#This Row],[Kategori]]&amp;"-"&amp;Tbl_Siparişler[[#This Row],[Ürün Adı]],Tbl_Ürünler[],11,0)*Tbl_Siparişler[[#This Row],[Adet]],"")</f>
        <v>4141.63</v>
      </c>
    </row>
    <row r="7" spans="2:10" ht="27" customHeight="1" x14ac:dyDescent="0.4">
      <c r="B7" s="9">
        <f>WEEKNUM(Tbl_Siparişler[[#This Row],[Sipariş Alınan Tarih]])</f>
        <v>35</v>
      </c>
      <c r="C7" s="6">
        <v>44433</v>
      </c>
      <c r="D7" s="7" t="s">
        <v>24</v>
      </c>
      <c r="E7" s="7">
        <v>41868</v>
      </c>
      <c r="F7" s="7" t="s">
        <v>109</v>
      </c>
      <c r="G7" s="7" t="s">
        <v>47</v>
      </c>
      <c r="H7" s="7" t="s">
        <v>49</v>
      </c>
      <c r="I7" s="7">
        <v>1</v>
      </c>
      <c r="J7" s="8">
        <f>IFERROR(VLOOKUP(Tbl_Siparişler[[#This Row],[Kategori]]&amp;"-"&amp;Tbl_Siparişler[[#This Row],[Ürün Adı]],Tbl_Ürünler[],11,0)*Tbl_Siparişler[[#This Row],[Adet]],"")</f>
        <v>9569.75</v>
      </c>
    </row>
    <row r="8" spans="2:10" ht="27" customHeight="1" x14ac:dyDescent="0.4">
      <c r="B8" s="9">
        <f>WEEKNUM(Tbl_Siparişler[[#This Row],[Sipariş Alınan Tarih]])</f>
        <v>39</v>
      </c>
      <c r="C8" s="6">
        <v>44458</v>
      </c>
      <c r="D8" s="7" t="s">
        <v>28</v>
      </c>
      <c r="E8" s="7">
        <v>27450</v>
      </c>
      <c r="F8" s="7" t="s">
        <v>109</v>
      </c>
      <c r="G8" s="7" t="s">
        <v>43</v>
      </c>
      <c r="H8" s="7" t="s">
        <v>46</v>
      </c>
      <c r="I8" s="7">
        <v>1</v>
      </c>
      <c r="J8" s="8">
        <f>IFERROR(VLOOKUP(Tbl_Siparişler[[#This Row],[Kategori]]&amp;"-"&amp;Tbl_Siparişler[[#This Row],[Ürün Adı]],Tbl_Ürünler[],11,0)*Tbl_Siparişler[[#This Row],[Adet]],"")</f>
        <v>13343.400000000001</v>
      </c>
    </row>
    <row r="9" spans="2:10" ht="27" customHeight="1" x14ac:dyDescent="0.4">
      <c r="B9" s="9">
        <f>WEEKNUM(Tbl_Siparişler[[#This Row],[Sipariş Alınan Tarih]])</f>
        <v>39</v>
      </c>
      <c r="C9" s="6">
        <v>44459</v>
      </c>
      <c r="D9" s="7" t="s">
        <v>25</v>
      </c>
      <c r="E9" s="7">
        <v>61927</v>
      </c>
      <c r="F9" s="7" t="s">
        <v>110</v>
      </c>
      <c r="G9" s="7" t="s">
        <v>98</v>
      </c>
      <c r="H9" s="7" t="s">
        <v>99</v>
      </c>
      <c r="I9" s="7">
        <v>4</v>
      </c>
      <c r="J9" s="8">
        <f>IFERROR(VLOOKUP(Tbl_Siparişler[[#This Row],[Kategori]]&amp;"-"&amp;Tbl_Siparişler[[#This Row],[Ürün Adı]],Tbl_Ürünler[],11,0)*Tbl_Siparişler[[#This Row],[Adet]],"")</f>
        <v>16566.52</v>
      </c>
    </row>
    <row r="10" spans="2:10" ht="27" customHeight="1" x14ac:dyDescent="0.4">
      <c r="B10" s="9">
        <f>WEEKNUM(Tbl_Siparişler[[#This Row],[Sipariş Alınan Tarih]])</f>
        <v>28</v>
      </c>
      <c r="C10" s="6">
        <v>44386</v>
      </c>
      <c r="D10" s="7" t="s">
        <v>26</v>
      </c>
      <c r="E10" s="7">
        <v>21103</v>
      </c>
      <c r="F10" s="7" t="s">
        <v>111</v>
      </c>
      <c r="G10" s="7" t="s">
        <v>43</v>
      </c>
      <c r="H10" s="7" t="s">
        <v>44</v>
      </c>
      <c r="I10" s="7">
        <v>1</v>
      </c>
      <c r="J10" s="8">
        <f>IFERROR(VLOOKUP(Tbl_Siparişler[[#This Row],[Kategori]]&amp;"-"&amp;Tbl_Siparişler[[#This Row],[Ürün Adı]],Tbl_Ürünler[],11,0)*Tbl_Siparişler[[#This Row],[Adet]],"")</f>
        <v>8914.6</v>
      </c>
    </row>
    <row r="11" spans="2:10" ht="27" customHeight="1" x14ac:dyDescent="0.4">
      <c r="B11" s="9">
        <f>WEEKNUM(Tbl_Siparişler[[#This Row],[Sipariş Alınan Tarih]])</f>
        <v>40</v>
      </c>
      <c r="C11" s="6">
        <v>44471</v>
      </c>
      <c r="D11" s="7" t="s">
        <v>95</v>
      </c>
      <c r="E11" s="7">
        <v>14645</v>
      </c>
      <c r="F11" s="7" t="s">
        <v>112</v>
      </c>
      <c r="G11" s="7" t="s">
        <v>47</v>
      </c>
      <c r="H11" s="7" t="s">
        <v>48</v>
      </c>
      <c r="I11" s="7">
        <v>3</v>
      </c>
      <c r="J11" s="8">
        <f>IFERROR(VLOOKUP(Tbl_Siparişler[[#This Row],[Kategori]]&amp;"-"&amp;Tbl_Siparişler[[#This Row],[Ürün Adı]],Tbl_Ürünler[],11,0)*Tbl_Siparişler[[#This Row],[Adet]],"")</f>
        <v>24160.5</v>
      </c>
    </row>
    <row r="12" spans="2:10" ht="27" customHeight="1" x14ac:dyDescent="0.4">
      <c r="B12" s="9">
        <f>WEEKNUM(Tbl_Siparişler[[#This Row],[Sipariş Alınan Tarih]])</f>
        <v>11</v>
      </c>
      <c r="C12" s="6">
        <v>44263</v>
      </c>
      <c r="D12" s="7" t="s">
        <v>26</v>
      </c>
      <c r="E12" s="7">
        <v>33531</v>
      </c>
      <c r="F12" s="7" t="s">
        <v>113</v>
      </c>
      <c r="G12" s="7" t="s">
        <v>47</v>
      </c>
      <c r="H12" s="7" t="s">
        <v>49</v>
      </c>
      <c r="I12" s="7">
        <v>1</v>
      </c>
      <c r="J12" s="8">
        <f>IFERROR(VLOOKUP(Tbl_Siparişler[[#This Row],[Kategori]]&amp;"-"&amp;Tbl_Siparişler[[#This Row],[Ürün Adı]],Tbl_Ürünler[],11,0)*Tbl_Siparişler[[#This Row],[Adet]],"")</f>
        <v>9569.75</v>
      </c>
    </row>
    <row r="13" spans="2:10" ht="27" customHeight="1" x14ac:dyDescent="0.4">
      <c r="B13" s="9">
        <f>WEEKNUM(Tbl_Siparişler[[#This Row],[Sipariş Alınan Tarih]])</f>
        <v>23</v>
      </c>
      <c r="C13" s="6">
        <v>44350</v>
      </c>
      <c r="D13" s="7" t="s">
        <v>28</v>
      </c>
      <c r="E13" s="7">
        <v>19785</v>
      </c>
      <c r="F13" s="7" t="s">
        <v>114</v>
      </c>
      <c r="G13" s="7" t="s">
        <v>47</v>
      </c>
      <c r="H13" s="7" t="s">
        <v>48</v>
      </c>
      <c r="I13" s="7">
        <v>1</v>
      </c>
      <c r="J13" s="8">
        <f>IFERROR(VLOOKUP(Tbl_Siparişler[[#This Row],[Kategori]]&amp;"-"&amp;Tbl_Siparişler[[#This Row],[Ürün Adı]],Tbl_Ürünler[],11,0)*Tbl_Siparişler[[#This Row],[Adet]],"")</f>
        <v>8053.5</v>
      </c>
    </row>
    <row r="14" spans="2:10" ht="27" customHeight="1" x14ac:dyDescent="0.4">
      <c r="B14" s="9">
        <f>WEEKNUM(Tbl_Siparişler[[#This Row],[Sipariş Alınan Tarih]])</f>
        <v>44</v>
      </c>
      <c r="C14" s="6">
        <v>44495</v>
      </c>
      <c r="D14" s="7" t="s">
        <v>106</v>
      </c>
      <c r="E14" s="7">
        <v>97258</v>
      </c>
      <c r="F14" s="7" t="s">
        <v>115</v>
      </c>
      <c r="G14" s="7" t="s">
        <v>43</v>
      </c>
      <c r="H14" s="7" t="s">
        <v>44</v>
      </c>
      <c r="I14" s="7">
        <v>1</v>
      </c>
      <c r="J14" s="8">
        <f>IFERROR(VLOOKUP(Tbl_Siparişler[[#This Row],[Kategori]]&amp;"-"&amp;Tbl_Siparişler[[#This Row],[Ürün Adı]],Tbl_Ürünler[],11,0)*Tbl_Siparişler[[#This Row],[Adet]],"")</f>
        <v>8914.6</v>
      </c>
    </row>
    <row r="15" spans="2:10" ht="27" customHeight="1" x14ac:dyDescent="0.4">
      <c r="B15" s="9">
        <f>WEEKNUM(Tbl_Siparişler[[#This Row],[Sipariş Alınan Tarih]])</f>
        <v>16</v>
      </c>
      <c r="C15" s="6">
        <v>44300</v>
      </c>
      <c r="D15" s="7" t="s">
        <v>95</v>
      </c>
      <c r="E15" s="7">
        <v>12731</v>
      </c>
      <c r="F15" s="7" t="s">
        <v>111</v>
      </c>
      <c r="G15" s="7" t="s">
        <v>47</v>
      </c>
      <c r="H15" s="7" t="s">
        <v>49</v>
      </c>
      <c r="I15" s="7">
        <v>5</v>
      </c>
      <c r="J15" s="8">
        <f>IFERROR(VLOOKUP(Tbl_Siparişler[[#This Row],[Kategori]]&amp;"-"&amp;Tbl_Siparişler[[#This Row],[Ürün Adı]],Tbl_Ürünler[],11,0)*Tbl_Siparişler[[#This Row],[Adet]],"")</f>
        <v>47848.75</v>
      </c>
    </row>
    <row r="16" spans="2:10" ht="27" customHeight="1" x14ac:dyDescent="0.4">
      <c r="B16" s="9">
        <f>WEEKNUM(Tbl_Siparişler[[#This Row],[Sipariş Alınan Tarih]])</f>
        <v>48</v>
      </c>
      <c r="C16" s="6">
        <v>44522</v>
      </c>
      <c r="D16" s="7" t="s">
        <v>24</v>
      </c>
      <c r="E16" s="7">
        <v>95890</v>
      </c>
      <c r="F16" s="7" t="s">
        <v>107</v>
      </c>
      <c r="G16" s="7" t="s">
        <v>47</v>
      </c>
      <c r="H16" s="7" t="s">
        <v>49</v>
      </c>
      <c r="I16" s="7">
        <v>4</v>
      </c>
      <c r="J16" s="8">
        <f>IFERROR(VLOOKUP(Tbl_Siparişler[[#This Row],[Kategori]]&amp;"-"&amp;Tbl_Siparişler[[#This Row],[Ürün Adı]],Tbl_Ürünler[],11,0)*Tbl_Siparişler[[#This Row],[Adet]],"")</f>
        <v>38279</v>
      </c>
    </row>
    <row r="17" spans="2:10" ht="27" customHeight="1" x14ac:dyDescent="0.4">
      <c r="B17" s="9">
        <f>WEEKNUM(Tbl_Siparişler[[#This Row],[Sipariş Alınan Tarih]])</f>
        <v>37</v>
      </c>
      <c r="C17" s="6">
        <v>44446</v>
      </c>
      <c r="D17" s="7" t="s">
        <v>95</v>
      </c>
      <c r="E17" s="7">
        <v>44934</v>
      </c>
      <c r="F17" s="7" t="s">
        <v>107</v>
      </c>
      <c r="G17" s="7" t="s">
        <v>98</v>
      </c>
      <c r="H17" s="7" t="s">
        <v>103</v>
      </c>
      <c r="I17" s="7">
        <v>4</v>
      </c>
      <c r="J17" s="8">
        <f>IFERROR(VLOOKUP(Tbl_Siparişler[[#This Row],[Kategori]]&amp;"-"&amp;Tbl_Siparişler[[#This Row],[Ürün Adı]],Tbl_Ürünler[],11,0)*Tbl_Siparişler[[#This Row],[Adet]],"")</f>
        <v>23850</v>
      </c>
    </row>
    <row r="18" spans="2:10" ht="27" customHeight="1" x14ac:dyDescent="0.4">
      <c r="B18" s="9">
        <f>WEEKNUM(Tbl_Siparişler[[#This Row],[Sipariş Alınan Tarih]])</f>
        <v>29</v>
      </c>
      <c r="C18" s="6">
        <v>44391</v>
      </c>
      <c r="D18" s="7" t="s">
        <v>106</v>
      </c>
      <c r="E18" s="7">
        <v>15354</v>
      </c>
      <c r="F18" s="7" t="s">
        <v>111</v>
      </c>
      <c r="G18" s="7" t="s">
        <v>47</v>
      </c>
      <c r="H18" s="7" t="s">
        <v>48</v>
      </c>
      <c r="I18" s="7">
        <v>1</v>
      </c>
      <c r="J18" s="8">
        <f>IFERROR(VLOOKUP(Tbl_Siparişler[[#This Row],[Kategori]]&amp;"-"&amp;Tbl_Siparişler[[#This Row],[Ürün Adı]],Tbl_Ürünler[],11,0)*Tbl_Siparişler[[#This Row],[Adet]],"")</f>
        <v>8053.5</v>
      </c>
    </row>
    <row r="19" spans="2:10" ht="27" customHeight="1" x14ac:dyDescent="0.4">
      <c r="B19" s="9">
        <f>WEEKNUM(Tbl_Siparişler[[#This Row],[Sipariş Alınan Tarih]])</f>
        <v>15</v>
      </c>
      <c r="C19" s="6">
        <v>44290</v>
      </c>
      <c r="D19" s="7" t="s">
        <v>27</v>
      </c>
      <c r="E19" s="7">
        <v>46591</v>
      </c>
      <c r="F19" s="7" t="s">
        <v>107</v>
      </c>
      <c r="G19" s="7" t="s">
        <v>98</v>
      </c>
      <c r="H19" s="7" t="s">
        <v>99</v>
      </c>
      <c r="I19" s="7">
        <v>1</v>
      </c>
      <c r="J19" s="8">
        <f>IFERROR(VLOOKUP(Tbl_Siparişler[[#This Row],[Kategori]]&amp;"-"&amp;Tbl_Siparişler[[#This Row],[Ürün Adı]],Tbl_Ürünler[],11,0)*Tbl_Siparişler[[#This Row],[Adet]],"")</f>
        <v>4141.63</v>
      </c>
    </row>
    <row r="20" spans="2:10" ht="27" customHeight="1" x14ac:dyDescent="0.4">
      <c r="B20" s="9">
        <f>WEEKNUM(Tbl_Siparişler[[#This Row],[Sipariş Alınan Tarih]])</f>
        <v>15</v>
      </c>
      <c r="C20" s="6">
        <v>44290</v>
      </c>
      <c r="D20" s="7" t="s">
        <v>26</v>
      </c>
      <c r="E20" s="7">
        <v>67750</v>
      </c>
      <c r="F20" s="7" t="s">
        <v>107</v>
      </c>
      <c r="G20" s="7" t="s">
        <v>29</v>
      </c>
      <c r="H20" s="7" t="s">
        <v>41</v>
      </c>
      <c r="I20" s="7">
        <v>3</v>
      </c>
      <c r="J20" s="8">
        <f>IFERROR(VLOOKUP(Tbl_Siparişler[[#This Row],[Kategori]]&amp;"-"&amp;Tbl_Siparişler[[#This Row],[Ürün Adı]],Tbl_Ürünler[],11,0)*Tbl_Siparişler[[#This Row],[Adet]],"")</f>
        <v>37863</v>
      </c>
    </row>
    <row r="21" spans="2:10" ht="27" customHeight="1" x14ac:dyDescent="0.4">
      <c r="B21" s="9">
        <f>WEEKNUM(Tbl_Siparişler[[#This Row],[Sipariş Alınan Tarih]])</f>
        <v>29</v>
      </c>
      <c r="C21" s="6">
        <v>44393</v>
      </c>
      <c r="D21" s="7" t="s">
        <v>95</v>
      </c>
      <c r="E21" s="7">
        <v>61503</v>
      </c>
      <c r="F21" s="7" t="s">
        <v>116</v>
      </c>
      <c r="G21" s="7" t="s">
        <v>43</v>
      </c>
      <c r="H21" s="7" t="s">
        <v>44</v>
      </c>
      <c r="I21" s="7">
        <v>2</v>
      </c>
      <c r="J21" s="8">
        <f>IFERROR(VLOOKUP(Tbl_Siparişler[[#This Row],[Kategori]]&amp;"-"&amp;Tbl_Siparişler[[#This Row],[Ürün Adı]],Tbl_Ürünler[],11,0)*Tbl_Siparişler[[#This Row],[Adet]],"")</f>
        <v>17829.2</v>
      </c>
    </row>
    <row r="22" spans="2:10" ht="27" customHeight="1" x14ac:dyDescent="0.4">
      <c r="B22" s="9">
        <f>WEEKNUM(Tbl_Siparişler[[#This Row],[Sipariş Alınan Tarih]])</f>
        <v>16</v>
      </c>
      <c r="C22" s="6">
        <v>44301</v>
      </c>
      <c r="D22" s="7" t="s">
        <v>27</v>
      </c>
      <c r="E22" s="7">
        <v>39321</v>
      </c>
      <c r="F22" s="7" t="s">
        <v>109</v>
      </c>
      <c r="G22" s="7" t="s">
        <v>43</v>
      </c>
      <c r="H22" s="7" t="s">
        <v>50</v>
      </c>
      <c r="I22" s="7">
        <v>4</v>
      </c>
      <c r="J22" s="8">
        <f>IFERROR(VLOOKUP(Tbl_Siparişler[[#This Row],[Kategori]]&amp;"-"&amp;Tbl_Siparişler[[#This Row],[Ürün Adı]],Tbl_Ürünler[],11,0)*Tbl_Siparişler[[#This Row],[Adet]],"")</f>
        <v>25832.400000000001</v>
      </c>
    </row>
    <row r="23" spans="2:10" ht="27" customHeight="1" x14ac:dyDescent="0.4">
      <c r="B23" s="9">
        <f>WEEKNUM(Tbl_Siparişler[[#This Row],[Sipariş Alınan Tarih]])</f>
        <v>16</v>
      </c>
      <c r="C23" s="6">
        <v>44298</v>
      </c>
      <c r="D23" s="7" t="s">
        <v>95</v>
      </c>
      <c r="E23" s="7">
        <v>59962</v>
      </c>
      <c r="F23" s="7" t="s">
        <v>110</v>
      </c>
      <c r="G23" s="7" t="s">
        <v>98</v>
      </c>
      <c r="H23" s="7" t="s">
        <v>100</v>
      </c>
      <c r="I23" s="7">
        <v>2</v>
      </c>
      <c r="J23" s="8">
        <f>IFERROR(VLOOKUP(Tbl_Siparişler[[#This Row],[Kategori]]&amp;"-"&amp;Tbl_Siparişler[[#This Row],[Ürün Adı]],Tbl_Ürünler[],11,0)*Tbl_Siparişler[[#This Row],[Adet]],"")</f>
        <v>18470.400000000001</v>
      </c>
    </row>
    <row r="24" spans="2:10" ht="27" customHeight="1" x14ac:dyDescent="0.4">
      <c r="B24" s="9">
        <f>WEEKNUM(Tbl_Siparişler[[#This Row],[Sipariş Alınan Tarih]])</f>
        <v>5</v>
      </c>
      <c r="C24" s="6">
        <v>44220</v>
      </c>
      <c r="D24" s="7" t="s">
        <v>24</v>
      </c>
      <c r="E24" s="7">
        <v>77015</v>
      </c>
      <c r="F24" s="7" t="s">
        <v>117</v>
      </c>
      <c r="G24" s="7" t="s">
        <v>43</v>
      </c>
      <c r="H24" s="7" t="s">
        <v>44</v>
      </c>
      <c r="I24" s="7">
        <v>4</v>
      </c>
      <c r="J24" s="8">
        <f>IFERROR(VLOOKUP(Tbl_Siparişler[[#This Row],[Kategori]]&amp;"-"&amp;Tbl_Siparişler[[#This Row],[Ürün Adı]],Tbl_Ürünler[],11,0)*Tbl_Siparişler[[#This Row],[Adet]],"")</f>
        <v>35658.400000000001</v>
      </c>
    </row>
    <row r="25" spans="2:10" ht="27" customHeight="1" x14ac:dyDescent="0.4">
      <c r="B25" s="9">
        <f>WEEKNUM(Tbl_Siparişler[[#This Row],[Sipariş Alınan Tarih]])</f>
        <v>29</v>
      </c>
      <c r="C25" s="6">
        <v>44388</v>
      </c>
      <c r="D25" s="7" t="s">
        <v>95</v>
      </c>
      <c r="E25" s="7">
        <v>36016</v>
      </c>
      <c r="F25" s="7" t="s">
        <v>109</v>
      </c>
      <c r="G25" s="7" t="s">
        <v>43</v>
      </c>
      <c r="H25" s="7" t="s">
        <v>44</v>
      </c>
      <c r="I25" s="7">
        <v>4</v>
      </c>
      <c r="J25" s="8">
        <f>IFERROR(VLOOKUP(Tbl_Siparişler[[#This Row],[Kategori]]&amp;"-"&amp;Tbl_Siparişler[[#This Row],[Ürün Adı]],Tbl_Ürünler[],11,0)*Tbl_Siparişler[[#This Row],[Adet]],"")</f>
        <v>35658.400000000001</v>
      </c>
    </row>
    <row r="26" spans="2:10" ht="27" customHeight="1" x14ac:dyDescent="0.4">
      <c r="B26" s="9">
        <f>WEEKNUM(Tbl_Siparişler[[#This Row],[Sipariş Alınan Tarih]])</f>
        <v>39</v>
      </c>
      <c r="C26" s="6">
        <v>44462</v>
      </c>
      <c r="D26" s="7" t="s">
        <v>24</v>
      </c>
      <c r="E26" s="7">
        <v>86473</v>
      </c>
      <c r="F26" s="7" t="s">
        <v>117</v>
      </c>
      <c r="G26" s="7" t="s">
        <v>29</v>
      </c>
      <c r="H26" s="7" t="s">
        <v>30</v>
      </c>
      <c r="I26" s="7">
        <v>1</v>
      </c>
      <c r="J26" s="8">
        <f>IFERROR(VLOOKUP(Tbl_Siparişler[[#This Row],[Kategori]]&amp;"-"&amp;Tbl_Siparişler[[#This Row],[Ürün Adı]],Tbl_Ürünler[],11,0)*Tbl_Siparişler[[#This Row],[Adet]],"")</f>
        <v>8685.2999999999993</v>
      </c>
    </row>
    <row r="27" spans="2:10" ht="27" customHeight="1" x14ac:dyDescent="0.4">
      <c r="B27" s="9">
        <f>WEEKNUM(Tbl_Siparişler[[#This Row],[Sipariş Alınan Tarih]])</f>
        <v>14</v>
      </c>
      <c r="C27" s="6">
        <v>44283</v>
      </c>
      <c r="D27" s="7" t="s">
        <v>106</v>
      </c>
      <c r="E27" s="7">
        <v>74709</v>
      </c>
      <c r="F27" s="7" t="s">
        <v>109</v>
      </c>
      <c r="G27" s="7" t="s">
        <v>29</v>
      </c>
      <c r="H27" s="7" t="s">
        <v>30</v>
      </c>
      <c r="I27" s="7">
        <v>1</v>
      </c>
      <c r="J27" s="8">
        <f>IFERROR(VLOOKUP(Tbl_Siparişler[[#This Row],[Kategori]]&amp;"-"&amp;Tbl_Siparişler[[#This Row],[Ürün Adı]],Tbl_Ürünler[],11,0)*Tbl_Siparişler[[#This Row],[Adet]],"")</f>
        <v>8685.2999999999993</v>
      </c>
    </row>
    <row r="28" spans="2:10" ht="27" customHeight="1" x14ac:dyDescent="0.4">
      <c r="B28" s="9">
        <f>WEEKNUM(Tbl_Siparişler[[#This Row],[Sipariş Alınan Tarih]])</f>
        <v>16</v>
      </c>
      <c r="C28" s="6">
        <v>44297</v>
      </c>
      <c r="D28" s="7" t="s">
        <v>27</v>
      </c>
      <c r="E28" s="7">
        <v>91931</v>
      </c>
      <c r="F28" s="7" t="s">
        <v>112</v>
      </c>
      <c r="G28" s="7" t="s">
        <v>29</v>
      </c>
      <c r="H28" s="7" t="s">
        <v>42</v>
      </c>
      <c r="I28" s="7">
        <v>5</v>
      </c>
      <c r="J28" s="8">
        <f>IFERROR(VLOOKUP(Tbl_Siparişler[[#This Row],[Kategori]]&amp;"-"&amp;Tbl_Siparişler[[#This Row],[Ürün Adı]],Tbl_Ürünler[],11,0)*Tbl_Siparişler[[#This Row],[Adet]],"")</f>
        <v>70330</v>
      </c>
    </row>
    <row r="29" spans="2:10" ht="27" customHeight="1" x14ac:dyDescent="0.4">
      <c r="B29" s="9">
        <f>WEEKNUM(Tbl_Siparişler[[#This Row],[Sipariş Alınan Tarih]])</f>
        <v>48</v>
      </c>
      <c r="C29" s="6">
        <v>44526</v>
      </c>
      <c r="D29" s="7" t="s">
        <v>28</v>
      </c>
      <c r="E29" s="7">
        <v>84346</v>
      </c>
      <c r="F29" s="7" t="s">
        <v>110</v>
      </c>
      <c r="G29" s="7" t="s">
        <v>29</v>
      </c>
      <c r="H29" s="7" t="s">
        <v>30</v>
      </c>
      <c r="I29" s="7">
        <v>5</v>
      </c>
      <c r="J29" s="8">
        <f>IFERROR(VLOOKUP(Tbl_Siparişler[[#This Row],[Kategori]]&amp;"-"&amp;Tbl_Siparişler[[#This Row],[Ürün Adı]],Tbl_Ürünler[],11,0)*Tbl_Siparişler[[#This Row],[Adet]],"")</f>
        <v>43426.5</v>
      </c>
    </row>
    <row r="30" spans="2:10" ht="27" customHeight="1" x14ac:dyDescent="0.4">
      <c r="B30" s="9">
        <f>WEEKNUM(Tbl_Siparişler[[#This Row],[Sipariş Alınan Tarih]])</f>
        <v>13</v>
      </c>
      <c r="C30" s="6">
        <v>44279</v>
      </c>
      <c r="D30" s="7" t="s">
        <v>26</v>
      </c>
      <c r="E30" s="7">
        <v>29047</v>
      </c>
      <c r="F30" s="7" t="s">
        <v>112</v>
      </c>
      <c r="G30" s="7" t="s">
        <v>43</v>
      </c>
      <c r="H30" s="7" t="s">
        <v>44</v>
      </c>
      <c r="I30" s="7">
        <v>4</v>
      </c>
      <c r="J30" s="8">
        <f>IFERROR(VLOOKUP(Tbl_Siparişler[[#This Row],[Kategori]]&amp;"-"&amp;Tbl_Siparişler[[#This Row],[Ürün Adı]],Tbl_Ürünler[],11,0)*Tbl_Siparişler[[#This Row],[Adet]],"")</f>
        <v>35658.400000000001</v>
      </c>
    </row>
    <row r="31" spans="2:10" ht="27" customHeight="1" x14ac:dyDescent="0.4">
      <c r="B31" s="9">
        <f>WEEKNUM(Tbl_Siparişler[[#This Row],[Sipariş Alınan Tarih]])</f>
        <v>50</v>
      </c>
      <c r="C31" s="6">
        <v>44541</v>
      </c>
      <c r="D31" s="7" t="s">
        <v>28</v>
      </c>
      <c r="E31" s="7">
        <v>40065</v>
      </c>
      <c r="F31" s="7" t="s">
        <v>113</v>
      </c>
      <c r="G31" s="7" t="s">
        <v>43</v>
      </c>
      <c r="H31" s="7" t="s">
        <v>44</v>
      </c>
      <c r="I31" s="7">
        <v>2</v>
      </c>
      <c r="J31" s="8">
        <f>IFERROR(VLOOKUP(Tbl_Siparişler[[#This Row],[Kategori]]&amp;"-"&amp;Tbl_Siparişler[[#This Row],[Ürün Adı]],Tbl_Ürünler[],11,0)*Tbl_Siparişler[[#This Row],[Adet]],"")</f>
        <v>17829.2</v>
      </c>
    </row>
    <row r="32" spans="2:10" ht="27" customHeight="1" x14ac:dyDescent="0.4">
      <c r="B32" s="9">
        <f>WEEKNUM(Tbl_Siparişler[[#This Row],[Sipariş Alınan Tarih]])</f>
        <v>43</v>
      </c>
      <c r="C32" s="6">
        <v>44488</v>
      </c>
      <c r="D32" s="7" t="s">
        <v>25</v>
      </c>
      <c r="E32" s="7">
        <v>55822</v>
      </c>
      <c r="F32" s="7" t="s">
        <v>112</v>
      </c>
      <c r="G32" s="7" t="s">
        <v>29</v>
      </c>
      <c r="H32" s="7" t="s">
        <v>42</v>
      </c>
      <c r="I32" s="7">
        <v>5</v>
      </c>
      <c r="J32" s="8">
        <f>IFERROR(VLOOKUP(Tbl_Siparişler[[#This Row],[Kategori]]&amp;"-"&amp;Tbl_Siparişler[[#This Row],[Ürün Adı]],Tbl_Ürünler[],11,0)*Tbl_Siparişler[[#This Row],[Adet]],"")</f>
        <v>70330</v>
      </c>
    </row>
    <row r="33" spans="2:10" ht="27" customHeight="1" x14ac:dyDescent="0.4">
      <c r="B33" s="9">
        <f>WEEKNUM(Tbl_Siparişler[[#This Row],[Sipariş Alınan Tarih]])</f>
        <v>22</v>
      </c>
      <c r="C33" s="6">
        <v>44342</v>
      </c>
      <c r="D33" s="7" t="s">
        <v>26</v>
      </c>
      <c r="E33" s="7">
        <v>49546</v>
      </c>
      <c r="F33" s="7" t="s">
        <v>113</v>
      </c>
      <c r="G33" s="7" t="s">
        <v>43</v>
      </c>
      <c r="H33" s="7" t="s">
        <v>44</v>
      </c>
      <c r="I33" s="7">
        <v>5</v>
      </c>
      <c r="J33" s="8">
        <f>IFERROR(VLOOKUP(Tbl_Siparişler[[#This Row],[Kategori]]&amp;"-"&amp;Tbl_Siparişler[[#This Row],[Ürün Adı]],Tbl_Ürünler[],11,0)*Tbl_Siparişler[[#This Row],[Adet]],"")</f>
        <v>44573</v>
      </c>
    </row>
    <row r="34" spans="2:10" ht="27" customHeight="1" x14ac:dyDescent="0.4">
      <c r="B34" s="9">
        <f>WEEKNUM(Tbl_Siparişler[[#This Row],[Sipariş Alınan Tarih]])</f>
        <v>45</v>
      </c>
      <c r="C34" s="6">
        <v>44503</v>
      </c>
      <c r="D34" s="7" t="s">
        <v>95</v>
      </c>
      <c r="E34" s="7">
        <v>88330</v>
      </c>
      <c r="F34" s="7" t="s">
        <v>112</v>
      </c>
      <c r="G34" s="7" t="s">
        <v>43</v>
      </c>
      <c r="H34" s="7" t="s">
        <v>44</v>
      </c>
      <c r="I34" s="7">
        <v>2</v>
      </c>
      <c r="J34" s="8">
        <f>IFERROR(VLOOKUP(Tbl_Siparişler[[#This Row],[Kategori]]&amp;"-"&amp;Tbl_Siparişler[[#This Row],[Ürün Adı]],Tbl_Ürünler[],11,0)*Tbl_Siparişler[[#This Row],[Adet]],"")</f>
        <v>17829.2</v>
      </c>
    </row>
    <row r="35" spans="2:10" ht="27" customHeight="1" x14ac:dyDescent="0.4">
      <c r="B35" s="9">
        <f>WEEKNUM(Tbl_Siparişler[[#This Row],[Sipariş Alınan Tarih]])</f>
        <v>28</v>
      </c>
      <c r="C35" s="6">
        <v>44385</v>
      </c>
      <c r="D35" s="7" t="s">
        <v>25</v>
      </c>
      <c r="E35" s="7">
        <v>39886</v>
      </c>
      <c r="F35" s="7" t="s">
        <v>118</v>
      </c>
      <c r="G35" s="7" t="s">
        <v>98</v>
      </c>
      <c r="H35" s="7" t="s">
        <v>100</v>
      </c>
      <c r="I35" s="7">
        <v>3</v>
      </c>
      <c r="J35" s="8">
        <f>IFERROR(VLOOKUP(Tbl_Siparişler[[#This Row],[Kategori]]&amp;"-"&amp;Tbl_Siparişler[[#This Row],[Ürün Adı]],Tbl_Ürünler[],11,0)*Tbl_Siparişler[[#This Row],[Adet]],"")</f>
        <v>27705.600000000002</v>
      </c>
    </row>
    <row r="36" spans="2:10" ht="27" customHeight="1" x14ac:dyDescent="0.4">
      <c r="B36" s="9">
        <f>WEEKNUM(Tbl_Siparişler[[#This Row],[Sipariş Alınan Tarih]])</f>
        <v>25</v>
      </c>
      <c r="C36" s="6">
        <v>44362</v>
      </c>
      <c r="D36" s="7" t="s">
        <v>95</v>
      </c>
      <c r="E36" s="7">
        <v>81231</v>
      </c>
      <c r="F36" s="7" t="s">
        <v>112</v>
      </c>
      <c r="G36" s="7" t="s">
        <v>43</v>
      </c>
      <c r="H36" s="7" t="s">
        <v>44</v>
      </c>
      <c r="I36" s="7">
        <v>5</v>
      </c>
      <c r="J36" s="8">
        <f>IFERROR(VLOOKUP(Tbl_Siparişler[[#This Row],[Kategori]]&amp;"-"&amp;Tbl_Siparişler[[#This Row],[Ürün Adı]],Tbl_Ürünler[],11,0)*Tbl_Siparişler[[#This Row],[Adet]],"")</f>
        <v>44573</v>
      </c>
    </row>
    <row r="37" spans="2:10" ht="27" customHeight="1" x14ac:dyDescent="0.4">
      <c r="B37" s="9">
        <f>WEEKNUM(Tbl_Siparişler[[#This Row],[Sipariş Alınan Tarih]])</f>
        <v>43</v>
      </c>
      <c r="C37" s="6">
        <v>44487</v>
      </c>
      <c r="D37" s="7" t="s">
        <v>95</v>
      </c>
      <c r="E37" s="7">
        <v>31540</v>
      </c>
      <c r="F37" s="7" t="s">
        <v>113</v>
      </c>
      <c r="G37" s="7" t="s">
        <v>98</v>
      </c>
      <c r="H37" s="7" t="s">
        <v>100</v>
      </c>
      <c r="I37" s="7">
        <v>5</v>
      </c>
      <c r="J37" s="8">
        <f>IFERROR(VLOOKUP(Tbl_Siparişler[[#This Row],[Kategori]]&amp;"-"&amp;Tbl_Siparişler[[#This Row],[Ürün Adı]],Tbl_Ürünler[],11,0)*Tbl_Siparişler[[#This Row],[Adet]],"")</f>
        <v>46176</v>
      </c>
    </row>
    <row r="38" spans="2:10" ht="27" customHeight="1" x14ac:dyDescent="0.4">
      <c r="B38" s="9">
        <f>WEEKNUM(Tbl_Siparişler[[#This Row],[Sipariş Alınan Tarih]])</f>
        <v>34</v>
      </c>
      <c r="C38" s="6">
        <v>44428</v>
      </c>
      <c r="D38" s="7" t="s">
        <v>24</v>
      </c>
      <c r="E38" s="7">
        <v>27799</v>
      </c>
      <c r="F38" s="7" t="s">
        <v>115</v>
      </c>
      <c r="G38" s="7" t="s">
        <v>98</v>
      </c>
      <c r="H38" s="7" t="s">
        <v>100</v>
      </c>
      <c r="I38" s="7">
        <v>2</v>
      </c>
      <c r="J38" s="8">
        <f>IFERROR(VLOOKUP(Tbl_Siparişler[[#This Row],[Kategori]]&amp;"-"&amp;Tbl_Siparişler[[#This Row],[Ürün Adı]],Tbl_Ürünler[],11,0)*Tbl_Siparişler[[#This Row],[Adet]],"")</f>
        <v>18470.400000000001</v>
      </c>
    </row>
    <row r="39" spans="2:10" ht="27" customHeight="1" x14ac:dyDescent="0.4">
      <c r="B39" s="9">
        <f>WEEKNUM(Tbl_Siparişler[[#This Row],[Sipariş Alınan Tarih]])</f>
        <v>29</v>
      </c>
      <c r="C39" s="6">
        <v>44392</v>
      </c>
      <c r="D39" s="7" t="s">
        <v>28</v>
      </c>
      <c r="E39" s="7">
        <v>24427</v>
      </c>
      <c r="F39" s="7" t="s">
        <v>109</v>
      </c>
      <c r="G39" s="7" t="s">
        <v>43</v>
      </c>
      <c r="H39" s="7" t="s">
        <v>45</v>
      </c>
      <c r="I39" s="7">
        <v>3</v>
      </c>
      <c r="J39" s="8">
        <f>IFERROR(VLOOKUP(Tbl_Siparişler[[#This Row],[Kategori]]&amp;"-"&amp;Tbl_Siparişler[[#This Row],[Ürün Adı]],Tbl_Ürünler[],11,0)*Tbl_Siparişler[[#This Row],[Adet]],"")</f>
        <v>28978.199999999997</v>
      </c>
    </row>
    <row r="40" spans="2:10" ht="27" customHeight="1" x14ac:dyDescent="0.4">
      <c r="B40" s="9">
        <f>WEEKNUM(Tbl_Siparişler[[#This Row],[Sipariş Alınan Tarih]])</f>
        <v>43</v>
      </c>
      <c r="C40" s="6">
        <v>44487</v>
      </c>
      <c r="D40" s="7" t="s">
        <v>25</v>
      </c>
      <c r="E40" s="7">
        <v>51970</v>
      </c>
      <c r="F40" s="7" t="s">
        <v>114</v>
      </c>
      <c r="G40" s="7" t="s">
        <v>47</v>
      </c>
      <c r="H40" s="7" t="s">
        <v>48</v>
      </c>
      <c r="I40" s="7">
        <v>5</v>
      </c>
      <c r="J40" s="8">
        <f>IFERROR(VLOOKUP(Tbl_Siparişler[[#This Row],[Kategori]]&amp;"-"&amp;Tbl_Siparişler[[#This Row],[Ürün Adı]],Tbl_Ürünler[],11,0)*Tbl_Siparişler[[#This Row],[Adet]],"")</f>
        <v>40267.5</v>
      </c>
    </row>
    <row r="41" spans="2:10" ht="27" customHeight="1" x14ac:dyDescent="0.4">
      <c r="B41" s="9">
        <f>WEEKNUM(Tbl_Siparişler[[#This Row],[Sipariş Alınan Tarih]])</f>
        <v>8</v>
      </c>
      <c r="C41" s="6">
        <v>44244</v>
      </c>
      <c r="D41" s="7" t="s">
        <v>28</v>
      </c>
      <c r="E41" s="7">
        <v>77072</v>
      </c>
      <c r="F41" s="7" t="s">
        <v>110</v>
      </c>
      <c r="G41" s="7" t="s">
        <v>43</v>
      </c>
      <c r="H41" s="7" t="s">
        <v>44</v>
      </c>
      <c r="I41" s="7">
        <v>1</v>
      </c>
      <c r="J41" s="8">
        <f>IFERROR(VLOOKUP(Tbl_Siparişler[[#This Row],[Kategori]]&amp;"-"&amp;Tbl_Siparişler[[#This Row],[Ürün Adı]],Tbl_Ürünler[],11,0)*Tbl_Siparişler[[#This Row],[Adet]],"")</f>
        <v>8914.6</v>
      </c>
    </row>
    <row r="42" spans="2:10" ht="27" customHeight="1" x14ac:dyDescent="0.4">
      <c r="B42" s="9">
        <f>WEEKNUM(Tbl_Siparişler[[#This Row],[Sipariş Alınan Tarih]])</f>
        <v>3</v>
      </c>
      <c r="C42" s="6">
        <v>44210</v>
      </c>
      <c r="D42" s="7" t="s">
        <v>28</v>
      </c>
      <c r="E42" s="7">
        <v>89481</v>
      </c>
      <c r="F42" s="7" t="s">
        <v>117</v>
      </c>
      <c r="G42" s="7" t="s">
        <v>29</v>
      </c>
      <c r="H42" s="7" t="s">
        <v>37</v>
      </c>
      <c r="I42" s="7">
        <v>5</v>
      </c>
      <c r="J42" s="8">
        <f>IFERROR(VLOOKUP(Tbl_Siparişler[[#This Row],[Kategori]]&amp;"-"&amp;Tbl_Siparişler[[#This Row],[Ürün Adı]],Tbl_Ürünler[],11,0)*Tbl_Siparişler[[#This Row],[Adet]],"")</f>
        <v>49002.25</v>
      </c>
    </row>
    <row r="43" spans="2:10" ht="27" customHeight="1" x14ac:dyDescent="0.4">
      <c r="B43" s="9">
        <f>WEEKNUM(Tbl_Siparişler[[#This Row],[Sipariş Alınan Tarih]])</f>
        <v>16</v>
      </c>
      <c r="C43" s="6">
        <v>44302</v>
      </c>
      <c r="D43" s="7" t="s">
        <v>106</v>
      </c>
      <c r="E43" s="7">
        <v>83075</v>
      </c>
      <c r="F43" s="7" t="s">
        <v>107</v>
      </c>
      <c r="G43" s="7" t="s">
        <v>29</v>
      </c>
      <c r="H43" s="7" t="s">
        <v>41</v>
      </c>
      <c r="I43" s="7">
        <v>5</v>
      </c>
      <c r="J43" s="8">
        <f>IFERROR(VLOOKUP(Tbl_Siparişler[[#This Row],[Kategori]]&amp;"-"&amp;Tbl_Siparişler[[#This Row],[Ürün Adı]],Tbl_Ürünler[],11,0)*Tbl_Siparişler[[#This Row],[Adet]],"")</f>
        <v>63105</v>
      </c>
    </row>
    <row r="44" spans="2:10" ht="27" customHeight="1" x14ac:dyDescent="0.4">
      <c r="B44" s="9">
        <f>WEEKNUM(Tbl_Siparişler[[#This Row],[Sipariş Alınan Tarih]])</f>
        <v>1</v>
      </c>
      <c r="C44" s="6">
        <v>44197</v>
      </c>
      <c r="D44" s="7" t="s">
        <v>106</v>
      </c>
      <c r="E44" s="7">
        <v>21639</v>
      </c>
      <c r="F44" s="7" t="s">
        <v>115</v>
      </c>
      <c r="G44" s="7" t="s">
        <v>29</v>
      </c>
      <c r="H44" s="7" t="s">
        <v>37</v>
      </c>
      <c r="I44" s="7">
        <v>2</v>
      </c>
      <c r="J44" s="8">
        <f>IFERROR(VLOOKUP(Tbl_Siparişler[[#This Row],[Kategori]]&amp;"-"&amp;Tbl_Siparişler[[#This Row],[Ürün Adı]],Tbl_Ürünler[],11,0)*Tbl_Siparişler[[#This Row],[Adet]],"")</f>
        <v>19600.900000000001</v>
      </c>
    </row>
    <row r="45" spans="2:10" ht="27" customHeight="1" x14ac:dyDescent="0.4">
      <c r="B45" s="9">
        <f>WEEKNUM(Tbl_Siparişler[[#This Row],[Sipariş Alınan Tarih]])</f>
        <v>50</v>
      </c>
      <c r="C45" s="6">
        <v>44538</v>
      </c>
      <c r="D45" s="7" t="s">
        <v>26</v>
      </c>
      <c r="E45" s="7">
        <v>55235</v>
      </c>
      <c r="F45" s="7" t="s">
        <v>110</v>
      </c>
      <c r="G45" s="7" t="s">
        <v>47</v>
      </c>
      <c r="H45" s="7" t="s">
        <v>48</v>
      </c>
      <c r="I45" s="7">
        <v>5</v>
      </c>
      <c r="J45" s="8">
        <f>IFERROR(VLOOKUP(Tbl_Siparişler[[#This Row],[Kategori]]&amp;"-"&amp;Tbl_Siparişler[[#This Row],[Ürün Adı]],Tbl_Ürünler[],11,0)*Tbl_Siparişler[[#This Row],[Adet]],"")</f>
        <v>40267.5</v>
      </c>
    </row>
    <row r="46" spans="2:10" ht="27" customHeight="1" x14ac:dyDescent="0.4">
      <c r="B46" s="9">
        <f>WEEKNUM(Tbl_Siparişler[[#This Row],[Sipariş Alınan Tarih]])</f>
        <v>40</v>
      </c>
      <c r="C46" s="6">
        <v>44465</v>
      </c>
      <c r="D46" s="7" t="s">
        <v>25</v>
      </c>
      <c r="E46" s="7">
        <v>83377</v>
      </c>
      <c r="F46" s="7" t="s">
        <v>111</v>
      </c>
      <c r="G46" s="7" t="s">
        <v>43</v>
      </c>
      <c r="H46" s="7" t="s">
        <v>45</v>
      </c>
      <c r="I46" s="7">
        <v>1</v>
      </c>
      <c r="J46" s="8">
        <f>IFERROR(VLOOKUP(Tbl_Siparişler[[#This Row],[Kategori]]&amp;"-"&amp;Tbl_Siparişler[[#This Row],[Ürün Adı]],Tbl_Ürünler[],11,0)*Tbl_Siparişler[[#This Row],[Adet]],"")</f>
        <v>9659.4</v>
      </c>
    </row>
    <row r="47" spans="2:10" ht="27" customHeight="1" x14ac:dyDescent="0.4">
      <c r="B47" s="9">
        <f>WEEKNUM(Tbl_Siparişler[[#This Row],[Sipariş Alınan Tarih]])</f>
        <v>10</v>
      </c>
      <c r="C47" s="6">
        <v>44260</v>
      </c>
      <c r="D47" s="7" t="s">
        <v>24</v>
      </c>
      <c r="E47" s="7">
        <v>34122</v>
      </c>
      <c r="F47" s="7" t="s">
        <v>110</v>
      </c>
      <c r="G47" s="7" t="s">
        <v>98</v>
      </c>
      <c r="H47" s="7" t="s">
        <v>99</v>
      </c>
      <c r="I47" s="7">
        <v>5</v>
      </c>
      <c r="J47" s="8">
        <f>IFERROR(VLOOKUP(Tbl_Siparişler[[#This Row],[Kategori]]&amp;"-"&amp;Tbl_Siparişler[[#This Row],[Ürün Adı]],Tbl_Ürünler[],11,0)*Tbl_Siparişler[[#This Row],[Adet]],"")</f>
        <v>20708.150000000001</v>
      </c>
    </row>
    <row r="48" spans="2:10" ht="27" customHeight="1" x14ac:dyDescent="0.4">
      <c r="B48" s="9">
        <f>WEEKNUM(Tbl_Siparişler[[#This Row],[Sipariş Alınan Tarih]])</f>
        <v>39</v>
      </c>
      <c r="C48" s="6">
        <v>44460</v>
      </c>
      <c r="D48" s="7" t="s">
        <v>24</v>
      </c>
      <c r="E48" s="7">
        <v>87095</v>
      </c>
      <c r="F48" s="7" t="s">
        <v>108</v>
      </c>
      <c r="G48" s="7" t="s">
        <v>47</v>
      </c>
      <c r="H48" s="7" t="s">
        <v>48</v>
      </c>
      <c r="I48" s="7">
        <v>4</v>
      </c>
      <c r="J48" s="8">
        <f>IFERROR(VLOOKUP(Tbl_Siparişler[[#This Row],[Kategori]]&amp;"-"&amp;Tbl_Siparişler[[#This Row],[Ürün Adı]],Tbl_Ürünler[],11,0)*Tbl_Siparişler[[#This Row],[Adet]],"")</f>
        <v>32214</v>
      </c>
    </row>
    <row r="49" spans="2:10" ht="27" customHeight="1" x14ac:dyDescent="0.4">
      <c r="B49" s="9">
        <f>WEEKNUM(Tbl_Siparişler[[#This Row],[Sipariş Alınan Tarih]])</f>
        <v>32</v>
      </c>
      <c r="C49" s="6">
        <v>44410</v>
      </c>
      <c r="D49" s="7" t="s">
        <v>27</v>
      </c>
      <c r="E49" s="7">
        <v>91092</v>
      </c>
      <c r="F49" s="7" t="s">
        <v>114</v>
      </c>
      <c r="G49" s="7" t="s">
        <v>98</v>
      </c>
      <c r="H49" s="7" t="s">
        <v>103</v>
      </c>
      <c r="I49" s="7">
        <v>4</v>
      </c>
      <c r="J49" s="8">
        <f>IFERROR(VLOOKUP(Tbl_Siparişler[[#This Row],[Kategori]]&amp;"-"&amp;Tbl_Siparişler[[#This Row],[Ürün Adı]],Tbl_Ürünler[],11,0)*Tbl_Siparişler[[#This Row],[Adet]],"")</f>
        <v>23850</v>
      </c>
    </row>
    <row r="50" spans="2:10" ht="27" customHeight="1" x14ac:dyDescent="0.4">
      <c r="B50" s="9">
        <f>WEEKNUM(Tbl_Siparişler[[#This Row],[Sipariş Alınan Tarih]])</f>
        <v>3</v>
      </c>
      <c r="C50" s="6">
        <v>44206</v>
      </c>
      <c r="D50" s="7" t="s">
        <v>25</v>
      </c>
      <c r="E50" s="7">
        <v>42537</v>
      </c>
      <c r="F50" s="7" t="s">
        <v>111</v>
      </c>
      <c r="G50" s="7" t="s">
        <v>47</v>
      </c>
      <c r="H50" s="7" t="s">
        <v>49</v>
      </c>
      <c r="I50" s="7">
        <v>3</v>
      </c>
      <c r="J50" s="8">
        <f>IFERROR(VLOOKUP(Tbl_Siparişler[[#This Row],[Kategori]]&amp;"-"&amp;Tbl_Siparişler[[#This Row],[Ürün Adı]],Tbl_Ürünler[],11,0)*Tbl_Siparişler[[#This Row],[Adet]],"")</f>
        <v>28709.25</v>
      </c>
    </row>
    <row r="51" spans="2:10" ht="27" customHeight="1" x14ac:dyDescent="0.4">
      <c r="B51" s="9">
        <f>WEEKNUM(Tbl_Siparişler[[#This Row],[Sipariş Alınan Tarih]])</f>
        <v>21</v>
      </c>
      <c r="C51" s="6">
        <v>44335</v>
      </c>
      <c r="D51" s="7" t="s">
        <v>25</v>
      </c>
      <c r="E51" s="7">
        <v>55344</v>
      </c>
      <c r="F51" s="7" t="s">
        <v>117</v>
      </c>
      <c r="G51" s="7" t="s">
        <v>43</v>
      </c>
      <c r="H51" s="7" t="s">
        <v>44</v>
      </c>
      <c r="I51" s="7">
        <v>5</v>
      </c>
      <c r="J51" s="8">
        <f>IFERROR(VLOOKUP(Tbl_Siparişler[[#This Row],[Kategori]]&amp;"-"&amp;Tbl_Siparişler[[#This Row],[Ürün Adı]],Tbl_Ürünler[],11,0)*Tbl_Siparişler[[#This Row],[Adet]],"")</f>
        <v>44573</v>
      </c>
    </row>
    <row r="52" spans="2:10" ht="27" customHeight="1" x14ac:dyDescent="0.4">
      <c r="B52" s="9">
        <f>WEEKNUM(Tbl_Siparişler[[#This Row],[Sipariş Alınan Tarih]])</f>
        <v>22</v>
      </c>
      <c r="C52" s="6">
        <v>44343</v>
      </c>
      <c r="D52" s="7" t="s">
        <v>25</v>
      </c>
      <c r="E52" s="7">
        <v>86754</v>
      </c>
      <c r="F52" s="7" t="s">
        <v>114</v>
      </c>
      <c r="G52" s="7" t="s">
        <v>29</v>
      </c>
      <c r="H52" s="7" t="s">
        <v>41</v>
      </c>
      <c r="I52" s="7">
        <v>4</v>
      </c>
      <c r="J52" s="8">
        <f>IFERROR(VLOOKUP(Tbl_Siparişler[[#This Row],[Kategori]]&amp;"-"&amp;Tbl_Siparişler[[#This Row],[Ürün Adı]],Tbl_Ürünler[],11,0)*Tbl_Siparişler[[#This Row],[Adet]],"")</f>
        <v>50484</v>
      </c>
    </row>
    <row r="53" spans="2:10" ht="27" customHeight="1" x14ac:dyDescent="0.4">
      <c r="B53" s="9">
        <f>WEEKNUM(Tbl_Siparişler[[#This Row],[Sipariş Alınan Tarih]])</f>
        <v>35</v>
      </c>
      <c r="C53" s="6">
        <v>44435</v>
      </c>
      <c r="D53" s="7" t="s">
        <v>26</v>
      </c>
      <c r="E53" s="7">
        <v>11944</v>
      </c>
      <c r="F53" s="7" t="s">
        <v>111</v>
      </c>
      <c r="G53" s="7" t="s">
        <v>47</v>
      </c>
      <c r="H53" s="7" t="s">
        <v>49</v>
      </c>
      <c r="I53" s="7">
        <v>4</v>
      </c>
      <c r="J53" s="8">
        <f>IFERROR(VLOOKUP(Tbl_Siparişler[[#This Row],[Kategori]]&amp;"-"&amp;Tbl_Siparişler[[#This Row],[Ürün Adı]],Tbl_Ürünler[],11,0)*Tbl_Siparişler[[#This Row],[Adet]],"")</f>
        <v>38279</v>
      </c>
    </row>
    <row r="54" spans="2:10" ht="27" customHeight="1" x14ac:dyDescent="0.4">
      <c r="B54" s="9">
        <f>WEEKNUM(Tbl_Siparişler[[#This Row],[Sipariş Alınan Tarih]])</f>
        <v>50</v>
      </c>
      <c r="C54" s="6">
        <v>44540</v>
      </c>
      <c r="D54" s="7" t="s">
        <v>28</v>
      </c>
      <c r="E54" s="7">
        <v>91812</v>
      </c>
      <c r="F54" s="7" t="s">
        <v>110</v>
      </c>
      <c r="G54" s="7" t="s">
        <v>98</v>
      </c>
      <c r="H54" s="7" t="s">
        <v>99</v>
      </c>
      <c r="I54" s="7">
        <v>1</v>
      </c>
      <c r="J54" s="8">
        <f>IFERROR(VLOOKUP(Tbl_Siparişler[[#This Row],[Kategori]]&amp;"-"&amp;Tbl_Siparişler[[#This Row],[Ürün Adı]],Tbl_Ürünler[],11,0)*Tbl_Siparişler[[#This Row],[Adet]],"")</f>
        <v>4141.63</v>
      </c>
    </row>
    <row r="55" spans="2:10" ht="27" customHeight="1" x14ac:dyDescent="0.4">
      <c r="B55" s="9">
        <f>WEEKNUM(Tbl_Siparişler[[#This Row],[Sipariş Alınan Tarih]])</f>
        <v>11</v>
      </c>
      <c r="C55" s="6">
        <v>44266</v>
      </c>
      <c r="D55" s="7" t="s">
        <v>95</v>
      </c>
      <c r="E55" s="7">
        <v>21383</v>
      </c>
      <c r="F55" s="7" t="s">
        <v>112</v>
      </c>
      <c r="G55" s="7" t="s">
        <v>98</v>
      </c>
      <c r="H55" s="7" t="s">
        <v>100</v>
      </c>
      <c r="I55" s="7">
        <v>4</v>
      </c>
      <c r="J55" s="8">
        <f>IFERROR(VLOOKUP(Tbl_Siparişler[[#This Row],[Kategori]]&amp;"-"&amp;Tbl_Siparişler[[#This Row],[Ürün Adı]],Tbl_Ürünler[],11,0)*Tbl_Siparişler[[#This Row],[Adet]],"")</f>
        <v>36940.800000000003</v>
      </c>
    </row>
    <row r="56" spans="2:10" ht="27" customHeight="1" x14ac:dyDescent="0.4">
      <c r="B56" s="9">
        <f>WEEKNUM(Tbl_Siparişler[[#This Row],[Sipariş Alınan Tarih]])</f>
        <v>20</v>
      </c>
      <c r="C56" s="6">
        <v>44326</v>
      </c>
      <c r="D56" s="7" t="s">
        <v>24</v>
      </c>
      <c r="E56" s="7">
        <v>72287</v>
      </c>
      <c r="F56" s="7" t="s">
        <v>112</v>
      </c>
      <c r="G56" s="7" t="s">
        <v>29</v>
      </c>
      <c r="H56" s="7" t="s">
        <v>42</v>
      </c>
      <c r="I56" s="7">
        <v>3</v>
      </c>
      <c r="J56" s="8">
        <f>IFERROR(VLOOKUP(Tbl_Siparişler[[#This Row],[Kategori]]&amp;"-"&amp;Tbl_Siparişler[[#This Row],[Ürün Adı]],Tbl_Ürünler[],11,0)*Tbl_Siparişler[[#This Row],[Adet]],"")</f>
        <v>42198</v>
      </c>
    </row>
    <row r="57" spans="2:10" ht="27" customHeight="1" x14ac:dyDescent="0.4">
      <c r="B57" s="9">
        <f>WEEKNUM(Tbl_Siparişler[[#This Row],[Sipariş Alınan Tarih]])</f>
        <v>50</v>
      </c>
      <c r="C57" s="6">
        <v>44541</v>
      </c>
      <c r="D57" s="7" t="s">
        <v>28</v>
      </c>
      <c r="E57" s="7">
        <v>25402</v>
      </c>
      <c r="F57" s="7" t="s">
        <v>118</v>
      </c>
      <c r="G57" s="7" t="s">
        <v>98</v>
      </c>
      <c r="H57" s="7" t="s">
        <v>99</v>
      </c>
      <c r="I57" s="7">
        <v>2</v>
      </c>
      <c r="J57" s="8">
        <f>IFERROR(VLOOKUP(Tbl_Siparişler[[#This Row],[Kategori]]&amp;"-"&amp;Tbl_Siparişler[[#This Row],[Ürün Adı]],Tbl_Ürünler[],11,0)*Tbl_Siparişler[[#This Row],[Adet]],"")</f>
        <v>8283.26</v>
      </c>
    </row>
    <row r="58" spans="2:10" ht="27" customHeight="1" x14ac:dyDescent="0.4">
      <c r="B58" s="9">
        <f>WEEKNUM(Tbl_Siparişler[[#This Row],[Sipariş Alınan Tarih]])</f>
        <v>33</v>
      </c>
      <c r="C58" s="6">
        <v>44416</v>
      </c>
      <c r="D58" s="7" t="s">
        <v>25</v>
      </c>
      <c r="E58" s="7">
        <v>36576</v>
      </c>
      <c r="F58" s="7" t="s">
        <v>110</v>
      </c>
      <c r="G58" s="7" t="s">
        <v>43</v>
      </c>
      <c r="H58" s="7" t="s">
        <v>50</v>
      </c>
      <c r="I58" s="7">
        <v>3</v>
      </c>
      <c r="J58" s="8">
        <f>IFERROR(VLOOKUP(Tbl_Siparişler[[#This Row],[Kategori]]&amp;"-"&amp;Tbl_Siparişler[[#This Row],[Ürün Adı]],Tbl_Ürünler[],11,0)*Tbl_Siparişler[[#This Row],[Adet]],"")</f>
        <v>19374.300000000003</v>
      </c>
    </row>
    <row r="59" spans="2:10" ht="27" customHeight="1" x14ac:dyDescent="0.4">
      <c r="B59" s="9">
        <f>WEEKNUM(Tbl_Siparişler[[#This Row],[Sipariş Alınan Tarih]])</f>
        <v>42</v>
      </c>
      <c r="C59" s="6">
        <v>44483</v>
      </c>
      <c r="D59" s="7" t="s">
        <v>106</v>
      </c>
      <c r="E59" s="7">
        <v>95432</v>
      </c>
      <c r="F59" s="7" t="s">
        <v>109</v>
      </c>
      <c r="G59" s="7" t="s">
        <v>98</v>
      </c>
      <c r="H59" s="7" t="s">
        <v>103</v>
      </c>
      <c r="I59" s="7">
        <v>2</v>
      </c>
      <c r="J59" s="8">
        <f>IFERROR(VLOOKUP(Tbl_Siparişler[[#This Row],[Kategori]]&amp;"-"&amp;Tbl_Siparişler[[#This Row],[Ürün Adı]],Tbl_Ürünler[],11,0)*Tbl_Siparişler[[#This Row],[Adet]],"")</f>
        <v>11925</v>
      </c>
    </row>
    <row r="60" spans="2:10" ht="27" customHeight="1" x14ac:dyDescent="0.4">
      <c r="B60" s="9">
        <f>WEEKNUM(Tbl_Siparişler[[#This Row],[Sipariş Alınan Tarih]])</f>
        <v>23</v>
      </c>
      <c r="C60" s="6">
        <v>44351</v>
      </c>
      <c r="D60" s="7" t="s">
        <v>28</v>
      </c>
      <c r="E60" s="7">
        <v>15298</v>
      </c>
      <c r="F60" s="7" t="s">
        <v>111</v>
      </c>
      <c r="G60" s="7" t="s">
        <v>43</v>
      </c>
      <c r="H60" s="7" t="s">
        <v>46</v>
      </c>
      <c r="I60" s="7">
        <v>2</v>
      </c>
      <c r="J60" s="8">
        <f>IFERROR(VLOOKUP(Tbl_Siparişler[[#This Row],[Kategori]]&amp;"-"&amp;Tbl_Siparişler[[#This Row],[Ürün Adı]],Tbl_Ürünler[],11,0)*Tbl_Siparişler[[#This Row],[Adet]],"")</f>
        <v>26686.800000000003</v>
      </c>
    </row>
    <row r="61" spans="2:10" ht="27" customHeight="1" x14ac:dyDescent="0.4">
      <c r="B61" s="9">
        <f>WEEKNUM(Tbl_Siparişler[[#This Row],[Sipariş Alınan Tarih]])</f>
        <v>30</v>
      </c>
      <c r="C61" s="6">
        <v>44400</v>
      </c>
      <c r="D61" s="7" t="s">
        <v>26</v>
      </c>
      <c r="E61" s="7">
        <v>62926</v>
      </c>
      <c r="F61" s="7" t="s">
        <v>113</v>
      </c>
      <c r="G61" s="7" t="s">
        <v>47</v>
      </c>
      <c r="H61" s="7" t="s">
        <v>48</v>
      </c>
      <c r="I61" s="7">
        <v>3</v>
      </c>
      <c r="J61" s="8">
        <f>IFERROR(VLOOKUP(Tbl_Siparişler[[#This Row],[Kategori]]&amp;"-"&amp;Tbl_Siparişler[[#This Row],[Ürün Adı]],Tbl_Ürünler[],11,0)*Tbl_Siparişler[[#This Row],[Adet]],"")</f>
        <v>24160.5</v>
      </c>
    </row>
    <row r="62" spans="2:10" ht="27" customHeight="1" x14ac:dyDescent="0.4">
      <c r="B62" s="9">
        <f>WEEKNUM(Tbl_Siparişler[[#This Row],[Sipariş Alınan Tarih]])</f>
        <v>28</v>
      </c>
      <c r="C62" s="6">
        <v>44384</v>
      </c>
      <c r="D62" s="7" t="s">
        <v>27</v>
      </c>
      <c r="E62" s="7">
        <v>84622</v>
      </c>
      <c r="F62" s="7" t="s">
        <v>115</v>
      </c>
      <c r="G62" s="7" t="s">
        <v>98</v>
      </c>
      <c r="H62" s="7" t="s">
        <v>100</v>
      </c>
      <c r="I62" s="7">
        <v>1</v>
      </c>
      <c r="J62" s="8">
        <f>IFERROR(VLOOKUP(Tbl_Siparişler[[#This Row],[Kategori]]&amp;"-"&amp;Tbl_Siparişler[[#This Row],[Ürün Adı]],Tbl_Ürünler[],11,0)*Tbl_Siparişler[[#This Row],[Adet]],"")</f>
        <v>9235.2000000000007</v>
      </c>
    </row>
    <row r="63" spans="2:10" ht="27" customHeight="1" x14ac:dyDescent="0.4">
      <c r="B63" s="9">
        <f>WEEKNUM(Tbl_Siparişler[[#This Row],[Sipariş Alınan Tarih]])</f>
        <v>2</v>
      </c>
      <c r="C63" s="6">
        <v>44201</v>
      </c>
      <c r="D63" s="7" t="s">
        <v>25</v>
      </c>
      <c r="E63" s="7">
        <v>79773</v>
      </c>
      <c r="F63" s="7" t="s">
        <v>109</v>
      </c>
      <c r="G63" s="7" t="s">
        <v>98</v>
      </c>
      <c r="H63" s="7" t="s">
        <v>103</v>
      </c>
      <c r="I63" s="7">
        <v>5</v>
      </c>
      <c r="J63" s="8">
        <f>IFERROR(VLOOKUP(Tbl_Siparişler[[#This Row],[Kategori]]&amp;"-"&amp;Tbl_Siparişler[[#This Row],[Ürün Adı]],Tbl_Ürünler[],11,0)*Tbl_Siparişler[[#This Row],[Adet]],"")</f>
        <v>29812.5</v>
      </c>
    </row>
    <row r="64" spans="2:10" ht="27" customHeight="1" x14ac:dyDescent="0.4">
      <c r="B64" s="9">
        <f>WEEKNUM(Tbl_Siparişler[[#This Row],[Sipariş Alınan Tarih]])</f>
        <v>25</v>
      </c>
      <c r="C64" s="6">
        <v>44365</v>
      </c>
      <c r="D64" s="7" t="s">
        <v>27</v>
      </c>
      <c r="E64" s="7">
        <v>23525</v>
      </c>
      <c r="F64" s="7" t="s">
        <v>107</v>
      </c>
      <c r="G64" s="7" t="s">
        <v>47</v>
      </c>
      <c r="H64" s="7" t="s">
        <v>48</v>
      </c>
      <c r="I64" s="7">
        <v>1</v>
      </c>
      <c r="J64" s="8">
        <f>IFERROR(VLOOKUP(Tbl_Siparişler[[#This Row],[Kategori]]&amp;"-"&amp;Tbl_Siparişler[[#This Row],[Ürün Adı]],Tbl_Ürünler[],11,0)*Tbl_Siparişler[[#This Row],[Adet]],"")</f>
        <v>8053.5</v>
      </c>
    </row>
    <row r="65" spans="2:10" ht="27" customHeight="1" x14ac:dyDescent="0.4">
      <c r="B65" s="9">
        <f>WEEKNUM(Tbl_Siparişler[[#This Row],[Sipariş Alınan Tarih]])</f>
        <v>38</v>
      </c>
      <c r="C65" s="6">
        <v>44454</v>
      </c>
      <c r="D65" s="7" t="s">
        <v>28</v>
      </c>
      <c r="E65" s="7">
        <v>47953</v>
      </c>
      <c r="F65" s="7" t="s">
        <v>108</v>
      </c>
      <c r="G65" s="7" t="s">
        <v>47</v>
      </c>
      <c r="H65" s="7" t="s">
        <v>49</v>
      </c>
      <c r="I65" s="7">
        <v>5</v>
      </c>
      <c r="J65" s="8">
        <f>IFERROR(VLOOKUP(Tbl_Siparişler[[#This Row],[Kategori]]&amp;"-"&amp;Tbl_Siparişler[[#This Row],[Ürün Adı]],Tbl_Ürünler[],11,0)*Tbl_Siparişler[[#This Row],[Adet]],"")</f>
        <v>47848.75</v>
      </c>
    </row>
    <row r="66" spans="2:10" ht="27" customHeight="1" x14ac:dyDescent="0.4">
      <c r="B66" s="9">
        <f>WEEKNUM(Tbl_Siparişler[[#This Row],[Sipariş Alınan Tarih]])</f>
        <v>8</v>
      </c>
      <c r="C66" s="6">
        <v>44244</v>
      </c>
      <c r="D66" s="7" t="s">
        <v>26</v>
      </c>
      <c r="E66" s="7">
        <v>12780</v>
      </c>
      <c r="F66" s="7" t="s">
        <v>115</v>
      </c>
      <c r="G66" s="7" t="s">
        <v>43</v>
      </c>
      <c r="H66" s="7" t="s">
        <v>45</v>
      </c>
      <c r="I66" s="7">
        <v>2</v>
      </c>
      <c r="J66" s="8">
        <f>IFERROR(VLOOKUP(Tbl_Siparişler[[#This Row],[Kategori]]&amp;"-"&amp;Tbl_Siparişler[[#This Row],[Ürün Adı]],Tbl_Ürünler[],11,0)*Tbl_Siparişler[[#This Row],[Adet]],"")</f>
        <v>19318.8</v>
      </c>
    </row>
    <row r="67" spans="2:10" ht="27" customHeight="1" x14ac:dyDescent="0.4">
      <c r="B67" s="9">
        <f>WEEKNUM(Tbl_Siparişler[[#This Row],[Sipariş Alınan Tarih]])</f>
        <v>41</v>
      </c>
      <c r="C67" s="6">
        <v>44475</v>
      </c>
      <c r="D67" s="7" t="s">
        <v>25</v>
      </c>
      <c r="E67" s="7">
        <v>62534</v>
      </c>
      <c r="F67" s="7" t="s">
        <v>115</v>
      </c>
      <c r="G67" s="7" t="s">
        <v>98</v>
      </c>
      <c r="H67" s="7" t="s">
        <v>99</v>
      </c>
      <c r="I67" s="7">
        <v>4</v>
      </c>
      <c r="J67" s="8">
        <f>IFERROR(VLOOKUP(Tbl_Siparişler[[#This Row],[Kategori]]&amp;"-"&amp;Tbl_Siparişler[[#This Row],[Ürün Adı]],Tbl_Ürünler[],11,0)*Tbl_Siparişler[[#This Row],[Adet]],"")</f>
        <v>16566.52</v>
      </c>
    </row>
    <row r="68" spans="2:10" ht="27" customHeight="1" x14ac:dyDescent="0.4">
      <c r="B68" s="9">
        <f>WEEKNUM(Tbl_Siparişler[[#This Row],[Sipariş Alınan Tarih]])</f>
        <v>24</v>
      </c>
      <c r="C68" s="6">
        <v>44359</v>
      </c>
      <c r="D68" s="7" t="s">
        <v>25</v>
      </c>
      <c r="E68" s="7">
        <v>82912</v>
      </c>
      <c r="F68" s="7" t="s">
        <v>111</v>
      </c>
      <c r="G68" s="7" t="s">
        <v>43</v>
      </c>
      <c r="H68" s="7" t="s">
        <v>45</v>
      </c>
      <c r="I68" s="7">
        <v>3</v>
      </c>
      <c r="J68" s="8">
        <f>IFERROR(VLOOKUP(Tbl_Siparişler[[#This Row],[Kategori]]&amp;"-"&amp;Tbl_Siparişler[[#This Row],[Ürün Adı]],Tbl_Ürünler[],11,0)*Tbl_Siparişler[[#This Row],[Adet]],"")</f>
        <v>28978.199999999997</v>
      </c>
    </row>
    <row r="69" spans="2:10" ht="27" customHeight="1" x14ac:dyDescent="0.4">
      <c r="B69" s="9">
        <f>WEEKNUM(Tbl_Siparişler[[#This Row],[Sipariş Alınan Tarih]])</f>
        <v>34</v>
      </c>
      <c r="C69" s="6">
        <v>44429</v>
      </c>
      <c r="D69" s="7" t="s">
        <v>95</v>
      </c>
      <c r="E69" s="7">
        <v>85935</v>
      </c>
      <c r="F69" s="7" t="s">
        <v>115</v>
      </c>
      <c r="G69" s="7" t="s">
        <v>43</v>
      </c>
      <c r="H69" s="7" t="s">
        <v>45</v>
      </c>
      <c r="I69" s="7">
        <v>4</v>
      </c>
      <c r="J69" s="8">
        <f>IFERROR(VLOOKUP(Tbl_Siparişler[[#This Row],[Kategori]]&amp;"-"&amp;Tbl_Siparişler[[#This Row],[Ürün Adı]],Tbl_Ürünler[],11,0)*Tbl_Siparişler[[#This Row],[Adet]],"")</f>
        <v>38637.599999999999</v>
      </c>
    </row>
    <row r="70" spans="2:10" ht="27" customHeight="1" x14ac:dyDescent="0.4">
      <c r="B70" s="9">
        <f>WEEKNUM(Tbl_Siparişler[[#This Row],[Sipariş Alınan Tarih]])</f>
        <v>37</v>
      </c>
      <c r="C70" s="6">
        <v>44445</v>
      </c>
      <c r="D70" s="7" t="s">
        <v>26</v>
      </c>
      <c r="E70" s="7">
        <v>83404</v>
      </c>
      <c r="F70" s="7" t="s">
        <v>118</v>
      </c>
      <c r="G70" s="7" t="s">
        <v>29</v>
      </c>
      <c r="H70" s="7" t="s">
        <v>41</v>
      </c>
      <c r="I70" s="7">
        <v>1</v>
      </c>
      <c r="J70" s="8">
        <f>IFERROR(VLOOKUP(Tbl_Siparişler[[#This Row],[Kategori]]&amp;"-"&amp;Tbl_Siparişler[[#This Row],[Ürün Adı]],Tbl_Ürünler[],11,0)*Tbl_Siparişler[[#This Row],[Adet]],"")</f>
        <v>12621</v>
      </c>
    </row>
    <row r="71" spans="2:10" ht="27" customHeight="1" x14ac:dyDescent="0.4">
      <c r="B71" s="9">
        <f>WEEKNUM(Tbl_Siparişler[[#This Row],[Sipariş Alınan Tarih]])</f>
        <v>4</v>
      </c>
      <c r="C71" s="6">
        <v>44219</v>
      </c>
      <c r="D71" s="7" t="s">
        <v>26</v>
      </c>
      <c r="E71" s="7">
        <v>40112</v>
      </c>
      <c r="F71" s="7" t="s">
        <v>111</v>
      </c>
      <c r="G71" s="7" t="s">
        <v>29</v>
      </c>
      <c r="H71" s="7" t="s">
        <v>30</v>
      </c>
      <c r="I71" s="7">
        <v>4</v>
      </c>
      <c r="J71" s="8">
        <f>IFERROR(VLOOKUP(Tbl_Siparişler[[#This Row],[Kategori]]&amp;"-"&amp;Tbl_Siparişler[[#This Row],[Ürün Adı]],Tbl_Ürünler[],11,0)*Tbl_Siparişler[[#This Row],[Adet]],"")</f>
        <v>34741.199999999997</v>
      </c>
    </row>
    <row r="72" spans="2:10" ht="27" customHeight="1" x14ac:dyDescent="0.4">
      <c r="B72" s="9">
        <f>WEEKNUM(Tbl_Siparişler[[#This Row],[Sipariş Alınan Tarih]])</f>
        <v>16</v>
      </c>
      <c r="C72" s="6">
        <v>44303</v>
      </c>
      <c r="D72" s="7" t="s">
        <v>24</v>
      </c>
      <c r="E72" s="7">
        <v>87124</v>
      </c>
      <c r="F72" s="7" t="s">
        <v>114</v>
      </c>
      <c r="G72" s="7" t="s">
        <v>98</v>
      </c>
      <c r="H72" s="7" t="s">
        <v>100</v>
      </c>
      <c r="I72" s="7">
        <v>3</v>
      </c>
      <c r="J72" s="8">
        <f>IFERROR(VLOOKUP(Tbl_Siparişler[[#This Row],[Kategori]]&amp;"-"&amp;Tbl_Siparişler[[#This Row],[Ürün Adı]],Tbl_Ürünler[],11,0)*Tbl_Siparişler[[#This Row],[Adet]],"")</f>
        <v>27705.600000000002</v>
      </c>
    </row>
    <row r="73" spans="2:10" ht="27" customHeight="1" x14ac:dyDescent="0.4">
      <c r="B73" s="9">
        <f>WEEKNUM(Tbl_Siparişler[[#This Row],[Sipariş Alınan Tarih]])</f>
        <v>28</v>
      </c>
      <c r="C73" s="6">
        <v>44386</v>
      </c>
      <c r="D73" s="7" t="s">
        <v>95</v>
      </c>
      <c r="E73" s="7">
        <v>15736</v>
      </c>
      <c r="F73" s="7" t="s">
        <v>113</v>
      </c>
      <c r="G73" s="7" t="s">
        <v>98</v>
      </c>
      <c r="H73" s="7" t="s">
        <v>99</v>
      </c>
      <c r="I73" s="7">
        <v>2</v>
      </c>
      <c r="J73" s="8">
        <f>IFERROR(VLOOKUP(Tbl_Siparişler[[#This Row],[Kategori]]&amp;"-"&amp;Tbl_Siparişler[[#This Row],[Ürün Adı]],Tbl_Ürünler[],11,0)*Tbl_Siparişler[[#This Row],[Adet]],"")</f>
        <v>8283.26</v>
      </c>
    </row>
    <row r="74" spans="2:10" ht="27" customHeight="1" x14ac:dyDescent="0.4">
      <c r="B74" s="9">
        <f>WEEKNUM(Tbl_Siparişler[[#This Row],[Sipariş Alınan Tarih]])</f>
        <v>42</v>
      </c>
      <c r="C74" s="6">
        <v>44481</v>
      </c>
      <c r="D74" s="7" t="s">
        <v>27</v>
      </c>
      <c r="E74" s="7">
        <v>67121</v>
      </c>
      <c r="F74" s="7" t="s">
        <v>107</v>
      </c>
      <c r="G74" s="7" t="s">
        <v>98</v>
      </c>
      <c r="H74" s="7" t="s">
        <v>103</v>
      </c>
      <c r="I74" s="7">
        <v>5</v>
      </c>
      <c r="J74" s="8">
        <f>IFERROR(VLOOKUP(Tbl_Siparişler[[#This Row],[Kategori]]&amp;"-"&amp;Tbl_Siparişler[[#This Row],[Ürün Adı]],Tbl_Ürünler[],11,0)*Tbl_Siparişler[[#This Row],[Adet]],"")</f>
        <v>29812.5</v>
      </c>
    </row>
    <row r="75" spans="2:10" ht="27" customHeight="1" x14ac:dyDescent="0.4">
      <c r="B75" s="9">
        <f>WEEKNUM(Tbl_Siparişler[[#This Row],[Sipariş Alınan Tarih]])</f>
        <v>5</v>
      </c>
      <c r="C75" s="6">
        <v>44222</v>
      </c>
      <c r="D75" s="7" t="s">
        <v>26</v>
      </c>
      <c r="E75" s="7">
        <v>78672</v>
      </c>
      <c r="F75" s="7" t="s">
        <v>113</v>
      </c>
      <c r="G75" s="7" t="s">
        <v>47</v>
      </c>
      <c r="H75" s="7" t="s">
        <v>49</v>
      </c>
      <c r="I75" s="7">
        <v>1</v>
      </c>
      <c r="J75" s="8">
        <f>IFERROR(VLOOKUP(Tbl_Siparişler[[#This Row],[Kategori]]&amp;"-"&amp;Tbl_Siparişler[[#This Row],[Ürün Adı]],Tbl_Ürünler[],11,0)*Tbl_Siparişler[[#This Row],[Adet]],"")</f>
        <v>9569.75</v>
      </c>
    </row>
    <row r="76" spans="2:10" ht="27" customHeight="1" x14ac:dyDescent="0.4">
      <c r="B76" s="9">
        <f>WEEKNUM(Tbl_Siparişler[[#This Row],[Sipariş Alınan Tarih]])</f>
        <v>31</v>
      </c>
      <c r="C76" s="6">
        <v>44403</v>
      </c>
      <c r="D76" s="7" t="s">
        <v>24</v>
      </c>
      <c r="E76" s="7">
        <v>89477</v>
      </c>
      <c r="F76" s="7" t="s">
        <v>112</v>
      </c>
      <c r="G76" s="7" t="s">
        <v>98</v>
      </c>
      <c r="H76" s="7" t="s">
        <v>103</v>
      </c>
      <c r="I76" s="7">
        <v>2</v>
      </c>
      <c r="J76" s="8">
        <f>IFERROR(VLOOKUP(Tbl_Siparişler[[#This Row],[Kategori]]&amp;"-"&amp;Tbl_Siparişler[[#This Row],[Ürün Adı]],Tbl_Ürünler[],11,0)*Tbl_Siparişler[[#This Row],[Adet]],"")</f>
        <v>11925</v>
      </c>
    </row>
    <row r="77" spans="2:10" ht="27" customHeight="1" x14ac:dyDescent="0.4">
      <c r="B77" s="9">
        <f>WEEKNUM(Tbl_Siparişler[[#This Row],[Sipariş Alınan Tarih]])</f>
        <v>45</v>
      </c>
      <c r="C77" s="6">
        <v>44503</v>
      </c>
      <c r="D77" s="7" t="s">
        <v>28</v>
      </c>
      <c r="E77" s="7">
        <v>88185</v>
      </c>
      <c r="F77" s="7" t="s">
        <v>117</v>
      </c>
      <c r="G77" s="7" t="s">
        <v>98</v>
      </c>
      <c r="H77" s="7" t="s">
        <v>103</v>
      </c>
      <c r="I77" s="7">
        <v>2</v>
      </c>
      <c r="J77" s="8">
        <f>IFERROR(VLOOKUP(Tbl_Siparişler[[#This Row],[Kategori]]&amp;"-"&amp;Tbl_Siparişler[[#This Row],[Ürün Adı]],Tbl_Ürünler[],11,0)*Tbl_Siparişler[[#This Row],[Adet]],"")</f>
        <v>11925</v>
      </c>
    </row>
    <row r="78" spans="2:10" ht="27" customHeight="1" x14ac:dyDescent="0.4">
      <c r="B78" s="9">
        <f>WEEKNUM(Tbl_Siparişler[[#This Row],[Sipariş Alınan Tarih]])</f>
        <v>10</v>
      </c>
      <c r="C78" s="6">
        <v>44257</v>
      </c>
      <c r="D78" s="7" t="s">
        <v>28</v>
      </c>
      <c r="E78" s="7">
        <v>24808</v>
      </c>
      <c r="F78" s="7" t="s">
        <v>110</v>
      </c>
      <c r="G78" s="7" t="s">
        <v>43</v>
      </c>
      <c r="H78" s="7" t="s">
        <v>50</v>
      </c>
      <c r="I78" s="7">
        <v>2</v>
      </c>
      <c r="J78" s="8">
        <f>IFERROR(VLOOKUP(Tbl_Siparişler[[#This Row],[Kategori]]&amp;"-"&amp;Tbl_Siparişler[[#This Row],[Ürün Adı]],Tbl_Ürünler[],11,0)*Tbl_Siparişler[[#This Row],[Adet]],"")</f>
        <v>12916.2</v>
      </c>
    </row>
    <row r="79" spans="2:10" ht="27" customHeight="1" x14ac:dyDescent="0.4">
      <c r="B79" s="9">
        <f>WEEKNUM(Tbl_Siparişler[[#This Row],[Sipariş Alınan Tarih]])</f>
        <v>21</v>
      </c>
      <c r="C79" s="6">
        <v>44335</v>
      </c>
      <c r="D79" s="7" t="s">
        <v>27</v>
      </c>
      <c r="E79" s="7">
        <v>50820</v>
      </c>
      <c r="F79" s="7" t="s">
        <v>111</v>
      </c>
      <c r="G79" s="7" t="s">
        <v>47</v>
      </c>
      <c r="H79" s="7" t="s">
        <v>49</v>
      </c>
      <c r="I79" s="7">
        <v>4</v>
      </c>
      <c r="J79" s="8">
        <f>IFERROR(VLOOKUP(Tbl_Siparişler[[#This Row],[Kategori]]&amp;"-"&amp;Tbl_Siparişler[[#This Row],[Ürün Adı]],Tbl_Ürünler[],11,0)*Tbl_Siparişler[[#This Row],[Adet]],"")</f>
        <v>38279</v>
      </c>
    </row>
    <row r="80" spans="2:10" ht="27" customHeight="1" x14ac:dyDescent="0.4">
      <c r="B80" s="9">
        <f>WEEKNUM(Tbl_Siparişler[[#This Row],[Sipariş Alınan Tarih]])</f>
        <v>2</v>
      </c>
      <c r="C80" s="6">
        <v>44202</v>
      </c>
      <c r="D80" s="7" t="s">
        <v>95</v>
      </c>
      <c r="E80" s="7">
        <v>91300</v>
      </c>
      <c r="F80" s="7" t="s">
        <v>111</v>
      </c>
      <c r="G80" s="7" t="s">
        <v>47</v>
      </c>
      <c r="H80" s="7" t="s">
        <v>48</v>
      </c>
      <c r="I80" s="7">
        <v>5</v>
      </c>
      <c r="J80" s="8">
        <f>IFERROR(VLOOKUP(Tbl_Siparişler[[#This Row],[Kategori]]&amp;"-"&amp;Tbl_Siparişler[[#This Row],[Ürün Adı]],Tbl_Ürünler[],11,0)*Tbl_Siparişler[[#This Row],[Adet]],"")</f>
        <v>40267.5</v>
      </c>
    </row>
    <row r="81" spans="2:10" ht="27" customHeight="1" x14ac:dyDescent="0.4">
      <c r="B81" s="9">
        <f>WEEKNUM(Tbl_Siparişler[[#This Row],[Sipariş Alınan Tarih]])</f>
        <v>12</v>
      </c>
      <c r="C81" s="6">
        <v>44275</v>
      </c>
      <c r="D81" s="7" t="s">
        <v>27</v>
      </c>
      <c r="E81" s="7">
        <v>36336</v>
      </c>
      <c r="F81" s="7" t="s">
        <v>111</v>
      </c>
      <c r="G81" s="7" t="s">
        <v>29</v>
      </c>
      <c r="H81" s="7" t="s">
        <v>30</v>
      </c>
      <c r="I81" s="7">
        <v>1</v>
      </c>
      <c r="J81" s="8">
        <f>IFERROR(VLOOKUP(Tbl_Siparişler[[#This Row],[Kategori]]&amp;"-"&amp;Tbl_Siparişler[[#This Row],[Ürün Adı]],Tbl_Ürünler[],11,0)*Tbl_Siparişler[[#This Row],[Adet]],"")</f>
        <v>8685.2999999999993</v>
      </c>
    </row>
    <row r="82" spans="2:10" ht="27" customHeight="1" x14ac:dyDescent="0.4">
      <c r="B82" s="9">
        <f>WEEKNUM(Tbl_Siparişler[[#This Row],[Sipariş Alınan Tarih]])</f>
        <v>49</v>
      </c>
      <c r="C82" s="6">
        <v>44534</v>
      </c>
      <c r="D82" s="7" t="s">
        <v>27</v>
      </c>
      <c r="E82" s="7">
        <v>57662</v>
      </c>
      <c r="F82" s="7" t="s">
        <v>107</v>
      </c>
      <c r="G82" s="7" t="s">
        <v>98</v>
      </c>
      <c r="H82" s="7" t="s">
        <v>99</v>
      </c>
      <c r="I82" s="7">
        <v>2</v>
      </c>
      <c r="J82" s="8">
        <f>IFERROR(VLOOKUP(Tbl_Siparişler[[#This Row],[Kategori]]&amp;"-"&amp;Tbl_Siparişler[[#This Row],[Ürün Adı]],Tbl_Ürünler[],11,0)*Tbl_Siparişler[[#This Row],[Adet]],"")</f>
        <v>8283.26</v>
      </c>
    </row>
    <row r="83" spans="2:10" ht="27" customHeight="1" x14ac:dyDescent="0.4">
      <c r="B83" s="9">
        <f>WEEKNUM(Tbl_Siparişler[[#This Row],[Sipariş Alınan Tarih]])</f>
        <v>25</v>
      </c>
      <c r="C83" s="6">
        <v>44361</v>
      </c>
      <c r="D83" s="7" t="s">
        <v>24</v>
      </c>
      <c r="E83" s="7">
        <v>40465</v>
      </c>
      <c r="F83" s="7" t="s">
        <v>116</v>
      </c>
      <c r="G83" s="7" t="s">
        <v>98</v>
      </c>
      <c r="H83" s="7" t="s">
        <v>99</v>
      </c>
      <c r="I83" s="7">
        <v>1</v>
      </c>
      <c r="J83" s="8">
        <f>IFERROR(VLOOKUP(Tbl_Siparişler[[#This Row],[Kategori]]&amp;"-"&amp;Tbl_Siparişler[[#This Row],[Ürün Adı]],Tbl_Ürünler[],11,0)*Tbl_Siparişler[[#This Row],[Adet]],"")</f>
        <v>4141.63</v>
      </c>
    </row>
    <row r="84" spans="2:10" ht="27" customHeight="1" x14ac:dyDescent="0.4">
      <c r="B84" s="9">
        <f>WEEKNUM(Tbl_Siparişler[[#This Row],[Sipariş Alınan Tarih]])</f>
        <v>28</v>
      </c>
      <c r="C84" s="6">
        <v>44384</v>
      </c>
      <c r="D84" s="7" t="s">
        <v>95</v>
      </c>
      <c r="E84" s="7">
        <v>77440</v>
      </c>
      <c r="F84" s="7" t="s">
        <v>117</v>
      </c>
      <c r="G84" s="7" t="s">
        <v>43</v>
      </c>
      <c r="H84" s="7" t="s">
        <v>46</v>
      </c>
      <c r="I84" s="7">
        <v>5</v>
      </c>
      <c r="J84" s="8">
        <f>IFERROR(VLOOKUP(Tbl_Siparişler[[#This Row],[Kategori]]&amp;"-"&amp;Tbl_Siparişler[[#This Row],[Ürün Adı]],Tbl_Ürünler[],11,0)*Tbl_Siparişler[[#This Row],[Adet]],"")</f>
        <v>66717</v>
      </c>
    </row>
    <row r="85" spans="2:10" ht="27" customHeight="1" x14ac:dyDescent="0.4">
      <c r="B85" s="9">
        <f>WEEKNUM(Tbl_Siparişler[[#This Row],[Sipariş Alınan Tarih]])</f>
        <v>12</v>
      </c>
      <c r="C85" s="6">
        <v>44271</v>
      </c>
      <c r="D85" s="7" t="s">
        <v>95</v>
      </c>
      <c r="E85" s="7">
        <v>30000</v>
      </c>
      <c r="F85" s="7" t="s">
        <v>107</v>
      </c>
      <c r="G85" s="7" t="s">
        <v>98</v>
      </c>
      <c r="H85" s="7" t="s">
        <v>100</v>
      </c>
      <c r="I85" s="7">
        <v>4</v>
      </c>
      <c r="J85" s="8">
        <f>IFERROR(VLOOKUP(Tbl_Siparişler[[#This Row],[Kategori]]&amp;"-"&amp;Tbl_Siparişler[[#This Row],[Ürün Adı]],Tbl_Ürünler[],11,0)*Tbl_Siparişler[[#This Row],[Adet]],"")</f>
        <v>36940.800000000003</v>
      </c>
    </row>
    <row r="86" spans="2:10" ht="27" customHeight="1" x14ac:dyDescent="0.4">
      <c r="B86" s="9">
        <f>WEEKNUM(Tbl_Siparişler[[#This Row],[Sipariş Alınan Tarih]])</f>
        <v>34</v>
      </c>
      <c r="C86" s="6">
        <v>44427</v>
      </c>
      <c r="D86" s="7" t="s">
        <v>26</v>
      </c>
      <c r="E86" s="7">
        <v>73309</v>
      </c>
      <c r="F86" s="7" t="s">
        <v>111</v>
      </c>
      <c r="G86" s="7" t="s">
        <v>43</v>
      </c>
      <c r="H86" s="7" t="s">
        <v>46</v>
      </c>
      <c r="I86" s="7">
        <v>1</v>
      </c>
      <c r="J86" s="8">
        <f>IFERROR(VLOOKUP(Tbl_Siparişler[[#This Row],[Kategori]]&amp;"-"&amp;Tbl_Siparişler[[#This Row],[Ürün Adı]],Tbl_Ürünler[],11,0)*Tbl_Siparişler[[#This Row],[Adet]],"")</f>
        <v>13343.400000000001</v>
      </c>
    </row>
    <row r="87" spans="2:10" ht="27" customHeight="1" x14ac:dyDescent="0.4">
      <c r="B87" s="9">
        <f>WEEKNUM(Tbl_Siparişler[[#This Row],[Sipariş Alınan Tarih]])</f>
        <v>48</v>
      </c>
      <c r="C87" s="6">
        <v>44526</v>
      </c>
      <c r="D87" s="7" t="s">
        <v>24</v>
      </c>
      <c r="E87" s="7">
        <v>62846</v>
      </c>
      <c r="F87" s="7" t="s">
        <v>114</v>
      </c>
      <c r="G87" s="7" t="s">
        <v>98</v>
      </c>
      <c r="H87" s="7" t="s">
        <v>103</v>
      </c>
      <c r="I87" s="7">
        <v>4</v>
      </c>
      <c r="J87" s="8">
        <f>IFERROR(VLOOKUP(Tbl_Siparişler[[#This Row],[Kategori]]&amp;"-"&amp;Tbl_Siparişler[[#This Row],[Ürün Adı]],Tbl_Ürünler[],11,0)*Tbl_Siparişler[[#This Row],[Adet]],"")</f>
        <v>23850</v>
      </c>
    </row>
    <row r="88" spans="2:10" ht="27" customHeight="1" x14ac:dyDescent="0.4">
      <c r="B88" s="9">
        <f>WEEKNUM(Tbl_Siparişler[[#This Row],[Sipariş Alınan Tarih]])</f>
        <v>33</v>
      </c>
      <c r="C88" s="6">
        <v>44416</v>
      </c>
      <c r="D88" s="7" t="s">
        <v>106</v>
      </c>
      <c r="E88" s="7">
        <v>84622</v>
      </c>
      <c r="F88" s="7" t="s">
        <v>108</v>
      </c>
      <c r="G88" s="7" t="s">
        <v>98</v>
      </c>
      <c r="H88" s="7" t="s">
        <v>100</v>
      </c>
      <c r="I88" s="7">
        <v>3</v>
      </c>
      <c r="J88" s="8">
        <f>IFERROR(VLOOKUP(Tbl_Siparişler[[#This Row],[Kategori]]&amp;"-"&amp;Tbl_Siparişler[[#This Row],[Ürün Adı]],Tbl_Ürünler[],11,0)*Tbl_Siparişler[[#This Row],[Adet]],"")</f>
        <v>27705.600000000002</v>
      </c>
    </row>
    <row r="89" spans="2:10" ht="27" customHeight="1" x14ac:dyDescent="0.4">
      <c r="B89" s="9">
        <f>WEEKNUM(Tbl_Siparişler[[#This Row],[Sipariş Alınan Tarih]])</f>
        <v>46</v>
      </c>
      <c r="C89" s="6">
        <v>44511</v>
      </c>
      <c r="D89" s="7" t="s">
        <v>24</v>
      </c>
      <c r="E89" s="7">
        <v>78275</v>
      </c>
      <c r="F89" s="7" t="s">
        <v>117</v>
      </c>
      <c r="G89" s="7" t="s">
        <v>29</v>
      </c>
      <c r="H89" s="7" t="s">
        <v>37</v>
      </c>
      <c r="I89" s="7">
        <v>1</v>
      </c>
      <c r="J89" s="8">
        <f>IFERROR(VLOOKUP(Tbl_Siparişler[[#This Row],[Kategori]]&amp;"-"&amp;Tbl_Siparişler[[#This Row],[Ürün Adı]],Tbl_Ürünler[],11,0)*Tbl_Siparişler[[#This Row],[Adet]],"")</f>
        <v>9800.4500000000007</v>
      </c>
    </row>
    <row r="90" spans="2:10" ht="27" customHeight="1" x14ac:dyDescent="0.4">
      <c r="B90" s="9">
        <f>WEEKNUM(Tbl_Siparişler[[#This Row],[Sipariş Alınan Tarih]])</f>
        <v>6</v>
      </c>
      <c r="C90" s="6">
        <v>44232</v>
      </c>
      <c r="D90" s="7" t="s">
        <v>95</v>
      </c>
      <c r="E90" s="7">
        <v>45521</v>
      </c>
      <c r="F90" s="7" t="s">
        <v>109</v>
      </c>
      <c r="G90" s="7" t="s">
        <v>98</v>
      </c>
      <c r="H90" s="7" t="s">
        <v>103</v>
      </c>
      <c r="I90" s="7">
        <v>2</v>
      </c>
      <c r="J90" s="8">
        <f>IFERROR(VLOOKUP(Tbl_Siparişler[[#This Row],[Kategori]]&amp;"-"&amp;Tbl_Siparişler[[#This Row],[Ürün Adı]],Tbl_Ürünler[],11,0)*Tbl_Siparişler[[#This Row],[Adet]],"")</f>
        <v>11925</v>
      </c>
    </row>
    <row r="91" spans="2:10" ht="27" customHeight="1" x14ac:dyDescent="0.4">
      <c r="B91" s="9">
        <f>WEEKNUM(Tbl_Siparişler[[#This Row],[Sipariş Alınan Tarih]])</f>
        <v>45</v>
      </c>
      <c r="C91" s="6">
        <v>44506</v>
      </c>
      <c r="D91" s="7" t="s">
        <v>28</v>
      </c>
      <c r="E91" s="7">
        <v>17620</v>
      </c>
      <c r="F91" s="7" t="s">
        <v>117</v>
      </c>
      <c r="G91" s="7" t="s">
        <v>29</v>
      </c>
      <c r="H91" s="7" t="s">
        <v>30</v>
      </c>
      <c r="I91" s="7">
        <v>5</v>
      </c>
      <c r="J91" s="8">
        <f>IFERROR(VLOOKUP(Tbl_Siparişler[[#This Row],[Kategori]]&amp;"-"&amp;Tbl_Siparişler[[#This Row],[Ürün Adı]],Tbl_Ürünler[],11,0)*Tbl_Siparişler[[#This Row],[Adet]],"")</f>
        <v>43426.5</v>
      </c>
    </row>
    <row r="92" spans="2:10" ht="27" customHeight="1" x14ac:dyDescent="0.4">
      <c r="B92" s="9">
        <f>WEEKNUM(Tbl_Siparişler[[#This Row],[Sipariş Alınan Tarih]])</f>
        <v>38</v>
      </c>
      <c r="C92" s="6">
        <v>44454</v>
      </c>
      <c r="D92" s="7" t="s">
        <v>28</v>
      </c>
      <c r="E92" s="7">
        <v>52682</v>
      </c>
      <c r="F92" s="7" t="s">
        <v>112</v>
      </c>
      <c r="G92" s="7" t="s">
        <v>98</v>
      </c>
      <c r="H92" s="7" t="s">
        <v>103</v>
      </c>
      <c r="I92" s="7">
        <v>5</v>
      </c>
      <c r="J92" s="8">
        <f>IFERROR(VLOOKUP(Tbl_Siparişler[[#This Row],[Kategori]]&amp;"-"&amp;Tbl_Siparişler[[#This Row],[Ürün Adı]],Tbl_Ürünler[],11,0)*Tbl_Siparişler[[#This Row],[Adet]],"")</f>
        <v>29812.5</v>
      </c>
    </row>
    <row r="93" spans="2:10" ht="27" customHeight="1" x14ac:dyDescent="0.4">
      <c r="B93" s="9">
        <f>WEEKNUM(Tbl_Siparişler[[#This Row],[Sipariş Alınan Tarih]])</f>
        <v>32</v>
      </c>
      <c r="C93" s="6">
        <v>44415</v>
      </c>
      <c r="D93" s="7" t="s">
        <v>95</v>
      </c>
      <c r="E93" s="7">
        <v>85763</v>
      </c>
      <c r="F93" s="7" t="s">
        <v>118</v>
      </c>
      <c r="G93" s="7" t="s">
        <v>47</v>
      </c>
      <c r="H93" s="7" t="s">
        <v>49</v>
      </c>
      <c r="I93" s="7">
        <v>5</v>
      </c>
      <c r="J93" s="8">
        <f>IFERROR(VLOOKUP(Tbl_Siparişler[[#This Row],[Kategori]]&amp;"-"&amp;Tbl_Siparişler[[#This Row],[Ürün Adı]],Tbl_Ürünler[],11,0)*Tbl_Siparişler[[#This Row],[Adet]],"")</f>
        <v>47848.75</v>
      </c>
    </row>
    <row r="94" spans="2:10" ht="27" customHeight="1" x14ac:dyDescent="0.4">
      <c r="B94" s="9">
        <f>WEEKNUM(Tbl_Siparişler[[#This Row],[Sipariş Alınan Tarih]])</f>
        <v>4</v>
      </c>
      <c r="C94" s="6">
        <v>44216</v>
      </c>
      <c r="D94" s="7" t="s">
        <v>95</v>
      </c>
      <c r="E94" s="7">
        <v>94100</v>
      </c>
      <c r="F94" s="7" t="s">
        <v>114</v>
      </c>
      <c r="G94" s="7" t="s">
        <v>47</v>
      </c>
      <c r="H94" s="7" t="s">
        <v>48</v>
      </c>
      <c r="I94" s="7">
        <v>4</v>
      </c>
      <c r="J94" s="8">
        <f>IFERROR(VLOOKUP(Tbl_Siparişler[[#This Row],[Kategori]]&amp;"-"&amp;Tbl_Siparişler[[#This Row],[Ürün Adı]],Tbl_Ürünler[],11,0)*Tbl_Siparişler[[#This Row],[Adet]],"")</f>
        <v>32214</v>
      </c>
    </row>
    <row r="95" spans="2:10" ht="27" customHeight="1" x14ac:dyDescent="0.4">
      <c r="B95" s="9">
        <f>WEEKNUM(Tbl_Siparişler[[#This Row],[Sipariş Alınan Tarih]])</f>
        <v>43</v>
      </c>
      <c r="C95" s="6">
        <v>44486</v>
      </c>
      <c r="D95" s="7" t="s">
        <v>95</v>
      </c>
      <c r="E95" s="7">
        <v>95586</v>
      </c>
      <c r="F95" s="7" t="s">
        <v>110</v>
      </c>
      <c r="G95" s="7" t="s">
        <v>43</v>
      </c>
      <c r="H95" s="7" t="s">
        <v>46</v>
      </c>
      <c r="I95" s="7">
        <v>2</v>
      </c>
      <c r="J95" s="8">
        <f>IFERROR(VLOOKUP(Tbl_Siparişler[[#This Row],[Kategori]]&amp;"-"&amp;Tbl_Siparişler[[#This Row],[Ürün Adı]],Tbl_Ürünler[],11,0)*Tbl_Siparişler[[#This Row],[Adet]],"")</f>
        <v>26686.800000000003</v>
      </c>
    </row>
    <row r="96" spans="2:10" ht="27" customHeight="1" x14ac:dyDescent="0.4">
      <c r="B96" s="9">
        <f>WEEKNUM(Tbl_Siparişler[[#This Row],[Sipariş Alınan Tarih]])</f>
        <v>10</v>
      </c>
      <c r="C96" s="6">
        <v>44256</v>
      </c>
      <c r="D96" s="7" t="s">
        <v>95</v>
      </c>
      <c r="E96" s="7">
        <v>23344</v>
      </c>
      <c r="F96" s="7" t="s">
        <v>115</v>
      </c>
      <c r="G96" s="7" t="s">
        <v>98</v>
      </c>
      <c r="H96" s="7" t="s">
        <v>103</v>
      </c>
      <c r="I96" s="7">
        <v>3</v>
      </c>
      <c r="J96" s="8">
        <f>IFERROR(VLOOKUP(Tbl_Siparişler[[#This Row],[Kategori]]&amp;"-"&amp;Tbl_Siparişler[[#This Row],[Ürün Adı]],Tbl_Ürünler[],11,0)*Tbl_Siparişler[[#This Row],[Adet]],"")</f>
        <v>17887.5</v>
      </c>
    </row>
    <row r="97" spans="2:10" ht="27" customHeight="1" x14ac:dyDescent="0.4">
      <c r="B97" s="9">
        <f>WEEKNUM(Tbl_Siparişler[[#This Row],[Sipariş Alınan Tarih]])</f>
        <v>10</v>
      </c>
      <c r="C97" s="6">
        <v>44259</v>
      </c>
      <c r="D97" s="7" t="s">
        <v>24</v>
      </c>
      <c r="E97" s="7">
        <v>47180</v>
      </c>
      <c r="F97" s="7" t="s">
        <v>111</v>
      </c>
      <c r="G97" s="7" t="s">
        <v>98</v>
      </c>
      <c r="H97" s="7" t="s">
        <v>103</v>
      </c>
      <c r="I97" s="7">
        <v>1</v>
      </c>
      <c r="J97" s="8">
        <f>IFERROR(VLOOKUP(Tbl_Siparişler[[#This Row],[Kategori]]&amp;"-"&amp;Tbl_Siparişler[[#This Row],[Ürün Adı]],Tbl_Ürünler[],11,0)*Tbl_Siparişler[[#This Row],[Adet]],"")</f>
        <v>5962.5</v>
      </c>
    </row>
    <row r="98" spans="2:10" ht="27" customHeight="1" x14ac:dyDescent="0.4">
      <c r="B98" s="9">
        <f>WEEKNUM(Tbl_Siparişler[[#This Row],[Sipariş Alınan Tarih]])</f>
        <v>13</v>
      </c>
      <c r="C98" s="6">
        <v>44280</v>
      </c>
      <c r="D98" s="7" t="s">
        <v>28</v>
      </c>
      <c r="E98" s="7">
        <v>51690</v>
      </c>
      <c r="F98" s="7" t="s">
        <v>115</v>
      </c>
      <c r="G98" s="7" t="s">
        <v>98</v>
      </c>
      <c r="H98" s="7" t="s">
        <v>99</v>
      </c>
      <c r="I98" s="7">
        <v>1</v>
      </c>
      <c r="J98" s="8">
        <f>IFERROR(VLOOKUP(Tbl_Siparişler[[#This Row],[Kategori]]&amp;"-"&amp;Tbl_Siparişler[[#This Row],[Ürün Adı]],Tbl_Ürünler[],11,0)*Tbl_Siparişler[[#This Row],[Adet]],"")</f>
        <v>4141.63</v>
      </c>
    </row>
    <row r="99" spans="2:10" ht="27" customHeight="1" x14ac:dyDescent="0.4">
      <c r="B99" s="9">
        <f>WEEKNUM(Tbl_Siparişler[[#This Row],[Sipariş Alınan Tarih]])</f>
        <v>23</v>
      </c>
      <c r="C99" s="6">
        <v>44349</v>
      </c>
      <c r="D99" s="7" t="s">
        <v>95</v>
      </c>
      <c r="E99" s="7">
        <v>86364</v>
      </c>
      <c r="F99" s="7" t="s">
        <v>112</v>
      </c>
      <c r="G99" s="7" t="s">
        <v>29</v>
      </c>
      <c r="H99" s="7" t="s">
        <v>42</v>
      </c>
      <c r="I99" s="7">
        <v>1</v>
      </c>
      <c r="J99" s="8">
        <f>IFERROR(VLOOKUP(Tbl_Siparişler[[#This Row],[Kategori]]&amp;"-"&amp;Tbl_Siparişler[[#This Row],[Ürün Adı]],Tbl_Ürünler[],11,0)*Tbl_Siparişler[[#This Row],[Adet]],"")</f>
        <v>14066</v>
      </c>
    </row>
    <row r="100" spans="2:10" ht="27" customHeight="1" x14ac:dyDescent="0.4">
      <c r="B100" s="9">
        <f>WEEKNUM(Tbl_Siparişler[[#This Row],[Sipariş Alınan Tarih]])</f>
        <v>46</v>
      </c>
      <c r="C100" s="6">
        <v>44508</v>
      </c>
      <c r="D100" s="7" t="s">
        <v>28</v>
      </c>
      <c r="E100" s="7">
        <v>17464</v>
      </c>
      <c r="F100" s="7" t="s">
        <v>108</v>
      </c>
      <c r="G100" s="7" t="s">
        <v>29</v>
      </c>
      <c r="H100" s="7" t="s">
        <v>37</v>
      </c>
      <c r="I100" s="7">
        <v>1</v>
      </c>
      <c r="J100" s="8">
        <f>IFERROR(VLOOKUP(Tbl_Siparişler[[#This Row],[Kategori]]&amp;"-"&amp;Tbl_Siparişler[[#This Row],[Ürün Adı]],Tbl_Ürünler[],11,0)*Tbl_Siparişler[[#This Row],[Adet]],"")</f>
        <v>9800.4500000000007</v>
      </c>
    </row>
    <row r="101" spans="2:10" ht="27" customHeight="1" x14ac:dyDescent="0.4">
      <c r="B101" s="9">
        <f>WEEKNUM(Tbl_Siparişler[[#This Row],[Sipariş Alınan Tarih]])</f>
        <v>51</v>
      </c>
      <c r="C101" s="6">
        <v>44546</v>
      </c>
      <c r="D101" s="7" t="s">
        <v>25</v>
      </c>
      <c r="E101" s="7">
        <v>59857</v>
      </c>
      <c r="F101" s="7" t="s">
        <v>108</v>
      </c>
      <c r="G101" s="7" t="s">
        <v>98</v>
      </c>
      <c r="H101" s="7" t="s">
        <v>103</v>
      </c>
      <c r="I101" s="7">
        <v>4</v>
      </c>
      <c r="J101" s="8">
        <f>IFERROR(VLOOKUP(Tbl_Siparişler[[#This Row],[Kategori]]&amp;"-"&amp;Tbl_Siparişler[[#This Row],[Ürün Adı]],Tbl_Ürünler[],11,0)*Tbl_Siparişler[[#This Row],[Adet]],"")</f>
        <v>23850</v>
      </c>
    </row>
    <row r="102" spans="2:10" ht="27" customHeight="1" x14ac:dyDescent="0.4">
      <c r="B102" s="9">
        <f>WEEKNUM(Tbl_Siparişler[[#This Row],[Sipariş Alınan Tarih]])</f>
        <v>10</v>
      </c>
      <c r="C102" s="6">
        <v>44259</v>
      </c>
      <c r="D102" s="7" t="s">
        <v>26</v>
      </c>
      <c r="E102" s="7">
        <v>73321</v>
      </c>
      <c r="F102" s="7" t="s">
        <v>111</v>
      </c>
      <c r="G102" s="7" t="s">
        <v>43</v>
      </c>
      <c r="H102" s="7" t="s">
        <v>46</v>
      </c>
      <c r="I102" s="7">
        <v>2</v>
      </c>
      <c r="J102" s="8">
        <f>IFERROR(VLOOKUP(Tbl_Siparişler[[#This Row],[Kategori]]&amp;"-"&amp;Tbl_Siparişler[[#This Row],[Ürün Adı]],Tbl_Ürünler[],11,0)*Tbl_Siparişler[[#This Row],[Adet]],"")</f>
        <v>26686.800000000003</v>
      </c>
    </row>
    <row r="103" spans="2:10" ht="27" customHeight="1" x14ac:dyDescent="0.4">
      <c r="B103" s="9">
        <f>WEEKNUM(Tbl_Siparişler[[#This Row],[Sipariş Alınan Tarih]])</f>
        <v>29</v>
      </c>
      <c r="C103" s="6">
        <v>44392</v>
      </c>
      <c r="D103" s="7" t="s">
        <v>24</v>
      </c>
      <c r="E103" s="7">
        <v>13992</v>
      </c>
      <c r="F103" s="7" t="s">
        <v>114</v>
      </c>
      <c r="G103" s="7" t="s">
        <v>43</v>
      </c>
      <c r="H103" s="7" t="s">
        <v>50</v>
      </c>
      <c r="I103" s="7">
        <v>4</v>
      </c>
      <c r="J103" s="8">
        <f>IFERROR(VLOOKUP(Tbl_Siparişler[[#This Row],[Kategori]]&amp;"-"&amp;Tbl_Siparişler[[#This Row],[Ürün Adı]],Tbl_Ürünler[],11,0)*Tbl_Siparişler[[#This Row],[Adet]],"")</f>
        <v>25832.400000000001</v>
      </c>
    </row>
    <row r="104" spans="2:10" ht="27" customHeight="1" x14ac:dyDescent="0.4">
      <c r="B104" s="9">
        <f>WEEKNUM(Tbl_Siparişler[[#This Row],[Sipariş Alınan Tarih]])</f>
        <v>1</v>
      </c>
      <c r="C104" s="6">
        <v>44198</v>
      </c>
      <c r="D104" s="7" t="s">
        <v>27</v>
      </c>
      <c r="E104" s="7">
        <v>25206</v>
      </c>
      <c r="F104" s="7" t="s">
        <v>110</v>
      </c>
      <c r="G104" s="7" t="s">
        <v>29</v>
      </c>
      <c r="H104" s="7" t="s">
        <v>37</v>
      </c>
      <c r="I104" s="7">
        <v>3</v>
      </c>
      <c r="J104" s="8">
        <f>IFERROR(VLOOKUP(Tbl_Siparişler[[#This Row],[Kategori]]&amp;"-"&amp;Tbl_Siparişler[[#This Row],[Ürün Adı]],Tbl_Ürünler[],11,0)*Tbl_Siparişler[[#This Row],[Adet]],"")</f>
        <v>29401.350000000002</v>
      </c>
    </row>
    <row r="105" spans="2:10" ht="27" customHeight="1" x14ac:dyDescent="0.4">
      <c r="B105" s="9">
        <f>WEEKNUM(Tbl_Siparişler[[#This Row],[Sipariş Alınan Tarih]])</f>
        <v>2</v>
      </c>
      <c r="C105" s="6">
        <v>44201</v>
      </c>
      <c r="D105" s="7" t="s">
        <v>26</v>
      </c>
      <c r="E105" s="7">
        <v>74666</v>
      </c>
      <c r="F105" s="7" t="s">
        <v>107</v>
      </c>
      <c r="G105" s="7" t="s">
        <v>98</v>
      </c>
      <c r="H105" s="7" t="s">
        <v>99</v>
      </c>
      <c r="I105" s="7">
        <v>5</v>
      </c>
      <c r="J105" s="8">
        <f>IFERROR(VLOOKUP(Tbl_Siparişler[[#This Row],[Kategori]]&amp;"-"&amp;Tbl_Siparişler[[#This Row],[Ürün Adı]],Tbl_Ürünler[],11,0)*Tbl_Siparişler[[#This Row],[Adet]],"")</f>
        <v>20708.150000000001</v>
      </c>
    </row>
    <row r="106" spans="2:10" ht="27" customHeight="1" x14ac:dyDescent="0.4">
      <c r="B106" s="9">
        <f>WEEKNUM(Tbl_Siparişler[[#This Row],[Sipariş Alınan Tarih]])</f>
        <v>26</v>
      </c>
      <c r="C106" s="6">
        <v>44372</v>
      </c>
      <c r="D106" s="7" t="s">
        <v>24</v>
      </c>
      <c r="E106" s="7">
        <v>14183</v>
      </c>
      <c r="F106" s="7" t="s">
        <v>116</v>
      </c>
      <c r="G106" s="7" t="s">
        <v>47</v>
      </c>
      <c r="H106" s="7" t="s">
        <v>49</v>
      </c>
      <c r="I106" s="7">
        <v>1</v>
      </c>
      <c r="J106" s="8">
        <f>IFERROR(VLOOKUP(Tbl_Siparişler[[#This Row],[Kategori]]&amp;"-"&amp;Tbl_Siparişler[[#This Row],[Ürün Adı]],Tbl_Ürünler[],11,0)*Tbl_Siparişler[[#This Row],[Adet]],"")</f>
        <v>9569.75</v>
      </c>
    </row>
    <row r="107" spans="2:10" ht="27" customHeight="1" x14ac:dyDescent="0.4">
      <c r="B107" s="9">
        <f>WEEKNUM(Tbl_Siparişler[[#This Row],[Sipariş Alınan Tarih]])</f>
        <v>24</v>
      </c>
      <c r="C107" s="6">
        <v>44355</v>
      </c>
      <c r="D107" s="7" t="s">
        <v>28</v>
      </c>
      <c r="E107" s="7">
        <v>12652</v>
      </c>
      <c r="F107" s="7" t="s">
        <v>117</v>
      </c>
      <c r="G107" s="7" t="s">
        <v>98</v>
      </c>
      <c r="H107" s="7" t="s">
        <v>103</v>
      </c>
      <c r="I107" s="7">
        <v>1</v>
      </c>
      <c r="J107" s="8">
        <f>IFERROR(VLOOKUP(Tbl_Siparişler[[#This Row],[Kategori]]&amp;"-"&amp;Tbl_Siparişler[[#This Row],[Ürün Adı]],Tbl_Ürünler[],11,0)*Tbl_Siparişler[[#This Row],[Adet]],"")</f>
        <v>5962.5</v>
      </c>
    </row>
    <row r="108" spans="2:10" ht="27" customHeight="1" x14ac:dyDescent="0.4">
      <c r="B108" s="9">
        <f>WEEKNUM(Tbl_Siparişler[[#This Row],[Sipariş Alınan Tarih]])</f>
        <v>42</v>
      </c>
      <c r="C108" s="6">
        <v>44480</v>
      </c>
      <c r="D108" s="7" t="s">
        <v>27</v>
      </c>
      <c r="E108" s="7">
        <v>49948</v>
      </c>
      <c r="F108" s="7" t="s">
        <v>116</v>
      </c>
      <c r="G108" s="7" t="s">
        <v>47</v>
      </c>
      <c r="H108" s="7" t="s">
        <v>48</v>
      </c>
      <c r="I108" s="7">
        <v>1</v>
      </c>
      <c r="J108" s="8">
        <f>IFERROR(VLOOKUP(Tbl_Siparişler[[#This Row],[Kategori]]&amp;"-"&amp;Tbl_Siparişler[[#This Row],[Ürün Adı]],Tbl_Ürünler[],11,0)*Tbl_Siparişler[[#This Row],[Adet]],"")</f>
        <v>8053.5</v>
      </c>
    </row>
    <row r="109" spans="2:10" ht="27" customHeight="1" x14ac:dyDescent="0.4">
      <c r="B109" s="9">
        <f>WEEKNUM(Tbl_Siparişler[[#This Row],[Sipariş Alınan Tarih]])</f>
        <v>6</v>
      </c>
      <c r="C109" s="6">
        <v>44231</v>
      </c>
      <c r="D109" s="7" t="s">
        <v>28</v>
      </c>
      <c r="E109" s="7">
        <v>45016</v>
      </c>
      <c r="F109" s="7" t="s">
        <v>111</v>
      </c>
      <c r="G109" s="7" t="s">
        <v>98</v>
      </c>
      <c r="H109" s="7" t="s">
        <v>99</v>
      </c>
      <c r="I109" s="7">
        <v>3</v>
      </c>
      <c r="J109" s="8">
        <f>IFERROR(VLOOKUP(Tbl_Siparişler[[#This Row],[Kategori]]&amp;"-"&amp;Tbl_Siparişler[[#This Row],[Ürün Adı]],Tbl_Ürünler[],11,0)*Tbl_Siparişler[[#This Row],[Adet]],"")</f>
        <v>12424.89</v>
      </c>
    </row>
    <row r="110" spans="2:10" ht="27" customHeight="1" x14ac:dyDescent="0.4">
      <c r="B110" s="9">
        <f>WEEKNUM(Tbl_Siparişler[[#This Row],[Sipariş Alınan Tarih]])</f>
        <v>9</v>
      </c>
      <c r="C110" s="6">
        <v>44252</v>
      </c>
      <c r="D110" s="7" t="s">
        <v>28</v>
      </c>
      <c r="E110" s="7">
        <v>64488</v>
      </c>
      <c r="F110" s="7" t="s">
        <v>118</v>
      </c>
      <c r="G110" s="7" t="s">
        <v>29</v>
      </c>
      <c r="H110" s="7" t="s">
        <v>42</v>
      </c>
      <c r="I110" s="7">
        <v>2</v>
      </c>
      <c r="J110" s="8">
        <f>IFERROR(VLOOKUP(Tbl_Siparişler[[#This Row],[Kategori]]&amp;"-"&amp;Tbl_Siparişler[[#This Row],[Ürün Adı]],Tbl_Ürünler[],11,0)*Tbl_Siparişler[[#This Row],[Adet]],"")</f>
        <v>28132</v>
      </c>
    </row>
    <row r="111" spans="2:10" ht="27" customHeight="1" x14ac:dyDescent="0.4">
      <c r="B111" s="9">
        <f>WEEKNUM(Tbl_Siparişler[[#This Row],[Sipariş Alınan Tarih]])</f>
        <v>24</v>
      </c>
      <c r="C111" s="6">
        <v>44354</v>
      </c>
      <c r="D111" s="7" t="s">
        <v>24</v>
      </c>
      <c r="E111" s="7">
        <v>47104</v>
      </c>
      <c r="F111" s="7" t="s">
        <v>115</v>
      </c>
      <c r="G111" s="7" t="s">
        <v>47</v>
      </c>
      <c r="H111" s="7" t="s">
        <v>49</v>
      </c>
      <c r="I111" s="7">
        <v>3</v>
      </c>
      <c r="J111" s="8">
        <f>IFERROR(VLOOKUP(Tbl_Siparişler[[#This Row],[Kategori]]&amp;"-"&amp;Tbl_Siparişler[[#This Row],[Ürün Adı]],Tbl_Ürünler[],11,0)*Tbl_Siparişler[[#This Row],[Adet]],"")</f>
        <v>28709.25</v>
      </c>
    </row>
    <row r="112" spans="2:10" ht="27" customHeight="1" x14ac:dyDescent="0.4">
      <c r="B112" s="9">
        <f>WEEKNUM(Tbl_Siparişler[[#This Row],[Sipariş Alınan Tarih]])</f>
        <v>28</v>
      </c>
      <c r="C112" s="6">
        <v>44381</v>
      </c>
      <c r="D112" s="7" t="s">
        <v>95</v>
      </c>
      <c r="E112" s="7">
        <v>78307</v>
      </c>
      <c r="F112" s="7" t="s">
        <v>118</v>
      </c>
      <c r="G112" s="7" t="s">
        <v>43</v>
      </c>
      <c r="H112" s="7" t="s">
        <v>45</v>
      </c>
      <c r="I112" s="7">
        <v>5</v>
      </c>
      <c r="J112" s="8">
        <f>IFERROR(VLOOKUP(Tbl_Siparişler[[#This Row],[Kategori]]&amp;"-"&amp;Tbl_Siparişler[[#This Row],[Ürün Adı]],Tbl_Ürünler[],11,0)*Tbl_Siparişler[[#This Row],[Adet]],"")</f>
        <v>48297</v>
      </c>
    </row>
    <row r="113" spans="2:10" ht="27" customHeight="1" x14ac:dyDescent="0.4">
      <c r="B113" s="9">
        <f>WEEKNUM(Tbl_Siparişler[[#This Row],[Sipariş Alınan Tarih]])</f>
        <v>14</v>
      </c>
      <c r="C113" s="6">
        <v>44288</v>
      </c>
      <c r="D113" s="7" t="s">
        <v>106</v>
      </c>
      <c r="E113" s="7">
        <v>43915</v>
      </c>
      <c r="F113" s="7" t="s">
        <v>111</v>
      </c>
      <c r="G113" s="7" t="s">
        <v>47</v>
      </c>
      <c r="H113" s="7" t="s">
        <v>49</v>
      </c>
      <c r="I113" s="7">
        <v>4</v>
      </c>
      <c r="J113" s="8">
        <f>IFERROR(VLOOKUP(Tbl_Siparişler[[#This Row],[Kategori]]&amp;"-"&amp;Tbl_Siparişler[[#This Row],[Ürün Adı]],Tbl_Ürünler[],11,0)*Tbl_Siparişler[[#This Row],[Adet]],"")</f>
        <v>38279</v>
      </c>
    </row>
    <row r="114" spans="2:10" ht="27" customHeight="1" x14ac:dyDescent="0.4">
      <c r="B114" s="9">
        <f>WEEKNUM(Tbl_Siparişler[[#This Row],[Sipariş Alınan Tarih]])</f>
        <v>27</v>
      </c>
      <c r="C114" s="6">
        <v>44379</v>
      </c>
      <c r="D114" s="7" t="s">
        <v>95</v>
      </c>
      <c r="E114" s="7">
        <v>25989</v>
      </c>
      <c r="F114" s="7" t="s">
        <v>115</v>
      </c>
      <c r="G114" s="7" t="s">
        <v>47</v>
      </c>
      <c r="H114" s="7" t="s">
        <v>48</v>
      </c>
      <c r="I114" s="7">
        <v>1</v>
      </c>
      <c r="J114" s="8">
        <f>IFERROR(VLOOKUP(Tbl_Siparişler[[#This Row],[Kategori]]&amp;"-"&amp;Tbl_Siparişler[[#This Row],[Ürün Adı]],Tbl_Ürünler[],11,0)*Tbl_Siparişler[[#This Row],[Adet]],"")</f>
        <v>8053.5</v>
      </c>
    </row>
    <row r="115" spans="2:10" ht="27" customHeight="1" x14ac:dyDescent="0.4">
      <c r="B115" s="9">
        <f>WEEKNUM(Tbl_Siparişler[[#This Row],[Sipariş Alınan Tarih]])</f>
        <v>30</v>
      </c>
      <c r="C115" s="6">
        <v>44398</v>
      </c>
      <c r="D115" s="7" t="s">
        <v>106</v>
      </c>
      <c r="E115" s="7">
        <v>40540</v>
      </c>
      <c r="F115" s="7" t="s">
        <v>107</v>
      </c>
      <c r="G115" s="7" t="s">
        <v>43</v>
      </c>
      <c r="H115" s="7" t="s">
        <v>50</v>
      </c>
      <c r="I115" s="7">
        <v>2</v>
      </c>
      <c r="J115" s="8">
        <f>IFERROR(VLOOKUP(Tbl_Siparişler[[#This Row],[Kategori]]&amp;"-"&amp;Tbl_Siparişler[[#This Row],[Ürün Adı]],Tbl_Ürünler[],11,0)*Tbl_Siparişler[[#This Row],[Adet]],"")</f>
        <v>12916.2</v>
      </c>
    </row>
    <row r="116" spans="2:10" ht="27" customHeight="1" x14ac:dyDescent="0.4">
      <c r="B116" s="9">
        <f>WEEKNUM(Tbl_Siparişler[[#This Row],[Sipariş Alınan Tarih]])</f>
        <v>33</v>
      </c>
      <c r="C116" s="6">
        <v>44417</v>
      </c>
      <c r="D116" s="7" t="s">
        <v>106</v>
      </c>
      <c r="E116" s="7">
        <v>92343</v>
      </c>
      <c r="F116" s="7" t="s">
        <v>114</v>
      </c>
      <c r="G116" s="7" t="s">
        <v>47</v>
      </c>
      <c r="H116" s="7" t="s">
        <v>48</v>
      </c>
      <c r="I116" s="7">
        <v>3</v>
      </c>
      <c r="J116" s="8">
        <f>IFERROR(VLOOKUP(Tbl_Siparişler[[#This Row],[Kategori]]&amp;"-"&amp;Tbl_Siparişler[[#This Row],[Ürün Adı]],Tbl_Ürünler[],11,0)*Tbl_Siparişler[[#This Row],[Adet]],"")</f>
        <v>24160.5</v>
      </c>
    </row>
    <row r="117" spans="2:10" ht="27" customHeight="1" x14ac:dyDescent="0.4">
      <c r="B117" s="9">
        <f>WEEKNUM(Tbl_Siparişler[[#This Row],[Sipariş Alınan Tarih]])</f>
        <v>16</v>
      </c>
      <c r="C117" s="6">
        <v>44299</v>
      </c>
      <c r="D117" s="7" t="s">
        <v>25</v>
      </c>
      <c r="E117" s="7">
        <v>53831</v>
      </c>
      <c r="F117" s="7" t="s">
        <v>114</v>
      </c>
      <c r="G117" s="7" t="s">
        <v>98</v>
      </c>
      <c r="H117" s="7" t="s">
        <v>100</v>
      </c>
      <c r="I117" s="7">
        <v>2</v>
      </c>
      <c r="J117" s="8">
        <f>IFERROR(VLOOKUP(Tbl_Siparişler[[#This Row],[Kategori]]&amp;"-"&amp;Tbl_Siparişler[[#This Row],[Ürün Adı]],Tbl_Ürünler[],11,0)*Tbl_Siparişler[[#This Row],[Adet]],"")</f>
        <v>18470.400000000001</v>
      </c>
    </row>
    <row r="118" spans="2:10" ht="27" customHeight="1" x14ac:dyDescent="0.4">
      <c r="B118" s="9">
        <f>WEEKNUM(Tbl_Siparişler[[#This Row],[Sipariş Alınan Tarih]])</f>
        <v>14</v>
      </c>
      <c r="C118" s="6">
        <v>44283</v>
      </c>
      <c r="D118" s="7" t="s">
        <v>24</v>
      </c>
      <c r="E118" s="7">
        <v>34219</v>
      </c>
      <c r="F118" s="7" t="s">
        <v>115</v>
      </c>
      <c r="G118" s="7" t="s">
        <v>98</v>
      </c>
      <c r="H118" s="7" t="s">
        <v>99</v>
      </c>
      <c r="I118" s="7">
        <v>4</v>
      </c>
      <c r="J118" s="8">
        <f>IFERROR(VLOOKUP(Tbl_Siparişler[[#This Row],[Kategori]]&amp;"-"&amp;Tbl_Siparişler[[#This Row],[Ürün Adı]],Tbl_Ürünler[],11,0)*Tbl_Siparişler[[#This Row],[Adet]],"")</f>
        <v>16566.52</v>
      </c>
    </row>
    <row r="119" spans="2:10" ht="27" customHeight="1" x14ac:dyDescent="0.4">
      <c r="B119" s="9">
        <f>WEEKNUM(Tbl_Siparişler[[#This Row],[Sipariş Alınan Tarih]])</f>
        <v>3</v>
      </c>
      <c r="C119" s="6">
        <v>44212</v>
      </c>
      <c r="D119" s="7" t="s">
        <v>95</v>
      </c>
      <c r="E119" s="7">
        <v>36204</v>
      </c>
      <c r="F119" s="7" t="s">
        <v>118</v>
      </c>
      <c r="G119" s="7" t="s">
        <v>43</v>
      </c>
      <c r="H119" s="7" t="s">
        <v>50</v>
      </c>
      <c r="I119" s="7">
        <v>5</v>
      </c>
      <c r="J119" s="8">
        <f>IFERROR(VLOOKUP(Tbl_Siparişler[[#This Row],[Kategori]]&amp;"-"&amp;Tbl_Siparişler[[#This Row],[Ürün Adı]],Tbl_Ürünler[],11,0)*Tbl_Siparişler[[#This Row],[Adet]],"")</f>
        <v>32290.5</v>
      </c>
    </row>
    <row r="120" spans="2:10" ht="27" customHeight="1" x14ac:dyDescent="0.4">
      <c r="B120" s="9">
        <f>WEEKNUM(Tbl_Siparişler[[#This Row],[Sipariş Alınan Tarih]])</f>
        <v>6</v>
      </c>
      <c r="C120" s="6">
        <v>44233</v>
      </c>
      <c r="D120" s="7" t="s">
        <v>27</v>
      </c>
      <c r="E120" s="7">
        <v>56838</v>
      </c>
      <c r="F120" s="7" t="s">
        <v>113</v>
      </c>
      <c r="G120" s="7" t="s">
        <v>47</v>
      </c>
      <c r="H120" s="7" t="s">
        <v>48</v>
      </c>
      <c r="I120" s="7">
        <v>5</v>
      </c>
      <c r="J120" s="8">
        <f>IFERROR(VLOOKUP(Tbl_Siparişler[[#This Row],[Kategori]]&amp;"-"&amp;Tbl_Siparişler[[#This Row],[Ürün Adı]],Tbl_Ürünler[],11,0)*Tbl_Siparişler[[#This Row],[Adet]],"")</f>
        <v>40267.5</v>
      </c>
    </row>
    <row r="121" spans="2:10" ht="27" customHeight="1" x14ac:dyDescent="0.4">
      <c r="B121" s="9">
        <f>WEEKNUM(Tbl_Siparişler[[#This Row],[Sipariş Alınan Tarih]])</f>
        <v>3</v>
      </c>
      <c r="C121" s="6">
        <v>44209</v>
      </c>
      <c r="D121" s="7" t="s">
        <v>27</v>
      </c>
      <c r="E121" s="7">
        <v>79783</v>
      </c>
      <c r="F121" s="7" t="s">
        <v>118</v>
      </c>
      <c r="G121" s="7" t="s">
        <v>98</v>
      </c>
      <c r="H121" s="7" t="s">
        <v>99</v>
      </c>
      <c r="I121" s="7">
        <v>5</v>
      </c>
      <c r="J121" s="8">
        <f>IFERROR(VLOOKUP(Tbl_Siparişler[[#This Row],[Kategori]]&amp;"-"&amp;Tbl_Siparişler[[#This Row],[Ürün Adı]],Tbl_Ürünler[],11,0)*Tbl_Siparişler[[#This Row],[Adet]],"")</f>
        <v>20708.150000000001</v>
      </c>
    </row>
    <row r="122" spans="2:10" ht="27" customHeight="1" x14ac:dyDescent="0.4">
      <c r="B122" s="9">
        <f>WEEKNUM(Tbl_Siparişler[[#This Row],[Sipariş Alınan Tarih]])</f>
        <v>32</v>
      </c>
      <c r="C122" s="6">
        <v>44415</v>
      </c>
      <c r="D122" s="7" t="s">
        <v>95</v>
      </c>
      <c r="E122" s="7">
        <v>44896</v>
      </c>
      <c r="F122" s="7" t="s">
        <v>112</v>
      </c>
      <c r="G122" s="7" t="s">
        <v>47</v>
      </c>
      <c r="H122" s="7" t="s">
        <v>49</v>
      </c>
      <c r="I122" s="7">
        <v>1</v>
      </c>
      <c r="J122" s="8">
        <f>IFERROR(VLOOKUP(Tbl_Siparişler[[#This Row],[Kategori]]&amp;"-"&amp;Tbl_Siparişler[[#This Row],[Ürün Adı]],Tbl_Ürünler[],11,0)*Tbl_Siparişler[[#This Row],[Adet]],"")</f>
        <v>9569.75</v>
      </c>
    </row>
    <row r="123" spans="2:10" ht="27" customHeight="1" x14ac:dyDescent="0.4">
      <c r="B123" s="9">
        <f>WEEKNUM(Tbl_Siparişler[[#This Row],[Sipariş Alınan Tarih]])</f>
        <v>20</v>
      </c>
      <c r="C123" s="6">
        <v>44326</v>
      </c>
      <c r="D123" s="7" t="s">
        <v>28</v>
      </c>
      <c r="E123" s="7">
        <v>85073</v>
      </c>
      <c r="F123" s="7" t="s">
        <v>115</v>
      </c>
      <c r="G123" s="7" t="s">
        <v>43</v>
      </c>
      <c r="H123" s="7" t="s">
        <v>45</v>
      </c>
      <c r="I123" s="7">
        <v>2</v>
      </c>
      <c r="J123" s="8">
        <f>IFERROR(VLOOKUP(Tbl_Siparişler[[#This Row],[Kategori]]&amp;"-"&amp;Tbl_Siparişler[[#This Row],[Ürün Adı]],Tbl_Ürünler[],11,0)*Tbl_Siparişler[[#This Row],[Adet]],"")</f>
        <v>19318.8</v>
      </c>
    </row>
    <row r="124" spans="2:10" ht="27" customHeight="1" x14ac:dyDescent="0.4">
      <c r="B124" s="9">
        <f>WEEKNUM(Tbl_Siparişler[[#This Row],[Sipariş Alınan Tarih]])</f>
        <v>28</v>
      </c>
      <c r="C124" s="6">
        <v>44383</v>
      </c>
      <c r="D124" s="7" t="s">
        <v>26</v>
      </c>
      <c r="E124" s="7">
        <v>45575</v>
      </c>
      <c r="F124" s="7" t="s">
        <v>118</v>
      </c>
      <c r="G124" s="7" t="s">
        <v>29</v>
      </c>
      <c r="H124" s="7" t="s">
        <v>41</v>
      </c>
      <c r="I124" s="7">
        <v>4</v>
      </c>
      <c r="J124" s="8">
        <f>IFERROR(VLOOKUP(Tbl_Siparişler[[#This Row],[Kategori]]&amp;"-"&amp;Tbl_Siparişler[[#This Row],[Ürün Adı]],Tbl_Ürünler[],11,0)*Tbl_Siparişler[[#This Row],[Adet]],"")</f>
        <v>50484</v>
      </c>
    </row>
    <row r="125" spans="2:10" ht="27" customHeight="1" x14ac:dyDescent="0.4">
      <c r="B125" s="9">
        <f>WEEKNUM(Tbl_Siparişler[[#This Row],[Sipariş Alınan Tarih]])</f>
        <v>16</v>
      </c>
      <c r="C125" s="6">
        <v>44300</v>
      </c>
      <c r="D125" s="7" t="s">
        <v>106</v>
      </c>
      <c r="E125" s="7">
        <v>98868</v>
      </c>
      <c r="F125" s="7" t="s">
        <v>116</v>
      </c>
      <c r="G125" s="7" t="s">
        <v>43</v>
      </c>
      <c r="H125" s="7" t="s">
        <v>45</v>
      </c>
      <c r="I125" s="7">
        <v>5</v>
      </c>
      <c r="J125" s="8">
        <f>IFERROR(VLOOKUP(Tbl_Siparişler[[#This Row],[Kategori]]&amp;"-"&amp;Tbl_Siparişler[[#This Row],[Ürün Adı]],Tbl_Ürünler[],11,0)*Tbl_Siparişler[[#This Row],[Adet]],"")</f>
        <v>48297</v>
      </c>
    </row>
    <row r="126" spans="2:10" ht="27" customHeight="1" x14ac:dyDescent="0.4">
      <c r="B126" s="9">
        <f>WEEKNUM(Tbl_Siparişler[[#This Row],[Sipariş Alınan Tarih]])</f>
        <v>52</v>
      </c>
      <c r="C126" s="6">
        <v>44555</v>
      </c>
      <c r="D126" s="7" t="s">
        <v>25</v>
      </c>
      <c r="E126" s="7">
        <v>24341</v>
      </c>
      <c r="F126" s="7" t="s">
        <v>111</v>
      </c>
      <c r="G126" s="7" t="s">
        <v>98</v>
      </c>
      <c r="H126" s="7" t="s">
        <v>99</v>
      </c>
      <c r="I126" s="7">
        <v>2</v>
      </c>
      <c r="J126" s="8">
        <f>IFERROR(VLOOKUP(Tbl_Siparişler[[#This Row],[Kategori]]&amp;"-"&amp;Tbl_Siparişler[[#This Row],[Ürün Adı]],Tbl_Ürünler[],11,0)*Tbl_Siparişler[[#This Row],[Adet]],"")</f>
        <v>8283.26</v>
      </c>
    </row>
    <row r="127" spans="2:10" ht="27" customHeight="1" x14ac:dyDescent="0.4">
      <c r="B127" s="9">
        <f>WEEKNUM(Tbl_Siparişler[[#This Row],[Sipariş Alınan Tarih]])</f>
        <v>50</v>
      </c>
      <c r="C127" s="6">
        <v>44536</v>
      </c>
      <c r="D127" s="7" t="s">
        <v>106</v>
      </c>
      <c r="E127" s="7">
        <v>89391</v>
      </c>
      <c r="F127" s="7" t="s">
        <v>117</v>
      </c>
      <c r="G127" s="7" t="s">
        <v>47</v>
      </c>
      <c r="H127" s="7" t="s">
        <v>48</v>
      </c>
      <c r="I127" s="7">
        <v>4</v>
      </c>
      <c r="J127" s="8">
        <f>IFERROR(VLOOKUP(Tbl_Siparişler[[#This Row],[Kategori]]&amp;"-"&amp;Tbl_Siparişler[[#This Row],[Ürün Adı]],Tbl_Ürünler[],11,0)*Tbl_Siparişler[[#This Row],[Adet]],"")</f>
        <v>32214</v>
      </c>
    </row>
    <row r="128" spans="2:10" ht="27" customHeight="1" x14ac:dyDescent="0.4">
      <c r="B128" s="9">
        <f>WEEKNUM(Tbl_Siparişler[[#This Row],[Sipariş Alınan Tarih]])</f>
        <v>44</v>
      </c>
      <c r="C128" s="6">
        <v>44496</v>
      </c>
      <c r="D128" s="7" t="s">
        <v>27</v>
      </c>
      <c r="E128" s="7">
        <v>72974</v>
      </c>
      <c r="F128" s="7" t="s">
        <v>113</v>
      </c>
      <c r="G128" s="7" t="s">
        <v>43</v>
      </c>
      <c r="H128" s="7" t="s">
        <v>44</v>
      </c>
      <c r="I128" s="7">
        <v>4</v>
      </c>
      <c r="J128" s="8">
        <f>IFERROR(VLOOKUP(Tbl_Siparişler[[#This Row],[Kategori]]&amp;"-"&amp;Tbl_Siparişler[[#This Row],[Ürün Adı]],Tbl_Ürünler[],11,0)*Tbl_Siparişler[[#This Row],[Adet]],"")</f>
        <v>35658.400000000001</v>
      </c>
    </row>
    <row r="129" spans="2:10" ht="27" customHeight="1" x14ac:dyDescent="0.4">
      <c r="B129" s="9">
        <f>WEEKNUM(Tbl_Siparişler[[#This Row],[Sipariş Alınan Tarih]])</f>
        <v>38</v>
      </c>
      <c r="C129" s="6">
        <v>44453</v>
      </c>
      <c r="D129" s="7" t="s">
        <v>28</v>
      </c>
      <c r="E129" s="7">
        <v>42059</v>
      </c>
      <c r="F129" s="7" t="s">
        <v>112</v>
      </c>
      <c r="G129" s="7" t="s">
        <v>98</v>
      </c>
      <c r="H129" s="7" t="s">
        <v>103</v>
      </c>
      <c r="I129" s="7">
        <v>2</v>
      </c>
      <c r="J129" s="8">
        <f>IFERROR(VLOOKUP(Tbl_Siparişler[[#This Row],[Kategori]]&amp;"-"&amp;Tbl_Siparişler[[#This Row],[Ürün Adı]],Tbl_Ürünler[],11,0)*Tbl_Siparişler[[#This Row],[Adet]],"")</f>
        <v>11925</v>
      </c>
    </row>
    <row r="130" spans="2:10" ht="27" customHeight="1" x14ac:dyDescent="0.4">
      <c r="B130" s="9">
        <f>WEEKNUM(Tbl_Siparişler[[#This Row],[Sipariş Alınan Tarih]])</f>
        <v>42</v>
      </c>
      <c r="C130" s="6">
        <v>44483</v>
      </c>
      <c r="D130" s="7" t="s">
        <v>25</v>
      </c>
      <c r="E130" s="7">
        <v>81718</v>
      </c>
      <c r="F130" s="7" t="s">
        <v>111</v>
      </c>
      <c r="G130" s="7" t="s">
        <v>98</v>
      </c>
      <c r="H130" s="7" t="s">
        <v>103</v>
      </c>
      <c r="I130" s="7">
        <v>2</v>
      </c>
      <c r="J130" s="8">
        <f>IFERROR(VLOOKUP(Tbl_Siparişler[[#This Row],[Kategori]]&amp;"-"&amp;Tbl_Siparişler[[#This Row],[Ürün Adı]],Tbl_Ürünler[],11,0)*Tbl_Siparişler[[#This Row],[Adet]],"")</f>
        <v>11925</v>
      </c>
    </row>
    <row r="131" spans="2:10" ht="27" customHeight="1" x14ac:dyDescent="0.4">
      <c r="B131" s="9">
        <f>WEEKNUM(Tbl_Siparişler[[#This Row],[Sipariş Alınan Tarih]])</f>
        <v>20</v>
      </c>
      <c r="C131" s="6">
        <v>44329</v>
      </c>
      <c r="D131" s="7" t="s">
        <v>25</v>
      </c>
      <c r="E131" s="7">
        <v>86767</v>
      </c>
      <c r="F131" s="7" t="s">
        <v>107</v>
      </c>
      <c r="G131" s="7" t="s">
        <v>98</v>
      </c>
      <c r="H131" s="7" t="s">
        <v>99</v>
      </c>
      <c r="I131" s="7">
        <v>2</v>
      </c>
      <c r="J131" s="8">
        <f>IFERROR(VLOOKUP(Tbl_Siparişler[[#This Row],[Kategori]]&amp;"-"&amp;Tbl_Siparişler[[#This Row],[Ürün Adı]],Tbl_Ürünler[],11,0)*Tbl_Siparişler[[#This Row],[Adet]],"")</f>
        <v>8283.26</v>
      </c>
    </row>
    <row r="132" spans="2:10" ht="27" customHeight="1" x14ac:dyDescent="0.4">
      <c r="B132" s="9">
        <f>WEEKNUM(Tbl_Siparişler[[#This Row],[Sipariş Alınan Tarih]])</f>
        <v>22</v>
      </c>
      <c r="C132" s="6">
        <v>44342</v>
      </c>
      <c r="D132" s="7" t="s">
        <v>106</v>
      </c>
      <c r="E132" s="7">
        <v>85943</v>
      </c>
      <c r="F132" s="7" t="s">
        <v>117</v>
      </c>
      <c r="G132" s="7" t="s">
        <v>98</v>
      </c>
      <c r="H132" s="7" t="s">
        <v>99</v>
      </c>
      <c r="I132" s="7">
        <v>5</v>
      </c>
      <c r="J132" s="8">
        <f>IFERROR(VLOOKUP(Tbl_Siparişler[[#This Row],[Kategori]]&amp;"-"&amp;Tbl_Siparişler[[#This Row],[Ürün Adı]],Tbl_Ürünler[],11,0)*Tbl_Siparişler[[#This Row],[Adet]],"")</f>
        <v>20708.150000000001</v>
      </c>
    </row>
    <row r="133" spans="2:10" ht="27" customHeight="1" x14ac:dyDescent="0.4">
      <c r="B133" s="9">
        <f>WEEKNUM(Tbl_Siparişler[[#This Row],[Sipariş Alınan Tarih]])</f>
        <v>8</v>
      </c>
      <c r="C133" s="6">
        <v>44241</v>
      </c>
      <c r="D133" s="7" t="s">
        <v>27</v>
      </c>
      <c r="E133" s="7">
        <v>43067</v>
      </c>
      <c r="F133" s="7" t="s">
        <v>112</v>
      </c>
      <c r="G133" s="7" t="s">
        <v>47</v>
      </c>
      <c r="H133" s="7" t="s">
        <v>48</v>
      </c>
      <c r="I133" s="7">
        <v>4</v>
      </c>
      <c r="J133" s="8">
        <f>IFERROR(VLOOKUP(Tbl_Siparişler[[#This Row],[Kategori]]&amp;"-"&amp;Tbl_Siparişler[[#This Row],[Ürün Adı]],Tbl_Ürünler[],11,0)*Tbl_Siparişler[[#This Row],[Adet]],"")</f>
        <v>32214</v>
      </c>
    </row>
    <row r="134" spans="2:10" ht="27" customHeight="1" x14ac:dyDescent="0.4">
      <c r="B134" s="9">
        <f>WEEKNUM(Tbl_Siparişler[[#This Row],[Sipariş Alınan Tarih]])</f>
        <v>28</v>
      </c>
      <c r="C134" s="6">
        <v>44385</v>
      </c>
      <c r="D134" s="7" t="s">
        <v>95</v>
      </c>
      <c r="E134" s="7">
        <v>60356</v>
      </c>
      <c r="F134" s="7" t="s">
        <v>113</v>
      </c>
      <c r="G134" s="7" t="s">
        <v>47</v>
      </c>
      <c r="H134" s="7" t="s">
        <v>49</v>
      </c>
      <c r="I134" s="7">
        <v>3</v>
      </c>
      <c r="J134" s="8">
        <f>IFERROR(VLOOKUP(Tbl_Siparişler[[#This Row],[Kategori]]&amp;"-"&amp;Tbl_Siparişler[[#This Row],[Ürün Adı]],Tbl_Ürünler[],11,0)*Tbl_Siparişler[[#This Row],[Adet]],"")</f>
        <v>28709.25</v>
      </c>
    </row>
    <row r="135" spans="2:10" ht="27" customHeight="1" x14ac:dyDescent="0.4">
      <c r="B135" s="9">
        <f>WEEKNUM(Tbl_Siparişler[[#This Row],[Sipariş Alınan Tarih]])</f>
        <v>18</v>
      </c>
      <c r="C135" s="6">
        <v>44313</v>
      </c>
      <c r="D135" s="7" t="s">
        <v>28</v>
      </c>
      <c r="E135" s="7">
        <v>65363</v>
      </c>
      <c r="F135" s="7" t="s">
        <v>107</v>
      </c>
      <c r="G135" s="7" t="s">
        <v>29</v>
      </c>
      <c r="H135" s="7" t="s">
        <v>41</v>
      </c>
      <c r="I135" s="7">
        <v>2</v>
      </c>
      <c r="J135" s="8">
        <f>IFERROR(VLOOKUP(Tbl_Siparişler[[#This Row],[Kategori]]&amp;"-"&amp;Tbl_Siparişler[[#This Row],[Ürün Adı]],Tbl_Ürünler[],11,0)*Tbl_Siparişler[[#This Row],[Adet]],"")</f>
        <v>25242</v>
      </c>
    </row>
    <row r="136" spans="2:10" ht="27" customHeight="1" x14ac:dyDescent="0.4">
      <c r="B136" s="9">
        <f>WEEKNUM(Tbl_Siparişler[[#This Row],[Sipariş Alınan Tarih]])</f>
        <v>43</v>
      </c>
      <c r="C136" s="6">
        <v>44490</v>
      </c>
      <c r="D136" s="7" t="s">
        <v>106</v>
      </c>
      <c r="E136" s="7">
        <v>90105</v>
      </c>
      <c r="F136" s="7" t="s">
        <v>116</v>
      </c>
      <c r="G136" s="7" t="s">
        <v>98</v>
      </c>
      <c r="H136" s="7" t="s">
        <v>99</v>
      </c>
      <c r="I136" s="7">
        <v>3</v>
      </c>
      <c r="J136" s="8">
        <f>IFERROR(VLOOKUP(Tbl_Siparişler[[#This Row],[Kategori]]&amp;"-"&amp;Tbl_Siparişler[[#This Row],[Ürün Adı]],Tbl_Ürünler[],11,0)*Tbl_Siparişler[[#This Row],[Adet]],"")</f>
        <v>12424.89</v>
      </c>
    </row>
    <row r="137" spans="2:10" ht="27" customHeight="1" x14ac:dyDescent="0.4">
      <c r="B137" s="9">
        <f>WEEKNUM(Tbl_Siparişler[[#This Row],[Sipariş Alınan Tarih]])</f>
        <v>33</v>
      </c>
      <c r="C137" s="6">
        <v>44418</v>
      </c>
      <c r="D137" s="7" t="s">
        <v>95</v>
      </c>
      <c r="E137" s="7">
        <v>49836</v>
      </c>
      <c r="F137" s="7" t="s">
        <v>117</v>
      </c>
      <c r="G137" s="7" t="s">
        <v>43</v>
      </c>
      <c r="H137" s="7" t="s">
        <v>46</v>
      </c>
      <c r="I137" s="7">
        <v>2</v>
      </c>
      <c r="J137" s="8">
        <f>IFERROR(VLOOKUP(Tbl_Siparişler[[#This Row],[Kategori]]&amp;"-"&amp;Tbl_Siparişler[[#This Row],[Ürün Adı]],Tbl_Ürünler[],11,0)*Tbl_Siparişler[[#This Row],[Adet]],"")</f>
        <v>26686.800000000003</v>
      </c>
    </row>
    <row r="138" spans="2:10" ht="27" customHeight="1" x14ac:dyDescent="0.4">
      <c r="B138" s="9">
        <f>WEEKNUM(Tbl_Siparişler[[#This Row],[Sipariş Alınan Tarih]])</f>
        <v>50</v>
      </c>
      <c r="C138" s="6">
        <v>44541</v>
      </c>
      <c r="D138" s="7" t="s">
        <v>95</v>
      </c>
      <c r="E138" s="7">
        <v>88493</v>
      </c>
      <c r="F138" s="7" t="s">
        <v>113</v>
      </c>
      <c r="G138" s="7" t="s">
        <v>47</v>
      </c>
      <c r="H138" s="7" t="s">
        <v>49</v>
      </c>
      <c r="I138" s="7">
        <v>2</v>
      </c>
      <c r="J138" s="8">
        <f>IFERROR(VLOOKUP(Tbl_Siparişler[[#This Row],[Kategori]]&amp;"-"&amp;Tbl_Siparişler[[#This Row],[Ürün Adı]],Tbl_Ürünler[],11,0)*Tbl_Siparişler[[#This Row],[Adet]],"")</f>
        <v>19139.5</v>
      </c>
    </row>
    <row r="139" spans="2:10" ht="27" customHeight="1" x14ac:dyDescent="0.4">
      <c r="B139" s="9">
        <f>WEEKNUM(Tbl_Siparişler[[#This Row],[Sipariş Alınan Tarih]])</f>
        <v>26</v>
      </c>
      <c r="C139" s="6">
        <v>44367</v>
      </c>
      <c r="D139" s="7" t="s">
        <v>25</v>
      </c>
      <c r="E139" s="7">
        <v>61513</v>
      </c>
      <c r="F139" s="7" t="s">
        <v>116</v>
      </c>
      <c r="G139" s="7" t="s">
        <v>47</v>
      </c>
      <c r="H139" s="7" t="s">
        <v>49</v>
      </c>
      <c r="I139" s="7">
        <v>2</v>
      </c>
      <c r="J139" s="8">
        <f>IFERROR(VLOOKUP(Tbl_Siparişler[[#This Row],[Kategori]]&amp;"-"&amp;Tbl_Siparişler[[#This Row],[Ürün Adı]],Tbl_Ürünler[],11,0)*Tbl_Siparişler[[#This Row],[Adet]],"")</f>
        <v>19139.5</v>
      </c>
    </row>
    <row r="140" spans="2:10" ht="27" customHeight="1" x14ac:dyDescent="0.4">
      <c r="B140" s="9">
        <f>WEEKNUM(Tbl_Siparişler[[#This Row],[Sipariş Alınan Tarih]])</f>
        <v>48</v>
      </c>
      <c r="C140" s="6">
        <v>44527</v>
      </c>
      <c r="D140" s="7" t="s">
        <v>95</v>
      </c>
      <c r="E140" s="7">
        <v>69746</v>
      </c>
      <c r="F140" s="7" t="s">
        <v>107</v>
      </c>
      <c r="G140" s="7" t="s">
        <v>98</v>
      </c>
      <c r="H140" s="7" t="s">
        <v>99</v>
      </c>
      <c r="I140" s="7">
        <v>4</v>
      </c>
      <c r="J140" s="8">
        <f>IFERROR(VLOOKUP(Tbl_Siparişler[[#This Row],[Kategori]]&amp;"-"&amp;Tbl_Siparişler[[#This Row],[Ürün Adı]],Tbl_Ürünler[],11,0)*Tbl_Siparişler[[#This Row],[Adet]],"")</f>
        <v>16566.52</v>
      </c>
    </row>
    <row r="141" spans="2:10" ht="27" customHeight="1" x14ac:dyDescent="0.4">
      <c r="B141" s="9">
        <f>WEEKNUM(Tbl_Siparişler[[#This Row],[Sipariş Alınan Tarih]])</f>
        <v>47</v>
      </c>
      <c r="C141" s="6">
        <v>44514</v>
      </c>
      <c r="D141" s="7" t="s">
        <v>28</v>
      </c>
      <c r="E141" s="7">
        <v>40634</v>
      </c>
      <c r="F141" s="7" t="s">
        <v>115</v>
      </c>
      <c r="G141" s="7" t="s">
        <v>98</v>
      </c>
      <c r="H141" s="7" t="s">
        <v>103</v>
      </c>
      <c r="I141" s="7">
        <v>1</v>
      </c>
      <c r="J141" s="8">
        <f>IFERROR(VLOOKUP(Tbl_Siparişler[[#This Row],[Kategori]]&amp;"-"&amp;Tbl_Siparişler[[#This Row],[Ürün Adı]],Tbl_Ürünler[],11,0)*Tbl_Siparişler[[#This Row],[Adet]],"")</f>
        <v>5962.5</v>
      </c>
    </row>
    <row r="142" spans="2:10" ht="27" customHeight="1" x14ac:dyDescent="0.4">
      <c r="B142" s="9">
        <f>WEEKNUM(Tbl_Siparişler[[#This Row],[Sipariş Alınan Tarih]])</f>
        <v>33</v>
      </c>
      <c r="C142" s="6">
        <v>44416</v>
      </c>
      <c r="D142" s="7" t="s">
        <v>27</v>
      </c>
      <c r="E142" s="7">
        <v>59189</v>
      </c>
      <c r="F142" s="7" t="s">
        <v>107</v>
      </c>
      <c r="G142" s="7" t="s">
        <v>43</v>
      </c>
      <c r="H142" s="7" t="s">
        <v>44</v>
      </c>
      <c r="I142" s="7">
        <v>2</v>
      </c>
      <c r="J142" s="8">
        <f>IFERROR(VLOOKUP(Tbl_Siparişler[[#This Row],[Kategori]]&amp;"-"&amp;Tbl_Siparişler[[#This Row],[Ürün Adı]],Tbl_Ürünler[],11,0)*Tbl_Siparişler[[#This Row],[Adet]],"")</f>
        <v>17829.2</v>
      </c>
    </row>
    <row r="143" spans="2:10" ht="27" customHeight="1" x14ac:dyDescent="0.4">
      <c r="B143" s="9">
        <f>WEEKNUM(Tbl_Siparişler[[#This Row],[Sipariş Alınan Tarih]])</f>
        <v>48</v>
      </c>
      <c r="C143" s="6">
        <v>44527</v>
      </c>
      <c r="D143" s="7" t="s">
        <v>95</v>
      </c>
      <c r="E143" s="7">
        <v>50661</v>
      </c>
      <c r="F143" s="7" t="s">
        <v>108</v>
      </c>
      <c r="G143" s="7" t="s">
        <v>47</v>
      </c>
      <c r="H143" s="7" t="s">
        <v>48</v>
      </c>
      <c r="I143" s="7">
        <v>4</v>
      </c>
      <c r="J143" s="8">
        <f>IFERROR(VLOOKUP(Tbl_Siparişler[[#This Row],[Kategori]]&amp;"-"&amp;Tbl_Siparişler[[#This Row],[Ürün Adı]],Tbl_Ürünler[],11,0)*Tbl_Siparişler[[#This Row],[Adet]],"")</f>
        <v>32214</v>
      </c>
    </row>
    <row r="144" spans="2:10" ht="27" customHeight="1" x14ac:dyDescent="0.4">
      <c r="B144" s="9">
        <f>WEEKNUM(Tbl_Siparişler[[#This Row],[Sipariş Alınan Tarih]])</f>
        <v>37</v>
      </c>
      <c r="C144" s="6">
        <v>44448</v>
      </c>
      <c r="D144" s="7" t="s">
        <v>95</v>
      </c>
      <c r="E144" s="7">
        <v>69422</v>
      </c>
      <c r="F144" s="7" t="s">
        <v>111</v>
      </c>
      <c r="G144" s="7" t="s">
        <v>47</v>
      </c>
      <c r="H144" s="7" t="s">
        <v>49</v>
      </c>
      <c r="I144" s="7">
        <v>5</v>
      </c>
      <c r="J144" s="8">
        <f>IFERROR(VLOOKUP(Tbl_Siparişler[[#This Row],[Kategori]]&amp;"-"&amp;Tbl_Siparişler[[#This Row],[Ürün Adı]],Tbl_Ürünler[],11,0)*Tbl_Siparişler[[#This Row],[Adet]],"")</f>
        <v>47848.75</v>
      </c>
    </row>
    <row r="145" spans="2:10" ht="27" customHeight="1" x14ac:dyDescent="0.4">
      <c r="B145" s="9">
        <f>WEEKNUM(Tbl_Siparişler[[#This Row],[Sipariş Alınan Tarih]])</f>
        <v>28</v>
      </c>
      <c r="C145" s="6">
        <v>44381</v>
      </c>
      <c r="D145" s="7" t="s">
        <v>24</v>
      </c>
      <c r="E145" s="7">
        <v>60478</v>
      </c>
      <c r="F145" s="7" t="s">
        <v>108</v>
      </c>
      <c r="G145" s="7" t="s">
        <v>43</v>
      </c>
      <c r="H145" s="7" t="s">
        <v>44</v>
      </c>
      <c r="I145" s="7">
        <v>2</v>
      </c>
      <c r="J145" s="8">
        <f>IFERROR(VLOOKUP(Tbl_Siparişler[[#This Row],[Kategori]]&amp;"-"&amp;Tbl_Siparişler[[#This Row],[Ürün Adı]],Tbl_Ürünler[],11,0)*Tbl_Siparişler[[#This Row],[Adet]],"")</f>
        <v>17829.2</v>
      </c>
    </row>
    <row r="146" spans="2:10" ht="27" customHeight="1" x14ac:dyDescent="0.4">
      <c r="B146" s="9">
        <f>WEEKNUM(Tbl_Siparişler[[#This Row],[Sipariş Alınan Tarih]])</f>
        <v>19</v>
      </c>
      <c r="C146" s="6">
        <v>44321</v>
      </c>
      <c r="D146" s="7" t="s">
        <v>106</v>
      </c>
      <c r="E146" s="7">
        <v>94126</v>
      </c>
      <c r="F146" s="7" t="s">
        <v>109</v>
      </c>
      <c r="G146" s="7" t="s">
        <v>98</v>
      </c>
      <c r="H146" s="7" t="s">
        <v>99</v>
      </c>
      <c r="I146" s="7">
        <v>2</v>
      </c>
      <c r="J146" s="8">
        <f>IFERROR(VLOOKUP(Tbl_Siparişler[[#This Row],[Kategori]]&amp;"-"&amp;Tbl_Siparişler[[#This Row],[Ürün Adı]],Tbl_Ürünler[],11,0)*Tbl_Siparişler[[#This Row],[Adet]],"")</f>
        <v>8283.26</v>
      </c>
    </row>
    <row r="147" spans="2:10" ht="27" customHeight="1" x14ac:dyDescent="0.4">
      <c r="B147" s="9">
        <f>WEEKNUM(Tbl_Siparişler[[#This Row],[Sipariş Alınan Tarih]])</f>
        <v>40</v>
      </c>
      <c r="C147" s="6">
        <v>44470</v>
      </c>
      <c r="D147" s="7" t="s">
        <v>27</v>
      </c>
      <c r="E147" s="7">
        <v>38041</v>
      </c>
      <c r="F147" s="7" t="s">
        <v>112</v>
      </c>
      <c r="G147" s="7" t="s">
        <v>98</v>
      </c>
      <c r="H147" s="7" t="s">
        <v>99</v>
      </c>
      <c r="I147" s="7">
        <v>5</v>
      </c>
      <c r="J147" s="8">
        <f>IFERROR(VLOOKUP(Tbl_Siparişler[[#This Row],[Kategori]]&amp;"-"&amp;Tbl_Siparişler[[#This Row],[Ürün Adı]],Tbl_Ürünler[],11,0)*Tbl_Siparişler[[#This Row],[Adet]],"")</f>
        <v>20708.150000000001</v>
      </c>
    </row>
    <row r="148" spans="2:10" ht="27" customHeight="1" x14ac:dyDescent="0.4">
      <c r="B148" s="9">
        <f>WEEKNUM(Tbl_Siparişler[[#This Row],[Sipariş Alınan Tarih]])</f>
        <v>32</v>
      </c>
      <c r="C148" s="6">
        <v>44414</v>
      </c>
      <c r="D148" s="7" t="s">
        <v>26</v>
      </c>
      <c r="E148" s="7">
        <v>30316</v>
      </c>
      <c r="F148" s="7" t="s">
        <v>108</v>
      </c>
      <c r="G148" s="7" t="s">
        <v>47</v>
      </c>
      <c r="H148" s="7" t="s">
        <v>48</v>
      </c>
      <c r="I148" s="7">
        <v>2</v>
      </c>
      <c r="J148" s="8">
        <f>IFERROR(VLOOKUP(Tbl_Siparişler[[#This Row],[Kategori]]&amp;"-"&amp;Tbl_Siparişler[[#This Row],[Ürün Adı]],Tbl_Ürünler[],11,0)*Tbl_Siparişler[[#This Row],[Adet]],"")</f>
        <v>16107</v>
      </c>
    </row>
    <row r="149" spans="2:10" ht="27" customHeight="1" x14ac:dyDescent="0.4">
      <c r="B149" s="9">
        <f>WEEKNUM(Tbl_Siparişler[[#This Row],[Sipariş Alınan Tarih]])</f>
        <v>53</v>
      </c>
      <c r="C149" s="6">
        <v>44558</v>
      </c>
      <c r="D149" s="7" t="s">
        <v>95</v>
      </c>
      <c r="E149" s="7">
        <v>31735</v>
      </c>
      <c r="F149" s="7" t="s">
        <v>107</v>
      </c>
      <c r="G149" s="7" t="s">
        <v>47</v>
      </c>
      <c r="H149" s="7" t="s">
        <v>48</v>
      </c>
      <c r="I149" s="7">
        <v>3</v>
      </c>
      <c r="J149" s="8">
        <f>IFERROR(VLOOKUP(Tbl_Siparişler[[#This Row],[Kategori]]&amp;"-"&amp;Tbl_Siparişler[[#This Row],[Ürün Adı]],Tbl_Ürünler[],11,0)*Tbl_Siparişler[[#This Row],[Adet]],"")</f>
        <v>24160.5</v>
      </c>
    </row>
    <row r="150" spans="2:10" ht="27" customHeight="1" x14ac:dyDescent="0.4">
      <c r="B150" s="9">
        <f>WEEKNUM(Tbl_Siparişler[[#This Row],[Sipariş Alınan Tarih]])</f>
        <v>33</v>
      </c>
      <c r="C150" s="6">
        <v>44422</v>
      </c>
      <c r="D150" s="7" t="s">
        <v>25</v>
      </c>
      <c r="E150" s="7">
        <v>14366</v>
      </c>
      <c r="F150" s="7" t="s">
        <v>112</v>
      </c>
      <c r="G150" s="7" t="s">
        <v>47</v>
      </c>
      <c r="H150" s="7" t="s">
        <v>48</v>
      </c>
      <c r="I150" s="7">
        <v>4</v>
      </c>
      <c r="J150" s="8">
        <f>IFERROR(VLOOKUP(Tbl_Siparişler[[#This Row],[Kategori]]&amp;"-"&amp;Tbl_Siparişler[[#This Row],[Ürün Adı]],Tbl_Ürünler[],11,0)*Tbl_Siparişler[[#This Row],[Adet]],"")</f>
        <v>32214</v>
      </c>
    </row>
    <row r="151" spans="2:10" ht="27" customHeight="1" x14ac:dyDescent="0.4">
      <c r="B151" s="9">
        <f>WEEKNUM(Tbl_Siparişler[[#This Row],[Sipariş Alınan Tarih]])</f>
        <v>14</v>
      </c>
      <c r="C151" s="6">
        <v>44288</v>
      </c>
      <c r="D151" s="7" t="s">
        <v>106</v>
      </c>
      <c r="E151" s="7">
        <v>57788</v>
      </c>
      <c r="F151" s="7" t="s">
        <v>114</v>
      </c>
      <c r="G151" s="7" t="s">
        <v>98</v>
      </c>
      <c r="H151" s="7" t="s">
        <v>100</v>
      </c>
      <c r="I151" s="7">
        <v>4</v>
      </c>
      <c r="J151" s="8">
        <f>IFERROR(VLOOKUP(Tbl_Siparişler[[#This Row],[Kategori]]&amp;"-"&amp;Tbl_Siparişler[[#This Row],[Ürün Adı]],Tbl_Ürünler[],11,0)*Tbl_Siparişler[[#This Row],[Adet]],"")</f>
        <v>36940.800000000003</v>
      </c>
    </row>
    <row r="152" spans="2:10" ht="27" customHeight="1" x14ac:dyDescent="0.4">
      <c r="B152" s="9">
        <f>WEEKNUM(Tbl_Siparişler[[#This Row],[Sipariş Alınan Tarih]])</f>
        <v>10</v>
      </c>
      <c r="C152" s="6">
        <v>44259</v>
      </c>
      <c r="D152" s="7" t="s">
        <v>95</v>
      </c>
      <c r="E152" s="7">
        <v>50205</v>
      </c>
      <c r="F152" s="7" t="s">
        <v>117</v>
      </c>
      <c r="G152" s="7" t="s">
        <v>43</v>
      </c>
      <c r="H152" s="7" t="s">
        <v>50</v>
      </c>
      <c r="I152" s="7">
        <v>5</v>
      </c>
      <c r="J152" s="8">
        <f>IFERROR(VLOOKUP(Tbl_Siparişler[[#This Row],[Kategori]]&amp;"-"&amp;Tbl_Siparişler[[#This Row],[Ürün Adı]],Tbl_Ürünler[],11,0)*Tbl_Siparişler[[#This Row],[Adet]],"")</f>
        <v>32290.5</v>
      </c>
    </row>
    <row r="153" spans="2:10" ht="27" customHeight="1" x14ac:dyDescent="0.4">
      <c r="B153" s="9">
        <f>WEEKNUM(Tbl_Siparişler[[#This Row],[Sipariş Alınan Tarih]])</f>
        <v>35</v>
      </c>
      <c r="C153" s="6">
        <v>44431</v>
      </c>
      <c r="D153" s="7" t="s">
        <v>95</v>
      </c>
      <c r="E153" s="7">
        <v>96373</v>
      </c>
      <c r="F153" s="7" t="s">
        <v>111</v>
      </c>
      <c r="G153" s="7" t="s">
        <v>47</v>
      </c>
      <c r="H153" s="7" t="s">
        <v>48</v>
      </c>
      <c r="I153" s="7">
        <v>5</v>
      </c>
      <c r="J153" s="8">
        <f>IFERROR(VLOOKUP(Tbl_Siparişler[[#This Row],[Kategori]]&amp;"-"&amp;Tbl_Siparişler[[#This Row],[Ürün Adı]],Tbl_Ürünler[],11,0)*Tbl_Siparişler[[#This Row],[Adet]],"")</f>
        <v>40267.5</v>
      </c>
    </row>
    <row r="154" spans="2:10" ht="27" customHeight="1" x14ac:dyDescent="0.4">
      <c r="B154" s="9">
        <f>WEEKNUM(Tbl_Siparişler[[#This Row],[Sipariş Alınan Tarih]])</f>
        <v>53</v>
      </c>
      <c r="C154" s="6">
        <v>44557</v>
      </c>
      <c r="D154" s="7" t="s">
        <v>28</v>
      </c>
      <c r="E154" s="7">
        <v>34159</v>
      </c>
      <c r="F154" s="7" t="s">
        <v>118</v>
      </c>
      <c r="G154" s="7" t="s">
        <v>98</v>
      </c>
      <c r="H154" s="7" t="s">
        <v>100</v>
      </c>
      <c r="I154" s="7">
        <v>5</v>
      </c>
      <c r="J154" s="8">
        <f>IFERROR(VLOOKUP(Tbl_Siparişler[[#This Row],[Kategori]]&amp;"-"&amp;Tbl_Siparişler[[#This Row],[Ürün Adı]],Tbl_Ürünler[],11,0)*Tbl_Siparişler[[#This Row],[Adet]],"")</f>
        <v>46176</v>
      </c>
    </row>
    <row r="155" spans="2:10" ht="27" customHeight="1" x14ac:dyDescent="0.4">
      <c r="B155" s="9">
        <f>WEEKNUM(Tbl_Siparişler[[#This Row],[Sipariş Alınan Tarih]])</f>
        <v>10</v>
      </c>
      <c r="C155" s="6">
        <v>44255</v>
      </c>
      <c r="D155" s="7" t="s">
        <v>26</v>
      </c>
      <c r="E155" s="7">
        <v>81067</v>
      </c>
      <c r="F155" s="7" t="s">
        <v>107</v>
      </c>
      <c r="G155" s="7" t="s">
        <v>29</v>
      </c>
      <c r="H155" s="7" t="s">
        <v>37</v>
      </c>
      <c r="I155" s="7">
        <v>1</v>
      </c>
      <c r="J155" s="8">
        <f>IFERROR(VLOOKUP(Tbl_Siparişler[[#This Row],[Kategori]]&amp;"-"&amp;Tbl_Siparişler[[#This Row],[Ürün Adı]],Tbl_Ürünler[],11,0)*Tbl_Siparişler[[#This Row],[Adet]],"")</f>
        <v>9800.4500000000007</v>
      </c>
    </row>
    <row r="156" spans="2:10" ht="27" customHeight="1" x14ac:dyDescent="0.4">
      <c r="B156" s="9">
        <f>WEEKNUM(Tbl_Siparişler[[#This Row],[Sipariş Alınan Tarih]])</f>
        <v>42</v>
      </c>
      <c r="C156" s="6">
        <v>44485</v>
      </c>
      <c r="D156" s="7" t="s">
        <v>26</v>
      </c>
      <c r="E156" s="7">
        <v>15595</v>
      </c>
      <c r="F156" s="7" t="s">
        <v>116</v>
      </c>
      <c r="G156" s="7" t="s">
        <v>98</v>
      </c>
      <c r="H156" s="7" t="s">
        <v>103</v>
      </c>
      <c r="I156" s="7">
        <v>3</v>
      </c>
      <c r="J156" s="8">
        <f>IFERROR(VLOOKUP(Tbl_Siparişler[[#This Row],[Kategori]]&amp;"-"&amp;Tbl_Siparişler[[#This Row],[Ürün Adı]],Tbl_Ürünler[],11,0)*Tbl_Siparişler[[#This Row],[Adet]],"")</f>
        <v>17887.5</v>
      </c>
    </row>
    <row r="157" spans="2:10" ht="27" customHeight="1" x14ac:dyDescent="0.4">
      <c r="B157" s="9">
        <f>WEEKNUM(Tbl_Siparişler[[#This Row],[Sipariş Alınan Tarih]])</f>
        <v>39</v>
      </c>
      <c r="C157" s="6">
        <v>44462</v>
      </c>
      <c r="D157" s="7" t="s">
        <v>26</v>
      </c>
      <c r="E157" s="7">
        <v>73732</v>
      </c>
      <c r="F157" s="7" t="s">
        <v>115</v>
      </c>
      <c r="G157" s="7" t="s">
        <v>43</v>
      </c>
      <c r="H157" s="7" t="s">
        <v>44</v>
      </c>
      <c r="I157" s="7">
        <v>5</v>
      </c>
      <c r="J157" s="8">
        <f>IFERROR(VLOOKUP(Tbl_Siparişler[[#This Row],[Kategori]]&amp;"-"&amp;Tbl_Siparişler[[#This Row],[Ürün Adı]],Tbl_Ürünler[],11,0)*Tbl_Siparişler[[#This Row],[Adet]],"")</f>
        <v>44573</v>
      </c>
    </row>
    <row r="158" spans="2:10" ht="27" customHeight="1" x14ac:dyDescent="0.4">
      <c r="B158" s="9">
        <f>WEEKNUM(Tbl_Siparişler[[#This Row],[Sipariş Alınan Tarih]])</f>
        <v>23</v>
      </c>
      <c r="C158" s="6">
        <v>44350</v>
      </c>
      <c r="D158" s="7" t="s">
        <v>24</v>
      </c>
      <c r="E158" s="7">
        <v>57933</v>
      </c>
      <c r="F158" s="7" t="s">
        <v>117</v>
      </c>
      <c r="G158" s="7" t="s">
        <v>47</v>
      </c>
      <c r="H158" s="7" t="s">
        <v>48</v>
      </c>
      <c r="I158" s="7">
        <v>1</v>
      </c>
      <c r="J158" s="8">
        <f>IFERROR(VLOOKUP(Tbl_Siparişler[[#This Row],[Kategori]]&amp;"-"&amp;Tbl_Siparişler[[#This Row],[Ürün Adı]],Tbl_Ürünler[],11,0)*Tbl_Siparişler[[#This Row],[Adet]],"")</f>
        <v>8053.5</v>
      </c>
    </row>
    <row r="159" spans="2:10" ht="27" customHeight="1" x14ac:dyDescent="0.4">
      <c r="B159" s="9">
        <f>WEEKNUM(Tbl_Siparişler[[#This Row],[Sipariş Alınan Tarih]])</f>
        <v>21</v>
      </c>
      <c r="C159" s="6">
        <v>44333</v>
      </c>
      <c r="D159" s="7" t="s">
        <v>28</v>
      </c>
      <c r="E159" s="7">
        <v>91552</v>
      </c>
      <c r="F159" s="7" t="s">
        <v>118</v>
      </c>
      <c r="G159" s="7" t="s">
        <v>98</v>
      </c>
      <c r="H159" s="7" t="s">
        <v>100</v>
      </c>
      <c r="I159" s="7">
        <v>5</v>
      </c>
      <c r="J159" s="8">
        <f>IFERROR(VLOOKUP(Tbl_Siparişler[[#This Row],[Kategori]]&amp;"-"&amp;Tbl_Siparişler[[#This Row],[Ürün Adı]],Tbl_Ürünler[],11,0)*Tbl_Siparişler[[#This Row],[Adet]],"")</f>
        <v>46176</v>
      </c>
    </row>
    <row r="160" spans="2:10" ht="27" customHeight="1" x14ac:dyDescent="0.4">
      <c r="B160" s="9">
        <f>WEEKNUM(Tbl_Siparişler[[#This Row],[Sipariş Alınan Tarih]])</f>
        <v>22</v>
      </c>
      <c r="C160" s="6">
        <v>44341</v>
      </c>
      <c r="D160" s="7" t="s">
        <v>24</v>
      </c>
      <c r="E160" s="7">
        <v>83985</v>
      </c>
      <c r="F160" s="7" t="s">
        <v>108</v>
      </c>
      <c r="G160" s="7" t="s">
        <v>98</v>
      </c>
      <c r="H160" s="7" t="s">
        <v>100</v>
      </c>
      <c r="I160" s="7">
        <v>2</v>
      </c>
      <c r="J160" s="8">
        <f>IFERROR(VLOOKUP(Tbl_Siparişler[[#This Row],[Kategori]]&amp;"-"&amp;Tbl_Siparişler[[#This Row],[Ürün Adı]],Tbl_Ürünler[],11,0)*Tbl_Siparişler[[#This Row],[Adet]],"")</f>
        <v>18470.400000000001</v>
      </c>
    </row>
    <row r="161" spans="2:10" ht="27" customHeight="1" x14ac:dyDescent="0.4">
      <c r="B161" s="9">
        <f>WEEKNUM(Tbl_Siparişler[[#This Row],[Sipariş Alınan Tarih]])</f>
        <v>43</v>
      </c>
      <c r="C161" s="6">
        <v>44488</v>
      </c>
      <c r="D161" s="7" t="s">
        <v>25</v>
      </c>
      <c r="E161" s="7">
        <v>27044</v>
      </c>
      <c r="F161" s="7" t="s">
        <v>111</v>
      </c>
      <c r="G161" s="7" t="s">
        <v>29</v>
      </c>
      <c r="H161" s="7" t="s">
        <v>42</v>
      </c>
      <c r="I161" s="7">
        <v>4</v>
      </c>
      <c r="J161" s="8">
        <f>IFERROR(VLOOKUP(Tbl_Siparişler[[#This Row],[Kategori]]&amp;"-"&amp;Tbl_Siparişler[[#This Row],[Ürün Adı]],Tbl_Ürünler[],11,0)*Tbl_Siparişler[[#This Row],[Adet]],"")</f>
        <v>56264</v>
      </c>
    </row>
    <row r="162" spans="2:10" ht="27" customHeight="1" x14ac:dyDescent="0.4">
      <c r="B162" s="9">
        <f>WEEKNUM(Tbl_Siparişler[[#This Row],[Sipariş Alınan Tarih]])</f>
        <v>35</v>
      </c>
      <c r="C162" s="6">
        <v>44434</v>
      </c>
      <c r="D162" s="7" t="s">
        <v>28</v>
      </c>
      <c r="E162" s="7">
        <v>40398</v>
      </c>
      <c r="F162" s="7" t="s">
        <v>107</v>
      </c>
      <c r="G162" s="7" t="s">
        <v>43</v>
      </c>
      <c r="H162" s="7" t="s">
        <v>45</v>
      </c>
      <c r="I162" s="7">
        <v>2</v>
      </c>
      <c r="J162" s="8">
        <f>IFERROR(VLOOKUP(Tbl_Siparişler[[#This Row],[Kategori]]&amp;"-"&amp;Tbl_Siparişler[[#This Row],[Ürün Adı]],Tbl_Ürünler[],11,0)*Tbl_Siparişler[[#This Row],[Adet]],"")</f>
        <v>19318.8</v>
      </c>
    </row>
    <row r="163" spans="2:10" ht="27" customHeight="1" x14ac:dyDescent="0.4">
      <c r="B163" s="9">
        <f>WEEKNUM(Tbl_Siparişler[[#This Row],[Sipariş Alınan Tarih]])</f>
        <v>33</v>
      </c>
      <c r="C163" s="6">
        <v>44420</v>
      </c>
      <c r="D163" s="7" t="s">
        <v>27</v>
      </c>
      <c r="E163" s="7">
        <v>77430</v>
      </c>
      <c r="F163" s="7" t="s">
        <v>109</v>
      </c>
      <c r="G163" s="7" t="s">
        <v>43</v>
      </c>
      <c r="H163" s="7" t="s">
        <v>45</v>
      </c>
      <c r="I163" s="7">
        <v>3</v>
      </c>
      <c r="J163" s="8">
        <f>IFERROR(VLOOKUP(Tbl_Siparişler[[#This Row],[Kategori]]&amp;"-"&amp;Tbl_Siparişler[[#This Row],[Ürün Adı]],Tbl_Ürünler[],11,0)*Tbl_Siparişler[[#This Row],[Adet]],"")</f>
        <v>28978.199999999997</v>
      </c>
    </row>
    <row r="164" spans="2:10" ht="27" customHeight="1" x14ac:dyDescent="0.4">
      <c r="B164" s="9">
        <f>WEEKNUM(Tbl_Siparişler[[#This Row],[Sipariş Alınan Tarih]])</f>
        <v>22</v>
      </c>
      <c r="C164" s="6">
        <v>44342</v>
      </c>
      <c r="D164" s="7" t="s">
        <v>27</v>
      </c>
      <c r="E164" s="7">
        <v>37999</v>
      </c>
      <c r="F164" s="7" t="s">
        <v>107</v>
      </c>
      <c r="G164" s="7" t="s">
        <v>47</v>
      </c>
      <c r="H164" s="7" t="s">
        <v>49</v>
      </c>
      <c r="I164" s="7">
        <v>2</v>
      </c>
      <c r="J164" s="8">
        <f>IFERROR(VLOOKUP(Tbl_Siparişler[[#This Row],[Kategori]]&amp;"-"&amp;Tbl_Siparişler[[#This Row],[Ürün Adı]],Tbl_Ürünler[],11,0)*Tbl_Siparişler[[#This Row],[Adet]],"")</f>
        <v>19139.5</v>
      </c>
    </row>
    <row r="165" spans="2:10" ht="27" customHeight="1" x14ac:dyDescent="0.4">
      <c r="B165" s="9">
        <f>WEEKNUM(Tbl_Siparişler[[#This Row],[Sipariş Alınan Tarih]])</f>
        <v>45</v>
      </c>
      <c r="C165" s="6">
        <v>44503</v>
      </c>
      <c r="D165" s="7" t="s">
        <v>24</v>
      </c>
      <c r="E165" s="7">
        <v>82454</v>
      </c>
      <c r="F165" s="7" t="s">
        <v>109</v>
      </c>
      <c r="G165" s="7" t="s">
        <v>47</v>
      </c>
      <c r="H165" s="7" t="s">
        <v>48</v>
      </c>
      <c r="I165" s="7">
        <v>2</v>
      </c>
      <c r="J165" s="8">
        <f>IFERROR(VLOOKUP(Tbl_Siparişler[[#This Row],[Kategori]]&amp;"-"&amp;Tbl_Siparişler[[#This Row],[Ürün Adı]],Tbl_Ürünler[],11,0)*Tbl_Siparişler[[#This Row],[Adet]],"")</f>
        <v>16107</v>
      </c>
    </row>
    <row r="166" spans="2:10" ht="27" customHeight="1" x14ac:dyDescent="0.4">
      <c r="B166" s="9">
        <f>WEEKNUM(Tbl_Siparişler[[#This Row],[Sipariş Alınan Tarih]])</f>
        <v>31</v>
      </c>
      <c r="C166" s="6">
        <v>44402</v>
      </c>
      <c r="D166" s="7" t="s">
        <v>25</v>
      </c>
      <c r="E166" s="7">
        <v>99499</v>
      </c>
      <c r="F166" s="7" t="s">
        <v>115</v>
      </c>
      <c r="G166" s="7" t="s">
        <v>29</v>
      </c>
      <c r="H166" s="7" t="s">
        <v>42</v>
      </c>
      <c r="I166" s="7">
        <v>1</v>
      </c>
      <c r="J166" s="8">
        <f>IFERROR(VLOOKUP(Tbl_Siparişler[[#This Row],[Kategori]]&amp;"-"&amp;Tbl_Siparişler[[#This Row],[Ürün Adı]],Tbl_Ürünler[],11,0)*Tbl_Siparişler[[#This Row],[Adet]],"")</f>
        <v>14066</v>
      </c>
    </row>
    <row r="167" spans="2:10" ht="27" customHeight="1" x14ac:dyDescent="0.4">
      <c r="B167" s="9">
        <f>WEEKNUM(Tbl_Siparişler[[#This Row],[Sipariş Alınan Tarih]])</f>
        <v>6</v>
      </c>
      <c r="C167" s="6">
        <v>44228</v>
      </c>
      <c r="D167" s="7" t="s">
        <v>25</v>
      </c>
      <c r="E167" s="7">
        <v>66102</v>
      </c>
      <c r="F167" s="7" t="s">
        <v>109</v>
      </c>
      <c r="G167" s="7" t="s">
        <v>29</v>
      </c>
      <c r="H167" s="7" t="s">
        <v>41</v>
      </c>
      <c r="I167" s="7">
        <v>2</v>
      </c>
      <c r="J167" s="8">
        <f>IFERROR(VLOOKUP(Tbl_Siparişler[[#This Row],[Kategori]]&amp;"-"&amp;Tbl_Siparişler[[#This Row],[Ürün Adı]],Tbl_Ürünler[],11,0)*Tbl_Siparişler[[#This Row],[Adet]],"")</f>
        <v>25242</v>
      </c>
    </row>
    <row r="168" spans="2:10" ht="27" customHeight="1" x14ac:dyDescent="0.4">
      <c r="B168" s="9">
        <f>WEEKNUM(Tbl_Siparişler[[#This Row],[Sipariş Alınan Tarih]])</f>
        <v>30</v>
      </c>
      <c r="C168" s="6">
        <v>44397</v>
      </c>
      <c r="D168" s="7" t="s">
        <v>25</v>
      </c>
      <c r="E168" s="7">
        <v>17913</v>
      </c>
      <c r="F168" s="7" t="s">
        <v>109</v>
      </c>
      <c r="G168" s="7" t="s">
        <v>43</v>
      </c>
      <c r="H168" s="7" t="s">
        <v>44</v>
      </c>
      <c r="I168" s="7">
        <v>3</v>
      </c>
      <c r="J168" s="8">
        <f>IFERROR(VLOOKUP(Tbl_Siparişler[[#This Row],[Kategori]]&amp;"-"&amp;Tbl_Siparişler[[#This Row],[Ürün Adı]],Tbl_Ürünler[],11,0)*Tbl_Siparişler[[#This Row],[Adet]],"")</f>
        <v>26743.800000000003</v>
      </c>
    </row>
    <row r="169" spans="2:10" ht="27" customHeight="1" x14ac:dyDescent="0.4">
      <c r="B169" s="9">
        <f>WEEKNUM(Tbl_Siparişler[[#This Row],[Sipariş Alınan Tarih]])</f>
        <v>37</v>
      </c>
      <c r="C169" s="6">
        <v>44445</v>
      </c>
      <c r="D169" s="7" t="s">
        <v>24</v>
      </c>
      <c r="E169" s="7">
        <v>25950</v>
      </c>
      <c r="F169" s="7" t="s">
        <v>110</v>
      </c>
      <c r="G169" s="7" t="s">
        <v>43</v>
      </c>
      <c r="H169" s="7" t="s">
        <v>50</v>
      </c>
      <c r="I169" s="7">
        <v>3</v>
      </c>
      <c r="J169" s="8">
        <f>IFERROR(VLOOKUP(Tbl_Siparişler[[#This Row],[Kategori]]&amp;"-"&amp;Tbl_Siparişler[[#This Row],[Ürün Adı]],Tbl_Ürünler[],11,0)*Tbl_Siparişler[[#This Row],[Adet]],"")</f>
        <v>19374.300000000003</v>
      </c>
    </row>
    <row r="170" spans="2:10" ht="27" customHeight="1" x14ac:dyDescent="0.4">
      <c r="B170" s="9">
        <f>WEEKNUM(Tbl_Siparişler[[#This Row],[Sipariş Alınan Tarih]])</f>
        <v>41</v>
      </c>
      <c r="C170" s="6">
        <v>44472</v>
      </c>
      <c r="D170" s="7" t="s">
        <v>28</v>
      </c>
      <c r="E170" s="7">
        <v>10172</v>
      </c>
      <c r="F170" s="7" t="s">
        <v>113</v>
      </c>
      <c r="G170" s="7" t="s">
        <v>29</v>
      </c>
      <c r="H170" s="7" t="s">
        <v>37</v>
      </c>
      <c r="I170" s="7">
        <v>2</v>
      </c>
      <c r="J170" s="8">
        <f>IFERROR(VLOOKUP(Tbl_Siparişler[[#This Row],[Kategori]]&amp;"-"&amp;Tbl_Siparişler[[#This Row],[Ürün Adı]],Tbl_Ürünler[],11,0)*Tbl_Siparişler[[#This Row],[Adet]],"")</f>
        <v>19600.900000000001</v>
      </c>
    </row>
    <row r="171" spans="2:10" ht="27" customHeight="1" x14ac:dyDescent="0.4">
      <c r="B171" s="9">
        <f>WEEKNUM(Tbl_Siparişler[[#This Row],[Sipariş Alınan Tarih]])</f>
        <v>41</v>
      </c>
      <c r="C171" s="6">
        <v>44477</v>
      </c>
      <c r="D171" s="7" t="s">
        <v>25</v>
      </c>
      <c r="E171" s="7">
        <v>26244</v>
      </c>
      <c r="F171" s="7" t="s">
        <v>115</v>
      </c>
      <c r="G171" s="7" t="s">
        <v>98</v>
      </c>
      <c r="H171" s="7" t="s">
        <v>103</v>
      </c>
      <c r="I171" s="7">
        <v>5</v>
      </c>
      <c r="J171" s="8">
        <f>IFERROR(VLOOKUP(Tbl_Siparişler[[#This Row],[Kategori]]&amp;"-"&amp;Tbl_Siparişler[[#This Row],[Ürün Adı]],Tbl_Ürünler[],11,0)*Tbl_Siparişler[[#This Row],[Adet]],"")</f>
        <v>29812.5</v>
      </c>
    </row>
    <row r="172" spans="2:10" ht="27" customHeight="1" x14ac:dyDescent="0.4">
      <c r="B172" s="9">
        <f>WEEKNUM(Tbl_Siparişler[[#This Row],[Sipariş Alınan Tarih]])</f>
        <v>40</v>
      </c>
      <c r="C172" s="6">
        <v>44470</v>
      </c>
      <c r="D172" s="7" t="s">
        <v>28</v>
      </c>
      <c r="E172" s="7">
        <v>99755</v>
      </c>
      <c r="F172" s="7" t="s">
        <v>112</v>
      </c>
      <c r="G172" s="7" t="s">
        <v>47</v>
      </c>
      <c r="H172" s="7" t="s">
        <v>48</v>
      </c>
      <c r="I172" s="7">
        <v>1</v>
      </c>
      <c r="J172" s="8">
        <f>IFERROR(VLOOKUP(Tbl_Siparişler[[#This Row],[Kategori]]&amp;"-"&amp;Tbl_Siparişler[[#This Row],[Ürün Adı]],Tbl_Ürünler[],11,0)*Tbl_Siparişler[[#This Row],[Adet]],"")</f>
        <v>8053.5</v>
      </c>
    </row>
    <row r="173" spans="2:10" ht="27" customHeight="1" x14ac:dyDescent="0.4">
      <c r="B173" s="9">
        <f>WEEKNUM(Tbl_Siparişler[[#This Row],[Sipariş Alınan Tarih]])</f>
        <v>40</v>
      </c>
      <c r="C173" s="6">
        <v>44471</v>
      </c>
      <c r="D173" s="7" t="s">
        <v>27</v>
      </c>
      <c r="E173" s="7">
        <v>43154</v>
      </c>
      <c r="F173" s="7" t="s">
        <v>117</v>
      </c>
      <c r="G173" s="7" t="s">
        <v>43</v>
      </c>
      <c r="H173" s="7" t="s">
        <v>45</v>
      </c>
      <c r="I173" s="7">
        <v>2</v>
      </c>
      <c r="J173" s="8">
        <f>IFERROR(VLOOKUP(Tbl_Siparişler[[#This Row],[Kategori]]&amp;"-"&amp;Tbl_Siparişler[[#This Row],[Ürün Adı]],Tbl_Ürünler[],11,0)*Tbl_Siparişler[[#This Row],[Adet]],"")</f>
        <v>19318.8</v>
      </c>
    </row>
    <row r="174" spans="2:10" ht="27" customHeight="1" x14ac:dyDescent="0.4">
      <c r="B174" s="9">
        <f>WEEKNUM(Tbl_Siparişler[[#This Row],[Sipariş Alınan Tarih]])</f>
        <v>29</v>
      </c>
      <c r="C174" s="6">
        <v>44388</v>
      </c>
      <c r="D174" s="7" t="s">
        <v>95</v>
      </c>
      <c r="E174" s="7">
        <v>46718</v>
      </c>
      <c r="F174" s="7" t="s">
        <v>107</v>
      </c>
      <c r="G174" s="7" t="s">
        <v>98</v>
      </c>
      <c r="H174" s="7" t="s">
        <v>103</v>
      </c>
      <c r="I174" s="7">
        <v>4</v>
      </c>
      <c r="J174" s="8">
        <f>IFERROR(VLOOKUP(Tbl_Siparişler[[#This Row],[Kategori]]&amp;"-"&amp;Tbl_Siparişler[[#This Row],[Ürün Adı]],Tbl_Ürünler[],11,0)*Tbl_Siparişler[[#This Row],[Adet]],"")</f>
        <v>23850</v>
      </c>
    </row>
    <row r="175" spans="2:10" ht="27" customHeight="1" x14ac:dyDescent="0.4">
      <c r="B175" s="9">
        <f>WEEKNUM(Tbl_Siparişler[[#This Row],[Sipariş Alınan Tarih]])</f>
        <v>3</v>
      </c>
      <c r="C175" s="6">
        <v>44208</v>
      </c>
      <c r="D175" s="7" t="s">
        <v>26</v>
      </c>
      <c r="E175" s="7">
        <v>99633</v>
      </c>
      <c r="F175" s="7" t="s">
        <v>117</v>
      </c>
      <c r="G175" s="7" t="s">
        <v>98</v>
      </c>
      <c r="H175" s="7" t="s">
        <v>100</v>
      </c>
      <c r="I175" s="7">
        <v>2</v>
      </c>
      <c r="J175" s="8">
        <f>IFERROR(VLOOKUP(Tbl_Siparişler[[#This Row],[Kategori]]&amp;"-"&amp;Tbl_Siparişler[[#This Row],[Ürün Adı]],Tbl_Ürünler[],11,0)*Tbl_Siparişler[[#This Row],[Adet]],"")</f>
        <v>18470.400000000001</v>
      </c>
    </row>
    <row r="176" spans="2:10" ht="27" customHeight="1" x14ac:dyDescent="0.4">
      <c r="B176" s="9">
        <f>WEEKNUM(Tbl_Siparişler[[#This Row],[Sipariş Alınan Tarih]])</f>
        <v>37</v>
      </c>
      <c r="C176" s="6">
        <v>44450</v>
      </c>
      <c r="D176" s="7" t="s">
        <v>26</v>
      </c>
      <c r="E176" s="7">
        <v>42763</v>
      </c>
      <c r="F176" s="7" t="s">
        <v>107</v>
      </c>
      <c r="G176" s="7" t="s">
        <v>98</v>
      </c>
      <c r="H176" s="7" t="s">
        <v>100</v>
      </c>
      <c r="I176" s="7">
        <v>5</v>
      </c>
      <c r="J176" s="8">
        <f>IFERROR(VLOOKUP(Tbl_Siparişler[[#This Row],[Kategori]]&amp;"-"&amp;Tbl_Siparişler[[#This Row],[Ürün Adı]],Tbl_Ürünler[],11,0)*Tbl_Siparişler[[#This Row],[Adet]],"")</f>
        <v>46176</v>
      </c>
    </row>
    <row r="177" spans="2:10" ht="27" customHeight="1" x14ac:dyDescent="0.4">
      <c r="B177" s="9">
        <f>WEEKNUM(Tbl_Siparişler[[#This Row],[Sipariş Alınan Tarih]])</f>
        <v>39</v>
      </c>
      <c r="C177" s="6">
        <v>44462</v>
      </c>
      <c r="D177" s="7" t="s">
        <v>106</v>
      </c>
      <c r="E177" s="7">
        <v>38373</v>
      </c>
      <c r="F177" s="7" t="s">
        <v>115</v>
      </c>
      <c r="G177" s="7" t="s">
        <v>47</v>
      </c>
      <c r="H177" s="7" t="s">
        <v>48</v>
      </c>
      <c r="I177" s="7">
        <v>2</v>
      </c>
      <c r="J177" s="8">
        <f>IFERROR(VLOOKUP(Tbl_Siparişler[[#This Row],[Kategori]]&amp;"-"&amp;Tbl_Siparişler[[#This Row],[Ürün Adı]],Tbl_Ürünler[],11,0)*Tbl_Siparişler[[#This Row],[Adet]],"")</f>
        <v>16107</v>
      </c>
    </row>
    <row r="178" spans="2:10" ht="27" customHeight="1" x14ac:dyDescent="0.4">
      <c r="B178" s="9">
        <f>WEEKNUM(Tbl_Siparişler[[#This Row],[Sipariş Alınan Tarih]])</f>
        <v>39</v>
      </c>
      <c r="C178" s="6">
        <v>44464</v>
      </c>
      <c r="D178" s="7" t="s">
        <v>24</v>
      </c>
      <c r="E178" s="7">
        <v>65715</v>
      </c>
      <c r="F178" s="7" t="s">
        <v>114</v>
      </c>
      <c r="G178" s="7" t="s">
        <v>29</v>
      </c>
      <c r="H178" s="7" t="s">
        <v>42</v>
      </c>
      <c r="I178" s="7">
        <v>5</v>
      </c>
      <c r="J178" s="8">
        <f>IFERROR(VLOOKUP(Tbl_Siparişler[[#This Row],[Kategori]]&amp;"-"&amp;Tbl_Siparişler[[#This Row],[Ürün Adı]],Tbl_Ürünler[],11,0)*Tbl_Siparişler[[#This Row],[Adet]],"")</f>
        <v>70330</v>
      </c>
    </row>
    <row r="179" spans="2:10" ht="27" customHeight="1" x14ac:dyDescent="0.4">
      <c r="B179" s="9">
        <f>WEEKNUM(Tbl_Siparişler[[#This Row],[Sipariş Alınan Tarih]])</f>
        <v>21</v>
      </c>
      <c r="C179" s="6">
        <v>44333</v>
      </c>
      <c r="D179" s="7" t="s">
        <v>25</v>
      </c>
      <c r="E179" s="7">
        <v>69829</v>
      </c>
      <c r="F179" s="7" t="s">
        <v>113</v>
      </c>
      <c r="G179" s="7" t="s">
        <v>43</v>
      </c>
      <c r="H179" s="7" t="s">
        <v>45</v>
      </c>
      <c r="I179" s="7">
        <v>4</v>
      </c>
      <c r="J179" s="8">
        <f>IFERROR(VLOOKUP(Tbl_Siparişler[[#This Row],[Kategori]]&amp;"-"&amp;Tbl_Siparişler[[#This Row],[Ürün Adı]],Tbl_Ürünler[],11,0)*Tbl_Siparişler[[#This Row],[Adet]],"")</f>
        <v>38637.599999999999</v>
      </c>
    </row>
    <row r="180" spans="2:10" ht="27" customHeight="1" x14ac:dyDescent="0.4">
      <c r="B180" s="9">
        <f>WEEKNUM(Tbl_Siparişler[[#This Row],[Sipariş Alınan Tarih]])</f>
        <v>27</v>
      </c>
      <c r="C180" s="6">
        <v>44375</v>
      </c>
      <c r="D180" s="7" t="s">
        <v>27</v>
      </c>
      <c r="E180" s="7">
        <v>71736</v>
      </c>
      <c r="F180" s="7" t="s">
        <v>116</v>
      </c>
      <c r="G180" s="7" t="s">
        <v>98</v>
      </c>
      <c r="H180" s="7" t="s">
        <v>100</v>
      </c>
      <c r="I180" s="7">
        <v>5</v>
      </c>
      <c r="J180" s="8">
        <f>IFERROR(VLOOKUP(Tbl_Siparişler[[#This Row],[Kategori]]&amp;"-"&amp;Tbl_Siparişler[[#This Row],[Ürün Adı]],Tbl_Ürünler[],11,0)*Tbl_Siparişler[[#This Row],[Adet]],"")</f>
        <v>46176</v>
      </c>
    </row>
    <row r="181" spans="2:10" ht="27" customHeight="1" x14ac:dyDescent="0.4">
      <c r="B181" s="9">
        <f>WEEKNUM(Tbl_Siparişler[[#This Row],[Sipariş Alınan Tarih]])</f>
        <v>25</v>
      </c>
      <c r="C181" s="6">
        <v>44362</v>
      </c>
      <c r="D181" s="7" t="s">
        <v>27</v>
      </c>
      <c r="E181" s="7">
        <v>82023</v>
      </c>
      <c r="F181" s="7" t="s">
        <v>114</v>
      </c>
      <c r="G181" s="7" t="s">
        <v>29</v>
      </c>
      <c r="H181" s="7" t="s">
        <v>30</v>
      </c>
      <c r="I181" s="7">
        <v>1</v>
      </c>
      <c r="J181" s="8">
        <f>IFERROR(VLOOKUP(Tbl_Siparişler[[#This Row],[Kategori]]&amp;"-"&amp;Tbl_Siparişler[[#This Row],[Ürün Adı]],Tbl_Ürünler[],11,0)*Tbl_Siparişler[[#This Row],[Adet]],"")</f>
        <v>8685.2999999999993</v>
      </c>
    </row>
    <row r="182" spans="2:10" ht="27" customHeight="1" x14ac:dyDescent="0.4">
      <c r="B182" s="9">
        <f>WEEKNUM(Tbl_Siparişler[[#This Row],[Sipariş Alınan Tarih]])</f>
        <v>38</v>
      </c>
      <c r="C182" s="6">
        <v>44455</v>
      </c>
      <c r="D182" s="7" t="s">
        <v>95</v>
      </c>
      <c r="E182" s="7">
        <v>52376</v>
      </c>
      <c r="F182" s="7" t="s">
        <v>111</v>
      </c>
      <c r="G182" s="7" t="s">
        <v>43</v>
      </c>
      <c r="H182" s="7" t="s">
        <v>50</v>
      </c>
      <c r="I182" s="7">
        <v>5</v>
      </c>
      <c r="J182" s="8">
        <f>IFERROR(VLOOKUP(Tbl_Siparişler[[#This Row],[Kategori]]&amp;"-"&amp;Tbl_Siparişler[[#This Row],[Ürün Adı]],Tbl_Ürünler[],11,0)*Tbl_Siparişler[[#This Row],[Adet]],"")</f>
        <v>32290.5</v>
      </c>
    </row>
    <row r="183" spans="2:10" ht="27" customHeight="1" x14ac:dyDescent="0.4">
      <c r="B183" s="9">
        <f>WEEKNUM(Tbl_Siparişler[[#This Row],[Sipariş Alınan Tarih]])</f>
        <v>49</v>
      </c>
      <c r="C183" s="6">
        <v>44534</v>
      </c>
      <c r="D183" s="7" t="s">
        <v>26</v>
      </c>
      <c r="E183" s="7">
        <v>29330</v>
      </c>
      <c r="F183" s="7" t="s">
        <v>110</v>
      </c>
      <c r="G183" s="7" t="s">
        <v>43</v>
      </c>
      <c r="H183" s="7" t="s">
        <v>45</v>
      </c>
      <c r="I183" s="7">
        <v>5</v>
      </c>
      <c r="J183" s="8">
        <f>IFERROR(VLOOKUP(Tbl_Siparişler[[#This Row],[Kategori]]&amp;"-"&amp;Tbl_Siparişler[[#This Row],[Ürün Adı]],Tbl_Ürünler[],11,0)*Tbl_Siparişler[[#This Row],[Adet]],"")</f>
        <v>48297</v>
      </c>
    </row>
    <row r="184" spans="2:10" ht="27" customHeight="1" x14ac:dyDescent="0.4">
      <c r="B184" s="9">
        <f>WEEKNUM(Tbl_Siparişler[[#This Row],[Sipariş Alınan Tarih]])</f>
        <v>21</v>
      </c>
      <c r="C184" s="6">
        <v>44337</v>
      </c>
      <c r="D184" s="7" t="s">
        <v>95</v>
      </c>
      <c r="E184" s="7">
        <v>27175</v>
      </c>
      <c r="F184" s="7" t="s">
        <v>110</v>
      </c>
      <c r="G184" s="7" t="s">
        <v>29</v>
      </c>
      <c r="H184" s="7" t="s">
        <v>37</v>
      </c>
      <c r="I184" s="7">
        <v>2</v>
      </c>
      <c r="J184" s="8">
        <f>IFERROR(VLOOKUP(Tbl_Siparişler[[#This Row],[Kategori]]&amp;"-"&amp;Tbl_Siparişler[[#This Row],[Ürün Adı]],Tbl_Ürünler[],11,0)*Tbl_Siparişler[[#This Row],[Adet]],"")</f>
        <v>19600.900000000001</v>
      </c>
    </row>
    <row r="185" spans="2:10" ht="27" customHeight="1" x14ac:dyDescent="0.4">
      <c r="B185" s="9">
        <f>WEEKNUM(Tbl_Siparişler[[#This Row],[Sipariş Alınan Tarih]])</f>
        <v>22</v>
      </c>
      <c r="C185" s="6">
        <v>44342</v>
      </c>
      <c r="D185" s="7" t="s">
        <v>25</v>
      </c>
      <c r="E185" s="7">
        <v>65427</v>
      </c>
      <c r="F185" s="7" t="s">
        <v>116</v>
      </c>
      <c r="G185" s="7" t="s">
        <v>29</v>
      </c>
      <c r="H185" s="7" t="s">
        <v>30</v>
      </c>
      <c r="I185" s="7">
        <v>4</v>
      </c>
      <c r="J185" s="8">
        <f>IFERROR(VLOOKUP(Tbl_Siparişler[[#This Row],[Kategori]]&amp;"-"&amp;Tbl_Siparişler[[#This Row],[Ürün Adı]],Tbl_Ürünler[],11,0)*Tbl_Siparişler[[#This Row],[Adet]],"")</f>
        <v>34741.199999999997</v>
      </c>
    </row>
    <row r="186" spans="2:10" ht="27" customHeight="1" x14ac:dyDescent="0.4">
      <c r="B186" s="9">
        <f>WEEKNUM(Tbl_Siparişler[[#This Row],[Sipariş Alınan Tarih]])</f>
        <v>14</v>
      </c>
      <c r="C186" s="6">
        <v>44283</v>
      </c>
      <c r="D186" s="7" t="s">
        <v>27</v>
      </c>
      <c r="E186" s="7">
        <v>35533</v>
      </c>
      <c r="F186" s="7" t="s">
        <v>110</v>
      </c>
      <c r="G186" s="7" t="s">
        <v>29</v>
      </c>
      <c r="H186" s="7" t="s">
        <v>41</v>
      </c>
      <c r="I186" s="7">
        <v>5</v>
      </c>
      <c r="J186" s="8">
        <f>IFERROR(VLOOKUP(Tbl_Siparişler[[#This Row],[Kategori]]&amp;"-"&amp;Tbl_Siparişler[[#This Row],[Ürün Adı]],Tbl_Ürünler[],11,0)*Tbl_Siparişler[[#This Row],[Adet]],"")</f>
        <v>63105</v>
      </c>
    </row>
    <row r="187" spans="2:10" ht="27" customHeight="1" x14ac:dyDescent="0.4">
      <c r="B187" s="9">
        <f>WEEKNUM(Tbl_Siparişler[[#This Row],[Sipariş Alınan Tarih]])</f>
        <v>4</v>
      </c>
      <c r="C187" s="6">
        <v>44213</v>
      </c>
      <c r="D187" s="7" t="s">
        <v>27</v>
      </c>
      <c r="E187" s="7">
        <v>65492</v>
      </c>
      <c r="F187" s="7" t="s">
        <v>113</v>
      </c>
      <c r="G187" s="7" t="s">
        <v>98</v>
      </c>
      <c r="H187" s="7" t="s">
        <v>99</v>
      </c>
      <c r="I187" s="7">
        <v>4</v>
      </c>
      <c r="J187" s="8">
        <f>IFERROR(VLOOKUP(Tbl_Siparişler[[#This Row],[Kategori]]&amp;"-"&amp;Tbl_Siparişler[[#This Row],[Ürün Adı]],Tbl_Ürünler[],11,0)*Tbl_Siparişler[[#This Row],[Adet]],"")</f>
        <v>16566.52</v>
      </c>
    </row>
    <row r="188" spans="2:10" ht="27" customHeight="1" x14ac:dyDescent="0.4">
      <c r="B188" s="9">
        <f>WEEKNUM(Tbl_Siparişler[[#This Row],[Sipariş Alınan Tarih]])</f>
        <v>15</v>
      </c>
      <c r="C188" s="6">
        <v>44290</v>
      </c>
      <c r="D188" s="7" t="s">
        <v>27</v>
      </c>
      <c r="E188" s="7">
        <v>40511</v>
      </c>
      <c r="F188" s="7" t="s">
        <v>112</v>
      </c>
      <c r="G188" s="7" t="s">
        <v>47</v>
      </c>
      <c r="H188" s="7" t="s">
        <v>49</v>
      </c>
      <c r="I188" s="7">
        <v>2</v>
      </c>
      <c r="J188" s="8">
        <f>IFERROR(VLOOKUP(Tbl_Siparişler[[#This Row],[Kategori]]&amp;"-"&amp;Tbl_Siparişler[[#This Row],[Ürün Adı]],Tbl_Ürünler[],11,0)*Tbl_Siparişler[[#This Row],[Adet]],"")</f>
        <v>19139.5</v>
      </c>
    </row>
    <row r="189" spans="2:10" ht="27" customHeight="1" x14ac:dyDescent="0.4">
      <c r="B189" s="9">
        <f>WEEKNUM(Tbl_Siparişler[[#This Row],[Sipariş Alınan Tarih]])</f>
        <v>9</v>
      </c>
      <c r="C189" s="6">
        <v>44253</v>
      </c>
      <c r="D189" s="7" t="s">
        <v>106</v>
      </c>
      <c r="E189" s="7">
        <v>29868</v>
      </c>
      <c r="F189" s="7" t="s">
        <v>115</v>
      </c>
      <c r="G189" s="7" t="s">
        <v>47</v>
      </c>
      <c r="H189" s="7" t="s">
        <v>48</v>
      </c>
      <c r="I189" s="7">
        <v>1</v>
      </c>
      <c r="J189" s="8">
        <f>IFERROR(VLOOKUP(Tbl_Siparişler[[#This Row],[Kategori]]&amp;"-"&amp;Tbl_Siparişler[[#This Row],[Ürün Adı]],Tbl_Ürünler[],11,0)*Tbl_Siparişler[[#This Row],[Adet]],"")</f>
        <v>8053.5</v>
      </c>
    </row>
    <row r="190" spans="2:10" ht="27" customHeight="1" x14ac:dyDescent="0.4">
      <c r="B190" s="9">
        <f>WEEKNUM(Tbl_Siparişler[[#This Row],[Sipariş Alınan Tarih]])</f>
        <v>32</v>
      </c>
      <c r="C190" s="6">
        <v>44411</v>
      </c>
      <c r="D190" s="7" t="s">
        <v>26</v>
      </c>
      <c r="E190" s="7">
        <v>32135</v>
      </c>
      <c r="F190" s="7" t="s">
        <v>107</v>
      </c>
      <c r="G190" s="7" t="s">
        <v>47</v>
      </c>
      <c r="H190" s="7" t="s">
        <v>48</v>
      </c>
      <c r="I190" s="7">
        <v>4</v>
      </c>
      <c r="J190" s="8">
        <f>IFERROR(VLOOKUP(Tbl_Siparişler[[#This Row],[Kategori]]&amp;"-"&amp;Tbl_Siparişler[[#This Row],[Ürün Adı]],Tbl_Ürünler[],11,0)*Tbl_Siparişler[[#This Row],[Adet]],"")</f>
        <v>32214</v>
      </c>
    </row>
    <row r="191" spans="2:10" ht="27" customHeight="1" x14ac:dyDescent="0.4">
      <c r="B191" s="9">
        <f>WEEKNUM(Tbl_Siparişler[[#This Row],[Sipariş Alınan Tarih]])</f>
        <v>12</v>
      </c>
      <c r="C191" s="6">
        <v>44271</v>
      </c>
      <c r="D191" s="7" t="s">
        <v>28</v>
      </c>
      <c r="E191" s="7">
        <v>74199</v>
      </c>
      <c r="F191" s="7" t="s">
        <v>107</v>
      </c>
      <c r="G191" s="7" t="s">
        <v>43</v>
      </c>
      <c r="H191" s="7" t="s">
        <v>50</v>
      </c>
      <c r="I191" s="7">
        <v>3</v>
      </c>
      <c r="J191" s="8">
        <f>IFERROR(VLOOKUP(Tbl_Siparişler[[#This Row],[Kategori]]&amp;"-"&amp;Tbl_Siparişler[[#This Row],[Ürün Adı]],Tbl_Ürünler[],11,0)*Tbl_Siparişler[[#This Row],[Adet]],"")</f>
        <v>19374.300000000003</v>
      </c>
    </row>
    <row r="192" spans="2:10" ht="27" customHeight="1" x14ac:dyDescent="0.4">
      <c r="B192" s="9">
        <f>WEEKNUM(Tbl_Siparişler[[#This Row],[Sipariş Alınan Tarih]])</f>
        <v>51</v>
      </c>
      <c r="C192" s="6">
        <v>44543</v>
      </c>
      <c r="D192" s="7" t="s">
        <v>24</v>
      </c>
      <c r="E192" s="7">
        <v>41546</v>
      </c>
      <c r="F192" s="7" t="s">
        <v>108</v>
      </c>
      <c r="G192" s="7" t="s">
        <v>47</v>
      </c>
      <c r="H192" s="7" t="s">
        <v>49</v>
      </c>
      <c r="I192" s="7">
        <v>4</v>
      </c>
      <c r="J192" s="8">
        <f>IFERROR(VLOOKUP(Tbl_Siparişler[[#This Row],[Kategori]]&amp;"-"&amp;Tbl_Siparişler[[#This Row],[Ürün Adı]],Tbl_Ürünler[],11,0)*Tbl_Siparişler[[#This Row],[Adet]],"")</f>
        <v>38279</v>
      </c>
    </row>
    <row r="193" spans="2:10" ht="27" customHeight="1" x14ac:dyDescent="0.4">
      <c r="B193" s="9">
        <f>WEEKNUM(Tbl_Siparişler[[#This Row],[Sipariş Alınan Tarih]])</f>
        <v>6</v>
      </c>
      <c r="C193" s="6">
        <v>44231</v>
      </c>
      <c r="D193" s="7" t="s">
        <v>25</v>
      </c>
      <c r="E193" s="7">
        <v>85593</v>
      </c>
      <c r="F193" s="7" t="s">
        <v>116</v>
      </c>
      <c r="G193" s="7" t="s">
        <v>47</v>
      </c>
      <c r="H193" s="7" t="s">
        <v>48</v>
      </c>
      <c r="I193" s="7">
        <v>1</v>
      </c>
      <c r="J193" s="8">
        <f>IFERROR(VLOOKUP(Tbl_Siparişler[[#This Row],[Kategori]]&amp;"-"&amp;Tbl_Siparişler[[#This Row],[Ürün Adı]],Tbl_Ürünler[],11,0)*Tbl_Siparişler[[#This Row],[Adet]],"")</f>
        <v>8053.5</v>
      </c>
    </row>
    <row r="194" spans="2:10" ht="27" customHeight="1" x14ac:dyDescent="0.4">
      <c r="B194" s="9">
        <f>WEEKNUM(Tbl_Siparişler[[#This Row],[Sipariş Alınan Tarih]])</f>
        <v>1</v>
      </c>
      <c r="C194" s="6">
        <v>44198</v>
      </c>
      <c r="D194" s="7" t="s">
        <v>24</v>
      </c>
      <c r="E194" s="7">
        <v>97849</v>
      </c>
      <c r="F194" s="7" t="s">
        <v>109</v>
      </c>
      <c r="G194" s="7" t="s">
        <v>43</v>
      </c>
      <c r="H194" s="7" t="s">
        <v>46</v>
      </c>
      <c r="I194" s="7">
        <v>4</v>
      </c>
      <c r="J194" s="8">
        <f>IFERROR(VLOOKUP(Tbl_Siparişler[[#This Row],[Kategori]]&amp;"-"&amp;Tbl_Siparişler[[#This Row],[Ürün Adı]],Tbl_Ürünler[],11,0)*Tbl_Siparişler[[#This Row],[Adet]],"")</f>
        <v>53373.600000000006</v>
      </c>
    </row>
    <row r="195" spans="2:10" ht="27" customHeight="1" x14ac:dyDescent="0.4">
      <c r="B195" s="9">
        <f>WEEKNUM(Tbl_Siparişler[[#This Row],[Sipariş Alınan Tarih]])</f>
        <v>8</v>
      </c>
      <c r="C195" s="6">
        <v>44241</v>
      </c>
      <c r="D195" s="7" t="s">
        <v>25</v>
      </c>
      <c r="E195" s="7">
        <v>64059</v>
      </c>
      <c r="F195" s="7" t="s">
        <v>114</v>
      </c>
      <c r="G195" s="7" t="s">
        <v>29</v>
      </c>
      <c r="H195" s="7" t="s">
        <v>42</v>
      </c>
      <c r="I195" s="7">
        <v>3</v>
      </c>
      <c r="J195" s="8">
        <f>IFERROR(VLOOKUP(Tbl_Siparişler[[#This Row],[Kategori]]&amp;"-"&amp;Tbl_Siparişler[[#This Row],[Ürün Adı]],Tbl_Ürünler[],11,0)*Tbl_Siparişler[[#This Row],[Adet]],"")</f>
        <v>42198</v>
      </c>
    </row>
    <row r="196" spans="2:10" ht="27" customHeight="1" x14ac:dyDescent="0.4">
      <c r="B196" s="9">
        <f>WEEKNUM(Tbl_Siparişler[[#This Row],[Sipariş Alınan Tarih]])</f>
        <v>52</v>
      </c>
      <c r="C196" s="6">
        <v>44555</v>
      </c>
      <c r="D196" s="7" t="s">
        <v>28</v>
      </c>
      <c r="E196" s="7">
        <v>78332</v>
      </c>
      <c r="F196" s="7" t="s">
        <v>109</v>
      </c>
      <c r="G196" s="7" t="s">
        <v>43</v>
      </c>
      <c r="H196" s="7" t="s">
        <v>44</v>
      </c>
      <c r="I196" s="7">
        <v>2</v>
      </c>
      <c r="J196" s="8">
        <f>IFERROR(VLOOKUP(Tbl_Siparişler[[#This Row],[Kategori]]&amp;"-"&amp;Tbl_Siparişler[[#This Row],[Ürün Adı]],Tbl_Ürünler[],11,0)*Tbl_Siparişler[[#This Row],[Adet]],"")</f>
        <v>17829.2</v>
      </c>
    </row>
    <row r="197" spans="2:10" ht="27" customHeight="1" x14ac:dyDescent="0.4">
      <c r="B197" s="9">
        <f>WEEKNUM(Tbl_Siparişler[[#This Row],[Sipariş Alınan Tarih]])</f>
        <v>15</v>
      </c>
      <c r="C197" s="6">
        <v>44292</v>
      </c>
      <c r="D197" s="7" t="s">
        <v>27</v>
      </c>
      <c r="E197" s="7">
        <v>37118</v>
      </c>
      <c r="F197" s="7" t="s">
        <v>109</v>
      </c>
      <c r="G197" s="7" t="s">
        <v>47</v>
      </c>
      <c r="H197" s="7" t="s">
        <v>48</v>
      </c>
      <c r="I197" s="7">
        <v>5</v>
      </c>
      <c r="J197" s="8">
        <f>IFERROR(VLOOKUP(Tbl_Siparişler[[#This Row],[Kategori]]&amp;"-"&amp;Tbl_Siparişler[[#This Row],[Ürün Adı]],Tbl_Ürünler[],11,0)*Tbl_Siparişler[[#This Row],[Adet]],"")</f>
        <v>40267.5</v>
      </c>
    </row>
    <row r="198" spans="2:10" ht="27" customHeight="1" x14ac:dyDescent="0.4">
      <c r="B198" s="9">
        <f>WEEKNUM(Tbl_Siparişler[[#This Row],[Sipariş Alınan Tarih]])</f>
        <v>34</v>
      </c>
      <c r="C198" s="6">
        <v>44427</v>
      </c>
      <c r="D198" s="7" t="s">
        <v>27</v>
      </c>
      <c r="E198" s="7">
        <v>76717</v>
      </c>
      <c r="F198" s="7" t="s">
        <v>113</v>
      </c>
      <c r="G198" s="7" t="s">
        <v>43</v>
      </c>
      <c r="H198" s="7" t="s">
        <v>50</v>
      </c>
      <c r="I198" s="7">
        <v>2</v>
      </c>
      <c r="J198" s="8">
        <f>IFERROR(VLOOKUP(Tbl_Siparişler[[#This Row],[Kategori]]&amp;"-"&amp;Tbl_Siparişler[[#This Row],[Ürün Adı]],Tbl_Ürünler[],11,0)*Tbl_Siparişler[[#This Row],[Adet]],"")</f>
        <v>12916.2</v>
      </c>
    </row>
    <row r="199" spans="2:10" ht="27" customHeight="1" x14ac:dyDescent="0.4">
      <c r="B199" s="9">
        <f>WEEKNUM(Tbl_Siparişler[[#This Row],[Sipariş Alınan Tarih]])</f>
        <v>13</v>
      </c>
      <c r="C199" s="6">
        <v>44276</v>
      </c>
      <c r="D199" s="7" t="s">
        <v>25</v>
      </c>
      <c r="E199" s="7">
        <v>25855</v>
      </c>
      <c r="F199" s="7" t="s">
        <v>114</v>
      </c>
      <c r="G199" s="7" t="s">
        <v>98</v>
      </c>
      <c r="H199" s="7" t="s">
        <v>99</v>
      </c>
      <c r="I199" s="7">
        <v>2</v>
      </c>
      <c r="J199" s="8">
        <f>IFERROR(VLOOKUP(Tbl_Siparişler[[#This Row],[Kategori]]&amp;"-"&amp;Tbl_Siparişler[[#This Row],[Ürün Adı]],Tbl_Ürünler[],11,0)*Tbl_Siparişler[[#This Row],[Adet]],"")</f>
        <v>8283.26</v>
      </c>
    </row>
    <row r="200" spans="2:10" ht="27" customHeight="1" x14ac:dyDescent="0.4">
      <c r="B200" s="9">
        <f>WEEKNUM(Tbl_Siparişler[[#This Row],[Sipariş Alınan Tarih]])</f>
        <v>4</v>
      </c>
      <c r="C200" s="6">
        <v>44214</v>
      </c>
      <c r="D200" s="7" t="s">
        <v>106</v>
      </c>
      <c r="E200" s="7">
        <v>40472</v>
      </c>
      <c r="F200" s="7" t="s">
        <v>108</v>
      </c>
      <c r="G200" s="7" t="s">
        <v>29</v>
      </c>
      <c r="H200" s="7" t="s">
        <v>30</v>
      </c>
      <c r="I200" s="7">
        <v>5</v>
      </c>
      <c r="J200" s="8">
        <f>IFERROR(VLOOKUP(Tbl_Siparişler[[#This Row],[Kategori]]&amp;"-"&amp;Tbl_Siparişler[[#This Row],[Ürün Adı]],Tbl_Ürünler[],11,0)*Tbl_Siparişler[[#This Row],[Adet]],"")</f>
        <v>43426.5</v>
      </c>
    </row>
    <row r="201" spans="2:10" ht="27" customHeight="1" x14ac:dyDescent="0.4">
      <c r="B201" s="9">
        <f>WEEKNUM(Tbl_Siparişler[[#This Row],[Sipariş Alınan Tarih]])</f>
        <v>12</v>
      </c>
      <c r="C201" s="6">
        <v>44269</v>
      </c>
      <c r="D201" s="7" t="s">
        <v>26</v>
      </c>
      <c r="E201" s="7">
        <v>64965</v>
      </c>
      <c r="F201" s="7" t="s">
        <v>118</v>
      </c>
      <c r="G201" s="7" t="s">
        <v>47</v>
      </c>
      <c r="H201" s="7" t="s">
        <v>48</v>
      </c>
      <c r="I201" s="7">
        <v>4</v>
      </c>
      <c r="J201" s="8">
        <f>IFERROR(VLOOKUP(Tbl_Siparişler[[#This Row],[Kategori]]&amp;"-"&amp;Tbl_Siparişler[[#This Row],[Ürün Adı]],Tbl_Ürünler[],11,0)*Tbl_Siparişler[[#This Row],[Adet]],"")</f>
        <v>32214</v>
      </c>
    </row>
    <row r="202" spans="2:10" ht="27" customHeight="1" x14ac:dyDescent="0.4">
      <c r="B202" s="9">
        <f>WEEKNUM(Tbl_Siparişler[[#This Row],[Sipariş Alınan Tarih]])</f>
        <v>51</v>
      </c>
      <c r="C202" s="6">
        <v>44543</v>
      </c>
      <c r="D202" s="7" t="s">
        <v>28</v>
      </c>
      <c r="E202" s="7">
        <v>52198</v>
      </c>
      <c r="F202" s="7" t="s">
        <v>110</v>
      </c>
      <c r="G202" s="7" t="s">
        <v>47</v>
      </c>
      <c r="H202" s="7" t="s">
        <v>49</v>
      </c>
      <c r="I202" s="7">
        <v>2</v>
      </c>
      <c r="J202" s="8">
        <f>IFERROR(VLOOKUP(Tbl_Siparişler[[#This Row],[Kategori]]&amp;"-"&amp;Tbl_Siparişler[[#This Row],[Ürün Adı]],Tbl_Ürünler[],11,0)*Tbl_Siparişler[[#This Row],[Adet]],"")</f>
        <v>19139.5</v>
      </c>
    </row>
    <row r="203" spans="2:10" ht="27" customHeight="1" x14ac:dyDescent="0.4">
      <c r="B203" s="9">
        <f>WEEKNUM(Tbl_Siparişler[[#This Row],[Sipariş Alınan Tarih]])</f>
        <v>39</v>
      </c>
      <c r="C203" s="6">
        <v>44458</v>
      </c>
      <c r="D203" s="7" t="s">
        <v>26</v>
      </c>
      <c r="E203" s="7">
        <v>65976</v>
      </c>
      <c r="F203" s="7" t="s">
        <v>109</v>
      </c>
      <c r="G203" s="7" t="s">
        <v>98</v>
      </c>
      <c r="H203" s="7" t="s">
        <v>99</v>
      </c>
      <c r="I203" s="7">
        <v>3</v>
      </c>
      <c r="J203" s="8">
        <f>IFERROR(VLOOKUP(Tbl_Siparişler[[#This Row],[Kategori]]&amp;"-"&amp;Tbl_Siparişler[[#This Row],[Ürün Adı]],Tbl_Ürünler[],11,0)*Tbl_Siparişler[[#This Row],[Adet]],"")</f>
        <v>12424.89</v>
      </c>
    </row>
    <row r="204" spans="2:10" ht="27" customHeight="1" x14ac:dyDescent="0.4">
      <c r="B204" s="9">
        <f>WEEKNUM(Tbl_Siparişler[[#This Row],[Sipariş Alınan Tarih]])</f>
        <v>25</v>
      </c>
      <c r="C204" s="6">
        <v>44362</v>
      </c>
      <c r="D204" s="7" t="s">
        <v>106</v>
      </c>
      <c r="E204" s="7">
        <v>19307</v>
      </c>
      <c r="F204" s="7" t="s">
        <v>110</v>
      </c>
      <c r="G204" s="7" t="s">
        <v>98</v>
      </c>
      <c r="H204" s="7" t="s">
        <v>103</v>
      </c>
      <c r="I204" s="7">
        <v>1</v>
      </c>
      <c r="J204" s="8">
        <f>IFERROR(VLOOKUP(Tbl_Siparişler[[#This Row],[Kategori]]&amp;"-"&amp;Tbl_Siparişler[[#This Row],[Ürün Adı]],Tbl_Ürünler[],11,0)*Tbl_Siparişler[[#This Row],[Adet]],"")</f>
        <v>5962.5</v>
      </c>
    </row>
    <row r="205" spans="2:10" ht="27" customHeight="1" x14ac:dyDescent="0.4">
      <c r="B205" s="9">
        <f>WEEKNUM(Tbl_Siparişler[[#This Row],[Sipariş Alınan Tarih]])</f>
        <v>47</v>
      </c>
      <c r="C205" s="6">
        <v>44518</v>
      </c>
      <c r="D205" s="7" t="s">
        <v>26</v>
      </c>
      <c r="E205" s="7">
        <v>32897</v>
      </c>
      <c r="F205" s="7" t="s">
        <v>111</v>
      </c>
      <c r="G205" s="7" t="s">
        <v>43</v>
      </c>
      <c r="H205" s="7" t="s">
        <v>50</v>
      </c>
      <c r="I205" s="7">
        <v>5</v>
      </c>
      <c r="J205" s="8">
        <f>IFERROR(VLOOKUP(Tbl_Siparişler[[#This Row],[Kategori]]&amp;"-"&amp;Tbl_Siparişler[[#This Row],[Ürün Adı]],Tbl_Ürünler[],11,0)*Tbl_Siparişler[[#This Row],[Adet]],"")</f>
        <v>32290.5</v>
      </c>
    </row>
    <row r="206" spans="2:10" ht="27" customHeight="1" x14ac:dyDescent="0.4">
      <c r="B206" s="9">
        <f>WEEKNUM(Tbl_Siparişler[[#This Row],[Sipariş Alınan Tarih]])</f>
        <v>35</v>
      </c>
      <c r="C206" s="6">
        <v>44435</v>
      </c>
      <c r="D206" s="7" t="s">
        <v>26</v>
      </c>
      <c r="E206" s="7">
        <v>56824</v>
      </c>
      <c r="F206" s="7" t="s">
        <v>108</v>
      </c>
      <c r="G206" s="7" t="s">
        <v>43</v>
      </c>
      <c r="H206" s="7" t="s">
        <v>50</v>
      </c>
      <c r="I206" s="7">
        <v>2</v>
      </c>
      <c r="J206" s="8">
        <f>IFERROR(VLOOKUP(Tbl_Siparişler[[#This Row],[Kategori]]&amp;"-"&amp;Tbl_Siparişler[[#This Row],[Ürün Adı]],Tbl_Ürünler[],11,0)*Tbl_Siparişler[[#This Row],[Adet]],"")</f>
        <v>12916.2</v>
      </c>
    </row>
    <row r="207" spans="2:10" ht="27" customHeight="1" x14ac:dyDescent="0.4">
      <c r="B207" s="9">
        <f>WEEKNUM(Tbl_Siparişler[[#This Row],[Sipariş Alınan Tarih]])</f>
        <v>35</v>
      </c>
      <c r="C207" s="6">
        <v>44433</v>
      </c>
      <c r="D207" s="7" t="s">
        <v>26</v>
      </c>
      <c r="E207" s="7">
        <v>69272</v>
      </c>
      <c r="F207" s="7" t="s">
        <v>107</v>
      </c>
      <c r="G207" s="7" t="s">
        <v>43</v>
      </c>
      <c r="H207" s="7" t="s">
        <v>50</v>
      </c>
      <c r="I207" s="7">
        <v>4</v>
      </c>
      <c r="J207" s="8">
        <f>IFERROR(VLOOKUP(Tbl_Siparişler[[#This Row],[Kategori]]&amp;"-"&amp;Tbl_Siparişler[[#This Row],[Ürün Adı]],Tbl_Ürünler[],11,0)*Tbl_Siparişler[[#This Row],[Adet]],"")</f>
        <v>25832.400000000001</v>
      </c>
    </row>
    <row r="208" spans="2:10" ht="27" customHeight="1" x14ac:dyDescent="0.4">
      <c r="B208" s="9">
        <f>WEEKNUM(Tbl_Siparişler[[#This Row],[Sipariş Alınan Tarih]])</f>
        <v>9</v>
      </c>
      <c r="C208" s="6">
        <v>44251</v>
      </c>
      <c r="D208" s="7" t="s">
        <v>95</v>
      </c>
      <c r="E208" s="7">
        <v>22030</v>
      </c>
      <c r="F208" s="7" t="s">
        <v>116</v>
      </c>
      <c r="G208" s="7" t="s">
        <v>98</v>
      </c>
      <c r="H208" s="7" t="s">
        <v>103</v>
      </c>
      <c r="I208" s="7">
        <v>2</v>
      </c>
      <c r="J208" s="8">
        <f>IFERROR(VLOOKUP(Tbl_Siparişler[[#This Row],[Kategori]]&amp;"-"&amp;Tbl_Siparişler[[#This Row],[Ürün Adı]],Tbl_Ürünler[],11,0)*Tbl_Siparişler[[#This Row],[Adet]],"")</f>
        <v>11925</v>
      </c>
    </row>
    <row r="209" spans="2:10" ht="27" customHeight="1" x14ac:dyDescent="0.4">
      <c r="B209" s="9">
        <f>WEEKNUM(Tbl_Siparişler[[#This Row],[Sipariş Alınan Tarih]])</f>
        <v>30</v>
      </c>
      <c r="C209" s="6">
        <v>44399</v>
      </c>
      <c r="D209" s="7" t="s">
        <v>95</v>
      </c>
      <c r="E209" s="7">
        <v>34764</v>
      </c>
      <c r="F209" s="7" t="s">
        <v>118</v>
      </c>
      <c r="G209" s="7" t="s">
        <v>29</v>
      </c>
      <c r="H209" s="7" t="s">
        <v>37</v>
      </c>
      <c r="I209" s="7">
        <v>3</v>
      </c>
      <c r="J209" s="8">
        <f>IFERROR(VLOOKUP(Tbl_Siparişler[[#This Row],[Kategori]]&amp;"-"&amp;Tbl_Siparişler[[#This Row],[Ürün Adı]],Tbl_Ürünler[],11,0)*Tbl_Siparişler[[#This Row],[Adet]],"")</f>
        <v>29401.350000000002</v>
      </c>
    </row>
    <row r="210" spans="2:10" ht="27" customHeight="1" x14ac:dyDescent="0.4">
      <c r="B210" s="9">
        <f>WEEKNUM(Tbl_Siparişler[[#This Row],[Sipariş Alınan Tarih]])</f>
        <v>44</v>
      </c>
      <c r="C210" s="6">
        <v>44496</v>
      </c>
      <c r="D210" s="7" t="s">
        <v>24</v>
      </c>
      <c r="E210" s="7">
        <v>71621</v>
      </c>
      <c r="F210" s="7" t="s">
        <v>110</v>
      </c>
      <c r="G210" s="7" t="s">
        <v>43</v>
      </c>
      <c r="H210" s="7" t="s">
        <v>45</v>
      </c>
      <c r="I210" s="7">
        <v>1</v>
      </c>
      <c r="J210" s="8">
        <f>IFERROR(VLOOKUP(Tbl_Siparişler[[#This Row],[Kategori]]&amp;"-"&amp;Tbl_Siparişler[[#This Row],[Ürün Adı]],Tbl_Ürünler[],11,0)*Tbl_Siparişler[[#This Row],[Adet]],"")</f>
        <v>9659.4</v>
      </c>
    </row>
    <row r="211" spans="2:10" ht="27" customHeight="1" x14ac:dyDescent="0.4">
      <c r="B211" s="9">
        <f>WEEKNUM(Tbl_Siparişler[[#This Row],[Sipariş Alınan Tarih]])</f>
        <v>37</v>
      </c>
      <c r="C211" s="6">
        <v>44449</v>
      </c>
      <c r="D211" s="7" t="s">
        <v>106</v>
      </c>
      <c r="E211" s="7">
        <v>52818</v>
      </c>
      <c r="F211" s="7" t="s">
        <v>116</v>
      </c>
      <c r="G211" s="7" t="s">
        <v>47</v>
      </c>
      <c r="H211" s="7" t="s">
        <v>49</v>
      </c>
      <c r="I211" s="7">
        <v>3</v>
      </c>
      <c r="J211" s="8">
        <f>IFERROR(VLOOKUP(Tbl_Siparişler[[#This Row],[Kategori]]&amp;"-"&amp;Tbl_Siparişler[[#This Row],[Ürün Adı]],Tbl_Ürünler[],11,0)*Tbl_Siparişler[[#This Row],[Adet]],"")</f>
        <v>28709.25</v>
      </c>
    </row>
    <row r="212" spans="2:10" ht="27" customHeight="1" x14ac:dyDescent="0.4">
      <c r="B212" s="9">
        <f>WEEKNUM(Tbl_Siparişler[[#This Row],[Sipariş Alınan Tarih]])</f>
        <v>20</v>
      </c>
      <c r="C212" s="6">
        <v>44331</v>
      </c>
      <c r="D212" s="7" t="s">
        <v>25</v>
      </c>
      <c r="E212" s="7">
        <v>27278</v>
      </c>
      <c r="F212" s="7" t="s">
        <v>115</v>
      </c>
      <c r="G212" s="7" t="s">
        <v>47</v>
      </c>
      <c r="H212" s="7" t="s">
        <v>48</v>
      </c>
      <c r="I212" s="7">
        <v>4</v>
      </c>
      <c r="J212" s="8">
        <f>IFERROR(VLOOKUP(Tbl_Siparişler[[#This Row],[Kategori]]&amp;"-"&amp;Tbl_Siparişler[[#This Row],[Ürün Adı]],Tbl_Ürünler[],11,0)*Tbl_Siparişler[[#This Row],[Adet]],"")</f>
        <v>32214</v>
      </c>
    </row>
    <row r="213" spans="2:10" ht="27" customHeight="1" x14ac:dyDescent="0.4">
      <c r="B213" s="9">
        <f>WEEKNUM(Tbl_Siparişler[[#This Row],[Sipariş Alınan Tarih]])</f>
        <v>9</v>
      </c>
      <c r="C213" s="6">
        <v>44250</v>
      </c>
      <c r="D213" s="7" t="s">
        <v>24</v>
      </c>
      <c r="E213" s="7">
        <v>59592</v>
      </c>
      <c r="F213" s="7" t="s">
        <v>107</v>
      </c>
      <c r="G213" s="7" t="s">
        <v>43</v>
      </c>
      <c r="H213" s="7" t="s">
        <v>44</v>
      </c>
      <c r="I213" s="7">
        <v>5</v>
      </c>
      <c r="J213" s="8">
        <f>IFERROR(VLOOKUP(Tbl_Siparişler[[#This Row],[Kategori]]&amp;"-"&amp;Tbl_Siparişler[[#This Row],[Ürün Adı]],Tbl_Ürünler[],11,0)*Tbl_Siparişler[[#This Row],[Adet]],"")</f>
        <v>44573</v>
      </c>
    </row>
    <row r="214" spans="2:10" ht="27" customHeight="1" x14ac:dyDescent="0.4">
      <c r="B214" s="9">
        <f>WEEKNUM(Tbl_Siparişler[[#This Row],[Sipariş Alınan Tarih]])</f>
        <v>32</v>
      </c>
      <c r="C214" s="6">
        <v>44414</v>
      </c>
      <c r="D214" s="7" t="s">
        <v>26</v>
      </c>
      <c r="E214" s="7">
        <v>69106</v>
      </c>
      <c r="F214" s="7" t="s">
        <v>114</v>
      </c>
      <c r="G214" s="7" t="s">
        <v>98</v>
      </c>
      <c r="H214" s="7" t="s">
        <v>99</v>
      </c>
      <c r="I214" s="7">
        <v>5</v>
      </c>
      <c r="J214" s="8">
        <f>IFERROR(VLOOKUP(Tbl_Siparişler[[#This Row],[Kategori]]&amp;"-"&amp;Tbl_Siparişler[[#This Row],[Ürün Adı]],Tbl_Ürünler[],11,0)*Tbl_Siparişler[[#This Row],[Adet]],"")</f>
        <v>20708.150000000001</v>
      </c>
    </row>
    <row r="215" spans="2:10" ht="27" customHeight="1" x14ac:dyDescent="0.4">
      <c r="B215" s="9">
        <f>WEEKNUM(Tbl_Siparişler[[#This Row],[Sipariş Alınan Tarih]])</f>
        <v>34</v>
      </c>
      <c r="C215" s="6">
        <v>44423</v>
      </c>
      <c r="D215" s="7" t="s">
        <v>28</v>
      </c>
      <c r="E215" s="7">
        <v>95740</v>
      </c>
      <c r="F215" s="7" t="s">
        <v>118</v>
      </c>
      <c r="G215" s="7" t="s">
        <v>47</v>
      </c>
      <c r="H215" s="7" t="s">
        <v>49</v>
      </c>
      <c r="I215" s="7">
        <v>3</v>
      </c>
      <c r="J215" s="8">
        <f>IFERROR(VLOOKUP(Tbl_Siparişler[[#This Row],[Kategori]]&amp;"-"&amp;Tbl_Siparişler[[#This Row],[Ürün Adı]],Tbl_Ürünler[],11,0)*Tbl_Siparişler[[#This Row],[Adet]],"")</f>
        <v>28709.25</v>
      </c>
    </row>
    <row r="216" spans="2:10" ht="27" customHeight="1" x14ac:dyDescent="0.4">
      <c r="B216" s="9">
        <f>WEEKNUM(Tbl_Siparişler[[#This Row],[Sipariş Alınan Tarih]])</f>
        <v>23</v>
      </c>
      <c r="C216" s="6">
        <v>44348</v>
      </c>
      <c r="D216" s="7" t="s">
        <v>24</v>
      </c>
      <c r="E216" s="7">
        <v>57180</v>
      </c>
      <c r="F216" s="7" t="s">
        <v>108</v>
      </c>
      <c r="G216" s="7" t="s">
        <v>43</v>
      </c>
      <c r="H216" s="7" t="s">
        <v>44</v>
      </c>
      <c r="I216" s="7">
        <v>5</v>
      </c>
      <c r="J216" s="8">
        <f>IFERROR(VLOOKUP(Tbl_Siparişler[[#This Row],[Kategori]]&amp;"-"&amp;Tbl_Siparişler[[#This Row],[Ürün Adı]],Tbl_Ürünler[],11,0)*Tbl_Siparişler[[#This Row],[Adet]],"")</f>
        <v>44573</v>
      </c>
    </row>
    <row r="217" spans="2:10" ht="27" customHeight="1" x14ac:dyDescent="0.4">
      <c r="B217" s="9">
        <f>WEEKNUM(Tbl_Siparişler[[#This Row],[Sipariş Alınan Tarih]])</f>
        <v>12</v>
      </c>
      <c r="C217" s="6">
        <v>44275</v>
      </c>
      <c r="D217" s="7" t="s">
        <v>95</v>
      </c>
      <c r="E217" s="7">
        <v>36999</v>
      </c>
      <c r="F217" s="7" t="s">
        <v>118</v>
      </c>
      <c r="G217" s="7" t="s">
        <v>47</v>
      </c>
      <c r="H217" s="7" t="s">
        <v>48</v>
      </c>
      <c r="I217" s="7">
        <v>3</v>
      </c>
      <c r="J217" s="8">
        <f>IFERROR(VLOOKUP(Tbl_Siparişler[[#This Row],[Kategori]]&amp;"-"&amp;Tbl_Siparişler[[#This Row],[Ürün Adı]],Tbl_Ürünler[],11,0)*Tbl_Siparişler[[#This Row],[Adet]],"")</f>
        <v>24160.5</v>
      </c>
    </row>
    <row r="218" spans="2:10" ht="27" customHeight="1" x14ac:dyDescent="0.4">
      <c r="B218" s="9">
        <f>WEEKNUM(Tbl_Siparişler[[#This Row],[Sipariş Alınan Tarih]])</f>
        <v>11</v>
      </c>
      <c r="C218" s="6">
        <v>44262</v>
      </c>
      <c r="D218" s="7" t="s">
        <v>24</v>
      </c>
      <c r="E218" s="7">
        <v>87939</v>
      </c>
      <c r="F218" s="7" t="s">
        <v>109</v>
      </c>
      <c r="G218" s="7" t="s">
        <v>47</v>
      </c>
      <c r="H218" s="7" t="s">
        <v>49</v>
      </c>
      <c r="I218" s="7">
        <v>2</v>
      </c>
      <c r="J218" s="8">
        <f>IFERROR(VLOOKUP(Tbl_Siparişler[[#This Row],[Kategori]]&amp;"-"&amp;Tbl_Siparişler[[#This Row],[Ürün Adı]],Tbl_Ürünler[],11,0)*Tbl_Siparişler[[#This Row],[Adet]],"")</f>
        <v>19139.5</v>
      </c>
    </row>
    <row r="219" spans="2:10" ht="27" customHeight="1" x14ac:dyDescent="0.4">
      <c r="B219" s="9">
        <f>WEEKNUM(Tbl_Siparişler[[#This Row],[Sipariş Alınan Tarih]])</f>
        <v>29</v>
      </c>
      <c r="C219" s="6">
        <v>44391</v>
      </c>
      <c r="D219" s="7" t="s">
        <v>28</v>
      </c>
      <c r="E219" s="7">
        <v>77436</v>
      </c>
      <c r="F219" s="7" t="s">
        <v>111</v>
      </c>
      <c r="G219" s="7" t="s">
        <v>43</v>
      </c>
      <c r="H219" s="7" t="s">
        <v>44</v>
      </c>
      <c r="I219" s="7">
        <v>3</v>
      </c>
      <c r="J219" s="8">
        <f>IFERROR(VLOOKUP(Tbl_Siparişler[[#This Row],[Kategori]]&amp;"-"&amp;Tbl_Siparişler[[#This Row],[Ürün Adı]],Tbl_Ürünler[],11,0)*Tbl_Siparişler[[#This Row],[Adet]],"")</f>
        <v>26743.800000000003</v>
      </c>
    </row>
    <row r="220" spans="2:10" ht="27" customHeight="1" x14ac:dyDescent="0.4">
      <c r="B220" s="9">
        <f>WEEKNUM(Tbl_Siparişler[[#This Row],[Sipariş Alınan Tarih]])</f>
        <v>31</v>
      </c>
      <c r="C220" s="6">
        <v>44405</v>
      </c>
      <c r="D220" s="7" t="s">
        <v>25</v>
      </c>
      <c r="E220" s="7">
        <v>99784</v>
      </c>
      <c r="F220" s="7" t="s">
        <v>108</v>
      </c>
      <c r="G220" s="7" t="s">
        <v>98</v>
      </c>
      <c r="H220" s="7" t="s">
        <v>99</v>
      </c>
      <c r="I220" s="7">
        <v>3</v>
      </c>
      <c r="J220" s="8">
        <f>IFERROR(VLOOKUP(Tbl_Siparişler[[#This Row],[Kategori]]&amp;"-"&amp;Tbl_Siparişler[[#This Row],[Ürün Adı]],Tbl_Ürünler[],11,0)*Tbl_Siparişler[[#This Row],[Adet]],"")</f>
        <v>12424.89</v>
      </c>
    </row>
    <row r="221" spans="2:10" ht="27" customHeight="1" x14ac:dyDescent="0.4">
      <c r="B221" s="9">
        <f>WEEKNUM(Tbl_Siparişler[[#This Row],[Sipariş Alınan Tarih]])</f>
        <v>3</v>
      </c>
      <c r="C221" s="6">
        <v>44212</v>
      </c>
      <c r="D221" s="7" t="s">
        <v>95</v>
      </c>
      <c r="E221" s="7">
        <v>90232</v>
      </c>
      <c r="F221" s="7" t="s">
        <v>116</v>
      </c>
      <c r="G221" s="7" t="s">
        <v>47</v>
      </c>
      <c r="H221" s="7" t="s">
        <v>49</v>
      </c>
      <c r="I221" s="7">
        <v>1</v>
      </c>
      <c r="J221" s="8">
        <f>IFERROR(VLOOKUP(Tbl_Siparişler[[#This Row],[Kategori]]&amp;"-"&amp;Tbl_Siparişler[[#This Row],[Ürün Adı]],Tbl_Ürünler[],11,0)*Tbl_Siparişler[[#This Row],[Adet]],"")</f>
        <v>9569.75</v>
      </c>
    </row>
    <row r="222" spans="2:10" ht="27" customHeight="1" x14ac:dyDescent="0.4">
      <c r="B222" s="9">
        <f>WEEKNUM(Tbl_Siparişler[[#This Row],[Sipariş Alınan Tarih]])</f>
        <v>34</v>
      </c>
      <c r="C222" s="6">
        <v>44424</v>
      </c>
      <c r="D222" s="7" t="s">
        <v>95</v>
      </c>
      <c r="E222" s="7">
        <v>86640</v>
      </c>
      <c r="F222" s="7" t="s">
        <v>114</v>
      </c>
      <c r="G222" s="7" t="s">
        <v>47</v>
      </c>
      <c r="H222" s="7" t="s">
        <v>49</v>
      </c>
      <c r="I222" s="7">
        <v>5</v>
      </c>
      <c r="J222" s="8">
        <f>IFERROR(VLOOKUP(Tbl_Siparişler[[#This Row],[Kategori]]&amp;"-"&amp;Tbl_Siparişler[[#This Row],[Ürün Adı]],Tbl_Ürünler[],11,0)*Tbl_Siparişler[[#This Row],[Adet]],"")</f>
        <v>47848.75</v>
      </c>
    </row>
    <row r="223" spans="2:10" ht="27" customHeight="1" x14ac:dyDescent="0.4">
      <c r="B223" s="9">
        <f>WEEKNUM(Tbl_Siparişler[[#This Row],[Sipariş Alınan Tarih]])</f>
        <v>4</v>
      </c>
      <c r="C223" s="6">
        <v>44215</v>
      </c>
      <c r="D223" s="7" t="s">
        <v>25</v>
      </c>
      <c r="E223" s="7">
        <v>28010</v>
      </c>
      <c r="F223" s="7" t="s">
        <v>107</v>
      </c>
      <c r="G223" s="7" t="s">
        <v>47</v>
      </c>
      <c r="H223" s="7" t="s">
        <v>48</v>
      </c>
      <c r="I223" s="7">
        <v>2</v>
      </c>
      <c r="J223" s="8">
        <f>IFERROR(VLOOKUP(Tbl_Siparişler[[#This Row],[Kategori]]&amp;"-"&amp;Tbl_Siparişler[[#This Row],[Ürün Adı]],Tbl_Ürünler[],11,0)*Tbl_Siparişler[[#This Row],[Adet]],"")</f>
        <v>16107</v>
      </c>
    </row>
    <row r="224" spans="2:10" ht="27" customHeight="1" x14ac:dyDescent="0.4">
      <c r="B224" s="9">
        <f>WEEKNUM(Tbl_Siparişler[[#This Row],[Sipariş Alınan Tarih]])</f>
        <v>34</v>
      </c>
      <c r="C224" s="6">
        <v>44427</v>
      </c>
      <c r="D224" s="7" t="s">
        <v>25</v>
      </c>
      <c r="E224" s="7">
        <v>30952</v>
      </c>
      <c r="F224" s="7" t="s">
        <v>114</v>
      </c>
      <c r="G224" s="7" t="s">
        <v>43</v>
      </c>
      <c r="H224" s="7" t="s">
        <v>45</v>
      </c>
      <c r="I224" s="7">
        <v>2</v>
      </c>
      <c r="J224" s="8">
        <f>IFERROR(VLOOKUP(Tbl_Siparişler[[#This Row],[Kategori]]&amp;"-"&amp;Tbl_Siparişler[[#This Row],[Ürün Adı]],Tbl_Ürünler[],11,0)*Tbl_Siparişler[[#This Row],[Adet]],"")</f>
        <v>19318.8</v>
      </c>
    </row>
    <row r="225" spans="2:10" ht="27" customHeight="1" x14ac:dyDescent="0.4">
      <c r="B225" s="9">
        <f>WEEKNUM(Tbl_Siparişler[[#This Row],[Sipariş Alınan Tarih]])</f>
        <v>12</v>
      </c>
      <c r="C225" s="6">
        <v>44272</v>
      </c>
      <c r="D225" s="7" t="s">
        <v>24</v>
      </c>
      <c r="E225" s="7">
        <v>55667</v>
      </c>
      <c r="F225" s="7" t="s">
        <v>113</v>
      </c>
      <c r="G225" s="7" t="s">
        <v>43</v>
      </c>
      <c r="H225" s="7" t="s">
        <v>44</v>
      </c>
      <c r="I225" s="7">
        <v>3</v>
      </c>
      <c r="J225" s="8">
        <f>IFERROR(VLOOKUP(Tbl_Siparişler[[#This Row],[Kategori]]&amp;"-"&amp;Tbl_Siparişler[[#This Row],[Ürün Adı]],Tbl_Ürünler[],11,0)*Tbl_Siparişler[[#This Row],[Adet]],"")</f>
        <v>26743.800000000003</v>
      </c>
    </row>
    <row r="226" spans="2:10" ht="27" customHeight="1" x14ac:dyDescent="0.4">
      <c r="B226" s="9">
        <f>WEEKNUM(Tbl_Siparişler[[#This Row],[Sipariş Alınan Tarih]])</f>
        <v>46</v>
      </c>
      <c r="C226" s="6">
        <v>44513</v>
      </c>
      <c r="D226" s="7" t="s">
        <v>95</v>
      </c>
      <c r="E226" s="7">
        <v>41795</v>
      </c>
      <c r="F226" s="7" t="s">
        <v>110</v>
      </c>
      <c r="G226" s="7" t="s">
        <v>98</v>
      </c>
      <c r="H226" s="7" t="s">
        <v>103</v>
      </c>
      <c r="I226" s="7">
        <v>4</v>
      </c>
      <c r="J226" s="8">
        <f>IFERROR(VLOOKUP(Tbl_Siparişler[[#This Row],[Kategori]]&amp;"-"&amp;Tbl_Siparişler[[#This Row],[Ürün Adı]],Tbl_Ürünler[],11,0)*Tbl_Siparişler[[#This Row],[Adet]],"")</f>
        <v>23850</v>
      </c>
    </row>
    <row r="227" spans="2:10" ht="27" customHeight="1" x14ac:dyDescent="0.4">
      <c r="B227" s="9">
        <f>WEEKNUM(Tbl_Siparişler[[#This Row],[Sipariş Alınan Tarih]])</f>
        <v>39</v>
      </c>
      <c r="C227" s="6">
        <v>44462</v>
      </c>
      <c r="D227" s="7" t="s">
        <v>28</v>
      </c>
      <c r="E227" s="7">
        <v>82842</v>
      </c>
      <c r="F227" s="7" t="s">
        <v>118</v>
      </c>
      <c r="G227" s="7" t="s">
        <v>43</v>
      </c>
      <c r="H227" s="7" t="s">
        <v>50</v>
      </c>
      <c r="I227" s="7">
        <v>4</v>
      </c>
      <c r="J227" s="8">
        <f>IFERROR(VLOOKUP(Tbl_Siparişler[[#This Row],[Kategori]]&amp;"-"&amp;Tbl_Siparişler[[#This Row],[Ürün Adı]],Tbl_Ürünler[],11,0)*Tbl_Siparişler[[#This Row],[Adet]],"")</f>
        <v>25832.400000000001</v>
      </c>
    </row>
    <row r="228" spans="2:10" ht="27" customHeight="1" x14ac:dyDescent="0.4">
      <c r="B228" s="9">
        <f>WEEKNUM(Tbl_Siparişler[[#This Row],[Sipariş Alınan Tarih]])</f>
        <v>48</v>
      </c>
      <c r="C228" s="6">
        <v>44522</v>
      </c>
      <c r="D228" s="7" t="s">
        <v>106</v>
      </c>
      <c r="E228" s="7">
        <v>28395</v>
      </c>
      <c r="F228" s="7" t="s">
        <v>113</v>
      </c>
      <c r="G228" s="7" t="s">
        <v>47</v>
      </c>
      <c r="H228" s="7" t="s">
        <v>48</v>
      </c>
      <c r="I228" s="7">
        <v>2</v>
      </c>
      <c r="J228" s="8">
        <f>IFERROR(VLOOKUP(Tbl_Siparişler[[#This Row],[Kategori]]&amp;"-"&amp;Tbl_Siparişler[[#This Row],[Ürün Adı]],Tbl_Ürünler[],11,0)*Tbl_Siparişler[[#This Row],[Adet]],"")</f>
        <v>16107</v>
      </c>
    </row>
    <row r="229" spans="2:10" ht="27" customHeight="1" x14ac:dyDescent="0.4">
      <c r="B229" s="9">
        <f>WEEKNUM(Tbl_Siparişler[[#This Row],[Sipariş Alınan Tarih]])</f>
        <v>24</v>
      </c>
      <c r="C229" s="6">
        <v>44357</v>
      </c>
      <c r="D229" s="7" t="s">
        <v>25</v>
      </c>
      <c r="E229" s="7">
        <v>10557</v>
      </c>
      <c r="F229" s="7" t="s">
        <v>107</v>
      </c>
      <c r="G229" s="7" t="s">
        <v>43</v>
      </c>
      <c r="H229" s="7" t="s">
        <v>45</v>
      </c>
      <c r="I229" s="7">
        <v>3</v>
      </c>
      <c r="J229" s="8">
        <f>IFERROR(VLOOKUP(Tbl_Siparişler[[#This Row],[Kategori]]&amp;"-"&amp;Tbl_Siparişler[[#This Row],[Ürün Adı]],Tbl_Ürünler[],11,0)*Tbl_Siparişler[[#This Row],[Adet]],"")</f>
        <v>28978.199999999997</v>
      </c>
    </row>
    <row r="230" spans="2:10" ht="27" customHeight="1" x14ac:dyDescent="0.4">
      <c r="B230" s="9">
        <f>WEEKNUM(Tbl_Siparişler[[#This Row],[Sipariş Alınan Tarih]])</f>
        <v>20</v>
      </c>
      <c r="C230" s="6">
        <v>44331</v>
      </c>
      <c r="D230" s="7" t="s">
        <v>25</v>
      </c>
      <c r="E230" s="7">
        <v>56569</v>
      </c>
      <c r="F230" s="7" t="s">
        <v>111</v>
      </c>
      <c r="G230" s="7" t="s">
        <v>47</v>
      </c>
      <c r="H230" s="7" t="s">
        <v>49</v>
      </c>
      <c r="I230" s="7">
        <v>2</v>
      </c>
      <c r="J230" s="8">
        <f>IFERROR(VLOOKUP(Tbl_Siparişler[[#This Row],[Kategori]]&amp;"-"&amp;Tbl_Siparişler[[#This Row],[Ürün Adı]],Tbl_Ürünler[],11,0)*Tbl_Siparişler[[#This Row],[Adet]],"")</f>
        <v>19139.5</v>
      </c>
    </row>
    <row r="231" spans="2:10" ht="27" customHeight="1" x14ac:dyDescent="0.4">
      <c r="B231" s="9">
        <f>WEEKNUM(Tbl_Siparişler[[#This Row],[Sipariş Alınan Tarih]])</f>
        <v>33</v>
      </c>
      <c r="C231" s="6">
        <v>44422</v>
      </c>
      <c r="D231" s="7" t="s">
        <v>27</v>
      </c>
      <c r="E231" s="7">
        <v>36341</v>
      </c>
      <c r="F231" s="7" t="s">
        <v>109</v>
      </c>
      <c r="G231" s="7" t="s">
        <v>29</v>
      </c>
      <c r="H231" s="7" t="s">
        <v>30</v>
      </c>
      <c r="I231" s="7">
        <v>3</v>
      </c>
      <c r="J231" s="8">
        <f>IFERROR(VLOOKUP(Tbl_Siparişler[[#This Row],[Kategori]]&amp;"-"&amp;Tbl_Siparişler[[#This Row],[Ürün Adı]],Tbl_Ürünler[],11,0)*Tbl_Siparişler[[#This Row],[Adet]],"")</f>
        <v>26055.899999999998</v>
      </c>
    </row>
    <row r="232" spans="2:10" ht="27" customHeight="1" x14ac:dyDescent="0.4">
      <c r="B232" s="9">
        <f>WEEKNUM(Tbl_Siparişler[[#This Row],[Sipariş Alınan Tarih]])</f>
        <v>4</v>
      </c>
      <c r="C232" s="6">
        <v>44219</v>
      </c>
      <c r="D232" s="7" t="s">
        <v>28</v>
      </c>
      <c r="E232" s="7">
        <v>68910</v>
      </c>
      <c r="F232" s="7" t="s">
        <v>108</v>
      </c>
      <c r="G232" s="7" t="s">
        <v>43</v>
      </c>
      <c r="H232" s="7" t="s">
        <v>45</v>
      </c>
      <c r="I232" s="7">
        <v>3</v>
      </c>
      <c r="J232" s="8">
        <f>IFERROR(VLOOKUP(Tbl_Siparişler[[#This Row],[Kategori]]&amp;"-"&amp;Tbl_Siparişler[[#This Row],[Ürün Adı]],Tbl_Ürünler[],11,0)*Tbl_Siparişler[[#This Row],[Adet]],"")</f>
        <v>28978.199999999997</v>
      </c>
    </row>
    <row r="233" spans="2:10" ht="27" customHeight="1" x14ac:dyDescent="0.4">
      <c r="B233" s="9">
        <f>WEEKNUM(Tbl_Siparişler[[#This Row],[Sipariş Alınan Tarih]])</f>
        <v>10</v>
      </c>
      <c r="C233" s="6">
        <v>44257</v>
      </c>
      <c r="D233" s="7" t="s">
        <v>26</v>
      </c>
      <c r="E233" s="7">
        <v>14598</v>
      </c>
      <c r="F233" s="7" t="s">
        <v>118</v>
      </c>
      <c r="G233" s="7" t="s">
        <v>29</v>
      </c>
      <c r="H233" s="7" t="s">
        <v>41</v>
      </c>
      <c r="I233" s="7">
        <v>2</v>
      </c>
      <c r="J233" s="8">
        <f>IFERROR(VLOOKUP(Tbl_Siparişler[[#This Row],[Kategori]]&amp;"-"&amp;Tbl_Siparişler[[#This Row],[Ürün Adı]],Tbl_Ürünler[],11,0)*Tbl_Siparişler[[#This Row],[Adet]],"")</f>
        <v>25242</v>
      </c>
    </row>
    <row r="234" spans="2:10" ht="27" customHeight="1" x14ac:dyDescent="0.4">
      <c r="B234" s="9">
        <f>WEEKNUM(Tbl_Siparişler[[#This Row],[Sipariş Alınan Tarih]])</f>
        <v>10</v>
      </c>
      <c r="C234" s="6">
        <v>44257</v>
      </c>
      <c r="D234" s="7" t="s">
        <v>27</v>
      </c>
      <c r="E234" s="7">
        <v>82039</v>
      </c>
      <c r="F234" s="7" t="s">
        <v>110</v>
      </c>
      <c r="G234" s="7" t="s">
        <v>29</v>
      </c>
      <c r="H234" s="7" t="s">
        <v>41</v>
      </c>
      <c r="I234" s="7">
        <v>1</v>
      </c>
      <c r="J234" s="8">
        <f>IFERROR(VLOOKUP(Tbl_Siparişler[[#This Row],[Kategori]]&amp;"-"&amp;Tbl_Siparişler[[#This Row],[Ürün Adı]],Tbl_Ürünler[],11,0)*Tbl_Siparişler[[#This Row],[Adet]],"")</f>
        <v>12621</v>
      </c>
    </row>
    <row r="235" spans="2:10" ht="27" customHeight="1" x14ac:dyDescent="0.4">
      <c r="B235" s="9">
        <f>WEEKNUM(Tbl_Siparişler[[#This Row],[Sipariş Alınan Tarih]])</f>
        <v>25</v>
      </c>
      <c r="C235" s="6">
        <v>44362</v>
      </c>
      <c r="D235" s="7" t="s">
        <v>28</v>
      </c>
      <c r="E235" s="7">
        <v>42238</v>
      </c>
      <c r="F235" s="7" t="s">
        <v>111</v>
      </c>
      <c r="G235" s="7" t="s">
        <v>43</v>
      </c>
      <c r="H235" s="7" t="s">
        <v>50</v>
      </c>
      <c r="I235" s="7">
        <v>4</v>
      </c>
      <c r="J235" s="8">
        <f>IFERROR(VLOOKUP(Tbl_Siparişler[[#This Row],[Kategori]]&amp;"-"&amp;Tbl_Siparişler[[#This Row],[Ürün Adı]],Tbl_Ürünler[],11,0)*Tbl_Siparişler[[#This Row],[Adet]],"")</f>
        <v>25832.400000000001</v>
      </c>
    </row>
    <row r="236" spans="2:10" ht="27" customHeight="1" x14ac:dyDescent="0.4">
      <c r="B236" s="9">
        <f>WEEKNUM(Tbl_Siparişler[[#This Row],[Sipariş Alınan Tarih]])</f>
        <v>10</v>
      </c>
      <c r="C236" s="6">
        <v>44255</v>
      </c>
      <c r="D236" s="7" t="s">
        <v>106</v>
      </c>
      <c r="E236" s="7">
        <v>72406</v>
      </c>
      <c r="F236" s="7" t="s">
        <v>118</v>
      </c>
      <c r="G236" s="7" t="s">
        <v>29</v>
      </c>
      <c r="H236" s="7" t="s">
        <v>42</v>
      </c>
      <c r="I236" s="7">
        <v>4</v>
      </c>
      <c r="J236" s="8">
        <f>IFERROR(VLOOKUP(Tbl_Siparişler[[#This Row],[Kategori]]&amp;"-"&amp;Tbl_Siparişler[[#This Row],[Ürün Adı]],Tbl_Ürünler[],11,0)*Tbl_Siparişler[[#This Row],[Adet]],"")</f>
        <v>56264</v>
      </c>
    </row>
    <row r="237" spans="2:10" ht="27" customHeight="1" x14ac:dyDescent="0.4">
      <c r="B237" s="9">
        <f>WEEKNUM(Tbl_Siparişler[[#This Row],[Sipariş Alınan Tarih]])</f>
        <v>7</v>
      </c>
      <c r="C237" s="6">
        <v>44240</v>
      </c>
      <c r="D237" s="7" t="s">
        <v>28</v>
      </c>
      <c r="E237" s="7">
        <v>56425</v>
      </c>
      <c r="F237" s="7" t="s">
        <v>116</v>
      </c>
      <c r="G237" s="7" t="s">
        <v>98</v>
      </c>
      <c r="H237" s="7" t="s">
        <v>99</v>
      </c>
      <c r="I237" s="7">
        <v>5</v>
      </c>
      <c r="J237" s="8">
        <f>IFERROR(VLOOKUP(Tbl_Siparişler[[#This Row],[Kategori]]&amp;"-"&amp;Tbl_Siparişler[[#This Row],[Ürün Adı]],Tbl_Ürünler[],11,0)*Tbl_Siparişler[[#This Row],[Adet]],"")</f>
        <v>20708.150000000001</v>
      </c>
    </row>
    <row r="238" spans="2:10" ht="27" customHeight="1" x14ac:dyDescent="0.4">
      <c r="B238" s="9">
        <f>WEEKNUM(Tbl_Siparişler[[#This Row],[Sipariş Alınan Tarih]])</f>
        <v>26</v>
      </c>
      <c r="C238" s="6">
        <v>44368</v>
      </c>
      <c r="D238" s="7" t="s">
        <v>95</v>
      </c>
      <c r="E238" s="7">
        <v>91975</v>
      </c>
      <c r="F238" s="7" t="s">
        <v>116</v>
      </c>
      <c r="G238" s="7" t="s">
        <v>43</v>
      </c>
      <c r="H238" s="7" t="s">
        <v>46</v>
      </c>
      <c r="I238" s="7">
        <v>1</v>
      </c>
      <c r="J238" s="8">
        <f>IFERROR(VLOOKUP(Tbl_Siparişler[[#This Row],[Kategori]]&amp;"-"&amp;Tbl_Siparişler[[#This Row],[Ürün Adı]],Tbl_Ürünler[],11,0)*Tbl_Siparişler[[#This Row],[Adet]],"")</f>
        <v>13343.400000000001</v>
      </c>
    </row>
    <row r="239" spans="2:10" ht="27" customHeight="1" x14ac:dyDescent="0.4">
      <c r="B239" s="9">
        <f>WEEKNUM(Tbl_Siparişler[[#This Row],[Sipariş Alınan Tarih]])</f>
        <v>19</v>
      </c>
      <c r="C239" s="6">
        <v>44322</v>
      </c>
      <c r="D239" s="7" t="s">
        <v>27</v>
      </c>
      <c r="E239" s="7">
        <v>93845</v>
      </c>
      <c r="F239" s="7" t="s">
        <v>113</v>
      </c>
      <c r="G239" s="7" t="s">
        <v>43</v>
      </c>
      <c r="H239" s="7" t="s">
        <v>50</v>
      </c>
      <c r="I239" s="7">
        <v>3</v>
      </c>
      <c r="J239" s="8">
        <f>IFERROR(VLOOKUP(Tbl_Siparişler[[#This Row],[Kategori]]&amp;"-"&amp;Tbl_Siparişler[[#This Row],[Ürün Adı]],Tbl_Ürünler[],11,0)*Tbl_Siparişler[[#This Row],[Adet]],"")</f>
        <v>19374.300000000003</v>
      </c>
    </row>
    <row r="240" spans="2:10" ht="27" customHeight="1" x14ac:dyDescent="0.4">
      <c r="B240" s="9">
        <f>WEEKNUM(Tbl_Siparişler[[#This Row],[Sipariş Alınan Tarih]])</f>
        <v>38</v>
      </c>
      <c r="C240" s="6">
        <v>44453</v>
      </c>
      <c r="D240" s="7" t="s">
        <v>95</v>
      </c>
      <c r="E240" s="7">
        <v>66205</v>
      </c>
      <c r="F240" s="7" t="s">
        <v>115</v>
      </c>
      <c r="G240" s="7" t="s">
        <v>98</v>
      </c>
      <c r="H240" s="7" t="s">
        <v>99</v>
      </c>
      <c r="I240" s="7">
        <v>4</v>
      </c>
      <c r="J240" s="8">
        <f>IFERROR(VLOOKUP(Tbl_Siparişler[[#This Row],[Kategori]]&amp;"-"&amp;Tbl_Siparişler[[#This Row],[Ürün Adı]],Tbl_Ürünler[],11,0)*Tbl_Siparişler[[#This Row],[Adet]],"")</f>
        <v>16566.52</v>
      </c>
    </row>
    <row r="241" spans="2:10" ht="27" customHeight="1" x14ac:dyDescent="0.4">
      <c r="B241" s="9">
        <f>WEEKNUM(Tbl_Siparişler[[#This Row],[Sipariş Alınan Tarih]])</f>
        <v>17</v>
      </c>
      <c r="C241" s="6">
        <v>44306</v>
      </c>
      <c r="D241" s="7" t="s">
        <v>95</v>
      </c>
      <c r="E241" s="7">
        <v>18996</v>
      </c>
      <c r="F241" s="7" t="s">
        <v>111</v>
      </c>
      <c r="G241" s="7" t="s">
        <v>43</v>
      </c>
      <c r="H241" s="7" t="s">
        <v>44</v>
      </c>
      <c r="I241" s="7">
        <v>3</v>
      </c>
      <c r="J241" s="8">
        <f>IFERROR(VLOOKUP(Tbl_Siparişler[[#This Row],[Kategori]]&amp;"-"&amp;Tbl_Siparişler[[#This Row],[Ürün Adı]],Tbl_Ürünler[],11,0)*Tbl_Siparişler[[#This Row],[Adet]],"")</f>
        <v>26743.800000000003</v>
      </c>
    </row>
    <row r="242" spans="2:10" ht="27" customHeight="1" x14ac:dyDescent="0.4">
      <c r="B242" s="9">
        <f>WEEKNUM(Tbl_Siparişler[[#This Row],[Sipariş Alınan Tarih]])</f>
        <v>20</v>
      </c>
      <c r="C242" s="6">
        <v>44325</v>
      </c>
      <c r="D242" s="7" t="s">
        <v>95</v>
      </c>
      <c r="E242" s="7">
        <v>91675</v>
      </c>
      <c r="F242" s="7" t="s">
        <v>111</v>
      </c>
      <c r="G242" s="7" t="s">
        <v>47</v>
      </c>
      <c r="H242" s="7" t="s">
        <v>49</v>
      </c>
      <c r="I242" s="7">
        <v>1</v>
      </c>
      <c r="J242" s="8">
        <f>IFERROR(VLOOKUP(Tbl_Siparişler[[#This Row],[Kategori]]&amp;"-"&amp;Tbl_Siparişler[[#This Row],[Ürün Adı]],Tbl_Ürünler[],11,0)*Tbl_Siparişler[[#This Row],[Adet]],"")</f>
        <v>9569.75</v>
      </c>
    </row>
    <row r="243" spans="2:10" ht="27" customHeight="1" x14ac:dyDescent="0.4">
      <c r="B243" s="9">
        <f>WEEKNUM(Tbl_Siparişler[[#This Row],[Sipariş Alınan Tarih]])</f>
        <v>32</v>
      </c>
      <c r="C243" s="6">
        <v>44415</v>
      </c>
      <c r="D243" s="7" t="s">
        <v>106</v>
      </c>
      <c r="E243" s="7">
        <v>62475</v>
      </c>
      <c r="F243" s="7" t="s">
        <v>110</v>
      </c>
      <c r="G243" s="7" t="s">
        <v>98</v>
      </c>
      <c r="H243" s="7" t="s">
        <v>103</v>
      </c>
      <c r="I243" s="7">
        <v>3</v>
      </c>
      <c r="J243" s="8">
        <f>IFERROR(VLOOKUP(Tbl_Siparişler[[#This Row],[Kategori]]&amp;"-"&amp;Tbl_Siparişler[[#This Row],[Ürün Adı]],Tbl_Ürünler[],11,0)*Tbl_Siparişler[[#This Row],[Adet]],"")</f>
        <v>17887.5</v>
      </c>
    </row>
    <row r="244" spans="2:10" ht="27" customHeight="1" x14ac:dyDescent="0.4">
      <c r="B244" s="9">
        <f>WEEKNUM(Tbl_Siparişler[[#This Row],[Sipariş Alınan Tarih]])</f>
        <v>42</v>
      </c>
      <c r="C244" s="6">
        <v>44485</v>
      </c>
      <c r="D244" s="7" t="s">
        <v>106</v>
      </c>
      <c r="E244" s="7">
        <v>79085</v>
      </c>
      <c r="F244" s="7" t="s">
        <v>108</v>
      </c>
      <c r="G244" s="7" t="s">
        <v>29</v>
      </c>
      <c r="H244" s="7" t="s">
        <v>42</v>
      </c>
      <c r="I244" s="7">
        <v>4</v>
      </c>
      <c r="J244" s="8">
        <f>IFERROR(VLOOKUP(Tbl_Siparişler[[#This Row],[Kategori]]&amp;"-"&amp;Tbl_Siparişler[[#This Row],[Ürün Adı]],Tbl_Ürünler[],11,0)*Tbl_Siparişler[[#This Row],[Adet]],"")</f>
        <v>56264</v>
      </c>
    </row>
    <row r="245" spans="2:10" ht="27" customHeight="1" x14ac:dyDescent="0.4">
      <c r="B245" s="9">
        <f>WEEKNUM(Tbl_Siparişler[[#This Row],[Sipariş Alınan Tarih]])</f>
        <v>42</v>
      </c>
      <c r="C245" s="6">
        <v>44479</v>
      </c>
      <c r="D245" s="7" t="s">
        <v>27</v>
      </c>
      <c r="E245" s="7">
        <v>80886</v>
      </c>
      <c r="F245" s="7" t="s">
        <v>107</v>
      </c>
      <c r="G245" s="7" t="s">
        <v>29</v>
      </c>
      <c r="H245" s="7" t="s">
        <v>42</v>
      </c>
      <c r="I245" s="7">
        <v>5</v>
      </c>
      <c r="J245" s="8">
        <f>IFERROR(VLOOKUP(Tbl_Siparişler[[#This Row],[Kategori]]&amp;"-"&amp;Tbl_Siparişler[[#This Row],[Ürün Adı]],Tbl_Ürünler[],11,0)*Tbl_Siparişler[[#This Row],[Adet]],"")</f>
        <v>70330</v>
      </c>
    </row>
    <row r="246" spans="2:10" ht="27" customHeight="1" x14ac:dyDescent="0.4">
      <c r="B246" s="9">
        <f>WEEKNUM(Tbl_Siparişler[[#This Row],[Sipariş Alınan Tarih]])</f>
        <v>20</v>
      </c>
      <c r="C246" s="6">
        <v>44331</v>
      </c>
      <c r="D246" s="7" t="s">
        <v>95</v>
      </c>
      <c r="E246" s="7">
        <v>40688</v>
      </c>
      <c r="F246" s="7" t="s">
        <v>114</v>
      </c>
      <c r="G246" s="7" t="s">
        <v>47</v>
      </c>
      <c r="H246" s="7" t="s">
        <v>49</v>
      </c>
      <c r="I246" s="7">
        <v>1</v>
      </c>
      <c r="J246" s="8">
        <f>IFERROR(VLOOKUP(Tbl_Siparişler[[#This Row],[Kategori]]&amp;"-"&amp;Tbl_Siparişler[[#This Row],[Ürün Adı]],Tbl_Ürünler[],11,0)*Tbl_Siparişler[[#This Row],[Adet]],"")</f>
        <v>9569.75</v>
      </c>
    </row>
    <row r="247" spans="2:10" ht="27" customHeight="1" x14ac:dyDescent="0.4">
      <c r="B247" s="9">
        <f>WEEKNUM(Tbl_Siparişler[[#This Row],[Sipariş Alınan Tarih]])</f>
        <v>18</v>
      </c>
      <c r="C247" s="6">
        <v>44311</v>
      </c>
      <c r="D247" s="7" t="s">
        <v>25</v>
      </c>
      <c r="E247" s="7">
        <v>61545</v>
      </c>
      <c r="F247" s="7" t="s">
        <v>107</v>
      </c>
      <c r="G247" s="7" t="s">
        <v>47</v>
      </c>
      <c r="H247" s="7" t="s">
        <v>49</v>
      </c>
      <c r="I247" s="7">
        <v>5</v>
      </c>
      <c r="J247" s="8">
        <f>IFERROR(VLOOKUP(Tbl_Siparişler[[#This Row],[Kategori]]&amp;"-"&amp;Tbl_Siparişler[[#This Row],[Ürün Adı]],Tbl_Ürünler[],11,0)*Tbl_Siparişler[[#This Row],[Adet]],"")</f>
        <v>47848.75</v>
      </c>
    </row>
    <row r="248" spans="2:10" ht="27" customHeight="1" x14ac:dyDescent="0.4">
      <c r="B248" s="9">
        <f>WEEKNUM(Tbl_Siparişler[[#This Row],[Sipariş Alınan Tarih]])</f>
        <v>35</v>
      </c>
      <c r="C248" s="6">
        <v>44433</v>
      </c>
      <c r="D248" s="7" t="s">
        <v>28</v>
      </c>
      <c r="E248" s="7">
        <v>98805</v>
      </c>
      <c r="F248" s="7" t="s">
        <v>115</v>
      </c>
      <c r="G248" s="7" t="s">
        <v>47</v>
      </c>
      <c r="H248" s="7" t="s">
        <v>48</v>
      </c>
      <c r="I248" s="7">
        <v>5</v>
      </c>
      <c r="J248" s="8">
        <f>IFERROR(VLOOKUP(Tbl_Siparişler[[#This Row],[Kategori]]&amp;"-"&amp;Tbl_Siparişler[[#This Row],[Ürün Adı]],Tbl_Ürünler[],11,0)*Tbl_Siparişler[[#This Row],[Adet]],"")</f>
        <v>40267.5</v>
      </c>
    </row>
    <row r="249" spans="2:10" ht="27" customHeight="1" x14ac:dyDescent="0.4">
      <c r="B249" s="9">
        <f>WEEKNUM(Tbl_Siparişler[[#This Row],[Sipariş Alınan Tarih]])</f>
        <v>27</v>
      </c>
      <c r="C249" s="6">
        <v>44380</v>
      </c>
      <c r="D249" s="7" t="s">
        <v>106</v>
      </c>
      <c r="E249" s="7">
        <v>80887</v>
      </c>
      <c r="F249" s="7" t="s">
        <v>117</v>
      </c>
      <c r="G249" s="7" t="s">
        <v>98</v>
      </c>
      <c r="H249" s="7" t="s">
        <v>99</v>
      </c>
      <c r="I249" s="7">
        <v>4</v>
      </c>
      <c r="J249" s="8">
        <f>IFERROR(VLOOKUP(Tbl_Siparişler[[#This Row],[Kategori]]&amp;"-"&amp;Tbl_Siparişler[[#This Row],[Ürün Adı]],Tbl_Ürünler[],11,0)*Tbl_Siparişler[[#This Row],[Adet]],"")</f>
        <v>16566.52</v>
      </c>
    </row>
    <row r="250" spans="2:10" ht="27" customHeight="1" x14ac:dyDescent="0.4">
      <c r="B250" s="9">
        <f>WEEKNUM(Tbl_Siparişler[[#This Row],[Sipariş Alınan Tarih]])</f>
        <v>4</v>
      </c>
      <c r="C250" s="6">
        <v>44218</v>
      </c>
      <c r="D250" s="7" t="s">
        <v>95</v>
      </c>
      <c r="E250" s="7">
        <v>42177</v>
      </c>
      <c r="F250" s="7" t="s">
        <v>107</v>
      </c>
      <c r="G250" s="7" t="s">
        <v>29</v>
      </c>
      <c r="H250" s="7" t="s">
        <v>42</v>
      </c>
      <c r="I250" s="7">
        <v>4</v>
      </c>
      <c r="J250" s="8">
        <f>IFERROR(VLOOKUP(Tbl_Siparişler[[#This Row],[Kategori]]&amp;"-"&amp;Tbl_Siparişler[[#This Row],[Ürün Adı]],Tbl_Ürünler[],11,0)*Tbl_Siparişler[[#This Row],[Adet]],"")</f>
        <v>56264</v>
      </c>
    </row>
    <row r="251" spans="2:10" ht="27" customHeight="1" x14ac:dyDescent="0.4">
      <c r="B251" s="9">
        <f>WEEKNUM(Tbl_Siparişler[[#This Row],[Sipariş Alınan Tarih]])</f>
        <v>40</v>
      </c>
      <c r="C251" s="6">
        <v>44471</v>
      </c>
      <c r="D251" s="7" t="s">
        <v>28</v>
      </c>
      <c r="E251" s="7">
        <v>32010</v>
      </c>
      <c r="F251" s="7" t="s">
        <v>109</v>
      </c>
      <c r="G251" s="7" t="s">
        <v>43</v>
      </c>
      <c r="H251" s="7" t="s">
        <v>45</v>
      </c>
      <c r="I251" s="7">
        <v>5</v>
      </c>
      <c r="J251" s="8">
        <f>IFERROR(VLOOKUP(Tbl_Siparişler[[#This Row],[Kategori]]&amp;"-"&amp;Tbl_Siparişler[[#This Row],[Ürün Adı]],Tbl_Ürünler[],11,0)*Tbl_Siparişler[[#This Row],[Adet]],"")</f>
        <v>48297</v>
      </c>
    </row>
    <row r="252" spans="2:10" ht="27" customHeight="1" x14ac:dyDescent="0.4">
      <c r="B252" s="9">
        <f>WEEKNUM(Tbl_Siparişler[[#This Row],[Sipariş Alınan Tarih]])</f>
        <v>39</v>
      </c>
      <c r="C252" s="6">
        <v>44462</v>
      </c>
      <c r="D252" s="7" t="s">
        <v>24</v>
      </c>
      <c r="E252" s="7">
        <v>88968</v>
      </c>
      <c r="F252" s="7" t="s">
        <v>118</v>
      </c>
      <c r="G252" s="7" t="s">
        <v>43</v>
      </c>
      <c r="H252" s="7" t="s">
        <v>46</v>
      </c>
      <c r="I252" s="7">
        <v>5</v>
      </c>
      <c r="J252" s="8">
        <f>IFERROR(VLOOKUP(Tbl_Siparişler[[#This Row],[Kategori]]&amp;"-"&amp;Tbl_Siparişler[[#This Row],[Ürün Adı]],Tbl_Ürünler[],11,0)*Tbl_Siparişler[[#This Row],[Adet]],"")</f>
        <v>66717</v>
      </c>
    </row>
    <row r="253" spans="2:10" ht="27" customHeight="1" x14ac:dyDescent="0.4">
      <c r="B253" s="9">
        <f>WEEKNUM(Tbl_Siparişler[[#This Row],[Sipariş Alınan Tarih]])</f>
        <v>27</v>
      </c>
      <c r="C253" s="6">
        <v>44374</v>
      </c>
      <c r="D253" s="7" t="s">
        <v>27</v>
      </c>
      <c r="E253" s="7">
        <v>50030</v>
      </c>
      <c r="F253" s="7" t="s">
        <v>113</v>
      </c>
      <c r="G253" s="7" t="s">
        <v>98</v>
      </c>
      <c r="H253" s="7" t="s">
        <v>99</v>
      </c>
      <c r="I253" s="7">
        <v>5</v>
      </c>
      <c r="J253" s="8">
        <f>IFERROR(VLOOKUP(Tbl_Siparişler[[#This Row],[Kategori]]&amp;"-"&amp;Tbl_Siparişler[[#This Row],[Ürün Adı]],Tbl_Ürünler[],11,0)*Tbl_Siparişler[[#This Row],[Adet]],"")</f>
        <v>20708.150000000001</v>
      </c>
    </row>
    <row r="254" spans="2:10" ht="27" customHeight="1" x14ac:dyDescent="0.4">
      <c r="B254" s="9">
        <f>WEEKNUM(Tbl_Siparişler[[#This Row],[Sipariş Alınan Tarih]])</f>
        <v>45</v>
      </c>
      <c r="C254" s="6">
        <v>44506</v>
      </c>
      <c r="D254" s="7" t="s">
        <v>28</v>
      </c>
      <c r="E254" s="7">
        <v>94636</v>
      </c>
      <c r="F254" s="7" t="s">
        <v>108</v>
      </c>
      <c r="G254" s="7" t="s">
        <v>43</v>
      </c>
      <c r="H254" s="7" t="s">
        <v>45</v>
      </c>
      <c r="I254" s="7">
        <v>1</v>
      </c>
      <c r="J254" s="8">
        <f>IFERROR(VLOOKUP(Tbl_Siparişler[[#This Row],[Kategori]]&amp;"-"&amp;Tbl_Siparişler[[#This Row],[Ürün Adı]],Tbl_Ürünler[],11,0)*Tbl_Siparişler[[#This Row],[Adet]],"")</f>
        <v>9659.4</v>
      </c>
    </row>
    <row r="255" spans="2:10" ht="27" customHeight="1" x14ac:dyDescent="0.4">
      <c r="B255" s="9">
        <f>WEEKNUM(Tbl_Siparişler[[#This Row],[Sipariş Alınan Tarih]])</f>
        <v>16</v>
      </c>
      <c r="C255" s="6">
        <v>44298</v>
      </c>
      <c r="D255" s="7" t="s">
        <v>25</v>
      </c>
      <c r="E255" s="7">
        <v>17988</v>
      </c>
      <c r="F255" s="7" t="s">
        <v>107</v>
      </c>
      <c r="G255" s="7" t="s">
        <v>98</v>
      </c>
      <c r="H255" s="7" t="s">
        <v>103</v>
      </c>
      <c r="I255" s="7">
        <v>2</v>
      </c>
      <c r="J255" s="8">
        <f>IFERROR(VLOOKUP(Tbl_Siparişler[[#This Row],[Kategori]]&amp;"-"&amp;Tbl_Siparişler[[#This Row],[Ürün Adı]],Tbl_Ürünler[],11,0)*Tbl_Siparişler[[#This Row],[Adet]],"")</f>
        <v>11925</v>
      </c>
    </row>
    <row r="256" spans="2:10" ht="27" customHeight="1" x14ac:dyDescent="0.4">
      <c r="B256" s="9">
        <f>WEEKNUM(Tbl_Siparişler[[#This Row],[Sipariş Alınan Tarih]])</f>
        <v>29</v>
      </c>
      <c r="C256" s="6">
        <v>44392</v>
      </c>
      <c r="D256" s="7" t="s">
        <v>27</v>
      </c>
      <c r="E256" s="7">
        <v>19610</v>
      </c>
      <c r="F256" s="7" t="s">
        <v>107</v>
      </c>
      <c r="G256" s="7" t="s">
        <v>47</v>
      </c>
      <c r="H256" s="7" t="s">
        <v>49</v>
      </c>
      <c r="I256" s="7">
        <v>3</v>
      </c>
      <c r="J256" s="8">
        <f>IFERROR(VLOOKUP(Tbl_Siparişler[[#This Row],[Kategori]]&amp;"-"&amp;Tbl_Siparişler[[#This Row],[Ürün Adı]],Tbl_Ürünler[],11,0)*Tbl_Siparişler[[#This Row],[Adet]],"")</f>
        <v>28709.25</v>
      </c>
    </row>
    <row r="257" spans="2:10" ht="27" customHeight="1" x14ac:dyDescent="0.4">
      <c r="B257" s="9">
        <f>WEEKNUM(Tbl_Siparişler[[#This Row],[Sipariş Alınan Tarih]])</f>
        <v>8</v>
      </c>
      <c r="C257" s="6">
        <v>44241</v>
      </c>
      <c r="D257" s="7" t="s">
        <v>24</v>
      </c>
      <c r="E257" s="7">
        <v>73556</v>
      </c>
      <c r="F257" s="7" t="s">
        <v>111</v>
      </c>
      <c r="G257" s="7" t="s">
        <v>43</v>
      </c>
      <c r="H257" s="7" t="s">
        <v>50</v>
      </c>
      <c r="I257" s="7">
        <v>2</v>
      </c>
      <c r="J257" s="8">
        <f>IFERROR(VLOOKUP(Tbl_Siparişler[[#This Row],[Kategori]]&amp;"-"&amp;Tbl_Siparişler[[#This Row],[Ürün Adı]],Tbl_Ürünler[],11,0)*Tbl_Siparişler[[#This Row],[Adet]],"")</f>
        <v>12916.2</v>
      </c>
    </row>
    <row r="258" spans="2:10" ht="27" customHeight="1" x14ac:dyDescent="0.4">
      <c r="B258" s="9">
        <f>WEEKNUM(Tbl_Siparişler[[#This Row],[Sipariş Alınan Tarih]])</f>
        <v>39</v>
      </c>
      <c r="C258" s="6">
        <v>44460</v>
      </c>
      <c r="D258" s="7" t="s">
        <v>106</v>
      </c>
      <c r="E258" s="7">
        <v>55938</v>
      </c>
      <c r="F258" s="7" t="s">
        <v>109</v>
      </c>
      <c r="G258" s="7" t="s">
        <v>47</v>
      </c>
      <c r="H258" s="7" t="s">
        <v>48</v>
      </c>
      <c r="I258" s="7">
        <v>3</v>
      </c>
      <c r="J258" s="8">
        <f>IFERROR(VLOOKUP(Tbl_Siparişler[[#This Row],[Kategori]]&amp;"-"&amp;Tbl_Siparişler[[#This Row],[Ürün Adı]],Tbl_Ürünler[],11,0)*Tbl_Siparişler[[#This Row],[Adet]],"")</f>
        <v>24160.5</v>
      </c>
    </row>
    <row r="259" spans="2:10" ht="27" customHeight="1" x14ac:dyDescent="0.4">
      <c r="B259" s="9">
        <f>WEEKNUM(Tbl_Siparişler[[#This Row],[Sipariş Alınan Tarih]])</f>
        <v>45</v>
      </c>
      <c r="C259" s="6">
        <v>44504</v>
      </c>
      <c r="D259" s="7" t="s">
        <v>24</v>
      </c>
      <c r="E259" s="7">
        <v>16149</v>
      </c>
      <c r="F259" s="7" t="s">
        <v>115</v>
      </c>
      <c r="G259" s="7" t="s">
        <v>43</v>
      </c>
      <c r="H259" s="7" t="s">
        <v>45</v>
      </c>
      <c r="I259" s="7">
        <v>4</v>
      </c>
      <c r="J259" s="8">
        <f>IFERROR(VLOOKUP(Tbl_Siparişler[[#This Row],[Kategori]]&amp;"-"&amp;Tbl_Siparişler[[#This Row],[Ürün Adı]],Tbl_Ürünler[],11,0)*Tbl_Siparişler[[#This Row],[Adet]],"")</f>
        <v>38637.599999999999</v>
      </c>
    </row>
    <row r="260" spans="2:10" ht="27" customHeight="1" x14ac:dyDescent="0.4">
      <c r="B260" s="9">
        <f>WEEKNUM(Tbl_Siparişler[[#This Row],[Sipariş Alınan Tarih]])</f>
        <v>9</v>
      </c>
      <c r="C260" s="6">
        <v>44249</v>
      </c>
      <c r="D260" s="7" t="s">
        <v>106</v>
      </c>
      <c r="E260" s="7">
        <v>62333</v>
      </c>
      <c r="F260" s="7" t="s">
        <v>108</v>
      </c>
      <c r="G260" s="7" t="s">
        <v>29</v>
      </c>
      <c r="H260" s="7" t="s">
        <v>41</v>
      </c>
      <c r="I260" s="7">
        <v>2</v>
      </c>
      <c r="J260" s="8">
        <f>IFERROR(VLOOKUP(Tbl_Siparişler[[#This Row],[Kategori]]&amp;"-"&amp;Tbl_Siparişler[[#This Row],[Ürün Adı]],Tbl_Ürünler[],11,0)*Tbl_Siparişler[[#This Row],[Adet]],"")</f>
        <v>25242</v>
      </c>
    </row>
    <row r="261" spans="2:10" ht="27" customHeight="1" x14ac:dyDescent="0.4">
      <c r="B261" s="9">
        <f>WEEKNUM(Tbl_Siparişler[[#This Row],[Sipariş Alınan Tarih]])</f>
        <v>8</v>
      </c>
      <c r="C261" s="6">
        <v>44245</v>
      </c>
      <c r="D261" s="7" t="s">
        <v>26</v>
      </c>
      <c r="E261" s="7">
        <v>17666</v>
      </c>
      <c r="F261" s="7" t="s">
        <v>118</v>
      </c>
      <c r="G261" s="7" t="s">
        <v>29</v>
      </c>
      <c r="H261" s="7" t="s">
        <v>42</v>
      </c>
      <c r="I261" s="7">
        <v>5</v>
      </c>
      <c r="J261" s="8">
        <f>IFERROR(VLOOKUP(Tbl_Siparişler[[#This Row],[Kategori]]&amp;"-"&amp;Tbl_Siparişler[[#This Row],[Ürün Adı]],Tbl_Ürünler[],11,0)*Tbl_Siparişler[[#This Row],[Adet]],"")</f>
        <v>70330</v>
      </c>
    </row>
    <row r="262" spans="2:10" ht="27" customHeight="1" x14ac:dyDescent="0.4">
      <c r="B262" s="9">
        <f>WEEKNUM(Tbl_Siparişler[[#This Row],[Sipariş Alınan Tarih]])</f>
        <v>46</v>
      </c>
      <c r="C262" s="6">
        <v>44508</v>
      </c>
      <c r="D262" s="7" t="s">
        <v>28</v>
      </c>
      <c r="E262" s="7">
        <v>11707</v>
      </c>
      <c r="F262" s="7" t="s">
        <v>113</v>
      </c>
      <c r="G262" s="7" t="s">
        <v>98</v>
      </c>
      <c r="H262" s="7" t="s">
        <v>103</v>
      </c>
      <c r="I262" s="7">
        <v>2</v>
      </c>
      <c r="J262" s="8">
        <f>IFERROR(VLOOKUP(Tbl_Siparişler[[#This Row],[Kategori]]&amp;"-"&amp;Tbl_Siparişler[[#This Row],[Ürün Adı]],Tbl_Ürünler[],11,0)*Tbl_Siparişler[[#This Row],[Adet]],"")</f>
        <v>11925</v>
      </c>
    </row>
    <row r="263" spans="2:10" ht="27" customHeight="1" x14ac:dyDescent="0.4">
      <c r="B263" s="9">
        <f>WEEKNUM(Tbl_Siparişler[[#This Row],[Sipariş Alınan Tarih]])</f>
        <v>38</v>
      </c>
      <c r="C263" s="6">
        <v>44453</v>
      </c>
      <c r="D263" s="7" t="s">
        <v>106</v>
      </c>
      <c r="E263" s="7">
        <v>56142</v>
      </c>
      <c r="F263" s="7" t="s">
        <v>115</v>
      </c>
      <c r="G263" s="7" t="s">
        <v>43</v>
      </c>
      <c r="H263" s="7" t="s">
        <v>44</v>
      </c>
      <c r="I263" s="7">
        <v>5</v>
      </c>
      <c r="J263" s="8">
        <f>IFERROR(VLOOKUP(Tbl_Siparişler[[#This Row],[Kategori]]&amp;"-"&amp;Tbl_Siparişler[[#This Row],[Ürün Adı]],Tbl_Ürünler[],11,0)*Tbl_Siparişler[[#This Row],[Adet]],"")</f>
        <v>44573</v>
      </c>
    </row>
    <row r="264" spans="2:10" ht="27" customHeight="1" x14ac:dyDescent="0.4">
      <c r="B264" s="9">
        <f>WEEKNUM(Tbl_Siparişler[[#This Row],[Sipariş Alınan Tarih]])</f>
        <v>14</v>
      </c>
      <c r="C264" s="6">
        <v>44289</v>
      </c>
      <c r="D264" s="7" t="s">
        <v>106</v>
      </c>
      <c r="E264" s="7">
        <v>99331</v>
      </c>
      <c r="F264" s="7" t="s">
        <v>109</v>
      </c>
      <c r="G264" s="7" t="s">
        <v>43</v>
      </c>
      <c r="H264" s="7" t="s">
        <v>46</v>
      </c>
      <c r="I264" s="7">
        <v>2</v>
      </c>
      <c r="J264" s="8">
        <f>IFERROR(VLOOKUP(Tbl_Siparişler[[#This Row],[Kategori]]&amp;"-"&amp;Tbl_Siparişler[[#This Row],[Ürün Adı]],Tbl_Ürünler[],11,0)*Tbl_Siparişler[[#This Row],[Adet]],"")</f>
        <v>26686.800000000003</v>
      </c>
    </row>
    <row r="265" spans="2:10" ht="27" customHeight="1" x14ac:dyDescent="0.4">
      <c r="B265" s="9">
        <f>WEEKNUM(Tbl_Siparişler[[#This Row],[Sipariş Alınan Tarih]])</f>
        <v>23</v>
      </c>
      <c r="C265" s="6">
        <v>44352</v>
      </c>
      <c r="D265" s="7" t="s">
        <v>26</v>
      </c>
      <c r="E265" s="7">
        <v>91059</v>
      </c>
      <c r="F265" s="7" t="s">
        <v>113</v>
      </c>
      <c r="G265" s="7" t="s">
        <v>98</v>
      </c>
      <c r="H265" s="7" t="s">
        <v>103</v>
      </c>
      <c r="I265" s="7">
        <v>3</v>
      </c>
      <c r="J265" s="8">
        <f>IFERROR(VLOOKUP(Tbl_Siparişler[[#This Row],[Kategori]]&amp;"-"&amp;Tbl_Siparişler[[#This Row],[Ürün Adı]],Tbl_Ürünler[],11,0)*Tbl_Siparişler[[#This Row],[Adet]],"")</f>
        <v>17887.5</v>
      </c>
    </row>
    <row r="266" spans="2:10" ht="27" customHeight="1" x14ac:dyDescent="0.4">
      <c r="B266" s="9">
        <f>WEEKNUM(Tbl_Siparişler[[#This Row],[Sipariş Alınan Tarih]])</f>
        <v>46</v>
      </c>
      <c r="C266" s="6">
        <v>44511</v>
      </c>
      <c r="D266" s="7" t="s">
        <v>26</v>
      </c>
      <c r="E266" s="7">
        <v>71246</v>
      </c>
      <c r="F266" s="7" t="s">
        <v>117</v>
      </c>
      <c r="G266" s="7" t="s">
        <v>43</v>
      </c>
      <c r="H266" s="7" t="s">
        <v>50</v>
      </c>
      <c r="I266" s="7">
        <v>3</v>
      </c>
      <c r="J266" s="8">
        <f>IFERROR(VLOOKUP(Tbl_Siparişler[[#This Row],[Kategori]]&amp;"-"&amp;Tbl_Siparişler[[#This Row],[Ürün Adı]],Tbl_Ürünler[],11,0)*Tbl_Siparişler[[#This Row],[Adet]],"")</f>
        <v>19374.300000000003</v>
      </c>
    </row>
    <row r="267" spans="2:10" ht="27" customHeight="1" x14ac:dyDescent="0.4">
      <c r="B267" s="9">
        <f>WEEKNUM(Tbl_Siparişler[[#This Row],[Sipariş Alınan Tarih]])</f>
        <v>17</v>
      </c>
      <c r="C267" s="6">
        <v>44305</v>
      </c>
      <c r="D267" s="7" t="s">
        <v>28</v>
      </c>
      <c r="E267" s="7">
        <v>97658</v>
      </c>
      <c r="F267" s="7" t="s">
        <v>112</v>
      </c>
      <c r="G267" s="7" t="s">
        <v>43</v>
      </c>
      <c r="H267" s="7" t="s">
        <v>45</v>
      </c>
      <c r="I267" s="7">
        <v>1</v>
      </c>
      <c r="J267" s="8">
        <f>IFERROR(VLOOKUP(Tbl_Siparişler[[#This Row],[Kategori]]&amp;"-"&amp;Tbl_Siparişler[[#This Row],[Ürün Adı]],Tbl_Ürünler[],11,0)*Tbl_Siparişler[[#This Row],[Adet]],"")</f>
        <v>9659.4</v>
      </c>
    </row>
    <row r="268" spans="2:10" ht="27" customHeight="1" x14ac:dyDescent="0.4">
      <c r="B268" s="9">
        <f>WEEKNUM(Tbl_Siparişler[[#This Row],[Sipariş Alınan Tarih]])</f>
        <v>33</v>
      </c>
      <c r="C268" s="6">
        <v>44418</v>
      </c>
      <c r="D268" s="7" t="s">
        <v>26</v>
      </c>
      <c r="E268" s="7">
        <v>43464</v>
      </c>
      <c r="F268" s="7" t="s">
        <v>107</v>
      </c>
      <c r="G268" s="7" t="s">
        <v>98</v>
      </c>
      <c r="H268" s="7" t="s">
        <v>99</v>
      </c>
      <c r="I268" s="7">
        <v>4</v>
      </c>
      <c r="J268" s="8">
        <f>IFERROR(VLOOKUP(Tbl_Siparişler[[#This Row],[Kategori]]&amp;"-"&amp;Tbl_Siparişler[[#This Row],[Ürün Adı]],Tbl_Ürünler[],11,0)*Tbl_Siparişler[[#This Row],[Adet]],"")</f>
        <v>16566.52</v>
      </c>
    </row>
    <row r="269" spans="2:10" ht="27" customHeight="1" x14ac:dyDescent="0.4">
      <c r="B269" s="9">
        <f>WEEKNUM(Tbl_Siparişler[[#This Row],[Sipariş Alınan Tarih]])</f>
        <v>19</v>
      </c>
      <c r="C269" s="6">
        <v>44323</v>
      </c>
      <c r="D269" s="7" t="s">
        <v>25</v>
      </c>
      <c r="E269" s="7">
        <v>68195</v>
      </c>
      <c r="F269" s="7" t="s">
        <v>113</v>
      </c>
      <c r="G269" s="7" t="s">
        <v>98</v>
      </c>
      <c r="H269" s="7" t="s">
        <v>99</v>
      </c>
      <c r="I269" s="7">
        <v>5</v>
      </c>
      <c r="J269" s="8">
        <f>IFERROR(VLOOKUP(Tbl_Siparişler[[#This Row],[Kategori]]&amp;"-"&amp;Tbl_Siparişler[[#This Row],[Ürün Adı]],Tbl_Ürünler[],11,0)*Tbl_Siparişler[[#This Row],[Adet]],"")</f>
        <v>20708.150000000001</v>
      </c>
    </row>
    <row r="270" spans="2:10" ht="27" customHeight="1" x14ac:dyDescent="0.4">
      <c r="B270" s="9">
        <f>WEEKNUM(Tbl_Siparişler[[#This Row],[Sipariş Alınan Tarih]])</f>
        <v>50</v>
      </c>
      <c r="C270" s="6">
        <v>44541</v>
      </c>
      <c r="D270" s="7" t="s">
        <v>26</v>
      </c>
      <c r="E270" s="7">
        <v>59448</v>
      </c>
      <c r="F270" s="7" t="s">
        <v>107</v>
      </c>
      <c r="G270" s="7" t="s">
        <v>29</v>
      </c>
      <c r="H270" s="7" t="s">
        <v>41</v>
      </c>
      <c r="I270" s="7">
        <v>5</v>
      </c>
      <c r="J270" s="8">
        <f>IFERROR(VLOOKUP(Tbl_Siparişler[[#This Row],[Kategori]]&amp;"-"&amp;Tbl_Siparişler[[#This Row],[Ürün Adı]],Tbl_Ürünler[],11,0)*Tbl_Siparişler[[#This Row],[Adet]],"")</f>
        <v>63105</v>
      </c>
    </row>
    <row r="271" spans="2:10" ht="27" customHeight="1" x14ac:dyDescent="0.4">
      <c r="B271" s="9">
        <f>WEEKNUM(Tbl_Siparişler[[#This Row],[Sipariş Alınan Tarih]])</f>
        <v>19</v>
      </c>
      <c r="C271" s="6">
        <v>44323</v>
      </c>
      <c r="D271" s="7" t="s">
        <v>26</v>
      </c>
      <c r="E271" s="7">
        <v>66752</v>
      </c>
      <c r="F271" s="7" t="s">
        <v>115</v>
      </c>
      <c r="G271" s="7" t="s">
        <v>47</v>
      </c>
      <c r="H271" s="7" t="s">
        <v>49</v>
      </c>
      <c r="I271" s="7">
        <v>5</v>
      </c>
      <c r="J271" s="8">
        <f>IFERROR(VLOOKUP(Tbl_Siparişler[[#This Row],[Kategori]]&amp;"-"&amp;Tbl_Siparişler[[#This Row],[Ürün Adı]],Tbl_Ürünler[],11,0)*Tbl_Siparişler[[#This Row],[Adet]],"")</f>
        <v>47848.75</v>
      </c>
    </row>
    <row r="272" spans="2:10" ht="27" customHeight="1" x14ac:dyDescent="0.4">
      <c r="B272" s="9">
        <f>WEEKNUM(Tbl_Siparişler[[#This Row],[Sipariş Alınan Tarih]])</f>
        <v>15</v>
      </c>
      <c r="C272" s="6">
        <v>44290</v>
      </c>
      <c r="D272" s="7" t="s">
        <v>28</v>
      </c>
      <c r="E272" s="7">
        <v>53845</v>
      </c>
      <c r="F272" s="7" t="s">
        <v>112</v>
      </c>
      <c r="G272" s="7" t="s">
        <v>29</v>
      </c>
      <c r="H272" s="7" t="s">
        <v>37</v>
      </c>
      <c r="I272" s="7">
        <v>2</v>
      </c>
      <c r="J272" s="8">
        <f>IFERROR(VLOOKUP(Tbl_Siparişler[[#This Row],[Kategori]]&amp;"-"&amp;Tbl_Siparişler[[#This Row],[Ürün Adı]],Tbl_Ürünler[],11,0)*Tbl_Siparişler[[#This Row],[Adet]],"")</f>
        <v>19600.900000000001</v>
      </c>
    </row>
    <row r="273" spans="2:10" ht="27" customHeight="1" x14ac:dyDescent="0.4">
      <c r="B273" s="9">
        <f>WEEKNUM(Tbl_Siparişler[[#This Row],[Sipariş Alınan Tarih]])</f>
        <v>3</v>
      </c>
      <c r="C273" s="6">
        <v>44208</v>
      </c>
      <c r="D273" s="7" t="s">
        <v>27</v>
      </c>
      <c r="E273" s="7">
        <v>51928</v>
      </c>
      <c r="F273" s="7" t="s">
        <v>112</v>
      </c>
      <c r="G273" s="7" t="s">
        <v>98</v>
      </c>
      <c r="H273" s="7" t="s">
        <v>103</v>
      </c>
      <c r="I273" s="7">
        <v>2</v>
      </c>
      <c r="J273" s="8">
        <f>IFERROR(VLOOKUP(Tbl_Siparişler[[#This Row],[Kategori]]&amp;"-"&amp;Tbl_Siparişler[[#This Row],[Ürün Adı]],Tbl_Ürünler[],11,0)*Tbl_Siparişler[[#This Row],[Adet]],"")</f>
        <v>11925</v>
      </c>
    </row>
    <row r="274" spans="2:10" ht="27" customHeight="1" x14ac:dyDescent="0.4">
      <c r="B274" s="9">
        <f>WEEKNUM(Tbl_Siparişler[[#This Row],[Sipariş Alınan Tarih]])</f>
        <v>23</v>
      </c>
      <c r="C274" s="6">
        <v>44352</v>
      </c>
      <c r="D274" s="7" t="s">
        <v>24</v>
      </c>
      <c r="E274" s="7">
        <v>47692</v>
      </c>
      <c r="F274" s="7" t="s">
        <v>110</v>
      </c>
      <c r="G274" s="7" t="s">
        <v>29</v>
      </c>
      <c r="H274" s="7" t="s">
        <v>30</v>
      </c>
      <c r="I274" s="7">
        <v>2</v>
      </c>
      <c r="J274" s="8">
        <f>IFERROR(VLOOKUP(Tbl_Siparişler[[#This Row],[Kategori]]&amp;"-"&amp;Tbl_Siparişler[[#This Row],[Ürün Adı]],Tbl_Ürünler[],11,0)*Tbl_Siparişler[[#This Row],[Adet]],"")</f>
        <v>17370.599999999999</v>
      </c>
    </row>
    <row r="275" spans="2:10" ht="27" customHeight="1" x14ac:dyDescent="0.4">
      <c r="B275" s="9">
        <f>WEEKNUM(Tbl_Siparişler[[#This Row],[Sipariş Alınan Tarih]])</f>
        <v>17</v>
      </c>
      <c r="C275" s="6">
        <v>44310</v>
      </c>
      <c r="D275" s="7" t="s">
        <v>25</v>
      </c>
      <c r="E275" s="7">
        <v>35372</v>
      </c>
      <c r="F275" s="7" t="s">
        <v>113</v>
      </c>
      <c r="G275" s="7" t="s">
        <v>43</v>
      </c>
      <c r="H275" s="7" t="s">
        <v>44</v>
      </c>
      <c r="I275" s="7">
        <v>1</v>
      </c>
      <c r="J275" s="8">
        <f>IFERROR(VLOOKUP(Tbl_Siparişler[[#This Row],[Kategori]]&amp;"-"&amp;Tbl_Siparişler[[#This Row],[Ürün Adı]],Tbl_Ürünler[],11,0)*Tbl_Siparişler[[#This Row],[Adet]],"")</f>
        <v>8914.6</v>
      </c>
    </row>
    <row r="276" spans="2:10" ht="27" customHeight="1" x14ac:dyDescent="0.4">
      <c r="B276" s="9">
        <f>WEEKNUM(Tbl_Siparişler[[#This Row],[Sipariş Alınan Tarih]])</f>
        <v>29</v>
      </c>
      <c r="C276" s="6">
        <v>44388</v>
      </c>
      <c r="D276" s="7" t="s">
        <v>25</v>
      </c>
      <c r="E276" s="7">
        <v>92588</v>
      </c>
      <c r="F276" s="7" t="s">
        <v>117</v>
      </c>
      <c r="G276" s="7" t="s">
        <v>43</v>
      </c>
      <c r="H276" s="7" t="s">
        <v>44</v>
      </c>
      <c r="I276" s="7">
        <v>4</v>
      </c>
      <c r="J276" s="8">
        <f>IFERROR(VLOOKUP(Tbl_Siparişler[[#This Row],[Kategori]]&amp;"-"&amp;Tbl_Siparişler[[#This Row],[Ürün Adı]],Tbl_Ürünler[],11,0)*Tbl_Siparişler[[#This Row],[Adet]],"")</f>
        <v>35658.400000000001</v>
      </c>
    </row>
    <row r="277" spans="2:10" ht="27" customHeight="1" x14ac:dyDescent="0.4">
      <c r="B277" s="9">
        <f>WEEKNUM(Tbl_Siparişler[[#This Row],[Sipariş Alınan Tarih]])</f>
        <v>15</v>
      </c>
      <c r="C277" s="6">
        <v>44290</v>
      </c>
      <c r="D277" s="7" t="s">
        <v>28</v>
      </c>
      <c r="E277" s="7">
        <v>48167</v>
      </c>
      <c r="F277" s="7" t="s">
        <v>115</v>
      </c>
      <c r="G277" s="7" t="s">
        <v>98</v>
      </c>
      <c r="H277" s="7" t="s">
        <v>100</v>
      </c>
      <c r="I277" s="7">
        <v>3</v>
      </c>
      <c r="J277" s="8">
        <f>IFERROR(VLOOKUP(Tbl_Siparişler[[#This Row],[Kategori]]&amp;"-"&amp;Tbl_Siparişler[[#This Row],[Ürün Adı]],Tbl_Ürünler[],11,0)*Tbl_Siparişler[[#This Row],[Adet]],"")</f>
        <v>27705.600000000002</v>
      </c>
    </row>
    <row r="278" spans="2:10" ht="27" customHeight="1" x14ac:dyDescent="0.4">
      <c r="B278" s="9">
        <f>WEEKNUM(Tbl_Siparişler[[#This Row],[Sipariş Alınan Tarih]])</f>
        <v>14</v>
      </c>
      <c r="C278" s="6">
        <v>44288</v>
      </c>
      <c r="D278" s="7" t="s">
        <v>27</v>
      </c>
      <c r="E278" s="7">
        <v>27358</v>
      </c>
      <c r="F278" s="7" t="s">
        <v>113</v>
      </c>
      <c r="G278" s="7" t="s">
        <v>43</v>
      </c>
      <c r="H278" s="7" t="s">
        <v>50</v>
      </c>
      <c r="I278" s="7">
        <v>3</v>
      </c>
      <c r="J278" s="8">
        <f>IFERROR(VLOOKUP(Tbl_Siparişler[[#This Row],[Kategori]]&amp;"-"&amp;Tbl_Siparişler[[#This Row],[Ürün Adı]],Tbl_Ürünler[],11,0)*Tbl_Siparişler[[#This Row],[Adet]],"")</f>
        <v>19374.300000000003</v>
      </c>
    </row>
    <row r="279" spans="2:10" ht="27" customHeight="1" x14ac:dyDescent="0.4">
      <c r="B279" s="9">
        <f>WEEKNUM(Tbl_Siparişler[[#This Row],[Sipariş Alınan Tarih]])</f>
        <v>17</v>
      </c>
      <c r="C279" s="6">
        <v>44309</v>
      </c>
      <c r="D279" s="7" t="s">
        <v>24</v>
      </c>
      <c r="E279" s="7">
        <v>11416</v>
      </c>
      <c r="F279" s="7" t="s">
        <v>118</v>
      </c>
      <c r="G279" s="7" t="s">
        <v>43</v>
      </c>
      <c r="H279" s="7" t="s">
        <v>46</v>
      </c>
      <c r="I279" s="7">
        <v>5</v>
      </c>
      <c r="J279" s="8">
        <f>IFERROR(VLOOKUP(Tbl_Siparişler[[#This Row],[Kategori]]&amp;"-"&amp;Tbl_Siparişler[[#This Row],[Ürün Adı]],Tbl_Ürünler[],11,0)*Tbl_Siparişler[[#This Row],[Adet]],"")</f>
        <v>66717</v>
      </c>
    </row>
    <row r="280" spans="2:10" ht="27" customHeight="1" x14ac:dyDescent="0.4">
      <c r="B280" s="9">
        <f>WEEKNUM(Tbl_Siparişler[[#This Row],[Sipariş Alınan Tarih]])</f>
        <v>32</v>
      </c>
      <c r="C280" s="6">
        <v>44413</v>
      </c>
      <c r="D280" s="7" t="s">
        <v>26</v>
      </c>
      <c r="E280" s="7">
        <v>24059</v>
      </c>
      <c r="F280" s="7" t="s">
        <v>114</v>
      </c>
      <c r="G280" s="7" t="s">
        <v>98</v>
      </c>
      <c r="H280" s="7" t="s">
        <v>99</v>
      </c>
      <c r="I280" s="7">
        <v>5</v>
      </c>
      <c r="J280" s="8">
        <f>IFERROR(VLOOKUP(Tbl_Siparişler[[#This Row],[Kategori]]&amp;"-"&amp;Tbl_Siparişler[[#This Row],[Ürün Adı]],Tbl_Ürünler[],11,0)*Tbl_Siparişler[[#This Row],[Adet]],"")</f>
        <v>20708.150000000001</v>
      </c>
    </row>
    <row r="281" spans="2:10" ht="27" customHeight="1" x14ac:dyDescent="0.4">
      <c r="B281" s="9">
        <f>WEEKNUM(Tbl_Siparişler[[#This Row],[Sipariş Alınan Tarih]])</f>
        <v>1</v>
      </c>
      <c r="C281" s="6">
        <v>44197</v>
      </c>
      <c r="D281" s="7" t="s">
        <v>25</v>
      </c>
      <c r="E281" s="7">
        <v>10010</v>
      </c>
      <c r="F281" s="7" t="s">
        <v>111</v>
      </c>
      <c r="G281" s="7" t="s">
        <v>43</v>
      </c>
      <c r="H281" s="7" t="s">
        <v>45</v>
      </c>
      <c r="I281" s="7">
        <v>5</v>
      </c>
      <c r="J281" s="8">
        <f>IFERROR(VLOOKUP(Tbl_Siparişler[[#This Row],[Kategori]]&amp;"-"&amp;Tbl_Siparişler[[#This Row],[Ürün Adı]],Tbl_Ürünler[],11,0)*Tbl_Siparişler[[#This Row],[Adet]],"")</f>
        <v>48297</v>
      </c>
    </row>
    <row r="282" spans="2:10" ht="27" customHeight="1" x14ac:dyDescent="0.4">
      <c r="B282" s="9">
        <f>WEEKNUM(Tbl_Siparişler[[#This Row],[Sipariş Alınan Tarih]])</f>
        <v>21</v>
      </c>
      <c r="C282" s="6">
        <v>44334</v>
      </c>
      <c r="D282" s="7" t="s">
        <v>24</v>
      </c>
      <c r="E282" s="7">
        <v>76508</v>
      </c>
      <c r="F282" s="7" t="s">
        <v>118</v>
      </c>
      <c r="G282" s="7" t="s">
        <v>29</v>
      </c>
      <c r="H282" s="7" t="s">
        <v>42</v>
      </c>
      <c r="I282" s="7">
        <v>1</v>
      </c>
      <c r="J282" s="8">
        <f>IFERROR(VLOOKUP(Tbl_Siparişler[[#This Row],[Kategori]]&amp;"-"&amp;Tbl_Siparişler[[#This Row],[Ürün Adı]],Tbl_Ürünler[],11,0)*Tbl_Siparişler[[#This Row],[Adet]],"")</f>
        <v>14066</v>
      </c>
    </row>
    <row r="283" spans="2:10" ht="27" customHeight="1" x14ac:dyDescent="0.4">
      <c r="B283" s="9">
        <f>WEEKNUM(Tbl_Siparişler[[#This Row],[Sipariş Alınan Tarih]])</f>
        <v>5</v>
      </c>
      <c r="C283" s="6">
        <v>44223</v>
      </c>
      <c r="D283" s="7" t="s">
        <v>28</v>
      </c>
      <c r="E283" s="7">
        <v>74778</v>
      </c>
      <c r="F283" s="7" t="s">
        <v>114</v>
      </c>
      <c r="G283" s="7" t="s">
        <v>47</v>
      </c>
      <c r="H283" s="7" t="s">
        <v>48</v>
      </c>
      <c r="I283" s="7">
        <v>2</v>
      </c>
      <c r="J283" s="8">
        <f>IFERROR(VLOOKUP(Tbl_Siparişler[[#This Row],[Kategori]]&amp;"-"&amp;Tbl_Siparişler[[#This Row],[Ürün Adı]],Tbl_Ürünler[],11,0)*Tbl_Siparişler[[#This Row],[Adet]],"")</f>
        <v>16107</v>
      </c>
    </row>
    <row r="284" spans="2:10" ht="27" customHeight="1" x14ac:dyDescent="0.4">
      <c r="B284" s="9">
        <f>WEEKNUM(Tbl_Siparişler[[#This Row],[Sipariş Alınan Tarih]])</f>
        <v>19</v>
      </c>
      <c r="C284" s="6">
        <v>44319</v>
      </c>
      <c r="D284" s="7" t="s">
        <v>25</v>
      </c>
      <c r="E284" s="7">
        <v>78588</v>
      </c>
      <c r="F284" s="7" t="s">
        <v>116</v>
      </c>
      <c r="G284" s="7" t="s">
        <v>98</v>
      </c>
      <c r="H284" s="7" t="s">
        <v>100</v>
      </c>
      <c r="I284" s="7">
        <v>4</v>
      </c>
      <c r="J284" s="8">
        <f>IFERROR(VLOOKUP(Tbl_Siparişler[[#This Row],[Kategori]]&amp;"-"&amp;Tbl_Siparişler[[#This Row],[Ürün Adı]],Tbl_Ürünler[],11,0)*Tbl_Siparişler[[#This Row],[Adet]],"")</f>
        <v>36940.800000000003</v>
      </c>
    </row>
    <row r="285" spans="2:10" ht="27" customHeight="1" x14ac:dyDescent="0.4">
      <c r="B285" s="9">
        <f>WEEKNUM(Tbl_Siparişler[[#This Row],[Sipariş Alınan Tarih]])</f>
        <v>25</v>
      </c>
      <c r="C285" s="6">
        <v>44362</v>
      </c>
      <c r="D285" s="7" t="s">
        <v>24</v>
      </c>
      <c r="E285" s="7">
        <v>24868</v>
      </c>
      <c r="F285" s="7" t="s">
        <v>116</v>
      </c>
      <c r="G285" s="7" t="s">
        <v>43</v>
      </c>
      <c r="H285" s="7" t="s">
        <v>46</v>
      </c>
      <c r="I285" s="7">
        <v>3</v>
      </c>
      <c r="J285" s="8">
        <f>IFERROR(VLOOKUP(Tbl_Siparişler[[#This Row],[Kategori]]&amp;"-"&amp;Tbl_Siparişler[[#This Row],[Ürün Adı]],Tbl_Ürünler[],11,0)*Tbl_Siparişler[[#This Row],[Adet]],"")</f>
        <v>40030.200000000004</v>
      </c>
    </row>
    <row r="286" spans="2:10" ht="27" customHeight="1" x14ac:dyDescent="0.4">
      <c r="B286" s="9">
        <f>WEEKNUM(Tbl_Siparişler[[#This Row],[Sipariş Alınan Tarih]])</f>
        <v>19</v>
      </c>
      <c r="C286" s="6">
        <v>44322</v>
      </c>
      <c r="D286" s="7" t="s">
        <v>95</v>
      </c>
      <c r="E286" s="7">
        <v>29817</v>
      </c>
      <c r="F286" s="7" t="s">
        <v>112</v>
      </c>
      <c r="G286" s="7" t="s">
        <v>29</v>
      </c>
      <c r="H286" s="7" t="s">
        <v>30</v>
      </c>
      <c r="I286" s="7">
        <v>2</v>
      </c>
      <c r="J286" s="8">
        <f>IFERROR(VLOOKUP(Tbl_Siparişler[[#This Row],[Kategori]]&amp;"-"&amp;Tbl_Siparişler[[#This Row],[Ürün Adı]],Tbl_Ürünler[],11,0)*Tbl_Siparişler[[#This Row],[Adet]],"")</f>
        <v>17370.599999999999</v>
      </c>
    </row>
    <row r="287" spans="2:10" ht="27" customHeight="1" x14ac:dyDescent="0.4">
      <c r="B287" s="9">
        <f>WEEKNUM(Tbl_Siparişler[[#This Row],[Sipariş Alınan Tarih]])</f>
        <v>27</v>
      </c>
      <c r="C287" s="6">
        <v>44375</v>
      </c>
      <c r="D287" s="7" t="s">
        <v>95</v>
      </c>
      <c r="E287" s="7">
        <v>48140</v>
      </c>
      <c r="F287" s="7" t="s">
        <v>117</v>
      </c>
      <c r="G287" s="7" t="s">
        <v>98</v>
      </c>
      <c r="H287" s="7" t="s">
        <v>99</v>
      </c>
      <c r="I287" s="7">
        <v>3</v>
      </c>
      <c r="J287" s="8">
        <f>IFERROR(VLOOKUP(Tbl_Siparişler[[#This Row],[Kategori]]&amp;"-"&amp;Tbl_Siparişler[[#This Row],[Ürün Adı]],Tbl_Ürünler[],11,0)*Tbl_Siparişler[[#This Row],[Adet]],"")</f>
        <v>12424.89</v>
      </c>
    </row>
    <row r="288" spans="2:10" ht="27" customHeight="1" x14ac:dyDescent="0.4">
      <c r="B288" s="9">
        <f>WEEKNUM(Tbl_Siparişler[[#This Row],[Sipariş Alınan Tarih]])</f>
        <v>38</v>
      </c>
      <c r="C288" s="6">
        <v>44452</v>
      </c>
      <c r="D288" s="7" t="s">
        <v>106</v>
      </c>
      <c r="E288" s="7">
        <v>74121</v>
      </c>
      <c r="F288" s="7" t="s">
        <v>115</v>
      </c>
      <c r="G288" s="7" t="s">
        <v>43</v>
      </c>
      <c r="H288" s="7" t="s">
        <v>46</v>
      </c>
      <c r="I288" s="7">
        <v>5</v>
      </c>
      <c r="J288" s="8">
        <f>IFERROR(VLOOKUP(Tbl_Siparişler[[#This Row],[Kategori]]&amp;"-"&amp;Tbl_Siparişler[[#This Row],[Ürün Adı]],Tbl_Ürünler[],11,0)*Tbl_Siparişler[[#This Row],[Adet]],"")</f>
        <v>66717</v>
      </c>
    </row>
    <row r="289" spans="2:10" ht="27" customHeight="1" x14ac:dyDescent="0.4">
      <c r="B289" s="9">
        <f>WEEKNUM(Tbl_Siparişler[[#This Row],[Sipariş Alınan Tarih]])</f>
        <v>19</v>
      </c>
      <c r="C289" s="6">
        <v>44321</v>
      </c>
      <c r="D289" s="7" t="s">
        <v>106</v>
      </c>
      <c r="E289" s="7">
        <v>25293</v>
      </c>
      <c r="F289" s="7" t="s">
        <v>108</v>
      </c>
      <c r="G289" s="7" t="s">
        <v>98</v>
      </c>
      <c r="H289" s="7" t="s">
        <v>99</v>
      </c>
      <c r="I289" s="7">
        <v>2</v>
      </c>
      <c r="J289" s="8">
        <f>IFERROR(VLOOKUP(Tbl_Siparişler[[#This Row],[Kategori]]&amp;"-"&amp;Tbl_Siparişler[[#This Row],[Ürün Adı]],Tbl_Ürünler[],11,0)*Tbl_Siparişler[[#This Row],[Adet]],"")</f>
        <v>8283.26</v>
      </c>
    </row>
    <row r="290" spans="2:10" ht="27" customHeight="1" x14ac:dyDescent="0.4">
      <c r="B290" s="9">
        <f>WEEKNUM(Tbl_Siparişler[[#This Row],[Sipariş Alınan Tarih]])</f>
        <v>2</v>
      </c>
      <c r="C290" s="6">
        <v>44203</v>
      </c>
      <c r="D290" s="7" t="s">
        <v>106</v>
      </c>
      <c r="E290" s="7">
        <v>43782</v>
      </c>
      <c r="F290" s="7" t="s">
        <v>111</v>
      </c>
      <c r="G290" s="7" t="s">
        <v>47</v>
      </c>
      <c r="H290" s="7" t="s">
        <v>48</v>
      </c>
      <c r="I290" s="7">
        <v>3</v>
      </c>
      <c r="J290" s="8">
        <f>IFERROR(VLOOKUP(Tbl_Siparişler[[#This Row],[Kategori]]&amp;"-"&amp;Tbl_Siparişler[[#This Row],[Ürün Adı]],Tbl_Ürünler[],11,0)*Tbl_Siparişler[[#This Row],[Adet]],"")</f>
        <v>24160.5</v>
      </c>
    </row>
    <row r="291" spans="2:10" ht="27" customHeight="1" x14ac:dyDescent="0.4">
      <c r="B291" s="9">
        <f>WEEKNUM(Tbl_Siparişler[[#This Row],[Sipariş Alınan Tarih]])</f>
        <v>21</v>
      </c>
      <c r="C291" s="6">
        <v>44336</v>
      </c>
      <c r="D291" s="7" t="s">
        <v>26</v>
      </c>
      <c r="E291" s="7">
        <v>85728</v>
      </c>
      <c r="F291" s="7" t="s">
        <v>111</v>
      </c>
      <c r="G291" s="7" t="s">
        <v>47</v>
      </c>
      <c r="H291" s="7" t="s">
        <v>49</v>
      </c>
      <c r="I291" s="7">
        <v>2</v>
      </c>
      <c r="J291" s="8">
        <f>IFERROR(VLOOKUP(Tbl_Siparişler[[#This Row],[Kategori]]&amp;"-"&amp;Tbl_Siparişler[[#This Row],[Ürün Adı]],Tbl_Ürünler[],11,0)*Tbl_Siparişler[[#This Row],[Adet]],"")</f>
        <v>19139.5</v>
      </c>
    </row>
    <row r="292" spans="2:10" ht="27" customHeight="1" x14ac:dyDescent="0.4">
      <c r="B292" s="9">
        <f>WEEKNUM(Tbl_Siparişler[[#This Row],[Sipariş Alınan Tarih]])</f>
        <v>44</v>
      </c>
      <c r="C292" s="6">
        <v>44493</v>
      </c>
      <c r="D292" s="7" t="s">
        <v>24</v>
      </c>
      <c r="E292" s="7">
        <v>24129</v>
      </c>
      <c r="F292" s="7" t="s">
        <v>108</v>
      </c>
      <c r="G292" s="7" t="s">
        <v>29</v>
      </c>
      <c r="H292" s="7" t="s">
        <v>41</v>
      </c>
      <c r="I292" s="7">
        <v>4</v>
      </c>
      <c r="J292" s="8">
        <f>IFERROR(VLOOKUP(Tbl_Siparişler[[#This Row],[Kategori]]&amp;"-"&amp;Tbl_Siparişler[[#This Row],[Ürün Adı]],Tbl_Ürünler[],11,0)*Tbl_Siparişler[[#This Row],[Adet]],"")</f>
        <v>50484</v>
      </c>
    </row>
    <row r="293" spans="2:10" ht="27" customHeight="1" x14ac:dyDescent="0.4">
      <c r="B293" s="9">
        <f>WEEKNUM(Tbl_Siparişler[[#This Row],[Sipariş Alınan Tarih]])</f>
        <v>4</v>
      </c>
      <c r="C293" s="6">
        <v>44219</v>
      </c>
      <c r="D293" s="7" t="s">
        <v>28</v>
      </c>
      <c r="E293" s="7">
        <v>98208</v>
      </c>
      <c r="F293" s="7" t="s">
        <v>109</v>
      </c>
      <c r="G293" s="7" t="s">
        <v>47</v>
      </c>
      <c r="H293" s="7" t="s">
        <v>48</v>
      </c>
      <c r="I293" s="7">
        <v>4</v>
      </c>
      <c r="J293" s="8">
        <f>IFERROR(VLOOKUP(Tbl_Siparişler[[#This Row],[Kategori]]&amp;"-"&amp;Tbl_Siparişler[[#This Row],[Ürün Adı]],Tbl_Ürünler[],11,0)*Tbl_Siparişler[[#This Row],[Adet]],"")</f>
        <v>32214</v>
      </c>
    </row>
    <row r="294" spans="2:10" ht="27" customHeight="1" x14ac:dyDescent="0.4">
      <c r="B294" s="9">
        <f>WEEKNUM(Tbl_Siparişler[[#This Row],[Sipariş Alınan Tarih]])</f>
        <v>23</v>
      </c>
      <c r="C294" s="6">
        <v>44350</v>
      </c>
      <c r="D294" s="7" t="s">
        <v>95</v>
      </c>
      <c r="E294" s="7">
        <v>32683</v>
      </c>
      <c r="F294" s="7" t="s">
        <v>117</v>
      </c>
      <c r="G294" s="7" t="s">
        <v>29</v>
      </c>
      <c r="H294" s="7" t="s">
        <v>42</v>
      </c>
      <c r="I294" s="7">
        <v>2</v>
      </c>
      <c r="J294" s="8">
        <f>IFERROR(VLOOKUP(Tbl_Siparişler[[#This Row],[Kategori]]&amp;"-"&amp;Tbl_Siparişler[[#This Row],[Ürün Adı]],Tbl_Ürünler[],11,0)*Tbl_Siparişler[[#This Row],[Adet]],"")</f>
        <v>28132</v>
      </c>
    </row>
    <row r="295" spans="2:10" ht="27" customHeight="1" x14ac:dyDescent="0.4">
      <c r="B295" s="9">
        <f>WEEKNUM(Tbl_Siparişler[[#This Row],[Sipariş Alınan Tarih]])</f>
        <v>52</v>
      </c>
      <c r="C295" s="6">
        <v>44553</v>
      </c>
      <c r="D295" s="7" t="s">
        <v>25</v>
      </c>
      <c r="E295" s="7">
        <v>97678</v>
      </c>
      <c r="F295" s="7" t="s">
        <v>111</v>
      </c>
      <c r="G295" s="7" t="s">
        <v>98</v>
      </c>
      <c r="H295" s="7" t="s">
        <v>99</v>
      </c>
      <c r="I295" s="7">
        <v>2</v>
      </c>
      <c r="J295" s="8">
        <f>IFERROR(VLOOKUP(Tbl_Siparişler[[#This Row],[Kategori]]&amp;"-"&amp;Tbl_Siparişler[[#This Row],[Ürün Adı]],Tbl_Ürünler[],11,0)*Tbl_Siparişler[[#This Row],[Adet]],"")</f>
        <v>8283.26</v>
      </c>
    </row>
    <row r="296" spans="2:10" ht="27" customHeight="1" x14ac:dyDescent="0.4">
      <c r="B296" s="9">
        <f>WEEKNUM(Tbl_Siparişler[[#This Row],[Sipariş Alınan Tarih]])</f>
        <v>9</v>
      </c>
      <c r="C296" s="6">
        <v>44254</v>
      </c>
      <c r="D296" s="7" t="s">
        <v>106</v>
      </c>
      <c r="E296" s="7">
        <v>88215</v>
      </c>
      <c r="F296" s="7" t="s">
        <v>117</v>
      </c>
      <c r="G296" s="7" t="s">
        <v>43</v>
      </c>
      <c r="H296" s="7" t="s">
        <v>44</v>
      </c>
      <c r="I296" s="7">
        <v>2</v>
      </c>
      <c r="J296" s="8">
        <f>IFERROR(VLOOKUP(Tbl_Siparişler[[#This Row],[Kategori]]&amp;"-"&amp;Tbl_Siparişler[[#This Row],[Ürün Adı]],Tbl_Ürünler[],11,0)*Tbl_Siparişler[[#This Row],[Adet]],"")</f>
        <v>17829.2</v>
      </c>
    </row>
    <row r="297" spans="2:10" ht="27" customHeight="1" x14ac:dyDescent="0.4">
      <c r="B297" s="9">
        <f>WEEKNUM(Tbl_Siparişler[[#This Row],[Sipariş Alınan Tarih]])</f>
        <v>9</v>
      </c>
      <c r="C297" s="6">
        <v>44249</v>
      </c>
      <c r="D297" s="7" t="s">
        <v>26</v>
      </c>
      <c r="E297" s="7">
        <v>94364</v>
      </c>
      <c r="F297" s="7" t="s">
        <v>116</v>
      </c>
      <c r="G297" s="7" t="s">
        <v>47</v>
      </c>
      <c r="H297" s="7" t="s">
        <v>48</v>
      </c>
      <c r="I297" s="7">
        <v>3</v>
      </c>
      <c r="J297" s="8">
        <f>IFERROR(VLOOKUP(Tbl_Siparişler[[#This Row],[Kategori]]&amp;"-"&amp;Tbl_Siparişler[[#This Row],[Ürün Adı]],Tbl_Ürünler[],11,0)*Tbl_Siparişler[[#This Row],[Adet]],"")</f>
        <v>24160.5</v>
      </c>
    </row>
    <row r="298" spans="2:10" ht="27" customHeight="1" x14ac:dyDescent="0.4">
      <c r="B298" s="9">
        <f>WEEKNUM(Tbl_Siparişler[[#This Row],[Sipariş Alınan Tarih]])</f>
        <v>10</v>
      </c>
      <c r="C298" s="6">
        <v>44258</v>
      </c>
      <c r="D298" s="7" t="s">
        <v>95</v>
      </c>
      <c r="E298" s="7">
        <v>75344</v>
      </c>
      <c r="F298" s="7" t="s">
        <v>108</v>
      </c>
      <c r="G298" s="7" t="s">
        <v>43</v>
      </c>
      <c r="H298" s="7" t="s">
        <v>46</v>
      </c>
      <c r="I298" s="7">
        <v>5</v>
      </c>
      <c r="J298" s="8">
        <f>IFERROR(VLOOKUP(Tbl_Siparişler[[#This Row],[Kategori]]&amp;"-"&amp;Tbl_Siparişler[[#This Row],[Ürün Adı]],Tbl_Ürünler[],11,0)*Tbl_Siparişler[[#This Row],[Adet]],"")</f>
        <v>66717</v>
      </c>
    </row>
    <row r="299" spans="2:10" ht="27" customHeight="1" x14ac:dyDescent="0.4">
      <c r="B299" s="9">
        <f>WEEKNUM(Tbl_Siparişler[[#This Row],[Sipariş Alınan Tarih]])</f>
        <v>49</v>
      </c>
      <c r="C299" s="6">
        <v>44532</v>
      </c>
      <c r="D299" s="7" t="s">
        <v>106</v>
      </c>
      <c r="E299" s="7">
        <v>39822</v>
      </c>
      <c r="F299" s="7" t="s">
        <v>116</v>
      </c>
      <c r="G299" s="7" t="s">
        <v>43</v>
      </c>
      <c r="H299" s="7" t="s">
        <v>45</v>
      </c>
      <c r="I299" s="7">
        <v>5</v>
      </c>
      <c r="J299" s="8">
        <f>IFERROR(VLOOKUP(Tbl_Siparişler[[#This Row],[Kategori]]&amp;"-"&amp;Tbl_Siparişler[[#This Row],[Ürün Adı]],Tbl_Ürünler[],11,0)*Tbl_Siparişler[[#This Row],[Adet]],"")</f>
        <v>48297</v>
      </c>
    </row>
    <row r="300" spans="2:10" ht="27" customHeight="1" x14ac:dyDescent="0.4">
      <c r="B300" s="9">
        <f>WEEKNUM(Tbl_Siparişler[[#This Row],[Sipariş Alınan Tarih]])</f>
        <v>16</v>
      </c>
      <c r="C300" s="6">
        <v>44300</v>
      </c>
      <c r="D300" s="7" t="s">
        <v>95</v>
      </c>
      <c r="E300" s="7">
        <v>12127</v>
      </c>
      <c r="F300" s="7" t="s">
        <v>109</v>
      </c>
      <c r="G300" s="7" t="s">
        <v>43</v>
      </c>
      <c r="H300" s="7" t="s">
        <v>44</v>
      </c>
      <c r="I300" s="7">
        <v>3</v>
      </c>
      <c r="J300" s="8">
        <f>IFERROR(VLOOKUP(Tbl_Siparişler[[#This Row],[Kategori]]&amp;"-"&amp;Tbl_Siparişler[[#This Row],[Ürün Adı]],Tbl_Ürünler[],11,0)*Tbl_Siparişler[[#This Row],[Adet]],"")</f>
        <v>26743.800000000003</v>
      </c>
    </row>
    <row r="301" spans="2:10" ht="27" customHeight="1" x14ac:dyDescent="0.4">
      <c r="B301" s="9">
        <f>WEEKNUM(Tbl_Siparişler[[#This Row],[Sipariş Alınan Tarih]])</f>
        <v>35</v>
      </c>
      <c r="C301" s="6">
        <v>44430</v>
      </c>
      <c r="D301" s="7" t="s">
        <v>27</v>
      </c>
      <c r="E301" s="7">
        <v>31481</v>
      </c>
      <c r="F301" s="7" t="s">
        <v>110</v>
      </c>
      <c r="G301" s="7" t="s">
        <v>47</v>
      </c>
      <c r="H301" s="7" t="s">
        <v>49</v>
      </c>
      <c r="I301" s="7">
        <v>4</v>
      </c>
      <c r="J301" s="8">
        <f>IFERROR(VLOOKUP(Tbl_Siparişler[[#This Row],[Kategori]]&amp;"-"&amp;Tbl_Siparişler[[#This Row],[Ürün Adı]],Tbl_Ürünler[],11,0)*Tbl_Siparişler[[#This Row],[Adet]],"")</f>
        <v>38279</v>
      </c>
    </row>
    <row r="302" spans="2:10" ht="27" customHeight="1" x14ac:dyDescent="0.4">
      <c r="B302" s="9">
        <f>WEEKNUM(Tbl_Siparişler[[#This Row],[Sipariş Alınan Tarih]])</f>
        <v>9</v>
      </c>
      <c r="C302" s="6">
        <v>44251</v>
      </c>
      <c r="D302" s="7" t="s">
        <v>28</v>
      </c>
      <c r="E302" s="7">
        <v>31028</v>
      </c>
      <c r="F302" s="7" t="s">
        <v>118</v>
      </c>
      <c r="G302" s="7" t="s">
        <v>29</v>
      </c>
      <c r="H302" s="7" t="s">
        <v>30</v>
      </c>
      <c r="I302" s="7">
        <v>1</v>
      </c>
      <c r="J302" s="8">
        <f>IFERROR(VLOOKUP(Tbl_Siparişler[[#This Row],[Kategori]]&amp;"-"&amp;Tbl_Siparişler[[#This Row],[Ürün Adı]],Tbl_Ürünler[],11,0)*Tbl_Siparişler[[#This Row],[Adet]],"")</f>
        <v>8685.2999999999993</v>
      </c>
    </row>
    <row r="303" spans="2:10" ht="27" customHeight="1" x14ac:dyDescent="0.4">
      <c r="B303" s="9">
        <f>WEEKNUM(Tbl_Siparişler[[#This Row],[Sipariş Alınan Tarih]])</f>
        <v>29</v>
      </c>
      <c r="C303" s="6">
        <v>44392</v>
      </c>
      <c r="D303" s="7" t="s">
        <v>24</v>
      </c>
      <c r="E303" s="7">
        <v>45739</v>
      </c>
      <c r="F303" s="7" t="s">
        <v>108</v>
      </c>
      <c r="G303" s="7" t="s">
        <v>43</v>
      </c>
      <c r="H303" s="7" t="s">
        <v>45</v>
      </c>
      <c r="I303" s="7">
        <v>2</v>
      </c>
      <c r="J303" s="8">
        <f>IFERROR(VLOOKUP(Tbl_Siparişler[[#This Row],[Kategori]]&amp;"-"&amp;Tbl_Siparişler[[#This Row],[Ürün Adı]],Tbl_Ürünler[],11,0)*Tbl_Siparişler[[#This Row],[Adet]],"")</f>
        <v>19318.8</v>
      </c>
    </row>
    <row r="304" spans="2:10" ht="27" customHeight="1" x14ac:dyDescent="0.4">
      <c r="B304" s="9">
        <f>WEEKNUM(Tbl_Siparişler[[#This Row],[Sipariş Alınan Tarih]])</f>
        <v>36</v>
      </c>
      <c r="C304" s="6">
        <v>44442</v>
      </c>
      <c r="D304" s="7" t="s">
        <v>27</v>
      </c>
      <c r="E304" s="7">
        <v>58049</v>
      </c>
      <c r="F304" s="7" t="s">
        <v>114</v>
      </c>
      <c r="G304" s="7" t="s">
        <v>29</v>
      </c>
      <c r="H304" s="7" t="s">
        <v>37</v>
      </c>
      <c r="I304" s="7">
        <v>4</v>
      </c>
      <c r="J304" s="8">
        <f>IFERROR(VLOOKUP(Tbl_Siparişler[[#This Row],[Kategori]]&amp;"-"&amp;Tbl_Siparişler[[#This Row],[Ürün Adı]],Tbl_Ürünler[],11,0)*Tbl_Siparişler[[#This Row],[Adet]],"")</f>
        <v>39201.800000000003</v>
      </c>
    </row>
    <row r="305" spans="2:10" ht="27" customHeight="1" x14ac:dyDescent="0.4">
      <c r="B305" s="9">
        <f>WEEKNUM(Tbl_Siparişler[[#This Row],[Sipariş Alınan Tarih]])</f>
        <v>7</v>
      </c>
      <c r="C305" s="6">
        <v>44235</v>
      </c>
      <c r="D305" s="7" t="s">
        <v>106</v>
      </c>
      <c r="E305" s="7">
        <v>53577</v>
      </c>
      <c r="F305" s="7" t="s">
        <v>108</v>
      </c>
      <c r="G305" s="7" t="s">
        <v>98</v>
      </c>
      <c r="H305" s="7" t="s">
        <v>103</v>
      </c>
      <c r="I305" s="7">
        <v>1</v>
      </c>
      <c r="J305" s="8">
        <f>IFERROR(VLOOKUP(Tbl_Siparişler[[#This Row],[Kategori]]&amp;"-"&amp;Tbl_Siparişler[[#This Row],[Ürün Adı]],Tbl_Ürünler[],11,0)*Tbl_Siparişler[[#This Row],[Adet]],"")</f>
        <v>5962.5</v>
      </c>
    </row>
    <row r="306" spans="2:10" ht="27" customHeight="1" x14ac:dyDescent="0.4">
      <c r="B306" s="9">
        <f>WEEKNUM(Tbl_Siparişler[[#This Row],[Sipariş Alınan Tarih]])</f>
        <v>33</v>
      </c>
      <c r="C306" s="6">
        <v>44422</v>
      </c>
      <c r="D306" s="7" t="s">
        <v>95</v>
      </c>
      <c r="E306" s="7">
        <v>87637</v>
      </c>
      <c r="F306" s="7" t="s">
        <v>107</v>
      </c>
      <c r="G306" s="7" t="s">
        <v>43</v>
      </c>
      <c r="H306" s="7" t="s">
        <v>44</v>
      </c>
      <c r="I306" s="7">
        <v>4</v>
      </c>
      <c r="J306" s="8">
        <f>IFERROR(VLOOKUP(Tbl_Siparişler[[#This Row],[Kategori]]&amp;"-"&amp;Tbl_Siparişler[[#This Row],[Ürün Adı]],Tbl_Ürünler[],11,0)*Tbl_Siparişler[[#This Row],[Adet]],"")</f>
        <v>35658.400000000001</v>
      </c>
    </row>
    <row r="307" spans="2:10" ht="27" customHeight="1" x14ac:dyDescent="0.4">
      <c r="B307" s="9">
        <f>WEEKNUM(Tbl_Siparişler[[#This Row],[Sipariş Alınan Tarih]])</f>
        <v>2</v>
      </c>
      <c r="C307" s="6">
        <v>44201</v>
      </c>
      <c r="D307" s="7" t="s">
        <v>28</v>
      </c>
      <c r="E307" s="7">
        <v>79201</v>
      </c>
      <c r="F307" s="7" t="s">
        <v>113</v>
      </c>
      <c r="G307" s="7" t="s">
        <v>47</v>
      </c>
      <c r="H307" s="7" t="s">
        <v>48</v>
      </c>
      <c r="I307" s="7">
        <v>1</v>
      </c>
      <c r="J307" s="8">
        <f>IFERROR(VLOOKUP(Tbl_Siparişler[[#This Row],[Kategori]]&amp;"-"&amp;Tbl_Siparişler[[#This Row],[Ürün Adı]],Tbl_Ürünler[],11,0)*Tbl_Siparişler[[#This Row],[Adet]],"")</f>
        <v>8053.5</v>
      </c>
    </row>
    <row r="308" spans="2:10" ht="27" customHeight="1" x14ac:dyDescent="0.4">
      <c r="B308" s="9">
        <f>WEEKNUM(Tbl_Siparişler[[#This Row],[Sipariş Alınan Tarih]])</f>
        <v>2</v>
      </c>
      <c r="C308" s="6">
        <v>44201</v>
      </c>
      <c r="D308" s="7" t="s">
        <v>24</v>
      </c>
      <c r="E308" s="7">
        <v>58587</v>
      </c>
      <c r="F308" s="7" t="s">
        <v>114</v>
      </c>
      <c r="G308" s="7" t="s">
        <v>47</v>
      </c>
      <c r="H308" s="7" t="s">
        <v>48</v>
      </c>
      <c r="I308" s="7">
        <v>2</v>
      </c>
      <c r="J308" s="8">
        <f>IFERROR(VLOOKUP(Tbl_Siparişler[[#This Row],[Kategori]]&amp;"-"&amp;Tbl_Siparişler[[#This Row],[Ürün Adı]],Tbl_Ürünler[],11,0)*Tbl_Siparişler[[#This Row],[Adet]],"")</f>
        <v>16107</v>
      </c>
    </row>
    <row r="309" spans="2:10" ht="27" customHeight="1" x14ac:dyDescent="0.4">
      <c r="B309" s="9">
        <f>WEEKNUM(Tbl_Siparişler[[#This Row],[Sipariş Alınan Tarih]])</f>
        <v>28</v>
      </c>
      <c r="C309" s="6">
        <v>44386</v>
      </c>
      <c r="D309" s="7" t="s">
        <v>106</v>
      </c>
      <c r="E309" s="7">
        <v>15743</v>
      </c>
      <c r="F309" s="7" t="s">
        <v>113</v>
      </c>
      <c r="G309" s="7" t="s">
        <v>47</v>
      </c>
      <c r="H309" s="7" t="s">
        <v>49</v>
      </c>
      <c r="I309" s="7">
        <v>5</v>
      </c>
      <c r="J309" s="8">
        <f>IFERROR(VLOOKUP(Tbl_Siparişler[[#This Row],[Kategori]]&amp;"-"&amp;Tbl_Siparişler[[#This Row],[Ürün Adı]],Tbl_Ürünler[],11,0)*Tbl_Siparişler[[#This Row],[Adet]],"")</f>
        <v>47848.75</v>
      </c>
    </row>
    <row r="310" spans="2:10" ht="27" customHeight="1" x14ac:dyDescent="0.4">
      <c r="B310" s="9">
        <f>WEEKNUM(Tbl_Siparişler[[#This Row],[Sipariş Alınan Tarih]])</f>
        <v>39</v>
      </c>
      <c r="C310" s="6">
        <v>44458</v>
      </c>
      <c r="D310" s="7" t="s">
        <v>25</v>
      </c>
      <c r="E310" s="7">
        <v>66525</v>
      </c>
      <c r="F310" s="7" t="s">
        <v>110</v>
      </c>
      <c r="G310" s="7" t="s">
        <v>43</v>
      </c>
      <c r="H310" s="7" t="s">
        <v>50</v>
      </c>
      <c r="I310" s="7">
        <v>3</v>
      </c>
      <c r="J310" s="8">
        <f>IFERROR(VLOOKUP(Tbl_Siparişler[[#This Row],[Kategori]]&amp;"-"&amp;Tbl_Siparişler[[#This Row],[Ürün Adı]],Tbl_Ürünler[],11,0)*Tbl_Siparişler[[#This Row],[Adet]],"")</f>
        <v>19374.300000000003</v>
      </c>
    </row>
    <row r="311" spans="2:10" ht="27" customHeight="1" x14ac:dyDescent="0.4">
      <c r="B311" s="9">
        <f>WEEKNUM(Tbl_Siparişler[[#This Row],[Sipariş Alınan Tarih]])</f>
        <v>4</v>
      </c>
      <c r="C311" s="6">
        <v>44213</v>
      </c>
      <c r="D311" s="7" t="s">
        <v>95</v>
      </c>
      <c r="E311" s="7">
        <v>66674</v>
      </c>
      <c r="F311" s="7" t="s">
        <v>108</v>
      </c>
      <c r="G311" s="7" t="s">
        <v>98</v>
      </c>
      <c r="H311" s="7" t="s">
        <v>103</v>
      </c>
      <c r="I311" s="7">
        <v>3</v>
      </c>
      <c r="J311" s="8">
        <f>IFERROR(VLOOKUP(Tbl_Siparişler[[#This Row],[Kategori]]&amp;"-"&amp;Tbl_Siparişler[[#This Row],[Ürün Adı]],Tbl_Ürünler[],11,0)*Tbl_Siparişler[[#This Row],[Adet]],"")</f>
        <v>17887.5</v>
      </c>
    </row>
    <row r="312" spans="2:10" ht="27" customHeight="1" x14ac:dyDescent="0.4">
      <c r="B312" s="9">
        <f>WEEKNUM(Tbl_Siparişler[[#This Row],[Sipariş Alınan Tarih]])</f>
        <v>15</v>
      </c>
      <c r="C312" s="6">
        <v>44295</v>
      </c>
      <c r="D312" s="7" t="s">
        <v>27</v>
      </c>
      <c r="E312" s="7">
        <v>11485</v>
      </c>
      <c r="F312" s="7" t="s">
        <v>111</v>
      </c>
      <c r="G312" s="7" t="s">
        <v>43</v>
      </c>
      <c r="H312" s="7" t="s">
        <v>50</v>
      </c>
      <c r="I312" s="7">
        <v>5</v>
      </c>
      <c r="J312" s="8">
        <f>IFERROR(VLOOKUP(Tbl_Siparişler[[#This Row],[Kategori]]&amp;"-"&amp;Tbl_Siparişler[[#This Row],[Ürün Adı]],Tbl_Ürünler[],11,0)*Tbl_Siparişler[[#This Row],[Adet]],"")</f>
        <v>32290.5</v>
      </c>
    </row>
    <row r="313" spans="2:10" ht="27" customHeight="1" x14ac:dyDescent="0.4">
      <c r="B313" s="9">
        <f>WEEKNUM(Tbl_Siparişler[[#This Row],[Sipariş Alınan Tarih]])</f>
        <v>40</v>
      </c>
      <c r="C313" s="6">
        <v>44471</v>
      </c>
      <c r="D313" s="7" t="s">
        <v>106</v>
      </c>
      <c r="E313" s="7">
        <v>83733</v>
      </c>
      <c r="F313" s="7" t="s">
        <v>108</v>
      </c>
      <c r="G313" s="7" t="s">
        <v>47</v>
      </c>
      <c r="H313" s="7" t="s">
        <v>48</v>
      </c>
      <c r="I313" s="7">
        <v>1</v>
      </c>
      <c r="J313" s="8">
        <f>IFERROR(VLOOKUP(Tbl_Siparişler[[#This Row],[Kategori]]&amp;"-"&amp;Tbl_Siparişler[[#This Row],[Ürün Adı]],Tbl_Ürünler[],11,0)*Tbl_Siparişler[[#This Row],[Adet]],"")</f>
        <v>8053.5</v>
      </c>
    </row>
    <row r="314" spans="2:10" ht="27" customHeight="1" x14ac:dyDescent="0.4">
      <c r="B314" s="9">
        <f>WEEKNUM(Tbl_Siparişler[[#This Row],[Sipariş Alınan Tarih]])</f>
        <v>13</v>
      </c>
      <c r="C314" s="6">
        <v>44276</v>
      </c>
      <c r="D314" s="7" t="s">
        <v>26</v>
      </c>
      <c r="E314" s="7">
        <v>41127</v>
      </c>
      <c r="F314" s="7" t="s">
        <v>110</v>
      </c>
      <c r="G314" s="7" t="s">
        <v>29</v>
      </c>
      <c r="H314" s="7" t="s">
        <v>37</v>
      </c>
      <c r="I314" s="7">
        <v>5</v>
      </c>
      <c r="J314" s="8">
        <f>IFERROR(VLOOKUP(Tbl_Siparişler[[#This Row],[Kategori]]&amp;"-"&amp;Tbl_Siparişler[[#This Row],[Ürün Adı]],Tbl_Ürünler[],11,0)*Tbl_Siparişler[[#This Row],[Adet]],"")</f>
        <v>49002.25</v>
      </c>
    </row>
    <row r="315" spans="2:10" ht="27" customHeight="1" x14ac:dyDescent="0.4">
      <c r="B315" s="9">
        <f>WEEKNUM(Tbl_Siparişler[[#This Row],[Sipariş Alınan Tarih]])</f>
        <v>25</v>
      </c>
      <c r="C315" s="6">
        <v>44365</v>
      </c>
      <c r="D315" s="7" t="s">
        <v>27</v>
      </c>
      <c r="E315" s="7">
        <v>79247</v>
      </c>
      <c r="F315" s="7" t="s">
        <v>113</v>
      </c>
      <c r="G315" s="7" t="s">
        <v>47</v>
      </c>
      <c r="H315" s="7" t="s">
        <v>49</v>
      </c>
      <c r="I315" s="7">
        <v>5</v>
      </c>
      <c r="J315" s="8">
        <f>IFERROR(VLOOKUP(Tbl_Siparişler[[#This Row],[Kategori]]&amp;"-"&amp;Tbl_Siparişler[[#This Row],[Ürün Adı]],Tbl_Ürünler[],11,0)*Tbl_Siparişler[[#This Row],[Adet]],"")</f>
        <v>47848.75</v>
      </c>
    </row>
    <row r="316" spans="2:10" ht="27" customHeight="1" x14ac:dyDescent="0.4">
      <c r="B316" s="9">
        <f>WEEKNUM(Tbl_Siparişler[[#This Row],[Sipariş Alınan Tarih]])</f>
        <v>33</v>
      </c>
      <c r="C316" s="6">
        <v>44420</v>
      </c>
      <c r="D316" s="7" t="s">
        <v>106</v>
      </c>
      <c r="E316" s="7">
        <v>21141</v>
      </c>
      <c r="F316" s="7" t="s">
        <v>113</v>
      </c>
      <c r="G316" s="7" t="s">
        <v>47</v>
      </c>
      <c r="H316" s="7" t="s">
        <v>49</v>
      </c>
      <c r="I316" s="7">
        <v>4</v>
      </c>
      <c r="J316" s="8">
        <f>IFERROR(VLOOKUP(Tbl_Siparişler[[#This Row],[Kategori]]&amp;"-"&amp;Tbl_Siparişler[[#This Row],[Ürün Adı]],Tbl_Ürünler[],11,0)*Tbl_Siparişler[[#This Row],[Adet]],"")</f>
        <v>38279</v>
      </c>
    </row>
    <row r="317" spans="2:10" ht="27" customHeight="1" x14ac:dyDescent="0.4">
      <c r="B317" s="9">
        <f>WEEKNUM(Tbl_Siparişler[[#This Row],[Sipariş Alınan Tarih]])</f>
        <v>11</v>
      </c>
      <c r="C317" s="6">
        <v>44263</v>
      </c>
      <c r="D317" s="7" t="s">
        <v>25</v>
      </c>
      <c r="E317" s="7">
        <v>85335</v>
      </c>
      <c r="F317" s="7" t="s">
        <v>118</v>
      </c>
      <c r="G317" s="7" t="s">
        <v>29</v>
      </c>
      <c r="H317" s="7" t="s">
        <v>41</v>
      </c>
      <c r="I317" s="7">
        <v>1</v>
      </c>
      <c r="J317" s="8">
        <f>IFERROR(VLOOKUP(Tbl_Siparişler[[#This Row],[Kategori]]&amp;"-"&amp;Tbl_Siparişler[[#This Row],[Ürün Adı]],Tbl_Ürünler[],11,0)*Tbl_Siparişler[[#This Row],[Adet]],"")</f>
        <v>12621</v>
      </c>
    </row>
    <row r="318" spans="2:10" ht="27" customHeight="1" x14ac:dyDescent="0.4">
      <c r="B318" s="9">
        <f>WEEKNUM(Tbl_Siparişler[[#This Row],[Sipariş Alınan Tarih]])</f>
        <v>34</v>
      </c>
      <c r="C318" s="6">
        <v>44427</v>
      </c>
      <c r="D318" s="7" t="s">
        <v>26</v>
      </c>
      <c r="E318" s="7">
        <v>29724</v>
      </c>
      <c r="F318" s="7" t="s">
        <v>108</v>
      </c>
      <c r="G318" s="7" t="s">
        <v>47</v>
      </c>
      <c r="H318" s="7" t="s">
        <v>48</v>
      </c>
      <c r="I318" s="7">
        <v>2</v>
      </c>
      <c r="J318" s="8">
        <f>IFERROR(VLOOKUP(Tbl_Siparişler[[#This Row],[Kategori]]&amp;"-"&amp;Tbl_Siparişler[[#This Row],[Ürün Adı]],Tbl_Ürünler[],11,0)*Tbl_Siparişler[[#This Row],[Adet]],"")</f>
        <v>16107</v>
      </c>
    </row>
    <row r="319" spans="2:10" ht="27" customHeight="1" x14ac:dyDescent="0.4">
      <c r="B319" s="9">
        <f>WEEKNUM(Tbl_Siparişler[[#This Row],[Sipariş Alınan Tarih]])</f>
        <v>38</v>
      </c>
      <c r="C319" s="6">
        <v>44456</v>
      </c>
      <c r="D319" s="7" t="s">
        <v>27</v>
      </c>
      <c r="E319" s="7">
        <v>17191</v>
      </c>
      <c r="F319" s="7" t="s">
        <v>108</v>
      </c>
      <c r="G319" s="7" t="s">
        <v>98</v>
      </c>
      <c r="H319" s="7" t="s">
        <v>100</v>
      </c>
      <c r="I319" s="7">
        <v>5</v>
      </c>
      <c r="J319" s="8">
        <f>IFERROR(VLOOKUP(Tbl_Siparişler[[#This Row],[Kategori]]&amp;"-"&amp;Tbl_Siparişler[[#This Row],[Ürün Adı]],Tbl_Ürünler[],11,0)*Tbl_Siparişler[[#This Row],[Adet]],"")</f>
        <v>46176</v>
      </c>
    </row>
    <row r="320" spans="2:10" ht="27" customHeight="1" x14ac:dyDescent="0.4">
      <c r="B320" s="9">
        <f>WEEKNUM(Tbl_Siparişler[[#This Row],[Sipariş Alınan Tarih]])</f>
        <v>5</v>
      </c>
      <c r="C320" s="6">
        <v>44221</v>
      </c>
      <c r="D320" s="7" t="s">
        <v>26</v>
      </c>
      <c r="E320" s="7">
        <v>67437</v>
      </c>
      <c r="F320" s="7" t="s">
        <v>110</v>
      </c>
      <c r="G320" s="7" t="s">
        <v>47</v>
      </c>
      <c r="H320" s="7" t="s">
        <v>49</v>
      </c>
      <c r="I320" s="7">
        <v>1</v>
      </c>
      <c r="J320" s="8">
        <f>IFERROR(VLOOKUP(Tbl_Siparişler[[#This Row],[Kategori]]&amp;"-"&amp;Tbl_Siparişler[[#This Row],[Ürün Adı]],Tbl_Ürünler[],11,0)*Tbl_Siparişler[[#This Row],[Adet]],"")</f>
        <v>9569.75</v>
      </c>
    </row>
    <row r="321" spans="2:10" ht="27" customHeight="1" x14ac:dyDescent="0.4">
      <c r="B321" s="9">
        <f>WEEKNUM(Tbl_Siparişler[[#This Row],[Sipariş Alınan Tarih]])</f>
        <v>24</v>
      </c>
      <c r="C321" s="6">
        <v>44358</v>
      </c>
      <c r="D321" s="7" t="s">
        <v>95</v>
      </c>
      <c r="E321" s="7">
        <v>75119</v>
      </c>
      <c r="F321" s="7" t="s">
        <v>112</v>
      </c>
      <c r="G321" s="7" t="s">
        <v>29</v>
      </c>
      <c r="H321" s="7" t="s">
        <v>30</v>
      </c>
      <c r="I321" s="7">
        <v>2</v>
      </c>
      <c r="J321" s="8">
        <f>IFERROR(VLOOKUP(Tbl_Siparişler[[#This Row],[Kategori]]&amp;"-"&amp;Tbl_Siparişler[[#This Row],[Ürün Adı]],Tbl_Ürünler[],11,0)*Tbl_Siparişler[[#This Row],[Adet]],"")</f>
        <v>17370.599999999999</v>
      </c>
    </row>
    <row r="322" spans="2:10" ht="27" customHeight="1" x14ac:dyDescent="0.4">
      <c r="B322" s="9">
        <f>WEEKNUM(Tbl_Siparişler[[#This Row],[Sipariş Alınan Tarih]])</f>
        <v>52</v>
      </c>
      <c r="C322" s="6">
        <v>44551</v>
      </c>
      <c r="D322" s="7" t="s">
        <v>27</v>
      </c>
      <c r="E322" s="7">
        <v>33449</v>
      </c>
      <c r="F322" s="7" t="s">
        <v>108</v>
      </c>
      <c r="G322" s="7" t="s">
        <v>98</v>
      </c>
      <c r="H322" s="7" t="s">
        <v>100</v>
      </c>
      <c r="I322" s="7">
        <v>3</v>
      </c>
      <c r="J322" s="8">
        <f>IFERROR(VLOOKUP(Tbl_Siparişler[[#This Row],[Kategori]]&amp;"-"&amp;Tbl_Siparişler[[#This Row],[Ürün Adı]],Tbl_Ürünler[],11,0)*Tbl_Siparişler[[#This Row],[Adet]],"")</f>
        <v>27705.600000000002</v>
      </c>
    </row>
    <row r="323" spans="2:10" ht="27" customHeight="1" x14ac:dyDescent="0.4">
      <c r="B323" s="9">
        <f>WEEKNUM(Tbl_Siparişler[[#This Row],[Sipariş Alınan Tarih]])</f>
        <v>27</v>
      </c>
      <c r="C323" s="6">
        <v>44375</v>
      </c>
      <c r="D323" s="7" t="s">
        <v>25</v>
      </c>
      <c r="E323" s="7">
        <v>93986</v>
      </c>
      <c r="F323" s="7" t="s">
        <v>113</v>
      </c>
      <c r="G323" s="7" t="s">
        <v>98</v>
      </c>
      <c r="H323" s="7" t="s">
        <v>99</v>
      </c>
      <c r="I323" s="7">
        <v>1</v>
      </c>
      <c r="J323" s="8">
        <f>IFERROR(VLOOKUP(Tbl_Siparişler[[#This Row],[Kategori]]&amp;"-"&amp;Tbl_Siparişler[[#This Row],[Ürün Adı]],Tbl_Ürünler[],11,0)*Tbl_Siparişler[[#This Row],[Adet]],"")</f>
        <v>4141.63</v>
      </c>
    </row>
    <row r="324" spans="2:10" ht="27" customHeight="1" x14ac:dyDescent="0.4">
      <c r="B324" s="9">
        <f>WEEKNUM(Tbl_Siparişler[[#This Row],[Sipariş Alınan Tarih]])</f>
        <v>36</v>
      </c>
      <c r="C324" s="6">
        <v>44443</v>
      </c>
      <c r="D324" s="7" t="s">
        <v>25</v>
      </c>
      <c r="E324" s="7">
        <v>35415</v>
      </c>
      <c r="F324" s="7" t="s">
        <v>110</v>
      </c>
      <c r="G324" s="7" t="s">
        <v>43</v>
      </c>
      <c r="H324" s="7" t="s">
        <v>50</v>
      </c>
      <c r="I324" s="7">
        <v>5</v>
      </c>
      <c r="J324" s="8">
        <f>IFERROR(VLOOKUP(Tbl_Siparişler[[#This Row],[Kategori]]&amp;"-"&amp;Tbl_Siparişler[[#This Row],[Ürün Adı]],Tbl_Ürünler[],11,0)*Tbl_Siparişler[[#This Row],[Adet]],"")</f>
        <v>32290.5</v>
      </c>
    </row>
    <row r="325" spans="2:10" ht="27" customHeight="1" x14ac:dyDescent="0.4">
      <c r="B325" s="9">
        <f>WEEKNUM(Tbl_Siparişler[[#This Row],[Sipariş Alınan Tarih]])</f>
        <v>10</v>
      </c>
      <c r="C325" s="6">
        <v>44256</v>
      </c>
      <c r="D325" s="7" t="s">
        <v>26</v>
      </c>
      <c r="E325" s="7">
        <v>55406</v>
      </c>
      <c r="F325" s="7" t="s">
        <v>108</v>
      </c>
      <c r="G325" s="7" t="s">
        <v>43</v>
      </c>
      <c r="H325" s="7" t="s">
        <v>46</v>
      </c>
      <c r="I325" s="7">
        <v>4</v>
      </c>
      <c r="J325" s="8">
        <f>IFERROR(VLOOKUP(Tbl_Siparişler[[#This Row],[Kategori]]&amp;"-"&amp;Tbl_Siparişler[[#This Row],[Ürün Adı]],Tbl_Ürünler[],11,0)*Tbl_Siparişler[[#This Row],[Adet]],"")</f>
        <v>53373.600000000006</v>
      </c>
    </row>
    <row r="326" spans="2:10" ht="27" customHeight="1" x14ac:dyDescent="0.4">
      <c r="B326" s="9">
        <f>WEEKNUM(Tbl_Siparişler[[#This Row],[Sipariş Alınan Tarih]])</f>
        <v>11</v>
      </c>
      <c r="C326" s="6">
        <v>44262</v>
      </c>
      <c r="D326" s="7" t="s">
        <v>27</v>
      </c>
      <c r="E326" s="7">
        <v>58904</v>
      </c>
      <c r="F326" s="7" t="s">
        <v>113</v>
      </c>
      <c r="G326" s="7" t="s">
        <v>43</v>
      </c>
      <c r="H326" s="7" t="s">
        <v>44</v>
      </c>
      <c r="I326" s="7">
        <v>3</v>
      </c>
      <c r="J326" s="8">
        <f>IFERROR(VLOOKUP(Tbl_Siparişler[[#This Row],[Kategori]]&amp;"-"&amp;Tbl_Siparişler[[#This Row],[Ürün Adı]],Tbl_Ürünler[],11,0)*Tbl_Siparişler[[#This Row],[Adet]],"")</f>
        <v>26743.800000000003</v>
      </c>
    </row>
    <row r="327" spans="2:10" ht="27" customHeight="1" x14ac:dyDescent="0.4">
      <c r="B327" s="9">
        <f>WEEKNUM(Tbl_Siparişler[[#This Row],[Sipariş Alınan Tarih]])</f>
        <v>31</v>
      </c>
      <c r="C327" s="6">
        <v>44403</v>
      </c>
      <c r="D327" s="7" t="s">
        <v>27</v>
      </c>
      <c r="E327" s="7">
        <v>88430</v>
      </c>
      <c r="F327" s="7" t="s">
        <v>111</v>
      </c>
      <c r="G327" s="7" t="s">
        <v>47</v>
      </c>
      <c r="H327" s="7" t="s">
        <v>48</v>
      </c>
      <c r="I327" s="7">
        <v>4</v>
      </c>
      <c r="J327" s="8">
        <f>IFERROR(VLOOKUP(Tbl_Siparişler[[#This Row],[Kategori]]&amp;"-"&amp;Tbl_Siparişler[[#This Row],[Ürün Adı]],Tbl_Ürünler[],11,0)*Tbl_Siparişler[[#This Row],[Adet]],"")</f>
        <v>32214</v>
      </c>
    </row>
    <row r="328" spans="2:10" ht="27" customHeight="1" x14ac:dyDescent="0.4">
      <c r="B328" s="9">
        <f>WEEKNUM(Tbl_Siparişler[[#This Row],[Sipariş Alınan Tarih]])</f>
        <v>22</v>
      </c>
      <c r="C328" s="6">
        <v>44342</v>
      </c>
      <c r="D328" s="7" t="s">
        <v>106</v>
      </c>
      <c r="E328" s="7">
        <v>89123</v>
      </c>
      <c r="F328" s="7" t="s">
        <v>110</v>
      </c>
      <c r="G328" s="7" t="s">
        <v>43</v>
      </c>
      <c r="H328" s="7" t="s">
        <v>46</v>
      </c>
      <c r="I328" s="7">
        <v>5</v>
      </c>
      <c r="J328" s="8">
        <f>IFERROR(VLOOKUP(Tbl_Siparişler[[#This Row],[Kategori]]&amp;"-"&amp;Tbl_Siparişler[[#This Row],[Ürün Adı]],Tbl_Ürünler[],11,0)*Tbl_Siparişler[[#This Row],[Adet]],"")</f>
        <v>66717</v>
      </c>
    </row>
    <row r="329" spans="2:10" ht="27" customHeight="1" x14ac:dyDescent="0.4">
      <c r="B329" s="9">
        <f>WEEKNUM(Tbl_Siparişler[[#This Row],[Sipariş Alınan Tarih]])</f>
        <v>25</v>
      </c>
      <c r="C329" s="6">
        <v>44364</v>
      </c>
      <c r="D329" s="7" t="s">
        <v>106</v>
      </c>
      <c r="E329" s="7">
        <v>47820</v>
      </c>
      <c r="F329" s="7" t="s">
        <v>118</v>
      </c>
      <c r="G329" s="7" t="s">
        <v>98</v>
      </c>
      <c r="H329" s="7" t="s">
        <v>99</v>
      </c>
      <c r="I329" s="7">
        <v>2</v>
      </c>
      <c r="J329" s="8">
        <f>IFERROR(VLOOKUP(Tbl_Siparişler[[#This Row],[Kategori]]&amp;"-"&amp;Tbl_Siparişler[[#This Row],[Ürün Adı]],Tbl_Ürünler[],11,0)*Tbl_Siparişler[[#This Row],[Adet]],"")</f>
        <v>8283.26</v>
      </c>
    </row>
    <row r="330" spans="2:10" ht="27" customHeight="1" x14ac:dyDescent="0.4">
      <c r="B330" s="9">
        <f>WEEKNUM(Tbl_Siparişler[[#This Row],[Sipariş Alınan Tarih]])</f>
        <v>32</v>
      </c>
      <c r="C330" s="6">
        <v>44415</v>
      </c>
      <c r="D330" s="7" t="s">
        <v>26</v>
      </c>
      <c r="E330" s="7">
        <v>64149</v>
      </c>
      <c r="F330" s="7" t="s">
        <v>111</v>
      </c>
      <c r="G330" s="7" t="s">
        <v>29</v>
      </c>
      <c r="H330" s="7" t="s">
        <v>41</v>
      </c>
      <c r="I330" s="7">
        <v>5</v>
      </c>
      <c r="J330" s="8">
        <f>IFERROR(VLOOKUP(Tbl_Siparişler[[#This Row],[Kategori]]&amp;"-"&amp;Tbl_Siparişler[[#This Row],[Ürün Adı]],Tbl_Ürünler[],11,0)*Tbl_Siparişler[[#This Row],[Adet]],"")</f>
        <v>63105</v>
      </c>
    </row>
    <row r="331" spans="2:10" ht="27" customHeight="1" x14ac:dyDescent="0.4">
      <c r="B331" s="9">
        <f>WEEKNUM(Tbl_Siparişler[[#This Row],[Sipariş Alınan Tarih]])</f>
        <v>20</v>
      </c>
      <c r="C331" s="6">
        <v>44325</v>
      </c>
      <c r="D331" s="7" t="s">
        <v>26</v>
      </c>
      <c r="E331" s="7">
        <v>74092</v>
      </c>
      <c r="F331" s="7" t="s">
        <v>111</v>
      </c>
      <c r="G331" s="7" t="s">
        <v>98</v>
      </c>
      <c r="H331" s="7" t="s">
        <v>103</v>
      </c>
      <c r="I331" s="7">
        <v>4</v>
      </c>
      <c r="J331" s="8">
        <f>IFERROR(VLOOKUP(Tbl_Siparişler[[#This Row],[Kategori]]&amp;"-"&amp;Tbl_Siparişler[[#This Row],[Ürün Adı]],Tbl_Ürünler[],11,0)*Tbl_Siparişler[[#This Row],[Adet]],"")</f>
        <v>23850</v>
      </c>
    </row>
    <row r="332" spans="2:10" ht="27" customHeight="1" x14ac:dyDescent="0.4">
      <c r="B332" s="9">
        <f>WEEKNUM(Tbl_Siparişler[[#This Row],[Sipariş Alınan Tarih]])</f>
        <v>9</v>
      </c>
      <c r="C332" s="6">
        <v>44248</v>
      </c>
      <c r="D332" s="7" t="s">
        <v>24</v>
      </c>
      <c r="E332" s="7">
        <v>55782</v>
      </c>
      <c r="F332" s="7" t="s">
        <v>113</v>
      </c>
      <c r="G332" s="7" t="s">
        <v>47</v>
      </c>
      <c r="H332" s="7" t="s">
        <v>49</v>
      </c>
      <c r="I332" s="7">
        <v>3</v>
      </c>
      <c r="J332" s="8">
        <f>IFERROR(VLOOKUP(Tbl_Siparişler[[#This Row],[Kategori]]&amp;"-"&amp;Tbl_Siparişler[[#This Row],[Ürün Adı]],Tbl_Ürünler[],11,0)*Tbl_Siparişler[[#This Row],[Adet]],"")</f>
        <v>28709.25</v>
      </c>
    </row>
    <row r="333" spans="2:10" ht="27" customHeight="1" x14ac:dyDescent="0.4">
      <c r="B333" s="9">
        <f>WEEKNUM(Tbl_Siparişler[[#This Row],[Sipariş Alınan Tarih]])</f>
        <v>41</v>
      </c>
      <c r="C333" s="6">
        <v>44474</v>
      </c>
      <c r="D333" s="7" t="s">
        <v>95</v>
      </c>
      <c r="E333" s="7">
        <v>61614</v>
      </c>
      <c r="F333" s="7" t="s">
        <v>111</v>
      </c>
      <c r="G333" s="7" t="s">
        <v>43</v>
      </c>
      <c r="H333" s="7" t="s">
        <v>46</v>
      </c>
      <c r="I333" s="7">
        <v>2</v>
      </c>
      <c r="J333" s="8">
        <f>IFERROR(VLOOKUP(Tbl_Siparişler[[#This Row],[Kategori]]&amp;"-"&amp;Tbl_Siparişler[[#This Row],[Ürün Adı]],Tbl_Ürünler[],11,0)*Tbl_Siparişler[[#This Row],[Adet]],"")</f>
        <v>26686.800000000003</v>
      </c>
    </row>
    <row r="334" spans="2:10" ht="27" customHeight="1" x14ac:dyDescent="0.4">
      <c r="B334" s="9">
        <f>WEEKNUM(Tbl_Siparişler[[#This Row],[Sipariş Alınan Tarih]])</f>
        <v>3</v>
      </c>
      <c r="C334" s="6">
        <v>44209</v>
      </c>
      <c r="D334" s="7" t="s">
        <v>25</v>
      </c>
      <c r="E334" s="7">
        <v>65749</v>
      </c>
      <c r="F334" s="7" t="s">
        <v>116</v>
      </c>
      <c r="G334" s="7" t="s">
        <v>98</v>
      </c>
      <c r="H334" s="7" t="s">
        <v>103</v>
      </c>
      <c r="I334" s="7">
        <v>1</v>
      </c>
      <c r="J334" s="8">
        <f>IFERROR(VLOOKUP(Tbl_Siparişler[[#This Row],[Kategori]]&amp;"-"&amp;Tbl_Siparişler[[#This Row],[Ürün Adı]],Tbl_Ürünler[],11,0)*Tbl_Siparişler[[#This Row],[Adet]],"")</f>
        <v>5962.5</v>
      </c>
    </row>
    <row r="335" spans="2:10" ht="27" customHeight="1" x14ac:dyDescent="0.4">
      <c r="B335" s="9">
        <f>WEEKNUM(Tbl_Siparişler[[#This Row],[Sipariş Alınan Tarih]])</f>
        <v>2</v>
      </c>
      <c r="C335" s="6">
        <v>44205</v>
      </c>
      <c r="D335" s="7" t="s">
        <v>26</v>
      </c>
      <c r="E335" s="7">
        <v>26633</v>
      </c>
      <c r="F335" s="7" t="s">
        <v>112</v>
      </c>
      <c r="G335" s="7" t="s">
        <v>43</v>
      </c>
      <c r="H335" s="7" t="s">
        <v>50</v>
      </c>
      <c r="I335" s="7">
        <v>1</v>
      </c>
      <c r="J335" s="8">
        <f>IFERROR(VLOOKUP(Tbl_Siparişler[[#This Row],[Kategori]]&amp;"-"&amp;Tbl_Siparişler[[#This Row],[Ürün Adı]],Tbl_Ürünler[],11,0)*Tbl_Siparişler[[#This Row],[Adet]],"")</f>
        <v>6458.1</v>
      </c>
    </row>
    <row r="336" spans="2:10" ht="27" customHeight="1" x14ac:dyDescent="0.4">
      <c r="B336" s="9">
        <f>WEEKNUM(Tbl_Siparişler[[#This Row],[Sipariş Alınan Tarih]])</f>
        <v>20</v>
      </c>
      <c r="C336" s="6">
        <v>44331</v>
      </c>
      <c r="D336" s="7" t="s">
        <v>106</v>
      </c>
      <c r="E336" s="7">
        <v>71915</v>
      </c>
      <c r="F336" s="7" t="s">
        <v>110</v>
      </c>
      <c r="G336" s="7" t="s">
        <v>43</v>
      </c>
      <c r="H336" s="7" t="s">
        <v>45</v>
      </c>
      <c r="I336" s="7">
        <v>5</v>
      </c>
      <c r="J336" s="8">
        <f>IFERROR(VLOOKUP(Tbl_Siparişler[[#This Row],[Kategori]]&amp;"-"&amp;Tbl_Siparişler[[#This Row],[Ürün Adı]],Tbl_Ürünler[],11,0)*Tbl_Siparişler[[#This Row],[Adet]],"")</f>
        <v>48297</v>
      </c>
    </row>
    <row r="337" spans="2:10" ht="27" customHeight="1" x14ac:dyDescent="0.4">
      <c r="B337" s="9">
        <f>WEEKNUM(Tbl_Siparişler[[#This Row],[Sipariş Alınan Tarih]])</f>
        <v>15</v>
      </c>
      <c r="C337" s="6">
        <v>44294</v>
      </c>
      <c r="D337" s="7" t="s">
        <v>28</v>
      </c>
      <c r="E337" s="7">
        <v>46465</v>
      </c>
      <c r="F337" s="7" t="s">
        <v>109</v>
      </c>
      <c r="G337" s="7" t="s">
        <v>47</v>
      </c>
      <c r="H337" s="7" t="s">
        <v>49</v>
      </c>
      <c r="I337" s="7">
        <v>2</v>
      </c>
      <c r="J337" s="8">
        <f>IFERROR(VLOOKUP(Tbl_Siparişler[[#This Row],[Kategori]]&amp;"-"&amp;Tbl_Siparişler[[#This Row],[Ürün Adı]],Tbl_Ürünler[],11,0)*Tbl_Siparişler[[#This Row],[Adet]],"")</f>
        <v>19139.5</v>
      </c>
    </row>
    <row r="338" spans="2:10" ht="27" customHeight="1" x14ac:dyDescent="0.4">
      <c r="B338" s="9">
        <f>WEEKNUM(Tbl_Siparişler[[#This Row],[Sipariş Alınan Tarih]])</f>
        <v>29</v>
      </c>
      <c r="C338" s="6">
        <v>44388</v>
      </c>
      <c r="D338" s="7" t="s">
        <v>26</v>
      </c>
      <c r="E338" s="7">
        <v>33823</v>
      </c>
      <c r="F338" s="7" t="s">
        <v>108</v>
      </c>
      <c r="G338" s="7" t="s">
        <v>43</v>
      </c>
      <c r="H338" s="7" t="s">
        <v>45</v>
      </c>
      <c r="I338" s="7">
        <v>1</v>
      </c>
      <c r="J338" s="8">
        <f>IFERROR(VLOOKUP(Tbl_Siparişler[[#This Row],[Kategori]]&amp;"-"&amp;Tbl_Siparişler[[#This Row],[Ürün Adı]],Tbl_Ürünler[],11,0)*Tbl_Siparişler[[#This Row],[Adet]],"")</f>
        <v>9659.4</v>
      </c>
    </row>
    <row r="339" spans="2:10" ht="27" customHeight="1" x14ac:dyDescent="0.4">
      <c r="B339" s="9">
        <f>WEEKNUM(Tbl_Siparişler[[#This Row],[Sipariş Alınan Tarih]])</f>
        <v>33</v>
      </c>
      <c r="C339" s="6">
        <v>44416</v>
      </c>
      <c r="D339" s="7" t="s">
        <v>28</v>
      </c>
      <c r="E339" s="7">
        <v>83488</v>
      </c>
      <c r="F339" s="7" t="s">
        <v>113</v>
      </c>
      <c r="G339" s="7" t="s">
        <v>29</v>
      </c>
      <c r="H339" s="7" t="s">
        <v>30</v>
      </c>
      <c r="I339" s="7">
        <v>5</v>
      </c>
      <c r="J339" s="8">
        <f>IFERROR(VLOOKUP(Tbl_Siparişler[[#This Row],[Kategori]]&amp;"-"&amp;Tbl_Siparişler[[#This Row],[Ürün Adı]],Tbl_Ürünler[],11,0)*Tbl_Siparişler[[#This Row],[Adet]],"")</f>
        <v>43426.5</v>
      </c>
    </row>
    <row r="340" spans="2:10" ht="27" customHeight="1" x14ac:dyDescent="0.4">
      <c r="B340" s="9">
        <f>WEEKNUM(Tbl_Siparişler[[#This Row],[Sipariş Alınan Tarih]])</f>
        <v>19</v>
      </c>
      <c r="C340" s="6">
        <v>44323</v>
      </c>
      <c r="D340" s="7" t="s">
        <v>25</v>
      </c>
      <c r="E340" s="7">
        <v>45375</v>
      </c>
      <c r="F340" s="7" t="s">
        <v>107</v>
      </c>
      <c r="G340" s="7" t="s">
        <v>43</v>
      </c>
      <c r="H340" s="7" t="s">
        <v>46</v>
      </c>
      <c r="I340" s="7">
        <v>1</v>
      </c>
      <c r="J340" s="8">
        <f>IFERROR(VLOOKUP(Tbl_Siparişler[[#This Row],[Kategori]]&amp;"-"&amp;Tbl_Siparişler[[#This Row],[Ürün Adı]],Tbl_Ürünler[],11,0)*Tbl_Siparişler[[#This Row],[Adet]],"")</f>
        <v>13343.400000000001</v>
      </c>
    </row>
    <row r="341" spans="2:10" ht="27" customHeight="1" x14ac:dyDescent="0.4">
      <c r="B341" s="9">
        <f>WEEKNUM(Tbl_Siparişler[[#This Row],[Sipariş Alınan Tarih]])</f>
        <v>13</v>
      </c>
      <c r="C341" s="6">
        <v>44281</v>
      </c>
      <c r="D341" s="7" t="s">
        <v>106</v>
      </c>
      <c r="E341" s="7">
        <v>74728</v>
      </c>
      <c r="F341" s="7" t="s">
        <v>112</v>
      </c>
      <c r="G341" s="7" t="s">
        <v>98</v>
      </c>
      <c r="H341" s="7" t="s">
        <v>99</v>
      </c>
      <c r="I341" s="7">
        <v>3</v>
      </c>
      <c r="J341" s="8">
        <f>IFERROR(VLOOKUP(Tbl_Siparişler[[#This Row],[Kategori]]&amp;"-"&amp;Tbl_Siparişler[[#This Row],[Ürün Adı]],Tbl_Ürünler[],11,0)*Tbl_Siparişler[[#This Row],[Adet]],"")</f>
        <v>12424.89</v>
      </c>
    </row>
    <row r="342" spans="2:10" ht="27" customHeight="1" x14ac:dyDescent="0.4">
      <c r="B342" s="9">
        <f>WEEKNUM(Tbl_Siparişler[[#This Row],[Sipariş Alınan Tarih]])</f>
        <v>17</v>
      </c>
      <c r="C342" s="6">
        <v>44304</v>
      </c>
      <c r="D342" s="7" t="s">
        <v>26</v>
      </c>
      <c r="E342" s="7">
        <v>62264</v>
      </c>
      <c r="F342" s="7" t="s">
        <v>113</v>
      </c>
      <c r="G342" s="7" t="s">
        <v>43</v>
      </c>
      <c r="H342" s="7" t="s">
        <v>44</v>
      </c>
      <c r="I342" s="7">
        <v>5</v>
      </c>
      <c r="J342" s="8">
        <f>IFERROR(VLOOKUP(Tbl_Siparişler[[#This Row],[Kategori]]&amp;"-"&amp;Tbl_Siparişler[[#This Row],[Ürün Adı]],Tbl_Ürünler[],11,0)*Tbl_Siparişler[[#This Row],[Adet]],"")</f>
        <v>44573</v>
      </c>
    </row>
    <row r="343" spans="2:10" ht="27" customHeight="1" x14ac:dyDescent="0.4">
      <c r="B343" s="9">
        <f>WEEKNUM(Tbl_Siparişler[[#This Row],[Sipariş Alınan Tarih]])</f>
        <v>6</v>
      </c>
      <c r="C343" s="6">
        <v>44233</v>
      </c>
      <c r="D343" s="7" t="s">
        <v>27</v>
      </c>
      <c r="E343" s="7">
        <v>34144</v>
      </c>
      <c r="F343" s="7" t="s">
        <v>117</v>
      </c>
      <c r="G343" s="7" t="s">
        <v>98</v>
      </c>
      <c r="H343" s="7" t="s">
        <v>99</v>
      </c>
      <c r="I343" s="7">
        <v>5</v>
      </c>
      <c r="J343" s="8">
        <f>IFERROR(VLOOKUP(Tbl_Siparişler[[#This Row],[Kategori]]&amp;"-"&amp;Tbl_Siparişler[[#This Row],[Ürün Adı]],Tbl_Ürünler[],11,0)*Tbl_Siparişler[[#This Row],[Adet]],"")</f>
        <v>20708.150000000001</v>
      </c>
    </row>
    <row r="344" spans="2:10" ht="27" customHeight="1" x14ac:dyDescent="0.4">
      <c r="B344" s="9">
        <f>WEEKNUM(Tbl_Siparişler[[#This Row],[Sipariş Alınan Tarih]])</f>
        <v>49</v>
      </c>
      <c r="C344" s="6">
        <v>44532</v>
      </c>
      <c r="D344" s="7" t="s">
        <v>95</v>
      </c>
      <c r="E344" s="7">
        <v>24690</v>
      </c>
      <c r="F344" s="7" t="s">
        <v>115</v>
      </c>
      <c r="G344" s="7" t="s">
        <v>98</v>
      </c>
      <c r="H344" s="7" t="s">
        <v>99</v>
      </c>
      <c r="I344" s="7">
        <v>5</v>
      </c>
      <c r="J344" s="8">
        <f>IFERROR(VLOOKUP(Tbl_Siparişler[[#This Row],[Kategori]]&amp;"-"&amp;Tbl_Siparişler[[#This Row],[Ürün Adı]],Tbl_Ürünler[],11,0)*Tbl_Siparişler[[#This Row],[Adet]],"")</f>
        <v>20708.150000000001</v>
      </c>
    </row>
    <row r="345" spans="2:10" ht="27" customHeight="1" x14ac:dyDescent="0.4">
      <c r="B345" s="9">
        <f>WEEKNUM(Tbl_Siparişler[[#This Row],[Sipariş Alınan Tarih]])</f>
        <v>38</v>
      </c>
      <c r="C345" s="6">
        <v>44451</v>
      </c>
      <c r="D345" s="7" t="s">
        <v>24</v>
      </c>
      <c r="E345" s="7">
        <v>57541</v>
      </c>
      <c r="F345" s="7" t="s">
        <v>110</v>
      </c>
      <c r="G345" s="7" t="s">
        <v>47</v>
      </c>
      <c r="H345" s="7" t="s">
        <v>48</v>
      </c>
      <c r="I345" s="7">
        <v>4</v>
      </c>
      <c r="J345" s="8">
        <f>IFERROR(VLOOKUP(Tbl_Siparişler[[#This Row],[Kategori]]&amp;"-"&amp;Tbl_Siparişler[[#This Row],[Ürün Adı]],Tbl_Ürünler[],11,0)*Tbl_Siparişler[[#This Row],[Adet]],"")</f>
        <v>32214</v>
      </c>
    </row>
    <row r="346" spans="2:10" ht="27" customHeight="1" x14ac:dyDescent="0.4">
      <c r="B346" s="9">
        <f>WEEKNUM(Tbl_Siparişler[[#This Row],[Sipariş Alınan Tarih]])</f>
        <v>31</v>
      </c>
      <c r="C346" s="6">
        <v>44405</v>
      </c>
      <c r="D346" s="7" t="s">
        <v>106</v>
      </c>
      <c r="E346" s="7">
        <v>44580</v>
      </c>
      <c r="F346" s="7" t="s">
        <v>117</v>
      </c>
      <c r="G346" s="7" t="s">
        <v>43</v>
      </c>
      <c r="H346" s="7" t="s">
        <v>50</v>
      </c>
      <c r="I346" s="7">
        <v>5</v>
      </c>
      <c r="J346" s="8">
        <f>IFERROR(VLOOKUP(Tbl_Siparişler[[#This Row],[Kategori]]&amp;"-"&amp;Tbl_Siparişler[[#This Row],[Ürün Adı]],Tbl_Ürünler[],11,0)*Tbl_Siparişler[[#This Row],[Adet]],"")</f>
        <v>32290.5</v>
      </c>
    </row>
    <row r="347" spans="2:10" ht="27" customHeight="1" x14ac:dyDescent="0.4">
      <c r="B347" s="9">
        <f>WEEKNUM(Tbl_Siparişler[[#This Row],[Sipariş Alınan Tarih]])</f>
        <v>34</v>
      </c>
      <c r="C347" s="6">
        <v>44428</v>
      </c>
      <c r="D347" s="7" t="s">
        <v>25</v>
      </c>
      <c r="E347" s="7">
        <v>67390</v>
      </c>
      <c r="F347" s="7" t="s">
        <v>111</v>
      </c>
      <c r="G347" s="7" t="s">
        <v>98</v>
      </c>
      <c r="H347" s="7" t="s">
        <v>99</v>
      </c>
      <c r="I347" s="7">
        <v>2</v>
      </c>
      <c r="J347" s="8">
        <f>IFERROR(VLOOKUP(Tbl_Siparişler[[#This Row],[Kategori]]&amp;"-"&amp;Tbl_Siparişler[[#This Row],[Ürün Adı]],Tbl_Ürünler[],11,0)*Tbl_Siparişler[[#This Row],[Adet]],"")</f>
        <v>8283.26</v>
      </c>
    </row>
    <row r="348" spans="2:10" ht="27" customHeight="1" x14ac:dyDescent="0.4">
      <c r="B348" s="9">
        <f>WEEKNUM(Tbl_Siparişler[[#This Row],[Sipariş Alınan Tarih]])</f>
        <v>21</v>
      </c>
      <c r="C348" s="6">
        <v>44336</v>
      </c>
      <c r="D348" s="7" t="s">
        <v>28</v>
      </c>
      <c r="E348" s="7">
        <v>23331</v>
      </c>
      <c r="F348" s="7" t="s">
        <v>114</v>
      </c>
      <c r="G348" s="7" t="s">
        <v>29</v>
      </c>
      <c r="H348" s="7" t="s">
        <v>41</v>
      </c>
      <c r="I348" s="7">
        <v>2</v>
      </c>
      <c r="J348" s="8">
        <f>IFERROR(VLOOKUP(Tbl_Siparişler[[#This Row],[Kategori]]&amp;"-"&amp;Tbl_Siparişler[[#This Row],[Ürün Adı]],Tbl_Ürünler[],11,0)*Tbl_Siparişler[[#This Row],[Adet]],"")</f>
        <v>25242</v>
      </c>
    </row>
    <row r="349" spans="2:10" ht="27" customHeight="1" x14ac:dyDescent="0.4">
      <c r="B349" s="9">
        <f>WEEKNUM(Tbl_Siparişler[[#This Row],[Sipariş Alınan Tarih]])</f>
        <v>50</v>
      </c>
      <c r="C349" s="6">
        <v>44540</v>
      </c>
      <c r="D349" s="7" t="s">
        <v>26</v>
      </c>
      <c r="E349" s="7">
        <v>14703</v>
      </c>
      <c r="F349" s="7" t="s">
        <v>109</v>
      </c>
      <c r="G349" s="7" t="s">
        <v>47</v>
      </c>
      <c r="H349" s="7" t="s">
        <v>48</v>
      </c>
      <c r="I349" s="7">
        <v>5</v>
      </c>
      <c r="J349" s="8">
        <f>IFERROR(VLOOKUP(Tbl_Siparişler[[#This Row],[Kategori]]&amp;"-"&amp;Tbl_Siparişler[[#This Row],[Ürün Adı]],Tbl_Ürünler[],11,0)*Tbl_Siparişler[[#This Row],[Adet]],"")</f>
        <v>40267.5</v>
      </c>
    </row>
    <row r="350" spans="2:10" ht="27" customHeight="1" x14ac:dyDescent="0.4">
      <c r="B350" s="9">
        <f>WEEKNUM(Tbl_Siparişler[[#This Row],[Sipariş Alınan Tarih]])</f>
        <v>13</v>
      </c>
      <c r="C350" s="6">
        <v>44281</v>
      </c>
      <c r="D350" s="7" t="s">
        <v>25</v>
      </c>
      <c r="E350" s="7">
        <v>71349</v>
      </c>
      <c r="F350" s="7" t="s">
        <v>114</v>
      </c>
      <c r="G350" s="7" t="s">
        <v>98</v>
      </c>
      <c r="H350" s="7" t="s">
        <v>100</v>
      </c>
      <c r="I350" s="7">
        <v>2</v>
      </c>
      <c r="J350" s="8">
        <f>IFERROR(VLOOKUP(Tbl_Siparişler[[#This Row],[Kategori]]&amp;"-"&amp;Tbl_Siparişler[[#This Row],[Ürün Adı]],Tbl_Ürünler[],11,0)*Tbl_Siparişler[[#This Row],[Adet]],"")</f>
        <v>18470.400000000001</v>
      </c>
    </row>
    <row r="351" spans="2:10" ht="27" customHeight="1" x14ac:dyDescent="0.4">
      <c r="B351" s="9">
        <f>WEEKNUM(Tbl_Siparişler[[#This Row],[Sipariş Alınan Tarih]])</f>
        <v>53</v>
      </c>
      <c r="C351" s="6">
        <v>44557</v>
      </c>
      <c r="D351" s="7" t="s">
        <v>95</v>
      </c>
      <c r="E351" s="7">
        <v>51122</v>
      </c>
      <c r="F351" s="7" t="s">
        <v>107</v>
      </c>
      <c r="G351" s="7" t="s">
        <v>43</v>
      </c>
      <c r="H351" s="7" t="s">
        <v>44</v>
      </c>
      <c r="I351" s="7">
        <v>5</v>
      </c>
      <c r="J351" s="8">
        <f>IFERROR(VLOOKUP(Tbl_Siparişler[[#This Row],[Kategori]]&amp;"-"&amp;Tbl_Siparişler[[#This Row],[Ürün Adı]],Tbl_Ürünler[],11,0)*Tbl_Siparişler[[#This Row],[Adet]],"")</f>
        <v>44573</v>
      </c>
    </row>
    <row r="352" spans="2:10" ht="27" customHeight="1" x14ac:dyDescent="0.4">
      <c r="B352" s="9">
        <f>WEEKNUM(Tbl_Siparişler[[#This Row],[Sipariş Alınan Tarih]])</f>
        <v>30</v>
      </c>
      <c r="C352" s="6">
        <v>44397</v>
      </c>
      <c r="D352" s="7" t="s">
        <v>24</v>
      </c>
      <c r="E352" s="7">
        <v>34832</v>
      </c>
      <c r="F352" s="7" t="s">
        <v>116</v>
      </c>
      <c r="G352" s="7" t="s">
        <v>98</v>
      </c>
      <c r="H352" s="7" t="s">
        <v>100</v>
      </c>
      <c r="I352" s="7">
        <v>2</v>
      </c>
      <c r="J352" s="8">
        <f>IFERROR(VLOOKUP(Tbl_Siparişler[[#This Row],[Kategori]]&amp;"-"&amp;Tbl_Siparişler[[#This Row],[Ürün Adı]],Tbl_Ürünler[],11,0)*Tbl_Siparişler[[#This Row],[Adet]],"")</f>
        <v>18470.400000000001</v>
      </c>
    </row>
    <row r="353" spans="2:10" ht="27" customHeight="1" x14ac:dyDescent="0.4">
      <c r="B353" s="9">
        <f>WEEKNUM(Tbl_Siparişler[[#This Row],[Sipariş Alınan Tarih]])</f>
        <v>11</v>
      </c>
      <c r="C353" s="6">
        <v>44265</v>
      </c>
      <c r="D353" s="7" t="s">
        <v>27</v>
      </c>
      <c r="E353" s="7">
        <v>63723</v>
      </c>
      <c r="F353" s="7" t="s">
        <v>117</v>
      </c>
      <c r="G353" s="7" t="s">
        <v>47</v>
      </c>
      <c r="H353" s="7" t="s">
        <v>49</v>
      </c>
      <c r="I353" s="7">
        <v>2</v>
      </c>
      <c r="J353" s="8">
        <f>IFERROR(VLOOKUP(Tbl_Siparişler[[#This Row],[Kategori]]&amp;"-"&amp;Tbl_Siparişler[[#This Row],[Ürün Adı]],Tbl_Ürünler[],11,0)*Tbl_Siparişler[[#This Row],[Adet]],"")</f>
        <v>19139.5</v>
      </c>
    </row>
    <row r="354" spans="2:10" ht="27" customHeight="1" x14ac:dyDescent="0.4">
      <c r="B354" s="9">
        <f>WEEKNUM(Tbl_Siparişler[[#This Row],[Sipariş Alınan Tarih]])</f>
        <v>24</v>
      </c>
      <c r="C354" s="6">
        <v>44359</v>
      </c>
      <c r="D354" s="7" t="s">
        <v>106</v>
      </c>
      <c r="E354" s="7">
        <v>12411</v>
      </c>
      <c r="F354" s="7" t="s">
        <v>108</v>
      </c>
      <c r="G354" s="7" t="s">
        <v>47</v>
      </c>
      <c r="H354" s="7" t="s">
        <v>48</v>
      </c>
      <c r="I354" s="7">
        <v>5</v>
      </c>
      <c r="J354" s="8">
        <f>IFERROR(VLOOKUP(Tbl_Siparişler[[#This Row],[Kategori]]&amp;"-"&amp;Tbl_Siparişler[[#This Row],[Ürün Adı]],Tbl_Ürünler[],11,0)*Tbl_Siparişler[[#This Row],[Adet]],"")</f>
        <v>40267.5</v>
      </c>
    </row>
    <row r="355" spans="2:10" ht="27" customHeight="1" x14ac:dyDescent="0.4">
      <c r="B355" s="9">
        <f>WEEKNUM(Tbl_Siparişler[[#This Row],[Sipariş Alınan Tarih]])</f>
        <v>49</v>
      </c>
      <c r="C355" s="6">
        <v>44528</v>
      </c>
      <c r="D355" s="7" t="s">
        <v>106</v>
      </c>
      <c r="E355" s="7">
        <v>41716</v>
      </c>
      <c r="F355" s="7" t="s">
        <v>118</v>
      </c>
      <c r="G355" s="7" t="s">
        <v>47</v>
      </c>
      <c r="H355" s="7" t="s">
        <v>49</v>
      </c>
      <c r="I355" s="7">
        <v>4</v>
      </c>
      <c r="J355" s="8">
        <f>IFERROR(VLOOKUP(Tbl_Siparişler[[#This Row],[Kategori]]&amp;"-"&amp;Tbl_Siparişler[[#This Row],[Ürün Adı]],Tbl_Ürünler[],11,0)*Tbl_Siparişler[[#This Row],[Adet]],"")</f>
        <v>38279</v>
      </c>
    </row>
    <row r="356" spans="2:10" ht="27" customHeight="1" x14ac:dyDescent="0.4">
      <c r="B356" s="9">
        <f>WEEKNUM(Tbl_Siparişler[[#This Row],[Sipariş Alınan Tarih]])</f>
        <v>5</v>
      </c>
      <c r="C356" s="6">
        <v>44223</v>
      </c>
      <c r="D356" s="7" t="s">
        <v>25</v>
      </c>
      <c r="E356" s="7">
        <v>37928</v>
      </c>
      <c r="F356" s="7" t="s">
        <v>118</v>
      </c>
      <c r="G356" s="7" t="s">
        <v>98</v>
      </c>
      <c r="H356" s="7" t="s">
        <v>103</v>
      </c>
      <c r="I356" s="7">
        <v>2</v>
      </c>
      <c r="J356" s="8">
        <f>IFERROR(VLOOKUP(Tbl_Siparişler[[#This Row],[Kategori]]&amp;"-"&amp;Tbl_Siparişler[[#This Row],[Ürün Adı]],Tbl_Ürünler[],11,0)*Tbl_Siparişler[[#This Row],[Adet]],"")</f>
        <v>11925</v>
      </c>
    </row>
    <row r="357" spans="2:10" ht="27" customHeight="1" x14ac:dyDescent="0.4">
      <c r="B357" s="9">
        <f>WEEKNUM(Tbl_Siparişler[[#This Row],[Sipariş Alınan Tarih]])</f>
        <v>45</v>
      </c>
      <c r="C357" s="6">
        <v>44501</v>
      </c>
      <c r="D357" s="7" t="s">
        <v>24</v>
      </c>
      <c r="E357" s="7">
        <v>11382</v>
      </c>
      <c r="F357" s="7" t="s">
        <v>117</v>
      </c>
      <c r="G357" s="7" t="s">
        <v>29</v>
      </c>
      <c r="H357" s="7" t="s">
        <v>41</v>
      </c>
      <c r="I357" s="7">
        <v>1</v>
      </c>
      <c r="J357" s="8">
        <f>IFERROR(VLOOKUP(Tbl_Siparişler[[#This Row],[Kategori]]&amp;"-"&amp;Tbl_Siparişler[[#This Row],[Ürün Adı]],Tbl_Ürünler[],11,0)*Tbl_Siparişler[[#This Row],[Adet]],"")</f>
        <v>12621</v>
      </c>
    </row>
    <row r="358" spans="2:10" ht="27" customHeight="1" x14ac:dyDescent="0.4">
      <c r="B358" s="9">
        <f>WEEKNUM(Tbl_Siparişler[[#This Row],[Sipariş Alınan Tarih]])</f>
        <v>51</v>
      </c>
      <c r="C358" s="6">
        <v>44548</v>
      </c>
      <c r="D358" s="7" t="s">
        <v>27</v>
      </c>
      <c r="E358" s="7">
        <v>90633</v>
      </c>
      <c r="F358" s="7" t="s">
        <v>112</v>
      </c>
      <c r="G358" s="7" t="s">
        <v>43</v>
      </c>
      <c r="H358" s="7" t="s">
        <v>46</v>
      </c>
      <c r="I358" s="7">
        <v>1</v>
      </c>
      <c r="J358" s="8">
        <f>IFERROR(VLOOKUP(Tbl_Siparişler[[#This Row],[Kategori]]&amp;"-"&amp;Tbl_Siparişler[[#This Row],[Ürün Adı]],Tbl_Ürünler[],11,0)*Tbl_Siparişler[[#This Row],[Adet]],"")</f>
        <v>13343.400000000001</v>
      </c>
    </row>
    <row r="359" spans="2:10" ht="27" customHeight="1" x14ac:dyDescent="0.4">
      <c r="B359" s="9">
        <f>WEEKNUM(Tbl_Siparişler[[#This Row],[Sipariş Alınan Tarih]])</f>
        <v>8</v>
      </c>
      <c r="C359" s="6">
        <v>44245</v>
      </c>
      <c r="D359" s="7" t="s">
        <v>24</v>
      </c>
      <c r="E359" s="7">
        <v>94131</v>
      </c>
      <c r="F359" s="7" t="s">
        <v>107</v>
      </c>
      <c r="G359" s="7" t="s">
        <v>98</v>
      </c>
      <c r="H359" s="7" t="s">
        <v>103</v>
      </c>
      <c r="I359" s="7">
        <v>2</v>
      </c>
      <c r="J359" s="8">
        <f>IFERROR(VLOOKUP(Tbl_Siparişler[[#This Row],[Kategori]]&amp;"-"&amp;Tbl_Siparişler[[#This Row],[Ürün Adı]],Tbl_Ürünler[],11,0)*Tbl_Siparişler[[#This Row],[Adet]],"")</f>
        <v>11925</v>
      </c>
    </row>
    <row r="360" spans="2:10" ht="27" customHeight="1" x14ac:dyDescent="0.4">
      <c r="B360" s="9">
        <f>WEEKNUM(Tbl_Siparişler[[#This Row],[Sipariş Alınan Tarih]])</f>
        <v>37</v>
      </c>
      <c r="C360" s="6">
        <v>44446</v>
      </c>
      <c r="D360" s="7" t="s">
        <v>95</v>
      </c>
      <c r="E360" s="7">
        <v>57589</v>
      </c>
      <c r="F360" s="7" t="s">
        <v>116</v>
      </c>
      <c r="G360" s="7" t="s">
        <v>47</v>
      </c>
      <c r="H360" s="7" t="s">
        <v>48</v>
      </c>
      <c r="I360" s="7">
        <v>1</v>
      </c>
      <c r="J360" s="8">
        <f>IFERROR(VLOOKUP(Tbl_Siparişler[[#This Row],[Kategori]]&amp;"-"&amp;Tbl_Siparişler[[#This Row],[Ürün Adı]],Tbl_Ürünler[],11,0)*Tbl_Siparişler[[#This Row],[Adet]],"")</f>
        <v>8053.5</v>
      </c>
    </row>
    <row r="361" spans="2:10" ht="27" customHeight="1" x14ac:dyDescent="0.4">
      <c r="B361" s="9">
        <f>WEEKNUM(Tbl_Siparişler[[#This Row],[Sipariş Alınan Tarih]])</f>
        <v>28</v>
      </c>
      <c r="C361" s="6">
        <v>44386</v>
      </c>
      <c r="D361" s="7" t="s">
        <v>24</v>
      </c>
      <c r="E361" s="7">
        <v>40437</v>
      </c>
      <c r="F361" s="7" t="s">
        <v>112</v>
      </c>
      <c r="G361" s="7" t="s">
        <v>43</v>
      </c>
      <c r="H361" s="7" t="s">
        <v>44</v>
      </c>
      <c r="I361" s="7">
        <v>3</v>
      </c>
      <c r="J361" s="8">
        <f>IFERROR(VLOOKUP(Tbl_Siparişler[[#This Row],[Kategori]]&amp;"-"&amp;Tbl_Siparişler[[#This Row],[Ürün Adı]],Tbl_Ürünler[],11,0)*Tbl_Siparişler[[#This Row],[Adet]],"")</f>
        <v>26743.800000000003</v>
      </c>
    </row>
    <row r="362" spans="2:10" ht="27" customHeight="1" x14ac:dyDescent="0.4">
      <c r="B362" s="9">
        <f>WEEKNUM(Tbl_Siparişler[[#This Row],[Sipariş Alınan Tarih]])</f>
        <v>26</v>
      </c>
      <c r="C362" s="6">
        <v>44373</v>
      </c>
      <c r="D362" s="7" t="s">
        <v>28</v>
      </c>
      <c r="E362" s="7">
        <v>56018</v>
      </c>
      <c r="F362" s="7" t="s">
        <v>110</v>
      </c>
      <c r="G362" s="7" t="s">
        <v>47</v>
      </c>
      <c r="H362" s="7" t="s">
        <v>49</v>
      </c>
      <c r="I362" s="7">
        <v>4</v>
      </c>
      <c r="J362" s="8">
        <f>IFERROR(VLOOKUP(Tbl_Siparişler[[#This Row],[Kategori]]&amp;"-"&amp;Tbl_Siparişler[[#This Row],[Ürün Adı]],Tbl_Ürünler[],11,0)*Tbl_Siparişler[[#This Row],[Adet]],"")</f>
        <v>38279</v>
      </c>
    </row>
    <row r="363" spans="2:10" ht="27" customHeight="1" x14ac:dyDescent="0.4">
      <c r="B363" s="9">
        <f>WEEKNUM(Tbl_Siparişler[[#This Row],[Sipariş Alınan Tarih]])</f>
        <v>30</v>
      </c>
      <c r="C363" s="6">
        <v>44401</v>
      </c>
      <c r="D363" s="7" t="s">
        <v>106</v>
      </c>
      <c r="E363" s="7">
        <v>28734</v>
      </c>
      <c r="F363" s="7" t="s">
        <v>113</v>
      </c>
      <c r="G363" s="7" t="s">
        <v>98</v>
      </c>
      <c r="H363" s="7" t="s">
        <v>100</v>
      </c>
      <c r="I363" s="7">
        <v>1</v>
      </c>
      <c r="J363" s="8">
        <f>IFERROR(VLOOKUP(Tbl_Siparişler[[#This Row],[Kategori]]&amp;"-"&amp;Tbl_Siparişler[[#This Row],[Ürün Adı]],Tbl_Ürünler[],11,0)*Tbl_Siparişler[[#This Row],[Adet]],"")</f>
        <v>9235.2000000000007</v>
      </c>
    </row>
    <row r="364" spans="2:10" ht="27" customHeight="1" x14ac:dyDescent="0.4">
      <c r="B364" s="9">
        <f>WEEKNUM(Tbl_Siparişler[[#This Row],[Sipariş Alınan Tarih]])</f>
        <v>46</v>
      </c>
      <c r="C364" s="6">
        <v>44508</v>
      </c>
      <c r="D364" s="7" t="s">
        <v>26</v>
      </c>
      <c r="E364" s="7">
        <v>29373</v>
      </c>
      <c r="F364" s="7" t="s">
        <v>113</v>
      </c>
      <c r="G364" s="7" t="s">
        <v>98</v>
      </c>
      <c r="H364" s="7" t="s">
        <v>100</v>
      </c>
      <c r="I364" s="7">
        <v>3</v>
      </c>
      <c r="J364" s="8">
        <f>IFERROR(VLOOKUP(Tbl_Siparişler[[#This Row],[Kategori]]&amp;"-"&amp;Tbl_Siparişler[[#This Row],[Ürün Adı]],Tbl_Ürünler[],11,0)*Tbl_Siparişler[[#This Row],[Adet]],"")</f>
        <v>27705.600000000002</v>
      </c>
    </row>
    <row r="365" spans="2:10" ht="27" customHeight="1" x14ac:dyDescent="0.4">
      <c r="B365" s="9">
        <f>WEEKNUM(Tbl_Siparişler[[#This Row],[Sipariş Alınan Tarih]])</f>
        <v>22</v>
      </c>
      <c r="C365" s="6">
        <v>44340</v>
      </c>
      <c r="D365" s="7" t="s">
        <v>24</v>
      </c>
      <c r="E365" s="7">
        <v>56113</v>
      </c>
      <c r="F365" s="7" t="s">
        <v>109</v>
      </c>
      <c r="G365" s="7" t="s">
        <v>98</v>
      </c>
      <c r="H365" s="7" t="s">
        <v>100</v>
      </c>
      <c r="I365" s="7">
        <v>5</v>
      </c>
      <c r="J365" s="8">
        <f>IFERROR(VLOOKUP(Tbl_Siparişler[[#This Row],[Kategori]]&amp;"-"&amp;Tbl_Siparişler[[#This Row],[Ürün Adı]],Tbl_Ürünler[],11,0)*Tbl_Siparişler[[#This Row],[Adet]],"")</f>
        <v>46176</v>
      </c>
    </row>
    <row r="366" spans="2:10" ht="27" customHeight="1" x14ac:dyDescent="0.4">
      <c r="B366" s="9">
        <f>WEEKNUM(Tbl_Siparişler[[#This Row],[Sipariş Alınan Tarih]])</f>
        <v>53</v>
      </c>
      <c r="C366" s="6">
        <v>44556</v>
      </c>
      <c r="D366" s="7" t="s">
        <v>25</v>
      </c>
      <c r="E366" s="7">
        <v>93147</v>
      </c>
      <c r="F366" s="7" t="s">
        <v>115</v>
      </c>
      <c r="G366" s="7" t="s">
        <v>29</v>
      </c>
      <c r="H366" s="7" t="s">
        <v>37</v>
      </c>
      <c r="I366" s="7">
        <v>5</v>
      </c>
      <c r="J366" s="8">
        <f>IFERROR(VLOOKUP(Tbl_Siparişler[[#This Row],[Kategori]]&amp;"-"&amp;Tbl_Siparişler[[#This Row],[Ürün Adı]],Tbl_Ürünler[],11,0)*Tbl_Siparişler[[#This Row],[Adet]],"")</f>
        <v>49002.25</v>
      </c>
    </row>
    <row r="367" spans="2:10" ht="27" customHeight="1" x14ac:dyDescent="0.4">
      <c r="B367" s="9">
        <f>WEEKNUM(Tbl_Siparişler[[#This Row],[Sipariş Alınan Tarih]])</f>
        <v>11</v>
      </c>
      <c r="C367" s="6">
        <v>44266</v>
      </c>
      <c r="D367" s="7" t="s">
        <v>24</v>
      </c>
      <c r="E367" s="7">
        <v>84835</v>
      </c>
      <c r="F367" s="7" t="s">
        <v>107</v>
      </c>
      <c r="G367" s="7" t="s">
        <v>47</v>
      </c>
      <c r="H367" s="7" t="s">
        <v>48</v>
      </c>
      <c r="I367" s="7">
        <v>5</v>
      </c>
      <c r="J367" s="8">
        <f>IFERROR(VLOOKUP(Tbl_Siparişler[[#This Row],[Kategori]]&amp;"-"&amp;Tbl_Siparişler[[#This Row],[Ürün Adı]],Tbl_Ürünler[],11,0)*Tbl_Siparişler[[#This Row],[Adet]],"")</f>
        <v>40267.5</v>
      </c>
    </row>
    <row r="368" spans="2:10" ht="27" customHeight="1" x14ac:dyDescent="0.4">
      <c r="B368" s="9">
        <f>WEEKNUM(Tbl_Siparişler[[#This Row],[Sipariş Alınan Tarih]])</f>
        <v>41</v>
      </c>
      <c r="C368" s="6">
        <v>44478</v>
      </c>
      <c r="D368" s="7" t="s">
        <v>28</v>
      </c>
      <c r="E368" s="7">
        <v>91078</v>
      </c>
      <c r="F368" s="7" t="s">
        <v>117</v>
      </c>
      <c r="G368" s="7" t="s">
        <v>98</v>
      </c>
      <c r="H368" s="7" t="s">
        <v>100</v>
      </c>
      <c r="I368" s="7">
        <v>5</v>
      </c>
      <c r="J368" s="8">
        <f>IFERROR(VLOOKUP(Tbl_Siparişler[[#This Row],[Kategori]]&amp;"-"&amp;Tbl_Siparişler[[#This Row],[Ürün Adı]],Tbl_Ürünler[],11,0)*Tbl_Siparişler[[#This Row],[Adet]],"")</f>
        <v>46176</v>
      </c>
    </row>
    <row r="369" spans="2:10" ht="27" customHeight="1" x14ac:dyDescent="0.4">
      <c r="B369" s="9">
        <f>WEEKNUM(Tbl_Siparişler[[#This Row],[Sipariş Alınan Tarih]])</f>
        <v>38</v>
      </c>
      <c r="C369" s="6">
        <v>44456</v>
      </c>
      <c r="D369" s="7" t="s">
        <v>25</v>
      </c>
      <c r="E369" s="7">
        <v>90371</v>
      </c>
      <c r="F369" s="7" t="s">
        <v>118</v>
      </c>
      <c r="G369" s="7" t="s">
        <v>43</v>
      </c>
      <c r="H369" s="7" t="s">
        <v>45</v>
      </c>
      <c r="I369" s="7">
        <v>2</v>
      </c>
      <c r="J369" s="8">
        <f>IFERROR(VLOOKUP(Tbl_Siparişler[[#This Row],[Kategori]]&amp;"-"&amp;Tbl_Siparişler[[#This Row],[Ürün Adı]],Tbl_Ürünler[],11,0)*Tbl_Siparişler[[#This Row],[Adet]],"")</f>
        <v>19318.8</v>
      </c>
    </row>
    <row r="370" spans="2:10" ht="27" customHeight="1" x14ac:dyDescent="0.4">
      <c r="B370" s="9">
        <f>WEEKNUM(Tbl_Siparişler[[#This Row],[Sipariş Alınan Tarih]])</f>
        <v>36</v>
      </c>
      <c r="C370" s="6">
        <v>44442</v>
      </c>
      <c r="D370" s="7" t="s">
        <v>25</v>
      </c>
      <c r="E370" s="7">
        <v>29786</v>
      </c>
      <c r="F370" s="7" t="s">
        <v>107</v>
      </c>
      <c r="G370" s="7" t="s">
        <v>43</v>
      </c>
      <c r="H370" s="7" t="s">
        <v>50</v>
      </c>
      <c r="I370" s="7">
        <v>2</v>
      </c>
      <c r="J370" s="8">
        <f>IFERROR(VLOOKUP(Tbl_Siparişler[[#This Row],[Kategori]]&amp;"-"&amp;Tbl_Siparişler[[#This Row],[Ürün Adı]],Tbl_Ürünler[],11,0)*Tbl_Siparişler[[#This Row],[Adet]],"")</f>
        <v>12916.2</v>
      </c>
    </row>
    <row r="371" spans="2:10" ht="27" customHeight="1" x14ac:dyDescent="0.4">
      <c r="B371" s="9">
        <f>WEEKNUM(Tbl_Siparişler[[#This Row],[Sipariş Alınan Tarih]])</f>
        <v>10</v>
      </c>
      <c r="C371" s="6">
        <v>44259</v>
      </c>
      <c r="D371" s="7" t="s">
        <v>106</v>
      </c>
      <c r="E371" s="7">
        <v>27682</v>
      </c>
      <c r="F371" s="7" t="s">
        <v>107</v>
      </c>
      <c r="G371" s="7" t="s">
        <v>43</v>
      </c>
      <c r="H371" s="7" t="s">
        <v>50</v>
      </c>
      <c r="I371" s="7">
        <v>2</v>
      </c>
      <c r="J371" s="8">
        <f>IFERROR(VLOOKUP(Tbl_Siparişler[[#This Row],[Kategori]]&amp;"-"&amp;Tbl_Siparişler[[#This Row],[Ürün Adı]],Tbl_Ürünler[],11,0)*Tbl_Siparişler[[#This Row],[Adet]],"")</f>
        <v>12916.2</v>
      </c>
    </row>
    <row r="372" spans="2:10" ht="27" customHeight="1" x14ac:dyDescent="0.4">
      <c r="B372" s="9">
        <f>WEEKNUM(Tbl_Siparişler[[#This Row],[Sipariş Alınan Tarih]])</f>
        <v>46</v>
      </c>
      <c r="C372" s="6">
        <v>44507</v>
      </c>
      <c r="D372" s="7" t="s">
        <v>27</v>
      </c>
      <c r="E372" s="7">
        <v>14039</v>
      </c>
      <c r="F372" s="7" t="s">
        <v>117</v>
      </c>
      <c r="G372" s="7" t="s">
        <v>47</v>
      </c>
      <c r="H372" s="7" t="s">
        <v>48</v>
      </c>
      <c r="I372" s="7">
        <v>1</v>
      </c>
      <c r="J372" s="8">
        <f>IFERROR(VLOOKUP(Tbl_Siparişler[[#This Row],[Kategori]]&amp;"-"&amp;Tbl_Siparişler[[#This Row],[Ürün Adı]],Tbl_Ürünler[],11,0)*Tbl_Siparişler[[#This Row],[Adet]],"")</f>
        <v>8053.5</v>
      </c>
    </row>
    <row r="373" spans="2:10" ht="27" customHeight="1" x14ac:dyDescent="0.4">
      <c r="B373" s="9">
        <f>WEEKNUM(Tbl_Siparişler[[#This Row],[Sipariş Alınan Tarih]])</f>
        <v>37</v>
      </c>
      <c r="C373" s="6">
        <v>44449</v>
      </c>
      <c r="D373" s="7" t="s">
        <v>28</v>
      </c>
      <c r="E373" s="7">
        <v>75091</v>
      </c>
      <c r="F373" s="7" t="s">
        <v>116</v>
      </c>
      <c r="G373" s="7" t="s">
        <v>47</v>
      </c>
      <c r="H373" s="7" t="s">
        <v>48</v>
      </c>
      <c r="I373" s="7">
        <v>1</v>
      </c>
      <c r="J373" s="8">
        <f>IFERROR(VLOOKUP(Tbl_Siparişler[[#This Row],[Kategori]]&amp;"-"&amp;Tbl_Siparişler[[#This Row],[Ürün Adı]],Tbl_Ürünler[],11,0)*Tbl_Siparişler[[#This Row],[Adet]],"")</f>
        <v>8053.5</v>
      </c>
    </row>
    <row r="374" spans="2:10" ht="27" customHeight="1" x14ac:dyDescent="0.4">
      <c r="B374" s="9">
        <f>WEEKNUM(Tbl_Siparişler[[#This Row],[Sipariş Alınan Tarih]])</f>
        <v>51</v>
      </c>
      <c r="C374" s="6">
        <v>44548</v>
      </c>
      <c r="D374" s="7" t="s">
        <v>28</v>
      </c>
      <c r="E374" s="7">
        <v>56698</v>
      </c>
      <c r="F374" s="7" t="s">
        <v>115</v>
      </c>
      <c r="G374" s="7" t="s">
        <v>43</v>
      </c>
      <c r="H374" s="7" t="s">
        <v>45</v>
      </c>
      <c r="I374" s="7">
        <v>2</v>
      </c>
      <c r="J374" s="8">
        <f>IFERROR(VLOOKUP(Tbl_Siparişler[[#This Row],[Kategori]]&amp;"-"&amp;Tbl_Siparişler[[#This Row],[Ürün Adı]],Tbl_Ürünler[],11,0)*Tbl_Siparişler[[#This Row],[Adet]],"")</f>
        <v>19318.8</v>
      </c>
    </row>
    <row r="375" spans="2:10" ht="27" customHeight="1" x14ac:dyDescent="0.4">
      <c r="B375" s="9">
        <f>WEEKNUM(Tbl_Siparişler[[#This Row],[Sipariş Alınan Tarih]])</f>
        <v>24</v>
      </c>
      <c r="C375" s="6">
        <v>44358</v>
      </c>
      <c r="D375" s="7" t="s">
        <v>26</v>
      </c>
      <c r="E375" s="7">
        <v>27544</v>
      </c>
      <c r="F375" s="7" t="s">
        <v>113</v>
      </c>
      <c r="G375" s="7" t="s">
        <v>43</v>
      </c>
      <c r="H375" s="7" t="s">
        <v>50</v>
      </c>
      <c r="I375" s="7">
        <v>3</v>
      </c>
      <c r="J375" s="8">
        <f>IFERROR(VLOOKUP(Tbl_Siparişler[[#This Row],[Kategori]]&amp;"-"&amp;Tbl_Siparişler[[#This Row],[Ürün Adı]],Tbl_Ürünler[],11,0)*Tbl_Siparişler[[#This Row],[Adet]],"")</f>
        <v>19374.300000000003</v>
      </c>
    </row>
    <row r="376" spans="2:10" ht="27" customHeight="1" x14ac:dyDescent="0.4">
      <c r="B376" s="9">
        <f>WEEKNUM(Tbl_Siparişler[[#This Row],[Sipariş Alınan Tarih]])</f>
        <v>24</v>
      </c>
      <c r="C376" s="6">
        <v>44353</v>
      </c>
      <c r="D376" s="7" t="s">
        <v>25</v>
      </c>
      <c r="E376" s="7">
        <v>20358</v>
      </c>
      <c r="F376" s="7" t="s">
        <v>117</v>
      </c>
      <c r="G376" s="7" t="s">
        <v>47</v>
      </c>
      <c r="H376" s="7" t="s">
        <v>48</v>
      </c>
      <c r="I376" s="7">
        <v>5</v>
      </c>
      <c r="J376" s="8">
        <f>IFERROR(VLOOKUP(Tbl_Siparişler[[#This Row],[Kategori]]&amp;"-"&amp;Tbl_Siparişler[[#This Row],[Ürün Adı]],Tbl_Ürünler[],11,0)*Tbl_Siparişler[[#This Row],[Adet]],"")</f>
        <v>40267.5</v>
      </c>
    </row>
    <row r="377" spans="2:10" ht="27" customHeight="1" x14ac:dyDescent="0.4">
      <c r="B377" s="9">
        <f>WEEKNUM(Tbl_Siparişler[[#This Row],[Sipariş Alınan Tarih]])</f>
        <v>12</v>
      </c>
      <c r="C377" s="6">
        <v>44274</v>
      </c>
      <c r="D377" s="7" t="s">
        <v>95</v>
      </c>
      <c r="E377" s="7">
        <v>85064</v>
      </c>
      <c r="F377" s="7" t="s">
        <v>113</v>
      </c>
      <c r="G377" s="7" t="s">
        <v>29</v>
      </c>
      <c r="H377" s="7" t="s">
        <v>30</v>
      </c>
      <c r="I377" s="7">
        <v>4</v>
      </c>
      <c r="J377" s="8">
        <f>IFERROR(VLOOKUP(Tbl_Siparişler[[#This Row],[Kategori]]&amp;"-"&amp;Tbl_Siparişler[[#This Row],[Ürün Adı]],Tbl_Ürünler[],11,0)*Tbl_Siparişler[[#This Row],[Adet]],"")</f>
        <v>34741.199999999997</v>
      </c>
    </row>
    <row r="378" spans="2:10" ht="27" customHeight="1" x14ac:dyDescent="0.4">
      <c r="B378" s="9">
        <f>WEEKNUM(Tbl_Siparişler[[#This Row],[Sipariş Alınan Tarih]])</f>
        <v>11</v>
      </c>
      <c r="C378" s="6">
        <v>44262</v>
      </c>
      <c r="D378" s="7" t="s">
        <v>26</v>
      </c>
      <c r="E378" s="7">
        <v>54007</v>
      </c>
      <c r="F378" s="7" t="s">
        <v>107</v>
      </c>
      <c r="G378" s="7" t="s">
        <v>98</v>
      </c>
      <c r="H378" s="7" t="s">
        <v>100</v>
      </c>
      <c r="I378" s="7">
        <v>3</v>
      </c>
      <c r="J378" s="8">
        <f>IFERROR(VLOOKUP(Tbl_Siparişler[[#This Row],[Kategori]]&amp;"-"&amp;Tbl_Siparişler[[#This Row],[Ürün Adı]],Tbl_Ürünler[],11,0)*Tbl_Siparişler[[#This Row],[Adet]],"")</f>
        <v>27705.600000000002</v>
      </c>
    </row>
    <row r="379" spans="2:10" ht="27" customHeight="1" x14ac:dyDescent="0.4">
      <c r="B379" s="9">
        <f>WEEKNUM(Tbl_Siparişler[[#This Row],[Sipariş Alınan Tarih]])</f>
        <v>53</v>
      </c>
      <c r="C379" s="6">
        <v>44556</v>
      </c>
      <c r="D379" s="7" t="s">
        <v>27</v>
      </c>
      <c r="E379" s="7">
        <v>25971</v>
      </c>
      <c r="F379" s="7" t="s">
        <v>116</v>
      </c>
      <c r="G379" s="7" t="s">
        <v>47</v>
      </c>
      <c r="H379" s="7" t="s">
        <v>48</v>
      </c>
      <c r="I379" s="7">
        <v>5</v>
      </c>
      <c r="J379" s="8">
        <f>IFERROR(VLOOKUP(Tbl_Siparişler[[#This Row],[Kategori]]&amp;"-"&amp;Tbl_Siparişler[[#This Row],[Ürün Adı]],Tbl_Ürünler[],11,0)*Tbl_Siparişler[[#This Row],[Adet]],"")</f>
        <v>40267.5</v>
      </c>
    </row>
    <row r="380" spans="2:10" ht="27" customHeight="1" x14ac:dyDescent="0.4">
      <c r="B380" s="9">
        <f>WEEKNUM(Tbl_Siparişler[[#This Row],[Sipariş Alınan Tarih]])</f>
        <v>17</v>
      </c>
      <c r="C380" s="6">
        <v>44305</v>
      </c>
      <c r="D380" s="7" t="s">
        <v>24</v>
      </c>
      <c r="E380" s="7">
        <v>57016</v>
      </c>
      <c r="F380" s="7" t="s">
        <v>109</v>
      </c>
      <c r="G380" s="7" t="s">
        <v>98</v>
      </c>
      <c r="H380" s="7" t="s">
        <v>103</v>
      </c>
      <c r="I380" s="7">
        <v>3</v>
      </c>
      <c r="J380" s="8">
        <f>IFERROR(VLOOKUP(Tbl_Siparişler[[#This Row],[Kategori]]&amp;"-"&amp;Tbl_Siparişler[[#This Row],[Ürün Adı]],Tbl_Ürünler[],11,0)*Tbl_Siparişler[[#This Row],[Adet]],"")</f>
        <v>17887.5</v>
      </c>
    </row>
    <row r="381" spans="2:10" ht="27" customHeight="1" x14ac:dyDescent="0.4">
      <c r="B381" s="9">
        <f>WEEKNUM(Tbl_Siparişler[[#This Row],[Sipariş Alınan Tarih]])</f>
        <v>13</v>
      </c>
      <c r="C381" s="6">
        <v>44279</v>
      </c>
      <c r="D381" s="7" t="s">
        <v>28</v>
      </c>
      <c r="E381" s="7">
        <v>21378</v>
      </c>
      <c r="F381" s="7" t="s">
        <v>117</v>
      </c>
      <c r="G381" s="7" t="s">
        <v>47</v>
      </c>
      <c r="H381" s="7" t="s">
        <v>48</v>
      </c>
      <c r="I381" s="7">
        <v>1</v>
      </c>
      <c r="J381" s="8">
        <f>IFERROR(VLOOKUP(Tbl_Siparişler[[#This Row],[Kategori]]&amp;"-"&amp;Tbl_Siparişler[[#This Row],[Ürün Adı]],Tbl_Ürünler[],11,0)*Tbl_Siparişler[[#This Row],[Adet]],"")</f>
        <v>8053.5</v>
      </c>
    </row>
    <row r="382" spans="2:10" ht="27" customHeight="1" x14ac:dyDescent="0.4">
      <c r="B382" s="9">
        <f>WEEKNUM(Tbl_Siparişler[[#This Row],[Sipariş Alınan Tarih]])</f>
        <v>34</v>
      </c>
      <c r="C382" s="6">
        <v>44428</v>
      </c>
      <c r="D382" s="7" t="s">
        <v>95</v>
      </c>
      <c r="E382" s="7">
        <v>95365</v>
      </c>
      <c r="F382" s="7" t="s">
        <v>110</v>
      </c>
      <c r="G382" s="7" t="s">
        <v>29</v>
      </c>
      <c r="H382" s="7" t="s">
        <v>42</v>
      </c>
      <c r="I382" s="7">
        <v>3</v>
      </c>
      <c r="J382" s="8">
        <f>IFERROR(VLOOKUP(Tbl_Siparişler[[#This Row],[Kategori]]&amp;"-"&amp;Tbl_Siparişler[[#This Row],[Ürün Adı]],Tbl_Ürünler[],11,0)*Tbl_Siparişler[[#This Row],[Adet]],"")</f>
        <v>42198</v>
      </c>
    </row>
    <row r="383" spans="2:10" ht="27" customHeight="1" x14ac:dyDescent="0.4">
      <c r="B383" s="9">
        <f>WEEKNUM(Tbl_Siparişler[[#This Row],[Sipariş Alınan Tarih]])</f>
        <v>41</v>
      </c>
      <c r="C383" s="6">
        <v>44474</v>
      </c>
      <c r="D383" s="7" t="s">
        <v>26</v>
      </c>
      <c r="E383" s="7">
        <v>24052</v>
      </c>
      <c r="F383" s="7" t="s">
        <v>108</v>
      </c>
      <c r="G383" s="7" t="s">
        <v>98</v>
      </c>
      <c r="H383" s="7" t="s">
        <v>103</v>
      </c>
      <c r="I383" s="7">
        <v>4</v>
      </c>
      <c r="J383" s="8">
        <f>IFERROR(VLOOKUP(Tbl_Siparişler[[#This Row],[Kategori]]&amp;"-"&amp;Tbl_Siparişler[[#This Row],[Ürün Adı]],Tbl_Ürünler[],11,0)*Tbl_Siparişler[[#This Row],[Adet]],"")</f>
        <v>23850</v>
      </c>
    </row>
    <row r="384" spans="2:10" ht="27" customHeight="1" x14ac:dyDescent="0.4">
      <c r="B384" s="9">
        <f>WEEKNUM(Tbl_Siparişler[[#This Row],[Sipariş Alınan Tarih]])</f>
        <v>40</v>
      </c>
      <c r="C384" s="6">
        <v>44465</v>
      </c>
      <c r="D384" s="7" t="s">
        <v>24</v>
      </c>
      <c r="E384" s="7">
        <v>55715</v>
      </c>
      <c r="F384" s="7" t="s">
        <v>117</v>
      </c>
      <c r="G384" s="7" t="s">
        <v>98</v>
      </c>
      <c r="H384" s="7" t="s">
        <v>100</v>
      </c>
      <c r="I384" s="7">
        <v>4</v>
      </c>
      <c r="J384" s="8">
        <f>IFERROR(VLOOKUP(Tbl_Siparişler[[#This Row],[Kategori]]&amp;"-"&amp;Tbl_Siparişler[[#This Row],[Ürün Adı]],Tbl_Ürünler[],11,0)*Tbl_Siparişler[[#This Row],[Adet]],"")</f>
        <v>36940.800000000003</v>
      </c>
    </row>
    <row r="385" spans="2:10" ht="27" customHeight="1" x14ac:dyDescent="0.4">
      <c r="B385" s="9">
        <f>WEEKNUM(Tbl_Siparişler[[#This Row],[Sipariş Alınan Tarih]])</f>
        <v>44</v>
      </c>
      <c r="C385" s="6">
        <v>44496</v>
      </c>
      <c r="D385" s="7" t="s">
        <v>26</v>
      </c>
      <c r="E385" s="7">
        <v>53656</v>
      </c>
      <c r="F385" s="7" t="s">
        <v>117</v>
      </c>
      <c r="G385" s="7" t="s">
        <v>29</v>
      </c>
      <c r="H385" s="7" t="s">
        <v>37</v>
      </c>
      <c r="I385" s="7">
        <v>2</v>
      </c>
      <c r="J385" s="8">
        <f>IFERROR(VLOOKUP(Tbl_Siparişler[[#This Row],[Kategori]]&amp;"-"&amp;Tbl_Siparişler[[#This Row],[Ürün Adı]],Tbl_Ürünler[],11,0)*Tbl_Siparişler[[#This Row],[Adet]],"")</f>
        <v>19600.900000000001</v>
      </c>
    </row>
    <row r="386" spans="2:10" ht="27" customHeight="1" x14ac:dyDescent="0.4">
      <c r="B386" s="9">
        <f>WEEKNUM(Tbl_Siparişler[[#This Row],[Sipariş Alınan Tarih]])</f>
        <v>3</v>
      </c>
      <c r="C386" s="6">
        <v>44208</v>
      </c>
      <c r="D386" s="7" t="s">
        <v>106</v>
      </c>
      <c r="E386" s="7">
        <v>95345</v>
      </c>
      <c r="F386" s="7" t="s">
        <v>113</v>
      </c>
      <c r="G386" s="7" t="s">
        <v>47</v>
      </c>
      <c r="H386" s="7" t="s">
        <v>49</v>
      </c>
      <c r="I386" s="7">
        <v>5</v>
      </c>
      <c r="J386" s="8">
        <f>IFERROR(VLOOKUP(Tbl_Siparişler[[#This Row],[Kategori]]&amp;"-"&amp;Tbl_Siparişler[[#This Row],[Ürün Adı]],Tbl_Ürünler[],11,0)*Tbl_Siparişler[[#This Row],[Adet]],"")</f>
        <v>47848.75</v>
      </c>
    </row>
    <row r="387" spans="2:10" ht="27" customHeight="1" x14ac:dyDescent="0.4">
      <c r="B387" s="9">
        <f>WEEKNUM(Tbl_Siparişler[[#This Row],[Sipariş Alınan Tarih]])</f>
        <v>29</v>
      </c>
      <c r="C387" s="6">
        <v>44389</v>
      </c>
      <c r="D387" s="7" t="s">
        <v>28</v>
      </c>
      <c r="E387" s="7">
        <v>73257</v>
      </c>
      <c r="F387" s="7" t="s">
        <v>116</v>
      </c>
      <c r="G387" s="7" t="s">
        <v>43</v>
      </c>
      <c r="H387" s="7" t="s">
        <v>44</v>
      </c>
      <c r="I387" s="7">
        <v>3</v>
      </c>
      <c r="J387" s="8">
        <f>IFERROR(VLOOKUP(Tbl_Siparişler[[#This Row],[Kategori]]&amp;"-"&amp;Tbl_Siparişler[[#This Row],[Ürün Adı]],Tbl_Ürünler[],11,0)*Tbl_Siparişler[[#This Row],[Adet]],"")</f>
        <v>26743.800000000003</v>
      </c>
    </row>
    <row r="388" spans="2:10" ht="27" customHeight="1" x14ac:dyDescent="0.4">
      <c r="B388" s="9">
        <f>WEEKNUM(Tbl_Siparişler[[#This Row],[Sipariş Alınan Tarih]])</f>
        <v>21</v>
      </c>
      <c r="C388" s="6">
        <v>44337</v>
      </c>
      <c r="D388" s="7" t="s">
        <v>106</v>
      </c>
      <c r="E388" s="7">
        <v>92736</v>
      </c>
      <c r="F388" s="7" t="s">
        <v>115</v>
      </c>
      <c r="G388" s="7" t="s">
        <v>98</v>
      </c>
      <c r="H388" s="7" t="s">
        <v>99</v>
      </c>
      <c r="I388" s="7">
        <v>1</v>
      </c>
      <c r="J388" s="8">
        <f>IFERROR(VLOOKUP(Tbl_Siparişler[[#This Row],[Kategori]]&amp;"-"&amp;Tbl_Siparişler[[#This Row],[Ürün Adı]],Tbl_Ürünler[],11,0)*Tbl_Siparişler[[#This Row],[Adet]],"")</f>
        <v>4141.63</v>
      </c>
    </row>
    <row r="389" spans="2:10" ht="27" customHeight="1" x14ac:dyDescent="0.4">
      <c r="B389" s="9">
        <f>WEEKNUM(Tbl_Siparişler[[#This Row],[Sipariş Alınan Tarih]])</f>
        <v>43</v>
      </c>
      <c r="C389" s="6">
        <v>44486</v>
      </c>
      <c r="D389" s="7" t="s">
        <v>95</v>
      </c>
      <c r="E389" s="7">
        <v>58290</v>
      </c>
      <c r="F389" s="7" t="s">
        <v>108</v>
      </c>
      <c r="G389" s="7" t="s">
        <v>47</v>
      </c>
      <c r="H389" s="7" t="s">
        <v>48</v>
      </c>
      <c r="I389" s="7">
        <v>5</v>
      </c>
      <c r="J389" s="8">
        <f>IFERROR(VLOOKUP(Tbl_Siparişler[[#This Row],[Kategori]]&amp;"-"&amp;Tbl_Siparişler[[#This Row],[Ürün Adı]],Tbl_Ürünler[],11,0)*Tbl_Siparişler[[#This Row],[Adet]],"")</f>
        <v>40267.5</v>
      </c>
    </row>
    <row r="390" spans="2:10" ht="27" customHeight="1" x14ac:dyDescent="0.4">
      <c r="B390" s="9">
        <f>WEEKNUM(Tbl_Siparişler[[#This Row],[Sipariş Alınan Tarih]])</f>
        <v>48</v>
      </c>
      <c r="C390" s="6">
        <v>44521</v>
      </c>
      <c r="D390" s="7" t="s">
        <v>106</v>
      </c>
      <c r="E390" s="7">
        <v>56020</v>
      </c>
      <c r="F390" s="7" t="s">
        <v>112</v>
      </c>
      <c r="G390" s="7" t="s">
        <v>43</v>
      </c>
      <c r="H390" s="7" t="s">
        <v>45</v>
      </c>
      <c r="I390" s="7">
        <v>3</v>
      </c>
      <c r="J390" s="8">
        <f>IFERROR(VLOOKUP(Tbl_Siparişler[[#This Row],[Kategori]]&amp;"-"&amp;Tbl_Siparişler[[#This Row],[Ürün Adı]],Tbl_Ürünler[],11,0)*Tbl_Siparişler[[#This Row],[Adet]],"")</f>
        <v>28978.199999999997</v>
      </c>
    </row>
    <row r="391" spans="2:10" ht="27" customHeight="1" x14ac:dyDescent="0.4">
      <c r="B391" s="9">
        <f>WEEKNUM(Tbl_Siparişler[[#This Row],[Sipariş Alınan Tarih]])</f>
        <v>47</v>
      </c>
      <c r="C391" s="6">
        <v>44519</v>
      </c>
      <c r="D391" s="7" t="s">
        <v>26</v>
      </c>
      <c r="E391" s="7">
        <v>77397</v>
      </c>
      <c r="F391" s="7" t="s">
        <v>118</v>
      </c>
      <c r="G391" s="7" t="s">
        <v>29</v>
      </c>
      <c r="H391" s="7" t="s">
        <v>42</v>
      </c>
      <c r="I391" s="7">
        <v>5</v>
      </c>
      <c r="J391" s="8">
        <f>IFERROR(VLOOKUP(Tbl_Siparişler[[#This Row],[Kategori]]&amp;"-"&amp;Tbl_Siparişler[[#This Row],[Ürün Adı]],Tbl_Ürünler[],11,0)*Tbl_Siparişler[[#This Row],[Adet]],"")</f>
        <v>70330</v>
      </c>
    </row>
    <row r="392" spans="2:10" ht="27" customHeight="1" x14ac:dyDescent="0.4">
      <c r="B392" s="9">
        <f>WEEKNUM(Tbl_Siparişler[[#This Row],[Sipariş Alınan Tarih]])</f>
        <v>46</v>
      </c>
      <c r="C392" s="6">
        <v>44508</v>
      </c>
      <c r="D392" s="7" t="s">
        <v>26</v>
      </c>
      <c r="E392" s="7">
        <v>80053</v>
      </c>
      <c r="F392" s="7" t="s">
        <v>112</v>
      </c>
      <c r="G392" s="7" t="s">
        <v>47</v>
      </c>
      <c r="H392" s="7" t="s">
        <v>49</v>
      </c>
      <c r="I392" s="7">
        <v>1</v>
      </c>
      <c r="J392" s="8">
        <f>IFERROR(VLOOKUP(Tbl_Siparişler[[#This Row],[Kategori]]&amp;"-"&amp;Tbl_Siparişler[[#This Row],[Ürün Adı]],Tbl_Ürünler[],11,0)*Tbl_Siparişler[[#This Row],[Adet]],"")</f>
        <v>9569.75</v>
      </c>
    </row>
    <row r="393" spans="2:10" ht="27" customHeight="1" x14ac:dyDescent="0.4">
      <c r="B393" s="9">
        <f>WEEKNUM(Tbl_Siparişler[[#This Row],[Sipariş Alınan Tarih]])</f>
        <v>16</v>
      </c>
      <c r="C393" s="6">
        <v>44302</v>
      </c>
      <c r="D393" s="7" t="s">
        <v>24</v>
      </c>
      <c r="E393" s="7">
        <v>51502</v>
      </c>
      <c r="F393" s="7" t="s">
        <v>107</v>
      </c>
      <c r="G393" s="7" t="s">
        <v>47</v>
      </c>
      <c r="H393" s="7" t="s">
        <v>49</v>
      </c>
      <c r="I393" s="7">
        <v>2</v>
      </c>
      <c r="J393" s="8">
        <f>IFERROR(VLOOKUP(Tbl_Siparişler[[#This Row],[Kategori]]&amp;"-"&amp;Tbl_Siparişler[[#This Row],[Ürün Adı]],Tbl_Ürünler[],11,0)*Tbl_Siparişler[[#This Row],[Adet]],"")</f>
        <v>19139.5</v>
      </c>
    </row>
    <row r="394" spans="2:10" ht="27" customHeight="1" x14ac:dyDescent="0.4">
      <c r="B394" s="9">
        <f>WEEKNUM(Tbl_Siparişler[[#This Row],[Sipariş Alınan Tarih]])</f>
        <v>29</v>
      </c>
      <c r="C394" s="6">
        <v>44393</v>
      </c>
      <c r="D394" s="7" t="s">
        <v>25</v>
      </c>
      <c r="E394" s="7">
        <v>56321</v>
      </c>
      <c r="F394" s="7" t="s">
        <v>116</v>
      </c>
      <c r="G394" s="7" t="s">
        <v>98</v>
      </c>
      <c r="H394" s="7" t="s">
        <v>100</v>
      </c>
      <c r="I394" s="7">
        <v>2</v>
      </c>
      <c r="J394" s="8">
        <f>IFERROR(VLOOKUP(Tbl_Siparişler[[#This Row],[Kategori]]&amp;"-"&amp;Tbl_Siparişler[[#This Row],[Ürün Adı]],Tbl_Ürünler[],11,0)*Tbl_Siparişler[[#This Row],[Adet]],"")</f>
        <v>18470.400000000001</v>
      </c>
    </row>
    <row r="395" spans="2:10" ht="27" customHeight="1" x14ac:dyDescent="0.4">
      <c r="B395" s="9">
        <f>WEEKNUM(Tbl_Siparişler[[#This Row],[Sipariş Alınan Tarih]])</f>
        <v>40</v>
      </c>
      <c r="C395" s="6">
        <v>44465</v>
      </c>
      <c r="D395" s="7" t="s">
        <v>25</v>
      </c>
      <c r="E395" s="7">
        <v>27380</v>
      </c>
      <c r="F395" s="7" t="s">
        <v>115</v>
      </c>
      <c r="G395" s="7" t="s">
        <v>98</v>
      </c>
      <c r="H395" s="7" t="s">
        <v>100</v>
      </c>
      <c r="I395" s="7">
        <v>4</v>
      </c>
      <c r="J395" s="8">
        <f>IFERROR(VLOOKUP(Tbl_Siparişler[[#This Row],[Kategori]]&amp;"-"&amp;Tbl_Siparişler[[#This Row],[Ürün Adı]],Tbl_Ürünler[],11,0)*Tbl_Siparişler[[#This Row],[Adet]],"")</f>
        <v>36940.800000000003</v>
      </c>
    </row>
    <row r="396" spans="2:10" ht="27" customHeight="1" x14ac:dyDescent="0.4">
      <c r="B396" s="9">
        <f>WEEKNUM(Tbl_Siparişler[[#This Row],[Sipariş Alınan Tarih]])</f>
        <v>43</v>
      </c>
      <c r="C396" s="6">
        <v>44486</v>
      </c>
      <c r="D396" s="7" t="s">
        <v>24</v>
      </c>
      <c r="E396" s="7">
        <v>71238</v>
      </c>
      <c r="F396" s="7" t="s">
        <v>110</v>
      </c>
      <c r="G396" s="7" t="s">
        <v>98</v>
      </c>
      <c r="H396" s="7" t="s">
        <v>100</v>
      </c>
      <c r="I396" s="7">
        <v>4</v>
      </c>
      <c r="J396" s="8">
        <f>IFERROR(VLOOKUP(Tbl_Siparişler[[#This Row],[Kategori]]&amp;"-"&amp;Tbl_Siparişler[[#This Row],[Ürün Adı]],Tbl_Ürünler[],11,0)*Tbl_Siparişler[[#This Row],[Adet]],"")</f>
        <v>36940.800000000003</v>
      </c>
    </row>
    <row r="397" spans="2:10" ht="27" customHeight="1" x14ac:dyDescent="0.4">
      <c r="B397" s="9">
        <f>WEEKNUM(Tbl_Siparişler[[#This Row],[Sipariş Alınan Tarih]])</f>
        <v>17</v>
      </c>
      <c r="C397" s="6">
        <v>44306</v>
      </c>
      <c r="D397" s="7" t="s">
        <v>24</v>
      </c>
      <c r="E397" s="7">
        <v>22581</v>
      </c>
      <c r="F397" s="7" t="s">
        <v>111</v>
      </c>
      <c r="G397" s="7" t="s">
        <v>29</v>
      </c>
      <c r="H397" s="7" t="s">
        <v>30</v>
      </c>
      <c r="I397" s="7">
        <v>4</v>
      </c>
      <c r="J397" s="8">
        <f>IFERROR(VLOOKUP(Tbl_Siparişler[[#This Row],[Kategori]]&amp;"-"&amp;Tbl_Siparişler[[#This Row],[Ürün Adı]],Tbl_Ürünler[],11,0)*Tbl_Siparişler[[#This Row],[Adet]],"")</f>
        <v>34741.199999999997</v>
      </c>
    </row>
    <row r="398" spans="2:10" ht="27" customHeight="1" x14ac:dyDescent="0.4">
      <c r="B398" s="9">
        <f>WEEKNUM(Tbl_Siparişler[[#This Row],[Sipariş Alınan Tarih]])</f>
        <v>4</v>
      </c>
      <c r="C398" s="6">
        <v>44216</v>
      </c>
      <c r="D398" s="7" t="s">
        <v>27</v>
      </c>
      <c r="E398" s="7">
        <v>17984</v>
      </c>
      <c r="F398" s="7" t="s">
        <v>108</v>
      </c>
      <c r="G398" s="7" t="s">
        <v>47</v>
      </c>
      <c r="H398" s="7" t="s">
        <v>48</v>
      </c>
      <c r="I398" s="7">
        <v>2</v>
      </c>
      <c r="J398" s="8">
        <f>IFERROR(VLOOKUP(Tbl_Siparişler[[#This Row],[Kategori]]&amp;"-"&amp;Tbl_Siparişler[[#This Row],[Ürün Adı]],Tbl_Ürünler[],11,0)*Tbl_Siparişler[[#This Row],[Adet]],"")</f>
        <v>16107</v>
      </c>
    </row>
    <row r="399" spans="2:10" ht="27" customHeight="1" x14ac:dyDescent="0.4">
      <c r="B399" s="9">
        <f>WEEKNUM(Tbl_Siparişler[[#This Row],[Sipariş Alınan Tarih]])</f>
        <v>43</v>
      </c>
      <c r="C399" s="6">
        <v>44487</v>
      </c>
      <c r="D399" s="7" t="s">
        <v>28</v>
      </c>
      <c r="E399" s="7">
        <v>73575</v>
      </c>
      <c r="F399" s="7" t="s">
        <v>108</v>
      </c>
      <c r="G399" s="7" t="s">
        <v>29</v>
      </c>
      <c r="H399" s="7" t="s">
        <v>42</v>
      </c>
      <c r="I399" s="7">
        <v>4</v>
      </c>
      <c r="J399" s="8">
        <f>IFERROR(VLOOKUP(Tbl_Siparişler[[#This Row],[Kategori]]&amp;"-"&amp;Tbl_Siparişler[[#This Row],[Ürün Adı]],Tbl_Ürünler[],11,0)*Tbl_Siparişler[[#This Row],[Adet]],"")</f>
        <v>56264</v>
      </c>
    </row>
    <row r="400" spans="2:10" ht="27" customHeight="1" x14ac:dyDescent="0.4">
      <c r="B400" s="9">
        <f>WEEKNUM(Tbl_Siparişler[[#This Row],[Sipariş Alınan Tarih]])</f>
        <v>40</v>
      </c>
      <c r="C400" s="6">
        <v>44466</v>
      </c>
      <c r="D400" s="7" t="s">
        <v>95</v>
      </c>
      <c r="E400" s="7">
        <v>54854</v>
      </c>
      <c r="F400" s="7" t="s">
        <v>112</v>
      </c>
      <c r="G400" s="7" t="s">
        <v>43</v>
      </c>
      <c r="H400" s="7" t="s">
        <v>44</v>
      </c>
      <c r="I400" s="7">
        <v>1</v>
      </c>
      <c r="J400" s="8">
        <f>IFERROR(VLOOKUP(Tbl_Siparişler[[#This Row],[Kategori]]&amp;"-"&amp;Tbl_Siparişler[[#This Row],[Ürün Adı]],Tbl_Ürünler[],11,0)*Tbl_Siparişler[[#This Row],[Adet]],"")</f>
        <v>8914.6</v>
      </c>
    </row>
    <row r="401" spans="2:10" ht="27" customHeight="1" x14ac:dyDescent="0.4">
      <c r="B401" s="9">
        <f>WEEKNUM(Tbl_Siparişler[[#This Row],[Sipariş Alınan Tarih]])</f>
        <v>52</v>
      </c>
      <c r="C401" s="6">
        <v>44555</v>
      </c>
      <c r="D401" s="7" t="s">
        <v>27</v>
      </c>
      <c r="E401" s="7">
        <v>39229</v>
      </c>
      <c r="F401" s="7" t="s">
        <v>112</v>
      </c>
      <c r="G401" s="7" t="s">
        <v>98</v>
      </c>
      <c r="H401" s="7" t="s">
        <v>103</v>
      </c>
      <c r="I401" s="7">
        <v>1</v>
      </c>
      <c r="J401" s="8">
        <f>IFERROR(VLOOKUP(Tbl_Siparişler[[#This Row],[Kategori]]&amp;"-"&amp;Tbl_Siparişler[[#This Row],[Ürün Adı]],Tbl_Ürünler[],11,0)*Tbl_Siparişler[[#This Row],[Adet]],"")</f>
        <v>5962.5</v>
      </c>
    </row>
    <row r="402" spans="2:10" ht="27" customHeight="1" x14ac:dyDescent="0.4">
      <c r="B402" s="9">
        <f>WEEKNUM(Tbl_Siparişler[[#This Row],[Sipariş Alınan Tarih]])</f>
        <v>48</v>
      </c>
      <c r="C402" s="6">
        <v>44526</v>
      </c>
      <c r="D402" s="7" t="s">
        <v>25</v>
      </c>
      <c r="E402" s="7">
        <v>26302</v>
      </c>
      <c r="F402" s="7" t="s">
        <v>110</v>
      </c>
      <c r="G402" s="7" t="s">
        <v>29</v>
      </c>
      <c r="H402" s="7" t="s">
        <v>41</v>
      </c>
      <c r="I402" s="7">
        <v>5</v>
      </c>
      <c r="J402" s="8">
        <f>IFERROR(VLOOKUP(Tbl_Siparişler[[#This Row],[Kategori]]&amp;"-"&amp;Tbl_Siparişler[[#This Row],[Ürün Adı]],Tbl_Ürünler[],11,0)*Tbl_Siparişler[[#This Row],[Adet]],"")</f>
        <v>63105</v>
      </c>
    </row>
    <row r="403" spans="2:10" ht="27" customHeight="1" x14ac:dyDescent="0.4">
      <c r="B403" s="9">
        <f>WEEKNUM(Tbl_Siparişler[[#This Row],[Sipariş Alınan Tarih]])</f>
        <v>20</v>
      </c>
      <c r="C403" s="6">
        <v>44325</v>
      </c>
      <c r="D403" s="7" t="s">
        <v>25</v>
      </c>
      <c r="E403" s="7">
        <v>99900</v>
      </c>
      <c r="F403" s="7" t="s">
        <v>117</v>
      </c>
      <c r="G403" s="7" t="s">
        <v>98</v>
      </c>
      <c r="H403" s="7" t="s">
        <v>99</v>
      </c>
      <c r="I403" s="7">
        <v>3</v>
      </c>
      <c r="J403" s="8">
        <f>IFERROR(VLOOKUP(Tbl_Siparişler[[#This Row],[Kategori]]&amp;"-"&amp;Tbl_Siparişler[[#This Row],[Ürün Adı]],Tbl_Ürünler[],11,0)*Tbl_Siparişler[[#This Row],[Adet]],"")</f>
        <v>12424.89</v>
      </c>
    </row>
    <row r="404" spans="2:10" ht="27" customHeight="1" x14ac:dyDescent="0.4">
      <c r="B404" s="9">
        <f>WEEKNUM(Tbl_Siparişler[[#This Row],[Sipariş Alınan Tarih]])</f>
        <v>7</v>
      </c>
      <c r="C404" s="6">
        <v>44239</v>
      </c>
      <c r="D404" s="7" t="s">
        <v>95</v>
      </c>
      <c r="E404" s="7">
        <v>86086</v>
      </c>
      <c r="F404" s="7" t="s">
        <v>112</v>
      </c>
      <c r="G404" s="7" t="s">
        <v>43</v>
      </c>
      <c r="H404" s="7" t="s">
        <v>50</v>
      </c>
      <c r="I404" s="7">
        <v>2</v>
      </c>
      <c r="J404" s="8">
        <f>IFERROR(VLOOKUP(Tbl_Siparişler[[#This Row],[Kategori]]&amp;"-"&amp;Tbl_Siparişler[[#This Row],[Ürün Adı]],Tbl_Ürünler[],11,0)*Tbl_Siparişler[[#This Row],[Adet]],"")</f>
        <v>12916.2</v>
      </c>
    </row>
    <row r="405" spans="2:10" ht="27" customHeight="1" x14ac:dyDescent="0.4">
      <c r="B405" s="9">
        <f>WEEKNUM(Tbl_Siparişler[[#This Row],[Sipariş Alınan Tarih]])</f>
        <v>47</v>
      </c>
      <c r="C405" s="6">
        <v>44514</v>
      </c>
      <c r="D405" s="7" t="s">
        <v>95</v>
      </c>
      <c r="E405" s="7">
        <v>99069</v>
      </c>
      <c r="F405" s="7" t="s">
        <v>117</v>
      </c>
      <c r="G405" s="7" t="s">
        <v>47</v>
      </c>
      <c r="H405" s="7" t="s">
        <v>48</v>
      </c>
      <c r="I405" s="7">
        <v>5</v>
      </c>
      <c r="J405" s="8">
        <f>IFERROR(VLOOKUP(Tbl_Siparişler[[#This Row],[Kategori]]&amp;"-"&amp;Tbl_Siparişler[[#This Row],[Ürün Adı]],Tbl_Ürünler[],11,0)*Tbl_Siparişler[[#This Row],[Adet]],"")</f>
        <v>40267.5</v>
      </c>
    </row>
    <row r="406" spans="2:10" ht="27" customHeight="1" x14ac:dyDescent="0.4">
      <c r="B406" s="9">
        <f>WEEKNUM(Tbl_Siparişler[[#This Row],[Sipariş Alınan Tarih]])</f>
        <v>24</v>
      </c>
      <c r="C406" s="6">
        <v>44359</v>
      </c>
      <c r="D406" s="7" t="s">
        <v>106</v>
      </c>
      <c r="E406" s="7">
        <v>89353</v>
      </c>
      <c r="F406" s="7" t="s">
        <v>116</v>
      </c>
      <c r="G406" s="7" t="s">
        <v>29</v>
      </c>
      <c r="H406" s="7" t="s">
        <v>41</v>
      </c>
      <c r="I406" s="7">
        <v>2</v>
      </c>
      <c r="J406" s="8">
        <f>IFERROR(VLOOKUP(Tbl_Siparişler[[#This Row],[Kategori]]&amp;"-"&amp;Tbl_Siparişler[[#This Row],[Ürün Adı]],Tbl_Ürünler[],11,0)*Tbl_Siparişler[[#This Row],[Adet]],"")</f>
        <v>25242</v>
      </c>
    </row>
    <row r="407" spans="2:10" ht="27" customHeight="1" x14ac:dyDescent="0.4">
      <c r="B407" s="9">
        <f>WEEKNUM(Tbl_Siparişler[[#This Row],[Sipariş Alınan Tarih]])</f>
        <v>19</v>
      </c>
      <c r="C407" s="6">
        <v>44321</v>
      </c>
      <c r="D407" s="7" t="s">
        <v>24</v>
      </c>
      <c r="E407" s="7">
        <v>81927</v>
      </c>
      <c r="F407" s="7" t="s">
        <v>114</v>
      </c>
      <c r="G407" s="7" t="s">
        <v>43</v>
      </c>
      <c r="H407" s="7" t="s">
        <v>46</v>
      </c>
      <c r="I407" s="7">
        <v>5</v>
      </c>
      <c r="J407" s="8">
        <f>IFERROR(VLOOKUP(Tbl_Siparişler[[#This Row],[Kategori]]&amp;"-"&amp;Tbl_Siparişler[[#This Row],[Ürün Adı]],Tbl_Ürünler[],11,0)*Tbl_Siparişler[[#This Row],[Adet]],"")</f>
        <v>66717</v>
      </c>
    </row>
    <row r="408" spans="2:10" ht="27" customHeight="1" x14ac:dyDescent="0.4">
      <c r="B408" s="9">
        <f>WEEKNUM(Tbl_Siparişler[[#This Row],[Sipariş Alınan Tarih]])</f>
        <v>39</v>
      </c>
      <c r="C408" s="6">
        <v>44463</v>
      </c>
      <c r="D408" s="7" t="s">
        <v>106</v>
      </c>
      <c r="E408" s="7">
        <v>80605</v>
      </c>
      <c r="F408" s="7" t="s">
        <v>117</v>
      </c>
      <c r="G408" s="7" t="s">
        <v>98</v>
      </c>
      <c r="H408" s="7" t="s">
        <v>100</v>
      </c>
      <c r="I408" s="7">
        <v>5</v>
      </c>
      <c r="J408" s="8">
        <f>IFERROR(VLOOKUP(Tbl_Siparişler[[#This Row],[Kategori]]&amp;"-"&amp;Tbl_Siparişler[[#This Row],[Ürün Adı]],Tbl_Ürünler[],11,0)*Tbl_Siparişler[[#This Row],[Adet]],"")</f>
        <v>46176</v>
      </c>
    </row>
    <row r="409" spans="2:10" ht="27" customHeight="1" x14ac:dyDescent="0.4">
      <c r="B409" s="9">
        <f>WEEKNUM(Tbl_Siparişler[[#This Row],[Sipariş Alınan Tarih]])</f>
        <v>42</v>
      </c>
      <c r="C409" s="6">
        <v>44480</v>
      </c>
      <c r="D409" s="7" t="s">
        <v>26</v>
      </c>
      <c r="E409" s="7">
        <v>42017</v>
      </c>
      <c r="F409" s="7" t="s">
        <v>108</v>
      </c>
      <c r="G409" s="7" t="s">
        <v>29</v>
      </c>
      <c r="H409" s="7" t="s">
        <v>30</v>
      </c>
      <c r="I409" s="7">
        <v>2</v>
      </c>
      <c r="J409" s="8">
        <f>IFERROR(VLOOKUP(Tbl_Siparişler[[#This Row],[Kategori]]&amp;"-"&amp;Tbl_Siparişler[[#This Row],[Ürün Adı]],Tbl_Ürünler[],11,0)*Tbl_Siparişler[[#This Row],[Adet]],"")</f>
        <v>17370.599999999999</v>
      </c>
    </row>
    <row r="410" spans="2:10" ht="27" customHeight="1" x14ac:dyDescent="0.4">
      <c r="B410" s="9">
        <f>WEEKNUM(Tbl_Siparişler[[#This Row],[Sipariş Alınan Tarih]])</f>
        <v>7</v>
      </c>
      <c r="C410" s="6">
        <v>44240</v>
      </c>
      <c r="D410" s="7" t="s">
        <v>106</v>
      </c>
      <c r="E410" s="7">
        <v>56517</v>
      </c>
      <c r="F410" s="7" t="s">
        <v>113</v>
      </c>
      <c r="G410" s="7" t="s">
        <v>98</v>
      </c>
      <c r="H410" s="7" t="s">
        <v>100</v>
      </c>
      <c r="I410" s="7">
        <v>4</v>
      </c>
      <c r="J410" s="8">
        <f>IFERROR(VLOOKUP(Tbl_Siparişler[[#This Row],[Kategori]]&amp;"-"&amp;Tbl_Siparişler[[#This Row],[Ürün Adı]],Tbl_Ürünler[],11,0)*Tbl_Siparişler[[#This Row],[Adet]],"")</f>
        <v>36940.800000000003</v>
      </c>
    </row>
    <row r="411" spans="2:10" ht="27" customHeight="1" x14ac:dyDescent="0.4">
      <c r="B411" s="9">
        <f>WEEKNUM(Tbl_Siparişler[[#This Row],[Sipariş Alınan Tarih]])</f>
        <v>3</v>
      </c>
      <c r="C411" s="6">
        <v>44208</v>
      </c>
      <c r="D411" s="7" t="s">
        <v>26</v>
      </c>
      <c r="E411" s="7">
        <v>35025</v>
      </c>
      <c r="F411" s="7" t="s">
        <v>116</v>
      </c>
      <c r="G411" s="7" t="s">
        <v>47</v>
      </c>
      <c r="H411" s="7" t="s">
        <v>49</v>
      </c>
      <c r="I411" s="7">
        <v>4</v>
      </c>
      <c r="J411" s="8">
        <f>IFERROR(VLOOKUP(Tbl_Siparişler[[#This Row],[Kategori]]&amp;"-"&amp;Tbl_Siparişler[[#This Row],[Ürün Adı]],Tbl_Ürünler[],11,0)*Tbl_Siparişler[[#This Row],[Adet]],"")</f>
        <v>38279</v>
      </c>
    </row>
    <row r="412" spans="2:10" ht="27" customHeight="1" x14ac:dyDescent="0.4">
      <c r="B412" s="9">
        <f>WEEKNUM(Tbl_Siparişler[[#This Row],[Sipariş Alınan Tarih]])</f>
        <v>21</v>
      </c>
      <c r="C412" s="6">
        <v>44338</v>
      </c>
      <c r="D412" s="7" t="s">
        <v>25</v>
      </c>
      <c r="E412" s="7">
        <v>32351</v>
      </c>
      <c r="F412" s="7" t="s">
        <v>115</v>
      </c>
      <c r="G412" s="7" t="s">
        <v>47</v>
      </c>
      <c r="H412" s="7" t="s">
        <v>48</v>
      </c>
      <c r="I412" s="7">
        <v>4</v>
      </c>
      <c r="J412" s="8">
        <f>IFERROR(VLOOKUP(Tbl_Siparişler[[#This Row],[Kategori]]&amp;"-"&amp;Tbl_Siparişler[[#This Row],[Ürün Adı]],Tbl_Ürünler[],11,0)*Tbl_Siparişler[[#This Row],[Adet]],"")</f>
        <v>32214</v>
      </c>
    </row>
    <row r="413" spans="2:10" ht="27" customHeight="1" x14ac:dyDescent="0.4">
      <c r="B413" s="9">
        <f>WEEKNUM(Tbl_Siparişler[[#This Row],[Sipariş Alınan Tarih]])</f>
        <v>7</v>
      </c>
      <c r="C413" s="6">
        <v>44239</v>
      </c>
      <c r="D413" s="7" t="s">
        <v>28</v>
      </c>
      <c r="E413" s="7">
        <v>73628</v>
      </c>
      <c r="F413" s="7" t="s">
        <v>115</v>
      </c>
      <c r="G413" s="7" t="s">
        <v>98</v>
      </c>
      <c r="H413" s="7" t="s">
        <v>99</v>
      </c>
      <c r="I413" s="7">
        <v>3</v>
      </c>
      <c r="J413" s="8">
        <f>IFERROR(VLOOKUP(Tbl_Siparişler[[#This Row],[Kategori]]&amp;"-"&amp;Tbl_Siparişler[[#This Row],[Ürün Adı]],Tbl_Ürünler[],11,0)*Tbl_Siparişler[[#This Row],[Adet]],"")</f>
        <v>12424.89</v>
      </c>
    </row>
    <row r="414" spans="2:10" ht="27" customHeight="1" x14ac:dyDescent="0.4">
      <c r="B414" s="9">
        <f>WEEKNUM(Tbl_Siparişler[[#This Row],[Sipariş Alınan Tarih]])</f>
        <v>44</v>
      </c>
      <c r="C414" s="6">
        <v>44495</v>
      </c>
      <c r="D414" s="7" t="s">
        <v>27</v>
      </c>
      <c r="E414" s="7">
        <v>85822</v>
      </c>
      <c r="F414" s="7" t="s">
        <v>111</v>
      </c>
      <c r="G414" s="7" t="s">
        <v>29</v>
      </c>
      <c r="H414" s="7" t="s">
        <v>30</v>
      </c>
      <c r="I414" s="7">
        <v>5</v>
      </c>
      <c r="J414" s="8">
        <f>IFERROR(VLOOKUP(Tbl_Siparişler[[#This Row],[Kategori]]&amp;"-"&amp;Tbl_Siparişler[[#This Row],[Ürün Adı]],Tbl_Ürünler[],11,0)*Tbl_Siparişler[[#This Row],[Adet]],"")</f>
        <v>43426.5</v>
      </c>
    </row>
    <row r="415" spans="2:10" ht="27" customHeight="1" x14ac:dyDescent="0.4">
      <c r="B415" s="9">
        <f>WEEKNUM(Tbl_Siparişler[[#This Row],[Sipariş Alınan Tarih]])</f>
        <v>22</v>
      </c>
      <c r="C415" s="6">
        <v>44342</v>
      </c>
      <c r="D415" s="7" t="s">
        <v>28</v>
      </c>
      <c r="E415" s="7">
        <v>17269</v>
      </c>
      <c r="F415" s="7" t="s">
        <v>117</v>
      </c>
      <c r="G415" s="7" t="s">
        <v>43</v>
      </c>
      <c r="H415" s="7" t="s">
        <v>44</v>
      </c>
      <c r="I415" s="7">
        <v>1</v>
      </c>
      <c r="J415" s="8">
        <f>IFERROR(VLOOKUP(Tbl_Siparişler[[#This Row],[Kategori]]&amp;"-"&amp;Tbl_Siparişler[[#This Row],[Ürün Adı]],Tbl_Ürünler[],11,0)*Tbl_Siparişler[[#This Row],[Adet]],"")</f>
        <v>8914.6</v>
      </c>
    </row>
    <row r="416" spans="2:10" ht="27" customHeight="1" x14ac:dyDescent="0.4">
      <c r="B416" s="9">
        <f>WEEKNUM(Tbl_Siparişler[[#This Row],[Sipariş Alınan Tarih]])</f>
        <v>35</v>
      </c>
      <c r="C416" s="6">
        <v>44434</v>
      </c>
      <c r="D416" s="7" t="s">
        <v>24</v>
      </c>
      <c r="E416" s="7">
        <v>23285</v>
      </c>
      <c r="F416" s="7" t="s">
        <v>118</v>
      </c>
      <c r="G416" s="7" t="s">
        <v>98</v>
      </c>
      <c r="H416" s="7" t="s">
        <v>100</v>
      </c>
      <c r="I416" s="7">
        <v>1</v>
      </c>
      <c r="J416" s="8">
        <f>IFERROR(VLOOKUP(Tbl_Siparişler[[#This Row],[Kategori]]&amp;"-"&amp;Tbl_Siparişler[[#This Row],[Ürün Adı]],Tbl_Ürünler[],11,0)*Tbl_Siparişler[[#This Row],[Adet]],"")</f>
        <v>9235.2000000000007</v>
      </c>
    </row>
    <row r="417" spans="2:10" ht="27" customHeight="1" x14ac:dyDescent="0.4">
      <c r="B417" s="9">
        <f>WEEKNUM(Tbl_Siparişler[[#This Row],[Sipariş Alınan Tarih]])</f>
        <v>18</v>
      </c>
      <c r="C417" s="6">
        <v>44311</v>
      </c>
      <c r="D417" s="7" t="s">
        <v>27</v>
      </c>
      <c r="E417" s="7">
        <v>80164</v>
      </c>
      <c r="F417" s="7" t="s">
        <v>108</v>
      </c>
      <c r="G417" s="7" t="s">
        <v>43</v>
      </c>
      <c r="H417" s="7" t="s">
        <v>44</v>
      </c>
      <c r="I417" s="7">
        <v>1</v>
      </c>
      <c r="J417" s="8">
        <f>IFERROR(VLOOKUP(Tbl_Siparişler[[#This Row],[Kategori]]&amp;"-"&amp;Tbl_Siparişler[[#This Row],[Ürün Adı]],Tbl_Ürünler[],11,0)*Tbl_Siparişler[[#This Row],[Adet]],"")</f>
        <v>8914.6</v>
      </c>
    </row>
    <row r="418" spans="2:10" ht="27" customHeight="1" x14ac:dyDescent="0.4">
      <c r="B418" s="9">
        <f>WEEKNUM(Tbl_Siparişler[[#This Row],[Sipariş Alınan Tarih]])</f>
        <v>16</v>
      </c>
      <c r="C418" s="6">
        <v>44303</v>
      </c>
      <c r="D418" s="7" t="s">
        <v>25</v>
      </c>
      <c r="E418" s="7">
        <v>63437</v>
      </c>
      <c r="F418" s="7" t="s">
        <v>114</v>
      </c>
      <c r="G418" s="7" t="s">
        <v>47</v>
      </c>
      <c r="H418" s="7" t="s">
        <v>49</v>
      </c>
      <c r="I418" s="7">
        <v>5</v>
      </c>
      <c r="J418" s="8">
        <f>IFERROR(VLOOKUP(Tbl_Siparişler[[#This Row],[Kategori]]&amp;"-"&amp;Tbl_Siparişler[[#This Row],[Ürün Adı]],Tbl_Ürünler[],11,0)*Tbl_Siparişler[[#This Row],[Adet]],"")</f>
        <v>47848.75</v>
      </c>
    </row>
    <row r="419" spans="2:10" ht="27" customHeight="1" x14ac:dyDescent="0.4">
      <c r="B419" s="9">
        <f>WEEKNUM(Tbl_Siparişler[[#This Row],[Sipariş Alınan Tarih]])</f>
        <v>23</v>
      </c>
      <c r="C419" s="6">
        <v>44351</v>
      </c>
      <c r="D419" s="7" t="s">
        <v>26</v>
      </c>
      <c r="E419" s="7">
        <v>41464</v>
      </c>
      <c r="F419" s="7" t="s">
        <v>108</v>
      </c>
      <c r="G419" s="7" t="s">
        <v>98</v>
      </c>
      <c r="H419" s="7" t="s">
        <v>100</v>
      </c>
      <c r="I419" s="7">
        <v>3</v>
      </c>
      <c r="J419" s="8">
        <f>IFERROR(VLOOKUP(Tbl_Siparişler[[#This Row],[Kategori]]&amp;"-"&amp;Tbl_Siparişler[[#This Row],[Ürün Adı]],Tbl_Ürünler[],11,0)*Tbl_Siparişler[[#This Row],[Adet]],"")</f>
        <v>27705.600000000002</v>
      </c>
    </row>
    <row r="420" spans="2:10" ht="27" customHeight="1" x14ac:dyDescent="0.4">
      <c r="B420" s="9">
        <f>WEEKNUM(Tbl_Siparişler[[#This Row],[Sipariş Alınan Tarih]])</f>
        <v>17</v>
      </c>
      <c r="C420" s="6">
        <v>44308</v>
      </c>
      <c r="D420" s="7" t="s">
        <v>25</v>
      </c>
      <c r="E420" s="7">
        <v>21625</v>
      </c>
      <c r="F420" s="7" t="s">
        <v>108</v>
      </c>
      <c r="G420" s="7" t="s">
        <v>43</v>
      </c>
      <c r="H420" s="7" t="s">
        <v>46</v>
      </c>
      <c r="I420" s="7">
        <v>2</v>
      </c>
      <c r="J420" s="8">
        <f>IFERROR(VLOOKUP(Tbl_Siparişler[[#This Row],[Kategori]]&amp;"-"&amp;Tbl_Siparişler[[#This Row],[Ürün Adı]],Tbl_Ürünler[],11,0)*Tbl_Siparişler[[#This Row],[Adet]],"")</f>
        <v>26686.800000000003</v>
      </c>
    </row>
    <row r="421" spans="2:10" ht="27" customHeight="1" x14ac:dyDescent="0.4">
      <c r="B421" s="9">
        <f>WEEKNUM(Tbl_Siparişler[[#This Row],[Sipariş Alınan Tarih]])</f>
        <v>10</v>
      </c>
      <c r="C421" s="6">
        <v>44259</v>
      </c>
      <c r="D421" s="7" t="s">
        <v>24</v>
      </c>
      <c r="E421" s="7">
        <v>66223</v>
      </c>
      <c r="F421" s="7" t="s">
        <v>111</v>
      </c>
      <c r="G421" s="7" t="s">
        <v>47</v>
      </c>
      <c r="H421" s="7" t="s">
        <v>48</v>
      </c>
      <c r="I421" s="7">
        <v>4</v>
      </c>
      <c r="J421" s="8">
        <f>IFERROR(VLOOKUP(Tbl_Siparişler[[#This Row],[Kategori]]&amp;"-"&amp;Tbl_Siparişler[[#This Row],[Ürün Adı]],Tbl_Ürünler[],11,0)*Tbl_Siparişler[[#This Row],[Adet]],"")</f>
        <v>32214</v>
      </c>
    </row>
    <row r="422" spans="2:10" ht="27" customHeight="1" x14ac:dyDescent="0.4">
      <c r="B422" s="9">
        <f>WEEKNUM(Tbl_Siparişler[[#This Row],[Sipariş Alınan Tarih]])</f>
        <v>27</v>
      </c>
      <c r="C422" s="6">
        <v>44375</v>
      </c>
      <c r="D422" s="7" t="s">
        <v>28</v>
      </c>
      <c r="E422" s="7">
        <v>46931</v>
      </c>
      <c r="F422" s="7" t="s">
        <v>111</v>
      </c>
      <c r="G422" s="7" t="s">
        <v>43</v>
      </c>
      <c r="H422" s="7" t="s">
        <v>45</v>
      </c>
      <c r="I422" s="7">
        <v>4</v>
      </c>
      <c r="J422" s="8">
        <f>IFERROR(VLOOKUP(Tbl_Siparişler[[#This Row],[Kategori]]&amp;"-"&amp;Tbl_Siparişler[[#This Row],[Ürün Adı]],Tbl_Ürünler[],11,0)*Tbl_Siparişler[[#This Row],[Adet]],"")</f>
        <v>38637.599999999999</v>
      </c>
    </row>
    <row r="423" spans="2:10" ht="27" customHeight="1" x14ac:dyDescent="0.4">
      <c r="B423" s="9">
        <f>WEEKNUM(Tbl_Siparişler[[#This Row],[Sipariş Alınan Tarih]])</f>
        <v>53</v>
      </c>
      <c r="C423" s="6">
        <v>44558</v>
      </c>
      <c r="D423" s="7" t="s">
        <v>95</v>
      </c>
      <c r="E423" s="7">
        <v>41065</v>
      </c>
      <c r="F423" s="7" t="s">
        <v>107</v>
      </c>
      <c r="G423" s="7" t="s">
        <v>47</v>
      </c>
      <c r="H423" s="7" t="s">
        <v>48</v>
      </c>
      <c r="I423" s="7">
        <v>4</v>
      </c>
      <c r="J423" s="8">
        <f>IFERROR(VLOOKUP(Tbl_Siparişler[[#This Row],[Kategori]]&amp;"-"&amp;Tbl_Siparişler[[#This Row],[Ürün Adı]],Tbl_Ürünler[],11,0)*Tbl_Siparişler[[#This Row],[Adet]],"")</f>
        <v>32214</v>
      </c>
    </row>
    <row r="424" spans="2:10" ht="27" customHeight="1" x14ac:dyDescent="0.4">
      <c r="B424" s="9">
        <f>WEEKNUM(Tbl_Siparişler[[#This Row],[Sipariş Alınan Tarih]])</f>
        <v>8</v>
      </c>
      <c r="C424" s="6">
        <v>44243</v>
      </c>
      <c r="D424" s="7" t="s">
        <v>27</v>
      </c>
      <c r="E424" s="7">
        <v>54264</v>
      </c>
      <c r="F424" s="7" t="s">
        <v>111</v>
      </c>
      <c r="G424" s="7" t="s">
        <v>47</v>
      </c>
      <c r="H424" s="7" t="s">
        <v>48</v>
      </c>
      <c r="I424" s="7">
        <v>4</v>
      </c>
      <c r="J424" s="8">
        <f>IFERROR(VLOOKUP(Tbl_Siparişler[[#This Row],[Kategori]]&amp;"-"&amp;Tbl_Siparişler[[#This Row],[Ürün Adı]],Tbl_Ürünler[],11,0)*Tbl_Siparişler[[#This Row],[Adet]],"")</f>
        <v>32214</v>
      </c>
    </row>
    <row r="425" spans="2:10" ht="27" customHeight="1" x14ac:dyDescent="0.4">
      <c r="B425" s="9">
        <f>WEEKNUM(Tbl_Siparişler[[#This Row],[Sipariş Alınan Tarih]])</f>
        <v>46</v>
      </c>
      <c r="C425" s="6">
        <v>44508</v>
      </c>
      <c r="D425" s="7" t="s">
        <v>24</v>
      </c>
      <c r="E425" s="7">
        <v>30033</v>
      </c>
      <c r="F425" s="7" t="s">
        <v>117</v>
      </c>
      <c r="G425" s="7" t="s">
        <v>43</v>
      </c>
      <c r="H425" s="7" t="s">
        <v>44</v>
      </c>
      <c r="I425" s="7">
        <v>1</v>
      </c>
      <c r="J425" s="8">
        <f>IFERROR(VLOOKUP(Tbl_Siparişler[[#This Row],[Kategori]]&amp;"-"&amp;Tbl_Siparişler[[#This Row],[Ürün Adı]],Tbl_Ürünler[],11,0)*Tbl_Siparişler[[#This Row],[Adet]],"")</f>
        <v>8914.6</v>
      </c>
    </row>
    <row r="426" spans="2:10" ht="27" customHeight="1" x14ac:dyDescent="0.4">
      <c r="B426" s="9">
        <f>WEEKNUM(Tbl_Siparişler[[#This Row],[Sipariş Alınan Tarih]])</f>
        <v>19</v>
      </c>
      <c r="C426" s="6">
        <v>44324</v>
      </c>
      <c r="D426" s="7" t="s">
        <v>25</v>
      </c>
      <c r="E426" s="7">
        <v>55414</v>
      </c>
      <c r="F426" s="7" t="s">
        <v>107</v>
      </c>
      <c r="G426" s="7" t="s">
        <v>98</v>
      </c>
      <c r="H426" s="7" t="s">
        <v>100</v>
      </c>
      <c r="I426" s="7">
        <v>3</v>
      </c>
      <c r="J426" s="8">
        <f>IFERROR(VLOOKUP(Tbl_Siparişler[[#This Row],[Kategori]]&amp;"-"&amp;Tbl_Siparişler[[#This Row],[Ürün Adı]],Tbl_Ürünler[],11,0)*Tbl_Siparişler[[#This Row],[Adet]],"")</f>
        <v>27705.600000000002</v>
      </c>
    </row>
    <row r="427" spans="2:10" ht="27" customHeight="1" x14ac:dyDescent="0.4">
      <c r="B427" s="9">
        <f>WEEKNUM(Tbl_Siparişler[[#This Row],[Sipariş Alınan Tarih]])</f>
        <v>39</v>
      </c>
      <c r="C427" s="6">
        <v>44460</v>
      </c>
      <c r="D427" s="7" t="s">
        <v>24</v>
      </c>
      <c r="E427" s="7">
        <v>12175</v>
      </c>
      <c r="F427" s="7" t="s">
        <v>117</v>
      </c>
      <c r="G427" s="7" t="s">
        <v>43</v>
      </c>
      <c r="H427" s="7" t="s">
        <v>45</v>
      </c>
      <c r="I427" s="7">
        <v>2</v>
      </c>
      <c r="J427" s="8">
        <f>IFERROR(VLOOKUP(Tbl_Siparişler[[#This Row],[Kategori]]&amp;"-"&amp;Tbl_Siparişler[[#This Row],[Ürün Adı]],Tbl_Ürünler[],11,0)*Tbl_Siparişler[[#This Row],[Adet]],"")</f>
        <v>19318.8</v>
      </c>
    </row>
    <row r="428" spans="2:10" ht="27" customHeight="1" x14ac:dyDescent="0.4">
      <c r="B428" s="9">
        <f>WEEKNUM(Tbl_Siparişler[[#This Row],[Sipariş Alınan Tarih]])</f>
        <v>14</v>
      </c>
      <c r="C428" s="6">
        <v>44287</v>
      </c>
      <c r="D428" s="7" t="s">
        <v>27</v>
      </c>
      <c r="E428" s="7">
        <v>46907</v>
      </c>
      <c r="F428" s="7" t="s">
        <v>109</v>
      </c>
      <c r="G428" s="7" t="s">
        <v>47</v>
      </c>
      <c r="H428" s="7" t="s">
        <v>49</v>
      </c>
      <c r="I428" s="7">
        <v>2</v>
      </c>
      <c r="J428" s="8">
        <f>IFERROR(VLOOKUP(Tbl_Siparişler[[#This Row],[Kategori]]&amp;"-"&amp;Tbl_Siparişler[[#This Row],[Ürün Adı]],Tbl_Ürünler[],11,0)*Tbl_Siparişler[[#This Row],[Adet]],"")</f>
        <v>19139.5</v>
      </c>
    </row>
    <row r="429" spans="2:10" ht="27" customHeight="1" x14ac:dyDescent="0.4">
      <c r="B429" s="9">
        <f>WEEKNUM(Tbl_Siparişler[[#This Row],[Sipariş Alınan Tarih]])</f>
        <v>6</v>
      </c>
      <c r="C429" s="6">
        <v>44233</v>
      </c>
      <c r="D429" s="7" t="s">
        <v>95</v>
      </c>
      <c r="E429" s="7">
        <v>87691</v>
      </c>
      <c r="F429" s="7" t="s">
        <v>117</v>
      </c>
      <c r="G429" s="7" t="s">
        <v>43</v>
      </c>
      <c r="H429" s="7" t="s">
        <v>44</v>
      </c>
      <c r="I429" s="7">
        <v>2</v>
      </c>
      <c r="J429" s="8">
        <f>IFERROR(VLOOKUP(Tbl_Siparişler[[#This Row],[Kategori]]&amp;"-"&amp;Tbl_Siparişler[[#This Row],[Ürün Adı]],Tbl_Ürünler[],11,0)*Tbl_Siparişler[[#This Row],[Adet]],"")</f>
        <v>17829.2</v>
      </c>
    </row>
    <row r="430" spans="2:10" ht="27" customHeight="1" x14ac:dyDescent="0.4">
      <c r="B430" s="9">
        <f>WEEKNUM(Tbl_Siparişler[[#This Row],[Sipariş Alınan Tarih]])</f>
        <v>38</v>
      </c>
      <c r="C430" s="6">
        <v>44455</v>
      </c>
      <c r="D430" s="7" t="s">
        <v>95</v>
      </c>
      <c r="E430" s="7">
        <v>82213</v>
      </c>
      <c r="F430" s="7" t="s">
        <v>117</v>
      </c>
      <c r="G430" s="7" t="s">
        <v>43</v>
      </c>
      <c r="H430" s="7" t="s">
        <v>45</v>
      </c>
      <c r="I430" s="7">
        <v>1</v>
      </c>
      <c r="J430" s="8">
        <f>IFERROR(VLOOKUP(Tbl_Siparişler[[#This Row],[Kategori]]&amp;"-"&amp;Tbl_Siparişler[[#This Row],[Ürün Adı]],Tbl_Ürünler[],11,0)*Tbl_Siparişler[[#This Row],[Adet]],"")</f>
        <v>9659.4</v>
      </c>
    </row>
    <row r="431" spans="2:10" ht="27" customHeight="1" x14ac:dyDescent="0.4">
      <c r="B431" s="9">
        <f>WEEKNUM(Tbl_Siparişler[[#This Row],[Sipariş Alınan Tarih]])</f>
        <v>31</v>
      </c>
      <c r="C431" s="6">
        <v>44403</v>
      </c>
      <c r="D431" s="7" t="s">
        <v>27</v>
      </c>
      <c r="E431" s="7">
        <v>18728</v>
      </c>
      <c r="F431" s="7" t="s">
        <v>111</v>
      </c>
      <c r="G431" s="7" t="s">
        <v>47</v>
      </c>
      <c r="H431" s="7" t="s">
        <v>48</v>
      </c>
      <c r="I431" s="7">
        <v>3</v>
      </c>
      <c r="J431" s="8">
        <f>IFERROR(VLOOKUP(Tbl_Siparişler[[#This Row],[Kategori]]&amp;"-"&amp;Tbl_Siparişler[[#This Row],[Ürün Adı]],Tbl_Ürünler[],11,0)*Tbl_Siparişler[[#This Row],[Adet]],"")</f>
        <v>24160.5</v>
      </c>
    </row>
    <row r="432" spans="2:10" ht="27" customHeight="1" x14ac:dyDescent="0.4">
      <c r="B432" s="9">
        <f>WEEKNUM(Tbl_Siparişler[[#This Row],[Sipariş Alınan Tarih]])</f>
        <v>9</v>
      </c>
      <c r="C432" s="6">
        <v>44253</v>
      </c>
      <c r="D432" s="7" t="s">
        <v>26</v>
      </c>
      <c r="E432" s="7">
        <v>31106</v>
      </c>
      <c r="F432" s="7" t="s">
        <v>114</v>
      </c>
      <c r="G432" s="7" t="s">
        <v>43</v>
      </c>
      <c r="H432" s="7" t="s">
        <v>46</v>
      </c>
      <c r="I432" s="7">
        <v>2</v>
      </c>
      <c r="J432" s="8">
        <f>IFERROR(VLOOKUP(Tbl_Siparişler[[#This Row],[Kategori]]&amp;"-"&amp;Tbl_Siparişler[[#This Row],[Ürün Adı]],Tbl_Ürünler[],11,0)*Tbl_Siparişler[[#This Row],[Adet]],"")</f>
        <v>26686.800000000003</v>
      </c>
    </row>
    <row r="433" spans="2:10" ht="27" customHeight="1" x14ac:dyDescent="0.4">
      <c r="B433" s="9">
        <f>WEEKNUM(Tbl_Siparişler[[#This Row],[Sipariş Alınan Tarih]])</f>
        <v>52</v>
      </c>
      <c r="C433" s="6">
        <v>44552</v>
      </c>
      <c r="D433" s="7" t="s">
        <v>25</v>
      </c>
      <c r="E433" s="7">
        <v>68973</v>
      </c>
      <c r="F433" s="7" t="s">
        <v>114</v>
      </c>
      <c r="G433" s="7" t="s">
        <v>98</v>
      </c>
      <c r="H433" s="7" t="s">
        <v>100</v>
      </c>
      <c r="I433" s="7">
        <v>4</v>
      </c>
      <c r="J433" s="8">
        <f>IFERROR(VLOOKUP(Tbl_Siparişler[[#This Row],[Kategori]]&amp;"-"&amp;Tbl_Siparişler[[#This Row],[Ürün Adı]],Tbl_Ürünler[],11,0)*Tbl_Siparişler[[#This Row],[Adet]],"")</f>
        <v>36940.800000000003</v>
      </c>
    </row>
    <row r="434" spans="2:10" ht="27" customHeight="1" x14ac:dyDescent="0.4">
      <c r="B434" s="9">
        <f>WEEKNUM(Tbl_Siparişler[[#This Row],[Sipariş Alınan Tarih]])</f>
        <v>36</v>
      </c>
      <c r="C434" s="6">
        <v>44442</v>
      </c>
      <c r="D434" s="7" t="s">
        <v>24</v>
      </c>
      <c r="E434" s="7">
        <v>68832</v>
      </c>
      <c r="F434" s="7" t="s">
        <v>117</v>
      </c>
      <c r="G434" s="7" t="s">
        <v>29</v>
      </c>
      <c r="H434" s="7" t="s">
        <v>30</v>
      </c>
      <c r="I434" s="7">
        <v>5</v>
      </c>
      <c r="J434" s="8">
        <f>IFERROR(VLOOKUP(Tbl_Siparişler[[#This Row],[Kategori]]&amp;"-"&amp;Tbl_Siparişler[[#This Row],[Ürün Adı]],Tbl_Ürünler[],11,0)*Tbl_Siparişler[[#This Row],[Adet]],"")</f>
        <v>43426.5</v>
      </c>
    </row>
    <row r="435" spans="2:10" ht="27" customHeight="1" x14ac:dyDescent="0.4">
      <c r="B435" s="9">
        <f>WEEKNUM(Tbl_Siparişler[[#This Row],[Sipariş Alınan Tarih]])</f>
        <v>12</v>
      </c>
      <c r="C435" s="6">
        <v>44271</v>
      </c>
      <c r="D435" s="7" t="s">
        <v>28</v>
      </c>
      <c r="E435" s="7">
        <v>33391</v>
      </c>
      <c r="F435" s="7" t="s">
        <v>116</v>
      </c>
      <c r="G435" s="7" t="s">
        <v>98</v>
      </c>
      <c r="H435" s="7" t="s">
        <v>100</v>
      </c>
      <c r="I435" s="7">
        <v>2</v>
      </c>
      <c r="J435" s="8">
        <f>IFERROR(VLOOKUP(Tbl_Siparişler[[#This Row],[Kategori]]&amp;"-"&amp;Tbl_Siparişler[[#This Row],[Ürün Adı]],Tbl_Ürünler[],11,0)*Tbl_Siparişler[[#This Row],[Adet]],"")</f>
        <v>18470.400000000001</v>
      </c>
    </row>
    <row r="436" spans="2:10" ht="27" customHeight="1" x14ac:dyDescent="0.4">
      <c r="B436" s="9">
        <f>WEEKNUM(Tbl_Siparişler[[#This Row],[Sipariş Alınan Tarih]])</f>
        <v>24</v>
      </c>
      <c r="C436" s="6">
        <v>44353</v>
      </c>
      <c r="D436" s="7" t="s">
        <v>95</v>
      </c>
      <c r="E436" s="7">
        <v>80219</v>
      </c>
      <c r="F436" s="7" t="s">
        <v>107</v>
      </c>
      <c r="G436" s="7" t="s">
        <v>43</v>
      </c>
      <c r="H436" s="7" t="s">
        <v>46</v>
      </c>
      <c r="I436" s="7">
        <v>3</v>
      </c>
      <c r="J436" s="8">
        <f>IFERROR(VLOOKUP(Tbl_Siparişler[[#This Row],[Kategori]]&amp;"-"&amp;Tbl_Siparişler[[#This Row],[Ürün Adı]],Tbl_Ürünler[],11,0)*Tbl_Siparişler[[#This Row],[Adet]],"")</f>
        <v>40030.200000000004</v>
      </c>
    </row>
    <row r="437" spans="2:10" ht="27" customHeight="1" x14ac:dyDescent="0.4">
      <c r="B437" s="9">
        <f>WEEKNUM(Tbl_Siparişler[[#This Row],[Sipariş Alınan Tarih]])</f>
        <v>10</v>
      </c>
      <c r="C437" s="6">
        <v>44257</v>
      </c>
      <c r="D437" s="7" t="s">
        <v>25</v>
      </c>
      <c r="E437" s="7">
        <v>99150</v>
      </c>
      <c r="F437" s="7" t="s">
        <v>107</v>
      </c>
      <c r="G437" s="7" t="s">
        <v>43</v>
      </c>
      <c r="H437" s="7" t="s">
        <v>50</v>
      </c>
      <c r="I437" s="7">
        <v>2</v>
      </c>
      <c r="J437" s="8">
        <f>IFERROR(VLOOKUP(Tbl_Siparişler[[#This Row],[Kategori]]&amp;"-"&amp;Tbl_Siparişler[[#This Row],[Ürün Adı]],Tbl_Ürünler[],11,0)*Tbl_Siparişler[[#This Row],[Adet]],"")</f>
        <v>12916.2</v>
      </c>
    </row>
    <row r="438" spans="2:10" ht="27" customHeight="1" x14ac:dyDescent="0.4">
      <c r="B438" s="9">
        <f>WEEKNUM(Tbl_Siparişler[[#This Row],[Sipariş Alınan Tarih]])</f>
        <v>6</v>
      </c>
      <c r="C438" s="6">
        <v>44232</v>
      </c>
      <c r="D438" s="7" t="s">
        <v>27</v>
      </c>
      <c r="E438" s="7">
        <v>34487</v>
      </c>
      <c r="F438" s="7" t="s">
        <v>113</v>
      </c>
      <c r="G438" s="7" t="s">
        <v>43</v>
      </c>
      <c r="H438" s="7" t="s">
        <v>44</v>
      </c>
      <c r="I438" s="7">
        <v>3</v>
      </c>
      <c r="J438" s="8">
        <f>IFERROR(VLOOKUP(Tbl_Siparişler[[#This Row],[Kategori]]&amp;"-"&amp;Tbl_Siparişler[[#This Row],[Ürün Adı]],Tbl_Ürünler[],11,0)*Tbl_Siparişler[[#This Row],[Adet]],"")</f>
        <v>26743.800000000003</v>
      </c>
    </row>
    <row r="439" spans="2:10" ht="27" customHeight="1" x14ac:dyDescent="0.4">
      <c r="B439" s="9">
        <f>WEEKNUM(Tbl_Siparişler[[#This Row],[Sipariş Alınan Tarih]])</f>
        <v>33</v>
      </c>
      <c r="C439" s="6">
        <v>44416</v>
      </c>
      <c r="D439" s="7" t="s">
        <v>27</v>
      </c>
      <c r="E439" s="7">
        <v>27280</v>
      </c>
      <c r="F439" s="7" t="s">
        <v>117</v>
      </c>
      <c r="G439" s="7" t="s">
        <v>47</v>
      </c>
      <c r="H439" s="7" t="s">
        <v>48</v>
      </c>
      <c r="I439" s="7">
        <v>3</v>
      </c>
      <c r="J439" s="8">
        <f>IFERROR(VLOOKUP(Tbl_Siparişler[[#This Row],[Kategori]]&amp;"-"&amp;Tbl_Siparişler[[#This Row],[Ürün Adı]],Tbl_Ürünler[],11,0)*Tbl_Siparişler[[#This Row],[Adet]],"")</f>
        <v>24160.5</v>
      </c>
    </row>
    <row r="440" spans="2:10" ht="27" customHeight="1" x14ac:dyDescent="0.4">
      <c r="B440" s="9">
        <f>WEEKNUM(Tbl_Siparişler[[#This Row],[Sipariş Alınan Tarih]])</f>
        <v>11</v>
      </c>
      <c r="C440" s="6">
        <v>44263</v>
      </c>
      <c r="D440" s="7" t="s">
        <v>24</v>
      </c>
      <c r="E440" s="7">
        <v>19868</v>
      </c>
      <c r="F440" s="7" t="s">
        <v>113</v>
      </c>
      <c r="G440" s="7" t="s">
        <v>43</v>
      </c>
      <c r="H440" s="7" t="s">
        <v>44</v>
      </c>
      <c r="I440" s="7">
        <v>5</v>
      </c>
      <c r="J440" s="8">
        <f>IFERROR(VLOOKUP(Tbl_Siparişler[[#This Row],[Kategori]]&amp;"-"&amp;Tbl_Siparişler[[#This Row],[Ürün Adı]],Tbl_Ürünler[],11,0)*Tbl_Siparişler[[#This Row],[Adet]],"")</f>
        <v>44573</v>
      </c>
    </row>
    <row r="441" spans="2:10" ht="27" customHeight="1" x14ac:dyDescent="0.4">
      <c r="B441" s="9">
        <f>WEEKNUM(Tbl_Siparişler[[#This Row],[Sipariş Alınan Tarih]])</f>
        <v>50</v>
      </c>
      <c r="C441" s="6">
        <v>44537</v>
      </c>
      <c r="D441" s="7" t="s">
        <v>25</v>
      </c>
      <c r="E441" s="7">
        <v>19841</v>
      </c>
      <c r="F441" s="7" t="s">
        <v>109</v>
      </c>
      <c r="G441" s="7" t="s">
        <v>43</v>
      </c>
      <c r="H441" s="7" t="s">
        <v>46</v>
      </c>
      <c r="I441" s="7">
        <v>3</v>
      </c>
      <c r="J441" s="8">
        <f>IFERROR(VLOOKUP(Tbl_Siparişler[[#This Row],[Kategori]]&amp;"-"&amp;Tbl_Siparişler[[#This Row],[Ürün Adı]],Tbl_Ürünler[],11,0)*Tbl_Siparişler[[#This Row],[Adet]],"")</f>
        <v>40030.200000000004</v>
      </c>
    </row>
    <row r="442" spans="2:10" ht="27" customHeight="1" x14ac:dyDescent="0.4">
      <c r="B442" s="9">
        <f>WEEKNUM(Tbl_Siparişler[[#This Row],[Sipariş Alınan Tarih]])</f>
        <v>3</v>
      </c>
      <c r="C442" s="6">
        <v>44207</v>
      </c>
      <c r="D442" s="7" t="s">
        <v>95</v>
      </c>
      <c r="E442" s="7">
        <v>11710</v>
      </c>
      <c r="F442" s="7" t="s">
        <v>118</v>
      </c>
      <c r="G442" s="7" t="s">
        <v>98</v>
      </c>
      <c r="H442" s="7" t="s">
        <v>99</v>
      </c>
      <c r="I442" s="7">
        <v>4</v>
      </c>
      <c r="J442" s="8">
        <f>IFERROR(VLOOKUP(Tbl_Siparişler[[#This Row],[Kategori]]&amp;"-"&amp;Tbl_Siparişler[[#This Row],[Ürün Adı]],Tbl_Ürünler[],11,0)*Tbl_Siparişler[[#This Row],[Adet]],"")</f>
        <v>16566.52</v>
      </c>
    </row>
    <row r="443" spans="2:10" ht="27" customHeight="1" x14ac:dyDescent="0.4">
      <c r="B443" s="9">
        <f>WEEKNUM(Tbl_Siparişler[[#This Row],[Sipariş Alınan Tarih]])</f>
        <v>18</v>
      </c>
      <c r="C443" s="6">
        <v>44311</v>
      </c>
      <c r="D443" s="7" t="s">
        <v>24</v>
      </c>
      <c r="E443" s="7">
        <v>88142</v>
      </c>
      <c r="F443" s="7" t="s">
        <v>109</v>
      </c>
      <c r="G443" s="7" t="s">
        <v>29</v>
      </c>
      <c r="H443" s="7" t="s">
        <v>37</v>
      </c>
      <c r="I443" s="7">
        <v>2</v>
      </c>
      <c r="J443" s="8">
        <f>IFERROR(VLOOKUP(Tbl_Siparişler[[#This Row],[Kategori]]&amp;"-"&amp;Tbl_Siparişler[[#This Row],[Ürün Adı]],Tbl_Ürünler[],11,0)*Tbl_Siparişler[[#This Row],[Adet]],"")</f>
        <v>19600.900000000001</v>
      </c>
    </row>
    <row r="444" spans="2:10" ht="27" customHeight="1" x14ac:dyDescent="0.4">
      <c r="B444" s="9">
        <f>WEEKNUM(Tbl_Siparişler[[#This Row],[Sipariş Alınan Tarih]])</f>
        <v>4</v>
      </c>
      <c r="C444" s="6">
        <v>44217</v>
      </c>
      <c r="D444" s="7" t="s">
        <v>95</v>
      </c>
      <c r="E444" s="7">
        <v>29190</v>
      </c>
      <c r="F444" s="7" t="s">
        <v>117</v>
      </c>
      <c r="G444" s="7" t="s">
        <v>47</v>
      </c>
      <c r="H444" s="7" t="s">
        <v>48</v>
      </c>
      <c r="I444" s="7">
        <v>5</v>
      </c>
      <c r="J444" s="8">
        <f>IFERROR(VLOOKUP(Tbl_Siparişler[[#This Row],[Kategori]]&amp;"-"&amp;Tbl_Siparişler[[#This Row],[Ürün Adı]],Tbl_Ürünler[],11,0)*Tbl_Siparişler[[#This Row],[Adet]],"")</f>
        <v>40267.5</v>
      </c>
    </row>
    <row r="445" spans="2:10" ht="27" customHeight="1" x14ac:dyDescent="0.4">
      <c r="B445" s="9">
        <f>WEEKNUM(Tbl_Siparişler[[#This Row],[Sipariş Alınan Tarih]])</f>
        <v>19</v>
      </c>
      <c r="C445" s="6">
        <v>44319</v>
      </c>
      <c r="D445" s="7" t="s">
        <v>26</v>
      </c>
      <c r="E445" s="7">
        <v>23165</v>
      </c>
      <c r="F445" s="7" t="s">
        <v>112</v>
      </c>
      <c r="G445" s="7" t="s">
        <v>47</v>
      </c>
      <c r="H445" s="7" t="s">
        <v>48</v>
      </c>
      <c r="I445" s="7">
        <v>5</v>
      </c>
      <c r="J445" s="8">
        <f>IFERROR(VLOOKUP(Tbl_Siparişler[[#This Row],[Kategori]]&amp;"-"&amp;Tbl_Siparişler[[#This Row],[Ürün Adı]],Tbl_Ürünler[],11,0)*Tbl_Siparişler[[#This Row],[Adet]],"")</f>
        <v>40267.5</v>
      </c>
    </row>
    <row r="446" spans="2:10" ht="27" customHeight="1" x14ac:dyDescent="0.4">
      <c r="B446" s="9">
        <f>WEEKNUM(Tbl_Siparişler[[#This Row],[Sipariş Alınan Tarih]])</f>
        <v>10</v>
      </c>
      <c r="C446" s="6">
        <v>44258</v>
      </c>
      <c r="D446" s="7" t="s">
        <v>95</v>
      </c>
      <c r="E446" s="7">
        <v>42469</v>
      </c>
      <c r="F446" s="7" t="s">
        <v>118</v>
      </c>
      <c r="G446" s="7" t="s">
        <v>47</v>
      </c>
      <c r="H446" s="7" t="s">
        <v>49</v>
      </c>
      <c r="I446" s="7">
        <v>2</v>
      </c>
      <c r="J446" s="8">
        <f>IFERROR(VLOOKUP(Tbl_Siparişler[[#This Row],[Kategori]]&amp;"-"&amp;Tbl_Siparişler[[#This Row],[Ürün Adı]],Tbl_Ürünler[],11,0)*Tbl_Siparişler[[#This Row],[Adet]],"")</f>
        <v>19139.5</v>
      </c>
    </row>
    <row r="447" spans="2:10" ht="27" customHeight="1" x14ac:dyDescent="0.4">
      <c r="B447" s="9">
        <f>WEEKNUM(Tbl_Siparişler[[#This Row],[Sipariş Alınan Tarih]])</f>
        <v>33</v>
      </c>
      <c r="C447" s="6">
        <v>44421</v>
      </c>
      <c r="D447" s="7" t="s">
        <v>26</v>
      </c>
      <c r="E447" s="7">
        <v>60683</v>
      </c>
      <c r="F447" s="7" t="s">
        <v>108</v>
      </c>
      <c r="G447" s="7" t="s">
        <v>43</v>
      </c>
      <c r="H447" s="7" t="s">
        <v>45</v>
      </c>
      <c r="I447" s="7">
        <v>2</v>
      </c>
      <c r="J447" s="8">
        <f>IFERROR(VLOOKUP(Tbl_Siparişler[[#This Row],[Kategori]]&amp;"-"&amp;Tbl_Siparişler[[#This Row],[Ürün Adı]],Tbl_Ürünler[],11,0)*Tbl_Siparişler[[#This Row],[Adet]],"")</f>
        <v>19318.8</v>
      </c>
    </row>
    <row r="448" spans="2:10" ht="27" customHeight="1" x14ac:dyDescent="0.4">
      <c r="B448" s="9">
        <f>WEEKNUM(Tbl_Siparişler[[#This Row],[Sipariş Alınan Tarih]])</f>
        <v>16</v>
      </c>
      <c r="C448" s="6">
        <v>44298</v>
      </c>
      <c r="D448" s="7" t="s">
        <v>95</v>
      </c>
      <c r="E448" s="7">
        <v>45785</v>
      </c>
      <c r="F448" s="7" t="s">
        <v>117</v>
      </c>
      <c r="G448" s="7" t="s">
        <v>47</v>
      </c>
      <c r="H448" s="7" t="s">
        <v>49</v>
      </c>
      <c r="I448" s="7">
        <v>1</v>
      </c>
      <c r="J448" s="8">
        <f>IFERROR(VLOOKUP(Tbl_Siparişler[[#This Row],[Kategori]]&amp;"-"&amp;Tbl_Siparişler[[#This Row],[Ürün Adı]],Tbl_Ürünler[],11,0)*Tbl_Siparişler[[#This Row],[Adet]],"")</f>
        <v>9569.75</v>
      </c>
    </row>
    <row r="449" spans="2:10" ht="27" customHeight="1" x14ac:dyDescent="0.4">
      <c r="B449" s="9">
        <f>WEEKNUM(Tbl_Siparişler[[#This Row],[Sipariş Alınan Tarih]])</f>
        <v>31</v>
      </c>
      <c r="C449" s="6">
        <v>44402</v>
      </c>
      <c r="D449" s="7" t="s">
        <v>26</v>
      </c>
      <c r="E449" s="7">
        <v>25839</v>
      </c>
      <c r="F449" s="7" t="s">
        <v>113</v>
      </c>
      <c r="G449" s="7" t="s">
        <v>43</v>
      </c>
      <c r="H449" s="7" t="s">
        <v>44</v>
      </c>
      <c r="I449" s="7">
        <v>4</v>
      </c>
      <c r="J449" s="8">
        <f>IFERROR(VLOOKUP(Tbl_Siparişler[[#This Row],[Kategori]]&amp;"-"&amp;Tbl_Siparişler[[#This Row],[Ürün Adı]],Tbl_Ürünler[],11,0)*Tbl_Siparişler[[#This Row],[Adet]],"")</f>
        <v>35658.400000000001</v>
      </c>
    </row>
    <row r="450" spans="2:10" ht="27" customHeight="1" x14ac:dyDescent="0.4">
      <c r="B450" s="9">
        <f>WEEKNUM(Tbl_Siparişler[[#This Row],[Sipariş Alınan Tarih]])</f>
        <v>8</v>
      </c>
      <c r="C450" s="6">
        <v>44244</v>
      </c>
      <c r="D450" s="7" t="s">
        <v>25</v>
      </c>
      <c r="E450" s="7">
        <v>28472</v>
      </c>
      <c r="F450" s="7" t="s">
        <v>108</v>
      </c>
      <c r="G450" s="7" t="s">
        <v>98</v>
      </c>
      <c r="H450" s="7" t="s">
        <v>99</v>
      </c>
      <c r="I450" s="7">
        <v>5</v>
      </c>
      <c r="J450" s="8">
        <f>IFERROR(VLOOKUP(Tbl_Siparişler[[#This Row],[Kategori]]&amp;"-"&amp;Tbl_Siparişler[[#This Row],[Ürün Adı]],Tbl_Ürünler[],11,0)*Tbl_Siparişler[[#This Row],[Adet]],"")</f>
        <v>20708.150000000001</v>
      </c>
    </row>
    <row r="451" spans="2:10" ht="27" customHeight="1" x14ac:dyDescent="0.4">
      <c r="B451" s="9">
        <f>WEEKNUM(Tbl_Siparişler[[#This Row],[Sipariş Alınan Tarih]])</f>
        <v>40</v>
      </c>
      <c r="C451" s="6">
        <v>44465</v>
      </c>
      <c r="D451" s="7" t="s">
        <v>24</v>
      </c>
      <c r="E451" s="7">
        <v>95535</v>
      </c>
      <c r="F451" s="7" t="s">
        <v>107</v>
      </c>
      <c r="G451" s="7" t="s">
        <v>47</v>
      </c>
      <c r="H451" s="7" t="s">
        <v>48</v>
      </c>
      <c r="I451" s="7">
        <v>1</v>
      </c>
      <c r="J451" s="8">
        <f>IFERROR(VLOOKUP(Tbl_Siparişler[[#This Row],[Kategori]]&amp;"-"&amp;Tbl_Siparişler[[#This Row],[Ürün Adı]],Tbl_Ürünler[],11,0)*Tbl_Siparişler[[#This Row],[Adet]],"")</f>
        <v>8053.5</v>
      </c>
    </row>
    <row r="452" spans="2:10" ht="27" customHeight="1" x14ac:dyDescent="0.4">
      <c r="B452" s="9">
        <f>WEEKNUM(Tbl_Siparişler[[#This Row],[Sipariş Alınan Tarih]])</f>
        <v>30</v>
      </c>
      <c r="C452" s="6">
        <v>44398</v>
      </c>
      <c r="D452" s="7" t="s">
        <v>25</v>
      </c>
      <c r="E452" s="7">
        <v>21696</v>
      </c>
      <c r="F452" s="7" t="s">
        <v>118</v>
      </c>
      <c r="G452" s="7" t="s">
        <v>43</v>
      </c>
      <c r="H452" s="7" t="s">
        <v>44</v>
      </c>
      <c r="I452" s="7">
        <v>2</v>
      </c>
      <c r="J452" s="8">
        <f>IFERROR(VLOOKUP(Tbl_Siparişler[[#This Row],[Kategori]]&amp;"-"&amp;Tbl_Siparişler[[#This Row],[Ürün Adı]],Tbl_Ürünler[],11,0)*Tbl_Siparişler[[#This Row],[Adet]],"")</f>
        <v>17829.2</v>
      </c>
    </row>
    <row r="453" spans="2:10" ht="27" customHeight="1" x14ac:dyDescent="0.4">
      <c r="B453" s="9">
        <f>WEEKNUM(Tbl_Siparişler[[#This Row],[Sipariş Alınan Tarih]])</f>
        <v>13</v>
      </c>
      <c r="C453" s="6">
        <v>44278</v>
      </c>
      <c r="D453" s="7" t="s">
        <v>26</v>
      </c>
      <c r="E453" s="7">
        <v>37042</v>
      </c>
      <c r="F453" s="7" t="s">
        <v>109</v>
      </c>
      <c r="G453" s="7" t="s">
        <v>43</v>
      </c>
      <c r="H453" s="7" t="s">
        <v>45</v>
      </c>
      <c r="I453" s="7">
        <v>3</v>
      </c>
      <c r="J453" s="8">
        <f>IFERROR(VLOOKUP(Tbl_Siparişler[[#This Row],[Kategori]]&amp;"-"&amp;Tbl_Siparişler[[#This Row],[Ürün Adı]],Tbl_Ürünler[],11,0)*Tbl_Siparişler[[#This Row],[Adet]],"")</f>
        <v>28978.199999999997</v>
      </c>
    </row>
    <row r="454" spans="2:10" ht="27" customHeight="1" x14ac:dyDescent="0.4">
      <c r="B454" s="9">
        <f>WEEKNUM(Tbl_Siparişler[[#This Row],[Sipariş Alınan Tarih]])</f>
        <v>40</v>
      </c>
      <c r="C454" s="6">
        <v>44466</v>
      </c>
      <c r="D454" s="7" t="s">
        <v>26</v>
      </c>
      <c r="E454" s="7">
        <v>49226</v>
      </c>
      <c r="F454" s="7" t="s">
        <v>116</v>
      </c>
      <c r="G454" s="7" t="s">
        <v>43</v>
      </c>
      <c r="H454" s="7" t="s">
        <v>44</v>
      </c>
      <c r="I454" s="7">
        <v>4</v>
      </c>
      <c r="J454" s="8">
        <f>IFERROR(VLOOKUP(Tbl_Siparişler[[#This Row],[Kategori]]&amp;"-"&amp;Tbl_Siparişler[[#This Row],[Ürün Adı]],Tbl_Ürünler[],11,0)*Tbl_Siparişler[[#This Row],[Adet]],"")</f>
        <v>35658.400000000001</v>
      </c>
    </row>
    <row r="455" spans="2:10" ht="27" customHeight="1" x14ac:dyDescent="0.4">
      <c r="B455" s="9">
        <f>WEEKNUM(Tbl_Siparişler[[#This Row],[Sipariş Alınan Tarih]])</f>
        <v>8</v>
      </c>
      <c r="C455" s="6">
        <v>44245</v>
      </c>
      <c r="D455" s="7" t="s">
        <v>26</v>
      </c>
      <c r="E455" s="7">
        <v>97510</v>
      </c>
      <c r="F455" s="7" t="s">
        <v>117</v>
      </c>
      <c r="G455" s="7" t="s">
        <v>43</v>
      </c>
      <c r="H455" s="7" t="s">
        <v>46</v>
      </c>
      <c r="I455" s="7">
        <v>2</v>
      </c>
      <c r="J455" s="8">
        <f>IFERROR(VLOOKUP(Tbl_Siparişler[[#This Row],[Kategori]]&amp;"-"&amp;Tbl_Siparişler[[#This Row],[Ürün Adı]],Tbl_Ürünler[],11,0)*Tbl_Siparişler[[#This Row],[Adet]],"")</f>
        <v>26686.800000000003</v>
      </c>
    </row>
    <row r="456" spans="2:10" ht="27" customHeight="1" x14ac:dyDescent="0.4">
      <c r="B456" s="9">
        <f>WEEKNUM(Tbl_Siparişler[[#This Row],[Sipariş Alınan Tarih]])</f>
        <v>48</v>
      </c>
      <c r="C456" s="6">
        <v>44522</v>
      </c>
      <c r="D456" s="7" t="s">
        <v>26</v>
      </c>
      <c r="E456" s="7">
        <v>91577</v>
      </c>
      <c r="F456" s="7" t="s">
        <v>112</v>
      </c>
      <c r="G456" s="7" t="s">
        <v>98</v>
      </c>
      <c r="H456" s="7" t="s">
        <v>103</v>
      </c>
      <c r="I456" s="7">
        <v>4</v>
      </c>
      <c r="J456" s="8">
        <f>IFERROR(VLOOKUP(Tbl_Siparişler[[#This Row],[Kategori]]&amp;"-"&amp;Tbl_Siparişler[[#This Row],[Ürün Adı]],Tbl_Ürünler[],11,0)*Tbl_Siparişler[[#This Row],[Adet]],"")</f>
        <v>23850</v>
      </c>
    </row>
    <row r="457" spans="2:10" ht="27" customHeight="1" x14ac:dyDescent="0.4">
      <c r="B457" s="9">
        <f>WEEKNUM(Tbl_Siparişler[[#This Row],[Sipariş Alınan Tarih]])</f>
        <v>1</v>
      </c>
      <c r="C457" s="6">
        <v>44197</v>
      </c>
      <c r="D457" s="7" t="s">
        <v>95</v>
      </c>
      <c r="E457" s="7">
        <v>43069</v>
      </c>
      <c r="F457" s="7" t="s">
        <v>115</v>
      </c>
      <c r="G457" s="7" t="s">
        <v>43</v>
      </c>
      <c r="H457" s="7" t="s">
        <v>45</v>
      </c>
      <c r="I457" s="7">
        <v>4</v>
      </c>
      <c r="J457" s="8">
        <f>IFERROR(VLOOKUP(Tbl_Siparişler[[#This Row],[Kategori]]&amp;"-"&amp;Tbl_Siparişler[[#This Row],[Ürün Adı]],Tbl_Ürünler[],11,0)*Tbl_Siparişler[[#This Row],[Adet]],"")</f>
        <v>38637.599999999999</v>
      </c>
    </row>
    <row r="458" spans="2:10" ht="27" customHeight="1" x14ac:dyDescent="0.4">
      <c r="B458" s="9">
        <f>WEEKNUM(Tbl_Siparişler[[#This Row],[Sipariş Alınan Tarih]])</f>
        <v>30</v>
      </c>
      <c r="C458" s="6">
        <v>44395</v>
      </c>
      <c r="D458" s="7" t="s">
        <v>24</v>
      </c>
      <c r="E458" s="7">
        <v>99154</v>
      </c>
      <c r="F458" s="7" t="s">
        <v>107</v>
      </c>
      <c r="G458" s="7" t="s">
        <v>98</v>
      </c>
      <c r="H458" s="7" t="s">
        <v>99</v>
      </c>
      <c r="I458" s="7">
        <v>3</v>
      </c>
      <c r="J458" s="8">
        <f>IFERROR(VLOOKUP(Tbl_Siparişler[[#This Row],[Kategori]]&amp;"-"&amp;Tbl_Siparişler[[#This Row],[Ürün Adı]],Tbl_Ürünler[],11,0)*Tbl_Siparişler[[#This Row],[Adet]],"")</f>
        <v>12424.89</v>
      </c>
    </row>
    <row r="459" spans="2:10" ht="27" customHeight="1" x14ac:dyDescent="0.4">
      <c r="B459" s="9">
        <f>WEEKNUM(Tbl_Siparişler[[#This Row],[Sipariş Alınan Tarih]])</f>
        <v>17</v>
      </c>
      <c r="C459" s="6">
        <v>44306</v>
      </c>
      <c r="D459" s="7" t="s">
        <v>25</v>
      </c>
      <c r="E459" s="7">
        <v>68494</v>
      </c>
      <c r="F459" s="7" t="s">
        <v>117</v>
      </c>
      <c r="G459" s="7" t="s">
        <v>29</v>
      </c>
      <c r="H459" s="7" t="s">
        <v>42</v>
      </c>
      <c r="I459" s="7">
        <v>4</v>
      </c>
      <c r="J459" s="8">
        <f>IFERROR(VLOOKUP(Tbl_Siparişler[[#This Row],[Kategori]]&amp;"-"&amp;Tbl_Siparişler[[#This Row],[Ürün Adı]],Tbl_Ürünler[],11,0)*Tbl_Siparişler[[#This Row],[Adet]],"")</f>
        <v>56264</v>
      </c>
    </row>
    <row r="460" spans="2:10" ht="27" customHeight="1" x14ac:dyDescent="0.4">
      <c r="B460" s="9">
        <f>WEEKNUM(Tbl_Siparişler[[#This Row],[Sipariş Alınan Tarih]])</f>
        <v>15</v>
      </c>
      <c r="C460" s="6">
        <v>44295</v>
      </c>
      <c r="D460" s="7" t="s">
        <v>27</v>
      </c>
      <c r="E460" s="7">
        <v>26894</v>
      </c>
      <c r="F460" s="7" t="s">
        <v>118</v>
      </c>
      <c r="G460" s="7" t="s">
        <v>43</v>
      </c>
      <c r="H460" s="7" t="s">
        <v>46</v>
      </c>
      <c r="I460" s="7">
        <v>5</v>
      </c>
      <c r="J460" s="8">
        <f>IFERROR(VLOOKUP(Tbl_Siparişler[[#This Row],[Kategori]]&amp;"-"&amp;Tbl_Siparişler[[#This Row],[Ürün Adı]],Tbl_Ürünler[],11,0)*Tbl_Siparişler[[#This Row],[Adet]],"")</f>
        <v>66717</v>
      </c>
    </row>
    <row r="461" spans="2:10" ht="27" customHeight="1" x14ac:dyDescent="0.4">
      <c r="B461" s="9">
        <f>WEEKNUM(Tbl_Siparişler[[#This Row],[Sipariş Alınan Tarih]])</f>
        <v>21</v>
      </c>
      <c r="C461" s="6">
        <v>44332</v>
      </c>
      <c r="D461" s="7" t="s">
        <v>106</v>
      </c>
      <c r="E461" s="7">
        <v>24276</v>
      </c>
      <c r="F461" s="7" t="s">
        <v>110</v>
      </c>
      <c r="G461" s="7" t="s">
        <v>98</v>
      </c>
      <c r="H461" s="7" t="s">
        <v>100</v>
      </c>
      <c r="I461" s="7">
        <v>1</v>
      </c>
      <c r="J461" s="8">
        <f>IFERROR(VLOOKUP(Tbl_Siparişler[[#This Row],[Kategori]]&amp;"-"&amp;Tbl_Siparişler[[#This Row],[Ürün Adı]],Tbl_Ürünler[],11,0)*Tbl_Siparişler[[#This Row],[Adet]],"")</f>
        <v>9235.2000000000007</v>
      </c>
    </row>
    <row r="462" spans="2:10" ht="27" customHeight="1" x14ac:dyDescent="0.4">
      <c r="B462" s="9">
        <f>WEEKNUM(Tbl_Siparişler[[#This Row],[Sipariş Alınan Tarih]])</f>
        <v>24</v>
      </c>
      <c r="C462" s="6">
        <v>44355</v>
      </c>
      <c r="D462" s="7" t="s">
        <v>28</v>
      </c>
      <c r="E462" s="7">
        <v>40282</v>
      </c>
      <c r="F462" s="7" t="s">
        <v>116</v>
      </c>
      <c r="G462" s="7" t="s">
        <v>43</v>
      </c>
      <c r="H462" s="7" t="s">
        <v>46</v>
      </c>
      <c r="I462" s="7">
        <v>3</v>
      </c>
      <c r="J462" s="8">
        <f>IFERROR(VLOOKUP(Tbl_Siparişler[[#This Row],[Kategori]]&amp;"-"&amp;Tbl_Siparişler[[#This Row],[Ürün Adı]],Tbl_Ürünler[],11,0)*Tbl_Siparişler[[#This Row],[Adet]],"")</f>
        <v>40030.200000000004</v>
      </c>
    </row>
    <row r="463" spans="2:10" ht="27" customHeight="1" x14ac:dyDescent="0.4">
      <c r="B463" s="9">
        <f>WEEKNUM(Tbl_Siparişler[[#This Row],[Sipariş Alınan Tarih]])</f>
        <v>11</v>
      </c>
      <c r="C463" s="6">
        <v>44268</v>
      </c>
      <c r="D463" s="7" t="s">
        <v>106</v>
      </c>
      <c r="E463" s="7">
        <v>20967</v>
      </c>
      <c r="F463" s="7" t="s">
        <v>109</v>
      </c>
      <c r="G463" s="7" t="s">
        <v>43</v>
      </c>
      <c r="H463" s="7" t="s">
        <v>45</v>
      </c>
      <c r="I463" s="7">
        <v>1</v>
      </c>
      <c r="J463" s="8">
        <f>IFERROR(VLOOKUP(Tbl_Siparişler[[#This Row],[Kategori]]&amp;"-"&amp;Tbl_Siparişler[[#This Row],[Ürün Adı]],Tbl_Ürünler[],11,0)*Tbl_Siparişler[[#This Row],[Adet]],"")</f>
        <v>9659.4</v>
      </c>
    </row>
    <row r="464" spans="2:10" ht="27" customHeight="1" x14ac:dyDescent="0.4">
      <c r="B464" s="9">
        <f>WEEKNUM(Tbl_Siparişler[[#This Row],[Sipariş Alınan Tarih]])</f>
        <v>41</v>
      </c>
      <c r="C464" s="6">
        <v>44478</v>
      </c>
      <c r="D464" s="7" t="s">
        <v>25</v>
      </c>
      <c r="E464" s="7">
        <v>79798</v>
      </c>
      <c r="F464" s="7" t="s">
        <v>112</v>
      </c>
      <c r="G464" s="7" t="s">
        <v>43</v>
      </c>
      <c r="H464" s="7" t="s">
        <v>50</v>
      </c>
      <c r="I464" s="7">
        <v>1</v>
      </c>
      <c r="J464" s="8">
        <f>IFERROR(VLOOKUP(Tbl_Siparişler[[#This Row],[Kategori]]&amp;"-"&amp;Tbl_Siparişler[[#This Row],[Ürün Adı]],Tbl_Ürünler[],11,0)*Tbl_Siparişler[[#This Row],[Adet]],"")</f>
        <v>6458.1</v>
      </c>
    </row>
    <row r="465" spans="2:10" ht="27" customHeight="1" x14ac:dyDescent="0.4">
      <c r="B465" s="9">
        <f>WEEKNUM(Tbl_Siparişler[[#This Row],[Sipariş Alınan Tarih]])</f>
        <v>8</v>
      </c>
      <c r="C465" s="6">
        <v>44241</v>
      </c>
      <c r="D465" s="7" t="s">
        <v>27</v>
      </c>
      <c r="E465" s="7">
        <v>26820</v>
      </c>
      <c r="F465" s="7" t="s">
        <v>108</v>
      </c>
      <c r="G465" s="7" t="s">
        <v>43</v>
      </c>
      <c r="H465" s="7" t="s">
        <v>44</v>
      </c>
      <c r="I465" s="7">
        <v>3</v>
      </c>
      <c r="J465" s="8">
        <f>IFERROR(VLOOKUP(Tbl_Siparişler[[#This Row],[Kategori]]&amp;"-"&amp;Tbl_Siparişler[[#This Row],[Ürün Adı]],Tbl_Ürünler[],11,0)*Tbl_Siparişler[[#This Row],[Adet]],"")</f>
        <v>26743.800000000003</v>
      </c>
    </row>
    <row r="466" spans="2:10" ht="27" customHeight="1" x14ac:dyDescent="0.4">
      <c r="B466" s="9">
        <f>WEEKNUM(Tbl_Siparişler[[#This Row],[Sipariş Alınan Tarih]])</f>
        <v>35</v>
      </c>
      <c r="C466" s="6">
        <v>44432</v>
      </c>
      <c r="D466" s="7" t="s">
        <v>106</v>
      </c>
      <c r="E466" s="7">
        <v>55970</v>
      </c>
      <c r="F466" s="7" t="s">
        <v>116</v>
      </c>
      <c r="G466" s="7" t="s">
        <v>47</v>
      </c>
      <c r="H466" s="7" t="s">
        <v>48</v>
      </c>
      <c r="I466" s="7">
        <v>3</v>
      </c>
      <c r="J466" s="8">
        <f>IFERROR(VLOOKUP(Tbl_Siparişler[[#This Row],[Kategori]]&amp;"-"&amp;Tbl_Siparişler[[#This Row],[Ürün Adı]],Tbl_Ürünler[],11,0)*Tbl_Siparişler[[#This Row],[Adet]],"")</f>
        <v>24160.5</v>
      </c>
    </row>
    <row r="467" spans="2:10" ht="27" customHeight="1" x14ac:dyDescent="0.4">
      <c r="B467" s="9">
        <f>WEEKNUM(Tbl_Siparişler[[#This Row],[Sipariş Alınan Tarih]])</f>
        <v>33</v>
      </c>
      <c r="C467" s="6">
        <v>44420</v>
      </c>
      <c r="D467" s="7" t="s">
        <v>28</v>
      </c>
      <c r="E467" s="7">
        <v>97422</v>
      </c>
      <c r="F467" s="7" t="s">
        <v>109</v>
      </c>
      <c r="G467" s="7" t="s">
        <v>98</v>
      </c>
      <c r="H467" s="7" t="s">
        <v>99</v>
      </c>
      <c r="I467" s="7">
        <v>1</v>
      </c>
      <c r="J467" s="8">
        <f>IFERROR(VLOOKUP(Tbl_Siparişler[[#This Row],[Kategori]]&amp;"-"&amp;Tbl_Siparişler[[#This Row],[Ürün Adı]],Tbl_Ürünler[],11,0)*Tbl_Siparişler[[#This Row],[Adet]],"")</f>
        <v>4141.63</v>
      </c>
    </row>
    <row r="468" spans="2:10" ht="27" customHeight="1" x14ac:dyDescent="0.4">
      <c r="B468" s="9">
        <f>WEEKNUM(Tbl_Siparişler[[#This Row],[Sipariş Alınan Tarih]])</f>
        <v>6</v>
      </c>
      <c r="C468" s="6">
        <v>44229</v>
      </c>
      <c r="D468" s="7" t="s">
        <v>27</v>
      </c>
      <c r="E468" s="7">
        <v>35046</v>
      </c>
      <c r="F468" s="7" t="s">
        <v>114</v>
      </c>
      <c r="G468" s="7" t="s">
        <v>29</v>
      </c>
      <c r="H468" s="7" t="s">
        <v>42</v>
      </c>
      <c r="I468" s="7">
        <v>3</v>
      </c>
      <c r="J468" s="8">
        <f>IFERROR(VLOOKUP(Tbl_Siparişler[[#This Row],[Kategori]]&amp;"-"&amp;Tbl_Siparişler[[#This Row],[Ürün Adı]],Tbl_Ürünler[],11,0)*Tbl_Siparişler[[#This Row],[Adet]],"")</f>
        <v>42198</v>
      </c>
    </row>
    <row r="469" spans="2:10" ht="27" customHeight="1" x14ac:dyDescent="0.4">
      <c r="B469" s="9">
        <f>WEEKNUM(Tbl_Siparişler[[#This Row],[Sipariş Alınan Tarih]])</f>
        <v>10</v>
      </c>
      <c r="C469" s="6">
        <v>44260</v>
      </c>
      <c r="D469" s="7" t="s">
        <v>95</v>
      </c>
      <c r="E469" s="7">
        <v>73043</v>
      </c>
      <c r="F469" s="7" t="s">
        <v>113</v>
      </c>
      <c r="G469" s="7" t="s">
        <v>98</v>
      </c>
      <c r="H469" s="7" t="s">
        <v>99</v>
      </c>
      <c r="I469" s="7">
        <v>4</v>
      </c>
      <c r="J469" s="8">
        <f>IFERROR(VLOOKUP(Tbl_Siparişler[[#This Row],[Kategori]]&amp;"-"&amp;Tbl_Siparişler[[#This Row],[Ürün Adı]],Tbl_Ürünler[],11,0)*Tbl_Siparişler[[#This Row],[Adet]],"")</f>
        <v>16566.52</v>
      </c>
    </row>
    <row r="470" spans="2:10" ht="27" customHeight="1" x14ac:dyDescent="0.4">
      <c r="B470" s="9">
        <f>WEEKNUM(Tbl_Siparişler[[#This Row],[Sipariş Alınan Tarih]])</f>
        <v>33</v>
      </c>
      <c r="C470" s="6">
        <v>44419</v>
      </c>
      <c r="D470" s="7" t="s">
        <v>25</v>
      </c>
      <c r="E470" s="7">
        <v>25634</v>
      </c>
      <c r="F470" s="7" t="s">
        <v>118</v>
      </c>
      <c r="G470" s="7" t="s">
        <v>43</v>
      </c>
      <c r="H470" s="7" t="s">
        <v>50</v>
      </c>
      <c r="I470" s="7">
        <v>2</v>
      </c>
      <c r="J470" s="8">
        <f>IFERROR(VLOOKUP(Tbl_Siparişler[[#This Row],[Kategori]]&amp;"-"&amp;Tbl_Siparişler[[#This Row],[Ürün Adı]],Tbl_Ürünler[],11,0)*Tbl_Siparişler[[#This Row],[Adet]],"")</f>
        <v>12916.2</v>
      </c>
    </row>
    <row r="471" spans="2:10" ht="27" customHeight="1" x14ac:dyDescent="0.4">
      <c r="B471" s="9">
        <f>WEEKNUM(Tbl_Siparişler[[#This Row],[Sipariş Alınan Tarih]])</f>
        <v>34</v>
      </c>
      <c r="C471" s="6">
        <v>44423</v>
      </c>
      <c r="D471" s="7" t="s">
        <v>28</v>
      </c>
      <c r="E471" s="7">
        <v>93946</v>
      </c>
      <c r="F471" s="7" t="s">
        <v>108</v>
      </c>
      <c r="G471" s="7" t="s">
        <v>43</v>
      </c>
      <c r="H471" s="7" t="s">
        <v>50</v>
      </c>
      <c r="I471" s="7">
        <v>3</v>
      </c>
      <c r="J471" s="8">
        <f>IFERROR(VLOOKUP(Tbl_Siparişler[[#This Row],[Kategori]]&amp;"-"&amp;Tbl_Siparişler[[#This Row],[Ürün Adı]],Tbl_Ürünler[],11,0)*Tbl_Siparişler[[#This Row],[Adet]],"")</f>
        <v>19374.300000000003</v>
      </c>
    </row>
    <row r="472" spans="2:10" ht="27" customHeight="1" x14ac:dyDescent="0.4">
      <c r="B472" s="9">
        <f>WEEKNUM(Tbl_Siparişler[[#This Row],[Sipariş Alınan Tarih]])</f>
        <v>23</v>
      </c>
      <c r="C472" s="6">
        <v>44348</v>
      </c>
      <c r="D472" s="7" t="s">
        <v>106</v>
      </c>
      <c r="E472" s="7">
        <v>67946</v>
      </c>
      <c r="F472" s="7" t="s">
        <v>110</v>
      </c>
      <c r="G472" s="7" t="s">
        <v>47</v>
      </c>
      <c r="H472" s="7" t="s">
        <v>49</v>
      </c>
      <c r="I472" s="7">
        <v>3</v>
      </c>
      <c r="J472" s="8">
        <f>IFERROR(VLOOKUP(Tbl_Siparişler[[#This Row],[Kategori]]&amp;"-"&amp;Tbl_Siparişler[[#This Row],[Ürün Adı]],Tbl_Ürünler[],11,0)*Tbl_Siparişler[[#This Row],[Adet]],"")</f>
        <v>28709.25</v>
      </c>
    </row>
    <row r="473" spans="2:10" ht="27" customHeight="1" x14ac:dyDescent="0.4">
      <c r="B473" s="9">
        <f>WEEKNUM(Tbl_Siparişler[[#This Row],[Sipariş Alınan Tarih]])</f>
        <v>14</v>
      </c>
      <c r="C473" s="6">
        <v>44283</v>
      </c>
      <c r="D473" s="7" t="s">
        <v>26</v>
      </c>
      <c r="E473" s="7">
        <v>99995</v>
      </c>
      <c r="F473" s="7" t="s">
        <v>115</v>
      </c>
      <c r="G473" s="7" t="s">
        <v>43</v>
      </c>
      <c r="H473" s="7" t="s">
        <v>50</v>
      </c>
      <c r="I473" s="7">
        <v>5</v>
      </c>
      <c r="J473" s="8">
        <f>IFERROR(VLOOKUP(Tbl_Siparişler[[#This Row],[Kategori]]&amp;"-"&amp;Tbl_Siparişler[[#This Row],[Ürün Adı]],Tbl_Ürünler[],11,0)*Tbl_Siparişler[[#This Row],[Adet]],"")</f>
        <v>32290.5</v>
      </c>
    </row>
    <row r="474" spans="2:10" ht="27" customHeight="1" x14ac:dyDescent="0.4">
      <c r="B474" s="9">
        <f>WEEKNUM(Tbl_Siparişler[[#This Row],[Sipariş Alınan Tarih]])</f>
        <v>4</v>
      </c>
      <c r="C474" s="6">
        <v>44218</v>
      </c>
      <c r="D474" s="7" t="s">
        <v>26</v>
      </c>
      <c r="E474" s="7">
        <v>42744</v>
      </c>
      <c r="F474" s="7" t="s">
        <v>112</v>
      </c>
      <c r="G474" s="7" t="s">
        <v>43</v>
      </c>
      <c r="H474" s="7" t="s">
        <v>50</v>
      </c>
      <c r="I474" s="7">
        <v>3</v>
      </c>
      <c r="J474" s="8">
        <f>IFERROR(VLOOKUP(Tbl_Siparişler[[#This Row],[Kategori]]&amp;"-"&amp;Tbl_Siparişler[[#This Row],[Ürün Adı]],Tbl_Ürünler[],11,0)*Tbl_Siparişler[[#This Row],[Adet]],"")</f>
        <v>19374.300000000003</v>
      </c>
    </row>
    <row r="475" spans="2:10" ht="27" customHeight="1" x14ac:dyDescent="0.4">
      <c r="B475" s="9">
        <f>WEEKNUM(Tbl_Siparişler[[#This Row],[Sipariş Alınan Tarih]])</f>
        <v>15</v>
      </c>
      <c r="C475" s="6">
        <v>44293</v>
      </c>
      <c r="D475" s="7" t="s">
        <v>28</v>
      </c>
      <c r="E475" s="7">
        <v>32733</v>
      </c>
      <c r="F475" s="7" t="s">
        <v>109</v>
      </c>
      <c r="G475" s="7" t="s">
        <v>43</v>
      </c>
      <c r="H475" s="7" t="s">
        <v>50</v>
      </c>
      <c r="I475" s="7">
        <v>1</v>
      </c>
      <c r="J475" s="8">
        <f>IFERROR(VLOOKUP(Tbl_Siparişler[[#This Row],[Kategori]]&amp;"-"&amp;Tbl_Siparişler[[#This Row],[Ürün Adı]],Tbl_Ürünler[],11,0)*Tbl_Siparişler[[#This Row],[Adet]],"")</f>
        <v>6458.1</v>
      </c>
    </row>
    <row r="476" spans="2:10" ht="27" customHeight="1" x14ac:dyDescent="0.4">
      <c r="B476" s="9">
        <f>WEEKNUM(Tbl_Siparişler[[#This Row],[Sipariş Alınan Tarih]])</f>
        <v>33</v>
      </c>
      <c r="C476" s="6">
        <v>44420</v>
      </c>
      <c r="D476" s="7" t="s">
        <v>28</v>
      </c>
      <c r="E476" s="7">
        <v>91105</v>
      </c>
      <c r="F476" s="7" t="s">
        <v>112</v>
      </c>
      <c r="G476" s="7" t="s">
        <v>47</v>
      </c>
      <c r="H476" s="7" t="s">
        <v>49</v>
      </c>
      <c r="I476" s="7">
        <v>2</v>
      </c>
      <c r="J476" s="8">
        <f>IFERROR(VLOOKUP(Tbl_Siparişler[[#This Row],[Kategori]]&amp;"-"&amp;Tbl_Siparişler[[#This Row],[Ürün Adı]],Tbl_Ürünler[],11,0)*Tbl_Siparişler[[#This Row],[Adet]],"")</f>
        <v>19139.5</v>
      </c>
    </row>
    <row r="477" spans="2:10" ht="27" customHeight="1" x14ac:dyDescent="0.4">
      <c r="B477" s="9">
        <f>WEEKNUM(Tbl_Siparişler[[#This Row],[Sipariş Alınan Tarih]])</f>
        <v>21</v>
      </c>
      <c r="C477" s="6">
        <v>44335</v>
      </c>
      <c r="D477" s="7" t="s">
        <v>106</v>
      </c>
      <c r="E477" s="7">
        <v>33235</v>
      </c>
      <c r="F477" s="7" t="s">
        <v>117</v>
      </c>
      <c r="G477" s="7" t="s">
        <v>98</v>
      </c>
      <c r="H477" s="7" t="s">
        <v>99</v>
      </c>
      <c r="I477" s="7">
        <v>1</v>
      </c>
      <c r="J477" s="8">
        <f>IFERROR(VLOOKUP(Tbl_Siparişler[[#This Row],[Kategori]]&amp;"-"&amp;Tbl_Siparişler[[#This Row],[Ürün Adı]],Tbl_Ürünler[],11,0)*Tbl_Siparişler[[#This Row],[Adet]],"")</f>
        <v>4141.63</v>
      </c>
    </row>
    <row r="478" spans="2:10" ht="27" customHeight="1" x14ac:dyDescent="0.4">
      <c r="B478" s="9">
        <f>WEEKNUM(Tbl_Siparişler[[#This Row],[Sipariş Alınan Tarih]])</f>
        <v>3</v>
      </c>
      <c r="C478" s="6">
        <v>44212</v>
      </c>
      <c r="D478" s="7" t="s">
        <v>25</v>
      </c>
      <c r="E478" s="7">
        <v>35737</v>
      </c>
      <c r="F478" s="7" t="s">
        <v>117</v>
      </c>
      <c r="G478" s="7" t="s">
        <v>43</v>
      </c>
      <c r="H478" s="7" t="s">
        <v>44</v>
      </c>
      <c r="I478" s="7">
        <v>1</v>
      </c>
      <c r="J478" s="8">
        <f>IFERROR(VLOOKUP(Tbl_Siparişler[[#This Row],[Kategori]]&amp;"-"&amp;Tbl_Siparişler[[#This Row],[Ürün Adı]],Tbl_Ürünler[],11,0)*Tbl_Siparişler[[#This Row],[Adet]],"")</f>
        <v>8914.6</v>
      </c>
    </row>
    <row r="479" spans="2:10" ht="27" customHeight="1" x14ac:dyDescent="0.4">
      <c r="B479" s="9">
        <f>WEEKNUM(Tbl_Siparişler[[#This Row],[Sipariş Alınan Tarih]])</f>
        <v>35</v>
      </c>
      <c r="C479" s="6">
        <v>44432</v>
      </c>
      <c r="D479" s="7" t="s">
        <v>28</v>
      </c>
      <c r="E479" s="7">
        <v>64647</v>
      </c>
      <c r="F479" s="7" t="s">
        <v>114</v>
      </c>
      <c r="G479" s="7" t="s">
        <v>47</v>
      </c>
      <c r="H479" s="7" t="s">
        <v>48</v>
      </c>
      <c r="I479" s="7">
        <v>4</v>
      </c>
      <c r="J479" s="8">
        <f>IFERROR(VLOOKUP(Tbl_Siparişler[[#This Row],[Kategori]]&amp;"-"&amp;Tbl_Siparişler[[#This Row],[Ürün Adı]],Tbl_Ürünler[],11,0)*Tbl_Siparişler[[#This Row],[Adet]],"")</f>
        <v>32214</v>
      </c>
    </row>
    <row r="480" spans="2:10" ht="27" customHeight="1" x14ac:dyDescent="0.4">
      <c r="B480" s="9">
        <f>WEEKNUM(Tbl_Siparişler[[#This Row],[Sipariş Alınan Tarih]])</f>
        <v>10</v>
      </c>
      <c r="C480" s="6">
        <v>44256</v>
      </c>
      <c r="D480" s="7" t="s">
        <v>27</v>
      </c>
      <c r="E480" s="7">
        <v>11542</v>
      </c>
      <c r="F480" s="7" t="s">
        <v>114</v>
      </c>
      <c r="G480" s="7" t="s">
        <v>98</v>
      </c>
      <c r="H480" s="7" t="s">
        <v>99</v>
      </c>
      <c r="I480" s="7">
        <v>1</v>
      </c>
      <c r="J480" s="8">
        <f>IFERROR(VLOOKUP(Tbl_Siparişler[[#This Row],[Kategori]]&amp;"-"&amp;Tbl_Siparişler[[#This Row],[Ürün Adı]],Tbl_Ürünler[],11,0)*Tbl_Siparişler[[#This Row],[Adet]],"")</f>
        <v>4141.63</v>
      </c>
    </row>
    <row r="481" spans="2:10" ht="27" customHeight="1" x14ac:dyDescent="0.4">
      <c r="B481" s="9">
        <f>WEEKNUM(Tbl_Siparişler[[#This Row],[Sipariş Alınan Tarih]])</f>
        <v>24</v>
      </c>
      <c r="C481" s="6">
        <v>44354</v>
      </c>
      <c r="D481" s="7" t="s">
        <v>25</v>
      </c>
      <c r="E481" s="7">
        <v>52484</v>
      </c>
      <c r="F481" s="7" t="s">
        <v>115</v>
      </c>
      <c r="G481" s="7" t="s">
        <v>98</v>
      </c>
      <c r="H481" s="7" t="s">
        <v>103</v>
      </c>
      <c r="I481" s="7">
        <v>3</v>
      </c>
      <c r="J481" s="8">
        <f>IFERROR(VLOOKUP(Tbl_Siparişler[[#This Row],[Kategori]]&amp;"-"&amp;Tbl_Siparişler[[#This Row],[Ürün Adı]],Tbl_Ürünler[],11,0)*Tbl_Siparişler[[#This Row],[Adet]],"")</f>
        <v>17887.5</v>
      </c>
    </row>
    <row r="482" spans="2:10" ht="27" customHeight="1" x14ac:dyDescent="0.4">
      <c r="B482" s="9">
        <f>WEEKNUM(Tbl_Siparişler[[#This Row],[Sipariş Alınan Tarih]])</f>
        <v>45</v>
      </c>
      <c r="C482" s="6">
        <v>44501</v>
      </c>
      <c r="D482" s="7" t="s">
        <v>27</v>
      </c>
      <c r="E482" s="7">
        <v>88653</v>
      </c>
      <c r="F482" s="7" t="s">
        <v>107</v>
      </c>
      <c r="G482" s="7" t="s">
        <v>98</v>
      </c>
      <c r="H482" s="7" t="s">
        <v>103</v>
      </c>
      <c r="I482" s="7">
        <v>1</v>
      </c>
      <c r="J482" s="8">
        <f>IFERROR(VLOOKUP(Tbl_Siparişler[[#This Row],[Kategori]]&amp;"-"&amp;Tbl_Siparişler[[#This Row],[Ürün Adı]],Tbl_Ürünler[],11,0)*Tbl_Siparişler[[#This Row],[Adet]],"")</f>
        <v>5962.5</v>
      </c>
    </row>
    <row r="483" spans="2:10" ht="27" customHeight="1" x14ac:dyDescent="0.4">
      <c r="B483" s="9">
        <f>WEEKNUM(Tbl_Siparişler[[#This Row],[Sipariş Alınan Tarih]])</f>
        <v>30</v>
      </c>
      <c r="C483" s="6">
        <v>44396</v>
      </c>
      <c r="D483" s="7" t="s">
        <v>25</v>
      </c>
      <c r="E483" s="7">
        <v>19555</v>
      </c>
      <c r="F483" s="7" t="s">
        <v>117</v>
      </c>
      <c r="G483" s="7" t="s">
        <v>47</v>
      </c>
      <c r="H483" s="7" t="s">
        <v>49</v>
      </c>
      <c r="I483" s="7">
        <v>5</v>
      </c>
      <c r="J483" s="8">
        <f>IFERROR(VLOOKUP(Tbl_Siparişler[[#This Row],[Kategori]]&amp;"-"&amp;Tbl_Siparişler[[#This Row],[Ürün Adı]],Tbl_Ürünler[],11,0)*Tbl_Siparişler[[#This Row],[Adet]],"")</f>
        <v>47848.75</v>
      </c>
    </row>
    <row r="484" spans="2:10" ht="27" customHeight="1" x14ac:dyDescent="0.4">
      <c r="B484" s="9">
        <f>WEEKNUM(Tbl_Siparişler[[#This Row],[Sipariş Alınan Tarih]])</f>
        <v>12</v>
      </c>
      <c r="C484" s="6">
        <v>44272</v>
      </c>
      <c r="D484" s="7" t="s">
        <v>95</v>
      </c>
      <c r="E484" s="7">
        <v>18777</v>
      </c>
      <c r="F484" s="7" t="s">
        <v>107</v>
      </c>
      <c r="G484" s="7" t="s">
        <v>47</v>
      </c>
      <c r="H484" s="7" t="s">
        <v>48</v>
      </c>
      <c r="I484" s="7">
        <v>1</v>
      </c>
      <c r="J484" s="8">
        <f>IFERROR(VLOOKUP(Tbl_Siparişler[[#This Row],[Kategori]]&amp;"-"&amp;Tbl_Siparişler[[#This Row],[Ürün Adı]],Tbl_Ürünler[],11,0)*Tbl_Siparişler[[#This Row],[Adet]],"")</f>
        <v>8053.5</v>
      </c>
    </row>
    <row r="485" spans="2:10" ht="27" customHeight="1" x14ac:dyDescent="0.4">
      <c r="B485" s="9">
        <f>WEEKNUM(Tbl_Siparişler[[#This Row],[Sipariş Alınan Tarih]])</f>
        <v>24</v>
      </c>
      <c r="C485" s="6">
        <v>44357</v>
      </c>
      <c r="D485" s="7" t="s">
        <v>106</v>
      </c>
      <c r="E485" s="7">
        <v>26331</v>
      </c>
      <c r="F485" s="7" t="s">
        <v>108</v>
      </c>
      <c r="G485" s="7" t="s">
        <v>98</v>
      </c>
      <c r="H485" s="7" t="s">
        <v>103</v>
      </c>
      <c r="I485" s="7">
        <v>4</v>
      </c>
      <c r="J485" s="8">
        <f>IFERROR(VLOOKUP(Tbl_Siparişler[[#This Row],[Kategori]]&amp;"-"&amp;Tbl_Siparişler[[#This Row],[Ürün Adı]],Tbl_Ürünler[],11,0)*Tbl_Siparişler[[#This Row],[Adet]],"")</f>
        <v>23850</v>
      </c>
    </row>
    <row r="486" spans="2:10" ht="27" customHeight="1" x14ac:dyDescent="0.4">
      <c r="B486" s="9">
        <f>WEEKNUM(Tbl_Siparişler[[#This Row],[Sipariş Alınan Tarih]])</f>
        <v>3</v>
      </c>
      <c r="C486" s="6">
        <v>44210</v>
      </c>
      <c r="D486" s="7" t="s">
        <v>95</v>
      </c>
      <c r="E486" s="7">
        <v>35757</v>
      </c>
      <c r="F486" s="7" t="s">
        <v>110</v>
      </c>
      <c r="G486" s="7" t="s">
        <v>29</v>
      </c>
      <c r="H486" s="7" t="s">
        <v>42</v>
      </c>
      <c r="I486" s="7">
        <v>5</v>
      </c>
      <c r="J486" s="8">
        <f>IFERROR(VLOOKUP(Tbl_Siparişler[[#This Row],[Kategori]]&amp;"-"&amp;Tbl_Siparişler[[#This Row],[Ürün Adı]],Tbl_Ürünler[],11,0)*Tbl_Siparişler[[#This Row],[Adet]],"")</f>
        <v>70330</v>
      </c>
    </row>
    <row r="487" spans="2:10" ht="27" customHeight="1" x14ac:dyDescent="0.4">
      <c r="B487" s="9">
        <f>WEEKNUM(Tbl_Siparişler[[#This Row],[Sipariş Alınan Tarih]])</f>
        <v>9</v>
      </c>
      <c r="C487" s="6">
        <v>44254</v>
      </c>
      <c r="D487" s="7" t="s">
        <v>95</v>
      </c>
      <c r="E487" s="7">
        <v>90466</v>
      </c>
      <c r="F487" s="7" t="s">
        <v>115</v>
      </c>
      <c r="G487" s="7" t="s">
        <v>29</v>
      </c>
      <c r="H487" s="7" t="s">
        <v>30</v>
      </c>
      <c r="I487" s="7">
        <v>5</v>
      </c>
      <c r="J487" s="8">
        <f>IFERROR(VLOOKUP(Tbl_Siparişler[[#This Row],[Kategori]]&amp;"-"&amp;Tbl_Siparişler[[#This Row],[Ürün Adı]],Tbl_Ürünler[],11,0)*Tbl_Siparişler[[#This Row],[Adet]],"")</f>
        <v>43426.5</v>
      </c>
    </row>
    <row r="488" spans="2:10" ht="27" customHeight="1" x14ac:dyDescent="0.4">
      <c r="B488" s="9">
        <f>WEEKNUM(Tbl_Siparişler[[#This Row],[Sipariş Alınan Tarih]])</f>
        <v>8</v>
      </c>
      <c r="C488" s="6">
        <v>44245</v>
      </c>
      <c r="D488" s="7" t="s">
        <v>106</v>
      </c>
      <c r="E488" s="7">
        <v>82651</v>
      </c>
      <c r="F488" s="7" t="s">
        <v>116</v>
      </c>
      <c r="G488" s="7" t="s">
        <v>43</v>
      </c>
      <c r="H488" s="7" t="s">
        <v>50</v>
      </c>
      <c r="I488" s="7">
        <v>4</v>
      </c>
      <c r="J488" s="8">
        <f>IFERROR(VLOOKUP(Tbl_Siparişler[[#This Row],[Kategori]]&amp;"-"&amp;Tbl_Siparişler[[#This Row],[Ürün Adı]],Tbl_Ürünler[],11,0)*Tbl_Siparişler[[#This Row],[Adet]],"")</f>
        <v>25832.400000000001</v>
      </c>
    </row>
    <row r="489" spans="2:10" ht="27" customHeight="1" x14ac:dyDescent="0.4">
      <c r="B489" s="9">
        <f>WEEKNUM(Tbl_Siparişler[[#This Row],[Sipariş Alınan Tarih]])</f>
        <v>11</v>
      </c>
      <c r="C489" s="6">
        <v>44268</v>
      </c>
      <c r="D489" s="7" t="s">
        <v>24</v>
      </c>
      <c r="E489" s="7">
        <v>24158</v>
      </c>
      <c r="F489" s="7" t="s">
        <v>115</v>
      </c>
      <c r="G489" s="7" t="s">
        <v>47</v>
      </c>
      <c r="H489" s="7" t="s">
        <v>48</v>
      </c>
      <c r="I489" s="7">
        <v>4</v>
      </c>
      <c r="J489" s="8">
        <f>IFERROR(VLOOKUP(Tbl_Siparişler[[#This Row],[Kategori]]&amp;"-"&amp;Tbl_Siparişler[[#This Row],[Ürün Adı]],Tbl_Ürünler[],11,0)*Tbl_Siparişler[[#This Row],[Adet]],"")</f>
        <v>32214</v>
      </c>
    </row>
    <row r="490" spans="2:10" ht="27" customHeight="1" x14ac:dyDescent="0.4">
      <c r="B490" s="9">
        <f>WEEKNUM(Tbl_Siparişler[[#This Row],[Sipariş Alınan Tarih]])</f>
        <v>2</v>
      </c>
      <c r="C490" s="6">
        <v>44204</v>
      </c>
      <c r="D490" s="7" t="s">
        <v>28</v>
      </c>
      <c r="E490" s="7">
        <v>99533</v>
      </c>
      <c r="F490" s="7" t="s">
        <v>115</v>
      </c>
      <c r="G490" s="7" t="s">
        <v>43</v>
      </c>
      <c r="H490" s="7" t="s">
        <v>44</v>
      </c>
      <c r="I490" s="7">
        <v>5</v>
      </c>
      <c r="J490" s="8">
        <f>IFERROR(VLOOKUP(Tbl_Siparişler[[#This Row],[Kategori]]&amp;"-"&amp;Tbl_Siparişler[[#This Row],[Ürün Adı]],Tbl_Ürünler[],11,0)*Tbl_Siparişler[[#This Row],[Adet]],"")</f>
        <v>44573</v>
      </c>
    </row>
    <row r="491" spans="2:10" ht="27" customHeight="1" x14ac:dyDescent="0.4">
      <c r="B491" s="9">
        <f>WEEKNUM(Tbl_Siparişler[[#This Row],[Sipariş Alınan Tarih]])</f>
        <v>52</v>
      </c>
      <c r="C491" s="6">
        <v>44551</v>
      </c>
      <c r="D491" s="7" t="s">
        <v>27</v>
      </c>
      <c r="E491" s="7">
        <v>58944</v>
      </c>
      <c r="F491" s="7" t="s">
        <v>110</v>
      </c>
      <c r="G491" s="7" t="s">
        <v>29</v>
      </c>
      <c r="H491" s="7" t="s">
        <v>42</v>
      </c>
      <c r="I491" s="7">
        <v>1</v>
      </c>
      <c r="J491" s="8">
        <f>IFERROR(VLOOKUP(Tbl_Siparişler[[#This Row],[Kategori]]&amp;"-"&amp;Tbl_Siparişler[[#This Row],[Ürün Adı]],Tbl_Ürünler[],11,0)*Tbl_Siparişler[[#This Row],[Adet]],"")</f>
        <v>14066</v>
      </c>
    </row>
    <row r="492" spans="2:10" ht="27" customHeight="1" x14ac:dyDescent="0.4">
      <c r="B492" s="9">
        <f>WEEKNUM(Tbl_Siparişler[[#This Row],[Sipariş Alınan Tarih]])</f>
        <v>45</v>
      </c>
      <c r="C492" s="6">
        <v>44504</v>
      </c>
      <c r="D492" s="7" t="s">
        <v>25</v>
      </c>
      <c r="E492" s="7">
        <v>42455</v>
      </c>
      <c r="F492" s="7" t="s">
        <v>112</v>
      </c>
      <c r="G492" s="7" t="s">
        <v>47</v>
      </c>
      <c r="H492" s="7" t="s">
        <v>49</v>
      </c>
      <c r="I492" s="7">
        <v>4</v>
      </c>
      <c r="J492" s="8">
        <f>IFERROR(VLOOKUP(Tbl_Siparişler[[#This Row],[Kategori]]&amp;"-"&amp;Tbl_Siparişler[[#This Row],[Ürün Adı]],Tbl_Ürünler[],11,0)*Tbl_Siparişler[[#This Row],[Adet]],"")</f>
        <v>38279</v>
      </c>
    </row>
    <row r="493" spans="2:10" ht="27" customHeight="1" x14ac:dyDescent="0.4">
      <c r="B493" s="9">
        <f>WEEKNUM(Tbl_Siparişler[[#This Row],[Sipariş Alınan Tarih]])</f>
        <v>45</v>
      </c>
      <c r="C493" s="6">
        <v>44506</v>
      </c>
      <c r="D493" s="7" t="s">
        <v>106</v>
      </c>
      <c r="E493" s="7">
        <v>64679</v>
      </c>
      <c r="F493" s="7" t="s">
        <v>109</v>
      </c>
      <c r="G493" s="7" t="s">
        <v>98</v>
      </c>
      <c r="H493" s="7" t="s">
        <v>100</v>
      </c>
      <c r="I493" s="7">
        <v>1</v>
      </c>
      <c r="J493" s="8">
        <f>IFERROR(VLOOKUP(Tbl_Siparişler[[#This Row],[Kategori]]&amp;"-"&amp;Tbl_Siparişler[[#This Row],[Ürün Adı]],Tbl_Ürünler[],11,0)*Tbl_Siparişler[[#This Row],[Adet]],"")</f>
        <v>9235.2000000000007</v>
      </c>
    </row>
    <row r="494" spans="2:10" ht="27" customHeight="1" x14ac:dyDescent="0.4">
      <c r="B494" s="9">
        <f>WEEKNUM(Tbl_Siparişler[[#This Row],[Sipariş Alınan Tarih]])</f>
        <v>12</v>
      </c>
      <c r="C494" s="6">
        <v>44271</v>
      </c>
      <c r="D494" s="7" t="s">
        <v>27</v>
      </c>
      <c r="E494" s="7">
        <v>99110</v>
      </c>
      <c r="F494" s="7" t="s">
        <v>117</v>
      </c>
      <c r="G494" s="7" t="s">
        <v>43</v>
      </c>
      <c r="H494" s="7" t="s">
        <v>46</v>
      </c>
      <c r="I494" s="7">
        <v>3</v>
      </c>
      <c r="J494" s="8">
        <f>IFERROR(VLOOKUP(Tbl_Siparişler[[#This Row],[Kategori]]&amp;"-"&amp;Tbl_Siparişler[[#This Row],[Ürün Adı]],Tbl_Ürünler[],11,0)*Tbl_Siparişler[[#This Row],[Adet]],"")</f>
        <v>40030.200000000004</v>
      </c>
    </row>
    <row r="495" spans="2:10" ht="27" customHeight="1" x14ac:dyDescent="0.4">
      <c r="B495" s="9">
        <f>WEEKNUM(Tbl_Siparişler[[#This Row],[Sipariş Alınan Tarih]])</f>
        <v>28</v>
      </c>
      <c r="C495" s="6">
        <v>44386</v>
      </c>
      <c r="D495" s="7" t="s">
        <v>24</v>
      </c>
      <c r="E495" s="7">
        <v>26179</v>
      </c>
      <c r="F495" s="7" t="s">
        <v>115</v>
      </c>
      <c r="G495" s="7" t="s">
        <v>98</v>
      </c>
      <c r="H495" s="7" t="s">
        <v>99</v>
      </c>
      <c r="I495" s="7">
        <v>5</v>
      </c>
      <c r="J495" s="8">
        <f>IFERROR(VLOOKUP(Tbl_Siparişler[[#This Row],[Kategori]]&amp;"-"&amp;Tbl_Siparişler[[#This Row],[Ürün Adı]],Tbl_Ürünler[],11,0)*Tbl_Siparişler[[#This Row],[Adet]],"")</f>
        <v>20708.150000000001</v>
      </c>
    </row>
    <row r="496" spans="2:10" ht="27" customHeight="1" x14ac:dyDescent="0.4">
      <c r="B496" s="9">
        <f>WEEKNUM(Tbl_Siparişler[[#This Row],[Sipariş Alınan Tarih]])</f>
        <v>11</v>
      </c>
      <c r="C496" s="6">
        <v>44264</v>
      </c>
      <c r="D496" s="7" t="s">
        <v>27</v>
      </c>
      <c r="E496" s="7">
        <v>33939</v>
      </c>
      <c r="F496" s="7" t="s">
        <v>111</v>
      </c>
      <c r="G496" s="7" t="s">
        <v>43</v>
      </c>
      <c r="H496" s="7" t="s">
        <v>46</v>
      </c>
      <c r="I496" s="7">
        <v>4</v>
      </c>
      <c r="J496" s="8">
        <f>IFERROR(VLOOKUP(Tbl_Siparişler[[#This Row],[Kategori]]&amp;"-"&amp;Tbl_Siparişler[[#This Row],[Ürün Adı]],Tbl_Ürünler[],11,0)*Tbl_Siparişler[[#This Row],[Adet]],"")</f>
        <v>53373.600000000006</v>
      </c>
    </row>
    <row r="497" spans="2:10" ht="27" customHeight="1" x14ac:dyDescent="0.4">
      <c r="B497" s="9">
        <f>WEEKNUM(Tbl_Siparişler[[#This Row],[Sipariş Alınan Tarih]])</f>
        <v>26</v>
      </c>
      <c r="C497" s="6">
        <v>44370</v>
      </c>
      <c r="D497" s="7" t="s">
        <v>28</v>
      </c>
      <c r="E497" s="7">
        <v>42881</v>
      </c>
      <c r="F497" s="7" t="s">
        <v>107</v>
      </c>
      <c r="G497" s="7" t="s">
        <v>98</v>
      </c>
      <c r="H497" s="7" t="s">
        <v>100</v>
      </c>
      <c r="I497" s="7">
        <v>4</v>
      </c>
      <c r="J497" s="8">
        <f>IFERROR(VLOOKUP(Tbl_Siparişler[[#This Row],[Kategori]]&amp;"-"&amp;Tbl_Siparişler[[#This Row],[Ürün Adı]],Tbl_Ürünler[],11,0)*Tbl_Siparişler[[#This Row],[Adet]],"")</f>
        <v>36940.800000000003</v>
      </c>
    </row>
    <row r="498" spans="2:10" ht="27" customHeight="1" x14ac:dyDescent="0.4">
      <c r="B498" s="9">
        <f>WEEKNUM(Tbl_Siparişler[[#This Row],[Sipariş Alınan Tarih]])</f>
        <v>42</v>
      </c>
      <c r="C498" s="6">
        <v>44484</v>
      </c>
      <c r="D498" s="7" t="s">
        <v>26</v>
      </c>
      <c r="E498" s="7">
        <v>76288</v>
      </c>
      <c r="F498" s="7" t="s">
        <v>114</v>
      </c>
      <c r="G498" s="7" t="s">
        <v>47</v>
      </c>
      <c r="H498" s="7" t="s">
        <v>48</v>
      </c>
      <c r="I498" s="7">
        <v>3</v>
      </c>
      <c r="J498" s="8">
        <f>IFERROR(VLOOKUP(Tbl_Siparişler[[#This Row],[Kategori]]&amp;"-"&amp;Tbl_Siparişler[[#This Row],[Ürün Adı]],Tbl_Ürünler[],11,0)*Tbl_Siparişler[[#This Row],[Adet]],"")</f>
        <v>24160.5</v>
      </c>
    </row>
    <row r="499" spans="2:10" ht="27" customHeight="1" x14ac:dyDescent="0.4">
      <c r="B499" s="9">
        <f>WEEKNUM(Tbl_Siparişler[[#This Row],[Sipariş Alınan Tarih]])</f>
        <v>10</v>
      </c>
      <c r="C499" s="6">
        <v>44255</v>
      </c>
      <c r="D499" s="7" t="s">
        <v>28</v>
      </c>
      <c r="E499" s="7">
        <v>28920</v>
      </c>
      <c r="F499" s="7" t="s">
        <v>117</v>
      </c>
      <c r="G499" s="7" t="s">
        <v>29</v>
      </c>
      <c r="H499" s="7" t="s">
        <v>41</v>
      </c>
      <c r="I499" s="7">
        <v>4</v>
      </c>
      <c r="J499" s="8">
        <f>IFERROR(VLOOKUP(Tbl_Siparişler[[#This Row],[Kategori]]&amp;"-"&amp;Tbl_Siparişler[[#This Row],[Ürün Adı]],Tbl_Ürünler[],11,0)*Tbl_Siparişler[[#This Row],[Adet]],"")</f>
        <v>50484</v>
      </c>
    </row>
    <row r="500" spans="2:10" ht="27" customHeight="1" x14ac:dyDescent="0.4">
      <c r="B500" s="9">
        <f>WEEKNUM(Tbl_Siparişler[[#This Row],[Sipariş Alınan Tarih]])</f>
        <v>31</v>
      </c>
      <c r="C500" s="6">
        <v>44405</v>
      </c>
      <c r="D500" s="7" t="s">
        <v>95</v>
      </c>
      <c r="E500" s="7">
        <v>89329</v>
      </c>
      <c r="F500" s="7" t="s">
        <v>116</v>
      </c>
      <c r="G500" s="7" t="s">
        <v>98</v>
      </c>
      <c r="H500" s="7" t="s">
        <v>99</v>
      </c>
      <c r="I500" s="7">
        <v>3</v>
      </c>
      <c r="J500" s="8">
        <f>IFERROR(VLOOKUP(Tbl_Siparişler[[#This Row],[Kategori]]&amp;"-"&amp;Tbl_Siparişler[[#This Row],[Ürün Adı]],Tbl_Ürünler[],11,0)*Tbl_Siparişler[[#This Row],[Adet]],"")</f>
        <v>12424.89</v>
      </c>
    </row>
    <row r="501" spans="2:10" ht="27" customHeight="1" x14ac:dyDescent="0.4">
      <c r="B501" s="9">
        <f>WEEKNUM(Tbl_Siparişler[[#This Row],[Sipariş Alınan Tarih]])</f>
        <v>42</v>
      </c>
      <c r="C501" s="6">
        <v>44485</v>
      </c>
      <c r="D501" s="7" t="s">
        <v>28</v>
      </c>
      <c r="E501" s="7">
        <v>34099</v>
      </c>
      <c r="F501" s="7" t="s">
        <v>110</v>
      </c>
      <c r="G501" s="7" t="s">
        <v>47</v>
      </c>
      <c r="H501" s="7" t="s">
        <v>49</v>
      </c>
      <c r="I501" s="7">
        <v>5</v>
      </c>
      <c r="J501" s="8">
        <f>IFERROR(VLOOKUP(Tbl_Siparişler[[#This Row],[Kategori]]&amp;"-"&amp;Tbl_Siparişler[[#This Row],[Ürün Adı]],Tbl_Ürünler[],11,0)*Tbl_Siparişler[[#This Row],[Adet]],"")</f>
        <v>47848.75</v>
      </c>
    </row>
    <row r="502" spans="2:10" ht="27" customHeight="1" x14ac:dyDescent="0.4">
      <c r="B502" s="9">
        <f>WEEKNUM(Tbl_Siparişler[[#This Row],[Sipariş Alınan Tarih]])</f>
        <v>22</v>
      </c>
      <c r="C502" s="6">
        <v>44342</v>
      </c>
      <c r="D502" s="7" t="s">
        <v>24</v>
      </c>
      <c r="E502" s="7">
        <v>36521</v>
      </c>
      <c r="F502" s="7" t="s">
        <v>113</v>
      </c>
      <c r="G502" s="7" t="s">
        <v>47</v>
      </c>
      <c r="H502" s="7" t="s">
        <v>49</v>
      </c>
      <c r="I502" s="7">
        <v>2</v>
      </c>
      <c r="J502" s="8">
        <f>IFERROR(VLOOKUP(Tbl_Siparişler[[#This Row],[Kategori]]&amp;"-"&amp;Tbl_Siparişler[[#This Row],[Ürün Adı]],Tbl_Ürünler[],11,0)*Tbl_Siparişler[[#This Row],[Adet]],"")</f>
        <v>19139.5</v>
      </c>
    </row>
    <row r="503" spans="2:10" ht="27" customHeight="1" x14ac:dyDescent="0.4">
      <c r="B503" s="9">
        <f>WEEKNUM(Tbl_Siparişler[[#This Row],[Sipariş Alınan Tarih]])</f>
        <v>52</v>
      </c>
      <c r="C503" s="6">
        <v>44552</v>
      </c>
      <c r="D503" s="7" t="s">
        <v>95</v>
      </c>
      <c r="E503" s="7">
        <v>96436</v>
      </c>
      <c r="F503" s="7" t="s">
        <v>117</v>
      </c>
      <c r="G503" s="7" t="s">
        <v>29</v>
      </c>
      <c r="H503" s="7" t="s">
        <v>42</v>
      </c>
      <c r="I503" s="7">
        <v>1</v>
      </c>
      <c r="J503" s="8">
        <f>IFERROR(VLOOKUP(Tbl_Siparişler[[#This Row],[Kategori]]&amp;"-"&amp;Tbl_Siparişler[[#This Row],[Ürün Adı]],Tbl_Ürünler[],11,0)*Tbl_Siparişler[[#This Row],[Adet]],"")</f>
        <v>14066</v>
      </c>
    </row>
    <row r="504" spans="2:10" ht="27" customHeight="1" x14ac:dyDescent="0.4">
      <c r="B504" s="9">
        <f>WEEKNUM(Tbl_Siparişler[[#This Row],[Sipariş Alınan Tarih]])</f>
        <v>24</v>
      </c>
      <c r="C504" s="6">
        <v>44355</v>
      </c>
      <c r="D504" s="7" t="s">
        <v>28</v>
      </c>
      <c r="E504" s="7">
        <v>33064</v>
      </c>
      <c r="F504" s="7" t="s">
        <v>108</v>
      </c>
      <c r="G504" s="7" t="s">
        <v>43</v>
      </c>
      <c r="H504" s="7" t="s">
        <v>45</v>
      </c>
      <c r="I504" s="7">
        <v>3</v>
      </c>
      <c r="J504" s="8">
        <f>IFERROR(VLOOKUP(Tbl_Siparişler[[#This Row],[Kategori]]&amp;"-"&amp;Tbl_Siparişler[[#This Row],[Ürün Adı]],Tbl_Ürünler[],11,0)*Tbl_Siparişler[[#This Row],[Adet]],"")</f>
        <v>28978.199999999997</v>
      </c>
    </row>
    <row r="505" spans="2:10" ht="27" customHeight="1" x14ac:dyDescent="0.4">
      <c r="B505" s="9">
        <f>WEEKNUM(Tbl_Siparişler[[#This Row],[Sipariş Alınan Tarih]])</f>
        <v>38</v>
      </c>
      <c r="C505" s="6">
        <v>44453</v>
      </c>
      <c r="D505" s="7" t="s">
        <v>95</v>
      </c>
      <c r="E505" s="7">
        <v>90380</v>
      </c>
      <c r="F505" s="7" t="s">
        <v>116</v>
      </c>
      <c r="G505" s="7" t="s">
        <v>43</v>
      </c>
      <c r="H505" s="7" t="s">
        <v>50</v>
      </c>
      <c r="I505" s="7">
        <v>3</v>
      </c>
      <c r="J505" s="8">
        <f>IFERROR(VLOOKUP(Tbl_Siparişler[[#This Row],[Kategori]]&amp;"-"&amp;Tbl_Siparişler[[#This Row],[Ürün Adı]],Tbl_Ürünler[],11,0)*Tbl_Siparişler[[#This Row],[Adet]],"")</f>
        <v>19374.300000000003</v>
      </c>
    </row>
    <row r="506" spans="2:10" ht="27" customHeight="1" x14ac:dyDescent="0.4">
      <c r="B506" s="9">
        <f>WEEKNUM(Tbl_Siparişler[[#This Row],[Sipariş Alınan Tarih]])</f>
        <v>7</v>
      </c>
      <c r="C506" s="6">
        <v>44236</v>
      </c>
      <c r="D506" s="7" t="s">
        <v>25</v>
      </c>
      <c r="E506" s="7">
        <v>53256</v>
      </c>
      <c r="F506" s="7" t="s">
        <v>118</v>
      </c>
      <c r="G506" s="7" t="s">
        <v>29</v>
      </c>
      <c r="H506" s="7" t="s">
        <v>42</v>
      </c>
      <c r="I506" s="7">
        <v>5</v>
      </c>
      <c r="J506" s="8">
        <f>IFERROR(VLOOKUP(Tbl_Siparişler[[#This Row],[Kategori]]&amp;"-"&amp;Tbl_Siparişler[[#This Row],[Ürün Adı]],Tbl_Ürünler[],11,0)*Tbl_Siparişler[[#This Row],[Adet]],"")</f>
        <v>70330</v>
      </c>
    </row>
    <row r="507" spans="2:10" ht="27" customHeight="1" x14ac:dyDescent="0.4">
      <c r="B507" s="9">
        <f>WEEKNUM(Tbl_Siparişler[[#This Row],[Sipariş Alınan Tarih]])</f>
        <v>18</v>
      </c>
      <c r="C507" s="6">
        <v>44311</v>
      </c>
      <c r="D507" s="7" t="s">
        <v>106</v>
      </c>
      <c r="E507" s="7">
        <v>72700</v>
      </c>
      <c r="F507" s="7" t="s">
        <v>114</v>
      </c>
      <c r="G507" s="7" t="s">
        <v>98</v>
      </c>
      <c r="H507" s="7" t="s">
        <v>100</v>
      </c>
      <c r="I507" s="7">
        <v>1</v>
      </c>
      <c r="J507" s="8">
        <f>IFERROR(VLOOKUP(Tbl_Siparişler[[#This Row],[Kategori]]&amp;"-"&amp;Tbl_Siparişler[[#This Row],[Ürün Adı]],Tbl_Ürünler[],11,0)*Tbl_Siparişler[[#This Row],[Adet]],"")</f>
        <v>9235.2000000000007</v>
      </c>
    </row>
    <row r="508" spans="2:10" ht="27" customHeight="1" x14ac:dyDescent="0.4">
      <c r="B508" s="9">
        <f>WEEKNUM(Tbl_Siparişler[[#This Row],[Sipariş Alınan Tarih]])</f>
        <v>28</v>
      </c>
      <c r="C508" s="6">
        <v>44385</v>
      </c>
      <c r="D508" s="7" t="s">
        <v>95</v>
      </c>
      <c r="E508" s="7">
        <v>86303</v>
      </c>
      <c r="F508" s="7" t="s">
        <v>112</v>
      </c>
      <c r="G508" s="7" t="s">
        <v>29</v>
      </c>
      <c r="H508" s="7" t="s">
        <v>30</v>
      </c>
      <c r="I508" s="7">
        <v>2</v>
      </c>
      <c r="J508" s="8">
        <f>IFERROR(VLOOKUP(Tbl_Siparişler[[#This Row],[Kategori]]&amp;"-"&amp;Tbl_Siparişler[[#This Row],[Ürün Adı]],Tbl_Ürünler[],11,0)*Tbl_Siparişler[[#This Row],[Adet]],"")</f>
        <v>17370.599999999999</v>
      </c>
    </row>
    <row r="509" spans="2:10" ht="27" customHeight="1" x14ac:dyDescent="0.4">
      <c r="B509" s="9">
        <f>WEEKNUM(Tbl_Siparişler[[#This Row],[Sipariş Alınan Tarih]])</f>
        <v>8</v>
      </c>
      <c r="C509" s="6">
        <v>44245</v>
      </c>
      <c r="D509" s="7" t="s">
        <v>26</v>
      </c>
      <c r="E509" s="7">
        <v>11244</v>
      </c>
      <c r="F509" s="7" t="s">
        <v>116</v>
      </c>
      <c r="G509" s="7" t="s">
        <v>47</v>
      </c>
      <c r="H509" s="7" t="s">
        <v>49</v>
      </c>
      <c r="I509" s="7">
        <v>1</v>
      </c>
      <c r="J509" s="8">
        <f>IFERROR(VLOOKUP(Tbl_Siparişler[[#This Row],[Kategori]]&amp;"-"&amp;Tbl_Siparişler[[#This Row],[Ürün Adı]],Tbl_Ürünler[],11,0)*Tbl_Siparişler[[#This Row],[Adet]],"")</f>
        <v>9569.75</v>
      </c>
    </row>
    <row r="510" spans="2:10" ht="27" customHeight="1" x14ac:dyDescent="0.4">
      <c r="B510" s="9">
        <f>WEEKNUM(Tbl_Siparişler[[#This Row],[Sipariş Alınan Tarih]])</f>
        <v>48</v>
      </c>
      <c r="C510" s="6">
        <v>44527</v>
      </c>
      <c r="D510" s="7" t="s">
        <v>24</v>
      </c>
      <c r="E510" s="7">
        <v>58857</v>
      </c>
      <c r="F510" s="7" t="s">
        <v>112</v>
      </c>
      <c r="G510" s="7" t="s">
        <v>43</v>
      </c>
      <c r="H510" s="7" t="s">
        <v>44</v>
      </c>
      <c r="I510" s="7">
        <v>5</v>
      </c>
      <c r="J510" s="8">
        <f>IFERROR(VLOOKUP(Tbl_Siparişler[[#This Row],[Kategori]]&amp;"-"&amp;Tbl_Siparişler[[#This Row],[Ürün Adı]],Tbl_Ürünler[],11,0)*Tbl_Siparişler[[#This Row],[Adet]],"")</f>
        <v>44573</v>
      </c>
    </row>
    <row r="511" spans="2:10" ht="27" customHeight="1" x14ac:dyDescent="0.4">
      <c r="B511" s="9">
        <f>WEEKNUM(Tbl_Siparişler[[#This Row],[Sipariş Alınan Tarih]])</f>
        <v>8</v>
      </c>
      <c r="C511" s="6">
        <v>44241</v>
      </c>
      <c r="D511" s="7" t="s">
        <v>95</v>
      </c>
      <c r="E511" s="7">
        <v>77086</v>
      </c>
      <c r="F511" s="7" t="s">
        <v>116</v>
      </c>
      <c r="G511" s="7" t="s">
        <v>47</v>
      </c>
      <c r="H511" s="7" t="s">
        <v>49</v>
      </c>
      <c r="I511" s="7">
        <v>5</v>
      </c>
      <c r="J511" s="8">
        <f>IFERROR(VLOOKUP(Tbl_Siparişler[[#This Row],[Kategori]]&amp;"-"&amp;Tbl_Siparişler[[#This Row],[Ürün Adı]],Tbl_Ürünler[],11,0)*Tbl_Siparişler[[#This Row],[Adet]],"")</f>
        <v>47848.75</v>
      </c>
    </row>
    <row r="512" spans="2:10" ht="27" customHeight="1" x14ac:dyDescent="0.4">
      <c r="B512" s="9">
        <f>WEEKNUM(Tbl_Siparişler[[#This Row],[Sipariş Alınan Tarih]])</f>
        <v>33</v>
      </c>
      <c r="C512" s="6">
        <v>44420</v>
      </c>
      <c r="D512" s="7" t="s">
        <v>106</v>
      </c>
      <c r="E512" s="7">
        <v>60748</v>
      </c>
      <c r="F512" s="7" t="s">
        <v>109</v>
      </c>
      <c r="G512" s="7" t="s">
        <v>29</v>
      </c>
      <c r="H512" s="7" t="s">
        <v>37</v>
      </c>
      <c r="I512" s="7">
        <v>2</v>
      </c>
      <c r="J512" s="8">
        <f>IFERROR(VLOOKUP(Tbl_Siparişler[[#This Row],[Kategori]]&amp;"-"&amp;Tbl_Siparişler[[#This Row],[Ürün Adı]],Tbl_Ürünler[],11,0)*Tbl_Siparişler[[#This Row],[Adet]],"")</f>
        <v>19600.900000000001</v>
      </c>
    </row>
    <row r="513" spans="2:10" ht="27" customHeight="1" x14ac:dyDescent="0.4">
      <c r="B513" s="9">
        <f>WEEKNUM(Tbl_Siparişler[[#This Row],[Sipariş Alınan Tarih]])</f>
        <v>28</v>
      </c>
      <c r="C513" s="6">
        <v>44383</v>
      </c>
      <c r="D513" s="7" t="s">
        <v>25</v>
      </c>
      <c r="E513" s="7">
        <v>48457</v>
      </c>
      <c r="F513" s="7" t="s">
        <v>114</v>
      </c>
      <c r="G513" s="7" t="s">
        <v>47</v>
      </c>
      <c r="H513" s="7" t="s">
        <v>48</v>
      </c>
      <c r="I513" s="7">
        <v>5</v>
      </c>
      <c r="J513" s="8">
        <f>IFERROR(VLOOKUP(Tbl_Siparişler[[#This Row],[Kategori]]&amp;"-"&amp;Tbl_Siparişler[[#This Row],[Ürün Adı]],Tbl_Ürünler[],11,0)*Tbl_Siparişler[[#This Row],[Adet]],"")</f>
        <v>40267.5</v>
      </c>
    </row>
    <row r="514" spans="2:10" ht="27" customHeight="1" x14ac:dyDescent="0.4">
      <c r="B514" s="9">
        <f>WEEKNUM(Tbl_Siparişler[[#This Row],[Sipariş Alınan Tarih]])</f>
        <v>37</v>
      </c>
      <c r="C514" s="6">
        <v>44444</v>
      </c>
      <c r="D514" s="7" t="s">
        <v>95</v>
      </c>
      <c r="E514" s="7">
        <v>81369</v>
      </c>
      <c r="F514" s="7" t="s">
        <v>107</v>
      </c>
      <c r="G514" s="7" t="s">
        <v>43</v>
      </c>
      <c r="H514" s="7" t="s">
        <v>50</v>
      </c>
      <c r="I514" s="7">
        <v>1</v>
      </c>
      <c r="J514" s="8">
        <f>IFERROR(VLOOKUP(Tbl_Siparişler[[#This Row],[Kategori]]&amp;"-"&amp;Tbl_Siparişler[[#This Row],[Ürün Adı]],Tbl_Ürünler[],11,0)*Tbl_Siparişler[[#This Row],[Adet]],"")</f>
        <v>6458.1</v>
      </c>
    </row>
    <row r="515" spans="2:10" ht="27" customHeight="1" x14ac:dyDescent="0.4">
      <c r="B515" s="9">
        <f>WEEKNUM(Tbl_Siparişler[[#This Row],[Sipariş Alınan Tarih]])</f>
        <v>50</v>
      </c>
      <c r="C515" s="6">
        <v>44535</v>
      </c>
      <c r="D515" s="7" t="s">
        <v>28</v>
      </c>
      <c r="E515" s="7">
        <v>46840</v>
      </c>
      <c r="F515" s="7" t="s">
        <v>111</v>
      </c>
      <c r="G515" s="7" t="s">
        <v>47</v>
      </c>
      <c r="H515" s="7" t="s">
        <v>48</v>
      </c>
      <c r="I515" s="7">
        <v>4</v>
      </c>
      <c r="J515" s="8">
        <f>IFERROR(VLOOKUP(Tbl_Siparişler[[#This Row],[Kategori]]&amp;"-"&amp;Tbl_Siparişler[[#This Row],[Ürün Adı]],Tbl_Ürünler[],11,0)*Tbl_Siparişler[[#This Row],[Adet]],"")</f>
        <v>32214</v>
      </c>
    </row>
    <row r="516" spans="2:10" ht="27" customHeight="1" x14ac:dyDescent="0.4">
      <c r="B516" s="9">
        <f>WEEKNUM(Tbl_Siparişler[[#This Row],[Sipariş Alınan Tarih]])</f>
        <v>52</v>
      </c>
      <c r="C516" s="6">
        <v>44550</v>
      </c>
      <c r="D516" s="7" t="s">
        <v>26</v>
      </c>
      <c r="E516" s="7">
        <v>67039</v>
      </c>
      <c r="F516" s="7" t="s">
        <v>107</v>
      </c>
      <c r="G516" s="7" t="s">
        <v>43</v>
      </c>
      <c r="H516" s="7" t="s">
        <v>46</v>
      </c>
      <c r="I516" s="7">
        <v>3</v>
      </c>
      <c r="J516" s="8">
        <f>IFERROR(VLOOKUP(Tbl_Siparişler[[#This Row],[Kategori]]&amp;"-"&amp;Tbl_Siparişler[[#This Row],[Ürün Adı]],Tbl_Ürünler[],11,0)*Tbl_Siparişler[[#This Row],[Adet]],"")</f>
        <v>40030.200000000004</v>
      </c>
    </row>
    <row r="517" spans="2:10" ht="27" customHeight="1" x14ac:dyDescent="0.4">
      <c r="B517" s="9">
        <f>WEEKNUM(Tbl_Siparişler[[#This Row],[Sipariş Alınan Tarih]])</f>
        <v>22</v>
      </c>
      <c r="C517" s="6">
        <v>44340</v>
      </c>
      <c r="D517" s="7" t="s">
        <v>24</v>
      </c>
      <c r="E517" s="7">
        <v>54315</v>
      </c>
      <c r="F517" s="7" t="s">
        <v>118</v>
      </c>
      <c r="G517" s="7" t="s">
        <v>29</v>
      </c>
      <c r="H517" s="7" t="s">
        <v>30</v>
      </c>
      <c r="I517" s="7">
        <v>1</v>
      </c>
      <c r="J517" s="8">
        <f>IFERROR(VLOOKUP(Tbl_Siparişler[[#This Row],[Kategori]]&amp;"-"&amp;Tbl_Siparişler[[#This Row],[Ürün Adı]],Tbl_Ürünler[],11,0)*Tbl_Siparişler[[#This Row],[Adet]],"")</f>
        <v>8685.2999999999993</v>
      </c>
    </row>
    <row r="518" spans="2:10" ht="27" customHeight="1" x14ac:dyDescent="0.4">
      <c r="B518" s="9">
        <f>WEEKNUM(Tbl_Siparişler[[#This Row],[Sipariş Alınan Tarih]])</f>
        <v>39</v>
      </c>
      <c r="C518" s="6">
        <v>44464</v>
      </c>
      <c r="D518" s="7" t="s">
        <v>26</v>
      </c>
      <c r="E518" s="7">
        <v>48549</v>
      </c>
      <c r="F518" s="7" t="s">
        <v>118</v>
      </c>
      <c r="G518" s="7" t="s">
        <v>47</v>
      </c>
      <c r="H518" s="7" t="s">
        <v>48</v>
      </c>
      <c r="I518" s="7">
        <v>1</v>
      </c>
      <c r="J518" s="8">
        <f>IFERROR(VLOOKUP(Tbl_Siparişler[[#This Row],[Kategori]]&amp;"-"&amp;Tbl_Siparişler[[#This Row],[Ürün Adı]],Tbl_Ürünler[],11,0)*Tbl_Siparişler[[#This Row],[Adet]],"")</f>
        <v>8053.5</v>
      </c>
    </row>
    <row r="519" spans="2:10" ht="27" customHeight="1" x14ac:dyDescent="0.4">
      <c r="B519" s="9">
        <f>WEEKNUM(Tbl_Siparişler[[#This Row],[Sipariş Alınan Tarih]])</f>
        <v>27</v>
      </c>
      <c r="C519" s="6">
        <v>44374</v>
      </c>
      <c r="D519" s="7" t="s">
        <v>26</v>
      </c>
      <c r="E519" s="7">
        <v>22166</v>
      </c>
      <c r="F519" s="7" t="s">
        <v>110</v>
      </c>
      <c r="G519" s="7" t="s">
        <v>98</v>
      </c>
      <c r="H519" s="7" t="s">
        <v>103</v>
      </c>
      <c r="I519" s="7">
        <v>3</v>
      </c>
      <c r="J519" s="8">
        <f>IFERROR(VLOOKUP(Tbl_Siparişler[[#This Row],[Kategori]]&amp;"-"&amp;Tbl_Siparişler[[#This Row],[Ürün Adı]],Tbl_Ürünler[],11,0)*Tbl_Siparişler[[#This Row],[Adet]],"")</f>
        <v>17887.5</v>
      </c>
    </row>
    <row r="520" spans="2:10" ht="27" customHeight="1" x14ac:dyDescent="0.4">
      <c r="B520" s="9">
        <f>WEEKNUM(Tbl_Siparişler[[#This Row],[Sipariş Alınan Tarih]])</f>
        <v>35</v>
      </c>
      <c r="C520" s="6">
        <v>44435</v>
      </c>
      <c r="D520" s="7" t="s">
        <v>26</v>
      </c>
      <c r="E520" s="7">
        <v>76819</v>
      </c>
      <c r="F520" s="7" t="s">
        <v>118</v>
      </c>
      <c r="G520" s="7" t="s">
        <v>98</v>
      </c>
      <c r="H520" s="7" t="s">
        <v>99</v>
      </c>
      <c r="I520" s="7">
        <v>2</v>
      </c>
      <c r="J520" s="8">
        <f>IFERROR(VLOOKUP(Tbl_Siparişler[[#This Row],[Kategori]]&amp;"-"&amp;Tbl_Siparişler[[#This Row],[Ürün Adı]],Tbl_Ürünler[],11,0)*Tbl_Siparişler[[#This Row],[Adet]],"")</f>
        <v>8283.26</v>
      </c>
    </row>
    <row r="521" spans="2:10" ht="27" customHeight="1" x14ac:dyDescent="0.4">
      <c r="B521" s="9">
        <f>WEEKNUM(Tbl_Siparişler[[#This Row],[Sipariş Alınan Tarih]])</f>
        <v>9</v>
      </c>
      <c r="C521" s="6">
        <v>44254</v>
      </c>
      <c r="D521" s="7" t="s">
        <v>95</v>
      </c>
      <c r="E521" s="7">
        <v>66144</v>
      </c>
      <c r="F521" s="7" t="s">
        <v>109</v>
      </c>
      <c r="G521" s="7" t="s">
        <v>98</v>
      </c>
      <c r="H521" s="7" t="s">
        <v>103</v>
      </c>
      <c r="I521" s="7">
        <v>3</v>
      </c>
      <c r="J521" s="8">
        <f>IFERROR(VLOOKUP(Tbl_Siparişler[[#This Row],[Kategori]]&amp;"-"&amp;Tbl_Siparişler[[#This Row],[Ürün Adı]],Tbl_Ürünler[],11,0)*Tbl_Siparişler[[#This Row],[Adet]],"")</f>
        <v>17887.5</v>
      </c>
    </row>
    <row r="522" spans="2:10" ht="27" customHeight="1" x14ac:dyDescent="0.4">
      <c r="B522" s="9">
        <f>WEEKNUM(Tbl_Siparişler[[#This Row],[Sipariş Alınan Tarih]])</f>
        <v>52</v>
      </c>
      <c r="C522" s="6">
        <v>44554</v>
      </c>
      <c r="D522" s="7" t="s">
        <v>95</v>
      </c>
      <c r="E522" s="7">
        <v>81228</v>
      </c>
      <c r="F522" s="7" t="s">
        <v>109</v>
      </c>
      <c r="G522" s="7" t="s">
        <v>98</v>
      </c>
      <c r="H522" s="7" t="s">
        <v>103</v>
      </c>
      <c r="I522" s="7">
        <v>5</v>
      </c>
      <c r="J522" s="8">
        <f>IFERROR(VLOOKUP(Tbl_Siparişler[[#This Row],[Kategori]]&amp;"-"&amp;Tbl_Siparişler[[#This Row],[Ürün Adı]],Tbl_Ürünler[],11,0)*Tbl_Siparişler[[#This Row],[Adet]],"")</f>
        <v>29812.5</v>
      </c>
    </row>
    <row r="523" spans="2:10" ht="27" customHeight="1" x14ac:dyDescent="0.4">
      <c r="B523" s="9">
        <f>WEEKNUM(Tbl_Siparişler[[#This Row],[Sipariş Alınan Tarih]])</f>
        <v>35</v>
      </c>
      <c r="C523" s="6">
        <v>44433</v>
      </c>
      <c r="D523" s="7" t="s">
        <v>27</v>
      </c>
      <c r="E523" s="7">
        <v>70858</v>
      </c>
      <c r="F523" s="7" t="s">
        <v>109</v>
      </c>
      <c r="G523" s="7" t="s">
        <v>98</v>
      </c>
      <c r="H523" s="7" t="s">
        <v>103</v>
      </c>
      <c r="I523" s="7">
        <v>3</v>
      </c>
      <c r="J523" s="8">
        <f>IFERROR(VLOOKUP(Tbl_Siparişler[[#This Row],[Kategori]]&amp;"-"&amp;Tbl_Siparişler[[#This Row],[Ürün Adı]],Tbl_Ürünler[],11,0)*Tbl_Siparişler[[#This Row],[Adet]],"")</f>
        <v>17887.5</v>
      </c>
    </row>
    <row r="524" spans="2:10" ht="27" customHeight="1" x14ac:dyDescent="0.4">
      <c r="B524" s="9">
        <f>WEEKNUM(Tbl_Siparişler[[#This Row],[Sipariş Alınan Tarih]])</f>
        <v>49</v>
      </c>
      <c r="C524" s="6">
        <v>44528</v>
      </c>
      <c r="D524" s="7" t="s">
        <v>95</v>
      </c>
      <c r="E524" s="7">
        <v>62129</v>
      </c>
      <c r="F524" s="7" t="s">
        <v>115</v>
      </c>
      <c r="G524" s="7" t="s">
        <v>29</v>
      </c>
      <c r="H524" s="7" t="s">
        <v>30</v>
      </c>
      <c r="I524" s="7">
        <v>3</v>
      </c>
      <c r="J524" s="8">
        <f>IFERROR(VLOOKUP(Tbl_Siparişler[[#This Row],[Kategori]]&amp;"-"&amp;Tbl_Siparişler[[#This Row],[Ürün Adı]],Tbl_Ürünler[],11,0)*Tbl_Siparişler[[#This Row],[Adet]],"")</f>
        <v>26055.899999999998</v>
      </c>
    </row>
    <row r="525" spans="2:10" ht="27" customHeight="1" x14ac:dyDescent="0.4">
      <c r="B525" s="9">
        <f>WEEKNUM(Tbl_Siparişler[[#This Row],[Sipariş Alınan Tarih]])</f>
        <v>4</v>
      </c>
      <c r="C525" s="6">
        <v>44219</v>
      </c>
      <c r="D525" s="7" t="s">
        <v>26</v>
      </c>
      <c r="E525" s="7">
        <v>40898</v>
      </c>
      <c r="F525" s="7" t="s">
        <v>112</v>
      </c>
      <c r="G525" s="7" t="s">
        <v>98</v>
      </c>
      <c r="H525" s="7" t="s">
        <v>103</v>
      </c>
      <c r="I525" s="7">
        <v>4</v>
      </c>
      <c r="J525" s="8">
        <f>IFERROR(VLOOKUP(Tbl_Siparişler[[#This Row],[Kategori]]&amp;"-"&amp;Tbl_Siparişler[[#This Row],[Ürün Adı]],Tbl_Ürünler[],11,0)*Tbl_Siparişler[[#This Row],[Adet]],"")</f>
        <v>23850</v>
      </c>
    </row>
    <row r="526" spans="2:10" ht="27" customHeight="1" x14ac:dyDescent="0.4">
      <c r="B526" s="9">
        <f>WEEKNUM(Tbl_Siparişler[[#This Row],[Sipariş Alınan Tarih]])</f>
        <v>44</v>
      </c>
      <c r="C526" s="6">
        <v>44494</v>
      </c>
      <c r="D526" s="7" t="s">
        <v>27</v>
      </c>
      <c r="E526" s="7">
        <v>94539</v>
      </c>
      <c r="F526" s="7" t="s">
        <v>117</v>
      </c>
      <c r="G526" s="7" t="s">
        <v>29</v>
      </c>
      <c r="H526" s="7" t="s">
        <v>41</v>
      </c>
      <c r="I526" s="7">
        <v>3</v>
      </c>
      <c r="J526" s="8">
        <f>IFERROR(VLOOKUP(Tbl_Siparişler[[#This Row],[Kategori]]&amp;"-"&amp;Tbl_Siparişler[[#This Row],[Ürün Adı]],Tbl_Ürünler[],11,0)*Tbl_Siparişler[[#This Row],[Adet]],"")</f>
        <v>37863</v>
      </c>
    </row>
    <row r="527" spans="2:10" ht="27" customHeight="1" x14ac:dyDescent="0.4">
      <c r="B527" s="9">
        <f>WEEKNUM(Tbl_Siparişler[[#This Row],[Sipariş Alınan Tarih]])</f>
        <v>6</v>
      </c>
      <c r="C527" s="6">
        <v>44233</v>
      </c>
      <c r="D527" s="7" t="s">
        <v>28</v>
      </c>
      <c r="E527" s="7">
        <v>50190</v>
      </c>
      <c r="F527" s="7" t="s">
        <v>115</v>
      </c>
      <c r="G527" s="7" t="s">
        <v>29</v>
      </c>
      <c r="H527" s="7" t="s">
        <v>41</v>
      </c>
      <c r="I527" s="7">
        <v>2</v>
      </c>
      <c r="J527" s="8">
        <f>IFERROR(VLOOKUP(Tbl_Siparişler[[#This Row],[Kategori]]&amp;"-"&amp;Tbl_Siparişler[[#This Row],[Ürün Adı]],Tbl_Ürünler[],11,0)*Tbl_Siparişler[[#This Row],[Adet]],"")</f>
        <v>25242</v>
      </c>
    </row>
    <row r="528" spans="2:10" ht="27" customHeight="1" x14ac:dyDescent="0.4">
      <c r="B528" s="9">
        <f>WEEKNUM(Tbl_Siparişler[[#This Row],[Sipariş Alınan Tarih]])</f>
        <v>39</v>
      </c>
      <c r="C528" s="6">
        <v>44462</v>
      </c>
      <c r="D528" s="7" t="s">
        <v>27</v>
      </c>
      <c r="E528" s="7">
        <v>68112</v>
      </c>
      <c r="F528" s="7" t="s">
        <v>107</v>
      </c>
      <c r="G528" s="7" t="s">
        <v>29</v>
      </c>
      <c r="H528" s="7" t="s">
        <v>42</v>
      </c>
      <c r="I528" s="7">
        <v>4</v>
      </c>
      <c r="J528" s="8">
        <f>IFERROR(VLOOKUP(Tbl_Siparişler[[#This Row],[Kategori]]&amp;"-"&amp;Tbl_Siparişler[[#This Row],[Ürün Adı]],Tbl_Ürünler[],11,0)*Tbl_Siparişler[[#This Row],[Adet]],"")</f>
        <v>56264</v>
      </c>
    </row>
    <row r="529" spans="2:10" ht="27" customHeight="1" x14ac:dyDescent="0.4">
      <c r="B529" s="9">
        <f>WEEKNUM(Tbl_Siparişler[[#This Row],[Sipariş Alınan Tarih]])</f>
        <v>1</v>
      </c>
      <c r="C529" s="6">
        <v>44198</v>
      </c>
      <c r="D529" s="7" t="s">
        <v>25</v>
      </c>
      <c r="E529" s="7">
        <v>43256</v>
      </c>
      <c r="F529" s="7" t="s">
        <v>118</v>
      </c>
      <c r="G529" s="7" t="s">
        <v>43</v>
      </c>
      <c r="H529" s="7" t="s">
        <v>45</v>
      </c>
      <c r="I529" s="7">
        <v>2</v>
      </c>
      <c r="J529" s="8">
        <f>IFERROR(VLOOKUP(Tbl_Siparişler[[#This Row],[Kategori]]&amp;"-"&amp;Tbl_Siparişler[[#This Row],[Ürün Adı]],Tbl_Ürünler[],11,0)*Tbl_Siparişler[[#This Row],[Adet]],"")</f>
        <v>19318.8</v>
      </c>
    </row>
    <row r="530" spans="2:10" ht="27" customHeight="1" x14ac:dyDescent="0.4">
      <c r="B530" s="9">
        <f>WEEKNUM(Tbl_Siparişler[[#This Row],[Sipariş Alınan Tarih]])</f>
        <v>3</v>
      </c>
      <c r="C530" s="6">
        <v>44207</v>
      </c>
      <c r="D530" s="7" t="s">
        <v>26</v>
      </c>
      <c r="E530" s="7">
        <v>55700</v>
      </c>
      <c r="F530" s="7" t="s">
        <v>118</v>
      </c>
      <c r="G530" s="7" t="s">
        <v>47</v>
      </c>
      <c r="H530" s="7" t="s">
        <v>48</v>
      </c>
      <c r="I530" s="7">
        <v>2</v>
      </c>
      <c r="J530" s="8">
        <f>IFERROR(VLOOKUP(Tbl_Siparişler[[#This Row],[Kategori]]&amp;"-"&amp;Tbl_Siparişler[[#This Row],[Ürün Adı]],Tbl_Ürünler[],11,0)*Tbl_Siparişler[[#This Row],[Adet]],"")</f>
        <v>16107</v>
      </c>
    </row>
    <row r="531" spans="2:10" ht="27" customHeight="1" x14ac:dyDescent="0.4">
      <c r="B531" s="9">
        <f>WEEKNUM(Tbl_Siparişler[[#This Row],[Sipariş Alınan Tarih]])</f>
        <v>52</v>
      </c>
      <c r="C531" s="6">
        <v>44549</v>
      </c>
      <c r="D531" s="7" t="s">
        <v>106</v>
      </c>
      <c r="E531" s="7">
        <v>67064</v>
      </c>
      <c r="F531" s="7" t="s">
        <v>118</v>
      </c>
      <c r="G531" s="7" t="s">
        <v>43</v>
      </c>
      <c r="H531" s="7" t="s">
        <v>46</v>
      </c>
      <c r="I531" s="7">
        <v>2</v>
      </c>
      <c r="J531" s="8">
        <f>IFERROR(VLOOKUP(Tbl_Siparişler[[#This Row],[Kategori]]&amp;"-"&amp;Tbl_Siparişler[[#This Row],[Ürün Adı]],Tbl_Ürünler[],11,0)*Tbl_Siparişler[[#This Row],[Adet]],"")</f>
        <v>26686.800000000003</v>
      </c>
    </row>
    <row r="532" spans="2:10" ht="27" customHeight="1" x14ac:dyDescent="0.4">
      <c r="B532" s="9">
        <f>WEEKNUM(Tbl_Siparişler[[#This Row],[Sipariş Alınan Tarih]])</f>
        <v>47</v>
      </c>
      <c r="C532" s="6">
        <v>44520</v>
      </c>
      <c r="D532" s="7" t="s">
        <v>95</v>
      </c>
      <c r="E532" s="7">
        <v>76532</v>
      </c>
      <c r="F532" s="7" t="s">
        <v>112</v>
      </c>
      <c r="G532" s="7" t="s">
        <v>98</v>
      </c>
      <c r="H532" s="7" t="s">
        <v>99</v>
      </c>
      <c r="I532" s="7">
        <v>4</v>
      </c>
      <c r="J532" s="8">
        <f>IFERROR(VLOOKUP(Tbl_Siparişler[[#This Row],[Kategori]]&amp;"-"&amp;Tbl_Siparişler[[#This Row],[Ürün Adı]],Tbl_Ürünler[],11,0)*Tbl_Siparişler[[#This Row],[Adet]],"")</f>
        <v>16566.52</v>
      </c>
    </row>
    <row r="533" spans="2:10" ht="27" customHeight="1" x14ac:dyDescent="0.4">
      <c r="B533" s="9">
        <f>WEEKNUM(Tbl_Siparişler[[#This Row],[Sipariş Alınan Tarih]])</f>
        <v>52</v>
      </c>
      <c r="C533" s="6">
        <v>44554</v>
      </c>
      <c r="D533" s="7" t="s">
        <v>106</v>
      </c>
      <c r="E533" s="7">
        <v>53651</v>
      </c>
      <c r="F533" s="7" t="s">
        <v>117</v>
      </c>
      <c r="G533" s="7" t="s">
        <v>43</v>
      </c>
      <c r="H533" s="7" t="s">
        <v>45</v>
      </c>
      <c r="I533" s="7">
        <v>1</v>
      </c>
      <c r="J533" s="8">
        <f>IFERROR(VLOOKUP(Tbl_Siparişler[[#This Row],[Kategori]]&amp;"-"&amp;Tbl_Siparişler[[#This Row],[Ürün Adı]],Tbl_Ürünler[],11,0)*Tbl_Siparişler[[#This Row],[Adet]],"")</f>
        <v>9659.4</v>
      </c>
    </row>
    <row r="534" spans="2:10" ht="27" customHeight="1" x14ac:dyDescent="0.4">
      <c r="B534" s="9">
        <f>WEEKNUM(Tbl_Siparişler[[#This Row],[Sipariş Alınan Tarih]])</f>
        <v>30</v>
      </c>
      <c r="C534" s="6">
        <v>44398</v>
      </c>
      <c r="D534" s="7" t="s">
        <v>27</v>
      </c>
      <c r="E534" s="7">
        <v>40774</v>
      </c>
      <c r="F534" s="7" t="s">
        <v>108</v>
      </c>
      <c r="G534" s="7" t="s">
        <v>29</v>
      </c>
      <c r="H534" s="7" t="s">
        <v>37</v>
      </c>
      <c r="I534" s="7">
        <v>1</v>
      </c>
      <c r="J534" s="8">
        <f>IFERROR(VLOOKUP(Tbl_Siparişler[[#This Row],[Kategori]]&amp;"-"&amp;Tbl_Siparişler[[#This Row],[Ürün Adı]],Tbl_Ürünler[],11,0)*Tbl_Siparişler[[#This Row],[Adet]],"")</f>
        <v>9800.4500000000007</v>
      </c>
    </row>
    <row r="535" spans="2:10" ht="27" customHeight="1" x14ac:dyDescent="0.4">
      <c r="B535" s="9">
        <f>WEEKNUM(Tbl_Siparişler[[#This Row],[Sipariş Alınan Tarih]])</f>
        <v>41</v>
      </c>
      <c r="C535" s="6">
        <v>44474</v>
      </c>
      <c r="D535" s="7" t="s">
        <v>24</v>
      </c>
      <c r="E535" s="7">
        <v>22623</v>
      </c>
      <c r="F535" s="7" t="s">
        <v>112</v>
      </c>
      <c r="G535" s="7" t="s">
        <v>43</v>
      </c>
      <c r="H535" s="7" t="s">
        <v>45</v>
      </c>
      <c r="I535" s="7">
        <v>5</v>
      </c>
      <c r="J535" s="8">
        <f>IFERROR(VLOOKUP(Tbl_Siparişler[[#This Row],[Kategori]]&amp;"-"&amp;Tbl_Siparişler[[#This Row],[Ürün Adı]],Tbl_Ürünler[],11,0)*Tbl_Siparişler[[#This Row],[Adet]],"")</f>
        <v>48297</v>
      </c>
    </row>
    <row r="536" spans="2:10" ht="27" customHeight="1" x14ac:dyDescent="0.4">
      <c r="B536" s="9">
        <f>WEEKNUM(Tbl_Siparişler[[#This Row],[Sipariş Alınan Tarih]])</f>
        <v>26</v>
      </c>
      <c r="C536" s="6">
        <v>44367</v>
      </c>
      <c r="D536" s="7" t="s">
        <v>24</v>
      </c>
      <c r="E536" s="7">
        <v>28972</v>
      </c>
      <c r="F536" s="7" t="s">
        <v>118</v>
      </c>
      <c r="G536" s="7" t="s">
        <v>43</v>
      </c>
      <c r="H536" s="7" t="s">
        <v>46</v>
      </c>
      <c r="I536" s="7">
        <v>1</v>
      </c>
      <c r="J536" s="8">
        <f>IFERROR(VLOOKUP(Tbl_Siparişler[[#This Row],[Kategori]]&amp;"-"&amp;Tbl_Siparişler[[#This Row],[Ürün Adı]],Tbl_Ürünler[],11,0)*Tbl_Siparişler[[#This Row],[Adet]],"")</f>
        <v>13343.400000000001</v>
      </c>
    </row>
    <row r="537" spans="2:10" ht="27" customHeight="1" x14ac:dyDescent="0.4">
      <c r="B537" s="9">
        <f>WEEKNUM(Tbl_Siparişler[[#This Row],[Sipariş Alınan Tarih]])</f>
        <v>34</v>
      </c>
      <c r="C537" s="6">
        <v>44429</v>
      </c>
      <c r="D537" s="7" t="s">
        <v>24</v>
      </c>
      <c r="E537" s="7">
        <v>15870</v>
      </c>
      <c r="F537" s="7" t="s">
        <v>114</v>
      </c>
      <c r="G537" s="7" t="s">
        <v>43</v>
      </c>
      <c r="H537" s="7" t="s">
        <v>44</v>
      </c>
      <c r="I537" s="7">
        <v>4</v>
      </c>
      <c r="J537" s="8">
        <f>IFERROR(VLOOKUP(Tbl_Siparişler[[#This Row],[Kategori]]&amp;"-"&amp;Tbl_Siparişler[[#This Row],[Ürün Adı]],Tbl_Ürünler[],11,0)*Tbl_Siparişler[[#This Row],[Adet]],"")</f>
        <v>35658.400000000001</v>
      </c>
    </row>
    <row r="538" spans="2:10" ht="27" customHeight="1" x14ac:dyDescent="0.4">
      <c r="B538" s="9">
        <f>WEEKNUM(Tbl_Siparişler[[#This Row],[Sipariş Alınan Tarih]])</f>
        <v>42</v>
      </c>
      <c r="C538" s="6">
        <v>44479</v>
      </c>
      <c r="D538" s="7" t="s">
        <v>26</v>
      </c>
      <c r="E538" s="7">
        <v>56904</v>
      </c>
      <c r="F538" s="7" t="s">
        <v>109</v>
      </c>
      <c r="G538" s="7" t="s">
        <v>98</v>
      </c>
      <c r="H538" s="7" t="s">
        <v>99</v>
      </c>
      <c r="I538" s="7">
        <v>3</v>
      </c>
      <c r="J538" s="8">
        <f>IFERROR(VLOOKUP(Tbl_Siparişler[[#This Row],[Kategori]]&amp;"-"&amp;Tbl_Siparişler[[#This Row],[Ürün Adı]],Tbl_Ürünler[],11,0)*Tbl_Siparişler[[#This Row],[Adet]],"")</f>
        <v>12424.89</v>
      </c>
    </row>
    <row r="539" spans="2:10" ht="27" customHeight="1" x14ac:dyDescent="0.4">
      <c r="B539" s="9">
        <f>WEEKNUM(Tbl_Siparişler[[#This Row],[Sipariş Alınan Tarih]])</f>
        <v>20</v>
      </c>
      <c r="C539" s="6">
        <v>44327</v>
      </c>
      <c r="D539" s="7" t="s">
        <v>28</v>
      </c>
      <c r="E539" s="7">
        <v>81562</v>
      </c>
      <c r="F539" s="7" t="s">
        <v>109</v>
      </c>
      <c r="G539" s="7" t="s">
        <v>43</v>
      </c>
      <c r="H539" s="7" t="s">
        <v>45</v>
      </c>
      <c r="I539" s="7">
        <v>3</v>
      </c>
      <c r="J539" s="8">
        <f>IFERROR(VLOOKUP(Tbl_Siparişler[[#This Row],[Kategori]]&amp;"-"&amp;Tbl_Siparişler[[#This Row],[Ürün Adı]],Tbl_Ürünler[],11,0)*Tbl_Siparişler[[#This Row],[Adet]],"")</f>
        <v>28978.199999999997</v>
      </c>
    </row>
    <row r="540" spans="2:10" ht="27" customHeight="1" x14ac:dyDescent="0.4">
      <c r="B540" s="9">
        <f>WEEKNUM(Tbl_Siparişler[[#This Row],[Sipariş Alınan Tarih]])</f>
        <v>47</v>
      </c>
      <c r="C540" s="6">
        <v>44519</v>
      </c>
      <c r="D540" s="7" t="s">
        <v>24</v>
      </c>
      <c r="E540" s="7">
        <v>78200</v>
      </c>
      <c r="F540" s="7" t="s">
        <v>115</v>
      </c>
      <c r="G540" s="7" t="s">
        <v>47</v>
      </c>
      <c r="H540" s="7" t="s">
        <v>49</v>
      </c>
      <c r="I540" s="7">
        <v>3</v>
      </c>
      <c r="J540" s="8">
        <f>IFERROR(VLOOKUP(Tbl_Siparişler[[#This Row],[Kategori]]&amp;"-"&amp;Tbl_Siparişler[[#This Row],[Ürün Adı]],Tbl_Ürünler[],11,0)*Tbl_Siparişler[[#This Row],[Adet]],"")</f>
        <v>28709.25</v>
      </c>
    </row>
    <row r="541" spans="2:10" ht="27" customHeight="1" x14ac:dyDescent="0.4">
      <c r="B541" s="9">
        <f>WEEKNUM(Tbl_Siparişler[[#This Row],[Sipariş Alınan Tarih]])</f>
        <v>20</v>
      </c>
      <c r="C541" s="6">
        <v>44325</v>
      </c>
      <c r="D541" s="7" t="s">
        <v>106</v>
      </c>
      <c r="E541" s="7">
        <v>59855</v>
      </c>
      <c r="F541" s="7" t="s">
        <v>109</v>
      </c>
      <c r="G541" s="7" t="s">
        <v>98</v>
      </c>
      <c r="H541" s="7" t="s">
        <v>100</v>
      </c>
      <c r="I541" s="7">
        <v>4</v>
      </c>
      <c r="J541" s="8">
        <f>IFERROR(VLOOKUP(Tbl_Siparişler[[#This Row],[Kategori]]&amp;"-"&amp;Tbl_Siparişler[[#This Row],[Ürün Adı]],Tbl_Ürünler[],11,0)*Tbl_Siparişler[[#This Row],[Adet]],"")</f>
        <v>36940.800000000003</v>
      </c>
    </row>
    <row r="542" spans="2:10" ht="27" customHeight="1" x14ac:dyDescent="0.4">
      <c r="B542" s="9">
        <f>WEEKNUM(Tbl_Siparişler[[#This Row],[Sipariş Alınan Tarih]])</f>
        <v>32</v>
      </c>
      <c r="C542" s="6">
        <v>44410</v>
      </c>
      <c r="D542" s="7" t="s">
        <v>28</v>
      </c>
      <c r="E542" s="7">
        <v>11950</v>
      </c>
      <c r="F542" s="7" t="s">
        <v>113</v>
      </c>
      <c r="G542" s="7" t="s">
        <v>47</v>
      </c>
      <c r="H542" s="7" t="s">
        <v>48</v>
      </c>
      <c r="I542" s="7">
        <v>1</v>
      </c>
      <c r="J542" s="8">
        <f>IFERROR(VLOOKUP(Tbl_Siparişler[[#This Row],[Kategori]]&amp;"-"&amp;Tbl_Siparişler[[#This Row],[Ürün Adı]],Tbl_Ürünler[],11,0)*Tbl_Siparişler[[#This Row],[Adet]],"")</f>
        <v>8053.5</v>
      </c>
    </row>
    <row r="543" spans="2:10" ht="27" customHeight="1" x14ac:dyDescent="0.4">
      <c r="B543" s="9">
        <f>WEEKNUM(Tbl_Siparişler[[#This Row],[Sipariş Alınan Tarih]])</f>
        <v>12</v>
      </c>
      <c r="C543" s="6">
        <v>44270</v>
      </c>
      <c r="D543" s="7" t="s">
        <v>24</v>
      </c>
      <c r="E543" s="7">
        <v>27337</v>
      </c>
      <c r="F543" s="7" t="s">
        <v>109</v>
      </c>
      <c r="G543" s="7" t="s">
        <v>29</v>
      </c>
      <c r="H543" s="7" t="s">
        <v>41</v>
      </c>
      <c r="I543" s="7">
        <v>3</v>
      </c>
      <c r="J543" s="8">
        <f>IFERROR(VLOOKUP(Tbl_Siparişler[[#This Row],[Kategori]]&amp;"-"&amp;Tbl_Siparişler[[#This Row],[Ürün Adı]],Tbl_Ürünler[],11,0)*Tbl_Siparişler[[#This Row],[Adet]],"")</f>
        <v>37863</v>
      </c>
    </row>
    <row r="544" spans="2:10" ht="27" customHeight="1" x14ac:dyDescent="0.4">
      <c r="B544" s="9">
        <f>WEEKNUM(Tbl_Siparişler[[#This Row],[Sipariş Alınan Tarih]])</f>
        <v>25</v>
      </c>
      <c r="C544" s="6">
        <v>44365</v>
      </c>
      <c r="D544" s="7" t="s">
        <v>28</v>
      </c>
      <c r="E544" s="7">
        <v>10468</v>
      </c>
      <c r="F544" s="7" t="s">
        <v>108</v>
      </c>
      <c r="G544" s="7" t="s">
        <v>43</v>
      </c>
      <c r="H544" s="7" t="s">
        <v>46</v>
      </c>
      <c r="I544" s="7">
        <v>2</v>
      </c>
      <c r="J544" s="8">
        <f>IFERROR(VLOOKUP(Tbl_Siparişler[[#This Row],[Kategori]]&amp;"-"&amp;Tbl_Siparişler[[#This Row],[Ürün Adı]],Tbl_Ürünler[],11,0)*Tbl_Siparişler[[#This Row],[Adet]],"")</f>
        <v>26686.800000000003</v>
      </c>
    </row>
    <row r="545" spans="2:10" ht="27" customHeight="1" x14ac:dyDescent="0.4">
      <c r="B545" s="9">
        <f>WEEKNUM(Tbl_Siparişler[[#This Row],[Sipariş Alınan Tarih]])</f>
        <v>19</v>
      </c>
      <c r="C545" s="6">
        <v>44320</v>
      </c>
      <c r="D545" s="7" t="s">
        <v>27</v>
      </c>
      <c r="E545" s="7">
        <v>77375</v>
      </c>
      <c r="F545" s="7" t="s">
        <v>109</v>
      </c>
      <c r="G545" s="7" t="s">
        <v>29</v>
      </c>
      <c r="H545" s="7" t="s">
        <v>37</v>
      </c>
      <c r="I545" s="7">
        <v>5</v>
      </c>
      <c r="J545" s="8">
        <f>IFERROR(VLOOKUP(Tbl_Siparişler[[#This Row],[Kategori]]&amp;"-"&amp;Tbl_Siparişler[[#This Row],[Ürün Adı]],Tbl_Ürünler[],11,0)*Tbl_Siparişler[[#This Row],[Adet]],"")</f>
        <v>49002.25</v>
      </c>
    </row>
    <row r="546" spans="2:10" ht="27" customHeight="1" x14ac:dyDescent="0.4">
      <c r="B546" s="9">
        <f>WEEKNUM(Tbl_Siparişler[[#This Row],[Sipariş Alınan Tarih]])</f>
        <v>15</v>
      </c>
      <c r="C546" s="6">
        <v>44290</v>
      </c>
      <c r="D546" s="7" t="s">
        <v>95</v>
      </c>
      <c r="E546" s="7">
        <v>91977</v>
      </c>
      <c r="F546" s="7" t="s">
        <v>109</v>
      </c>
      <c r="G546" s="7" t="s">
        <v>43</v>
      </c>
      <c r="H546" s="7" t="s">
        <v>50</v>
      </c>
      <c r="I546" s="7">
        <v>2</v>
      </c>
      <c r="J546" s="8">
        <f>IFERROR(VLOOKUP(Tbl_Siparişler[[#This Row],[Kategori]]&amp;"-"&amp;Tbl_Siparişler[[#This Row],[Ürün Adı]],Tbl_Ürünler[],11,0)*Tbl_Siparişler[[#This Row],[Adet]],"")</f>
        <v>12916.2</v>
      </c>
    </row>
    <row r="547" spans="2:10" ht="27" customHeight="1" x14ac:dyDescent="0.4">
      <c r="B547" s="9">
        <f>WEEKNUM(Tbl_Siparişler[[#This Row],[Sipariş Alınan Tarih]])</f>
        <v>47</v>
      </c>
      <c r="C547" s="6">
        <v>44515</v>
      </c>
      <c r="D547" s="7" t="s">
        <v>25</v>
      </c>
      <c r="E547" s="7">
        <v>52138</v>
      </c>
      <c r="F547" s="7" t="s">
        <v>116</v>
      </c>
      <c r="G547" s="7" t="s">
        <v>98</v>
      </c>
      <c r="H547" s="7" t="s">
        <v>100</v>
      </c>
      <c r="I547" s="7">
        <v>3</v>
      </c>
      <c r="J547" s="8">
        <f>IFERROR(VLOOKUP(Tbl_Siparişler[[#This Row],[Kategori]]&amp;"-"&amp;Tbl_Siparişler[[#This Row],[Ürün Adı]],Tbl_Ürünler[],11,0)*Tbl_Siparişler[[#This Row],[Adet]],"")</f>
        <v>27705.600000000002</v>
      </c>
    </row>
    <row r="548" spans="2:10" ht="27" customHeight="1" x14ac:dyDescent="0.4">
      <c r="B548" s="9">
        <f>WEEKNUM(Tbl_Siparişler[[#This Row],[Sipariş Alınan Tarih]])</f>
        <v>9</v>
      </c>
      <c r="C548" s="6">
        <v>44249</v>
      </c>
      <c r="D548" s="7" t="s">
        <v>28</v>
      </c>
      <c r="E548" s="7">
        <v>76391</v>
      </c>
      <c r="F548" s="7" t="s">
        <v>117</v>
      </c>
      <c r="G548" s="7" t="s">
        <v>43</v>
      </c>
      <c r="H548" s="7" t="s">
        <v>44</v>
      </c>
      <c r="I548" s="7">
        <v>4</v>
      </c>
      <c r="J548" s="8">
        <f>IFERROR(VLOOKUP(Tbl_Siparişler[[#This Row],[Kategori]]&amp;"-"&amp;Tbl_Siparişler[[#This Row],[Ürün Adı]],Tbl_Ürünler[],11,0)*Tbl_Siparişler[[#This Row],[Adet]],"")</f>
        <v>35658.400000000001</v>
      </c>
    </row>
    <row r="549" spans="2:10" ht="27" customHeight="1" x14ac:dyDescent="0.4">
      <c r="B549" s="9">
        <f>WEEKNUM(Tbl_Siparişler[[#This Row],[Sipariş Alınan Tarih]])</f>
        <v>47</v>
      </c>
      <c r="C549" s="6">
        <v>44518</v>
      </c>
      <c r="D549" s="7" t="s">
        <v>28</v>
      </c>
      <c r="E549" s="7">
        <v>75051</v>
      </c>
      <c r="F549" s="7" t="s">
        <v>116</v>
      </c>
      <c r="G549" s="7" t="s">
        <v>47</v>
      </c>
      <c r="H549" s="7" t="s">
        <v>49</v>
      </c>
      <c r="I549" s="7">
        <v>4</v>
      </c>
      <c r="J549" s="8">
        <f>IFERROR(VLOOKUP(Tbl_Siparişler[[#This Row],[Kategori]]&amp;"-"&amp;Tbl_Siparişler[[#This Row],[Ürün Adı]],Tbl_Ürünler[],11,0)*Tbl_Siparişler[[#This Row],[Adet]],"")</f>
        <v>38279</v>
      </c>
    </row>
    <row r="550" spans="2:10" ht="27" customHeight="1" x14ac:dyDescent="0.4">
      <c r="B550" s="9">
        <f>WEEKNUM(Tbl_Siparişler[[#This Row],[Sipariş Alınan Tarih]])</f>
        <v>33</v>
      </c>
      <c r="C550" s="6">
        <v>44421</v>
      </c>
      <c r="D550" s="7" t="s">
        <v>106</v>
      </c>
      <c r="E550" s="7">
        <v>79638</v>
      </c>
      <c r="F550" s="7" t="s">
        <v>108</v>
      </c>
      <c r="G550" s="7" t="s">
        <v>43</v>
      </c>
      <c r="H550" s="7" t="s">
        <v>50</v>
      </c>
      <c r="I550" s="7">
        <v>5</v>
      </c>
      <c r="J550" s="8">
        <f>IFERROR(VLOOKUP(Tbl_Siparişler[[#This Row],[Kategori]]&amp;"-"&amp;Tbl_Siparişler[[#This Row],[Ürün Adı]],Tbl_Ürünler[],11,0)*Tbl_Siparişler[[#This Row],[Adet]],"")</f>
        <v>32290.5</v>
      </c>
    </row>
    <row r="551" spans="2:10" ht="27" customHeight="1" x14ac:dyDescent="0.4">
      <c r="B551" s="9">
        <f>WEEKNUM(Tbl_Siparişler[[#This Row],[Sipariş Alınan Tarih]])</f>
        <v>22</v>
      </c>
      <c r="C551" s="6">
        <v>44341</v>
      </c>
      <c r="D551" s="7" t="s">
        <v>24</v>
      </c>
      <c r="E551" s="7">
        <v>20966</v>
      </c>
      <c r="F551" s="7" t="s">
        <v>117</v>
      </c>
      <c r="G551" s="7" t="s">
        <v>98</v>
      </c>
      <c r="H551" s="7" t="s">
        <v>103</v>
      </c>
      <c r="I551" s="7">
        <v>3</v>
      </c>
      <c r="J551" s="8">
        <f>IFERROR(VLOOKUP(Tbl_Siparişler[[#This Row],[Kategori]]&amp;"-"&amp;Tbl_Siparişler[[#This Row],[Ürün Adı]],Tbl_Ürünler[],11,0)*Tbl_Siparişler[[#This Row],[Adet]],"")</f>
        <v>17887.5</v>
      </c>
    </row>
    <row r="552" spans="2:10" ht="27" customHeight="1" x14ac:dyDescent="0.4">
      <c r="B552" s="9">
        <f>WEEKNUM(Tbl_Siparişler[[#This Row],[Sipariş Alınan Tarih]])</f>
        <v>47</v>
      </c>
      <c r="C552" s="6">
        <v>44520</v>
      </c>
      <c r="D552" s="7" t="s">
        <v>106</v>
      </c>
      <c r="E552" s="7">
        <v>29904</v>
      </c>
      <c r="F552" s="7" t="s">
        <v>113</v>
      </c>
      <c r="G552" s="7" t="s">
        <v>47</v>
      </c>
      <c r="H552" s="7" t="s">
        <v>48</v>
      </c>
      <c r="I552" s="7">
        <v>4</v>
      </c>
      <c r="J552" s="8">
        <f>IFERROR(VLOOKUP(Tbl_Siparişler[[#This Row],[Kategori]]&amp;"-"&amp;Tbl_Siparişler[[#This Row],[Ürün Adı]],Tbl_Ürünler[],11,0)*Tbl_Siparişler[[#This Row],[Adet]],"")</f>
        <v>32214</v>
      </c>
    </row>
    <row r="553" spans="2:10" ht="27" customHeight="1" x14ac:dyDescent="0.4">
      <c r="B553" s="9">
        <f>WEEKNUM(Tbl_Siparişler[[#This Row],[Sipariş Alınan Tarih]])</f>
        <v>46</v>
      </c>
      <c r="C553" s="6">
        <v>44510</v>
      </c>
      <c r="D553" s="7" t="s">
        <v>24</v>
      </c>
      <c r="E553" s="7">
        <v>81822</v>
      </c>
      <c r="F553" s="7" t="s">
        <v>113</v>
      </c>
      <c r="G553" s="7" t="s">
        <v>98</v>
      </c>
      <c r="H553" s="7" t="s">
        <v>99</v>
      </c>
      <c r="I553" s="7">
        <v>1</v>
      </c>
      <c r="J553" s="8">
        <f>IFERROR(VLOOKUP(Tbl_Siparişler[[#This Row],[Kategori]]&amp;"-"&amp;Tbl_Siparişler[[#This Row],[Ürün Adı]],Tbl_Ürünler[],11,0)*Tbl_Siparişler[[#This Row],[Adet]],"")</f>
        <v>4141.63</v>
      </c>
    </row>
    <row r="554" spans="2:10" ht="27" customHeight="1" x14ac:dyDescent="0.4">
      <c r="B554" s="9">
        <f>WEEKNUM(Tbl_Siparişler[[#This Row],[Sipariş Alınan Tarih]])</f>
        <v>4</v>
      </c>
      <c r="C554" s="6">
        <v>44213</v>
      </c>
      <c r="D554" s="7" t="s">
        <v>26</v>
      </c>
      <c r="E554" s="7">
        <v>15792</v>
      </c>
      <c r="F554" s="7" t="s">
        <v>114</v>
      </c>
      <c r="G554" s="7" t="s">
        <v>98</v>
      </c>
      <c r="H554" s="7" t="s">
        <v>99</v>
      </c>
      <c r="I554" s="7">
        <v>3</v>
      </c>
      <c r="J554" s="8">
        <f>IFERROR(VLOOKUP(Tbl_Siparişler[[#This Row],[Kategori]]&amp;"-"&amp;Tbl_Siparişler[[#This Row],[Ürün Adı]],Tbl_Ürünler[],11,0)*Tbl_Siparişler[[#This Row],[Adet]],"")</f>
        <v>12424.89</v>
      </c>
    </row>
    <row r="555" spans="2:10" ht="27" customHeight="1" x14ac:dyDescent="0.4">
      <c r="B555" s="9">
        <f>WEEKNUM(Tbl_Siparişler[[#This Row],[Sipariş Alınan Tarih]])</f>
        <v>22</v>
      </c>
      <c r="C555" s="6">
        <v>44340</v>
      </c>
      <c r="D555" s="7" t="s">
        <v>95</v>
      </c>
      <c r="E555" s="7">
        <v>14449</v>
      </c>
      <c r="F555" s="7" t="s">
        <v>118</v>
      </c>
      <c r="G555" s="7" t="s">
        <v>47</v>
      </c>
      <c r="H555" s="7" t="s">
        <v>48</v>
      </c>
      <c r="I555" s="7">
        <v>4</v>
      </c>
      <c r="J555" s="8">
        <f>IFERROR(VLOOKUP(Tbl_Siparişler[[#This Row],[Kategori]]&amp;"-"&amp;Tbl_Siparişler[[#This Row],[Ürün Adı]],Tbl_Ürünler[],11,0)*Tbl_Siparişler[[#This Row],[Adet]],"")</f>
        <v>32214</v>
      </c>
    </row>
    <row r="556" spans="2:10" ht="27" customHeight="1" x14ac:dyDescent="0.4">
      <c r="B556" s="9">
        <f>WEEKNUM(Tbl_Siparişler[[#This Row],[Sipariş Alınan Tarih]])</f>
        <v>20</v>
      </c>
      <c r="C556" s="6">
        <v>44329</v>
      </c>
      <c r="D556" s="7" t="s">
        <v>28</v>
      </c>
      <c r="E556" s="7">
        <v>29916</v>
      </c>
      <c r="F556" s="7" t="s">
        <v>115</v>
      </c>
      <c r="G556" s="7" t="s">
        <v>98</v>
      </c>
      <c r="H556" s="7" t="s">
        <v>103</v>
      </c>
      <c r="I556" s="7">
        <v>1</v>
      </c>
      <c r="J556" s="8">
        <f>IFERROR(VLOOKUP(Tbl_Siparişler[[#This Row],[Kategori]]&amp;"-"&amp;Tbl_Siparişler[[#This Row],[Ürün Adı]],Tbl_Ürünler[],11,0)*Tbl_Siparişler[[#This Row],[Adet]],"")</f>
        <v>5962.5</v>
      </c>
    </row>
    <row r="557" spans="2:10" ht="27" customHeight="1" x14ac:dyDescent="0.4">
      <c r="B557" s="9">
        <f>WEEKNUM(Tbl_Siparişler[[#This Row],[Sipariş Alınan Tarih]])</f>
        <v>42</v>
      </c>
      <c r="C557" s="6">
        <v>44482</v>
      </c>
      <c r="D557" s="7" t="s">
        <v>26</v>
      </c>
      <c r="E557" s="7">
        <v>75156</v>
      </c>
      <c r="F557" s="7" t="s">
        <v>108</v>
      </c>
      <c r="G557" s="7" t="s">
        <v>98</v>
      </c>
      <c r="H557" s="7" t="s">
        <v>99</v>
      </c>
      <c r="I557" s="7">
        <v>3</v>
      </c>
      <c r="J557" s="8">
        <f>IFERROR(VLOOKUP(Tbl_Siparişler[[#This Row],[Kategori]]&amp;"-"&amp;Tbl_Siparişler[[#This Row],[Ürün Adı]],Tbl_Ürünler[],11,0)*Tbl_Siparişler[[#This Row],[Adet]],"")</f>
        <v>12424.89</v>
      </c>
    </row>
    <row r="558" spans="2:10" ht="27" customHeight="1" x14ac:dyDescent="0.4">
      <c r="B558" s="9">
        <f>WEEKNUM(Tbl_Siparişler[[#This Row],[Sipariş Alınan Tarih]])</f>
        <v>15</v>
      </c>
      <c r="C558" s="6">
        <v>44294</v>
      </c>
      <c r="D558" s="7" t="s">
        <v>25</v>
      </c>
      <c r="E558" s="7">
        <v>58166</v>
      </c>
      <c r="F558" s="7" t="s">
        <v>117</v>
      </c>
      <c r="G558" s="7" t="s">
        <v>29</v>
      </c>
      <c r="H558" s="7" t="s">
        <v>37</v>
      </c>
      <c r="I558" s="7">
        <v>5</v>
      </c>
      <c r="J558" s="8">
        <f>IFERROR(VLOOKUP(Tbl_Siparişler[[#This Row],[Kategori]]&amp;"-"&amp;Tbl_Siparişler[[#This Row],[Ürün Adı]],Tbl_Ürünler[],11,0)*Tbl_Siparişler[[#This Row],[Adet]],"")</f>
        <v>49002.25</v>
      </c>
    </row>
    <row r="559" spans="2:10" ht="27" customHeight="1" x14ac:dyDescent="0.4">
      <c r="B559" s="9">
        <f>WEEKNUM(Tbl_Siparişler[[#This Row],[Sipariş Alınan Tarih]])</f>
        <v>26</v>
      </c>
      <c r="C559" s="6">
        <v>44369</v>
      </c>
      <c r="D559" s="7" t="s">
        <v>27</v>
      </c>
      <c r="E559" s="7">
        <v>65177</v>
      </c>
      <c r="F559" s="7" t="s">
        <v>107</v>
      </c>
      <c r="G559" s="7" t="s">
        <v>98</v>
      </c>
      <c r="H559" s="7" t="s">
        <v>100</v>
      </c>
      <c r="I559" s="7">
        <v>1</v>
      </c>
      <c r="J559" s="8">
        <f>IFERROR(VLOOKUP(Tbl_Siparişler[[#This Row],[Kategori]]&amp;"-"&amp;Tbl_Siparişler[[#This Row],[Ürün Adı]],Tbl_Ürünler[],11,0)*Tbl_Siparişler[[#This Row],[Adet]],"")</f>
        <v>9235.2000000000007</v>
      </c>
    </row>
    <row r="560" spans="2:10" ht="27" customHeight="1" x14ac:dyDescent="0.4">
      <c r="B560" s="9">
        <f>WEEKNUM(Tbl_Siparişler[[#This Row],[Sipariş Alınan Tarih]])</f>
        <v>4</v>
      </c>
      <c r="C560" s="6">
        <v>44214</v>
      </c>
      <c r="D560" s="7" t="s">
        <v>27</v>
      </c>
      <c r="E560" s="7">
        <v>73585</v>
      </c>
      <c r="F560" s="7" t="s">
        <v>112</v>
      </c>
      <c r="G560" s="7" t="s">
        <v>29</v>
      </c>
      <c r="H560" s="7" t="s">
        <v>41</v>
      </c>
      <c r="I560" s="7">
        <v>2</v>
      </c>
      <c r="J560" s="8">
        <f>IFERROR(VLOOKUP(Tbl_Siparişler[[#This Row],[Kategori]]&amp;"-"&amp;Tbl_Siparişler[[#This Row],[Ürün Adı]],Tbl_Ürünler[],11,0)*Tbl_Siparişler[[#This Row],[Adet]],"")</f>
        <v>25242</v>
      </c>
    </row>
    <row r="561" spans="2:10" ht="27" customHeight="1" x14ac:dyDescent="0.4">
      <c r="B561" s="9">
        <f>WEEKNUM(Tbl_Siparişler[[#This Row],[Sipariş Alınan Tarih]])</f>
        <v>5</v>
      </c>
      <c r="C561" s="6">
        <v>44224</v>
      </c>
      <c r="D561" s="7" t="s">
        <v>26</v>
      </c>
      <c r="E561" s="7">
        <v>56661</v>
      </c>
      <c r="F561" s="7" t="s">
        <v>116</v>
      </c>
      <c r="G561" s="7" t="s">
        <v>47</v>
      </c>
      <c r="H561" s="7" t="s">
        <v>48</v>
      </c>
      <c r="I561" s="7">
        <v>4</v>
      </c>
      <c r="J561" s="8">
        <f>IFERROR(VLOOKUP(Tbl_Siparişler[[#This Row],[Kategori]]&amp;"-"&amp;Tbl_Siparişler[[#This Row],[Ürün Adı]],Tbl_Ürünler[],11,0)*Tbl_Siparişler[[#This Row],[Adet]],"")</f>
        <v>32214</v>
      </c>
    </row>
    <row r="562" spans="2:10" ht="27" customHeight="1" x14ac:dyDescent="0.4">
      <c r="B562" s="9">
        <f>WEEKNUM(Tbl_Siparişler[[#This Row],[Sipariş Alınan Tarih]])</f>
        <v>48</v>
      </c>
      <c r="C562" s="6">
        <v>44521</v>
      </c>
      <c r="D562" s="7" t="s">
        <v>106</v>
      </c>
      <c r="E562" s="7">
        <v>13967</v>
      </c>
      <c r="F562" s="7" t="s">
        <v>109</v>
      </c>
      <c r="G562" s="7" t="s">
        <v>29</v>
      </c>
      <c r="H562" s="7" t="s">
        <v>37</v>
      </c>
      <c r="I562" s="7">
        <v>3</v>
      </c>
      <c r="J562" s="8">
        <f>IFERROR(VLOOKUP(Tbl_Siparişler[[#This Row],[Kategori]]&amp;"-"&amp;Tbl_Siparişler[[#This Row],[Ürün Adı]],Tbl_Ürünler[],11,0)*Tbl_Siparişler[[#This Row],[Adet]],"")</f>
        <v>29401.350000000002</v>
      </c>
    </row>
    <row r="563" spans="2:10" ht="27" customHeight="1" x14ac:dyDescent="0.4">
      <c r="B563" s="9">
        <f>WEEKNUM(Tbl_Siparişler[[#This Row],[Sipariş Alınan Tarih]])</f>
        <v>37</v>
      </c>
      <c r="C563" s="6">
        <v>44450</v>
      </c>
      <c r="D563" s="7" t="s">
        <v>28</v>
      </c>
      <c r="E563" s="7">
        <v>67667</v>
      </c>
      <c r="F563" s="7" t="s">
        <v>112</v>
      </c>
      <c r="G563" s="7" t="s">
        <v>43</v>
      </c>
      <c r="H563" s="7" t="s">
        <v>45</v>
      </c>
      <c r="I563" s="7">
        <v>4</v>
      </c>
      <c r="J563" s="8">
        <f>IFERROR(VLOOKUP(Tbl_Siparişler[[#This Row],[Kategori]]&amp;"-"&amp;Tbl_Siparişler[[#This Row],[Ürün Adı]],Tbl_Ürünler[],11,0)*Tbl_Siparişler[[#This Row],[Adet]],"")</f>
        <v>38637.599999999999</v>
      </c>
    </row>
    <row r="564" spans="2:10" ht="27" customHeight="1" x14ac:dyDescent="0.4">
      <c r="B564" s="9">
        <f>WEEKNUM(Tbl_Siparişler[[#This Row],[Sipariş Alınan Tarih]])</f>
        <v>15</v>
      </c>
      <c r="C564" s="6">
        <v>44291</v>
      </c>
      <c r="D564" s="7" t="s">
        <v>95</v>
      </c>
      <c r="E564" s="7">
        <v>33103</v>
      </c>
      <c r="F564" s="7" t="s">
        <v>111</v>
      </c>
      <c r="G564" s="7" t="s">
        <v>43</v>
      </c>
      <c r="H564" s="7" t="s">
        <v>44</v>
      </c>
      <c r="I564" s="7">
        <v>4</v>
      </c>
      <c r="J564" s="8">
        <f>IFERROR(VLOOKUP(Tbl_Siparişler[[#This Row],[Kategori]]&amp;"-"&amp;Tbl_Siparişler[[#This Row],[Ürün Adı]],Tbl_Ürünler[],11,0)*Tbl_Siparişler[[#This Row],[Adet]],"")</f>
        <v>35658.400000000001</v>
      </c>
    </row>
    <row r="565" spans="2:10" ht="27" customHeight="1" x14ac:dyDescent="0.4">
      <c r="B565" s="9">
        <f>WEEKNUM(Tbl_Siparişler[[#This Row],[Sipariş Alınan Tarih]])</f>
        <v>49</v>
      </c>
      <c r="C565" s="6">
        <v>44532</v>
      </c>
      <c r="D565" s="7" t="s">
        <v>28</v>
      </c>
      <c r="E565" s="7">
        <v>37712</v>
      </c>
      <c r="F565" s="7" t="s">
        <v>111</v>
      </c>
      <c r="G565" s="7" t="s">
        <v>43</v>
      </c>
      <c r="H565" s="7" t="s">
        <v>45</v>
      </c>
      <c r="I565" s="7">
        <v>3</v>
      </c>
      <c r="J565" s="8">
        <f>IFERROR(VLOOKUP(Tbl_Siparişler[[#This Row],[Kategori]]&amp;"-"&amp;Tbl_Siparişler[[#This Row],[Ürün Adı]],Tbl_Ürünler[],11,0)*Tbl_Siparişler[[#This Row],[Adet]],"")</f>
        <v>28978.199999999997</v>
      </c>
    </row>
    <row r="566" spans="2:10" ht="27" customHeight="1" x14ac:dyDescent="0.4">
      <c r="B566" s="9">
        <f>WEEKNUM(Tbl_Siparişler[[#This Row],[Sipariş Alınan Tarih]])</f>
        <v>16</v>
      </c>
      <c r="C566" s="6">
        <v>44297</v>
      </c>
      <c r="D566" s="7" t="s">
        <v>28</v>
      </c>
      <c r="E566" s="7">
        <v>18050</v>
      </c>
      <c r="F566" s="7" t="s">
        <v>108</v>
      </c>
      <c r="G566" s="7" t="s">
        <v>47</v>
      </c>
      <c r="H566" s="7" t="s">
        <v>49</v>
      </c>
      <c r="I566" s="7">
        <v>4</v>
      </c>
      <c r="J566" s="8">
        <f>IFERROR(VLOOKUP(Tbl_Siparişler[[#This Row],[Kategori]]&amp;"-"&amp;Tbl_Siparişler[[#This Row],[Ürün Adı]],Tbl_Ürünler[],11,0)*Tbl_Siparişler[[#This Row],[Adet]],"")</f>
        <v>38279</v>
      </c>
    </row>
    <row r="567" spans="2:10" ht="27" customHeight="1" x14ac:dyDescent="0.4">
      <c r="B567" s="9">
        <f>WEEKNUM(Tbl_Siparişler[[#This Row],[Sipariş Alınan Tarih]])</f>
        <v>43</v>
      </c>
      <c r="C567" s="6">
        <v>44487</v>
      </c>
      <c r="D567" s="7" t="s">
        <v>25</v>
      </c>
      <c r="E567" s="7">
        <v>19502</v>
      </c>
      <c r="F567" s="7" t="s">
        <v>108</v>
      </c>
      <c r="G567" s="7" t="s">
        <v>98</v>
      </c>
      <c r="H567" s="7" t="s">
        <v>103</v>
      </c>
      <c r="I567" s="7">
        <v>4</v>
      </c>
      <c r="J567" s="8">
        <f>IFERROR(VLOOKUP(Tbl_Siparişler[[#This Row],[Kategori]]&amp;"-"&amp;Tbl_Siparişler[[#This Row],[Ürün Adı]],Tbl_Ürünler[],11,0)*Tbl_Siparişler[[#This Row],[Adet]],"")</f>
        <v>23850</v>
      </c>
    </row>
    <row r="568" spans="2:10" ht="27" customHeight="1" x14ac:dyDescent="0.4">
      <c r="B568" s="9">
        <f>WEEKNUM(Tbl_Siparişler[[#This Row],[Sipariş Alınan Tarih]])</f>
        <v>27</v>
      </c>
      <c r="C568" s="6">
        <v>44374</v>
      </c>
      <c r="D568" s="7" t="s">
        <v>25</v>
      </c>
      <c r="E568" s="7">
        <v>41045</v>
      </c>
      <c r="F568" s="7" t="s">
        <v>112</v>
      </c>
      <c r="G568" s="7" t="s">
        <v>43</v>
      </c>
      <c r="H568" s="7" t="s">
        <v>44</v>
      </c>
      <c r="I568" s="7">
        <v>3</v>
      </c>
      <c r="J568" s="8">
        <f>IFERROR(VLOOKUP(Tbl_Siparişler[[#This Row],[Kategori]]&amp;"-"&amp;Tbl_Siparişler[[#This Row],[Ürün Adı]],Tbl_Ürünler[],11,0)*Tbl_Siparişler[[#This Row],[Adet]],"")</f>
        <v>26743.800000000003</v>
      </c>
    </row>
    <row r="569" spans="2:10" ht="27" customHeight="1" x14ac:dyDescent="0.4">
      <c r="B569" s="9">
        <f>WEEKNUM(Tbl_Siparişler[[#This Row],[Sipariş Alınan Tarih]])</f>
        <v>38</v>
      </c>
      <c r="C569" s="6">
        <v>44454</v>
      </c>
      <c r="D569" s="7" t="s">
        <v>28</v>
      </c>
      <c r="E569" s="7">
        <v>87119</v>
      </c>
      <c r="F569" s="7" t="s">
        <v>109</v>
      </c>
      <c r="G569" s="7" t="s">
        <v>98</v>
      </c>
      <c r="H569" s="7" t="s">
        <v>99</v>
      </c>
      <c r="I569" s="7">
        <v>2</v>
      </c>
      <c r="J569" s="8">
        <f>IFERROR(VLOOKUP(Tbl_Siparişler[[#This Row],[Kategori]]&amp;"-"&amp;Tbl_Siparişler[[#This Row],[Ürün Adı]],Tbl_Ürünler[],11,0)*Tbl_Siparişler[[#This Row],[Adet]],"")</f>
        <v>8283.26</v>
      </c>
    </row>
    <row r="570" spans="2:10" ht="27" customHeight="1" x14ac:dyDescent="0.4">
      <c r="B570" s="9">
        <f>WEEKNUM(Tbl_Siparişler[[#This Row],[Sipariş Alınan Tarih]])</f>
        <v>49</v>
      </c>
      <c r="C570" s="6">
        <v>44532</v>
      </c>
      <c r="D570" s="7" t="s">
        <v>24</v>
      </c>
      <c r="E570" s="7">
        <v>75889</v>
      </c>
      <c r="F570" s="7" t="s">
        <v>115</v>
      </c>
      <c r="G570" s="7" t="s">
        <v>98</v>
      </c>
      <c r="H570" s="7" t="s">
        <v>100</v>
      </c>
      <c r="I570" s="7">
        <v>2</v>
      </c>
      <c r="J570" s="8">
        <f>IFERROR(VLOOKUP(Tbl_Siparişler[[#This Row],[Kategori]]&amp;"-"&amp;Tbl_Siparişler[[#This Row],[Ürün Adı]],Tbl_Ürünler[],11,0)*Tbl_Siparişler[[#This Row],[Adet]],"")</f>
        <v>18470.400000000001</v>
      </c>
    </row>
    <row r="571" spans="2:10" ht="27" customHeight="1" x14ac:dyDescent="0.4">
      <c r="B571" s="9">
        <f>WEEKNUM(Tbl_Siparişler[[#This Row],[Sipariş Alınan Tarih]])</f>
        <v>30</v>
      </c>
      <c r="C571" s="6">
        <v>44395</v>
      </c>
      <c r="D571" s="7" t="s">
        <v>106</v>
      </c>
      <c r="E571" s="7">
        <v>45099</v>
      </c>
      <c r="F571" s="7" t="s">
        <v>116</v>
      </c>
      <c r="G571" s="7" t="s">
        <v>47</v>
      </c>
      <c r="H571" s="7" t="s">
        <v>48</v>
      </c>
      <c r="I571" s="7">
        <v>3</v>
      </c>
      <c r="J571" s="8">
        <f>IFERROR(VLOOKUP(Tbl_Siparişler[[#This Row],[Kategori]]&amp;"-"&amp;Tbl_Siparişler[[#This Row],[Ürün Adı]],Tbl_Ürünler[],11,0)*Tbl_Siparişler[[#This Row],[Adet]],"")</f>
        <v>24160.5</v>
      </c>
    </row>
    <row r="572" spans="2:10" ht="27" customHeight="1" x14ac:dyDescent="0.4">
      <c r="B572" s="9">
        <f>WEEKNUM(Tbl_Siparişler[[#This Row],[Sipariş Alınan Tarih]])</f>
        <v>47</v>
      </c>
      <c r="C572" s="6">
        <v>44515</v>
      </c>
      <c r="D572" s="7" t="s">
        <v>27</v>
      </c>
      <c r="E572" s="7">
        <v>95343</v>
      </c>
      <c r="F572" s="7" t="s">
        <v>108</v>
      </c>
      <c r="G572" s="7" t="s">
        <v>29</v>
      </c>
      <c r="H572" s="7" t="s">
        <v>41</v>
      </c>
      <c r="I572" s="7">
        <v>1</v>
      </c>
      <c r="J572" s="8">
        <f>IFERROR(VLOOKUP(Tbl_Siparişler[[#This Row],[Kategori]]&amp;"-"&amp;Tbl_Siparişler[[#This Row],[Ürün Adı]],Tbl_Ürünler[],11,0)*Tbl_Siparişler[[#This Row],[Adet]],"")</f>
        <v>12621</v>
      </c>
    </row>
    <row r="573" spans="2:10" ht="27" customHeight="1" x14ac:dyDescent="0.4">
      <c r="B573" s="9">
        <f>WEEKNUM(Tbl_Siparişler[[#This Row],[Sipariş Alınan Tarih]])</f>
        <v>49</v>
      </c>
      <c r="C573" s="6">
        <v>44533</v>
      </c>
      <c r="D573" s="7" t="s">
        <v>25</v>
      </c>
      <c r="E573" s="7">
        <v>30197</v>
      </c>
      <c r="F573" s="7" t="s">
        <v>113</v>
      </c>
      <c r="G573" s="7" t="s">
        <v>29</v>
      </c>
      <c r="H573" s="7" t="s">
        <v>41</v>
      </c>
      <c r="I573" s="7">
        <v>2</v>
      </c>
      <c r="J573" s="8">
        <f>IFERROR(VLOOKUP(Tbl_Siparişler[[#This Row],[Kategori]]&amp;"-"&amp;Tbl_Siparişler[[#This Row],[Ürün Adı]],Tbl_Ürünler[],11,0)*Tbl_Siparişler[[#This Row],[Adet]],"")</f>
        <v>25242</v>
      </c>
    </row>
    <row r="574" spans="2:10" ht="27" customHeight="1" x14ac:dyDescent="0.4">
      <c r="B574" s="9">
        <f>WEEKNUM(Tbl_Siparişler[[#This Row],[Sipariş Alınan Tarih]])</f>
        <v>2</v>
      </c>
      <c r="C574" s="6">
        <v>44204</v>
      </c>
      <c r="D574" s="7" t="s">
        <v>27</v>
      </c>
      <c r="E574" s="7">
        <v>39501</v>
      </c>
      <c r="F574" s="7" t="s">
        <v>109</v>
      </c>
      <c r="G574" s="7" t="s">
        <v>29</v>
      </c>
      <c r="H574" s="7" t="s">
        <v>30</v>
      </c>
      <c r="I574" s="7">
        <v>3</v>
      </c>
      <c r="J574" s="8">
        <f>IFERROR(VLOOKUP(Tbl_Siparişler[[#This Row],[Kategori]]&amp;"-"&amp;Tbl_Siparişler[[#This Row],[Ürün Adı]],Tbl_Ürünler[],11,0)*Tbl_Siparişler[[#This Row],[Adet]],"")</f>
        <v>26055.899999999998</v>
      </c>
    </row>
    <row r="575" spans="2:10" ht="27" customHeight="1" x14ac:dyDescent="0.4">
      <c r="B575" s="9">
        <f>WEEKNUM(Tbl_Siparişler[[#This Row],[Sipariş Alınan Tarih]])</f>
        <v>52</v>
      </c>
      <c r="C575" s="6">
        <v>44549</v>
      </c>
      <c r="D575" s="7" t="s">
        <v>27</v>
      </c>
      <c r="E575" s="7">
        <v>44377</v>
      </c>
      <c r="F575" s="7" t="s">
        <v>112</v>
      </c>
      <c r="G575" s="7" t="s">
        <v>98</v>
      </c>
      <c r="H575" s="7" t="s">
        <v>103</v>
      </c>
      <c r="I575" s="7">
        <v>5</v>
      </c>
      <c r="J575" s="8">
        <f>IFERROR(VLOOKUP(Tbl_Siparişler[[#This Row],[Kategori]]&amp;"-"&amp;Tbl_Siparişler[[#This Row],[Ürün Adı]],Tbl_Ürünler[],11,0)*Tbl_Siparişler[[#This Row],[Adet]],"")</f>
        <v>29812.5</v>
      </c>
    </row>
    <row r="576" spans="2:10" ht="27" customHeight="1" x14ac:dyDescent="0.4">
      <c r="B576" s="9">
        <f>WEEKNUM(Tbl_Siparişler[[#This Row],[Sipariş Alınan Tarih]])</f>
        <v>6</v>
      </c>
      <c r="C576" s="6">
        <v>44233</v>
      </c>
      <c r="D576" s="7" t="s">
        <v>28</v>
      </c>
      <c r="E576" s="7">
        <v>82510</v>
      </c>
      <c r="F576" s="7" t="s">
        <v>115</v>
      </c>
      <c r="G576" s="7" t="s">
        <v>98</v>
      </c>
      <c r="H576" s="7" t="s">
        <v>103</v>
      </c>
      <c r="I576" s="7">
        <v>1</v>
      </c>
      <c r="J576" s="8">
        <f>IFERROR(VLOOKUP(Tbl_Siparişler[[#This Row],[Kategori]]&amp;"-"&amp;Tbl_Siparişler[[#This Row],[Ürün Adı]],Tbl_Ürünler[],11,0)*Tbl_Siparişler[[#This Row],[Adet]],"")</f>
        <v>5962.5</v>
      </c>
    </row>
    <row r="577" spans="2:10" ht="27" customHeight="1" x14ac:dyDescent="0.4">
      <c r="B577" s="9">
        <f>WEEKNUM(Tbl_Siparişler[[#This Row],[Sipariş Alınan Tarih]])</f>
        <v>47</v>
      </c>
      <c r="C577" s="6">
        <v>44514</v>
      </c>
      <c r="D577" s="7" t="s">
        <v>25</v>
      </c>
      <c r="E577" s="7">
        <v>89108</v>
      </c>
      <c r="F577" s="7" t="s">
        <v>108</v>
      </c>
      <c r="G577" s="7" t="s">
        <v>43</v>
      </c>
      <c r="H577" s="7" t="s">
        <v>50</v>
      </c>
      <c r="I577" s="7">
        <v>5</v>
      </c>
      <c r="J577" s="8">
        <f>IFERROR(VLOOKUP(Tbl_Siparişler[[#This Row],[Kategori]]&amp;"-"&amp;Tbl_Siparişler[[#This Row],[Ürün Adı]],Tbl_Ürünler[],11,0)*Tbl_Siparişler[[#This Row],[Adet]],"")</f>
        <v>32290.5</v>
      </c>
    </row>
    <row r="578" spans="2:10" ht="27" customHeight="1" x14ac:dyDescent="0.4">
      <c r="B578" s="9">
        <f>WEEKNUM(Tbl_Siparişler[[#This Row],[Sipariş Alınan Tarih]])</f>
        <v>9</v>
      </c>
      <c r="C578" s="6">
        <v>44253</v>
      </c>
      <c r="D578" s="7" t="s">
        <v>106</v>
      </c>
      <c r="E578" s="7">
        <v>34796</v>
      </c>
      <c r="F578" s="7" t="s">
        <v>110</v>
      </c>
      <c r="G578" s="7" t="s">
        <v>47</v>
      </c>
      <c r="H578" s="7" t="s">
        <v>49</v>
      </c>
      <c r="I578" s="7">
        <v>2</v>
      </c>
      <c r="J578" s="8">
        <f>IFERROR(VLOOKUP(Tbl_Siparişler[[#This Row],[Kategori]]&amp;"-"&amp;Tbl_Siparişler[[#This Row],[Ürün Adı]],Tbl_Ürünler[],11,0)*Tbl_Siparişler[[#This Row],[Adet]],"")</f>
        <v>19139.5</v>
      </c>
    </row>
    <row r="579" spans="2:10" ht="27" customHeight="1" x14ac:dyDescent="0.4">
      <c r="B579" s="9">
        <f>WEEKNUM(Tbl_Siparişler[[#This Row],[Sipariş Alınan Tarih]])</f>
        <v>27</v>
      </c>
      <c r="C579" s="6">
        <v>44379</v>
      </c>
      <c r="D579" s="7" t="s">
        <v>25</v>
      </c>
      <c r="E579" s="7">
        <v>77742</v>
      </c>
      <c r="F579" s="7" t="s">
        <v>109</v>
      </c>
      <c r="G579" s="7" t="s">
        <v>47</v>
      </c>
      <c r="H579" s="7" t="s">
        <v>48</v>
      </c>
      <c r="I579" s="7">
        <v>3</v>
      </c>
      <c r="J579" s="8">
        <f>IFERROR(VLOOKUP(Tbl_Siparişler[[#This Row],[Kategori]]&amp;"-"&amp;Tbl_Siparişler[[#This Row],[Ürün Adı]],Tbl_Ürünler[],11,0)*Tbl_Siparişler[[#This Row],[Adet]],"")</f>
        <v>24160.5</v>
      </c>
    </row>
    <row r="580" spans="2:10" ht="27" customHeight="1" x14ac:dyDescent="0.4">
      <c r="B580" s="9">
        <f>WEEKNUM(Tbl_Siparişler[[#This Row],[Sipariş Alınan Tarih]])</f>
        <v>38</v>
      </c>
      <c r="C580" s="6">
        <v>44453</v>
      </c>
      <c r="D580" s="7" t="s">
        <v>26</v>
      </c>
      <c r="E580" s="7">
        <v>81623</v>
      </c>
      <c r="F580" s="7" t="s">
        <v>115</v>
      </c>
      <c r="G580" s="7" t="s">
        <v>98</v>
      </c>
      <c r="H580" s="7" t="s">
        <v>103</v>
      </c>
      <c r="I580" s="7">
        <v>4</v>
      </c>
      <c r="J580" s="8">
        <f>IFERROR(VLOOKUP(Tbl_Siparişler[[#This Row],[Kategori]]&amp;"-"&amp;Tbl_Siparişler[[#This Row],[Ürün Adı]],Tbl_Ürünler[],11,0)*Tbl_Siparişler[[#This Row],[Adet]],"")</f>
        <v>23850</v>
      </c>
    </row>
    <row r="581" spans="2:10" ht="27" customHeight="1" x14ac:dyDescent="0.4">
      <c r="B581" s="9">
        <f>WEEKNUM(Tbl_Siparişler[[#This Row],[Sipariş Alınan Tarih]])</f>
        <v>14</v>
      </c>
      <c r="C581" s="6">
        <v>44283</v>
      </c>
      <c r="D581" s="7" t="s">
        <v>95</v>
      </c>
      <c r="E581" s="7">
        <v>96916</v>
      </c>
      <c r="F581" s="7" t="s">
        <v>114</v>
      </c>
      <c r="G581" s="7" t="s">
        <v>29</v>
      </c>
      <c r="H581" s="7" t="s">
        <v>30</v>
      </c>
      <c r="I581" s="7">
        <v>2</v>
      </c>
      <c r="J581" s="8">
        <f>IFERROR(VLOOKUP(Tbl_Siparişler[[#This Row],[Kategori]]&amp;"-"&amp;Tbl_Siparişler[[#This Row],[Ürün Adı]],Tbl_Ürünler[],11,0)*Tbl_Siparişler[[#This Row],[Adet]],"")</f>
        <v>17370.599999999999</v>
      </c>
    </row>
    <row r="582" spans="2:10" ht="27" customHeight="1" x14ac:dyDescent="0.4">
      <c r="B582" s="9">
        <f>WEEKNUM(Tbl_Siparişler[[#This Row],[Sipariş Alınan Tarih]])</f>
        <v>19</v>
      </c>
      <c r="C582" s="6">
        <v>44321</v>
      </c>
      <c r="D582" s="7" t="s">
        <v>25</v>
      </c>
      <c r="E582" s="7">
        <v>18236</v>
      </c>
      <c r="F582" s="7" t="s">
        <v>109</v>
      </c>
      <c r="G582" s="7" t="s">
        <v>43</v>
      </c>
      <c r="H582" s="7" t="s">
        <v>50</v>
      </c>
      <c r="I582" s="7">
        <v>4</v>
      </c>
      <c r="J582" s="8">
        <f>IFERROR(VLOOKUP(Tbl_Siparişler[[#This Row],[Kategori]]&amp;"-"&amp;Tbl_Siparişler[[#This Row],[Ürün Adı]],Tbl_Ürünler[],11,0)*Tbl_Siparişler[[#This Row],[Adet]],"")</f>
        <v>25832.400000000001</v>
      </c>
    </row>
    <row r="583" spans="2:10" ht="27" customHeight="1" x14ac:dyDescent="0.4">
      <c r="B583" s="9">
        <f>WEEKNUM(Tbl_Siparişler[[#This Row],[Sipariş Alınan Tarih]])</f>
        <v>41</v>
      </c>
      <c r="C583" s="6">
        <v>44472</v>
      </c>
      <c r="D583" s="7" t="s">
        <v>27</v>
      </c>
      <c r="E583" s="7">
        <v>34327</v>
      </c>
      <c r="F583" s="7" t="s">
        <v>118</v>
      </c>
      <c r="G583" s="7" t="s">
        <v>98</v>
      </c>
      <c r="H583" s="7" t="s">
        <v>103</v>
      </c>
      <c r="I583" s="7">
        <v>4</v>
      </c>
      <c r="J583" s="8">
        <f>IFERROR(VLOOKUP(Tbl_Siparişler[[#This Row],[Kategori]]&amp;"-"&amp;Tbl_Siparişler[[#This Row],[Ürün Adı]],Tbl_Ürünler[],11,0)*Tbl_Siparişler[[#This Row],[Adet]],"")</f>
        <v>23850</v>
      </c>
    </row>
    <row r="584" spans="2:10" ht="27" customHeight="1" x14ac:dyDescent="0.4">
      <c r="B584" s="9">
        <f>WEEKNUM(Tbl_Siparişler[[#This Row],[Sipariş Alınan Tarih]])</f>
        <v>51</v>
      </c>
      <c r="C584" s="6">
        <v>44545</v>
      </c>
      <c r="D584" s="7" t="s">
        <v>25</v>
      </c>
      <c r="E584" s="7">
        <v>23835</v>
      </c>
      <c r="F584" s="7" t="s">
        <v>113</v>
      </c>
      <c r="G584" s="7" t="s">
        <v>43</v>
      </c>
      <c r="H584" s="7" t="s">
        <v>46</v>
      </c>
      <c r="I584" s="7">
        <v>2</v>
      </c>
      <c r="J584" s="8">
        <f>IFERROR(VLOOKUP(Tbl_Siparişler[[#This Row],[Kategori]]&amp;"-"&amp;Tbl_Siparişler[[#This Row],[Ürün Adı]],Tbl_Ürünler[],11,0)*Tbl_Siparişler[[#This Row],[Adet]],"")</f>
        <v>26686.800000000003</v>
      </c>
    </row>
    <row r="585" spans="2:10" ht="27" customHeight="1" x14ac:dyDescent="0.4">
      <c r="B585" s="9">
        <f>WEEKNUM(Tbl_Siparişler[[#This Row],[Sipariş Alınan Tarih]])</f>
        <v>26</v>
      </c>
      <c r="C585" s="6">
        <v>44369</v>
      </c>
      <c r="D585" s="7" t="s">
        <v>95</v>
      </c>
      <c r="E585" s="7">
        <v>91524</v>
      </c>
      <c r="F585" s="7" t="s">
        <v>113</v>
      </c>
      <c r="G585" s="7" t="s">
        <v>98</v>
      </c>
      <c r="H585" s="7" t="s">
        <v>103</v>
      </c>
      <c r="I585" s="7">
        <v>1</v>
      </c>
      <c r="J585" s="8">
        <f>IFERROR(VLOOKUP(Tbl_Siparişler[[#This Row],[Kategori]]&amp;"-"&amp;Tbl_Siparişler[[#This Row],[Ürün Adı]],Tbl_Ürünler[],11,0)*Tbl_Siparişler[[#This Row],[Adet]],"")</f>
        <v>5962.5</v>
      </c>
    </row>
    <row r="586" spans="2:10" ht="27" customHeight="1" x14ac:dyDescent="0.4">
      <c r="B586" s="9">
        <f>WEEKNUM(Tbl_Siparişler[[#This Row],[Sipariş Alınan Tarih]])</f>
        <v>29</v>
      </c>
      <c r="C586" s="6">
        <v>44391</v>
      </c>
      <c r="D586" s="7" t="s">
        <v>26</v>
      </c>
      <c r="E586" s="7">
        <v>17527</v>
      </c>
      <c r="F586" s="7" t="s">
        <v>113</v>
      </c>
      <c r="G586" s="7" t="s">
        <v>43</v>
      </c>
      <c r="H586" s="7" t="s">
        <v>46</v>
      </c>
      <c r="I586" s="7">
        <v>4</v>
      </c>
      <c r="J586" s="8">
        <f>IFERROR(VLOOKUP(Tbl_Siparişler[[#This Row],[Kategori]]&amp;"-"&amp;Tbl_Siparişler[[#This Row],[Ürün Adı]],Tbl_Ürünler[],11,0)*Tbl_Siparişler[[#This Row],[Adet]],"")</f>
        <v>53373.600000000006</v>
      </c>
    </row>
    <row r="587" spans="2:10" ht="27" customHeight="1" x14ac:dyDescent="0.4">
      <c r="B587" s="9">
        <f>WEEKNUM(Tbl_Siparişler[[#This Row],[Sipariş Alınan Tarih]])</f>
        <v>36</v>
      </c>
      <c r="C587" s="6">
        <v>44441</v>
      </c>
      <c r="D587" s="7" t="s">
        <v>95</v>
      </c>
      <c r="E587" s="7">
        <v>77044</v>
      </c>
      <c r="F587" s="7" t="s">
        <v>118</v>
      </c>
      <c r="G587" s="7" t="s">
        <v>43</v>
      </c>
      <c r="H587" s="7" t="s">
        <v>50</v>
      </c>
      <c r="I587" s="7">
        <v>2</v>
      </c>
      <c r="J587" s="8">
        <f>IFERROR(VLOOKUP(Tbl_Siparişler[[#This Row],[Kategori]]&amp;"-"&amp;Tbl_Siparişler[[#This Row],[Ürün Adı]],Tbl_Ürünler[],11,0)*Tbl_Siparişler[[#This Row],[Adet]],"")</f>
        <v>12916.2</v>
      </c>
    </row>
    <row r="588" spans="2:10" ht="27" customHeight="1" x14ac:dyDescent="0.4">
      <c r="B588" s="9">
        <f>WEEKNUM(Tbl_Siparişler[[#This Row],[Sipariş Alınan Tarih]])</f>
        <v>52</v>
      </c>
      <c r="C588" s="6">
        <v>44553</v>
      </c>
      <c r="D588" s="7" t="s">
        <v>24</v>
      </c>
      <c r="E588" s="7">
        <v>47849</v>
      </c>
      <c r="F588" s="7" t="s">
        <v>116</v>
      </c>
      <c r="G588" s="7" t="s">
        <v>43</v>
      </c>
      <c r="H588" s="7" t="s">
        <v>44</v>
      </c>
      <c r="I588" s="7">
        <v>4</v>
      </c>
      <c r="J588" s="8">
        <f>IFERROR(VLOOKUP(Tbl_Siparişler[[#This Row],[Kategori]]&amp;"-"&amp;Tbl_Siparişler[[#This Row],[Ürün Adı]],Tbl_Ürünler[],11,0)*Tbl_Siparişler[[#This Row],[Adet]],"")</f>
        <v>35658.400000000001</v>
      </c>
    </row>
    <row r="589" spans="2:10" ht="27" customHeight="1" x14ac:dyDescent="0.4">
      <c r="B589" s="9">
        <f>WEEKNUM(Tbl_Siparişler[[#This Row],[Sipariş Alınan Tarih]])</f>
        <v>11</v>
      </c>
      <c r="C589" s="6">
        <v>44263</v>
      </c>
      <c r="D589" s="7" t="s">
        <v>26</v>
      </c>
      <c r="E589" s="7">
        <v>44605</v>
      </c>
      <c r="F589" s="7" t="s">
        <v>109</v>
      </c>
      <c r="G589" s="7" t="s">
        <v>43</v>
      </c>
      <c r="H589" s="7" t="s">
        <v>44</v>
      </c>
      <c r="I589" s="7">
        <v>3</v>
      </c>
      <c r="J589" s="8">
        <f>IFERROR(VLOOKUP(Tbl_Siparişler[[#This Row],[Kategori]]&amp;"-"&amp;Tbl_Siparişler[[#This Row],[Ürün Adı]],Tbl_Ürünler[],11,0)*Tbl_Siparişler[[#This Row],[Adet]],"")</f>
        <v>26743.800000000003</v>
      </c>
    </row>
    <row r="590" spans="2:10" ht="27" customHeight="1" x14ac:dyDescent="0.4">
      <c r="B590" s="9">
        <f>WEEKNUM(Tbl_Siparişler[[#This Row],[Sipariş Alınan Tarih]])</f>
        <v>12</v>
      </c>
      <c r="C590" s="6">
        <v>44274</v>
      </c>
      <c r="D590" s="7" t="s">
        <v>26</v>
      </c>
      <c r="E590" s="7">
        <v>49079</v>
      </c>
      <c r="F590" s="7" t="s">
        <v>111</v>
      </c>
      <c r="G590" s="7" t="s">
        <v>47</v>
      </c>
      <c r="H590" s="7" t="s">
        <v>49</v>
      </c>
      <c r="I590" s="7">
        <v>4</v>
      </c>
      <c r="J590" s="8">
        <f>IFERROR(VLOOKUP(Tbl_Siparişler[[#This Row],[Kategori]]&amp;"-"&amp;Tbl_Siparişler[[#This Row],[Ürün Adı]],Tbl_Ürünler[],11,0)*Tbl_Siparişler[[#This Row],[Adet]],"")</f>
        <v>38279</v>
      </c>
    </row>
    <row r="591" spans="2:10" ht="27" customHeight="1" x14ac:dyDescent="0.4">
      <c r="B591" s="9">
        <f>WEEKNUM(Tbl_Siparişler[[#This Row],[Sipariş Alınan Tarih]])</f>
        <v>16</v>
      </c>
      <c r="C591" s="6">
        <v>44303</v>
      </c>
      <c r="D591" s="7" t="s">
        <v>106</v>
      </c>
      <c r="E591" s="7">
        <v>28604</v>
      </c>
      <c r="F591" s="7" t="s">
        <v>113</v>
      </c>
      <c r="G591" s="7" t="s">
        <v>47</v>
      </c>
      <c r="H591" s="7" t="s">
        <v>48</v>
      </c>
      <c r="I591" s="7">
        <v>5</v>
      </c>
      <c r="J591" s="8">
        <f>IFERROR(VLOOKUP(Tbl_Siparişler[[#This Row],[Kategori]]&amp;"-"&amp;Tbl_Siparişler[[#This Row],[Ürün Adı]],Tbl_Ürünler[],11,0)*Tbl_Siparişler[[#This Row],[Adet]],"")</f>
        <v>40267.5</v>
      </c>
    </row>
    <row r="592" spans="2:10" ht="27" customHeight="1" x14ac:dyDescent="0.4">
      <c r="B592" s="9">
        <f>WEEKNUM(Tbl_Siparişler[[#This Row],[Sipariş Alınan Tarih]])</f>
        <v>14</v>
      </c>
      <c r="C592" s="6">
        <v>44289</v>
      </c>
      <c r="D592" s="7" t="s">
        <v>106</v>
      </c>
      <c r="E592" s="7">
        <v>80069</v>
      </c>
      <c r="F592" s="7" t="s">
        <v>115</v>
      </c>
      <c r="G592" s="7" t="s">
        <v>43</v>
      </c>
      <c r="H592" s="7" t="s">
        <v>45</v>
      </c>
      <c r="I592" s="7">
        <v>3</v>
      </c>
      <c r="J592" s="8">
        <f>IFERROR(VLOOKUP(Tbl_Siparişler[[#This Row],[Kategori]]&amp;"-"&amp;Tbl_Siparişler[[#This Row],[Ürün Adı]],Tbl_Ürünler[],11,0)*Tbl_Siparişler[[#This Row],[Adet]],"")</f>
        <v>28978.199999999997</v>
      </c>
    </row>
    <row r="593" spans="2:10" ht="27" customHeight="1" x14ac:dyDescent="0.4">
      <c r="B593" s="9">
        <f>WEEKNUM(Tbl_Siparişler[[#This Row],[Sipariş Alınan Tarih]])</f>
        <v>26</v>
      </c>
      <c r="C593" s="6">
        <v>44367</v>
      </c>
      <c r="D593" s="7" t="s">
        <v>27</v>
      </c>
      <c r="E593" s="7">
        <v>75410</v>
      </c>
      <c r="F593" s="7" t="s">
        <v>107</v>
      </c>
      <c r="G593" s="7" t="s">
        <v>43</v>
      </c>
      <c r="H593" s="7" t="s">
        <v>46</v>
      </c>
      <c r="I593" s="7">
        <v>4</v>
      </c>
      <c r="J593" s="8">
        <f>IFERROR(VLOOKUP(Tbl_Siparişler[[#This Row],[Kategori]]&amp;"-"&amp;Tbl_Siparişler[[#This Row],[Ürün Adı]],Tbl_Ürünler[],11,0)*Tbl_Siparişler[[#This Row],[Adet]],"")</f>
        <v>53373.600000000006</v>
      </c>
    </row>
    <row r="594" spans="2:10" ht="27" customHeight="1" x14ac:dyDescent="0.4">
      <c r="B594" s="9">
        <f>WEEKNUM(Tbl_Siparişler[[#This Row],[Sipariş Alınan Tarih]])</f>
        <v>4</v>
      </c>
      <c r="C594" s="6">
        <v>44213</v>
      </c>
      <c r="D594" s="7" t="s">
        <v>106</v>
      </c>
      <c r="E594" s="7">
        <v>88937</v>
      </c>
      <c r="F594" s="7" t="s">
        <v>114</v>
      </c>
      <c r="G594" s="7" t="s">
        <v>47</v>
      </c>
      <c r="H594" s="7" t="s">
        <v>48</v>
      </c>
      <c r="I594" s="7">
        <v>1</v>
      </c>
      <c r="J594" s="8">
        <f>IFERROR(VLOOKUP(Tbl_Siparişler[[#This Row],[Kategori]]&amp;"-"&amp;Tbl_Siparişler[[#This Row],[Ürün Adı]],Tbl_Ürünler[],11,0)*Tbl_Siparişler[[#This Row],[Adet]],"")</f>
        <v>8053.5</v>
      </c>
    </row>
    <row r="595" spans="2:10" ht="27" customHeight="1" x14ac:dyDescent="0.4">
      <c r="B595" s="9">
        <f>WEEKNUM(Tbl_Siparişler[[#This Row],[Sipariş Alınan Tarih]])</f>
        <v>39</v>
      </c>
      <c r="C595" s="6">
        <v>44460</v>
      </c>
      <c r="D595" s="7" t="s">
        <v>26</v>
      </c>
      <c r="E595" s="7">
        <v>58435</v>
      </c>
      <c r="F595" s="7" t="s">
        <v>108</v>
      </c>
      <c r="G595" s="7" t="s">
        <v>98</v>
      </c>
      <c r="H595" s="7" t="s">
        <v>99</v>
      </c>
      <c r="I595" s="7">
        <v>4</v>
      </c>
      <c r="J595" s="8">
        <f>IFERROR(VLOOKUP(Tbl_Siparişler[[#This Row],[Kategori]]&amp;"-"&amp;Tbl_Siparişler[[#This Row],[Ürün Adı]],Tbl_Ürünler[],11,0)*Tbl_Siparişler[[#This Row],[Adet]],"")</f>
        <v>16566.52</v>
      </c>
    </row>
    <row r="596" spans="2:10" ht="27" customHeight="1" x14ac:dyDescent="0.4">
      <c r="B596" s="9">
        <f>WEEKNUM(Tbl_Siparişler[[#This Row],[Sipariş Alınan Tarih]])</f>
        <v>22</v>
      </c>
      <c r="C596" s="6">
        <v>44340</v>
      </c>
      <c r="D596" s="7" t="s">
        <v>26</v>
      </c>
      <c r="E596" s="7">
        <v>56348</v>
      </c>
      <c r="F596" s="7" t="s">
        <v>113</v>
      </c>
      <c r="G596" s="7" t="s">
        <v>98</v>
      </c>
      <c r="H596" s="7" t="s">
        <v>103</v>
      </c>
      <c r="I596" s="7">
        <v>1</v>
      </c>
      <c r="J596" s="8">
        <f>IFERROR(VLOOKUP(Tbl_Siparişler[[#This Row],[Kategori]]&amp;"-"&amp;Tbl_Siparişler[[#This Row],[Ürün Adı]],Tbl_Ürünler[],11,0)*Tbl_Siparişler[[#This Row],[Adet]],"")</f>
        <v>5962.5</v>
      </c>
    </row>
    <row r="597" spans="2:10" ht="27" customHeight="1" x14ac:dyDescent="0.4">
      <c r="B597" s="9">
        <f>WEEKNUM(Tbl_Siparişler[[#This Row],[Sipariş Alınan Tarih]])</f>
        <v>14</v>
      </c>
      <c r="C597" s="6">
        <v>44283</v>
      </c>
      <c r="D597" s="7" t="s">
        <v>25</v>
      </c>
      <c r="E597" s="7">
        <v>14277</v>
      </c>
      <c r="F597" s="7" t="s">
        <v>118</v>
      </c>
      <c r="G597" s="7" t="s">
        <v>29</v>
      </c>
      <c r="H597" s="7" t="s">
        <v>42</v>
      </c>
      <c r="I597" s="7">
        <v>3</v>
      </c>
      <c r="J597" s="8">
        <f>IFERROR(VLOOKUP(Tbl_Siparişler[[#This Row],[Kategori]]&amp;"-"&amp;Tbl_Siparişler[[#This Row],[Ürün Adı]],Tbl_Ürünler[],11,0)*Tbl_Siparişler[[#This Row],[Adet]],"")</f>
        <v>42198</v>
      </c>
    </row>
    <row r="598" spans="2:10" ht="27" customHeight="1" x14ac:dyDescent="0.4">
      <c r="B598" s="9">
        <f>WEEKNUM(Tbl_Siparişler[[#This Row],[Sipariş Alınan Tarih]])</f>
        <v>11</v>
      </c>
      <c r="C598" s="6">
        <v>44265</v>
      </c>
      <c r="D598" s="7" t="s">
        <v>106</v>
      </c>
      <c r="E598" s="7">
        <v>36204</v>
      </c>
      <c r="F598" s="7" t="s">
        <v>113</v>
      </c>
      <c r="G598" s="7" t="s">
        <v>43</v>
      </c>
      <c r="H598" s="7" t="s">
        <v>45</v>
      </c>
      <c r="I598" s="7">
        <v>5</v>
      </c>
      <c r="J598" s="8">
        <f>IFERROR(VLOOKUP(Tbl_Siparişler[[#This Row],[Kategori]]&amp;"-"&amp;Tbl_Siparişler[[#This Row],[Ürün Adı]],Tbl_Ürünler[],11,0)*Tbl_Siparişler[[#This Row],[Adet]],"")</f>
        <v>48297</v>
      </c>
    </row>
    <row r="599" spans="2:10" ht="27" customHeight="1" x14ac:dyDescent="0.4">
      <c r="B599" s="9">
        <f>WEEKNUM(Tbl_Siparişler[[#This Row],[Sipariş Alınan Tarih]])</f>
        <v>29</v>
      </c>
      <c r="C599" s="6">
        <v>44392</v>
      </c>
      <c r="D599" s="7" t="s">
        <v>24</v>
      </c>
      <c r="E599" s="7">
        <v>42012</v>
      </c>
      <c r="F599" s="7" t="s">
        <v>108</v>
      </c>
      <c r="G599" s="7" t="s">
        <v>29</v>
      </c>
      <c r="H599" s="7" t="s">
        <v>30</v>
      </c>
      <c r="I599" s="7">
        <v>3</v>
      </c>
      <c r="J599" s="8">
        <f>IFERROR(VLOOKUP(Tbl_Siparişler[[#This Row],[Kategori]]&amp;"-"&amp;Tbl_Siparişler[[#This Row],[Ürün Adı]],Tbl_Ürünler[],11,0)*Tbl_Siparişler[[#This Row],[Adet]],"")</f>
        <v>26055.899999999998</v>
      </c>
    </row>
    <row r="600" spans="2:10" ht="27" customHeight="1" x14ac:dyDescent="0.4">
      <c r="B600" s="9">
        <f>WEEKNUM(Tbl_Siparişler[[#This Row],[Sipariş Alınan Tarih]])</f>
        <v>9</v>
      </c>
      <c r="C600" s="6">
        <v>44250</v>
      </c>
      <c r="D600" s="7" t="s">
        <v>106</v>
      </c>
      <c r="E600" s="7">
        <v>94361</v>
      </c>
      <c r="F600" s="7" t="s">
        <v>114</v>
      </c>
      <c r="G600" s="7" t="s">
        <v>47</v>
      </c>
      <c r="H600" s="7" t="s">
        <v>49</v>
      </c>
      <c r="I600" s="7">
        <v>4</v>
      </c>
      <c r="J600" s="8">
        <f>IFERROR(VLOOKUP(Tbl_Siparişler[[#This Row],[Kategori]]&amp;"-"&amp;Tbl_Siparişler[[#This Row],[Ürün Adı]],Tbl_Ürünler[],11,0)*Tbl_Siparişler[[#This Row],[Adet]],"")</f>
        <v>38279</v>
      </c>
    </row>
    <row r="601" spans="2:10" ht="27" customHeight="1" x14ac:dyDescent="0.4">
      <c r="B601" s="9">
        <f>WEEKNUM(Tbl_Siparişler[[#This Row],[Sipariş Alınan Tarih]])</f>
        <v>38</v>
      </c>
      <c r="C601" s="6">
        <v>44456</v>
      </c>
      <c r="D601" s="7" t="s">
        <v>106</v>
      </c>
      <c r="E601" s="7">
        <v>88902</v>
      </c>
      <c r="F601" s="7" t="s">
        <v>110</v>
      </c>
      <c r="G601" s="7" t="s">
        <v>43</v>
      </c>
      <c r="H601" s="7" t="s">
        <v>44</v>
      </c>
      <c r="I601" s="7">
        <v>4</v>
      </c>
      <c r="J601" s="8">
        <f>IFERROR(VLOOKUP(Tbl_Siparişler[[#This Row],[Kategori]]&amp;"-"&amp;Tbl_Siparişler[[#This Row],[Ürün Adı]],Tbl_Ürünler[],11,0)*Tbl_Siparişler[[#This Row],[Adet]],"")</f>
        <v>35658.400000000001</v>
      </c>
    </row>
    <row r="602" spans="2:10" ht="27" customHeight="1" x14ac:dyDescent="0.4">
      <c r="B602" s="9">
        <f>WEEKNUM(Tbl_Siparişler[[#This Row],[Sipariş Alınan Tarih]])</f>
        <v>26</v>
      </c>
      <c r="C602" s="6">
        <v>44373</v>
      </c>
      <c r="D602" s="7" t="s">
        <v>95</v>
      </c>
      <c r="E602" s="7">
        <v>63153</v>
      </c>
      <c r="F602" s="7" t="s">
        <v>115</v>
      </c>
      <c r="G602" s="7" t="s">
        <v>47</v>
      </c>
      <c r="H602" s="7" t="s">
        <v>49</v>
      </c>
      <c r="I602" s="7">
        <v>1</v>
      </c>
      <c r="J602" s="8">
        <f>IFERROR(VLOOKUP(Tbl_Siparişler[[#This Row],[Kategori]]&amp;"-"&amp;Tbl_Siparişler[[#This Row],[Ürün Adı]],Tbl_Ürünler[],11,0)*Tbl_Siparişler[[#This Row],[Adet]],"")</f>
        <v>9569.75</v>
      </c>
    </row>
    <row r="603" spans="2:10" ht="27" customHeight="1" x14ac:dyDescent="0.4">
      <c r="B603" s="9">
        <f>WEEKNUM(Tbl_Siparişler[[#This Row],[Sipariş Alınan Tarih]])</f>
        <v>31</v>
      </c>
      <c r="C603" s="6">
        <v>44405</v>
      </c>
      <c r="D603" s="7" t="s">
        <v>26</v>
      </c>
      <c r="E603" s="7">
        <v>95501</v>
      </c>
      <c r="F603" s="7" t="s">
        <v>115</v>
      </c>
      <c r="G603" s="7" t="s">
        <v>47</v>
      </c>
      <c r="H603" s="7" t="s">
        <v>48</v>
      </c>
      <c r="I603" s="7">
        <v>5</v>
      </c>
      <c r="J603" s="8">
        <f>IFERROR(VLOOKUP(Tbl_Siparişler[[#This Row],[Kategori]]&amp;"-"&amp;Tbl_Siparişler[[#This Row],[Ürün Adı]],Tbl_Ürünler[],11,0)*Tbl_Siparişler[[#This Row],[Adet]],"")</f>
        <v>40267.5</v>
      </c>
    </row>
    <row r="604" spans="2:10" ht="27" customHeight="1" x14ac:dyDescent="0.4">
      <c r="B604" s="9">
        <f>WEEKNUM(Tbl_Siparişler[[#This Row],[Sipariş Alınan Tarih]])</f>
        <v>9</v>
      </c>
      <c r="C604" s="6">
        <v>44251</v>
      </c>
      <c r="D604" s="7" t="s">
        <v>24</v>
      </c>
      <c r="E604" s="7">
        <v>22082</v>
      </c>
      <c r="F604" s="7" t="s">
        <v>107</v>
      </c>
      <c r="G604" s="7" t="s">
        <v>98</v>
      </c>
      <c r="H604" s="7" t="s">
        <v>99</v>
      </c>
      <c r="I604" s="7">
        <v>5</v>
      </c>
      <c r="J604" s="8">
        <f>IFERROR(VLOOKUP(Tbl_Siparişler[[#This Row],[Kategori]]&amp;"-"&amp;Tbl_Siparişler[[#This Row],[Ürün Adı]],Tbl_Ürünler[],11,0)*Tbl_Siparişler[[#This Row],[Adet]],"")</f>
        <v>20708.150000000001</v>
      </c>
    </row>
    <row r="605" spans="2:10" ht="27" customHeight="1" x14ac:dyDescent="0.4">
      <c r="B605" s="9">
        <f>WEEKNUM(Tbl_Siparişler[[#This Row],[Sipariş Alınan Tarih]])</f>
        <v>41</v>
      </c>
      <c r="C605" s="6">
        <v>44472</v>
      </c>
      <c r="D605" s="7" t="s">
        <v>24</v>
      </c>
      <c r="E605" s="7">
        <v>96610</v>
      </c>
      <c r="F605" s="7" t="s">
        <v>112</v>
      </c>
      <c r="G605" s="7" t="s">
        <v>29</v>
      </c>
      <c r="H605" s="7" t="s">
        <v>41</v>
      </c>
      <c r="I605" s="7">
        <v>4</v>
      </c>
      <c r="J605" s="8">
        <f>IFERROR(VLOOKUP(Tbl_Siparişler[[#This Row],[Kategori]]&amp;"-"&amp;Tbl_Siparişler[[#This Row],[Ürün Adı]],Tbl_Ürünler[],11,0)*Tbl_Siparişler[[#This Row],[Adet]],"")</f>
        <v>50484</v>
      </c>
    </row>
    <row r="606" spans="2:10" ht="27" customHeight="1" x14ac:dyDescent="0.4">
      <c r="B606" s="9">
        <f>WEEKNUM(Tbl_Siparişler[[#This Row],[Sipariş Alınan Tarih]])</f>
        <v>51</v>
      </c>
      <c r="C606" s="6">
        <v>44544</v>
      </c>
      <c r="D606" s="7" t="s">
        <v>26</v>
      </c>
      <c r="E606" s="7">
        <v>31211</v>
      </c>
      <c r="F606" s="7" t="s">
        <v>111</v>
      </c>
      <c r="G606" s="7" t="s">
        <v>47</v>
      </c>
      <c r="H606" s="7" t="s">
        <v>49</v>
      </c>
      <c r="I606" s="7">
        <v>2</v>
      </c>
      <c r="J606" s="8">
        <f>IFERROR(VLOOKUP(Tbl_Siparişler[[#This Row],[Kategori]]&amp;"-"&amp;Tbl_Siparişler[[#This Row],[Ürün Adı]],Tbl_Ürünler[],11,0)*Tbl_Siparişler[[#This Row],[Adet]],"")</f>
        <v>19139.5</v>
      </c>
    </row>
    <row r="607" spans="2:10" ht="27" customHeight="1" x14ac:dyDescent="0.4">
      <c r="B607" s="9">
        <f>WEEKNUM(Tbl_Siparişler[[#This Row],[Sipariş Alınan Tarih]])</f>
        <v>12</v>
      </c>
      <c r="C607" s="6">
        <v>44270</v>
      </c>
      <c r="D607" s="7" t="s">
        <v>24</v>
      </c>
      <c r="E607" s="7">
        <v>71895</v>
      </c>
      <c r="F607" s="7" t="s">
        <v>111</v>
      </c>
      <c r="G607" s="7" t="s">
        <v>43</v>
      </c>
      <c r="H607" s="7" t="s">
        <v>50</v>
      </c>
      <c r="I607" s="7">
        <v>5</v>
      </c>
      <c r="J607" s="8">
        <f>IFERROR(VLOOKUP(Tbl_Siparişler[[#This Row],[Kategori]]&amp;"-"&amp;Tbl_Siparişler[[#This Row],[Ürün Adı]],Tbl_Ürünler[],11,0)*Tbl_Siparişler[[#This Row],[Adet]],"")</f>
        <v>32290.5</v>
      </c>
    </row>
    <row r="608" spans="2:10" ht="27" customHeight="1" x14ac:dyDescent="0.4">
      <c r="B608" s="9">
        <f>WEEKNUM(Tbl_Siparişler[[#This Row],[Sipariş Alınan Tarih]])</f>
        <v>38</v>
      </c>
      <c r="C608" s="6">
        <v>44456</v>
      </c>
      <c r="D608" s="7" t="s">
        <v>28</v>
      </c>
      <c r="E608" s="7">
        <v>81556</v>
      </c>
      <c r="F608" s="7" t="s">
        <v>111</v>
      </c>
      <c r="G608" s="7" t="s">
        <v>98</v>
      </c>
      <c r="H608" s="7" t="s">
        <v>103</v>
      </c>
      <c r="I608" s="7">
        <v>4</v>
      </c>
      <c r="J608" s="8">
        <f>IFERROR(VLOOKUP(Tbl_Siparişler[[#This Row],[Kategori]]&amp;"-"&amp;Tbl_Siparişler[[#This Row],[Ürün Adı]],Tbl_Ürünler[],11,0)*Tbl_Siparişler[[#This Row],[Adet]],"")</f>
        <v>23850</v>
      </c>
    </row>
    <row r="609" spans="2:10" ht="27" customHeight="1" x14ac:dyDescent="0.4">
      <c r="B609" s="9">
        <f>WEEKNUM(Tbl_Siparişler[[#This Row],[Sipariş Alınan Tarih]])</f>
        <v>43</v>
      </c>
      <c r="C609" s="6">
        <v>44486</v>
      </c>
      <c r="D609" s="7" t="s">
        <v>25</v>
      </c>
      <c r="E609" s="7">
        <v>55367</v>
      </c>
      <c r="F609" s="7" t="s">
        <v>115</v>
      </c>
      <c r="G609" s="7" t="s">
        <v>47</v>
      </c>
      <c r="H609" s="7" t="s">
        <v>49</v>
      </c>
      <c r="I609" s="7">
        <v>3</v>
      </c>
      <c r="J609" s="8">
        <f>IFERROR(VLOOKUP(Tbl_Siparişler[[#This Row],[Kategori]]&amp;"-"&amp;Tbl_Siparişler[[#This Row],[Ürün Adı]],Tbl_Ürünler[],11,0)*Tbl_Siparişler[[#This Row],[Adet]],"")</f>
        <v>28709.25</v>
      </c>
    </row>
    <row r="610" spans="2:10" ht="27" customHeight="1" x14ac:dyDescent="0.4">
      <c r="B610" s="9">
        <f>WEEKNUM(Tbl_Siparişler[[#This Row],[Sipariş Alınan Tarih]])</f>
        <v>3</v>
      </c>
      <c r="C610" s="6">
        <v>44211</v>
      </c>
      <c r="D610" s="7" t="s">
        <v>106</v>
      </c>
      <c r="E610" s="7">
        <v>11166</v>
      </c>
      <c r="F610" s="7" t="s">
        <v>116</v>
      </c>
      <c r="G610" s="7" t="s">
        <v>98</v>
      </c>
      <c r="H610" s="7" t="s">
        <v>100</v>
      </c>
      <c r="I610" s="7">
        <v>1</v>
      </c>
      <c r="J610" s="8">
        <f>IFERROR(VLOOKUP(Tbl_Siparişler[[#This Row],[Kategori]]&amp;"-"&amp;Tbl_Siparişler[[#This Row],[Ürün Adı]],Tbl_Ürünler[],11,0)*Tbl_Siparişler[[#This Row],[Adet]],"")</f>
        <v>9235.2000000000007</v>
      </c>
    </row>
    <row r="611" spans="2:10" ht="27" customHeight="1" x14ac:dyDescent="0.4">
      <c r="B611" s="9">
        <f>WEEKNUM(Tbl_Siparişler[[#This Row],[Sipariş Alınan Tarih]])</f>
        <v>29</v>
      </c>
      <c r="C611" s="6">
        <v>44391</v>
      </c>
      <c r="D611" s="7" t="s">
        <v>28</v>
      </c>
      <c r="E611" s="7">
        <v>69343</v>
      </c>
      <c r="F611" s="7" t="s">
        <v>112</v>
      </c>
      <c r="G611" s="7" t="s">
        <v>43</v>
      </c>
      <c r="H611" s="7" t="s">
        <v>50</v>
      </c>
      <c r="I611" s="7">
        <v>5</v>
      </c>
      <c r="J611" s="8">
        <f>IFERROR(VLOOKUP(Tbl_Siparişler[[#This Row],[Kategori]]&amp;"-"&amp;Tbl_Siparişler[[#This Row],[Ürün Adı]],Tbl_Ürünler[],11,0)*Tbl_Siparişler[[#This Row],[Adet]],"")</f>
        <v>32290.5</v>
      </c>
    </row>
    <row r="612" spans="2:10" ht="27" customHeight="1" x14ac:dyDescent="0.4">
      <c r="B612" s="9">
        <f>WEEKNUM(Tbl_Siparişler[[#This Row],[Sipariş Alınan Tarih]])</f>
        <v>41</v>
      </c>
      <c r="C612" s="6">
        <v>44475</v>
      </c>
      <c r="D612" s="7" t="s">
        <v>28</v>
      </c>
      <c r="E612" s="7">
        <v>79957</v>
      </c>
      <c r="F612" s="7" t="s">
        <v>117</v>
      </c>
      <c r="G612" s="7" t="s">
        <v>98</v>
      </c>
      <c r="H612" s="7" t="s">
        <v>100</v>
      </c>
      <c r="I612" s="7">
        <v>4</v>
      </c>
      <c r="J612" s="8">
        <f>IFERROR(VLOOKUP(Tbl_Siparişler[[#This Row],[Kategori]]&amp;"-"&amp;Tbl_Siparişler[[#This Row],[Ürün Adı]],Tbl_Ürünler[],11,0)*Tbl_Siparişler[[#This Row],[Adet]],"")</f>
        <v>36940.800000000003</v>
      </c>
    </row>
    <row r="613" spans="2:10" ht="27" customHeight="1" x14ac:dyDescent="0.4">
      <c r="B613" s="9">
        <f>WEEKNUM(Tbl_Siparişler[[#This Row],[Sipariş Alınan Tarih]])</f>
        <v>2</v>
      </c>
      <c r="C613" s="6">
        <v>44199</v>
      </c>
      <c r="D613" s="7" t="s">
        <v>25</v>
      </c>
      <c r="E613" s="7">
        <v>19530</v>
      </c>
      <c r="F613" s="7" t="s">
        <v>116</v>
      </c>
      <c r="G613" s="7" t="s">
        <v>43</v>
      </c>
      <c r="H613" s="7" t="s">
        <v>50</v>
      </c>
      <c r="I613" s="7">
        <v>1</v>
      </c>
      <c r="J613" s="8">
        <f>IFERROR(VLOOKUP(Tbl_Siparişler[[#This Row],[Kategori]]&amp;"-"&amp;Tbl_Siparişler[[#This Row],[Ürün Adı]],Tbl_Ürünler[],11,0)*Tbl_Siparişler[[#This Row],[Adet]],"")</f>
        <v>6458.1</v>
      </c>
    </row>
    <row r="614" spans="2:10" ht="27" customHeight="1" x14ac:dyDescent="0.4">
      <c r="B614" s="9">
        <f>WEEKNUM(Tbl_Siparişler[[#This Row],[Sipariş Alınan Tarih]])</f>
        <v>41</v>
      </c>
      <c r="C614" s="6">
        <v>44474</v>
      </c>
      <c r="D614" s="7" t="s">
        <v>27</v>
      </c>
      <c r="E614" s="7">
        <v>58902</v>
      </c>
      <c r="F614" s="7" t="s">
        <v>114</v>
      </c>
      <c r="G614" s="7" t="s">
        <v>98</v>
      </c>
      <c r="H614" s="7" t="s">
        <v>103</v>
      </c>
      <c r="I614" s="7">
        <v>3</v>
      </c>
      <c r="J614" s="8">
        <f>IFERROR(VLOOKUP(Tbl_Siparişler[[#This Row],[Kategori]]&amp;"-"&amp;Tbl_Siparişler[[#This Row],[Ürün Adı]],Tbl_Ürünler[],11,0)*Tbl_Siparişler[[#This Row],[Adet]],"")</f>
        <v>17887.5</v>
      </c>
    </row>
    <row r="615" spans="2:10" ht="27" customHeight="1" x14ac:dyDescent="0.4">
      <c r="B615" s="9">
        <f>WEEKNUM(Tbl_Siparişler[[#This Row],[Sipariş Alınan Tarih]])</f>
        <v>34</v>
      </c>
      <c r="C615" s="6">
        <v>44424</v>
      </c>
      <c r="D615" s="7" t="s">
        <v>25</v>
      </c>
      <c r="E615" s="7">
        <v>32563</v>
      </c>
      <c r="F615" s="7" t="s">
        <v>110</v>
      </c>
      <c r="G615" s="7" t="s">
        <v>98</v>
      </c>
      <c r="H615" s="7" t="s">
        <v>100</v>
      </c>
      <c r="I615" s="7">
        <v>5</v>
      </c>
      <c r="J615" s="8">
        <f>IFERROR(VLOOKUP(Tbl_Siparişler[[#This Row],[Kategori]]&amp;"-"&amp;Tbl_Siparişler[[#This Row],[Ürün Adı]],Tbl_Ürünler[],11,0)*Tbl_Siparişler[[#This Row],[Adet]],"")</f>
        <v>46176</v>
      </c>
    </row>
    <row r="616" spans="2:10" ht="27" customHeight="1" x14ac:dyDescent="0.4">
      <c r="B616" s="9">
        <f>WEEKNUM(Tbl_Siparişler[[#This Row],[Sipariş Alınan Tarih]])</f>
        <v>10</v>
      </c>
      <c r="C616" s="6">
        <v>44256</v>
      </c>
      <c r="D616" s="7" t="s">
        <v>28</v>
      </c>
      <c r="E616" s="7">
        <v>85878</v>
      </c>
      <c r="F616" s="7" t="s">
        <v>108</v>
      </c>
      <c r="G616" s="7" t="s">
        <v>98</v>
      </c>
      <c r="H616" s="7" t="s">
        <v>99</v>
      </c>
      <c r="I616" s="7">
        <v>5</v>
      </c>
      <c r="J616" s="8">
        <f>IFERROR(VLOOKUP(Tbl_Siparişler[[#This Row],[Kategori]]&amp;"-"&amp;Tbl_Siparişler[[#This Row],[Ürün Adı]],Tbl_Ürünler[],11,0)*Tbl_Siparişler[[#This Row],[Adet]],"")</f>
        <v>20708.150000000001</v>
      </c>
    </row>
    <row r="617" spans="2:10" ht="27" customHeight="1" x14ac:dyDescent="0.4">
      <c r="B617" s="9">
        <f>WEEKNUM(Tbl_Siparişler[[#This Row],[Sipariş Alınan Tarih]])</f>
        <v>16</v>
      </c>
      <c r="C617" s="6">
        <v>44302</v>
      </c>
      <c r="D617" s="7" t="s">
        <v>24</v>
      </c>
      <c r="E617" s="7">
        <v>40203</v>
      </c>
      <c r="F617" s="7" t="s">
        <v>117</v>
      </c>
      <c r="G617" s="7" t="s">
        <v>43</v>
      </c>
      <c r="H617" s="7" t="s">
        <v>45</v>
      </c>
      <c r="I617" s="7">
        <v>1</v>
      </c>
      <c r="J617" s="8">
        <f>IFERROR(VLOOKUP(Tbl_Siparişler[[#This Row],[Kategori]]&amp;"-"&amp;Tbl_Siparişler[[#This Row],[Ürün Adı]],Tbl_Ürünler[],11,0)*Tbl_Siparişler[[#This Row],[Adet]],"")</f>
        <v>9659.4</v>
      </c>
    </row>
    <row r="618" spans="2:10" ht="27" customHeight="1" x14ac:dyDescent="0.4">
      <c r="B618" s="9">
        <f>WEEKNUM(Tbl_Siparişler[[#This Row],[Sipariş Alınan Tarih]])</f>
        <v>33</v>
      </c>
      <c r="C618" s="6">
        <v>44422</v>
      </c>
      <c r="D618" s="7" t="s">
        <v>26</v>
      </c>
      <c r="E618" s="7">
        <v>65720</v>
      </c>
      <c r="F618" s="7" t="s">
        <v>117</v>
      </c>
      <c r="G618" s="7" t="s">
        <v>47</v>
      </c>
      <c r="H618" s="7" t="s">
        <v>48</v>
      </c>
      <c r="I618" s="7">
        <v>3</v>
      </c>
      <c r="J618" s="8">
        <f>IFERROR(VLOOKUP(Tbl_Siparişler[[#This Row],[Kategori]]&amp;"-"&amp;Tbl_Siparişler[[#This Row],[Ürün Adı]],Tbl_Ürünler[],11,0)*Tbl_Siparişler[[#This Row],[Adet]],"")</f>
        <v>24160.5</v>
      </c>
    </row>
    <row r="619" spans="2:10" ht="27" customHeight="1" x14ac:dyDescent="0.4">
      <c r="B619" s="9">
        <f>WEEKNUM(Tbl_Siparişler[[#This Row],[Sipariş Alınan Tarih]])</f>
        <v>30</v>
      </c>
      <c r="C619" s="6">
        <v>44401</v>
      </c>
      <c r="D619" s="7" t="s">
        <v>27</v>
      </c>
      <c r="E619" s="7">
        <v>90347</v>
      </c>
      <c r="F619" s="7" t="s">
        <v>111</v>
      </c>
      <c r="G619" s="7" t="s">
        <v>47</v>
      </c>
      <c r="H619" s="7" t="s">
        <v>48</v>
      </c>
      <c r="I619" s="7">
        <v>2</v>
      </c>
      <c r="J619" s="8">
        <f>IFERROR(VLOOKUP(Tbl_Siparişler[[#This Row],[Kategori]]&amp;"-"&amp;Tbl_Siparişler[[#This Row],[Ürün Adı]],Tbl_Ürünler[],11,0)*Tbl_Siparişler[[#This Row],[Adet]],"")</f>
        <v>16107</v>
      </c>
    </row>
    <row r="620" spans="2:10" ht="27" customHeight="1" x14ac:dyDescent="0.4">
      <c r="B620" s="9">
        <f>WEEKNUM(Tbl_Siparişler[[#This Row],[Sipariş Alınan Tarih]])</f>
        <v>30</v>
      </c>
      <c r="C620" s="6">
        <v>44396</v>
      </c>
      <c r="D620" s="7" t="s">
        <v>28</v>
      </c>
      <c r="E620" s="7">
        <v>60397</v>
      </c>
      <c r="F620" s="7" t="s">
        <v>108</v>
      </c>
      <c r="G620" s="7" t="s">
        <v>29</v>
      </c>
      <c r="H620" s="7" t="s">
        <v>41</v>
      </c>
      <c r="I620" s="7">
        <v>2</v>
      </c>
      <c r="J620" s="8">
        <f>IFERROR(VLOOKUP(Tbl_Siparişler[[#This Row],[Kategori]]&amp;"-"&amp;Tbl_Siparişler[[#This Row],[Ürün Adı]],Tbl_Ürünler[],11,0)*Tbl_Siparişler[[#This Row],[Adet]],"")</f>
        <v>25242</v>
      </c>
    </row>
    <row r="621" spans="2:10" ht="27" customHeight="1" x14ac:dyDescent="0.4">
      <c r="B621" s="9">
        <f>WEEKNUM(Tbl_Siparişler[[#This Row],[Sipariş Alınan Tarih]])</f>
        <v>9</v>
      </c>
      <c r="C621" s="6">
        <v>44252</v>
      </c>
      <c r="D621" s="7" t="s">
        <v>28</v>
      </c>
      <c r="E621" s="7">
        <v>74496</v>
      </c>
      <c r="F621" s="7" t="s">
        <v>111</v>
      </c>
      <c r="G621" s="7" t="s">
        <v>43</v>
      </c>
      <c r="H621" s="7" t="s">
        <v>44</v>
      </c>
      <c r="I621" s="7">
        <v>3</v>
      </c>
      <c r="J621" s="8">
        <f>IFERROR(VLOOKUP(Tbl_Siparişler[[#This Row],[Kategori]]&amp;"-"&amp;Tbl_Siparişler[[#This Row],[Ürün Adı]],Tbl_Ürünler[],11,0)*Tbl_Siparişler[[#This Row],[Adet]],"")</f>
        <v>26743.800000000003</v>
      </c>
    </row>
    <row r="622" spans="2:10" ht="27" customHeight="1" x14ac:dyDescent="0.4">
      <c r="B622" s="9">
        <f>WEEKNUM(Tbl_Siparişler[[#This Row],[Sipariş Alınan Tarih]])</f>
        <v>32</v>
      </c>
      <c r="C622" s="6">
        <v>44412</v>
      </c>
      <c r="D622" s="7" t="s">
        <v>26</v>
      </c>
      <c r="E622" s="7">
        <v>24257</v>
      </c>
      <c r="F622" s="7" t="s">
        <v>109</v>
      </c>
      <c r="G622" s="7" t="s">
        <v>43</v>
      </c>
      <c r="H622" s="7" t="s">
        <v>44</v>
      </c>
      <c r="I622" s="7">
        <v>2</v>
      </c>
      <c r="J622" s="8">
        <f>IFERROR(VLOOKUP(Tbl_Siparişler[[#This Row],[Kategori]]&amp;"-"&amp;Tbl_Siparişler[[#This Row],[Ürün Adı]],Tbl_Ürünler[],11,0)*Tbl_Siparişler[[#This Row],[Adet]],"")</f>
        <v>17829.2</v>
      </c>
    </row>
    <row r="623" spans="2:10" ht="27" customHeight="1" x14ac:dyDescent="0.4">
      <c r="B623" s="9">
        <f>WEEKNUM(Tbl_Siparişler[[#This Row],[Sipariş Alınan Tarih]])</f>
        <v>32</v>
      </c>
      <c r="C623" s="6">
        <v>44414</v>
      </c>
      <c r="D623" s="7" t="s">
        <v>24</v>
      </c>
      <c r="E623" s="7">
        <v>16120</v>
      </c>
      <c r="F623" s="7" t="s">
        <v>117</v>
      </c>
      <c r="G623" s="7" t="s">
        <v>47</v>
      </c>
      <c r="H623" s="7" t="s">
        <v>49</v>
      </c>
      <c r="I623" s="7">
        <v>3</v>
      </c>
      <c r="J623" s="8">
        <f>IFERROR(VLOOKUP(Tbl_Siparişler[[#This Row],[Kategori]]&amp;"-"&amp;Tbl_Siparişler[[#This Row],[Ürün Adı]],Tbl_Ürünler[],11,0)*Tbl_Siparişler[[#This Row],[Adet]],"")</f>
        <v>28709.25</v>
      </c>
    </row>
    <row r="624" spans="2:10" ht="27" customHeight="1" x14ac:dyDescent="0.4">
      <c r="B624" s="9">
        <f>WEEKNUM(Tbl_Siparişler[[#This Row],[Sipariş Alınan Tarih]])</f>
        <v>21</v>
      </c>
      <c r="C624" s="6">
        <v>44337</v>
      </c>
      <c r="D624" s="7" t="s">
        <v>26</v>
      </c>
      <c r="E624" s="7">
        <v>62695</v>
      </c>
      <c r="F624" s="7" t="s">
        <v>108</v>
      </c>
      <c r="G624" s="7" t="s">
        <v>43</v>
      </c>
      <c r="H624" s="7" t="s">
        <v>50</v>
      </c>
      <c r="I624" s="7">
        <v>2</v>
      </c>
      <c r="J624" s="8">
        <f>IFERROR(VLOOKUP(Tbl_Siparişler[[#This Row],[Kategori]]&amp;"-"&amp;Tbl_Siparişler[[#This Row],[Ürün Adı]],Tbl_Ürünler[],11,0)*Tbl_Siparişler[[#This Row],[Adet]],"")</f>
        <v>12916.2</v>
      </c>
    </row>
    <row r="625" spans="2:10" ht="27" customHeight="1" x14ac:dyDescent="0.4">
      <c r="B625" s="9">
        <f>WEEKNUM(Tbl_Siparişler[[#This Row],[Sipariş Alınan Tarih]])</f>
        <v>49</v>
      </c>
      <c r="C625" s="6">
        <v>44528</v>
      </c>
      <c r="D625" s="7" t="s">
        <v>24</v>
      </c>
      <c r="E625" s="7">
        <v>67032</v>
      </c>
      <c r="F625" s="7" t="s">
        <v>117</v>
      </c>
      <c r="G625" s="7" t="s">
        <v>43</v>
      </c>
      <c r="H625" s="7" t="s">
        <v>46</v>
      </c>
      <c r="I625" s="7">
        <v>4</v>
      </c>
      <c r="J625" s="8">
        <f>IFERROR(VLOOKUP(Tbl_Siparişler[[#This Row],[Kategori]]&amp;"-"&amp;Tbl_Siparişler[[#This Row],[Ürün Adı]],Tbl_Ürünler[],11,0)*Tbl_Siparişler[[#This Row],[Adet]],"")</f>
        <v>53373.600000000006</v>
      </c>
    </row>
    <row r="626" spans="2:10" ht="27" customHeight="1" x14ac:dyDescent="0.4">
      <c r="B626" s="9">
        <f>WEEKNUM(Tbl_Siparişler[[#This Row],[Sipariş Alınan Tarih]])</f>
        <v>40</v>
      </c>
      <c r="C626" s="6">
        <v>44465</v>
      </c>
      <c r="D626" s="7" t="s">
        <v>26</v>
      </c>
      <c r="E626" s="7">
        <v>20039</v>
      </c>
      <c r="F626" s="7" t="s">
        <v>112</v>
      </c>
      <c r="G626" s="7" t="s">
        <v>47</v>
      </c>
      <c r="H626" s="7" t="s">
        <v>49</v>
      </c>
      <c r="I626" s="7">
        <v>4</v>
      </c>
      <c r="J626" s="8">
        <f>IFERROR(VLOOKUP(Tbl_Siparişler[[#This Row],[Kategori]]&amp;"-"&amp;Tbl_Siparişler[[#This Row],[Ürün Adı]],Tbl_Ürünler[],11,0)*Tbl_Siparişler[[#This Row],[Adet]],"")</f>
        <v>38279</v>
      </c>
    </row>
    <row r="627" spans="2:10" ht="27" customHeight="1" x14ac:dyDescent="0.4">
      <c r="B627" s="9">
        <f>WEEKNUM(Tbl_Siparişler[[#This Row],[Sipariş Alınan Tarih]])</f>
        <v>49</v>
      </c>
      <c r="C627" s="6">
        <v>44532</v>
      </c>
      <c r="D627" s="7" t="s">
        <v>25</v>
      </c>
      <c r="E627" s="7">
        <v>40947</v>
      </c>
      <c r="F627" s="7" t="s">
        <v>113</v>
      </c>
      <c r="G627" s="7" t="s">
        <v>29</v>
      </c>
      <c r="H627" s="7" t="s">
        <v>41</v>
      </c>
      <c r="I627" s="7">
        <v>3</v>
      </c>
      <c r="J627" s="8">
        <f>IFERROR(VLOOKUP(Tbl_Siparişler[[#This Row],[Kategori]]&amp;"-"&amp;Tbl_Siparişler[[#This Row],[Ürün Adı]],Tbl_Ürünler[],11,0)*Tbl_Siparişler[[#This Row],[Adet]],"")</f>
        <v>37863</v>
      </c>
    </row>
    <row r="628" spans="2:10" ht="27" customHeight="1" x14ac:dyDescent="0.4">
      <c r="B628" s="9">
        <f>WEEKNUM(Tbl_Siparişler[[#This Row],[Sipariş Alınan Tarih]])</f>
        <v>19</v>
      </c>
      <c r="C628" s="6">
        <v>44322</v>
      </c>
      <c r="D628" s="7" t="s">
        <v>25</v>
      </c>
      <c r="E628" s="7">
        <v>89426</v>
      </c>
      <c r="F628" s="7" t="s">
        <v>109</v>
      </c>
      <c r="G628" s="7" t="s">
        <v>29</v>
      </c>
      <c r="H628" s="7" t="s">
        <v>30</v>
      </c>
      <c r="I628" s="7">
        <v>1</v>
      </c>
      <c r="J628" s="8">
        <f>IFERROR(VLOOKUP(Tbl_Siparişler[[#This Row],[Kategori]]&amp;"-"&amp;Tbl_Siparişler[[#This Row],[Ürün Adı]],Tbl_Ürünler[],11,0)*Tbl_Siparişler[[#This Row],[Adet]],"")</f>
        <v>8685.2999999999993</v>
      </c>
    </row>
    <row r="629" spans="2:10" ht="27" customHeight="1" x14ac:dyDescent="0.4">
      <c r="B629" s="9">
        <f>WEEKNUM(Tbl_Siparişler[[#This Row],[Sipariş Alınan Tarih]])</f>
        <v>24</v>
      </c>
      <c r="C629" s="6">
        <v>44359</v>
      </c>
      <c r="D629" s="7" t="s">
        <v>26</v>
      </c>
      <c r="E629" s="7">
        <v>81104</v>
      </c>
      <c r="F629" s="7" t="s">
        <v>109</v>
      </c>
      <c r="G629" s="7" t="s">
        <v>47</v>
      </c>
      <c r="H629" s="7" t="s">
        <v>49</v>
      </c>
      <c r="I629" s="7">
        <v>4</v>
      </c>
      <c r="J629" s="8">
        <f>IFERROR(VLOOKUP(Tbl_Siparişler[[#This Row],[Kategori]]&amp;"-"&amp;Tbl_Siparişler[[#This Row],[Ürün Adı]],Tbl_Ürünler[],11,0)*Tbl_Siparişler[[#This Row],[Adet]],"")</f>
        <v>38279</v>
      </c>
    </row>
    <row r="630" spans="2:10" ht="27" customHeight="1" x14ac:dyDescent="0.4">
      <c r="B630" s="9">
        <f>WEEKNUM(Tbl_Siparişler[[#This Row],[Sipariş Alınan Tarih]])</f>
        <v>41</v>
      </c>
      <c r="C630" s="6">
        <v>44474</v>
      </c>
      <c r="D630" s="7" t="s">
        <v>27</v>
      </c>
      <c r="E630" s="7">
        <v>11894</v>
      </c>
      <c r="F630" s="7" t="s">
        <v>109</v>
      </c>
      <c r="G630" s="7" t="s">
        <v>47</v>
      </c>
      <c r="H630" s="7" t="s">
        <v>49</v>
      </c>
      <c r="I630" s="7">
        <v>1</v>
      </c>
      <c r="J630" s="8">
        <f>IFERROR(VLOOKUP(Tbl_Siparişler[[#This Row],[Kategori]]&amp;"-"&amp;Tbl_Siparişler[[#This Row],[Ürün Adı]],Tbl_Ürünler[],11,0)*Tbl_Siparişler[[#This Row],[Adet]],"")</f>
        <v>9569.75</v>
      </c>
    </row>
    <row r="631" spans="2:10" ht="27" customHeight="1" x14ac:dyDescent="0.4">
      <c r="B631" s="9">
        <f>WEEKNUM(Tbl_Siparişler[[#This Row],[Sipariş Alınan Tarih]])</f>
        <v>27</v>
      </c>
      <c r="C631" s="6">
        <v>44380</v>
      </c>
      <c r="D631" s="7" t="s">
        <v>106</v>
      </c>
      <c r="E631" s="7">
        <v>53356</v>
      </c>
      <c r="F631" s="7" t="s">
        <v>118</v>
      </c>
      <c r="G631" s="7" t="s">
        <v>98</v>
      </c>
      <c r="H631" s="7" t="s">
        <v>103</v>
      </c>
      <c r="I631" s="7">
        <v>5</v>
      </c>
      <c r="J631" s="8">
        <f>IFERROR(VLOOKUP(Tbl_Siparişler[[#This Row],[Kategori]]&amp;"-"&amp;Tbl_Siparişler[[#This Row],[Ürün Adı]],Tbl_Ürünler[],11,0)*Tbl_Siparişler[[#This Row],[Adet]],"")</f>
        <v>29812.5</v>
      </c>
    </row>
    <row r="632" spans="2:10" ht="27" customHeight="1" x14ac:dyDescent="0.4">
      <c r="B632" s="9">
        <f>WEEKNUM(Tbl_Siparişler[[#This Row],[Sipariş Alınan Tarih]])</f>
        <v>2</v>
      </c>
      <c r="C632" s="6">
        <v>44204</v>
      </c>
      <c r="D632" s="7" t="s">
        <v>28</v>
      </c>
      <c r="E632" s="7">
        <v>79703</v>
      </c>
      <c r="F632" s="7" t="s">
        <v>114</v>
      </c>
      <c r="G632" s="7" t="s">
        <v>47</v>
      </c>
      <c r="H632" s="7" t="s">
        <v>49</v>
      </c>
      <c r="I632" s="7">
        <v>5</v>
      </c>
      <c r="J632" s="8">
        <f>IFERROR(VLOOKUP(Tbl_Siparişler[[#This Row],[Kategori]]&amp;"-"&amp;Tbl_Siparişler[[#This Row],[Ürün Adı]],Tbl_Ürünler[],11,0)*Tbl_Siparişler[[#This Row],[Adet]],"")</f>
        <v>47848.75</v>
      </c>
    </row>
    <row r="633" spans="2:10" ht="27" customHeight="1" x14ac:dyDescent="0.4">
      <c r="B633" s="9">
        <f>WEEKNUM(Tbl_Siparişler[[#This Row],[Sipariş Alınan Tarih]])</f>
        <v>43</v>
      </c>
      <c r="C633" s="6">
        <v>44492</v>
      </c>
      <c r="D633" s="7" t="s">
        <v>24</v>
      </c>
      <c r="E633" s="7">
        <v>74859</v>
      </c>
      <c r="F633" s="7" t="s">
        <v>115</v>
      </c>
      <c r="G633" s="7" t="s">
        <v>98</v>
      </c>
      <c r="H633" s="7" t="s">
        <v>103</v>
      </c>
      <c r="I633" s="7">
        <v>5</v>
      </c>
      <c r="J633" s="8">
        <f>IFERROR(VLOOKUP(Tbl_Siparişler[[#This Row],[Kategori]]&amp;"-"&amp;Tbl_Siparişler[[#This Row],[Ürün Adı]],Tbl_Ürünler[],11,0)*Tbl_Siparişler[[#This Row],[Adet]],"")</f>
        <v>29812.5</v>
      </c>
    </row>
    <row r="634" spans="2:10" ht="27" customHeight="1" x14ac:dyDescent="0.4">
      <c r="B634" s="9">
        <f>WEEKNUM(Tbl_Siparişler[[#This Row],[Sipariş Alınan Tarih]])</f>
        <v>18</v>
      </c>
      <c r="C634" s="6">
        <v>44313</v>
      </c>
      <c r="D634" s="7" t="s">
        <v>95</v>
      </c>
      <c r="E634" s="7">
        <v>75377</v>
      </c>
      <c r="F634" s="7" t="s">
        <v>115</v>
      </c>
      <c r="G634" s="7" t="s">
        <v>43</v>
      </c>
      <c r="H634" s="7" t="s">
        <v>45</v>
      </c>
      <c r="I634" s="7">
        <v>2</v>
      </c>
      <c r="J634" s="8">
        <f>IFERROR(VLOOKUP(Tbl_Siparişler[[#This Row],[Kategori]]&amp;"-"&amp;Tbl_Siparişler[[#This Row],[Ürün Adı]],Tbl_Ürünler[],11,0)*Tbl_Siparişler[[#This Row],[Adet]],"")</f>
        <v>19318.8</v>
      </c>
    </row>
    <row r="635" spans="2:10" ht="27" customHeight="1" x14ac:dyDescent="0.4">
      <c r="B635" s="9">
        <f>WEEKNUM(Tbl_Siparişler[[#This Row],[Sipariş Alınan Tarih]])</f>
        <v>17</v>
      </c>
      <c r="C635" s="6">
        <v>44305</v>
      </c>
      <c r="D635" s="7" t="s">
        <v>95</v>
      </c>
      <c r="E635" s="7">
        <v>44004</v>
      </c>
      <c r="F635" s="7" t="s">
        <v>111</v>
      </c>
      <c r="G635" s="7" t="s">
        <v>98</v>
      </c>
      <c r="H635" s="7" t="s">
        <v>103</v>
      </c>
      <c r="I635" s="7">
        <v>1</v>
      </c>
      <c r="J635" s="8">
        <f>IFERROR(VLOOKUP(Tbl_Siparişler[[#This Row],[Kategori]]&amp;"-"&amp;Tbl_Siparişler[[#This Row],[Ürün Adı]],Tbl_Ürünler[],11,0)*Tbl_Siparişler[[#This Row],[Adet]],"")</f>
        <v>5962.5</v>
      </c>
    </row>
    <row r="636" spans="2:10" ht="27" customHeight="1" x14ac:dyDescent="0.4">
      <c r="B636" s="9">
        <f>WEEKNUM(Tbl_Siparişler[[#This Row],[Sipariş Alınan Tarih]])</f>
        <v>47</v>
      </c>
      <c r="C636" s="6">
        <v>44515</v>
      </c>
      <c r="D636" s="7" t="s">
        <v>24</v>
      </c>
      <c r="E636" s="7">
        <v>75489</v>
      </c>
      <c r="F636" s="7" t="s">
        <v>109</v>
      </c>
      <c r="G636" s="7" t="s">
        <v>47</v>
      </c>
      <c r="H636" s="7" t="s">
        <v>48</v>
      </c>
      <c r="I636" s="7">
        <v>2</v>
      </c>
      <c r="J636" s="8">
        <f>IFERROR(VLOOKUP(Tbl_Siparişler[[#This Row],[Kategori]]&amp;"-"&amp;Tbl_Siparişler[[#This Row],[Ürün Adı]],Tbl_Ürünler[],11,0)*Tbl_Siparişler[[#This Row],[Adet]],"")</f>
        <v>16107</v>
      </c>
    </row>
    <row r="637" spans="2:10" ht="27" customHeight="1" x14ac:dyDescent="0.4">
      <c r="B637" s="9">
        <f>WEEKNUM(Tbl_Siparişler[[#This Row],[Sipariş Alınan Tarih]])</f>
        <v>13</v>
      </c>
      <c r="C637" s="6">
        <v>44276</v>
      </c>
      <c r="D637" s="7" t="s">
        <v>24</v>
      </c>
      <c r="E637" s="7">
        <v>35817</v>
      </c>
      <c r="F637" s="7" t="s">
        <v>116</v>
      </c>
      <c r="G637" s="7" t="s">
        <v>98</v>
      </c>
      <c r="H637" s="7" t="s">
        <v>99</v>
      </c>
      <c r="I637" s="7">
        <v>2</v>
      </c>
      <c r="J637" s="8">
        <f>IFERROR(VLOOKUP(Tbl_Siparişler[[#This Row],[Kategori]]&amp;"-"&amp;Tbl_Siparişler[[#This Row],[Ürün Adı]],Tbl_Ürünler[],11,0)*Tbl_Siparişler[[#This Row],[Adet]],"")</f>
        <v>8283.26</v>
      </c>
    </row>
    <row r="638" spans="2:10" ht="27" customHeight="1" x14ac:dyDescent="0.4">
      <c r="B638" s="9">
        <f>WEEKNUM(Tbl_Siparişler[[#This Row],[Sipariş Alınan Tarih]])</f>
        <v>18</v>
      </c>
      <c r="C638" s="6">
        <v>44314</v>
      </c>
      <c r="D638" s="7" t="s">
        <v>26</v>
      </c>
      <c r="E638" s="7">
        <v>24774</v>
      </c>
      <c r="F638" s="7" t="s">
        <v>108</v>
      </c>
      <c r="G638" s="7" t="s">
        <v>98</v>
      </c>
      <c r="H638" s="7" t="s">
        <v>99</v>
      </c>
      <c r="I638" s="7">
        <v>2</v>
      </c>
      <c r="J638" s="8">
        <f>IFERROR(VLOOKUP(Tbl_Siparişler[[#This Row],[Kategori]]&amp;"-"&amp;Tbl_Siparişler[[#This Row],[Ürün Adı]],Tbl_Ürünler[],11,0)*Tbl_Siparişler[[#This Row],[Adet]],"")</f>
        <v>8283.26</v>
      </c>
    </row>
    <row r="639" spans="2:10" ht="27" customHeight="1" x14ac:dyDescent="0.4">
      <c r="B639" s="9">
        <f>WEEKNUM(Tbl_Siparişler[[#This Row],[Sipariş Alınan Tarih]])</f>
        <v>28</v>
      </c>
      <c r="C639" s="6">
        <v>44381</v>
      </c>
      <c r="D639" s="7" t="s">
        <v>27</v>
      </c>
      <c r="E639" s="7">
        <v>27133</v>
      </c>
      <c r="F639" s="7" t="s">
        <v>107</v>
      </c>
      <c r="G639" s="7" t="s">
        <v>43</v>
      </c>
      <c r="H639" s="7" t="s">
        <v>46</v>
      </c>
      <c r="I639" s="7">
        <v>2</v>
      </c>
      <c r="J639" s="8">
        <f>IFERROR(VLOOKUP(Tbl_Siparişler[[#This Row],[Kategori]]&amp;"-"&amp;Tbl_Siparişler[[#This Row],[Ürün Adı]],Tbl_Ürünler[],11,0)*Tbl_Siparişler[[#This Row],[Adet]],"")</f>
        <v>26686.800000000003</v>
      </c>
    </row>
    <row r="640" spans="2:10" ht="27" customHeight="1" x14ac:dyDescent="0.4">
      <c r="B640" s="9">
        <f>WEEKNUM(Tbl_Siparişler[[#This Row],[Sipariş Alınan Tarih]])</f>
        <v>35</v>
      </c>
      <c r="C640" s="6">
        <v>44430</v>
      </c>
      <c r="D640" s="7" t="s">
        <v>26</v>
      </c>
      <c r="E640" s="7">
        <v>91476</v>
      </c>
      <c r="F640" s="7" t="s">
        <v>111</v>
      </c>
      <c r="G640" s="7" t="s">
        <v>47</v>
      </c>
      <c r="H640" s="7" t="s">
        <v>49</v>
      </c>
      <c r="I640" s="7">
        <v>5</v>
      </c>
      <c r="J640" s="8">
        <f>IFERROR(VLOOKUP(Tbl_Siparişler[[#This Row],[Kategori]]&amp;"-"&amp;Tbl_Siparişler[[#This Row],[Ürün Adı]],Tbl_Ürünler[],11,0)*Tbl_Siparişler[[#This Row],[Adet]],"")</f>
        <v>47848.75</v>
      </c>
    </row>
    <row r="641" spans="2:10" ht="27" customHeight="1" x14ac:dyDescent="0.4">
      <c r="B641" s="9">
        <f>WEEKNUM(Tbl_Siparişler[[#This Row],[Sipariş Alınan Tarih]])</f>
        <v>20</v>
      </c>
      <c r="C641" s="6">
        <v>44329</v>
      </c>
      <c r="D641" s="7" t="s">
        <v>27</v>
      </c>
      <c r="E641" s="7">
        <v>96877</v>
      </c>
      <c r="F641" s="7" t="s">
        <v>115</v>
      </c>
      <c r="G641" s="7" t="s">
        <v>47</v>
      </c>
      <c r="H641" s="7" t="s">
        <v>48</v>
      </c>
      <c r="I641" s="7">
        <v>1</v>
      </c>
      <c r="J641" s="8">
        <f>IFERROR(VLOOKUP(Tbl_Siparişler[[#This Row],[Kategori]]&amp;"-"&amp;Tbl_Siparişler[[#This Row],[Ürün Adı]],Tbl_Ürünler[],11,0)*Tbl_Siparişler[[#This Row],[Adet]],"")</f>
        <v>8053.5</v>
      </c>
    </row>
    <row r="642" spans="2:10" ht="27" customHeight="1" x14ac:dyDescent="0.4">
      <c r="B642" s="9">
        <f>WEEKNUM(Tbl_Siparişler[[#This Row],[Sipariş Alınan Tarih]])</f>
        <v>24</v>
      </c>
      <c r="C642" s="6">
        <v>44359</v>
      </c>
      <c r="D642" s="7" t="s">
        <v>26</v>
      </c>
      <c r="E642" s="7">
        <v>25469</v>
      </c>
      <c r="F642" s="7" t="s">
        <v>112</v>
      </c>
      <c r="G642" s="7" t="s">
        <v>43</v>
      </c>
      <c r="H642" s="7" t="s">
        <v>50</v>
      </c>
      <c r="I642" s="7">
        <v>4</v>
      </c>
      <c r="J642" s="8">
        <f>IFERROR(VLOOKUP(Tbl_Siparişler[[#This Row],[Kategori]]&amp;"-"&amp;Tbl_Siparişler[[#This Row],[Ürün Adı]],Tbl_Ürünler[],11,0)*Tbl_Siparişler[[#This Row],[Adet]],"")</f>
        <v>25832.400000000001</v>
      </c>
    </row>
    <row r="643" spans="2:10" ht="27" customHeight="1" x14ac:dyDescent="0.4">
      <c r="B643" s="9">
        <f>WEEKNUM(Tbl_Siparişler[[#This Row],[Sipariş Alınan Tarih]])</f>
        <v>40</v>
      </c>
      <c r="C643" s="6">
        <v>44466</v>
      </c>
      <c r="D643" s="7" t="s">
        <v>106</v>
      </c>
      <c r="E643" s="7">
        <v>80483</v>
      </c>
      <c r="F643" s="7" t="s">
        <v>109</v>
      </c>
      <c r="G643" s="7" t="s">
        <v>98</v>
      </c>
      <c r="H643" s="7" t="s">
        <v>103</v>
      </c>
      <c r="I643" s="7">
        <v>1</v>
      </c>
      <c r="J643" s="8">
        <f>IFERROR(VLOOKUP(Tbl_Siparişler[[#This Row],[Kategori]]&amp;"-"&amp;Tbl_Siparişler[[#This Row],[Ürün Adı]],Tbl_Ürünler[],11,0)*Tbl_Siparişler[[#This Row],[Adet]],"")</f>
        <v>5962.5</v>
      </c>
    </row>
    <row r="644" spans="2:10" ht="27" customHeight="1" x14ac:dyDescent="0.4">
      <c r="B644" s="9">
        <f>WEEKNUM(Tbl_Siparişler[[#This Row],[Sipariş Alınan Tarih]])</f>
        <v>42</v>
      </c>
      <c r="C644" s="6">
        <v>44482</v>
      </c>
      <c r="D644" s="7" t="s">
        <v>28</v>
      </c>
      <c r="E644" s="7">
        <v>41839</v>
      </c>
      <c r="F644" s="7" t="s">
        <v>108</v>
      </c>
      <c r="G644" s="7" t="s">
        <v>98</v>
      </c>
      <c r="H644" s="7" t="s">
        <v>103</v>
      </c>
      <c r="I644" s="7">
        <v>2</v>
      </c>
      <c r="J644" s="8">
        <f>IFERROR(VLOOKUP(Tbl_Siparişler[[#This Row],[Kategori]]&amp;"-"&amp;Tbl_Siparişler[[#This Row],[Ürün Adı]],Tbl_Ürünler[],11,0)*Tbl_Siparişler[[#This Row],[Adet]],"")</f>
        <v>11925</v>
      </c>
    </row>
    <row r="645" spans="2:10" ht="27" customHeight="1" x14ac:dyDescent="0.4">
      <c r="B645" s="9">
        <f>WEEKNUM(Tbl_Siparişler[[#This Row],[Sipariş Alınan Tarih]])</f>
        <v>46</v>
      </c>
      <c r="C645" s="6">
        <v>44508</v>
      </c>
      <c r="D645" s="7" t="s">
        <v>24</v>
      </c>
      <c r="E645" s="7">
        <v>75649</v>
      </c>
      <c r="F645" s="7" t="s">
        <v>111</v>
      </c>
      <c r="G645" s="7" t="s">
        <v>98</v>
      </c>
      <c r="H645" s="7" t="s">
        <v>99</v>
      </c>
      <c r="I645" s="7">
        <v>4</v>
      </c>
      <c r="J645" s="8">
        <f>IFERROR(VLOOKUP(Tbl_Siparişler[[#This Row],[Kategori]]&amp;"-"&amp;Tbl_Siparişler[[#This Row],[Ürün Adı]],Tbl_Ürünler[],11,0)*Tbl_Siparişler[[#This Row],[Adet]],"")</f>
        <v>16566.52</v>
      </c>
    </row>
    <row r="646" spans="2:10" ht="27" customHeight="1" x14ac:dyDescent="0.4">
      <c r="B646" s="9">
        <f>WEEKNUM(Tbl_Siparişler[[#This Row],[Sipariş Alınan Tarih]])</f>
        <v>21</v>
      </c>
      <c r="C646" s="6">
        <v>44333</v>
      </c>
      <c r="D646" s="7" t="s">
        <v>26</v>
      </c>
      <c r="E646" s="7">
        <v>53940</v>
      </c>
      <c r="F646" s="7" t="s">
        <v>107</v>
      </c>
      <c r="G646" s="7" t="s">
        <v>98</v>
      </c>
      <c r="H646" s="7" t="s">
        <v>103</v>
      </c>
      <c r="I646" s="7">
        <v>2</v>
      </c>
      <c r="J646" s="8">
        <f>IFERROR(VLOOKUP(Tbl_Siparişler[[#This Row],[Kategori]]&amp;"-"&amp;Tbl_Siparişler[[#This Row],[Ürün Adı]],Tbl_Ürünler[],11,0)*Tbl_Siparişler[[#This Row],[Adet]],"")</f>
        <v>11925</v>
      </c>
    </row>
    <row r="647" spans="2:10" ht="27" customHeight="1" x14ac:dyDescent="0.4">
      <c r="B647" s="9">
        <f>WEEKNUM(Tbl_Siparişler[[#This Row],[Sipariş Alınan Tarih]])</f>
        <v>2</v>
      </c>
      <c r="C647" s="6">
        <v>44200</v>
      </c>
      <c r="D647" s="7" t="s">
        <v>27</v>
      </c>
      <c r="E647" s="7">
        <v>89884</v>
      </c>
      <c r="F647" s="7" t="s">
        <v>112</v>
      </c>
      <c r="G647" s="7" t="s">
        <v>98</v>
      </c>
      <c r="H647" s="7" t="s">
        <v>99</v>
      </c>
      <c r="I647" s="7">
        <v>1</v>
      </c>
      <c r="J647" s="8">
        <f>IFERROR(VLOOKUP(Tbl_Siparişler[[#This Row],[Kategori]]&amp;"-"&amp;Tbl_Siparişler[[#This Row],[Ürün Adı]],Tbl_Ürünler[],11,0)*Tbl_Siparişler[[#This Row],[Adet]],"")</f>
        <v>4141.63</v>
      </c>
    </row>
    <row r="648" spans="2:10" ht="27" customHeight="1" x14ac:dyDescent="0.4">
      <c r="B648" s="9">
        <f>WEEKNUM(Tbl_Siparişler[[#This Row],[Sipariş Alınan Tarih]])</f>
        <v>33</v>
      </c>
      <c r="C648" s="6">
        <v>44416</v>
      </c>
      <c r="D648" s="7" t="s">
        <v>28</v>
      </c>
      <c r="E648" s="7">
        <v>56606</v>
      </c>
      <c r="F648" s="7" t="s">
        <v>111</v>
      </c>
      <c r="G648" s="7" t="s">
        <v>98</v>
      </c>
      <c r="H648" s="7" t="s">
        <v>100</v>
      </c>
      <c r="I648" s="7">
        <v>1</v>
      </c>
      <c r="J648" s="8">
        <f>IFERROR(VLOOKUP(Tbl_Siparişler[[#This Row],[Kategori]]&amp;"-"&amp;Tbl_Siparişler[[#This Row],[Ürün Adı]],Tbl_Ürünler[],11,0)*Tbl_Siparişler[[#This Row],[Adet]],"")</f>
        <v>9235.2000000000007</v>
      </c>
    </row>
    <row r="649" spans="2:10" ht="27" customHeight="1" x14ac:dyDescent="0.4">
      <c r="B649" s="9">
        <f>WEEKNUM(Tbl_Siparişler[[#This Row],[Sipariş Alınan Tarih]])</f>
        <v>51</v>
      </c>
      <c r="C649" s="6">
        <v>44546</v>
      </c>
      <c r="D649" s="7" t="s">
        <v>95</v>
      </c>
      <c r="E649" s="7">
        <v>75021</v>
      </c>
      <c r="F649" s="7" t="s">
        <v>117</v>
      </c>
      <c r="G649" s="7" t="s">
        <v>29</v>
      </c>
      <c r="H649" s="7" t="s">
        <v>30</v>
      </c>
      <c r="I649" s="7">
        <v>2</v>
      </c>
      <c r="J649" s="8">
        <f>IFERROR(VLOOKUP(Tbl_Siparişler[[#This Row],[Kategori]]&amp;"-"&amp;Tbl_Siparişler[[#This Row],[Ürün Adı]],Tbl_Ürünler[],11,0)*Tbl_Siparişler[[#This Row],[Adet]],"")</f>
        <v>17370.599999999999</v>
      </c>
    </row>
    <row r="650" spans="2:10" ht="27" customHeight="1" x14ac:dyDescent="0.4">
      <c r="B650" s="9">
        <f>WEEKNUM(Tbl_Siparişler[[#This Row],[Sipariş Alınan Tarih]])</f>
        <v>46</v>
      </c>
      <c r="C650" s="6">
        <v>44509</v>
      </c>
      <c r="D650" s="7" t="s">
        <v>25</v>
      </c>
      <c r="E650" s="7">
        <v>16978</v>
      </c>
      <c r="F650" s="7" t="s">
        <v>118</v>
      </c>
      <c r="G650" s="7" t="s">
        <v>47</v>
      </c>
      <c r="H650" s="7" t="s">
        <v>48</v>
      </c>
      <c r="I650" s="7">
        <v>4</v>
      </c>
      <c r="J650" s="8">
        <f>IFERROR(VLOOKUP(Tbl_Siparişler[[#This Row],[Kategori]]&amp;"-"&amp;Tbl_Siparişler[[#This Row],[Ürün Adı]],Tbl_Ürünler[],11,0)*Tbl_Siparişler[[#This Row],[Adet]],"")</f>
        <v>32214</v>
      </c>
    </row>
    <row r="651" spans="2:10" ht="27" customHeight="1" x14ac:dyDescent="0.4">
      <c r="B651" s="9">
        <f>WEEKNUM(Tbl_Siparişler[[#This Row],[Sipariş Alınan Tarih]])</f>
        <v>20</v>
      </c>
      <c r="C651" s="6">
        <v>44328</v>
      </c>
      <c r="D651" s="7" t="s">
        <v>24</v>
      </c>
      <c r="E651" s="7">
        <v>88835</v>
      </c>
      <c r="F651" s="7" t="s">
        <v>114</v>
      </c>
      <c r="G651" s="7" t="s">
        <v>43</v>
      </c>
      <c r="H651" s="7" t="s">
        <v>44</v>
      </c>
      <c r="I651" s="7">
        <v>4</v>
      </c>
      <c r="J651" s="8">
        <f>IFERROR(VLOOKUP(Tbl_Siparişler[[#This Row],[Kategori]]&amp;"-"&amp;Tbl_Siparişler[[#This Row],[Ürün Adı]],Tbl_Ürünler[],11,0)*Tbl_Siparişler[[#This Row],[Adet]],"")</f>
        <v>35658.400000000001</v>
      </c>
    </row>
    <row r="652" spans="2:10" ht="27" customHeight="1" x14ac:dyDescent="0.4">
      <c r="B652" s="9">
        <f>WEEKNUM(Tbl_Siparişler[[#This Row],[Sipariş Alınan Tarih]])</f>
        <v>7</v>
      </c>
      <c r="C652" s="6">
        <v>44238</v>
      </c>
      <c r="D652" s="7" t="s">
        <v>28</v>
      </c>
      <c r="E652" s="7">
        <v>51074</v>
      </c>
      <c r="F652" s="7" t="s">
        <v>111</v>
      </c>
      <c r="G652" s="7" t="s">
        <v>98</v>
      </c>
      <c r="H652" s="7" t="s">
        <v>99</v>
      </c>
      <c r="I652" s="7">
        <v>4</v>
      </c>
      <c r="J652" s="8">
        <f>IFERROR(VLOOKUP(Tbl_Siparişler[[#This Row],[Kategori]]&amp;"-"&amp;Tbl_Siparişler[[#This Row],[Ürün Adı]],Tbl_Ürünler[],11,0)*Tbl_Siparişler[[#This Row],[Adet]],"")</f>
        <v>16566.52</v>
      </c>
    </row>
    <row r="653" spans="2:10" ht="27" customHeight="1" x14ac:dyDescent="0.4">
      <c r="B653" s="9">
        <f>WEEKNUM(Tbl_Siparişler[[#This Row],[Sipariş Alınan Tarih]])</f>
        <v>30</v>
      </c>
      <c r="C653" s="6">
        <v>44401</v>
      </c>
      <c r="D653" s="7" t="s">
        <v>95</v>
      </c>
      <c r="E653" s="7">
        <v>39601</v>
      </c>
      <c r="F653" s="7" t="s">
        <v>114</v>
      </c>
      <c r="G653" s="7" t="s">
        <v>43</v>
      </c>
      <c r="H653" s="7" t="s">
        <v>44</v>
      </c>
      <c r="I653" s="7">
        <v>2</v>
      </c>
      <c r="J653" s="8">
        <f>IFERROR(VLOOKUP(Tbl_Siparişler[[#This Row],[Kategori]]&amp;"-"&amp;Tbl_Siparişler[[#This Row],[Ürün Adı]],Tbl_Ürünler[],11,0)*Tbl_Siparişler[[#This Row],[Adet]],"")</f>
        <v>17829.2</v>
      </c>
    </row>
    <row r="654" spans="2:10" ht="27" customHeight="1" x14ac:dyDescent="0.4">
      <c r="B654" s="9">
        <f>WEEKNUM(Tbl_Siparişler[[#This Row],[Sipariş Alınan Tarih]])</f>
        <v>9</v>
      </c>
      <c r="C654" s="6">
        <v>44248</v>
      </c>
      <c r="D654" s="7" t="s">
        <v>28</v>
      </c>
      <c r="E654" s="7">
        <v>95873</v>
      </c>
      <c r="F654" s="7" t="s">
        <v>114</v>
      </c>
      <c r="G654" s="7" t="s">
        <v>29</v>
      </c>
      <c r="H654" s="7" t="s">
        <v>37</v>
      </c>
      <c r="I654" s="7">
        <v>3</v>
      </c>
      <c r="J654" s="8">
        <f>IFERROR(VLOOKUP(Tbl_Siparişler[[#This Row],[Kategori]]&amp;"-"&amp;Tbl_Siparişler[[#This Row],[Ürün Adı]],Tbl_Ürünler[],11,0)*Tbl_Siparişler[[#This Row],[Adet]],"")</f>
        <v>29401.350000000002</v>
      </c>
    </row>
    <row r="655" spans="2:10" ht="27" customHeight="1" x14ac:dyDescent="0.4">
      <c r="B655" s="9">
        <f>WEEKNUM(Tbl_Siparişler[[#This Row],[Sipariş Alınan Tarih]])</f>
        <v>46</v>
      </c>
      <c r="C655" s="6">
        <v>44512</v>
      </c>
      <c r="D655" s="7" t="s">
        <v>26</v>
      </c>
      <c r="E655" s="7">
        <v>34229</v>
      </c>
      <c r="F655" s="7" t="s">
        <v>113</v>
      </c>
      <c r="G655" s="7" t="s">
        <v>43</v>
      </c>
      <c r="H655" s="7" t="s">
        <v>46</v>
      </c>
      <c r="I655" s="7">
        <v>5</v>
      </c>
      <c r="J655" s="8">
        <f>IFERROR(VLOOKUP(Tbl_Siparişler[[#This Row],[Kategori]]&amp;"-"&amp;Tbl_Siparişler[[#This Row],[Ürün Adı]],Tbl_Ürünler[],11,0)*Tbl_Siparişler[[#This Row],[Adet]],"")</f>
        <v>66717</v>
      </c>
    </row>
    <row r="656" spans="2:10" ht="27" customHeight="1" x14ac:dyDescent="0.4">
      <c r="B656" s="9">
        <f>WEEKNUM(Tbl_Siparişler[[#This Row],[Sipariş Alınan Tarih]])</f>
        <v>35</v>
      </c>
      <c r="C656" s="6">
        <v>44436</v>
      </c>
      <c r="D656" s="7" t="s">
        <v>106</v>
      </c>
      <c r="E656" s="7">
        <v>62033</v>
      </c>
      <c r="F656" s="7" t="s">
        <v>116</v>
      </c>
      <c r="G656" s="7" t="s">
        <v>47</v>
      </c>
      <c r="H656" s="7" t="s">
        <v>48</v>
      </c>
      <c r="I656" s="7">
        <v>1</v>
      </c>
      <c r="J656" s="8">
        <f>IFERROR(VLOOKUP(Tbl_Siparişler[[#This Row],[Kategori]]&amp;"-"&amp;Tbl_Siparişler[[#This Row],[Ürün Adı]],Tbl_Ürünler[],11,0)*Tbl_Siparişler[[#This Row],[Adet]],"")</f>
        <v>8053.5</v>
      </c>
    </row>
    <row r="657" spans="2:10" ht="27" customHeight="1" x14ac:dyDescent="0.4">
      <c r="B657" s="9">
        <f>WEEKNUM(Tbl_Siparişler[[#This Row],[Sipariş Alınan Tarih]])</f>
        <v>17</v>
      </c>
      <c r="C657" s="6">
        <v>44309</v>
      </c>
      <c r="D657" s="7" t="s">
        <v>106</v>
      </c>
      <c r="E657" s="7">
        <v>53261</v>
      </c>
      <c r="F657" s="7" t="s">
        <v>108</v>
      </c>
      <c r="G657" s="7" t="s">
        <v>47</v>
      </c>
      <c r="H657" s="7" t="s">
        <v>49</v>
      </c>
      <c r="I657" s="7">
        <v>4</v>
      </c>
      <c r="J657" s="8">
        <f>IFERROR(VLOOKUP(Tbl_Siparişler[[#This Row],[Kategori]]&amp;"-"&amp;Tbl_Siparişler[[#This Row],[Ürün Adı]],Tbl_Ürünler[],11,0)*Tbl_Siparişler[[#This Row],[Adet]],"")</f>
        <v>38279</v>
      </c>
    </row>
    <row r="658" spans="2:10" ht="27" customHeight="1" x14ac:dyDescent="0.4">
      <c r="B658" s="9">
        <f>WEEKNUM(Tbl_Siparişler[[#This Row],[Sipariş Alınan Tarih]])</f>
        <v>1</v>
      </c>
      <c r="C658" s="6">
        <v>44198</v>
      </c>
      <c r="D658" s="7" t="s">
        <v>95</v>
      </c>
      <c r="E658" s="7">
        <v>41786</v>
      </c>
      <c r="F658" s="7" t="s">
        <v>111</v>
      </c>
      <c r="G658" s="7" t="s">
        <v>98</v>
      </c>
      <c r="H658" s="7" t="s">
        <v>103</v>
      </c>
      <c r="I658" s="7">
        <v>3</v>
      </c>
      <c r="J658" s="8">
        <f>IFERROR(VLOOKUP(Tbl_Siparişler[[#This Row],[Kategori]]&amp;"-"&amp;Tbl_Siparişler[[#This Row],[Ürün Adı]],Tbl_Ürünler[],11,0)*Tbl_Siparişler[[#This Row],[Adet]],"")</f>
        <v>17887.5</v>
      </c>
    </row>
    <row r="659" spans="2:10" ht="27" customHeight="1" x14ac:dyDescent="0.4">
      <c r="B659" s="9">
        <f>WEEKNUM(Tbl_Siparişler[[#This Row],[Sipariş Alınan Tarih]])</f>
        <v>34</v>
      </c>
      <c r="C659" s="6">
        <v>44424</v>
      </c>
      <c r="D659" s="7" t="s">
        <v>95</v>
      </c>
      <c r="E659" s="7">
        <v>14450</v>
      </c>
      <c r="F659" s="7" t="s">
        <v>113</v>
      </c>
      <c r="G659" s="7" t="s">
        <v>47</v>
      </c>
      <c r="H659" s="7" t="s">
        <v>49</v>
      </c>
      <c r="I659" s="7">
        <v>1</v>
      </c>
      <c r="J659" s="8">
        <f>IFERROR(VLOOKUP(Tbl_Siparişler[[#This Row],[Kategori]]&amp;"-"&amp;Tbl_Siparişler[[#This Row],[Ürün Adı]],Tbl_Ürünler[],11,0)*Tbl_Siparişler[[#This Row],[Adet]],"")</f>
        <v>9569.75</v>
      </c>
    </row>
    <row r="660" spans="2:10" ht="27" customHeight="1" x14ac:dyDescent="0.4">
      <c r="B660" s="9">
        <f>WEEKNUM(Tbl_Siparişler[[#This Row],[Sipariş Alınan Tarih]])</f>
        <v>29</v>
      </c>
      <c r="C660" s="6">
        <v>44388</v>
      </c>
      <c r="D660" s="7" t="s">
        <v>24</v>
      </c>
      <c r="E660" s="7">
        <v>97143</v>
      </c>
      <c r="F660" s="7" t="s">
        <v>115</v>
      </c>
      <c r="G660" s="7" t="s">
        <v>43</v>
      </c>
      <c r="H660" s="7" t="s">
        <v>50</v>
      </c>
      <c r="I660" s="7">
        <v>4</v>
      </c>
      <c r="J660" s="8">
        <f>IFERROR(VLOOKUP(Tbl_Siparişler[[#This Row],[Kategori]]&amp;"-"&amp;Tbl_Siparişler[[#This Row],[Ürün Adı]],Tbl_Ürünler[],11,0)*Tbl_Siparişler[[#This Row],[Adet]],"")</f>
        <v>25832.400000000001</v>
      </c>
    </row>
    <row r="661" spans="2:10" ht="27" customHeight="1" x14ac:dyDescent="0.4">
      <c r="B661" s="9">
        <f>WEEKNUM(Tbl_Siparişler[[#This Row],[Sipariş Alınan Tarih]])</f>
        <v>51</v>
      </c>
      <c r="C661" s="6">
        <v>44548</v>
      </c>
      <c r="D661" s="7" t="s">
        <v>25</v>
      </c>
      <c r="E661" s="7">
        <v>45703</v>
      </c>
      <c r="F661" s="7" t="s">
        <v>114</v>
      </c>
      <c r="G661" s="7" t="s">
        <v>47</v>
      </c>
      <c r="H661" s="7" t="s">
        <v>48</v>
      </c>
      <c r="I661" s="7">
        <v>1</v>
      </c>
      <c r="J661" s="8">
        <f>IFERROR(VLOOKUP(Tbl_Siparişler[[#This Row],[Kategori]]&amp;"-"&amp;Tbl_Siparişler[[#This Row],[Ürün Adı]],Tbl_Ürünler[],11,0)*Tbl_Siparişler[[#This Row],[Adet]],"")</f>
        <v>8053.5</v>
      </c>
    </row>
    <row r="662" spans="2:10" ht="27" customHeight="1" x14ac:dyDescent="0.4">
      <c r="B662" s="9">
        <f>WEEKNUM(Tbl_Siparişler[[#This Row],[Sipariş Alınan Tarih]])</f>
        <v>32</v>
      </c>
      <c r="C662" s="6">
        <v>44411</v>
      </c>
      <c r="D662" s="7" t="s">
        <v>95</v>
      </c>
      <c r="E662" s="7">
        <v>45064</v>
      </c>
      <c r="F662" s="7" t="s">
        <v>107</v>
      </c>
      <c r="G662" s="7" t="s">
        <v>29</v>
      </c>
      <c r="H662" s="7" t="s">
        <v>41</v>
      </c>
      <c r="I662" s="7">
        <v>4</v>
      </c>
      <c r="J662" s="8">
        <f>IFERROR(VLOOKUP(Tbl_Siparişler[[#This Row],[Kategori]]&amp;"-"&amp;Tbl_Siparişler[[#This Row],[Ürün Adı]],Tbl_Ürünler[],11,0)*Tbl_Siparişler[[#This Row],[Adet]],"")</f>
        <v>50484</v>
      </c>
    </row>
    <row r="663" spans="2:10" ht="27" customHeight="1" x14ac:dyDescent="0.4">
      <c r="B663" s="9">
        <f>WEEKNUM(Tbl_Siparişler[[#This Row],[Sipariş Alınan Tarih]])</f>
        <v>21</v>
      </c>
      <c r="C663" s="6">
        <v>44332</v>
      </c>
      <c r="D663" s="7" t="s">
        <v>24</v>
      </c>
      <c r="E663" s="7">
        <v>26683</v>
      </c>
      <c r="F663" s="7" t="s">
        <v>111</v>
      </c>
      <c r="G663" s="7" t="s">
        <v>98</v>
      </c>
      <c r="H663" s="7" t="s">
        <v>103</v>
      </c>
      <c r="I663" s="7">
        <v>5</v>
      </c>
      <c r="J663" s="8">
        <f>IFERROR(VLOOKUP(Tbl_Siparişler[[#This Row],[Kategori]]&amp;"-"&amp;Tbl_Siparişler[[#This Row],[Ürün Adı]],Tbl_Ürünler[],11,0)*Tbl_Siparişler[[#This Row],[Adet]],"")</f>
        <v>29812.5</v>
      </c>
    </row>
    <row r="664" spans="2:10" ht="27" customHeight="1" x14ac:dyDescent="0.4">
      <c r="B664" s="9">
        <f>WEEKNUM(Tbl_Siparişler[[#This Row],[Sipariş Alınan Tarih]])</f>
        <v>23</v>
      </c>
      <c r="C664" s="6">
        <v>44351</v>
      </c>
      <c r="D664" s="7" t="s">
        <v>24</v>
      </c>
      <c r="E664" s="7">
        <v>11728</v>
      </c>
      <c r="F664" s="7" t="s">
        <v>116</v>
      </c>
      <c r="G664" s="7" t="s">
        <v>29</v>
      </c>
      <c r="H664" s="7" t="s">
        <v>41</v>
      </c>
      <c r="I664" s="7">
        <v>4</v>
      </c>
      <c r="J664" s="8">
        <f>IFERROR(VLOOKUP(Tbl_Siparişler[[#This Row],[Kategori]]&amp;"-"&amp;Tbl_Siparişler[[#This Row],[Ürün Adı]],Tbl_Ürünler[],11,0)*Tbl_Siparişler[[#This Row],[Adet]],"")</f>
        <v>50484</v>
      </c>
    </row>
    <row r="665" spans="2:10" ht="27" customHeight="1" x14ac:dyDescent="0.4">
      <c r="B665" s="9">
        <f>WEEKNUM(Tbl_Siparişler[[#This Row],[Sipariş Alınan Tarih]])</f>
        <v>11</v>
      </c>
      <c r="C665" s="6">
        <v>44268</v>
      </c>
      <c r="D665" s="7" t="s">
        <v>95</v>
      </c>
      <c r="E665" s="7">
        <v>30526</v>
      </c>
      <c r="F665" s="7" t="s">
        <v>108</v>
      </c>
      <c r="G665" s="7" t="s">
        <v>43</v>
      </c>
      <c r="H665" s="7" t="s">
        <v>50</v>
      </c>
      <c r="I665" s="7">
        <v>2</v>
      </c>
      <c r="J665" s="8">
        <f>IFERROR(VLOOKUP(Tbl_Siparişler[[#This Row],[Kategori]]&amp;"-"&amp;Tbl_Siparişler[[#This Row],[Ürün Adı]],Tbl_Ürünler[],11,0)*Tbl_Siparişler[[#This Row],[Adet]],"")</f>
        <v>12916.2</v>
      </c>
    </row>
    <row r="666" spans="2:10" ht="27" customHeight="1" x14ac:dyDescent="0.4">
      <c r="B666" s="9">
        <f>WEEKNUM(Tbl_Siparişler[[#This Row],[Sipariş Alınan Tarih]])</f>
        <v>16</v>
      </c>
      <c r="C666" s="6">
        <v>44297</v>
      </c>
      <c r="D666" s="7" t="s">
        <v>106</v>
      </c>
      <c r="E666" s="7">
        <v>59029</v>
      </c>
      <c r="F666" s="7" t="s">
        <v>112</v>
      </c>
      <c r="G666" s="7" t="s">
        <v>43</v>
      </c>
      <c r="H666" s="7" t="s">
        <v>46</v>
      </c>
      <c r="I666" s="7">
        <v>3</v>
      </c>
      <c r="J666" s="8">
        <f>IFERROR(VLOOKUP(Tbl_Siparişler[[#This Row],[Kategori]]&amp;"-"&amp;Tbl_Siparişler[[#This Row],[Ürün Adı]],Tbl_Ürünler[],11,0)*Tbl_Siparişler[[#This Row],[Adet]],"")</f>
        <v>40030.200000000004</v>
      </c>
    </row>
    <row r="667" spans="2:10" ht="27" customHeight="1" x14ac:dyDescent="0.4">
      <c r="B667" s="9">
        <f>WEEKNUM(Tbl_Siparişler[[#This Row],[Sipariş Alınan Tarih]])</f>
        <v>8</v>
      </c>
      <c r="C667" s="6">
        <v>44244</v>
      </c>
      <c r="D667" s="7" t="s">
        <v>25</v>
      </c>
      <c r="E667" s="7">
        <v>20182</v>
      </c>
      <c r="F667" s="7" t="s">
        <v>111</v>
      </c>
      <c r="G667" s="7" t="s">
        <v>29</v>
      </c>
      <c r="H667" s="7" t="s">
        <v>42</v>
      </c>
      <c r="I667" s="7">
        <v>3</v>
      </c>
      <c r="J667" s="8">
        <f>IFERROR(VLOOKUP(Tbl_Siparişler[[#This Row],[Kategori]]&amp;"-"&amp;Tbl_Siparişler[[#This Row],[Ürün Adı]],Tbl_Ürünler[],11,0)*Tbl_Siparişler[[#This Row],[Adet]],"")</f>
        <v>42198</v>
      </c>
    </row>
    <row r="668" spans="2:10" ht="27" customHeight="1" x14ac:dyDescent="0.4">
      <c r="B668" s="9">
        <f>WEEKNUM(Tbl_Siparişler[[#This Row],[Sipariş Alınan Tarih]])</f>
        <v>32</v>
      </c>
      <c r="C668" s="6">
        <v>44411</v>
      </c>
      <c r="D668" s="7" t="s">
        <v>95</v>
      </c>
      <c r="E668" s="7">
        <v>82098</v>
      </c>
      <c r="F668" s="7" t="s">
        <v>117</v>
      </c>
      <c r="G668" s="7" t="s">
        <v>43</v>
      </c>
      <c r="H668" s="7" t="s">
        <v>45</v>
      </c>
      <c r="I668" s="7">
        <v>2</v>
      </c>
      <c r="J668" s="8">
        <f>IFERROR(VLOOKUP(Tbl_Siparişler[[#This Row],[Kategori]]&amp;"-"&amp;Tbl_Siparişler[[#This Row],[Ürün Adı]],Tbl_Ürünler[],11,0)*Tbl_Siparişler[[#This Row],[Adet]],"")</f>
        <v>19318.8</v>
      </c>
    </row>
    <row r="669" spans="2:10" ht="27" customHeight="1" x14ac:dyDescent="0.4">
      <c r="B669" s="9">
        <f>WEEKNUM(Tbl_Siparişler[[#This Row],[Sipariş Alınan Tarih]])</f>
        <v>8</v>
      </c>
      <c r="C669" s="6">
        <v>44241</v>
      </c>
      <c r="D669" s="7" t="s">
        <v>28</v>
      </c>
      <c r="E669" s="7">
        <v>30841</v>
      </c>
      <c r="F669" s="7" t="s">
        <v>114</v>
      </c>
      <c r="G669" s="7" t="s">
        <v>29</v>
      </c>
      <c r="H669" s="7" t="s">
        <v>37</v>
      </c>
      <c r="I669" s="7">
        <v>3</v>
      </c>
      <c r="J669" s="8">
        <f>IFERROR(VLOOKUP(Tbl_Siparişler[[#This Row],[Kategori]]&amp;"-"&amp;Tbl_Siparişler[[#This Row],[Ürün Adı]],Tbl_Ürünler[],11,0)*Tbl_Siparişler[[#This Row],[Adet]],"")</f>
        <v>29401.350000000002</v>
      </c>
    </row>
    <row r="670" spans="2:10" ht="27" customHeight="1" x14ac:dyDescent="0.4">
      <c r="B670" s="9">
        <f>WEEKNUM(Tbl_Siparişler[[#This Row],[Sipariş Alınan Tarih]])</f>
        <v>20</v>
      </c>
      <c r="C670" s="6">
        <v>44327</v>
      </c>
      <c r="D670" s="7" t="s">
        <v>27</v>
      </c>
      <c r="E670" s="7">
        <v>60785</v>
      </c>
      <c r="F670" s="7" t="s">
        <v>114</v>
      </c>
      <c r="G670" s="7" t="s">
        <v>43</v>
      </c>
      <c r="H670" s="7" t="s">
        <v>44</v>
      </c>
      <c r="I670" s="7">
        <v>4</v>
      </c>
      <c r="J670" s="8">
        <f>IFERROR(VLOOKUP(Tbl_Siparişler[[#This Row],[Kategori]]&amp;"-"&amp;Tbl_Siparişler[[#This Row],[Ürün Adı]],Tbl_Ürünler[],11,0)*Tbl_Siparişler[[#This Row],[Adet]],"")</f>
        <v>35658.400000000001</v>
      </c>
    </row>
    <row r="671" spans="2:10" ht="27" customHeight="1" x14ac:dyDescent="0.4">
      <c r="B671" s="9">
        <f>WEEKNUM(Tbl_Siparişler[[#This Row],[Sipariş Alınan Tarih]])</f>
        <v>37</v>
      </c>
      <c r="C671" s="6">
        <v>44448</v>
      </c>
      <c r="D671" s="7" t="s">
        <v>24</v>
      </c>
      <c r="E671" s="7">
        <v>43334</v>
      </c>
      <c r="F671" s="7" t="s">
        <v>118</v>
      </c>
      <c r="G671" s="7" t="s">
        <v>43</v>
      </c>
      <c r="H671" s="7" t="s">
        <v>45</v>
      </c>
      <c r="I671" s="7">
        <v>1</v>
      </c>
      <c r="J671" s="8">
        <f>IFERROR(VLOOKUP(Tbl_Siparişler[[#This Row],[Kategori]]&amp;"-"&amp;Tbl_Siparişler[[#This Row],[Ürün Adı]],Tbl_Ürünler[],11,0)*Tbl_Siparişler[[#This Row],[Adet]],"")</f>
        <v>9659.4</v>
      </c>
    </row>
    <row r="672" spans="2:10" ht="27" customHeight="1" x14ac:dyDescent="0.4">
      <c r="B672" s="9">
        <f>WEEKNUM(Tbl_Siparişler[[#This Row],[Sipariş Alınan Tarih]])</f>
        <v>3</v>
      </c>
      <c r="C672" s="6">
        <v>44211</v>
      </c>
      <c r="D672" s="7" t="s">
        <v>26</v>
      </c>
      <c r="E672" s="7">
        <v>38635</v>
      </c>
      <c r="F672" s="7" t="s">
        <v>108</v>
      </c>
      <c r="G672" s="7" t="s">
        <v>98</v>
      </c>
      <c r="H672" s="7" t="s">
        <v>99</v>
      </c>
      <c r="I672" s="7">
        <v>5</v>
      </c>
      <c r="J672" s="8">
        <f>IFERROR(VLOOKUP(Tbl_Siparişler[[#This Row],[Kategori]]&amp;"-"&amp;Tbl_Siparişler[[#This Row],[Ürün Adı]],Tbl_Ürünler[],11,0)*Tbl_Siparişler[[#This Row],[Adet]],"")</f>
        <v>20708.150000000001</v>
      </c>
    </row>
    <row r="673" spans="2:10" ht="27" customHeight="1" x14ac:dyDescent="0.4">
      <c r="B673" s="9">
        <f>WEEKNUM(Tbl_Siparişler[[#This Row],[Sipariş Alınan Tarih]])</f>
        <v>16</v>
      </c>
      <c r="C673" s="6">
        <v>44303</v>
      </c>
      <c r="D673" s="7" t="s">
        <v>24</v>
      </c>
      <c r="E673" s="7">
        <v>64196</v>
      </c>
      <c r="F673" s="7" t="s">
        <v>116</v>
      </c>
      <c r="G673" s="7" t="s">
        <v>47</v>
      </c>
      <c r="H673" s="7" t="s">
        <v>48</v>
      </c>
      <c r="I673" s="7">
        <v>1</v>
      </c>
      <c r="J673" s="8">
        <f>IFERROR(VLOOKUP(Tbl_Siparişler[[#This Row],[Kategori]]&amp;"-"&amp;Tbl_Siparişler[[#This Row],[Ürün Adı]],Tbl_Ürünler[],11,0)*Tbl_Siparişler[[#This Row],[Adet]],"")</f>
        <v>8053.5</v>
      </c>
    </row>
    <row r="674" spans="2:10" ht="27" customHeight="1" x14ac:dyDescent="0.4">
      <c r="B674" s="9">
        <f>WEEKNUM(Tbl_Siparişler[[#This Row],[Sipariş Alınan Tarih]])</f>
        <v>34</v>
      </c>
      <c r="C674" s="6">
        <v>44429</v>
      </c>
      <c r="D674" s="7" t="s">
        <v>27</v>
      </c>
      <c r="E674" s="7">
        <v>85254</v>
      </c>
      <c r="F674" s="7" t="s">
        <v>115</v>
      </c>
      <c r="G674" s="7" t="s">
        <v>29</v>
      </c>
      <c r="H674" s="7" t="s">
        <v>41</v>
      </c>
      <c r="I674" s="7">
        <v>1</v>
      </c>
      <c r="J674" s="8">
        <f>IFERROR(VLOOKUP(Tbl_Siparişler[[#This Row],[Kategori]]&amp;"-"&amp;Tbl_Siparişler[[#This Row],[Ürün Adı]],Tbl_Ürünler[],11,0)*Tbl_Siparişler[[#This Row],[Adet]],"")</f>
        <v>12621</v>
      </c>
    </row>
    <row r="675" spans="2:10" ht="27" customHeight="1" x14ac:dyDescent="0.4">
      <c r="B675" s="9">
        <f>WEEKNUM(Tbl_Siparişler[[#This Row],[Sipariş Alınan Tarih]])</f>
        <v>30</v>
      </c>
      <c r="C675" s="6">
        <v>44397</v>
      </c>
      <c r="D675" s="7" t="s">
        <v>26</v>
      </c>
      <c r="E675" s="7">
        <v>45019</v>
      </c>
      <c r="F675" s="7" t="s">
        <v>118</v>
      </c>
      <c r="G675" s="7" t="s">
        <v>29</v>
      </c>
      <c r="H675" s="7" t="s">
        <v>30</v>
      </c>
      <c r="I675" s="7">
        <v>3</v>
      </c>
      <c r="J675" s="8">
        <f>IFERROR(VLOOKUP(Tbl_Siparişler[[#This Row],[Kategori]]&amp;"-"&amp;Tbl_Siparişler[[#This Row],[Ürün Adı]],Tbl_Ürünler[],11,0)*Tbl_Siparişler[[#This Row],[Adet]],"")</f>
        <v>26055.899999999998</v>
      </c>
    </row>
    <row r="676" spans="2:10" ht="27" customHeight="1" x14ac:dyDescent="0.4">
      <c r="B676" s="9">
        <f>WEEKNUM(Tbl_Siparişler[[#This Row],[Sipariş Alınan Tarih]])</f>
        <v>40</v>
      </c>
      <c r="C676" s="6">
        <v>44471</v>
      </c>
      <c r="D676" s="7" t="s">
        <v>24</v>
      </c>
      <c r="E676" s="7">
        <v>65572</v>
      </c>
      <c r="F676" s="7" t="s">
        <v>109</v>
      </c>
      <c r="G676" s="7" t="s">
        <v>43</v>
      </c>
      <c r="H676" s="7" t="s">
        <v>46</v>
      </c>
      <c r="I676" s="7">
        <v>1</v>
      </c>
      <c r="J676" s="8">
        <f>IFERROR(VLOOKUP(Tbl_Siparişler[[#This Row],[Kategori]]&amp;"-"&amp;Tbl_Siparişler[[#This Row],[Ürün Adı]],Tbl_Ürünler[],11,0)*Tbl_Siparişler[[#This Row],[Adet]],"")</f>
        <v>13343.400000000001</v>
      </c>
    </row>
    <row r="677" spans="2:10" ht="27" customHeight="1" x14ac:dyDescent="0.4">
      <c r="B677" s="9">
        <f>WEEKNUM(Tbl_Siparişler[[#This Row],[Sipariş Alınan Tarih]])</f>
        <v>15</v>
      </c>
      <c r="C677" s="6">
        <v>44290</v>
      </c>
      <c r="D677" s="7" t="s">
        <v>25</v>
      </c>
      <c r="E677" s="7">
        <v>30856</v>
      </c>
      <c r="F677" s="7" t="s">
        <v>115</v>
      </c>
      <c r="G677" s="7" t="s">
        <v>98</v>
      </c>
      <c r="H677" s="7" t="s">
        <v>103</v>
      </c>
      <c r="I677" s="7">
        <v>3</v>
      </c>
      <c r="J677" s="8">
        <f>IFERROR(VLOOKUP(Tbl_Siparişler[[#This Row],[Kategori]]&amp;"-"&amp;Tbl_Siparişler[[#This Row],[Ürün Adı]],Tbl_Ürünler[],11,0)*Tbl_Siparişler[[#This Row],[Adet]],"")</f>
        <v>17887.5</v>
      </c>
    </row>
    <row r="678" spans="2:10" ht="27" customHeight="1" x14ac:dyDescent="0.4">
      <c r="B678" s="9">
        <f>WEEKNUM(Tbl_Siparişler[[#This Row],[Sipariş Alınan Tarih]])</f>
        <v>2</v>
      </c>
      <c r="C678" s="6">
        <v>44199</v>
      </c>
      <c r="D678" s="7" t="s">
        <v>106</v>
      </c>
      <c r="E678" s="7">
        <v>66469</v>
      </c>
      <c r="F678" s="7" t="s">
        <v>109</v>
      </c>
      <c r="G678" s="7" t="s">
        <v>47</v>
      </c>
      <c r="H678" s="7" t="s">
        <v>48</v>
      </c>
      <c r="I678" s="7">
        <v>5</v>
      </c>
      <c r="J678" s="8">
        <f>IFERROR(VLOOKUP(Tbl_Siparişler[[#This Row],[Kategori]]&amp;"-"&amp;Tbl_Siparişler[[#This Row],[Ürün Adı]],Tbl_Ürünler[],11,0)*Tbl_Siparişler[[#This Row],[Adet]],"")</f>
        <v>40267.5</v>
      </c>
    </row>
    <row r="679" spans="2:10" ht="27" customHeight="1" x14ac:dyDescent="0.4">
      <c r="B679" s="9">
        <f>WEEKNUM(Tbl_Siparişler[[#This Row],[Sipariş Alınan Tarih]])</f>
        <v>32</v>
      </c>
      <c r="C679" s="6">
        <v>44414</v>
      </c>
      <c r="D679" s="7" t="s">
        <v>95</v>
      </c>
      <c r="E679" s="7">
        <v>74081</v>
      </c>
      <c r="F679" s="7" t="s">
        <v>110</v>
      </c>
      <c r="G679" s="7" t="s">
        <v>47</v>
      </c>
      <c r="H679" s="7" t="s">
        <v>49</v>
      </c>
      <c r="I679" s="7">
        <v>4</v>
      </c>
      <c r="J679" s="8">
        <f>IFERROR(VLOOKUP(Tbl_Siparişler[[#This Row],[Kategori]]&amp;"-"&amp;Tbl_Siparişler[[#This Row],[Ürün Adı]],Tbl_Ürünler[],11,0)*Tbl_Siparişler[[#This Row],[Adet]],"")</f>
        <v>38279</v>
      </c>
    </row>
    <row r="680" spans="2:10" ht="27" customHeight="1" x14ac:dyDescent="0.4">
      <c r="B680" s="9">
        <f>WEEKNUM(Tbl_Siparişler[[#This Row],[Sipariş Alınan Tarih]])</f>
        <v>5</v>
      </c>
      <c r="C680" s="6">
        <v>44221</v>
      </c>
      <c r="D680" s="7" t="s">
        <v>106</v>
      </c>
      <c r="E680" s="7">
        <v>70344</v>
      </c>
      <c r="F680" s="7" t="s">
        <v>116</v>
      </c>
      <c r="G680" s="7" t="s">
        <v>98</v>
      </c>
      <c r="H680" s="7" t="s">
        <v>100</v>
      </c>
      <c r="I680" s="7">
        <v>5</v>
      </c>
      <c r="J680" s="8">
        <f>IFERROR(VLOOKUP(Tbl_Siparişler[[#This Row],[Kategori]]&amp;"-"&amp;Tbl_Siparişler[[#This Row],[Ürün Adı]],Tbl_Ürünler[],11,0)*Tbl_Siparişler[[#This Row],[Adet]],"")</f>
        <v>46176</v>
      </c>
    </row>
    <row r="681" spans="2:10" ht="27" customHeight="1" x14ac:dyDescent="0.4">
      <c r="B681" s="9">
        <f>WEEKNUM(Tbl_Siparişler[[#This Row],[Sipariş Alınan Tarih]])</f>
        <v>24</v>
      </c>
      <c r="C681" s="6">
        <v>44355</v>
      </c>
      <c r="D681" s="7" t="s">
        <v>25</v>
      </c>
      <c r="E681" s="7">
        <v>31370</v>
      </c>
      <c r="F681" s="7" t="s">
        <v>117</v>
      </c>
      <c r="G681" s="7" t="s">
        <v>47</v>
      </c>
      <c r="H681" s="7" t="s">
        <v>48</v>
      </c>
      <c r="I681" s="7">
        <v>4</v>
      </c>
      <c r="J681" s="8">
        <f>IFERROR(VLOOKUP(Tbl_Siparişler[[#This Row],[Kategori]]&amp;"-"&amp;Tbl_Siparişler[[#This Row],[Ürün Adı]],Tbl_Ürünler[],11,0)*Tbl_Siparişler[[#This Row],[Adet]],"")</f>
        <v>32214</v>
      </c>
    </row>
    <row r="682" spans="2:10" ht="27" customHeight="1" x14ac:dyDescent="0.4">
      <c r="B682" s="9">
        <f>WEEKNUM(Tbl_Siparişler[[#This Row],[Sipariş Alınan Tarih]])</f>
        <v>37</v>
      </c>
      <c r="C682" s="6">
        <v>44445</v>
      </c>
      <c r="D682" s="7" t="s">
        <v>95</v>
      </c>
      <c r="E682" s="7">
        <v>90145</v>
      </c>
      <c r="F682" s="7" t="s">
        <v>118</v>
      </c>
      <c r="G682" s="7" t="s">
        <v>47</v>
      </c>
      <c r="H682" s="7" t="s">
        <v>49</v>
      </c>
      <c r="I682" s="7">
        <v>5</v>
      </c>
      <c r="J682" s="8">
        <f>IFERROR(VLOOKUP(Tbl_Siparişler[[#This Row],[Kategori]]&amp;"-"&amp;Tbl_Siparişler[[#This Row],[Ürün Adı]],Tbl_Ürünler[],11,0)*Tbl_Siparişler[[#This Row],[Adet]],"")</f>
        <v>47848.75</v>
      </c>
    </row>
    <row r="683" spans="2:10" ht="27" customHeight="1" x14ac:dyDescent="0.4">
      <c r="B683" s="9">
        <f>WEEKNUM(Tbl_Siparişler[[#This Row],[Sipariş Alınan Tarih]])</f>
        <v>47</v>
      </c>
      <c r="C683" s="6">
        <v>44518</v>
      </c>
      <c r="D683" s="7" t="s">
        <v>25</v>
      </c>
      <c r="E683" s="7">
        <v>61142</v>
      </c>
      <c r="F683" s="7" t="s">
        <v>107</v>
      </c>
      <c r="G683" s="7" t="s">
        <v>47</v>
      </c>
      <c r="H683" s="7" t="s">
        <v>49</v>
      </c>
      <c r="I683" s="7">
        <v>5</v>
      </c>
      <c r="J683" s="8">
        <f>IFERROR(VLOOKUP(Tbl_Siparişler[[#This Row],[Kategori]]&amp;"-"&amp;Tbl_Siparişler[[#This Row],[Ürün Adı]],Tbl_Ürünler[],11,0)*Tbl_Siparişler[[#This Row],[Adet]],"")</f>
        <v>47848.75</v>
      </c>
    </row>
    <row r="684" spans="2:10" ht="27" customHeight="1" x14ac:dyDescent="0.4">
      <c r="B684" s="9">
        <f>WEEKNUM(Tbl_Siparişler[[#This Row],[Sipariş Alınan Tarih]])</f>
        <v>32</v>
      </c>
      <c r="C684" s="6">
        <v>44410</v>
      </c>
      <c r="D684" s="7" t="s">
        <v>95</v>
      </c>
      <c r="E684" s="7">
        <v>63028</v>
      </c>
      <c r="F684" s="7" t="s">
        <v>108</v>
      </c>
      <c r="G684" s="7" t="s">
        <v>43</v>
      </c>
      <c r="H684" s="7" t="s">
        <v>50</v>
      </c>
      <c r="I684" s="7">
        <v>4</v>
      </c>
      <c r="J684" s="8">
        <f>IFERROR(VLOOKUP(Tbl_Siparişler[[#This Row],[Kategori]]&amp;"-"&amp;Tbl_Siparişler[[#This Row],[Ürün Adı]],Tbl_Ürünler[],11,0)*Tbl_Siparişler[[#This Row],[Adet]],"")</f>
        <v>25832.400000000001</v>
      </c>
    </row>
    <row r="685" spans="2:10" ht="27" customHeight="1" x14ac:dyDescent="0.4">
      <c r="B685" s="9">
        <f>WEEKNUM(Tbl_Siparişler[[#This Row],[Sipariş Alınan Tarih]])</f>
        <v>23</v>
      </c>
      <c r="C685" s="6">
        <v>44349</v>
      </c>
      <c r="D685" s="7" t="s">
        <v>24</v>
      </c>
      <c r="E685" s="7">
        <v>50802</v>
      </c>
      <c r="F685" s="7" t="s">
        <v>114</v>
      </c>
      <c r="G685" s="7" t="s">
        <v>29</v>
      </c>
      <c r="H685" s="7" t="s">
        <v>42</v>
      </c>
      <c r="I685" s="7">
        <v>3</v>
      </c>
      <c r="J685" s="8">
        <f>IFERROR(VLOOKUP(Tbl_Siparişler[[#This Row],[Kategori]]&amp;"-"&amp;Tbl_Siparişler[[#This Row],[Ürün Adı]],Tbl_Ürünler[],11,0)*Tbl_Siparişler[[#This Row],[Adet]],"")</f>
        <v>42198</v>
      </c>
    </row>
    <row r="686" spans="2:10" ht="27" customHeight="1" x14ac:dyDescent="0.4">
      <c r="B686" s="9">
        <f>WEEKNUM(Tbl_Siparişler[[#This Row],[Sipariş Alınan Tarih]])</f>
        <v>12</v>
      </c>
      <c r="C686" s="6">
        <v>44270</v>
      </c>
      <c r="D686" s="7" t="s">
        <v>27</v>
      </c>
      <c r="E686" s="7">
        <v>17515</v>
      </c>
      <c r="F686" s="7" t="s">
        <v>114</v>
      </c>
      <c r="G686" s="7" t="s">
        <v>47</v>
      </c>
      <c r="H686" s="7" t="s">
        <v>49</v>
      </c>
      <c r="I686" s="7">
        <v>3</v>
      </c>
      <c r="J686" s="8">
        <f>IFERROR(VLOOKUP(Tbl_Siparişler[[#This Row],[Kategori]]&amp;"-"&amp;Tbl_Siparişler[[#This Row],[Ürün Adı]],Tbl_Ürünler[],11,0)*Tbl_Siparişler[[#This Row],[Adet]],"")</f>
        <v>28709.25</v>
      </c>
    </row>
    <row r="687" spans="2:10" ht="27" customHeight="1" x14ac:dyDescent="0.4">
      <c r="B687" s="9">
        <f>WEEKNUM(Tbl_Siparişler[[#This Row],[Sipariş Alınan Tarih]])</f>
        <v>47</v>
      </c>
      <c r="C687" s="6">
        <v>44514</v>
      </c>
      <c r="D687" s="7" t="s">
        <v>24</v>
      </c>
      <c r="E687" s="7">
        <v>53280</v>
      </c>
      <c r="F687" s="7" t="s">
        <v>114</v>
      </c>
      <c r="G687" s="7" t="s">
        <v>47</v>
      </c>
      <c r="H687" s="7" t="s">
        <v>49</v>
      </c>
      <c r="I687" s="7">
        <v>1</v>
      </c>
      <c r="J687" s="8">
        <f>IFERROR(VLOOKUP(Tbl_Siparişler[[#This Row],[Kategori]]&amp;"-"&amp;Tbl_Siparişler[[#This Row],[Ürün Adı]],Tbl_Ürünler[],11,0)*Tbl_Siparişler[[#This Row],[Adet]],"")</f>
        <v>9569.75</v>
      </c>
    </row>
    <row r="688" spans="2:10" ht="27" customHeight="1" x14ac:dyDescent="0.4">
      <c r="B688" s="9">
        <f>WEEKNUM(Tbl_Siparişler[[#This Row],[Sipariş Alınan Tarih]])</f>
        <v>42</v>
      </c>
      <c r="C688" s="6">
        <v>44479</v>
      </c>
      <c r="D688" s="7" t="s">
        <v>106</v>
      </c>
      <c r="E688" s="7">
        <v>72023</v>
      </c>
      <c r="F688" s="7" t="s">
        <v>115</v>
      </c>
      <c r="G688" s="7" t="s">
        <v>47</v>
      </c>
      <c r="H688" s="7" t="s">
        <v>48</v>
      </c>
      <c r="I688" s="7">
        <v>4</v>
      </c>
      <c r="J688" s="8">
        <f>IFERROR(VLOOKUP(Tbl_Siparişler[[#This Row],[Kategori]]&amp;"-"&amp;Tbl_Siparişler[[#This Row],[Ürün Adı]],Tbl_Ürünler[],11,0)*Tbl_Siparişler[[#This Row],[Adet]],"")</f>
        <v>32214</v>
      </c>
    </row>
    <row r="689" spans="2:10" ht="27" customHeight="1" x14ac:dyDescent="0.4">
      <c r="B689" s="9">
        <f>WEEKNUM(Tbl_Siparişler[[#This Row],[Sipariş Alınan Tarih]])</f>
        <v>19</v>
      </c>
      <c r="C689" s="6">
        <v>44319</v>
      </c>
      <c r="D689" s="7" t="s">
        <v>27</v>
      </c>
      <c r="E689" s="7">
        <v>82441</v>
      </c>
      <c r="F689" s="7" t="s">
        <v>108</v>
      </c>
      <c r="G689" s="7" t="s">
        <v>47</v>
      </c>
      <c r="H689" s="7" t="s">
        <v>48</v>
      </c>
      <c r="I689" s="7">
        <v>4</v>
      </c>
      <c r="J689" s="8">
        <f>IFERROR(VLOOKUP(Tbl_Siparişler[[#This Row],[Kategori]]&amp;"-"&amp;Tbl_Siparişler[[#This Row],[Ürün Adı]],Tbl_Ürünler[],11,0)*Tbl_Siparişler[[#This Row],[Adet]],"")</f>
        <v>32214</v>
      </c>
    </row>
    <row r="690" spans="2:10" ht="27" customHeight="1" x14ac:dyDescent="0.4">
      <c r="B690" s="9">
        <f>WEEKNUM(Tbl_Siparişler[[#This Row],[Sipariş Alınan Tarih]])</f>
        <v>3</v>
      </c>
      <c r="C690" s="6">
        <v>44212</v>
      </c>
      <c r="D690" s="7" t="s">
        <v>95</v>
      </c>
      <c r="E690" s="7">
        <v>81488</v>
      </c>
      <c r="F690" s="7" t="s">
        <v>113</v>
      </c>
      <c r="G690" s="7" t="s">
        <v>47</v>
      </c>
      <c r="H690" s="7" t="s">
        <v>49</v>
      </c>
      <c r="I690" s="7">
        <v>2</v>
      </c>
      <c r="J690" s="8">
        <f>IFERROR(VLOOKUP(Tbl_Siparişler[[#This Row],[Kategori]]&amp;"-"&amp;Tbl_Siparişler[[#This Row],[Ürün Adı]],Tbl_Ürünler[],11,0)*Tbl_Siparişler[[#This Row],[Adet]],"")</f>
        <v>19139.5</v>
      </c>
    </row>
    <row r="691" spans="2:10" ht="27" customHeight="1" x14ac:dyDescent="0.4">
      <c r="B691" s="9">
        <f>WEEKNUM(Tbl_Siparişler[[#This Row],[Sipariş Alınan Tarih]])</f>
        <v>32</v>
      </c>
      <c r="C691" s="6">
        <v>44412</v>
      </c>
      <c r="D691" s="7" t="s">
        <v>28</v>
      </c>
      <c r="E691" s="7">
        <v>50992</v>
      </c>
      <c r="F691" s="7" t="s">
        <v>110</v>
      </c>
      <c r="G691" s="7" t="s">
        <v>43</v>
      </c>
      <c r="H691" s="7" t="s">
        <v>50</v>
      </c>
      <c r="I691" s="7">
        <v>5</v>
      </c>
      <c r="J691" s="8">
        <f>IFERROR(VLOOKUP(Tbl_Siparişler[[#This Row],[Kategori]]&amp;"-"&amp;Tbl_Siparişler[[#This Row],[Ürün Adı]],Tbl_Ürünler[],11,0)*Tbl_Siparişler[[#This Row],[Adet]],"")</f>
        <v>32290.5</v>
      </c>
    </row>
    <row r="692" spans="2:10" ht="27" customHeight="1" x14ac:dyDescent="0.4">
      <c r="B692" s="9">
        <f>WEEKNUM(Tbl_Siparişler[[#This Row],[Sipariş Alınan Tarih]])</f>
        <v>28</v>
      </c>
      <c r="C692" s="6">
        <v>44381</v>
      </c>
      <c r="D692" s="7" t="s">
        <v>24</v>
      </c>
      <c r="E692" s="7">
        <v>23185</v>
      </c>
      <c r="F692" s="7" t="s">
        <v>115</v>
      </c>
      <c r="G692" s="7" t="s">
        <v>98</v>
      </c>
      <c r="H692" s="7" t="s">
        <v>99</v>
      </c>
      <c r="I692" s="7">
        <v>1</v>
      </c>
      <c r="J692" s="8">
        <f>IFERROR(VLOOKUP(Tbl_Siparişler[[#This Row],[Kategori]]&amp;"-"&amp;Tbl_Siparişler[[#This Row],[Ürün Adı]],Tbl_Ürünler[],11,0)*Tbl_Siparişler[[#This Row],[Adet]],"")</f>
        <v>4141.63</v>
      </c>
    </row>
    <row r="693" spans="2:10" ht="27" customHeight="1" x14ac:dyDescent="0.4">
      <c r="B693" s="9">
        <f>WEEKNUM(Tbl_Siparişler[[#This Row],[Sipariş Alınan Tarih]])</f>
        <v>52</v>
      </c>
      <c r="C693" s="6">
        <v>44550</v>
      </c>
      <c r="D693" s="7" t="s">
        <v>106</v>
      </c>
      <c r="E693" s="7">
        <v>45027</v>
      </c>
      <c r="F693" s="7" t="s">
        <v>110</v>
      </c>
      <c r="G693" s="7" t="s">
        <v>47</v>
      </c>
      <c r="H693" s="7" t="s">
        <v>48</v>
      </c>
      <c r="I693" s="7">
        <v>4</v>
      </c>
      <c r="J693" s="8">
        <f>IFERROR(VLOOKUP(Tbl_Siparişler[[#This Row],[Kategori]]&amp;"-"&amp;Tbl_Siparişler[[#This Row],[Ürün Adı]],Tbl_Ürünler[],11,0)*Tbl_Siparişler[[#This Row],[Adet]],"")</f>
        <v>32214</v>
      </c>
    </row>
    <row r="694" spans="2:10" ht="27" customHeight="1" x14ac:dyDescent="0.4">
      <c r="B694" s="9">
        <f>WEEKNUM(Tbl_Siparişler[[#This Row],[Sipariş Alınan Tarih]])</f>
        <v>36</v>
      </c>
      <c r="C694" s="6">
        <v>44443</v>
      </c>
      <c r="D694" s="7" t="s">
        <v>28</v>
      </c>
      <c r="E694" s="7">
        <v>43947</v>
      </c>
      <c r="F694" s="7" t="s">
        <v>112</v>
      </c>
      <c r="G694" s="7" t="s">
        <v>47</v>
      </c>
      <c r="H694" s="7" t="s">
        <v>48</v>
      </c>
      <c r="I694" s="7">
        <v>2</v>
      </c>
      <c r="J694" s="8">
        <f>IFERROR(VLOOKUP(Tbl_Siparişler[[#This Row],[Kategori]]&amp;"-"&amp;Tbl_Siparişler[[#This Row],[Ürün Adı]],Tbl_Ürünler[],11,0)*Tbl_Siparişler[[#This Row],[Adet]],"")</f>
        <v>16107</v>
      </c>
    </row>
    <row r="695" spans="2:10" ht="27" customHeight="1" x14ac:dyDescent="0.4">
      <c r="B695" s="9">
        <f>WEEKNUM(Tbl_Siparişler[[#This Row],[Sipariş Alınan Tarih]])</f>
        <v>44</v>
      </c>
      <c r="C695" s="6">
        <v>44495</v>
      </c>
      <c r="D695" s="7" t="s">
        <v>106</v>
      </c>
      <c r="E695" s="7">
        <v>48821</v>
      </c>
      <c r="F695" s="7" t="s">
        <v>116</v>
      </c>
      <c r="G695" s="7" t="s">
        <v>29</v>
      </c>
      <c r="H695" s="7" t="s">
        <v>42</v>
      </c>
      <c r="I695" s="7">
        <v>4</v>
      </c>
      <c r="J695" s="8">
        <f>IFERROR(VLOOKUP(Tbl_Siparişler[[#This Row],[Kategori]]&amp;"-"&amp;Tbl_Siparişler[[#This Row],[Ürün Adı]],Tbl_Ürünler[],11,0)*Tbl_Siparişler[[#This Row],[Adet]],"")</f>
        <v>56264</v>
      </c>
    </row>
    <row r="696" spans="2:10" ht="27" customHeight="1" x14ac:dyDescent="0.4">
      <c r="B696" s="9">
        <f>WEEKNUM(Tbl_Siparişler[[#This Row],[Sipariş Alınan Tarih]])</f>
        <v>50</v>
      </c>
      <c r="C696" s="6">
        <v>44540</v>
      </c>
      <c r="D696" s="7" t="s">
        <v>28</v>
      </c>
      <c r="E696" s="7">
        <v>71722</v>
      </c>
      <c r="F696" s="7" t="s">
        <v>109</v>
      </c>
      <c r="G696" s="7" t="s">
        <v>47</v>
      </c>
      <c r="H696" s="7" t="s">
        <v>48</v>
      </c>
      <c r="I696" s="7">
        <v>3</v>
      </c>
      <c r="J696" s="8">
        <f>IFERROR(VLOOKUP(Tbl_Siparişler[[#This Row],[Kategori]]&amp;"-"&amp;Tbl_Siparişler[[#This Row],[Ürün Adı]],Tbl_Ürünler[],11,0)*Tbl_Siparişler[[#This Row],[Adet]],"")</f>
        <v>24160.5</v>
      </c>
    </row>
    <row r="697" spans="2:10" ht="27" customHeight="1" x14ac:dyDescent="0.4">
      <c r="B697" s="9">
        <f>WEEKNUM(Tbl_Siparişler[[#This Row],[Sipariş Alınan Tarih]])</f>
        <v>9</v>
      </c>
      <c r="C697" s="6">
        <v>44249</v>
      </c>
      <c r="D697" s="7" t="s">
        <v>27</v>
      </c>
      <c r="E697" s="7">
        <v>28856</v>
      </c>
      <c r="F697" s="7" t="s">
        <v>107</v>
      </c>
      <c r="G697" s="7" t="s">
        <v>43</v>
      </c>
      <c r="H697" s="7" t="s">
        <v>45</v>
      </c>
      <c r="I697" s="7">
        <v>3</v>
      </c>
      <c r="J697" s="8">
        <f>IFERROR(VLOOKUP(Tbl_Siparişler[[#This Row],[Kategori]]&amp;"-"&amp;Tbl_Siparişler[[#This Row],[Ürün Adı]],Tbl_Ürünler[],11,0)*Tbl_Siparişler[[#This Row],[Adet]],"")</f>
        <v>28978.199999999997</v>
      </c>
    </row>
    <row r="698" spans="2:10" ht="27" customHeight="1" x14ac:dyDescent="0.4">
      <c r="B698" s="9">
        <f>WEEKNUM(Tbl_Siparişler[[#This Row],[Sipariş Alınan Tarih]])</f>
        <v>52</v>
      </c>
      <c r="C698" s="6">
        <v>44553</v>
      </c>
      <c r="D698" s="7" t="s">
        <v>26</v>
      </c>
      <c r="E698" s="7">
        <v>67197</v>
      </c>
      <c r="F698" s="7" t="s">
        <v>110</v>
      </c>
      <c r="G698" s="7" t="s">
        <v>43</v>
      </c>
      <c r="H698" s="7" t="s">
        <v>46</v>
      </c>
      <c r="I698" s="7">
        <v>2</v>
      </c>
      <c r="J698" s="8">
        <f>IFERROR(VLOOKUP(Tbl_Siparişler[[#This Row],[Kategori]]&amp;"-"&amp;Tbl_Siparişler[[#This Row],[Ürün Adı]],Tbl_Ürünler[],11,0)*Tbl_Siparişler[[#This Row],[Adet]],"")</f>
        <v>26686.800000000003</v>
      </c>
    </row>
    <row r="699" spans="2:10" ht="27" customHeight="1" x14ac:dyDescent="0.4">
      <c r="B699" s="9">
        <f>WEEKNUM(Tbl_Siparişler[[#This Row],[Sipariş Alınan Tarih]])</f>
        <v>19</v>
      </c>
      <c r="C699" s="6">
        <v>44323</v>
      </c>
      <c r="D699" s="7" t="s">
        <v>25</v>
      </c>
      <c r="E699" s="7">
        <v>41231</v>
      </c>
      <c r="F699" s="7" t="s">
        <v>113</v>
      </c>
      <c r="G699" s="7" t="s">
        <v>47</v>
      </c>
      <c r="H699" s="7" t="s">
        <v>49</v>
      </c>
      <c r="I699" s="7">
        <v>5</v>
      </c>
      <c r="J699" s="8">
        <f>IFERROR(VLOOKUP(Tbl_Siparişler[[#This Row],[Kategori]]&amp;"-"&amp;Tbl_Siparişler[[#This Row],[Ürün Adı]],Tbl_Ürünler[],11,0)*Tbl_Siparişler[[#This Row],[Adet]],"")</f>
        <v>47848.75</v>
      </c>
    </row>
    <row r="700" spans="2:10" ht="27" customHeight="1" x14ac:dyDescent="0.4">
      <c r="B700" s="9">
        <f>WEEKNUM(Tbl_Siparişler[[#This Row],[Sipariş Alınan Tarih]])</f>
        <v>25</v>
      </c>
      <c r="C700" s="6">
        <v>44360</v>
      </c>
      <c r="D700" s="7" t="s">
        <v>24</v>
      </c>
      <c r="E700" s="7">
        <v>50155</v>
      </c>
      <c r="F700" s="7" t="s">
        <v>111</v>
      </c>
      <c r="G700" s="7" t="s">
        <v>29</v>
      </c>
      <c r="H700" s="7" t="s">
        <v>30</v>
      </c>
      <c r="I700" s="7">
        <v>1</v>
      </c>
      <c r="J700" s="8">
        <f>IFERROR(VLOOKUP(Tbl_Siparişler[[#This Row],[Kategori]]&amp;"-"&amp;Tbl_Siparişler[[#This Row],[Ürün Adı]],Tbl_Ürünler[],11,0)*Tbl_Siparişler[[#This Row],[Adet]],"")</f>
        <v>8685.2999999999993</v>
      </c>
    </row>
    <row r="701" spans="2:10" ht="27" customHeight="1" x14ac:dyDescent="0.4">
      <c r="B701" s="9">
        <f>WEEKNUM(Tbl_Siparişler[[#This Row],[Sipariş Alınan Tarih]])</f>
        <v>11</v>
      </c>
      <c r="C701" s="6">
        <v>44266</v>
      </c>
      <c r="D701" s="7" t="s">
        <v>28</v>
      </c>
      <c r="E701" s="7">
        <v>94386</v>
      </c>
      <c r="F701" s="7" t="s">
        <v>111</v>
      </c>
      <c r="G701" s="7" t="s">
        <v>43</v>
      </c>
      <c r="H701" s="7" t="s">
        <v>44</v>
      </c>
      <c r="I701" s="7">
        <v>4</v>
      </c>
      <c r="J701" s="8">
        <f>IFERROR(VLOOKUP(Tbl_Siparişler[[#This Row],[Kategori]]&amp;"-"&amp;Tbl_Siparişler[[#This Row],[Ürün Adı]],Tbl_Ürünler[],11,0)*Tbl_Siparişler[[#This Row],[Adet]],"")</f>
        <v>35658.400000000001</v>
      </c>
    </row>
    <row r="702" spans="2:10" ht="27" customHeight="1" x14ac:dyDescent="0.4">
      <c r="B702" s="9">
        <f>WEEKNUM(Tbl_Siparişler[[#This Row],[Sipariş Alınan Tarih]])</f>
        <v>32</v>
      </c>
      <c r="C702" s="6">
        <v>44415</v>
      </c>
      <c r="D702" s="7" t="s">
        <v>28</v>
      </c>
      <c r="E702" s="7">
        <v>74472</v>
      </c>
      <c r="F702" s="7" t="s">
        <v>111</v>
      </c>
      <c r="G702" s="7" t="s">
        <v>98</v>
      </c>
      <c r="H702" s="7" t="s">
        <v>100</v>
      </c>
      <c r="I702" s="7">
        <v>1</v>
      </c>
      <c r="J702" s="8">
        <f>IFERROR(VLOOKUP(Tbl_Siparişler[[#This Row],[Kategori]]&amp;"-"&amp;Tbl_Siparişler[[#This Row],[Ürün Adı]],Tbl_Ürünler[],11,0)*Tbl_Siparişler[[#This Row],[Adet]],"")</f>
        <v>9235.2000000000007</v>
      </c>
    </row>
    <row r="703" spans="2:10" ht="27" customHeight="1" x14ac:dyDescent="0.4">
      <c r="B703" s="9">
        <f>WEEKNUM(Tbl_Siparişler[[#This Row],[Sipariş Alınan Tarih]])</f>
        <v>3</v>
      </c>
      <c r="C703" s="6">
        <v>44206</v>
      </c>
      <c r="D703" s="7" t="s">
        <v>24</v>
      </c>
      <c r="E703" s="7">
        <v>52020</v>
      </c>
      <c r="F703" s="7" t="s">
        <v>107</v>
      </c>
      <c r="G703" s="7" t="s">
        <v>43</v>
      </c>
      <c r="H703" s="7" t="s">
        <v>46</v>
      </c>
      <c r="I703" s="7">
        <v>3</v>
      </c>
      <c r="J703" s="8">
        <f>IFERROR(VLOOKUP(Tbl_Siparişler[[#This Row],[Kategori]]&amp;"-"&amp;Tbl_Siparişler[[#This Row],[Ürün Adı]],Tbl_Ürünler[],11,0)*Tbl_Siparişler[[#This Row],[Adet]],"")</f>
        <v>40030.200000000004</v>
      </c>
    </row>
    <row r="704" spans="2:10" ht="27" customHeight="1" x14ac:dyDescent="0.4">
      <c r="B704" s="9">
        <f>WEEKNUM(Tbl_Siparişler[[#This Row],[Sipariş Alınan Tarih]])</f>
        <v>4</v>
      </c>
      <c r="C704" s="6">
        <v>44217</v>
      </c>
      <c r="D704" s="7" t="s">
        <v>28</v>
      </c>
      <c r="E704" s="7">
        <v>56942</v>
      </c>
      <c r="F704" s="7" t="s">
        <v>110</v>
      </c>
      <c r="G704" s="7" t="s">
        <v>98</v>
      </c>
      <c r="H704" s="7" t="s">
        <v>100</v>
      </c>
      <c r="I704" s="7">
        <v>3</v>
      </c>
      <c r="J704" s="8">
        <f>IFERROR(VLOOKUP(Tbl_Siparişler[[#This Row],[Kategori]]&amp;"-"&amp;Tbl_Siparişler[[#This Row],[Ürün Adı]],Tbl_Ürünler[],11,0)*Tbl_Siparişler[[#This Row],[Adet]],"")</f>
        <v>27705.600000000002</v>
      </c>
    </row>
    <row r="705" spans="2:10" ht="27" customHeight="1" x14ac:dyDescent="0.4">
      <c r="B705" s="9">
        <f>WEEKNUM(Tbl_Siparişler[[#This Row],[Sipariş Alınan Tarih]])</f>
        <v>10</v>
      </c>
      <c r="C705" s="6">
        <v>44257</v>
      </c>
      <c r="D705" s="7" t="s">
        <v>106</v>
      </c>
      <c r="E705" s="7">
        <v>31263</v>
      </c>
      <c r="F705" s="7" t="s">
        <v>114</v>
      </c>
      <c r="G705" s="7" t="s">
        <v>98</v>
      </c>
      <c r="H705" s="7" t="s">
        <v>99</v>
      </c>
      <c r="I705" s="7">
        <v>1</v>
      </c>
      <c r="J705" s="8">
        <f>IFERROR(VLOOKUP(Tbl_Siparişler[[#This Row],[Kategori]]&amp;"-"&amp;Tbl_Siparişler[[#This Row],[Ürün Adı]],Tbl_Ürünler[],11,0)*Tbl_Siparişler[[#This Row],[Adet]],"")</f>
        <v>4141.63</v>
      </c>
    </row>
    <row r="706" spans="2:10" ht="27" customHeight="1" x14ac:dyDescent="0.4">
      <c r="B706" s="9">
        <f>WEEKNUM(Tbl_Siparişler[[#This Row],[Sipariş Alınan Tarih]])</f>
        <v>49</v>
      </c>
      <c r="C706" s="6">
        <v>44533</v>
      </c>
      <c r="D706" s="7" t="s">
        <v>24</v>
      </c>
      <c r="E706" s="7">
        <v>68464</v>
      </c>
      <c r="F706" s="7" t="s">
        <v>113</v>
      </c>
      <c r="G706" s="7" t="s">
        <v>98</v>
      </c>
      <c r="H706" s="7" t="s">
        <v>100</v>
      </c>
      <c r="I706" s="7">
        <v>5</v>
      </c>
      <c r="J706" s="8">
        <f>IFERROR(VLOOKUP(Tbl_Siparişler[[#This Row],[Kategori]]&amp;"-"&amp;Tbl_Siparişler[[#This Row],[Ürün Adı]],Tbl_Ürünler[],11,0)*Tbl_Siparişler[[#This Row],[Adet]],"")</f>
        <v>46176</v>
      </c>
    </row>
    <row r="707" spans="2:10" ht="27" customHeight="1" x14ac:dyDescent="0.4">
      <c r="B707" s="9">
        <f>WEEKNUM(Tbl_Siparişler[[#This Row],[Sipariş Alınan Tarih]])</f>
        <v>26</v>
      </c>
      <c r="C707" s="6">
        <v>44369</v>
      </c>
      <c r="D707" s="7" t="s">
        <v>27</v>
      </c>
      <c r="E707" s="7">
        <v>82922</v>
      </c>
      <c r="F707" s="7" t="s">
        <v>108</v>
      </c>
      <c r="G707" s="7" t="s">
        <v>47</v>
      </c>
      <c r="H707" s="7" t="s">
        <v>49</v>
      </c>
      <c r="I707" s="7">
        <v>5</v>
      </c>
      <c r="J707" s="8">
        <f>IFERROR(VLOOKUP(Tbl_Siparişler[[#This Row],[Kategori]]&amp;"-"&amp;Tbl_Siparişler[[#This Row],[Ürün Adı]],Tbl_Ürünler[],11,0)*Tbl_Siparişler[[#This Row],[Adet]],"")</f>
        <v>47848.75</v>
      </c>
    </row>
    <row r="708" spans="2:10" ht="27" customHeight="1" x14ac:dyDescent="0.4">
      <c r="B708" s="9">
        <f>WEEKNUM(Tbl_Siparişler[[#This Row],[Sipariş Alınan Tarih]])</f>
        <v>2</v>
      </c>
      <c r="C708" s="6">
        <v>44201</v>
      </c>
      <c r="D708" s="7" t="s">
        <v>26</v>
      </c>
      <c r="E708" s="7">
        <v>11153</v>
      </c>
      <c r="F708" s="7" t="s">
        <v>108</v>
      </c>
      <c r="G708" s="7" t="s">
        <v>47</v>
      </c>
      <c r="H708" s="7" t="s">
        <v>49</v>
      </c>
      <c r="I708" s="7">
        <v>5</v>
      </c>
      <c r="J708" s="8">
        <f>IFERROR(VLOOKUP(Tbl_Siparişler[[#This Row],[Kategori]]&amp;"-"&amp;Tbl_Siparişler[[#This Row],[Ürün Adı]],Tbl_Ürünler[],11,0)*Tbl_Siparişler[[#This Row],[Adet]],"")</f>
        <v>47848.75</v>
      </c>
    </row>
    <row r="709" spans="2:10" ht="27" customHeight="1" x14ac:dyDescent="0.4">
      <c r="B709" s="9">
        <f>WEEKNUM(Tbl_Siparişler[[#This Row],[Sipariş Alınan Tarih]])</f>
        <v>23</v>
      </c>
      <c r="C709" s="6">
        <v>44349</v>
      </c>
      <c r="D709" s="7" t="s">
        <v>25</v>
      </c>
      <c r="E709" s="7">
        <v>80316</v>
      </c>
      <c r="F709" s="7" t="s">
        <v>112</v>
      </c>
      <c r="G709" s="7" t="s">
        <v>98</v>
      </c>
      <c r="H709" s="7" t="s">
        <v>103</v>
      </c>
      <c r="I709" s="7">
        <v>4</v>
      </c>
      <c r="J709" s="8">
        <f>IFERROR(VLOOKUP(Tbl_Siparişler[[#This Row],[Kategori]]&amp;"-"&amp;Tbl_Siparişler[[#This Row],[Ürün Adı]],Tbl_Ürünler[],11,0)*Tbl_Siparişler[[#This Row],[Adet]],"")</f>
        <v>23850</v>
      </c>
    </row>
    <row r="710" spans="2:10" ht="27" customHeight="1" x14ac:dyDescent="0.4">
      <c r="B710" s="9">
        <f>WEEKNUM(Tbl_Siparişler[[#This Row],[Sipariş Alınan Tarih]])</f>
        <v>26</v>
      </c>
      <c r="C710" s="6">
        <v>44373</v>
      </c>
      <c r="D710" s="7" t="s">
        <v>25</v>
      </c>
      <c r="E710" s="7">
        <v>14974</v>
      </c>
      <c r="F710" s="7" t="s">
        <v>118</v>
      </c>
      <c r="G710" s="7" t="s">
        <v>47</v>
      </c>
      <c r="H710" s="7" t="s">
        <v>49</v>
      </c>
      <c r="I710" s="7">
        <v>4</v>
      </c>
      <c r="J710" s="8">
        <f>IFERROR(VLOOKUP(Tbl_Siparişler[[#This Row],[Kategori]]&amp;"-"&amp;Tbl_Siparişler[[#This Row],[Ürün Adı]],Tbl_Ürünler[],11,0)*Tbl_Siparişler[[#This Row],[Adet]],"")</f>
        <v>38279</v>
      </c>
    </row>
    <row r="711" spans="2:10" ht="27" customHeight="1" x14ac:dyDescent="0.4">
      <c r="B711" s="9">
        <f>WEEKNUM(Tbl_Siparişler[[#This Row],[Sipariş Alınan Tarih]])</f>
        <v>6</v>
      </c>
      <c r="C711" s="6">
        <v>44228</v>
      </c>
      <c r="D711" s="7" t="s">
        <v>95</v>
      </c>
      <c r="E711" s="7">
        <v>35189</v>
      </c>
      <c r="F711" s="7" t="s">
        <v>111</v>
      </c>
      <c r="G711" s="7" t="s">
        <v>98</v>
      </c>
      <c r="H711" s="7" t="s">
        <v>103</v>
      </c>
      <c r="I711" s="7">
        <v>1</v>
      </c>
      <c r="J711" s="8">
        <f>IFERROR(VLOOKUP(Tbl_Siparişler[[#This Row],[Kategori]]&amp;"-"&amp;Tbl_Siparişler[[#This Row],[Ürün Adı]],Tbl_Ürünler[],11,0)*Tbl_Siparişler[[#This Row],[Adet]],"")</f>
        <v>5962.5</v>
      </c>
    </row>
    <row r="712" spans="2:10" ht="27" customHeight="1" x14ac:dyDescent="0.4">
      <c r="B712" s="9">
        <f>WEEKNUM(Tbl_Siparişler[[#This Row],[Sipariş Alınan Tarih]])</f>
        <v>8</v>
      </c>
      <c r="C712" s="6">
        <v>44243</v>
      </c>
      <c r="D712" s="7" t="s">
        <v>27</v>
      </c>
      <c r="E712" s="7">
        <v>97982</v>
      </c>
      <c r="F712" s="7" t="s">
        <v>116</v>
      </c>
      <c r="G712" s="7" t="s">
        <v>43</v>
      </c>
      <c r="H712" s="7" t="s">
        <v>50</v>
      </c>
      <c r="I712" s="7">
        <v>1</v>
      </c>
      <c r="J712" s="8">
        <f>IFERROR(VLOOKUP(Tbl_Siparişler[[#This Row],[Kategori]]&amp;"-"&amp;Tbl_Siparişler[[#This Row],[Ürün Adı]],Tbl_Ürünler[],11,0)*Tbl_Siparişler[[#This Row],[Adet]],"")</f>
        <v>6458.1</v>
      </c>
    </row>
    <row r="713" spans="2:10" ht="27" customHeight="1" x14ac:dyDescent="0.4">
      <c r="B713" s="9">
        <f>WEEKNUM(Tbl_Siparişler[[#This Row],[Sipariş Alınan Tarih]])</f>
        <v>22</v>
      </c>
      <c r="C713" s="6">
        <v>44344</v>
      </c>
      <c r="D713" s="7" t="s">
        <v>28</v>
      </c>
      <c r="E713" s="7">
        <v>81709</v>
      </c>
      <c r="F713" s="7" t="s">
        <v>115</v>
      </c>
      <c r="G713" s="7" t="s">
        <v>47</v>
      </c>
      <c r="H713" s="7" t="s">
        <v>49</v>
      </c>
      <c r="I713" s="7">
        <v>1</v>
      </c>
      <c r="J713" s="8">
        <f>IFERROR(VLOOKUP(Tbl_Siparişler[[#This Row],[Kategori]]&amp;"-"&amp;Tbl_Siparişler[[#This Row],[Ürün Adı]],Tbl_Ürünler[],11,0)*Tbl_Siparişler[[#This Row],[Adet]],"")</f>
        <v>9569.75</v>
      </c>
    </row>
    <row r="714" spans="2:10" ht="27" customHeight="1" x14ac:dyDescent="0.4">
      <c r="B714" s="9">
        <f>WEEKNUM(Tbl_Siparişler[[#This Row],[Sipariş Alınan Tarih]])</f>
        <v>22</v>
      </c>
      <c r="C714" s="6">
        <v>44343</v>
      </c>
      <c r="D714" s="7" t="s">
        <v>106</v>
      </c>
      <c r="E714" s="7">
        <v>22748</v>
      </c>
      <c r="F714" s="7" t="s">
        <v>118</v>
      </c>
      <c r="G714" s="7" t="s">
        <v>98</v>
      </c>
      <c r="H714" s="7" t="s">
        <v>99</v>
      </c>
      <c r="I714" s="7">
        <v>5</v>
      </c>
      <c r="J714" s="8">
        <f>IFERROR(VLOOKUP(Tbl_Siparişler[[#This Row],[Kategori]]&amp;"-"&amp;Tbl_Siparişler[[#This Row],[Ürün Adı]],Tbl_Ürünler[],11,0)*Tbl_Siparişler[[#This Row],[Adet]],"")</f>
        <v>20708.150000000001</v>
      </c>
    </row>
    <row r="715" spans="2:10" ht="27" customHeight="1" x14ac:dyDescent="0.4">
      <c r="B715" s="9">
        <f>WEEKNUM(Tbl_Siparişler[[#This Row],[Sipariş Alınan Tarih]])</f>
        <v>6</v>
      </c>
      <c r="C715" s="6">
        <v>44230</v>
      </c>
      <c r="D715" s="7" t="s">
        <v>26</v>
      </c>
      <c r="E715" s="7">
        <v>55283</v>
      </c>
      <c r="F715" s="7" t="s">
        <v>109</v>
      </c>
      <c r="G715" s="7" t="s">
        <v>98</v>
      </c>
      <c r="H715" s="7" t="s">
        <v>99</v>
      </c>
      <c r="I715" s="7">
        <v>2</v>
      </c>
      <c r="J715" s="8">
        <f>IFERROR(VLOOKUP(Tbl_Siparişler[[#This Row],[Kategori]]&amp;"-"&amp;Tbl_Siparişler[[#This Row],[Ürün Adı]],Tbl_Ürünler[],11,0)*Tbl_Siparişler[[#This Row],[Adet]],"")</f>
        <v>8283.26</v>
      </c>
    </row>
    <row r="716" spans="2:10" ht="27" customHeight="1" x14ac:dyDescent="0.4">
      <c r="B716" s="9">
        <f>WEEKNUM(Tbl_Siparişler[[#This Row],[Sipariş Alınan Tarih]])</f>
        <v>11</v>
      </c>
      <c r="C716" s="6">
        <v>44268</v>
      </c>
      <c r="D716" s="7" t="s">
        <v>27</v>
      </c>
      <c r="E716" s="7">
        <v>56339</v>
      </c>
      <c r="F716" s="7" t="s">
        <v>109</v>
      </c>
      <c r="G716" s="7" t="s">
        <v>47</v>
      </c>
      <c r="H716" s="7" t="s">
        <v>48</v>
      </c>
      <c r="I716" s="7">
        <v>4</v>
      </c>
      <c r="J716" s="8">
        <f>IFERROR(VLOOKUP(Tbl_Siparişler[[#This Row],[Kategori]]&amp;"-"&amp;Tbl_Siparişler[[#This Row],[Ürün Adı]],Tbl_Ürünler[],11,0)*Tbl_Siparişler[[#This Row],[Adet]],"")</f>
        <v>32214</v>
      </c>
    </row>
    <row r="717" spans="2:10" ht="27" customHeight="1" x14ac:dyDescent="0.4">
      <c r="B717" s="9">
        <f>WEEKNUM(Tbl_Siparişler[[#This Row],[Sipariş Alınan Tarih]])</f>
        <v>1</v>
      </c>
      <c r="C717" s="6">
        <v>44197</v>
      </c>
      <c r="D717" s="7" t="s">
        <v>27</v>
      </c>
      <c r="E717" s="7">
        <v>31542</v>
      </c>
      <c r="F717" s="7" t="s">
        <v>111</v>
      </c>
      <c r="G717" s="7" t="s">
        <v>98</v>
      </c>
      <c r="H717" s="7" t="s">
        <v>99</v>
      </c>
      <c r="I717" s="7">
        <v>4</v>
      </c>
      <c r="J717" s="8">
        <f>IFERROR(VLOOKUP(Tbl_Siparişler[[#This Row],[Kategori]]&amp;"-"&amp;Tbl_Siparişler[[#This Row],[Ürün Adı]],Tbl_Ürünler[],11,0)*Tbl_Siparişler[[#This Row],[Adet]],"")</f>
        <v>16566.52</v>
      </c>
    </row>
    <row r="718" spans="2:10" ht="27" customHeight="1" x14ac:dyDescent="0.4">
      <c r="B718" s="9">
        <f>WEEKNUM(Tbl_Siparişler[[#This Row],[Sipariş Alınan Tarih]])</f>
        <v>36</v>
      </c>
      <c r="C718" s="6">
        <v>44443</v>
      </c>
      <c r="D718" s="7" t="s">
        <v>27</v>
      </c>
      <c r="E718" s="7">
        <v>59398</v>
      </c>
      <c r="F718" s="7" t="s">
        <v>118</v>
      </c>
      <c r="G718" s="7" t="s">
        <v>43</v>
      </c>
      <c r="H718" s="7" t="s">
        <v>46</v>
      </c>
      <c r="I718" s="7">
        <v>1</v>
      </c>
      <c r="J718" s="8">
        <f>IFERROR(VLOOKUP(Tbl_Siparişler[[#This Row],[Kategori]]&amp;"-"&amp;Tbl_Siparişler[[#This Row],[Ürün Adı]],Tbl_Ürünler[],11,0)*Tbl_Siparişler[[#This Row],[Adet]],"")</f>
        <v>13343.400000000001</v>
      </c>
    </row>
    <row r="719" spans="2:10" ht="27" customHeight="1" x14ac:dyDescent="0.4">
      <c r="B719" s="9">
        <f>WEEKNUM(Tbl_Siparişler[[#This Row],[Sipariş Alınan Tarih]])</f>
        <v>38</v>
      </c>
      <c r="C719" s="6">
        <v>44454</v>
      </c>
      <c r="D719" s="7" t="s">
        <v>28</v>
      </c>
      <c r="E719" s="7">
        <v>61103</v>
      </c>
      <c r="F719" s="7" t="s">
        <v>112</v>
      </c>
      <c r="G719" s="7" t="s">
        <v>43</v>
      </c>
      <c r="H719" s="7" t="s">
        <v>45</v>
      </c>
      <c r="I719" s="7">
        <v>1</v>
      </c>
      <c r="J719" s="8">
        <f>IFERROR(VLOOKUP(Tbl_Siparişler[[#This Row],[Kategori]]&amp;"-"&amp;Tbl_Siparişler[[#This Row],[Ürün Adı]],Tbl_Ürünler[],11,0)*Tbl_Siparişler[[#This Row],[Adet]],"")</f>
        <v>9659.4</v>
      </c>
    </row>
    <row r="720" spans="2:10" ht="27" customHeight="1" x14ac:dyDescent="0.4">
      <c r="B720" s="9">
        <f>WEEKNUM(Tbl_Siparişler[[#This Row],[Sipariş Alınan Tarih]])</f>
        <v>30</v>
      </c>
      <c r="C720" s="6">
        <v>44398</v>
      </c>
      <c r="D720" s="7" t="s">
        <v>26</v>
      </c>
      <c r="E720" s="7">
        <v>20684</v>
      </c>
      <c r="F720" s="7" t="s">
        <v>108</v>
      </c>
      <c r="G720" s="7" t="s">
        <v>98</v>
      </c>
      <c r="H720" s="7" t="s">
        <v>99</v>
      </c>
      <c r="I720" s="7">
        <v>4</v>
      </c>
      <c r="J720" s="8">
        <f>IFERROR(VLOOKUP(Tbl_Siparişler[[#This Row],[Kategori]]&amp;"-"&amp;Tbl_Siparişler[[#This Row],[Ürün Adı]],Tbl_Ürünler[],11,0)*Tbl_Siparişler[[#This Row],[Adet]],"")</f>
        <v>16566.52</v>
      </c>
    </row>
    <row r="721" spans="2:10" ht="27" customHeight="1" x14ac:dyDescent="0.4">
      <c r="B721" s="9">
        <f>WEEKNUM(Tbl_Siparişler[[#This Row],[Sipariş Alınan Tarih]])</f>
        <v>47</v>
      </c>
      <c r="C721" s="6">
        <v>44520</v>
      </c>
      <c r="D721" s="7" t="s">
        <v>95</v>
      </c>
      <c r="E721" s="7">
        <v>57547</v>
      </c>
      <c r="F721" s="7" t="s">
        <v>109</v>
      </c>
      <c r="G721" s="7" t="s">
        <v>43</v>
      </c>
      <c r="H721" s="7" t="s">
        <v>45</v>
      </c>
      <c r="I721" s="7">
        <v>5</v>
      </c>
      <c r="J721" s="8">
        <f>IFERROR(VLOOKUP(Tbl_Siparişler[[#This Row],[Kategori]]&amp;"-"&amp;Tbl_Siparişler[[#This Row],[Ürün Adı]],Tbl_Ürünler[],11,0)*Tbl_Siparişler[[#This Row],[Adet]],"")</f>
        <v>48297</v>
      </c>
    </row>
    <row r="722" spans="2:10" ht="27" customHeight="1" x14ac:dyDescent="0.4">
      <c r="B722" s="9">
        <f>WEEKNUM(Tbl_Siparişler[[#This Row],[Sipariş Alınan Tarih]])</f>
        <v>41</v>
      </c>
      <c r="C722" s="6">
        <v>44474</v>
      </c>
      <c r="D722" s="7" t="s">
        <v>25</v>
      </c>
      <c r="E722" s="7">
        <v>15056</v>
      </c>
      <c r="F722" s="7" t="s">
        <v>118</v>
      </c>
      <c r="G722" s="7" t="s">
        <v>43</v>
      </c>
      <c r="H722" s="7" t="s">
        <v>44</v>
      </c>
      <c r="I722" s="7">
        <v>2</v>
      </c>
      <c r="J722" s="8">
        <f>IFERROR(VLOOKUP(Tbl_Siparişler[[#This Row],[Kategori]]&amp;"-"&amp;Tbl_Siparişler[[#This Row],[Ürün Adı]],Tbl_Ürünler[],11,0)*Tbl_Siparişler[[#This Row],[Adet]],"")</f>
        <v>17829.2</v>
      </c>
    </row>
    <row r="723" spans="2:10" ht="27" customHeight="1" x14ac:dyDescent="0.4">
      <c r="B723" s="9">
        <f>WEEKNUM(Tbl_Siparişler[[#This Row],[Sipariş Alınan Tarih]])</f>
        <v>43</v>
      </c>
      <c r="C723" s="6">
        <v>44492</v>
      </c>
      <c r="D723" s="7" t="s">
        <v>27</v>
      </c>
      <c r="E723" s="7">
        <v>27204</v>
      </c>
      <c r="F723" s="7" t="s">
        <v>110</v>
      </c>
      <c r="G723" s="7" t="s">
        <v>43</v>
      </c>
      <c r="H723" s="7" t="s">
        <v>44</v>
      </c>
      <c r="I723" s="7">
        <v>5</v>
      </c>
      <c r="J723" s="8">
        <f>IFERROR(VLOOKUP(Tbl_Siparişler[[#This Row],[Kategori]]&amp;"-"&amp;Tbl_Siparişler[[#This Row],[Ürün Adı]],Tbl_Ürünler[],11,0)*Tbl_Siparişler[[#This Row],[Adet]],"")</f>
        <v>44573</v>
      </c>
    </row>
    <row r="724" spans="2:10" ht="27" customHeight="1" x14ac:dyDescent="0.4">
      <c r="B724" s="9">
        <f>WEEKNUM(Tbl_Siparişler[[#This Row],[Sipariş Alınan Tarih]])</f>
        <v>13</v>
      </c>
      <c r="C724" s="6">
        <v>44281</v>
      </c>
      <c r="D724" s="7" t="s">
        <v>95</v>
      </c>
      <c r="E724" s="7">
        <v>51087</v>
      </c>
      <c r="F724" s="7" t="s">
        <v>118</v>
      </c>
      <c r="G724" s="7" t="s">
        <v>43</v>
      </c>
      <c r="H724" s="7" t="s">
        <v>46</v>
      </c>
      <c r="I724" s="7">
        <v>4</v>
      </c>
      <c r="J724" s="8">
        <f>IFERROR(VLOOKUP(Tbl_Siparişler[[#This Row],[Kategori]]&amp;"-"&amp;Tbl_Siparişler[[#This Row],[Ürün Adı]],Tbl_Ürünler[],11,0)*Tbl_Siparişler[[#This Row],[Adet]],"")</f>
        <v>53373.600000000006</v>
      </c>
    </row>
    <row r="725" spans="2:10" ht="27" customHeight="1" x14ac:dyDescent="0.4">
      <c r="B725" s="9">
        <f>WEEKNUM(Tbl_Siparişler[[#This Row],[Sipariş Alınan Tarih]])</f>
        <v>9</v>
      </c>
      <c r="C725" s="6">
        <v>44254</v>
      </c>
      <c r="D725" s="7" t="s">
        <v>28</v>
      </c>
      <c r="E725" s="7">
        <v>19381</v>
      </c>
      <c r="F725" s="7" t="s">
        <v>111</v>
      </c>
      <c r="G725" s="7" t="s">
        <v>43</v>
      </c>
      <c r="H725" s="7" t="s">
        <v>50</v>
      </c>
      <c r="I725" s="7">
        <v>2</v>
      </c>
      <c r="J725" s="8">
        <f>IFERROR(VLOOKUP(Tbl_Siparişler[[#This Row],[Kategori]]&amp;"-"&amp;Tbl_Siparişler[[#This Row],[Ürün Adı]],Tbl_Ürünler[],11,0)*Tbl_Siparişler[[#This Row],[Adet]],"")</f>
        <v>12916.2</v>
      </c>
    </row>
    <row r="726" spans="2:10" ht="27" customHeight="1" x14ac:dyDescent="0.4">
      <c r="B726" s="9">
        <f>WEEKNUM(Tbl_Siparişler[[#This Row],[Sipariş Alınan Tarih]])</f>
        <v>41</v>
      </c>
      <c r="C726" s="6">
        <v>44476</v>
      </c>
      <c r="D726" s="7" t="s">
        <v>26</v>
      </c>
      <c r="E726" s="7">
        <v>14754</v>
      </c>
      <c r="F726" s="7" t="s">
        <v>118</v>
      </c>
      <c r="G726" s="7" t="s">
        <v>29</v>
      </c>
      <c r="H726" s="7" t="s">
        <v>42</v>
      </c>
      <c r="I726" s="7">
        <v>5</v>
      </c>
      <c r="J726" s="8">
        <f>IFERROR(VLOOKUP(Tbl_Siparişler[[#This Row],[Kategori]]&amp;"-"&amp;Tbl_Siparişler[[#This Row],[Ürün Adı]],Tbl_Ürünler[],11,0)*Tbl_Siparişler[[#This Row],[Adet]],"")</f>
        <v>70330</v>
      </c>
    </row>
    <row r="727" spans="2:10" ht="27" customHeight="1" x14ac:dyDescent="0.4">
      <c r="B727" s="9">
        <f>WEEKNUM(Tbl_Siparişler[[#This Row],[Sipariş Alınan Tarih]])</f>
        <v>17</v>
      </c>
      <c r="C727" s="6">
        <v>44309</v>
      </c>
      <c r="D727" s="7" t="s">
        <v>26</v>
      </c>
      <c r="E727" s="7">
        <v>44792</v>
      </c>
      <c r="F727" s="7" t="s">
        <v>117</v>
      </c>
      <c r="G727" s="7" t="s">
        <v>98</v>
      </c>
      <c r="H727" s="7" t="s">
        <v>103</v>
      </c>
      <c r="I727" s="7">
        <v>5</v>
      </c>
      <c r="J727" s="8">
        <f>IFERROR(VLOOKUP(Tbl_Siparişler[[#This Row],[Kategori]]&amp;"-"&amp;Tbl_Siparişler[[#This Row],[Ürün Adı]],Tbl_Ürünler[],11,0)*Tbl_Siparişler[[#This Row],[Adet]],"")</f>
        <v>29812.5</v>
      </c>
    </row>
    <row r="728" spans="2:10" ht="27" customHeight="1" x14ac:dyDescent="0.4">
      <c r="B728" s="9">
        <f>WEEKNUM(Tbl_Siparişler[[#This Row],[Sipariş Alınan Tarih]])</f>
        <v>23</v>
      </c>
      <c r="C728" s="6">
        <v>44350</v>
      </c>
      <c r="D728" s="7" t="s">
        <v>28</v>
      </c>
      <c r="E728" s="7">
        <v>53822</v>
      </c>
      <c r="F728" s="7" t="s">
        <v>114</v>
      </c>
      <c r="G728" s="7" t="s">
        <v>29</v>
      </c>
      <c r="H728" s="7" t="s">
        <v>42</v>
      </c>
      <c r="I728" s="7">
        <v>1</v>
      </c>
      <c r="J728" s="8">
        <f>IFERROR(VLOOKUP(Tbl_Siparişler[[#This Row],[Kategori]]&amp;"-"&amp;Tbl_Siparişler[[#This Row],[Ürün Adı]],Tbl_Ürünler[],11,0)*Tbl_Siparişler[[#This Row],[Adet]],"")</f>
        <v>14066</v>
      </c>
    </row>
    <row r="729" spans="2:10" ht="27" customHeight="1" x14ac:dyDescent="0.4">
      <c r="B729" s="9">
        <f>WEEKNUM(Tbl_Siparişler[[#This Row],[Sipariş Alınan Tarih]])</f>
        <v>52</v>
      </c>
      <c r="C729" s="6">
        <v>44554</v>
      </c>
      <c r="D729" s="7" t="s">
        <v>26</v>
      </c>
      <c r="E729" s="7">
        <v>68674</v>
      </c>
      <c r="F729" s="7" t="s">
        <v>110</v>
      </c>
      <c r="G729" s="7" t="s">
        <v>98</v>
      </c>
      <c r="H729" s="7" t="s">
        <v>99</v>
      </c>
      <c r="I729" s="7">
        <v>5</v>
      </c>
      <c r="J729" s="8">
        <f>IFERROR(VLOOKUP(Tbl_Siparişler[[#This Row],[Kategori]]&amp;"-"&amp;Tbl_Siparişler[[#This Row],[Ürün Adı]],Tbl_Ürünler[],11,0)*Tbl_Siparişler[[#This Row],[Adet]],"")</f>
        <v>20708.150000000001</v>
      </c>
    </row>
    <row r="730" spans="2:10" ht="27" customHeight="1" x14ac:dyDescent="0.4">
      <c r="B730" s="9">
        <f>WEEKNUM(Tbl_Siparişler[[#This Row],[Sipariş Alınan Tarih]])</f>
        <v>29</v>
      </c>
      <c r="C730" s="6">
        <v>44388</v>
      </c>
      <c r="D730" s="7" t="s">
        <v>28</v>
      </c>
      <c r="E730" s="7">
        <v>20576</v>
      </c>
      <c r="F730" s="7" t="s">
        <v>110</v>
      </c>
      <c r="G730" s="7" t="s">
        <v>98</v>
      </c>
      <c r="H730" s="7" t="s">
        <v>99</v>
      </c>
      <c r="I730" s="7">
        <v>3</v>
      </c>
      <c r="J730" s="8">
        <f>IFERROR(VLOOKUP(Tbl_Siparişler[[#This Row],[Kategori]]&amp;"-"&amp;Tbl_Siparişler[[#This Row],[Ürün Adı]],Tbl_Ürünler[],11,0)*Tbl_Siparişler[[#This Row],[Adet]],"")</f>
        <v>12424.89</v>
      </c>
    </row>
    <row r="731" spans="2:10" ht="27" customHeight="1" x14ac:dyDescent="0.4">
      <c r="B731" s="9">
        <f>WEEKNUM(Tbl_Siparişler[[#This Row],[Sipariş Alınan Tarih]])</f>
        <v>27</v>
      </c>
      <c r="C731" s="6">
        <v>44375</v>
      </c>
      <c r="D731" s="7" t="s">
        <v>106</v>
      </c>
      <c r="E731" s="7">
        <v>94874</v>
      </c>
      <c r="F731" s="7" t="s">
        <v>118</v>
      </c>
      <c r="G731" s="7" t="s">
        <v>98</v>
      </c>
      <c r="H731" s="7" t="s">
        <v>100</v>
      </c>
      <c r="I731" s="7">
        <v>3</v>
      </c>
      <c r="J731" s="8">
        <f>IFERROR(VLOOKUP(Tbl_Siparişler[[#This Row],[Kategori]]&amp;"-"&amp;Tbl_Siparişler[[#This Row],[Ürün Adı]],Tbl_Ürünler[],11,0)*Tbl_Siparişler[[#This Row],[Adet]],"")</f>
        <v>27705.600000000002</v>
      </c>
    </row>
    <row r="732" spans="2:10" ht="27" customHeight="1" x14ac:dyDescent="0.4">
      <c r="B732" s="9">
        <f>WEEKNUM(Tbl_Siparişler[[#This Row],[Sipariş Alınan Tarih]])</f>
        <v>45</v>
      </c>
      <c r="C732" s="6">
        <v>44501</v>
      </c>
      <c r="D732" s="7" t="s">
        <v>24</v>
      </c>
      <c r="E732" s="7">
        <v>51775</v>
      </c>
      <c r="F732" s="7" t="s">
        <v>118</v>
      </c>
      <c r="G732" s="7" t="s">
        <v>29</v>
      </c>
      <c r="H732" s="7" t="s">
        <v>37</v>
      </c>
      <c r="I732" s="7">
        <v>1</v>
      </c>
      <c r="J732" s="8">
        <f>IFERROR(VLOOKUP(Tbl_Siparişler[[#This Row],[Kategori]]&amp;"-"&amp;Tbl_Siparişler[[#This Row],[Ürün Adı]],Tbl_Ürünler[],11,0)*Tbl_Siparişler[[#This Row],[Adet]],"")</f>
        <v>9800.4500000000007</v>
      </c>
    </row>
    <row r="733" spans="2:10" ht="27" customHeight="1" x14ac:dyDescent="0.4">
      <c r="B733" s="9">
        <f>WEEKNUM(Tbl_Siparişler[[#This Row],[Sipariş Alınan Tarih]])</f>
        <v>23</v>
      </c>
      <c r="C733" s="6">
        <v>44348</v>
      </c>
      <c r="D733" s="7" t="s">
        <v>28</v>
      </c>
      <c r="E733" s="7">
        <v>57272</v>
      </c>
      <c r="F733" s="7" t="s">
        <v>107</v>
      </c>
      <c r="G733" s="7" t="s">
        <v>98</v>
      </c>
      <c r="H733" s="7" t="s">
        <v>99</v>
      </c>
      <c r="I733" s="7">
        <v>3</v>
      </c>
      <c r="J733" s="8">
        <f>IFERROR(VLOOKUP(Tbl_Siparişler[[#This Row],[Kategori]]&amp;"-"&amp;Tbl_Siparişler[[#This Row],[Ürün Adı]],Tbl_Ürünler[],11,0)*Tbl_Siparişler[[#This Row],[Adet]],"")</f>
        <v>12424.89</v>
      </c>
    </row>
    <row r="734" spans="2:10" ht="27" customHeight="1" x14ac:dyDescent="0.4">
      <c r="B734" s="9">
        <f>WEEKNUM(Tbl_Siparişler[[#This Row],[Sipariş Alınan Tarih]])</f>
        <v>36</v>
      </c>
      <c r="C734" s="6">
        <v>44441</v>
      </c>
      <c r="D734" s="7" t="s">
        <v>106</v>
      </c>
      <c r="E734" s="7">
        <v>10054</v>
      </c>
      <c r="F734" s="7" t="s">
        <v>115</v>
      </c>
      <c r="G734" s="7" t="s">
        <v>43</v>
      </c>
      <c r="H734" s="7" t="s">
        <v>50</v>
      </c>
      <c r="I734" s="7">
        <v>1</v>
      </c>
      <c r="J734" s="8">
        <f>IFERROR(VLOOKUP(Tbl_Siparişler[[#This Row],[Kategori]]&amp;"-"&amp;Tbl_Siparişler[[#This Row],[Ürün Adı]],Tbl_Ürünler[],11,0)*Tbl_Siparişler[[#This Row],[Adet]],"")</f>
        <v>6458.1</v>
      </c>
    </row>
    <row r="735" spans="2:10" ht="27" customHeight="1" x14ac:dyDescent="0.4">
      <c r="B735" s="9">
        <f>WEEKNUM(Tbl_Siparişler[[#This Row],[Sipariş Alınan Tarih]])</f>
        <v>35</v>
      </c>
      <c r="C735" s="6">
        <v>44432</v>
      </c>
      <c r="D735" s="7" t="s">
        <v>25</v>
      </c>
      <c r="E735" s="7">
        <v>78912</v>
      </c>
      <c r="F735" s="7" t="s">
        <v>107</v>
      </c>
      <c r="G735" s="7" t="s">
        <v>43</v>
      </c>
      <c r="H735" s="7" t="s">
        <v>45</v>
      </c>
      <c r="I735" s="7">
        <v>2</v>
      </c>
      <c r="J735" s="8">
        <f>IFERROR(VLOOKUP(Tbl_Siparişler[[#This Row],[Kategori]]&amp;"-"&amp;Tbl_Siparişler[[#This Row],[Ürün Adı]],Tbl_Ürünler[],11,0)*Tbl_Siparişler[[#This Row],[Adet]],"")</f>
        <v>19318.8</v>
      </c>
    </row>
    <row r="736" spans="2:10" ht="27" customHeight="1" x14ac:dyDescent="0.4">
      <c r="B736" s="9">
        <f>WEEKNUM(Tbl_Siparişler[[#This Row],[Sipariş Alınan Tarih]])</f>
        <v>42</v>
      </c>
      <c r="C736" s="6">
        <v>44479</v>
      </c>
      <c r="D736" s="7" t="s">
        <v>26</v>
      </c>
      <c r="E736" s="7">
        <v>51778</v>
      </c>
      <c r="F736" s="7" t="s">
        <v>117</v>
      </c>
      <c r="G736" s="7" t="s">
        <v>98</v>
      </c>
      <c r="H736" s="7" t="s">
        <v>103</v>
      </c>
      <c r="I736" s="7">
        <v>4</v>
      </c>
      <c r="J736" s="8">
        <f>IFERROR(VLOOKUP(Tbl_Siparişler[[#This Row],[Kategori]]&amp;"-"&amp;Tbl_Siparişler[[#This Row],[Ürün Adı]],Tbl_Ürünler[],11,0)*Tbl_Siparişler[[#This Row],[Adet]],"")</f>
        <v>23850</v>
      </c>
    </row>
    <row r="737" spans="2:10" ht="27" customHeight="1" x14ac:dyDescent="0.4">
      <c r="B737" s="9">
        <f>WEEKNUM(Tbl_Siparişler[[#This Row],[Sipariş Alınan Tarih]])</f>
        <v>6</v>
      </c>
      <c r="C737" s="6">
        <v>44228</v>
      </c>
      <c r="D737" s="7" t="s">
        <v>28</v>
      </c>
      <c r="E737" s="7">
        <v>40952</v>
      </c>
      <c r="F737" s="7" t="s">
        <v>117</v>
      </c>
      <c r="G737" s="7" t="s">
        <v>98</v>
      </c>
      <c r="H737" s="7" t="s">
        <v>99</v>
      </c>
      <c r="I737" s="7">
        <v>2</v>
      </c>
      <c r="J737" s="8">
        <f>IFERROR(VLOOKUP(Tbl_Siparişler[[#This Row],[Kategori]]&amp;"-"&amp;Tbl_Siparişler[[#This Row],[Ürün Adı]],Tbl_Ürünler[],11,0)*Tbl_Siparişler[[#This Row],[Adet]],"")</f>
        <v>8283.26</v>
      </c>
    </row>
    <row r="738" spans="2:10" ht="27" customHeight="1" x14ac:dyDescent="0.4">
      <c r="B738" s="9">
        <f>WEEKNUM(Tbl_Siparişler[[#This Row],[Sipariş Alınan Tarih]])</f>
        <v>33</v>
      </c>
      <c r="C738" s="6">
        <v>44422</v>
      </c>
      <c r="D738" s="7" t="s">
        <v>95</v>
      </c>
      <c r="E738" s="7">
        <v>31828</v>
      </c>
      <c r="F738" s="7" t="s">
        <v>117</v>
      </c>
      <c r="G738" s="7" t="s">
        <v>47</v>
      </c>
      <c r="H738" s="7" t="s">
        <v>49</v>
      </c>
      <c r="I738" s="7">
        <v>4</v>
      </c>
      <c r="J738" s="8">
        <f>IFERROR(VLOOKUP(Tbl_Siparişler[[#This Row],[Kategori]]&amp;"-"&amp;Tbl_Siparişler[[#This Row],[Ürün Adı]],Tbl_Ürünler[],11,0)*Tbl_Siparişler[[#This Row],[Adet]],"")</f>
        <v>38279</v>
      </c>
    </row>
    <row r="739" spans="2:10" ht="27" customHeight="1" x14ac:dyDescent="0.4">
      <c r="B739" s="9">
        <f>WEEKNUM(Tbl_Siparişler[[#This Row],[Sipariş Alınan Tarih]])</f>
        <v>12</v>
      </c>
      <c r="C739" s="6">
        <v>44274</v>
      </c>
      <c r="D739" s="7" t="s">
        <v>28</v>
      </c>
      <c r="E739" s="7">
        <v>51599</v>
      </c>
      <c r="F739" s="7" t="s">
        <v>111</v>
      </c>
      <c r="G739" s="7" t="s">
        <v>98</v>
      </c>
      <c r="H739" s="7" t="s">
        <v>103</v>
      </c>
      <c r="I739" s="7">
        <v>3</v>
      </c>
      <c r="J739" s="8">
        <f>IFERROR(VLOOKUP(Tbl_Siparişler[[#This Row],[Kategori]]&amp;"-"&amp;Tbl_Siparişler[[#This Row],[Ürün Adı]],Tbl_Ürünler[],11,0)*Tbl_Siparişler[[#This Row],[Adet]],"")</f>
        <v>17887.5</v>
      </c>
    </row>
    <row r="740" spans="2:10" ht="27" customHeight="1" x14ac:dyDescent="0.4">
      <c r="B740" s="9">
        <f>WEEKNUM(Tbl_Siparişler[[#This Row],[Sipariş Alınan Tarih]])</f>
        <v>35</v>
      </c>
      <c r="C740" s="6">
        <v>44435</v>
      </c>
      <c r="D740" s="7" t="s">
        <v>28</v>
      </c>
      <c r="E740" s="7">
        <v>44129</v>
      </c>
      <c r="F740" s="7" t="s">
        <v>108</v>
      </c>
      <c r="G740" s="7" t="s">
        <v>98</v>
      </c>
      <c r="H740" s="7" t="s">
        <v>99</v>
      </c>
      <c r="I740" s="7">
        <v>2</v>
      </c>
      <c r="J740" s="8">
        <f>IFERROR(VLOOKUP(Tbl_Siparişler[[#This Row],[Kategori]]&amp;"-"&amp;Tbl_Siparişler[[#This Row],[Ürün Adı]],Tbl_Ürünler[],11,0)*Tbl_Siparişler[[#This Row],[Adet]],"")</f>
        <v>8283.26</v>
      </c>
    </row>
    <row r="741" spans="2:10" ht="27" customHeight="1" x14ac:dyDescent="0.4">
      <c r="B741" s="9">
        <f>WEEKNUM(Tbl_Siparişler[[#This Row],[Sipariş Alınan Tarih]])</f>
        <v>37</v>
      </c>
      <c r="C741" s="6">
        <v>44446</v>
      </c>
      <c r="D741" s="7" t="s">
        <v>27</v>
      </c>
      <c r="E741" s="7">
        <v>70043</v>
      </c>
      <c r="F741" s="7" t="s">
        <v>117</v>
      </c>
      <c r="G741" s="7" t="s">
        <v>29</v>
      </c>
      <c r="H741" s="7" t="s">
        <v>41</v>
      </c>
      <c r="I741" s="7">
        <v>3</v>
      </c>
      <c r="J741" s="8">
        <f>IFERROR(VLOOKUP(Tbl_Siparişler[[#This Row],[Kategori]]&amp;"-"&amp;Tbl_Siparişler[[#This Row],[Ürün Adı]],Tbl_Ürünler[],11,0)*Tbl_Siparişler[[#This Row],[Adet]],"")</f>
        <v>37863</v>
      </c>
    </row>
    <row r="742" spans="2:10" ht="27" customHeight="1" x14ac:dyDescent="0.4">
      <c r="B742" s="9">
        <f>WEEKNUM(Tbl_Siparişler[[#This Row],[Sipariş Alınan Tarih]])</f>
        <v>30</v>
      </c>
      <c r="C742" s="6">
        <v>44401</v>
      </c>
      <c r="D742" s="7" t="s">
        <v>95</v>
      </c>
      <c r="E742" s="7">
        <v>13652</v>
      </c>
      <c r="F742" s="7" t="s">
        <v>113</v>
      </c>
      <c r="G742" s="7" t="s">
        <v>47</v>
      </c>
      <c r="H742" s="7" t="s">
        <v>48</v>
      </c>
      <c r="I742" s="7">
        <v>5</v>
      </c>
      <c r="J742" s="8">
        <f>IFERROR(VLOOKUP(Tbl_Siparişler[[#This Row],[Kategori]]&amp;"-"&amp;Tbl_Siparişler[[#This Row],[Ürün Adı]],Tbl_Ürünler[],11,0)*Tbl_Siparişler[[#This Row],[Adet]],"")</f>
        <v>40267.5</v>
      </c>
    </row>
    <row r="743" spans="2:10" ht="27" customHeight="1" x14ac:dyDescent="0.4">
      <c r="B743" s="9">
        <f>WEEKNUM(Tbl_Siparişler[[#This Row],[Sipariş Alınan Tarih]])</f>
        <v>16</v>
      </c>
      <c r="C743" s="6">
        <v>44300</v>
      </c>
      <c r="D743" s="7" t="s">
        <v>25</v>
      </c>
      <c r="E743" s="7">
        <v>27879</v>
      </c>
      <c r="F743" s="7" t="s">
        <v>118</v>
      </c>
      <c r="G743" s="7" t="s">
        <v>47</v>
      </c>
      <c r="H743" s="7" t="s">
        <v>49</v>
      </c>
      <c r="I743" s="7">
        <v>1</v>
      </c>
      <c r="J743" s="8">
        <f>IFERROR(VLOOKUP(Tbl_Siparişler[[#This Row],[Kategori]]&amp;"-"&amp;Tbl_Siparişler[[#This Row],[Ürün Adı]],Tbl_Ürünler[],11,0)*Tbl_Siparişler[[#This Row],[Adet]],"")</f>
        <v>9569.75</v>
      </c>
    </row>
    <row r="744" spans="2:10" ht="27" customHeight="1" x14ac:dyDescent="0.4">
      <c r="B744" s="9">
        <f>WEEKNUM(Tbl_Siparişler[[#This Row],[Sipariş Alınan Tarih]])</f>
        <v>1</v>
      </c>
      <c r="C744" s="6">
        <v>44197</v>
      </c>
      <c r="D744" s="7" t="s">
        <v>24</v>
      </c>
      <c r="E744" s="7">
        <v>15725</v>
      </c>
      <c r="F744" s="7" t="s">
        <v>110</v>
      </c>
      <c r="G744" s="7" t="s">
        <v>47</v>
      </c>
      <c r="H744" s="7" t="s">
        <v>48</v>
      </c>
      <c r="I744" s="7">
        <v>1</v>
      </c>
      <c r="J744" s="8">
        <f>IFERROR(VLOOKUP(Tbl_Siparişler[[#This Row],[Kategori]]&amp;"-"&amp;Tbl_Siparişler[[#This Row],[Ürün Adı]],Tbl_Ürünler[],11,0)*Tbl_Siparişler[[#This Row],[Adet]],"")</f>
        <v>8053.5</v>
      </c>
    </row>
    <row r="745" spans="2:10" ht="27" customHeight="1" x14ac:dyDescent="0.4">
      <c r="B745" s="9">
        <f>WEEKNUM(Tbl_Siparişler[[#This Row],[Sipariş Alınan Tarih]])</f>
        <v>34</v>
      </c>
      <c r="C745" s="6">
        <v>44424</v>
      </c>
      <c r="D745" s="7" t="s">
        <v>27</v>
      </c>
      <c r="E745" s="7">
        <v>88368</v>
      </c>
      <c r="F745" s="7" t="s">
        <v>113</v>
      </c>
      <c r="G745" s="7" t="s">
        <v>47</v>
      </c>
      <c r="H745" s="7" t="s">
        <v>48</v>
      </c>
      <c r="I745" s="7">
        <v>5</v>
      </c>
      <c r="J745" s="8">
        <f>IFERROR(VLOOKUP(Tbl_Siparişler[[#This Row],[Kategori]]&amp;"-"&amp;Tbl_Siparişler[[#This Row],[Ürün Adı]],Tbl_Ürünler[],11,0)*Tbl_Siparişler[[#This Row],[Adet]],"")</f>
        <v>40267.5</v>
      </c>
    </row>
    <row r="746" spans="2:10" ht="27" customHeight="1" x14ac:dyDescent="0.4">
      <c r="B746" s="9">
        <f>WEEKNUM(Tbl_Siparişler[[#This Row],[Sipariş Alınan Tarih]])</f>
        <v>10</v>
      </c>
      <c r="C746" s="6">
        <v>44255</v>
      </c>
      <c r="D746" s="7" t="s">
        <v>24</v>
      </c>
      <c r="E746" s="7">
        <v>91041</v>
      </c>
      <c r="F746" s="7" t="s">
        <v>114</v>
      </c>
      <c r="G746" s="7" t="s">
        <v>98</v>
      </c>
      <c r="H746" s="7" t="s">
        <v>100</v>
      </c>
      <c r="I746" s="7">
        <v>4</v>
      </c>
      <c r="J746" s="8">
        <f>IFERROR(VLOOKUP(Tbl_Siparişler[[#This Row],[Kategori]]&amp;"-"&amp;Tbl_Siparişler[[#This Row],[Ürün Adı]],Tbl_Ürünler[],11,0)*Tbl_Siparişler[[#This Row],[Adet]],"")</f>
        <v>36940.800000000003</v>
      </c>
    </row>
    <row r="747" spans="2:10" ht="27" customHeight="1" x14ac:dyDescent="0.4">
      <c r="B747" s="9">
        <f>WEEKNUM(Tbl_Siparişler[[#This Row],[Sipariş Alınan Tarih]])</f>
        <v>32</v>
      </c>
      <c r="C747" s="6">
        <v>44410</v>
      </c>
      <c r="D747" s="7" t="s">
        <v>27</v>
      </c>
      <c r="E747" s="7">
        <v>39019</v>
      </c>
      <c r="F747" s="7" t="s">
        <v>109</v>
      </c>
      <c r="G747" s="7" t="s">
        <v>43</v>
      </c>
      <c r="H747" s="7" t="s">
        <v>50</v>
      </c>
      <c r="I747" s="7">
        <v>5</v>
      </c>
      <c r="J747" s="8">
        <f>IFERROR(VLOOKUP(Tbl_Siparişler[[#This Row],[Kategori]]&amp;"-"&amp;Tbl_Siparişler[[#This Row],[Ürün Adı]],Tbl_Ürünler[],11,0)*Tbl_Siparişler[[#This Row],[Adet]],"")</f>
        <v>32290.5</v>
      </c>
    </row>
    <row r="748" spans="2:10" ht="27" customHeight="1" x14ac:dyDescent="0.4">
      <c r="B748" s="9">
        <f>WEEKNUM(Tbl_Siparişler[[#This Row],[Sipariş Alınan Tarih]])</f>
        <v>34</v>
      </c>
      <c r="C748" s="6">
        <v>44425</v>
      </c>
      <c r="D748" s="7" t="s">
        <v>26</v>
      </c>
      <c r="E748" s="7">
        <v>41215</v>
      </c>
      <c r="F748" s="7" t="s">
        <v>108</v>
      </c>
      <c r="G748" s="7" t="s">
        <v>98</v>
      </c>
      <c r="H748" s="7" t="s">
        <v>100</v>
      </c>
      <c r="I748" s="7">
        <v>2</v>
      </c>
      <c r="J748" s="8">
        <f>IFERROR(VLOOKUP(Tbl_Siparişler[[#This Row],[Kategori]]&amp;"-"&amp;Tbl_Siparişler[[#This Row],[Ürün Adı]],Tbl_Ürünler[],11,0)*Tbl_Siparişler[[#This Row],[Adet]],"")</f>
        <v>18470.400000000001</v>
      </c>
    </row>
    <row r="749" spans="2:10" ht="27" customHeight="1" x14ac:dyDescent="0.4">
      <c r="B749" s="9">
        <f>WEEKNUM(Tbl_Siparişler[[#This Row],[Sipariş Alınan Tarih]])</f>
        <v>25</v>
      </c>
      <c r="C749" s="6">
        <v>44366</v>
      </c>
      <c r="D749" s="7" t="s">
        <v>106</v>
      </c>
      <c r="E749" s="7">
        <v>78906</v>
      </c>
      <c r="F749" s="7" t="s">
        <v>112</v>
      </c>
      <c r="G749" s="7" t="s">
        <v>43</v>
      </c>
      <c r="H749" s="7" t="s">
        <v>44</v>
      </c>
      <c r="I749" s="7">
        <v>5</v>
      </c>
      <c r="J749" s="8">
        <f>IFERROR(VLOOKUP(Tbl_Siparişler[[#This Row],[Kategori]]&amp;"-"&amp;Tbl_Siparişler[[#This Row],[Ürün Adı]],Tbl_Ürünler[],11,0)*Tbl_Siparişler[[#This Row],[Adet]],"")</f>
        <v>44573</v>
      </c>
    </row>
    <row r="750" spans="2:10" ht="27" customHeight="1" x14ac:dyDescent="0.4">
      <c r="B750" s="9">
        <f>WEEKNUM(Tbl_Siparişler[[#This Row],[Sipariş Alınan Tarih]])</f>
        <v>51</v>
      </c>
      <c r="C750" s="6">
        <v>44545</v>
      </c>
      <c r="D750" s="7" t="s">
        <v>27</v>
      </c>
      <c r="E750" s="7">
        <v>95388</v>
      </c>
      <c r="F750" s="7" t="s">
        <v>113</v>
      </c>
      <c r="G750" s="7" t="s">
        <v>47</v>
      </c>
      <c r="H750" s="7" t="s">
        <v>48</v>
      </c>
      <c r="I750" s="7">
        <v>5</v>
      </c>
      <c r="J750" s="8">
        <f>IFERROR(VLOOKUP(Tbl_Siparişler[[#This Row],[Kategori]]&amp;"-"&amp;Tbl_Siparişler[[#This Row],[Ürün Adı]],Tbl_Ürünler[],11,0)*Tbl_Siparişler[[#This Row],[Adet]],"")</f>
        <v>40267.5</v>
      </c>
    </row>
    <row r="751" spans="2:10" ht="27" customHeight="1" x14ac:dyDescent="0.4">
      <c r="B751" s="9">
        <f>WEEKNUM(Tbl_Siparişler[[#This Row],[Sipariş Alınan Tarih]])</f>
        <v>30</v>
      </c>
      <c r="C751" s="6">
        <v>44400</v>
      </c>
      <c r="D751" s="7" t="s">
        <v>28</v>
      </c>
      <c r="E751" s="7">
        <v>77688</v>
      </c>
      <c r="F751" s="7" t="s">
        <v>111</v>
      </c>
      <c r="G751" s="7" t="s">
        <v>98</v>
      </c>
      <c r="H751" s="7" t="s">
        <v>103</v>
      </c>
      <c r="I751" s="7">
        <v>1</v>
      </c>
      <c r="J751" s="8">
        <f>IFERROR(VLOOKUP(Tbl_Siparişler[[#This Row],[Kategori]]&amp;"-"&amp;Tbl_Siparişler[[#This Row],[Ürün Adı]],Tbl_Ürünler[],11,0)*Tbl_Siparişler[[#This Row],[Adet]],"")</f>
        <v>5962.5</v>
      </c>
    </row>
  </sheetData>
  <dataValidations count="5">
    <dataValidation type="whole" operator="equal" allowBlank="1" showInputMessage="1" showErrorMessage="1" sqref="J5:J751" xr:uid="{49AF2B20-CCE6-4562-9A0B-43FD5D6786B2}">
      <formula1>751</formula1>
    </dataValidation>
    <dataValidation type="list" allowBlank="1" showInputMessage="1" showErrorMessage="1" sqref="D5:D751" xr:uid="{B01687C2-544A-4944-8FE6-F40BC1A3E5FD}">
      <formula1>Lst_Sipariş_Durumları</formula1>
    </dataValidation>
    <dataValidation type="list" allowBlank="1" showInputMessage="1" showErrorMessage="1" sqref="F5:F751" xr:uid="{E2D98656-85A5-433A-A9EA-394835B8CEED}">
      <formula1>Lst_Müşteri_Bilgileri</formula1>
    </dataValidation>
    <dataValidation type="list" allowBlank="1" showInputMessage="1" showErrorMessage="1" sqref="G5:G751" xr:uid="{63031668-823E-4B3A-9609-B02EFEEE060B}">
      <formula1>Lst_Ürün_Kategorileri</formula1>
    </dataValidation>
    <dataValidation type="list" allowBlank="1" showInputMessage="1" showErrorMessage="1" sqref="H5:H751" xr:uid="{79F65F93-A1CD-4019-BF52-EC972A81BE44}">
      <formula1>Lst_Kategori_Ürün_Adları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57B766B6-9DE8-4170-A30C-18B2229CBF71}">
            <xm:f>$D5=Ayarlar!$B$10</xm:f>
            <x14:dxf>
              <fill>
                <patternFill>
                  <bgColor theme="6" tint="0.79998168889431442"/>
                </patternFill>
              </fill>
            </x14:dxf>
          </x14:cfRule>
          <x14:cfRule type="expression" priority="4" id="{F2912947-2C7A-4135-AA79-A203E0309D18}">
            <xm:f>$D5=Ayarlar!$B$8</xm:f>
            <x14:dxf>
              <fill>
                <patternFill>
                  <bgColor rgb="FFFFCCCC"/>
                </patternFill>
              </fill>
            </x14:dxf>
          </x14:cfRule>
          <xm:sqref>C5:I10000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F824-8CFF-44F3-ACE4-7D831ECFF8CD}">
  <sheetPr codeName="Sayfa7"/>
  <dimension ref="A3:C21"/>
  <sheetViews>
    <sheetView zoomScale="115" zoomScaleNormal="115" workbookViewId="0">
      <selection activeCell="A2" sqref="A2"/>
    </sheetView>
  </sheetViews>
  <sheetFormatPr defaultRowHeight="16.8" x14ac:dyDescent="0.4"/>
  <cols>
    <col min="1" max="1" width="20.8984375" bestFit="1" customWidth="1"/>
    <col min="2" max="2" width="11.8984375" bestFit="1" customWidth="1"/>
    <col min="3" max="3" width="18" bestFit="1" customWidth="1"/>
  </cols>
  <sheetData>
    <row r="3" spans="1:3" x14ac:dyDescent="0.4">
      <c r="A3" s="4" t="s">
        <v>119</v>
      </c>
      <c r="B3" t="s">
        <v>121</v>
      </c>
      <c r="C3" t="s">
        <v>122</v>
      </c>
    </row>
    <row r="4" spans="1:3" x14ac:dyDescent="0.4">
      <c r="A4" s="5" t="s">
        <v>29</v>
      </c>
      <c r="B4">
        <v>353</v>
      </c>
      <c r="C4" s="16">
        <v>4087236.75</v>
      </c>
    </row>
    <row r="5" spans="1:3" x14ac:dyDescent="0.4">
      <c r="A5" s="15" t="s">
        <v>37</v>
      </c>
      <c r="B5">
        <v>63</v>
      </c>
      <c r="C5" s="16">
        <v>617428.35</v>
      </c>
    </row>
    <row r="6" spans="1:3" x14ac:dyDescent="0.4">
      <c r="A6" s="15" t="s">
        <v>30</v>
      </c>
      <c r="B6">
        <v>88</v>
      </c>
      <c r="C6" s="16">
        <v>764306.4</v>
      </c>
    </row>
    <row r="7" spans="1:3" x14ac:dyDescent="0.4">
      <c r="A7" s="15" t="s">
        <v>41</v>
      </c>
      <c r="B7">
        <v>94</v>
      </c>
      <c r="C7" s="16">
        <v>1186374</v>
      </c>
    </row>
    <row r="8" spans="1:3" x14ac:dyDescent="0.4">
      <c r="A8" s="15" t="s">
        <v>42</v>
      </c>
      <c r="B8">
        <v>108</v>
      </c>
      <c r="C8" s="16">
        <v>1519128</v>
      </c>
    </row>
    <row r="9" spans="1:3" x14ac:dyDescent="0.4">
      <c r="A9" s="5" t="s">
        <v>98</v>
      </c>
      <c r="B9">
        <v>641</v>
      </c>
      <c r="C9" s="16">
        <v>3948547.5200000005</v>
      </c>
    </row>
    <row r="10" spans="1:3" x14ac:dyDescent="0.4">
      <c r="A10" s="15" t="s">
        <v>99</v>
      </c>
      <c r="B10">
        <v>254</v>
      </c>
      <c r="C10" s="16">
        <v>1051974.0200000007</v>
      </c>
    </row>
    <row r="11" spans="1:3" x14ac:dyDescent="0.4">
      <c r="A11" s="15" t="s">
        <v>103</v>
      </c>
      <c r="B11">
        <v>207</v>
      </c>
      <c r="C11" s="16">
        <v>1234237.5</v>
      </c>
    </row>
    <row r="12" spans="1:3" x14ac:dyDescent="0.4">
      <c r="A12" s="15" t="s">
        <v>100</v>
      </c>
      <c r="B12">
        <v>180</v>
      </c>
      <c r="C12" s="16">
        <v>1662336.0000000002</v>
      </c>
    </row>
    <row r="13" spans="1:3" x14ac:dyDescent="0.4">
      <c r="A13" s="5" t="s">
        <v>43</v>
      </c>
      <c r="B13">
        <v>669</v>
      </c>
      <c r="C13" s="16">
        <v>6219246.4999999991</v>
      </c>
    </row>
    <row r="14" spans="1:3" x14ac:dyDescent="0.4">
      <c r="A14" s="15" t="s">
        <v>50</v>
      </c>
      <c r="B14">
        <v>181</v>
      </c>
      <c r="C14" s="16">
        <v>1168916.0999999999</v>
      </c>
    </row>
    <row r="15" spans="1:3" x14ac:dyDescent="0.4">
      <c r="A15" s="15" t="s">
        <v>45</v>
      </c>
      <c r="B15">
        <v>149</v>
      </c>
      <c r="C15" s="16">
        <v>1439250.5999999999</v>
      </c>
    </row>
    <row r="16" spans="1:3" x14ac:dyDescent="0.4">
      <c r="A16" s="15" t="s">
        <v>46</v>
      </c>
      <c r="B16">
        <v>133</v>
      </c>
      <c r="C16" s="16">
        <v>1774672.2000000002</v>
      </c>
    </row>
    <row r="17" spans="1:3" x14ac:dyDescent="0.4">
      <c r="A17" s="15" t="s">
        <v>44</v>
      </c>
      <c r="B17">
        <v>206</v>
      </c>
      <c r="C17" s="16">
        <v>1836407.5999999994</v>
      </c>
    </row>
    <row r="18" spans="1:3" x14ac:dyDescent="0.4">
      <c r="A18" s="5" t="s">
        <v>47</v>
      </c>
      <c r="B18">
        <v>605</v>
      </c>
      <c r="C18" s="16">
        <v>5295401.25</v>
      </c>
    </row>
    <row r="19" spans="1:3" x14ac:dyDescent="0.4">
      <c r="A19" s="15" t="s">
        <v>48</v>
      </c>
      <c r="B19">
        <v>326</v>
      </c>
      <c r="C19" s="16">
        <v>2625441</v>
      </c>
    </row>
    <row r="20" spans="1:3" x14ac:dyDescent="0.4">
      <c r="A20" s="15" t="s">
        <v>49</v>
      </c>
      <c r="B20">
        <v>279</v>
      </c>
      <c r="C20" s="16">
        <v>2669960.25</v>
      </c>
    </row>
    <row r="21" spans="1:3" x14ac:dyDescent="0.4">
      <c r="A21" s="5" t="s">
        <v>120</v>
      </c>
      <c r="B21">
        <v>2268</v>
      </c>
      <c r="C21" s="16">
        <v>19550432.02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1D76-10DC-410A-92F3-BFEDC33B3C4A}">
  <sheetPr codeName="Sayfa8"/>
  <dimension ref="A3:B74"/>
  <sheetViews>
    <sheetView zoomScale="115" zoomScaleNormal="115" workbookViewId="0">
      <selection activeCell="A2" sqref="A2"/>
    </sheetView>
  </sheetViews>
  <sheetFormatPr defaultRowHeight="16.8" x14ac:dyDescent="0.4"/>
  <cols>
    <col min="1" max="1" width="15" bestFit="1" customWidth="1"/>
    <col min="2" max="2" width="17.8984375" bestFit="1" customWidth="1"/>
    <col min="3" max="3" width="18" bestFit="1" customWidth="1"/>
  </cols>
  <sheetData>
    <row r="3" spans="1:2" x14ac:dyDescent="0.4">
      <c r="A3" s="4" t="s">
        <v>119</v>
      </c>
      <c r="B3" t="s">
        <v>126</v>
      </c>
    </row>
    <row r="4" spans="1:2" x14ac:dyDescent="0.4">
      <c r="A4" s="5" t="s">
        <v>132</v>
      </c>
      <c r="B4">
        <v>65</v>
      </c>
    </row>
    <row r="5" spans="1:2" x14ac:dyDescent="0.4">
      <c r="A5" s="15">
        <v>1</v>
      </c>
      <c r="B5">
        <v>9</v>
      </c>
    </row>
    <row r="6" spans="1:2" x14ac:dyDescent="0.4">
      <c r="A6" s="15">
        <v>2</v>
      </c>
      <c r="B6">
        <v>14</v>
      </c>
    </row>
    <row r="7" spans="1:2" x14ac:dyDescent="0.4">
      <c r="A7" s="15">
        <v>3</v>
      </c>
      <c r="B7">
        <v>18</v>
      </c>
    </row>
    <row r="8" spans="1:2" x14ac:dyDescent="0.4">
      <c r="A8" s="15">
        <v>4</v>
      </c>
      <c r="B8">
        <v>17</v>
      </c>
    </row>
    <row r="9" spans="1:2" x14ac:dyDescent="0.4">
      <c r="A9" s="15">
        <v>5</v>
      </c>
      <c r="B9">
        <v>7</v>
      </c>
    </row>
    <row r="10" spans="1:2" x14ac:dyDescent="0.4">
      <c r="A10" s="5" t="s">
        <v>133</v>
      </c>
      <c r="B10">
        <v>62</v>
      </c>
    </row>
    <row r="11" spans="1:2" x14ac:dyDescent="0.4">
      <c r="A11" s="15">
        <v>6</v>
      </c>
      <c r="B11">
        <v>14</v>
      </c>
    </row>
    <row r="12" spans="1:2" x14ac:dyDescent="0.4">
      <c r="A12" s="15">
        <v>7</v>
      </c>
      <c r="B12">
        <v>7</v>
      </c>
    </row>
    <row r="13" spans="1:2" x14ac:dyDescent="0.4">
      <c r="A13" s="15">
        <v>8</v>
      </c>
      <c r="B13">
        <v>17</v>
      </c>
    </row>
    <row r="14" spans="1:2" x14ac:dyDescent="0.4">
      <c r="A14" s="15">
        <v>9</v>
      </c>
      <c r="B14">
        <v>20</v>
      </c>
    </row>
    <row r="15" spans="1:2" x14ac:dyDescent="0.4">
      <c r="A15" s="15">
        <v>10</v>
      </c>
      <c r="B15">
        <v>4</v>
      </c>
    </row>
    <row r="16" spans="1:2" x14ac:dyDescent="0.4">
      <c r="A16" s="5" t="s">
        <v>134</v>
      </c>
      <c r="B16">
        <v>67</v>
      </c>
    </row>
    <row r="17" spans="1:2" x14ac:dyDescent="0.4">
      <c r="A17" s="15">
        <v>10</v>
      </c>
      <c r="B17">
        <v>18</v>
      </c>
    </row>
    <row r="18" spans="1:2" x14ac:dyDescent="0.4">
      <c r="A18" s="15">
        <v>11</v>
      </c>
      <c r="B18">
        <v>18</v>
      </c>
    </row>
    <row r="19" spans="1:2" x14ac:dyDescent="0.4">
      <c r="A19" s="15">
        <v>12</v>
      </c>
      <c r="B19">
        <v>15</v>
      </c>
    </row>
    <row r="20" spans="1:2" x14ac:dyDescent="0.4">
      <c r="A20" s="15">
        <v>13</v>
      </c>
      <c r="B20">
        <v>10</v>
      </c>
    </row>
    <row r="21" spans="1:2" x14ac:dyDescent="0.4">
      <c r="A21" s="15">
        <v>14</v>
      </c>
      <c r="B21">
        <v>6</v>
      </c>
    </row>
    <row r="22" spans="1:2" x14ac:dyDescent="0.4">
      <c r="A22" s="5" t="s">
        <v>123</v>
      </c>
      <c r="B22">
        <v>58</v>
      </c>
    </row>
    <row r="23" spans="1:2" x14ac:dyDescent="0.4">
      <c r="A23" s="15">
        <v>14</v>
      </c>
      <c r="B23">
        <v>6</v>
      </c>
    </row>
    <row r="24" spans="1:2" x14ac:dyDescent="0.4">
      <c r="A24" s="15">
        <v>15</v>
      </c>
      <c r="B24">
        <v>14</v>
      </c>
    </row>
    <row r="25" spans="1:2" x14ac:dyDescent="0.4">
      <c r="A25" s="15">
        <v>16</v>
      </c>
      <c r="B25">
        <v>19</v>
      </c>
    </row>
    <row r="26" spans="1:2" x14ac:dyDescent="0.4">
      <c r="A26" s="15">
        <v>17</v>
      </c>
      <c r="B26">
        <v>12</v>
      </c>
    </row>
    <row r="27" spans="1:2" x14ac:dyDescent="0.4">
      <c r="A27" s="15">
        <v>18</v>
      </c>
      <c r="B27">
        <v>7</v>
      </c>
    </row>
    <row r="28" spans="1:2" x14ac:dyDescent="0.4">
      <c r="A28" s="5" t="s">
        <v>124</v>
      </c>
      <c r="B28">
        <v>63</v>
      </c>
    </row>
    <row r="29" spans="1:2" x14ac:dyDescent="0.4">
      <c r="A29" s="15">
        <v>19</v>
      </c>
      <c r="B29">
        <v>16</v>
      </c>
    </row>
    <row r="30" spans="1:2" x14ac:dyDescent="0.4">
      <c r="A30" s="15">
        <v>20</v>
      </c>
      <c r="B30">
        <v>16</v>
      </c>
    </row>
    <row r="31" spans="1:2" x14ac:dyDescent="0.4">
      <c r="A31" s="15">
        <v>21</v>
      </c>
      <c r="B31">
        <v>15</v>
      </c>
    </row>
    <row r="32" spans="1:2" x14ac:dyDescent="0.4">
      <c r="A32" s="15">
        <v>22</v>
      </c>
      <c r="B32">
        <v>16</v>
      </c>
    </row>
    <row r="33" spans="1:2" x14ac:dyDescent="0.4">
      <c r="A33" s="5" t="s">
        <v>125</v>
      </c>
      <c r="B33">
        <v>64</v>
      </c>
    </row>
    <row r="34" spans="1:2" x14ac:dyDescent="0.4">
      <c r="A34" s="15">
        <v>23</v>
      </c>
      <c r="B34">
        <v>15</v>
      </c>
    </row>
    <row r="35" spans="1:2" x14ac:dyDescent="0.4">
      <c r="A35" s="15">
        <v>24</v>
      </c>
      <c r="B35">
        <v>17</v>
      </c>
    </row>
    <row r="36" spans="1:2" x14ac:dyDescent="0.4">
      <c r="A36" s="15">
        <v>25</v>
      </c>
      <c r="B36">
        <v>12</v>
      </c>
    </row>
    <row r="37" spans="1:2" x14ac:dyDescent="0.4">
      <c r="A37" s="15">
        <v>26</v>
      </c>
      <c r="B37">
        <v>12</v>
      </c>
    </row>
    <row r="38" spans="1:2" x14ac:dyDescent="0.4">
      <c r="A38" s="15">
        <v>27</v>
      </c>
      <c r="B38">
        <v>8</v>
      </c>
    </row>
    <row r="39" spans="1:2" x14ac:dyDescent="0.4">
      <c r="A39" s="5" t="s">
        <v>135</v>
      </c>
      <c r="B39">
        <v>65</v>
      </c>
    </row>
    <row r="40" spans="1:2" x14ac:dyDescent="0.4">
      <c r="A40" s="15">
        <v>27</v>
      </c>
      <c r="B40">
        <v>4</v>
      </c>
    </row>
    <row r="41" spans="1:2" x14ac:dyDescent="0.4">
      <c r="A41" s="15">
        <v>28</v>
      </c>
      <c r="B41">
        <v>16</v>
      </c>
    </row>
    <row r="42" spans="1:2" x14ac:dyDescent="0.4">
      <c r="A42" s="15">
        <v>29</v>
      </c>
      <c r="B42">
        <v>18</v>
      </c>
    </row>
    <row r="43" spans="1:2" x14ac:dyDescent="0.4">
      <c r="A43" s="15">
        <v>30</v>
      </c>
      <c r="B43">
        <v>18</v>
      </c>
    </row>
    <row r="44" spans="1:2" x14ac:dyDescent="0.4">
      <c r="A44" s="15">
        <v>31</v>
      </c>
      <c r="B44">
        <v>9</v>
      </c>
    </row>
    <row r="45" spans="1:2" x14ac:dyDescent="0.4">
      <c r="A45" s="5" t="s">
        <v>136</v>
      </c>
      <c r="B45">
        <v>75</v>
      </c>
    </row>
    <row r="46" spans="1:2" x14ac:dyDescent="0.4">
      <c r="A46" s="15">
        <v>32</v>
      </c>
      <c r="B46">
        <v>19</v>
      </c>
    </row>
    <row r="47" spans="1:2" x14ac:dyDescent="0.4">
      <c r="A47" s="15">
        <v>33</v>
      </c>
      <c r="B47">
        <v>22</v>
      </c>
    </row>
    <row r="48" spans="1:2" x14ac:dyDescent="0.4">
      <c r="A48" s="15">
        <v>34</v>
      </c>
      <c r="B48">
        <v>17</v>
      </c>
    </row>
    <row r="49" spans="1:2" x14ac:dyDescent="0.4">
      <c r="A49" s="15">
        <v>35</v>
      </c>
      <c r="B49">
        <v>17</v>
      </c>
    </row>
    <row r="50" spans="1:2" x14ac:dyDescent="0.4">
      <c r="A50" s="5" t="s">
        <v>137</v>
      </c>
      <c r="B50">
        <v>64</v>
      </c>
    </row>
    <row r="51" spans="1:2" x14ac:dyDescent="0.4">
      <c r="A51" s="15">
        <v>36</v>
      </c>
      <c r="B51">
        <v>8</v>
      </c>
    </row>
    <row r="52" spans="1:2" x14ac:dyDescent="0.4">
      <c r="A52" s="15">
        <v>37</v>
      </c>
      <c r="B52">
        <v>13</v>
      </c>
    </row>
    <row r="53" spans="1:2" x14ac:dyDescent="0.4">
      <c r="A53" s="15">
        <v>38</v>
      </c>
      <c r="B53">
        <v>17</v>
      </c>
    </row>
    <row r="54" spans="1:2" x14ac:dyDescent="0.4">
      <c r="A54" s="15">
        <v>39</v>
      </c>
      <c r="B54">
        <v>17</v>
      </c>
    </row>
    <row r="55" spans="1:2" x14ac:dyDescent="0.4">
      <c r="A55" s="15">
        <v>40</v>
      </c>
      <c r="B55">
        <v>9</v>
      </c>
    </row>
    <row r="56" spans="1:2" x14ac:dyDescent="0.4">
      <c r="A56" s="5" t="s">
        <v>138</v>
      </c>
      <c r="B56">
        <v>58</v>
      </c>
    </row>
    <row r="57" spans="1:2" x14ac:dyDescent="0.4">
      <c r="A57" s="15">
        <v>40</v>
      </c>
      <c r="B57">
        <v>7</v>
      </c>
    </row>
    <row r="58" spans="1:2" x14ac:dyDescent="0.4">
      <c r="A58" s="15">
        <v>41</v>
      </c>
      <c r="B58">
        <v>15</v>
      </c>
    </row>
    <row r="59" spans="1:2" x14ac:dyDescent="0.4">
      <c r="A59" s="15">
        <v>42</v>
      </c>
      <c r="B59">
        <v>15</v>
      </c>
    </row>
    <row r="60" spans="1:2" x14ac:dyDescent="0.4">
      <c r="A60" s="15">
        <v>43</v>
      </c>
      <c r="B60">
        <v>13</v>
      </c>
    </row>
    <row r="61" spans="1:2" x14ac:dyDescent="0.4">
      <c r="A61" s="15">
        <v>44</v>
      </c>
      <c r="B61">
        <v>8</v>
      </c>
    </row>
    <row r="62" spans="1:2" x14ac:dyDescent="0.4">
      <c r="A62" s="5" t="s">
        <v>139</v>
      </c>
      <c r="B62">
        <v>53</v>
      </c>
    </row>
    <row r="63" spans="1:2" x14ac:dyDescent="0.4">
      <c r="A63" s="15">
        <v>45</v>
      </c>
      <c r="B63">
        <v>11</v>
      </c>
    </row>
    <row r="64" spans="1:2" x14ac:dyDescent="0.4">
      <c r="A64" s="15">
        <v>46</v>
      </c>
      <c r="B64">
        <v>13</v>
      </c>
    </row>
    <row r="65" spans="1:2" x14ac:dyDescent="0.4">
      <c r="A65" s="15">
        <v>47</v>
      </c>
      <c r="B65">
        <v>15</v>
      </c>
    </row>
    <row r="66" spans="1:2" x14ac:dyDescent="0.4">
      <c r="A66" s="15">
        <v>48</v>
      </c>
      <c r="B66">
        <v>11</v>
      </c>
    </row>
    <row r="67" spans="1:2" x14ac:dyDescent="0.4">
      <c r="A67" s="15">
        <v>49</v>
      </c>
      <c r="B67">
        <v>3</v>
      </c>
    </row>
    <row r="68" spans="1:2" x14ac:dyDescent="0.4">
      <c r="A68" s="5" t="s">
        <v>140</v>
      </c>
      <c r="B68">
        <v>53</v>
      </c>
    </row>
    <row r="69" spans="1:2" x14ac:dyDescent="0.4">
      <c r="A69" s="15">
        <v>49</v>
      </c>
      <c r="B69">
        <v>9</v>
      </c>
    </row>
    <row r="70" spans="1:2" x14ac:dyDescent="0.4">
      <c r="A70" s="15">
        <v>50</v>
      </c>
      <c r="B70">
        <v>11</v>
      </c>
    </row>
    <row r="71" spans="1:2" x14ac:dyDescent="0.4">
      <c r="A71" s="15">
        <v>51</v>
      </c>
      <c r="B71">
        <v>10</v>
      </c>
    </row>
    <row r="72" spans="1:2" x14ac:dyDescent="0.4">
      <c r="A72" s="15">
        <v>52</v>
      </c>
      <c r="B72">
        <v>17</v>
      </c>
    </row>
    <row r="73" spans="1:2" x14ac:dyDescent="0.4">
      <c r="A73" s="15">
        <v>53</v>
      </c>
      <c r="B73">
        <v>6</v>
      </c>
    </row>
    <row r="74" spans="1:2" x14ac:dyDescent="0.4">
      <c r="A74" s="5" t="s">
        <v>120</v>
      </c>
      <c r="B74">
        <v>747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AC47-4E52-40CB-888F-8FFE0857556C}">
  <sheetPr codeName="Sayfa9"/>
  <dimension ref="A3:B8"/>
  <sheetViews>
    <sheetView zoomScale="145" zoomScaleNormal="145" workbookViewId="0">
      <selection activeCell="A2" sqref="A2"/>
    </sheetView>
  </sheetViews>
  <sheetFormatPr defaultRowHeight="16.8" x14ac:dyDescent="0.4"/>
  <cols>
    <col min="1" max="1" width="15" bestFit="1" customWidth="1"/>
    <col min="2" max="2" width="18.3984375" bestFit="1" customWidth="1"/>
    <col min="3" max="3" width="18" bestFit="1" customWidth="1"/>
  </cols>
  <sheetData>
    <row r="3" spans="1:2" x14ac:dyDescent="0.4">
      <c r="A3" s="4" t="s">
        <v>119</v>
      </c>
      <c r="B3" t="s">
        <v>126</v>
      </c>
    </row>
    <row r="4" spans="1:2" x14ac:dyDescent="0.4">
      <c r="A4" s="5" t="s">
        <v>29</v>
      </c>
      <c r="B4">
        <v>119</v>
      </c>
    </row>
    <row r="5" spans="1:2" x14ac:dyDescent="0.4">
      <c r="A5" s="5" t="s">
        <v>98</v>
      </c>
      <c r="B5">
        <v>212</v>
      </c>
    </row>
    <row r="6" spans="1:2" x14ac:dyDescent="0.4">
      <c r="A6" s="5" t="s">
        <v>43</v>
      </c>
      <c r="B6">
        <v>221</v>
      </c>
    </row>
    <row r="7" spans="1:2" x14ac:dyDescent="0.4">
      <c r="A7" s="5" t="s">
        <v>47</v>
      </c>
      <c r="B7">
        <v>195</v>
      </c>
    </row>
    <row r="8" spans="1:2" x14ac:dyDescent="0.4">
      <c r="A8" s="5" t="s">
        <v>120</v>
      </c>
      <c r="B8">
        <v>747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D52F-06CA-4F6A-B7A7-95644F1134AA}">
  <sheetPr codeName="Sayfa10"/>
  <dimension ref="A1:E5"/>
  <sheetViews>
    <sheetView zoomScale="130" zoomScaleNormal="130" workbookViewId="0">
      <selection activeCell="A2" sqref="A2"/>
    </sheetView>
  </sheetViews>
  <sheetFormatPr defaultRowHeight="16.8" x14ac:dyDescent="0.4"/>
  <cols>
    <col min="1" max="1" width="19.5" bestFit="1" customWidth="1"/>
    <col min="2" max="2" width="17.8984375" bestFit="1" customWidth="1"/>
    <col min="3" max="3" width="19.8984375" bestFit="1" customWidth="1"/>
    <col min="5" max="5" width="12.19921875" bestFit="1" customWidth="1"/>
  </cols>
  <sheetData>
    <row r="1" spans="1:5" x14ac:dyDescent="0.4">
      <c r="A1" t="s">
        <v>128</v>
      </c>
      <c r="C1" t="s">
        <v>130</v>
      </c>
      <c r="E1" t="s">
        <v>131</v>
      </c>
    </row>
    <row r="2" spans="1:5" x14ac:dyDescent="0.4">
      <c r="A2" s="18">
        <f>GETPIVOTDATA("Kargo Takip No",$A$4)</f>
        <v>747</v>
      </c>
      <c r="C2" s="17">
        <f>GETPIVOTDATA("Genel Tutar",$C$4)</f>
        <v>26171.930414993305</v>
      </c>
      <c r="E2" s="18">
        <f>GETPIVOTDATA("Adet",$E$4)</f>
        <v>2268</v>
      </c>
    </row>
    <row r="4" spans="1:5" x14ac:dyDescent="0.4">
      <c r="A4" t="s">
        <v>128</v>
      </c>
      <c r="C4" t="s">
        <v>129</v>
      </c>
      <c r="E4" t="s">
        <v>121</v>
      </c>
    </row>
    <row r="5" spans="1:5" x14ac:dyDescent="0.4">
      <c r="A5">
        <v>747</v>
      </c>
      <c r="C5" s="17">
        <v>26171.930414993305</v>
      </c>
      <c r="E5">
        <v>2268</v>
      </c>
    </row>
  </sheetData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>
    <tabColor theme="4" tint="0.39997558519241921"/>
  </sheetPr>
  <dimension ref="B1:L17"/>
  <sheetViews>
    <sheetView showGridLines="0" zoomScale="116" zoomScaleNormal="116" workbookViewId="0">
      <pane ySplit="4" topLeftCell="A11" activePane="bottomLeft" state="frozen"/>
      <selection pane="bottomLeft" activeCell="L17" sqref="C17:L17"/>
    </sheetView>
  </sheetViews>
  <sheetFormatPr defaultRowHeight="27" customHeight="1" x14ac:dyDescent="0.4"/>
  <cols>
    <col min="1" max="1" width="4.09765625" style="7" customWidth="1"/>
    <col min="2" max="2" width="24.19921875" style="7" hidden="1" customWidth="1"/>
    <col min="3" max="3" width="4.796875" style="7" customWidth="1"/>
    <col min="4" max="4" width="10.19921875" style="7" bestFit="1" customWidth="1"/>
    <col min="5" max="5" width="17.09765625" style="7" customWidth="1"/>
    <col min="6" max="8" width="10.19921875" style="7" bestFit="1" customWidth="1"/>
    <col min="9" max="9" width="11.09765625" style="7" bestFit="1" customWidth="1"/>
    <col min="10" max="10" width="13.09765625" style="7" bestFit="1" customWidth="1"/>
    <col min="11" max="11" width="11" style="7" bestFit="1" customWidth="1"/>
    <col min="12" max="12" width="17.09765625" style="7" customWidth="1"/>
    <col min="13" max="16384" width="8.796875" style="7"/>
  </cols>
  <sheetData>
    <row r="1" spans="2:12" customFormat="1" ht="16.8" x14ac:dyDescent="0.4"/>
    <row r="2" spans="2:12" customFormat="1" ht="38.4" x14ac:dyDescent="0.85">
      <c r="C2" s="1" t="s">
        <v>0</v>
      </c>
    </row>
    <row r="3" spans="2:12" customFormat="1" ht="16.8" x14ac:dyDescent="0.4"/>
    <row r="4" spans="2:12" ht="30" customHeight="1" x14ac:dyDescent="0.4">
      <c r="B4" s="7" t="s">
        <v>102</v>
      </c>
      <c r="C4" s="7" t="s">
        <v>1</v>
      </c>
      <c r="D4" s="7" t="s">
        <v>2</v>
      </c>
      <c r="E4" s="7" t="s">
        <v>3</v>
      </c>
      <c r="F4" s="7" t="s">
        <v>31</v>
      </c>
      <c r="G4" s="7" t="s">
        <v>32</v>
      </c>
      <c r="H4" s="7" t="s">
        <v>33</v>
      </c>
      <c r="I4" s="7" t="s">
        <v>4</v>
      </c>
      <c r="J4" s="7" t="s">
        <v>5</v>
      </c>
      <c r="K4" s="7" t="s">
        <v>7</v>
      </c>
      <c r="L4" s="7" t="s">
        <v>6</v>
      </c>
    </row>
    <row r="5" spans="2:12" ht="27" customHeight="1" x14ac:dyDescent="0.4">
      <c r="B5" s="9" t="str">
        <f>Tbl_Ürünler[[#This Row],[Kategori]]&amp;"-"&amp;Tbl_Ürünler[[#This Row],[Ürün Adı]]</f>
        <v>Apple-iphone 11</v>
      </c>
      <c r="C5" s="7">
        <v>1</v>
      </c>
      <c r="D5" s="7" t="s">
        <v>29</v>
      </c>
      <c r="E5" s="7" t="s">
        <v>30</v>
      </c>
      <c r="F5" s="7" t="s">
        <v>34</v>
      </c>
      <c r="G5" s="7" t="s">
        <v>35</v>
      </c>
      <c r="H5" s="7" t="s">
        <v>36</v>
      </c>
      <c r="I5" s="11">
        <v>8500</v>
      </c>
      <c r="J5" s="11">
        <v>15</v>
      </c>
      <c r="K5" s="12">
        <v>0.02</v>
      </c>
      <c r="L5" s="8">
        <f>(Tbl_Ürünler[[#This Row],[Alış Fiyatı]]+Tbl_Ürünler[[#This Row],[Kargo Fiyatı]])*(1+Tbl_Ürünler[[#This Row],[Kâr Oranı]])</f>
        <v>8685.2999999999993</v>
      </c>
    </row>
    <row r="6" spans="2:12" ht="27" customHeight="1" x14ac:dyDescent="0.4">
      <c r="B6" s="9" t="str">
        <f>Tbl_Ürünler[[#This Row],[Kategori]]&amp;"-"&amp;Tbl_Ürünler[[#This Row],[Ürün Adı]]</f>
        <v>Apple-iphone 12</v>
      </c>
      <c r="C6" s="7">
        <v>2</v>
      </c>
      <c r="D6" s="7" t="s">
        <v>29</v>
      </c>
      <c r="E6" s="7" t="s">
        <v>37</v>
      </c>
      <c r="F6" s="7" t="s">
        <v>38</v>
      </c>
      <c r="G6" s="7" t="s">
        <v>39</v>
      </c>
      <c r="H6" s="7" t="s">
        <v>40</v>
      </c>
      <c r="I6" s="11">
        <v>9500</v>
      </c>
      <c r="J6" s="11">
        <v>15</v>
      </c>
      <c r="K6" s="12">
        <v>0.03</v>
      </c>
      <c r="L6" s="8">
        <f>(Tbl_Ürünler[[#This Row],[Alış Fiyatı]]+Tbl_Ürünler[[#This Row],[Kargo Fiyatı]])*(1+Tbl_Ürünler[[#This Row],[Kâr Oranı]])</f>
        <v>9800.4500000000007</v>
      </c>
    </row>
    <row r="7" spans="2:12" ht="27" customHeight="1" x14ac:dyDescent="0.4">
      <c r="B7" s="9" t="str">
        <f>Tbl_Ürünler[[#This Row],[Kategori]]&amp;"-"&amp;Tbl_Ürünler[[#This Row],[Ürün Adı]]</f>
        <v>Apple-iphone 13</v>
      </c>
      <c r="C7" s="7">
        <v>3</v>
      </c>
      <c r="D7" s="7" t="s">
        <v>29</v>
      </c>
      <c r="E7" s="7" t="s">
        <v>41</v>
      </c>
      <c r="F7" s="7" t="s">
        <v>51</v>
      </c>
      <c r="G7" s="7" t="s">
        <v>53</v>
      </c>
      <c r="H7" s="7" t="s">
        <v>57</v>
      </c>
      <c r="I7" s="11">
        <v>12000</v>
      </c>
      <c r="J7" s="11">
        <v>20</v>
      </c>
      <c r="K7" s="12">
        <v>0.05</v>
      </c>
      <c r="L7" s="8">
        <f>(Tbl_Ürünler[[#This Row],[Alış Fiyatı]]+Tbl_Ürünler[[#This Row],[Kargo Fiyatı]])*(1+Tbl_Ürünler[[#This Row],[Kâr Oranı]])</f>
        <v>12621</v>
      </c>
    </row>
    <row r="8" spans="2:12" ht="27" customHeight="1" x14ac:dyDescent="0.4">
      <c r="B8" s="9" t="str">
        <f>Tbl_Ürünler[[#This Row],[Kategori]]&amp;"-"&amp;Tbl_Ürünler[[#This Row],[Ürün Adı]]</f>
        <v>Apple-iphone 13 pro</v>
      </c>
      <c r="C8" s="7">
        <v>4</v>
      </c>
      <c r="D8" s="7" t="s">
        <v>29</v>
      </c>
      <c r="E8" s="7" t="s">
        <v>42</v>
      </c>
      <c r="F8" s="7" t="s">
        <v>34</v>
      </c>
      <c r="G8" s="7" t="s">
        <v>35</v>
      </c>
      <c r="H8" s="7" t="s">
        <v>58</v>
      </c>
      <c r="I8" s="11">
        <v>13500</v>
      </c>
      <c r="J8" s="11">
        <v>25</v>
      </c>
      <c r="K8" s="12">
        <v>0.04</v>
      </c>
      <c r="L8" s="8">
        <f>(Tbl_Ürünler[[#This Row],[Alış Fiyatı]]+Tbl_Ürünler[[#This Row],[Kargo Fiyatı]])*(1+Tbl_Ürünler[[#This Row],[Kâr Oranı]])</f>
        <v>14066</v>
      </c>
    </row>
    <row r="9" spans="2:12" ht="27" customHeight="1" x14ac:dyDescent="0.4">
      <c r="B9" s="9" t="str">
        <f>Tbl_Ürünler[[#This Row],[Kategori]]&amp;"-"&amp;Tbl_Ürünler[[#This Row],[Ürün Adı]]</f>
        <v>Samsung-Galaxy Note20</v>
      </c>
      <c r="C9" s="7">
        <v>5</v>
      </c>
      <c r="D9" s="7" t="s">
        <v>43</v>
      </c>
      <c r="E9" s="7" t="s">
        <v>44</v>
      </c>
      <c r="F9" s="7" t="s">
        <v>52</v>
      </c>
      <c r="G9" s="7" t="s">
        <v>39</v>
      </c>
      <c r="H9" s="7" t="s">
        <v>40</v>
      </c>
      <c r="I9" s="11">
        <v>8400</v>
      </c>
      <c r="J9" s="11">
        <v>10</v>
      </c>
      <c r="K9" s="12">
        <v>0.06</v>
      </c>
      <c r="L9" s="8">
        <f>(Tbl_Ürünler[[#This Row],[Alış Fiyatı]]+Tbl_Ürünler[[#This Row],[Kargo Fiyatı]])*(1+Tbl_Ürünler[[#This Row],[Kâr Oranı]])</f>
        <v>8914.6</v>
      </c>
    </row>
    <row r="10" spans="2:12" ht="27" customHeight="1" x14ac:dyDescent="0.4">
      <c r="B10" s="9" t="str">
        <f>Tbl_Ürünler[[#This Row],[Kategori]]&amp;"-"&amp;Tbl_Ürünler[[#This Row],[Ürün Adı]]</f>
        <v>Samsung-Galaxy S21</v>
      </c>
      <c r="C10" s="7">
        <v>6</v>
      </c>
      <c r="D10" s="7" t="s">
        <v>43</v>
      </c>
      <c r="E10" s="7" t="s">
        <v>45</v>
      </c>
      <c r="F10" s="7" t="s">
        <v>38</v>
      </c>
      <c r="G10" s="7" t="s">
        <v>54</v>
      </c>
      <c r="H10" s="7" t="s">
        <v>36</v>
      </c>
      <c r="I10" s="11">
        <v>9460</v>
      </c>
      <c r="J10" s="11">
        <v>10</v>
      </c>
      <c r="K10" s="12">
        <v>0.02</v>
      </c>
      <c r="L10" s="8">
        <f>(Tbl_Ürünler[[#This Row],[Alış Fiyatı]]+Tbl_Ürünler[[#This Row],[Kargo Fiyatı]])*(1+Tbl_Ürünler[[#This Row],[Kâr Oranı]])</f>
        <v>9659.4</v>
      </c>
    </row>
    <row r="11" spans="2:12" ht="27" customHeight="1" x14ac:dyDescent="0.4">
      <c r="B11" s="9" t="str">
        <f>Tbl_Ürünler[[#This Row],[Kategori]]&amp;"-"&amp;Tbl_Ürünler[[#This Row],[Ürün Adı]]</f>
        <v>Samsung-Galaxy S21 +</v>
      </c>
      <c r="C11" s="7">
        <v>7</v>
      </c>
      <c r="D11" s="7" t="s">
        <v>43</v>
      </c>
      <c r="E11" s="7" t="s">
        <v>46</v>
      </c>
      <c r="F11" s="7" t="s">
        <v>34</v>
      </c>
      <c r="G11" s="7" t="s">
        <v>55</v>
      </c>
      <c r="H11" s="7" t="s">
        <v>36</v>
      </c>
      <c r="I11" s="11">
        <v>12340</v>
      </c>
      <c r="J11" s="11">
        <v>15</v>
      </c>
      <c r="K11" s="12">
        <v>0.08</v>
      </c>
      <c r="L11" s="8">
        <f>(Tbl_Ürünler[[#This Row],[Alış Fiyatı]]+Tbl_Ürünler[[#This Row],[Kargo Fiyatı]])*(1+Tbl_Ürünler[[#This Row],[Kâr Oranı]])</f>
        <v>13343.400000000001</v>
      </c>
    </row>
    <row r="12" spans="2:12" ht="27" customHeight="1" x14ac:dyDescent="0.4">
      <c r="B12" s="9" t="str">
        <f>Tbl_Ürünler[[#This Row],[Kategori]]&amp;"-"&amp;Tbl_Ürünler[[#This Row],[Ürün Adı]]</f>
        <v>Xiaomi-Redmi Note 10 Lite</v>
      </c>
      <c r="C12" s="7">
        <v>8</v>
      </c>
      <c r="D12" s="7" t="s">
        <v>47</v>
      </c>
      <c r="E12" s="7" t="s">
        <v>48</v>
      </c>
      <c r="F12" s="7" t="s">
        <v>51</v>
      </c>
      <c r="G12" s="7" t="s">
        <v>53</v>
      </c>
      <c r="H12" s="7" t="s">
        <v>57</v>
      </c>
      <c r="I12" s="11">
        <v>7650</v>
      </c>
      <c r="J12" s="11">
        <v>20</v>
      </c>
      <c r="K12" s="12">
        <v>0.05</v>
      </c>
      <c r="L12" s="8">
        <f>(Tbl_Ürünler[[#This Row],[Alış Fiyatı]]+Tbl_Ürünler[[#This Row],[Kargo Fiyatı]])*(1+Tbl_Ürünler[[#This Row],[Kâr Oranı]])</f>
        <v>8053.5</v>
      </c>
    </row>
    <row r="13" spans="2:12" ht="27" customHeight="1" x14ac:dyDescent="0.4">
      <c r="B13" s="9" t="str">
        <f>Tbl_Ürünler[[#This Row],[Kategori]]&amp;"-"&amp;Tbl_Ürünler[[#This Row],[Ürün Adı]]</f>
        <v>Xiaomi-Redmi Note 10 Pro</v>
      </c>
      <c r="C13" s="7">
        <v>9</v>
      </c>
      <c r="D13" s="7" t="s">
        <v>47</v>
      </c>
      <c r="E13" s="7" t="s">
        <v>49</v>
      </c>
      <c r="F13" s="7" t="s">
        <v>51</v>
      </c>
      <c r="G13" s="7" t="s">
        <v>53</v>
      </c>
      <c r="H13" s="7" t="s">
        <v>58</v>
      </c>
      <c r="I13" s="11">
        <v>9450</v>
      </c>
      <c r="J13" s="11">
        <v>25</v>
      </c>
      <c r="K13" s="12">
        <v>0.01</v>
      </c>
      <c r="L13" s="8">
        <f>(Tbl_Ürünler[[#This Row],[Alış Fiyatı]]+Tbl_Ürünler[[#This Row],[Kargo Fiyatı]])*(1+Tbl_Ürünler[[#This Row],[Kâr Oranı]])</f>
        <v>9569.75</v>
      </c>
    </row>
    <row r="14" spans="2:12" ht="27" customHeight="1" x14ac:dyDescent="0.4">
      <c r="B14" s="9" t="str">
        <f>Tbl_Ürünler[[#This Row],[Kategori]]&amp;"-"&amp;Tbl_Ürünler[[#This Row],[Ürün Adı]]</f>
        <v>Samsung-Galaxy A32</v>
      </c>
      <c r="C14" s="7">
        <v>10</v>
      </c>
      <c r="D14" s="7" t="s">
        <v>43</v>
      </c>
      <c r="E14" s="7" t="s">
        <v>50</v>
      </c>
      <c r="F14" s="7" t="s">
        <v>52</v>
      </c>
      <c r="G14" s="7" t="s">
        <v>56</v>
      </c>
      <c r="H14" s="7" t="s">
        <v>36</v>
      </c>
      <c r="I14" s="11">
        <v>6250</v>
      </c>
      <c r="J14" s="11">
        <v>20</v>
      </c>
      <c r="K14" s="12">
        <v>0.03</v>
      </c>
      <c r="L14" s="8">
        <f>(Tbl_Ürünler[[#This Row],[Alış Fiyatı]]+Tbl_Ürünler[[#This Row],[Kargo Fiyatı]])*(1+Tbl_Ürünler[[#This Row],[Kâr Oranı]])</f>
        <v>6458.1</v>
      </c>
    </row>
    <row r="15" spans="2:12" ht="27" customHeight="1" x14ac:dyDescent="0.4">
      <c r="B15" s="9" t="str">
        <f>Tbl_Ürünler[[#This Row],[Kategori]]&amp;"-"&amp;Tbl_Ürünler[[#This Row],[Ürün Adı]]</f>
        <v>Huawei-P30 Lite</v>
      </c>
      <c r="C15" s="7">
        <v>11</v>
      </c>
      <c r="D15" s="7" t="s">
        <v>98</v>
      </c>
      <c r="E15" s="7" t="s">
        <v>99</v>
      </c>
      <c r="F15" s="7" t="s">
        <v>38</v>
      </c>
      <c r="G15" s="7" t="s">
        <v>35</v>
      </c>
      <c r="H15" s="7" t="s">
        <v>36</v>
      </c>
      <c r="I15" s="11">
        <v>3996</v>
      </c>
      <c r="J15" s="11">
        <v>25</v>
      </c>
      <c r="K15" s="12">
        <v>0.03</v>
      </c>
      <c r="L15" s="8">
        <f>(Tbl_Ürünler[[#This Row],[Alış Fiyatı]]+Tbl_Ürünler[[#This Row],[Kargo Fiyatı]])*(1+Tbl_Ürünler[[#This Row],[Kâr Oranı]])</f>
        <v>4141.63</v>
      </c>
    </row>
    <row r="16" spans="2:12" ht="27" customHeight="1" x14ac:dyDescent="0.4">
      <c r="B16" s="9" t="str">
        <f>Tbl_Ürünler[[#This Row],[Kategori]]&amp;"-"&amp;Tbl_Ürünler[[#This Row],[Ürün Adı]]</f>
        <v>Huawei-Nova 9</v>
      </c>
      <c r="C16" s="7">
        <v>12</v>
      </c>
      <c r="D16" s="7" t="s">
        <v>98</v>
      </c>
      <c r="E16" s="7" t="s">
        <v>100</v>
      </c>
      <c r="F16" s="7" t="s">
        <v>52</v>
      </c>
      <c r="G16" s="7" t="s">
        <v>35</v>
      </c>
      <c r="H16" s="7" t="s">
        <v>101</v>
      </c>
      <c r="I16" s="11">
        <v>8850</v>
      </c>
      <c r="J16" s="11">
        <v>30</v>
      </c>
      <c r="K16" s="12">
        <v>0.04</v>
      </c>
      <c r="L16" s="8">
        <f>(Tbl_Ürünler[[#This Row],[Alış Fiyatı]]+Tbl_Ürünler[[#This Row],[Kargo Fiyatı]])*(1+Tbl_Ürünler[[#This Row],[Kâr Oranı]])</f>
        <v>9235.2000000000007</v>
      </c>
    </row>
    <row r="17" spans="2:12" ht="27" customHeight="1" x14ac:dyDescent="0.4">
      <c r="B17" s="9" t="str">
        <f>Tbl_Ürünler[[#This Row],[Kategori]]&amp;"-"&amp;Tbl_Ürünler[[#This Row],[Ürün Adı]]</f>
        <v>Huawei-P20 Lite</v>
      </c>
      <c r="C17" s="7">
        <v>13</v>
      </c>
      <c r="D17" s="7" t="s">
        <v>98</v>
      </c>
      <c r="E17" s="7" t="s">
        <v>103</v>
      </c>
      <c r="F17" s="7" t="s">
        <v>34</v>
      </c>
      <c r="G17" s="7" t="s">
        <v>39</v>
      </c>
      <c r="H17" s="7" t="s">
        <v>36</v>
      </c>
      <c r="I17" s="11">
        <v>5600</v>
      </c>
      <c r="J17" s="11">
        <v>25</v>
      </c>
      <c r="K17" s="12">
        <v>0.06</v>
      </c>
      <c r="L17" s="8">
        <f>(Tbl_Ürünler[[#This Row],[Alış Fiyatı]]+Tbl_Ürünler[[#This Row],[Kargo Fiyatı]])*(1+Tbl_Ürünler[[#This Row],[Kâr Oranı]])</f>
        <v>5962.5</v>
      </c>
    </row>
  </sheetData>
  <phoneticPr fontId="2" type="noConversion"/>
  <dataValidations count="1">
    <dataValidation type="whole" operator="equal" allowBlank="1" showInputMessage="1" showErrorMessage="1" sqref="L5:L17" xr:uid="{6E9D0AB8-92F7-4FAD-893C-2C3B2740ACAC}">
      <formula1>751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CDE5-E6A5-4878-8282-012732116EA9}">
  <sheetPr codeName="Sayfa3">
    <tabColor theme="4" tint="0.39997558519241921"/>
  </sheetPr>
  <dimension ref="B1:I17"/>
  <sheetViews>
    <sheetView showGridLines="0" zoomScale="116" zoomScaleNormal="116" workbookViewId="0">
      <pane ySplit="4" topLeftCell="A5" activePane="bottomLeft" state="frozen"/>
      <selection pane="bottomLeft" activeCell="D17" sqref="D17"/>
    </sheetView>
  </sheetViews>
  <sheetFormatPr defaultRowHeight="27" customHeight="1" x14ac:dyDescent="0.4"/>
  <cols>
    <col min="1" max="1" width="4.09765625" style="7" customWidth="1"/>
    <col min="2" max="2" width="33.796875" style="7" hidden="1" customWidth="1"/>
    <col min="3" max="3" width="6" style="7" customWidth="1"/>
    <col min="4" max="4" width="21.3984375" style="7" bestFit="1" customWidth="1"/>
    <col min="5" max="5" width="14.296875" style="7" customWidth="1"/>
    <col min="6" max="6" width="15.796875" style="7" customWidth="1"/>
    <col min="7" max="7" width="29.5" style="7" bestFit="1" customWidth="1"/>
    <col min="8" max="9" width="14.296875" style="7" customWidth="1"/>
    <col min="10" max="16384" width="8.796875" style="7"/>
  </cols>
  <sheetData>
    <row r="1" spans="2:9" customFormat="1" ht="16.8" x14ac:dyDescent="0.4"/>
    <row r="2" spans="2:9" customFormat="1" ht="38.4" x14ac:dyDescent="0.85">
      <c r="C2" s="1" t="s">
        <v>8</v>
      </c>
    </row>
    <row r="3" spans="2:9" customFormat="1" ht="16.8" x14ac:dyDescent="0.4"/>
    <row r="4" spans="2:9" ht="30" customHeight="1" x14ac:dyDescent="0.4">
      <c r="B4" s="7" t="s">
        <v>96</v>
      </c>
      <c r="C4" s="7" t="s">
        <v>1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</row>
    <row r="5" spans="2:9" ht="27" customHeight="1" x14ac:dyDescent="0.4">
      <c r="B5" s="9" t="str">
        <f>Tbl_Müşteriler[[#This Row],[No]]&amp;"-"&amp;Tbl_Müşteriler[[#This Row],[Ad Soyad]]&amp;"-"&amp;Tbl_Müşteriler[[#This Row],[Şehir]]</f>
        <v>1001-Feza Gürdal-Eskişehir</v>
      </c>
      <c r="C5" s="7">
        <v>1001</v>
      </c>
      <c r="D5" s="7" t="s">
        <v>59</v>
      </c>
      <c r="E5" s="7">
        <v>12345678901</v>
      </c>
      <c r="F5" s="10">
        <v>5855724884</v>
      </c>
      <c r="G5" s="7" t="s">
        <v>60</v>
      </c>
      <c r="H5" s="7" t="s">
        <v>61</v>
      </c>
      <c r="I5" s="7" t="s">
        <v>62</v>
      </c>
    </row>
    <row r="6" spans="2:9" ht="27" customHeight="1" x14ac:dyDescent="0.4">
      <c r="B6" s="9" t="str">
        <f>Tbl_Müşteriler[[#This Row],[No]]&amp;"-"&amp;Tbl_Müşteriler[[#This Row],[Ad Soyad]]&amp;"-"&amp;Tbl_Müşteriler[[#This Row],[Şehir]]</f>
        <v>1002-İnci Yüce-İstanbul</v>
      </c>
      <c r="C6" s="7">
        <v>1002</v>
      </c>
      <c r="D6" s="7" t="s">
        <v>63</v>
      </c>
      <c r="E6" s="7">
        <v>12345678902</v>
      </c>
      <c r="F6" s="10">
        <v>5344720970</v>
      </c>
      <c r="G6" s="7" t="s">
        <v>64</v>
      </c>
      <c r="H6" s="7" t="s">
        <v>65</v>
      </c>
      <c r="I6" s="7" t="s">
        <v>66</v>
      </c>
    </row>
    <row r="7" spans="2:9" ht="27" customHeight="1" x14ac:dyDescent="0.4">
      <c r="B7" s="9" t="str">
        <f>Tbl_Müşteriler[[#This Row],[No]]&amp;"-"&amp;Tbl_Müşteriler[[#This Row],[Ad Soyad]]&amp;"-"&amp;Tbl_Müşteriler[[#This Row],[Şehir]]</f>
        <v>1003-İlknur Akgül-İstanbul</v>
      </c>
      <c r="C7" s="7">
        <v>1003</v>
      </c>
      <c r="D7" s="7" t="s">
        <v>67</v>
      </c>
      <c r="E7" s="7">
        <v>12345678903</v>
      </c>
      <c r="F7" s="10">
        <v>5325428555</v>
      </c>
      <c r="G7" s="7" t="s">
        <v>68</v>
      </c>
      <c r="H7" s="7" t="s">
        <v>69</v>
      </c>
      <c r="I7" s="7" t="s">
        <v>66</v>
      </c>
    </row>
    <row r="8" spans="2:9" ht="27" customHeight="1" x14ac:dyDescent="0.4">
      <c r="B8" s="9" t="str">
        <f>Tbl_Müşteriler[[#This Row],[No]]&amp;"-"&amp;Tbl_Müşteriler[[#This Row],[Ad Soyad]]&amp;"-"&amp;Tbl_Müşteriler[[#This Row],[Şehir]]</f>
        <v>1004-Mürşit Doğan-Ankara</v>
      </c>
      <c r="C8" s="7">
        <v>1004</v>
      </c>
      <c r="D8" s="7" t="s">
        <v>70</v>
      </c>
      <c r="E8" s="7">
        <v>12345678904</v>
      </c>
      <c r="F8" s="10">
        <v>5346382925</v>
      </c>
      <c r="G8" s="7" t="s">
        <v>71</v>
      </c>
      <c r="H8" s="7" t="s">
        <v>72</v>
      </c>
      <c r="I8" s="7" t="s">
        <v>73</v>
      </c>
    </row>
    <row r="9" spans="2:9" ht="27" customHeight="1" x14ac:dyDescent="0.4">
      <c r="B9" s="9" t="str">
        <f>Tbl_Müşteriler[[#This Row],[No]]&amp;"-"&amp;Tbl_Müşteriler[[#This Row],[Ad Soyad]]&amp;"-"&amp;Tbl_Müşteriler[[#This Row],[Şehir]]</f>
        <v>1005-Özge Sarıca Darol-Antalya</v>
      </c>
      <c r="C9" s="7">
        <v>1005</v>
      </c>
      <c r="D9" s="7" t="s">
        <v>74</v>
      </c>
      <c r="E9" s="7">
        <v>12345678905</v>
      </c>
      <c r="F9" s="10">
        <v>5327698060</v>
      </c>
      <c r="G9" s="7" t="s">
        <v>75</v>
      </c>
      <c r="H9" s="7" t="s">
        <v>76</v>
      </c>
      <c r="I9" s="7" t="s">
        <v>77</v>
      </c>
    </row>
    <row r="10" spans="2:9" ht="27" customHeight="1" x14ac:dyDescent="0.4">
      <c r="B10" s="9" t="str">
        <f>Tbl_Müşteriler[[#This Row],[No]]&amp;"-"&amp;Tbl_Müşteriler[[#This Row],[Ad Soyad]]&amp;"-"&amp;Tbl_Müşteriler[[#This Row],[Şehir]]</f>
        <v>1006-Ali Baymak-Ankara</v>
      </c>
      <c r="C10" s="7">
        <v>1006</v>
      </c>
      <c r="D10" s="7" t="s">
        <v>78</v>
      </c>
      <c r="E10" s="7">
        <v>12345678906</v>
      </c>
      <c r="F10" s="10">
        <v>5345634351</v>
      </c>
      <c r="G10" s="7" t="s">
        <v>79</v>
      </c>
      <c r="H10" s="7" t="s">
        <v>80</v>
      </c>
      <c r="I10" s="7" t="s">
        <v>73</v>
      </c>
    </row>
    <row r="11" spans="2:9" ht="27" customHeight="1" x14ac:dyDescent="0.4">
      <c r="B11" s="9" t="str">
        <f>Tbl_Müşteriler[[#This Row],[No]]&amp;"-"&amp;Tbl_Müşteriler[[#This Row],[Ad Soyad]]&amp;"-"&amp;Tbl_Müşteriler[[#This Row],[Şehir]]</f>
        <v>1007-Mustafa Gürhan Özdemir-Ankara</v>
      </c>
      <c r="C11" s="7">
        <v>1007</v>
      </c>
      <c r="D11" s="7" t="s">
        <v>81</v>
      </c>
      <c r="E11" s="7">
        <v>12345678907</v>
      </c>
      <c r="F11" s="10">
        <v>5347826314</v>
      </c>
      <c r="G11" s="7" t="s">
        <v>82</v>
      </c>
      <c r="H11" s="7" t="s">
        <v>83</v>
      </c>
      <c r="I11" s="7" t="s">
        <v>73</v>
      </c>
    </row>
    <row r="12" spans="2:9" ht="27" customHeight="1" x14ac:dyDescent="0.4">
      <c r="B12" s="9" t="str">
        <f>Tbl_Müşteriler[[#This Row],[No]]&amp;"-"&amp;Tbl_Müşteriler[[#This Row],[Ad Soyad]]&amp;"-"&amp;Tbl_Müşteriler[[#This Row],[Şehir]]</f>
        <v>1008-Nizamettin Uyar-Ankara</v>
      </c>
      <c r="C12" s="7">
        <v>1008</v>
      </c>
      <c r="D12" s="7" t="s">
        <v>84</v>
      </c>
      <c r="E12" s="7">
        <v>12345678908</v>
      </c>
      <c r="F12" s="10">
        <v>5341443851</v>
      </c>
      <c r="G12" s="7" t="s">
        <v>85</v>
      </c>
      <c r="H12" s="7" t="s">
        <v>86</v>
      </c>
      <c r="I12" s="7" t="s">
        <v>73</v>
      </c>
    </row>
    <row r="13" spans="2:9" ht="27" customHeight="1" x14ac:dyDescent="0.4">
      <c r="B13" s="9" t="str">
        <f>Tbl_Müşteriler[[#This Row],[No]]&amp;"-"&amp;Tbl_Müşteriler[[#This Row],[Ad Soyad]]&amp;"-"&amp;Tbl_Müşteriler[[#This Row],[Şehir]]</f>
        <v>1009-Erhan Demirkol-Gaziantep</v>
      </c>
      <c r="C13" s="7">
        <v>1009</v>
      </c>
      <c r="D13" s="7" t="s">
        <v>87</v>
      </c>
      <c r="E13" s="7">
        <v>12345678909</v>
      </c>
      <c r="F13" s="10">
        <v>5341684316</v>
      </c>
      <c r="G13" s="7" t="s">
        <v>88</v>
      </c>
      <c r="H13" s="7" t="s">
        <v>89</v>
      </c>
      <c r="I13" s="7" t="s">
        <v>90</v>
      </c>
    </row>
    <row r="14" spans="2:9" ht="27" customHeight="1" x14ac:dyDescent="0.4">
      <c r="B14" s="9" t="str">
        <f>Tbl_Müşteriler[[#This Row],[No]]&amp;"-"&amp;Tbl_Müşteriler[[#This Row],[Ad Soyad]]&amp;"-"&amp;Tbl_Müşteriler[[#This Row],[Şehir]]</f>
        <v>1010-Aykut Al-Ankara</v>
      </c>
      <c r="C14" s="7">
        <v>1010</v>
      </c>
      <c r="D14" s="7" t="s">
        <v>91</v>
      </c>
      <c r="E14" s="7">
        <v>12345678910</v>
      </c>
      <c r="F14" s="10">
        <v>5322615255</v>
      </c>
      <c r="G14" s="7" t="s">
        <v>92</v>
      </c>
      <c r="H14" s="7" t="s">
        <v>83</v>
      </c>
      <c r="I14" s="7" t="s">
        <v>73</v>
      </c>
    </row>
    <row r="15" spans="2:9" ht="27" customHeight="1" x14ac:dyDescent="0.4">
      <c r="B15" s="9" t="str">
        <f>Tbl_Müşteriler[[#This Row],[No]]&amp;"-"&amp;Tbl_Müşteriler[[#This Row],[Ad Soyad]]&amp;"-"&amp;Tbl_Müşteriler[[#This Row],[Şehir]]</f>
        <v>1011-Tayfur Taşkıran-Ankara</v>
      </c>
      <c r="C15" s="7">
        <v>1011</v>
      </c>
      <c r="D15" s="7" t="s">
        <v>93</v>
      </c>
      <c r="E15" s="7">
        <v>12345678911</v>
      </c>
      <c r="F15" s="10">
        <v>5346942318</v>
      </c>
      <c r="G15" s="7" t="s">
        <v>94</v>
      </c>
      <c r="H15" s="7" t="s">
        <v>83</v>
      </c>
      <c r="I15" s="7" t="s">
        <v>73</v>
      </c>
    </row>
    <row r="16" spans="2:9" ht="27" customHeight="1" x14ac:dyDescent="0.4">
      <c r="B16" s="9" t="str">
        <f>Tbl_Müşteriler[[#This Row],[No]]&amp;"-"&amp;Tbl_Müşteriler[[#This Row],[Ad Soyad]]&amp;"-"&amp;Tbl_Müşteriler[[#This Row],[Şehir]]</f>
        <v>1012-Ahmet Yalçın-İstanbul</v>
      </c>
      <c r="C16" s="7">
        <v>1012</v>
      </c>
      <c r="D16" s="7" t="s">
        <v>104</v>
      </c>
      <c r="E16" s="7">
        <v>12345678912</v>
      </c>
      <c r="F16" s="10">
        <v>3216548965</v>
      </c>
      <c r="G16" s="7" t="s">
        <v>105</v>
      </c>
      <c r="H16" s="7" t="s">
        <v>69</v>
      </c>
      <c r="I16" s="7" t="s">
        <v>66</v>
      </c>
    </row>
    <row r="17" spans="2:6" ht="27" customHeight="1" x14ac:dyDescent="0.4">
      <c r="B17" s="9" t="e">
        <f>Tbl_Müşteriler[[#This Row],[No]]&amp;"-"&amp;Tbl_Müşteriler[[#This Row],[Ad Soyad]]&amp;"-"&amp;Tbl_Müşteriler[[#This Row],[Şehir]]</f>
        <v>#VALUE!</v>
      </c>
      <c r="F17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6800-C3CC-4BA4-BBE2-7A02FF7CB0A6}">
  <sheetPr codeName="Sayfa4">
    <tabColor theme="8" tint="0.39997558519241921"/>
  </sheetPr>
  <dimension ref="B2:B11"/>
  <sheetViews>
    <sheetView showGridLines="0" zoomScale="145" zoomScaleNormal="145" workbookViewId="0">
      <selection activeCell="B5" sqref="B5:B11"/>
    </sheetView>
  </sheetViews>
  <sheetFormatPr defaultRowHeight="16.8" x14ac:dyDescent="0.4"/>
  <cols>
    <col min="2" max="2" width="17.59765625" customWidth="1"/>
    <col min="3" max="8" width="14.296875" customWidth="1"/>
  </cols>
  <sheetData>
    <row r="2" spans="2:2" ht="38.4" x14ac:dyDescent="0.85">
      <c r="B2" s="3" t="s">
        <v>22</v>
      </c>
    </row>
    <row r="4" spans="2:2" x14ac:dyDescent="0.4">
      <c r="B4" t="s">
        <v>23</v>
      </c>
    </row>
    <row r="5" spans="2:2" x14ac:dyDescent="0.4">
      <c r="B5" t="s">
        <v>24</v>
      </c>
    </row>
    <row r="6" spans="2:2" x14ac:dyDescent="0.4">
      <c r="B6" t="s">
        <v>25</v>
      </c>
    </row>
    <row r="7" spans="2:2" x14ac:dyDescent="0.4">
      <c r="B7" t="s">
        <v>26</v>
      </c>
    </row>
    <row r="8" spans="2:2" x14ac:dyDescent="0.4">
      <c r="B8" s="13" t="s">
        <v>27</v>
      </c>
    </row>
    <row r="9" spans="2:2" x14ac:dyDescent="0.4">
      <c r="B9" t="s">
        <v>95</v>
      </c>
    </row>
    <row r="10" spans="2:2" x14ac:dyDescent="0.4">
      <c r="B10" s="14" t="s">
        <v>28</v>
      </c>
    </row>
    <row r="11" spans="2:2" x14ac:dyDescent="0.4">
      <c r="B11" t="s">
        <v>106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92A5-93E8-41DD-B605-500EC00903B9}">
  <sheetPr codeName="Sayfa5"/>
  <dimension ref="A1:K14"/>
  <sheetViews>
    <sheetView zoomScale="130" zoomScaleNormal="130" workbookViewId="0">
      <selection activeCell="K2" sqref="K2"/>
    </sheetView>
  </sheetViews>
  <sheetFormatPr defaultRowHeight="16.8" x14ac:dyDescent="0.4"/>
  <cols>
    <col min="1" max="1" width="12.3984375" bestFit="1" customWidth="1"/>
    <col min="8" max="8" width="22.5" customWidth="1"/>
    <col min="9" max="9" width="16.796875" bestFit="1" customWidth="1"/>
    <col min="11" max="11" width="13.796875" customWidth="1"/>
  </cols>
  <sheetData>
    <row r="1" spans="1:11" x14ac:dyDescent="0.4">
      <c r="A1" s="4" t="s">
        <v>97</v>
      </c>
      <c r="H1" s="4" t="s">
        <v>2</v>
      </c>
      <c r="I1" s="4" t="s">
        <v>3</v>
      </c>
    </row>
    <row r="2" spans="1:11" x14ac:dyDescent="0.4">
      <c r="A2" s="5" t="s">
        <v>29</v>
      </c>
      <c r="C2" t="str" cm="1">
        <f t="array" aca="1" ref="C2:C5" ca="1">OFFSET(Pvt!$A$1,1,0,COUNTA(Pvt!$A:$A)-1,1)</f>
        <v>Apple</v>
      </c>
      <c r="H2" t="s">
        <v>29</v>
      </c>
      <c r="I2" t="s">
        <v>30</v>
      </c>
      <c r="K2" t="str" cm="1">
        <f t="array" aca="1" ref="K2:K5" ca="1">OFFSET(Pvt!$I$1,MATCH(G_Siparişler!G5,Pvt!$H:$H,0)-1,0,COUNTIF(Pvt!$H:$H,G_Siparişler!G5),1)</f>
        <v>Galaxy A32</v>
      </c>
    </row>
    <row r="3" spans="1:11" x14ac:dyDescent="0.4">
      <c r="A3" s="5" t="s">
        <v>43</v>
      </c>
      <c r="C3" t="str">
        <f ca="1"/>
        <v>Samsung</v>
      </c>
      <c r="H3" t="s">
        <v>29</v>
      </c>
      <c r="I3" t="s">
        <v>37</v>
      </c>
      <c r="K3" t="str">
        <f ca="1"/>
        <v>Galaxy Note20</v>
      </c>
    </row>
    <row r="4" spans="1:11" x14ac:dyDescent="0.4">
      <c r="A4" s="5" t="s">
        <v>47</v>
      </c>
      <c r="C4" t="str">
        <f ca="1"/>
        <v>Xiaomi</v>
      </c>
      <c r="H4" t="s">
        <v>29</v>
      </c>
      <c r="I4" t="s">
        <v>41</v>
      </c>
      <c r="K4" t="str">
        <f ca="1"/>
        <v>Galaxy S21</v>
      </c>
    </row>
    <row r="5" spans="1:11" x14ac:dyDescent="0.4">
      <c r="A5" s="5" t="s">
        <v>98</v>
      </c>
      <c r="C5" t="str">
        <f ca="1"/>
        <v>Huawei</v>
      </c>
      <c r="H5" t="s">
        <v>29</v>
      </c>
      <c r="I5" t="s">
        <v>42</v>
      </c>
      <c r="K5" t="str">
        <f ca="1"/>
        <v>Galaxy S21 +</v>
      </c>
    </row>
    <row r="6" spans="1:11" x14ac:dyDescent="0.4">
      <c r="H6" t="s">
        <v>43</v>
      </c>
      <c r="I6" t="s">
        <v>50</v>
      </c>
    </row>
    <row r="7" spans="1:11" x14ac:dyDescent="0.4">
      <c r="H7" t="s">
        <v>43</v>
      </c>
      <c r="I7" t="s">
        <v>44</v>
      </c>
    </row>
    <row r="8" spans="1:11" x14ac:dyDescent="0.4">
      <c r="H8" t="s">
        <v>43</v>
      </c>
      <c r="I8" t="s">
        <v>45</v>
      </c>
    </row>
    <row r="9" spans="1:11" x14ac:dyDescent="0.4">
      <c r="H9" t="s">
        <v>43</v>
      </c>
      <c r="I9" t="s">
        <v>46</v>
      </c>
    </row>
    <row r="10" spans="1:11" x14ac:dyDescent="0.4">
      <c r="H10" t="s">
        <v>47</v>
      </c>
      <c r="I10" t="s">
        <v>48</v>
      </c>
    </row>
    <row r="11" spans="1:11" x14ac:dyDescent="0.4">
      <c r="H11" t="s">
        <v>47</v>
      </c>
      <c r="I11" t="s">
        <v>49</v>
      </c>
    </row>
    <row r="12" spans="1:11" x14ac:dyDescent="0.4">
      <c r="H12" t="s">
        <v>98</v>
      </c>
      <c r="I12" t="s">
        <v>99</v>
      </c>
    </row>
    <row r="13" spans="1:11" x14ac:dyDescent="0.4">
      <c r="H13" t="s">
        <v>98</v>
      </c>
      <c r="I13" t="s">
        <v>100</v>
      </c>
    </row>
    <row r="14" spans="1:11" x14ac:dyDescent="0.4">
      <c r="H14" t="s">
        <v>98</v>
      </c>
      <c r="I1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DashBoard</vt:lpstr>
      <vt:lpstr>G_Siparişler</vt:lpstr>
      <vt:lpstr>Dash_Pvt_1</vt:lpstr>
      <vt:lpstr>Dash_Pvt_2</vt:lpstr>
      <vt:lpstr>Dash_Pvt_3</vt:lpstr>
      <vt:lpstr>Dash_Pvt_4</vt:lpstr>
      <vt:lpstr>V_Ürünler</vt:lpstr>
      <vt:lpstr>V_Müşteriler</vt:lpstr>
      <vt:lpstr>Ayarlar</vt:lpstr>
      <vt:lpstr>Pvt</vt:lpstr>
      <vt:lpstr>Dash_Pvt_2!Lst_Müşteri_Bilgileri</vt:lpstr>
      <vt:lpstr>Dash_Pvt_3!Lst_Müşteri_Bilgileri</vt:lpstr>
      <vt:lpstr>Dash_Pvt_4!Lst_Müşteri_Bilgileri</vt:lpstr>
      <vt:lpstr>Lst_Müşteri_Bilgileri</vt:lpstr>
      <vt:lpstr>Dash_Pvt_2!Lst_Sipariş_Durumları</vt:lpstr>
      <vt:lpstr>Dash_Pvt_3!Lst_Sipariş_Durumları</vt:lpstr>
      <vt:lpstr>Dash_Pvt_4!Lst_Sipariş_Durumları</vt:lpstr>
      <vt:lpstr>Lst_Sipariş_Durumları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2023-04-20T11:14:42Z</dcterms:modified>
</cp:coreProperties>
</file>