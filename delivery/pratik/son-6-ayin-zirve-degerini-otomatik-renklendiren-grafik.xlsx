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8CD253DE-3112-4E58-852A-0AE0C479C4D0}" ns3:coauthVersionLast="47" ns3:coauthVersionMax="47" ns4:uidLastSave="{00000000-0000-0000-0000-000000000000}"/>
  <ns0:bookViews>
    <ns0:workbookView xWindow="-96" yWindow="0" windowWidth="11712" windowHeight="12336" ns5:uid="{91D1DAAD-DCCA-4179-A375-F3B364958EBB}" activeTab="0"/>
  </ns0:bookViews>
  <ns0:sheets>
    <ns0:sheet name="Main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C4" i="1" l="1" a="1"/>
  <c r="C4" i="1" s="1"/>
  <c r="D4" i="1" s="1"/>
  <c r="B4" i="1" a="1"/>
  <c r="B4" i="1" s="1"/>
  <c r="C7" i="1" l="1"/>
  <c r="D7" i="1" s="1"/>
  <c r="C6" i="1"/>
  <c r="D6" i="1" s="1"/>
  <c r="C9" i="1"/>
  <c r="D9" i="1" s="1"/>
  <c r="C5" i="1"/>
  <c r="D5" i="1" s="1"/>
  <c r="C8" i="1"/>
  <c r="D8" i="1" s="1"/>
  <c r="B6" i="1"/>
  <c r="B9" i="1"/>
  <c r="B5" i="1"/>
  <c r="B7" i="1"/>
  <c r="B8" i="1"/>
  <c r="E9" i="1" l="1"/>
  <c r="E6" i="1"/>
  <c r="E4" i="1"/>
  <c r="E5" i="1"/>
  <c r="E8" i="1"/>
  <c r="E7" i="1"/>
</calcChain>
</file>

<file path=xl/sharedStrings.xml><?xml version="1.0" encoding="utf-8"?>
<sst xmlns="http://schemas.openxmlformats.org/spreadsheetml/2006/main" count="15" uniqueCount="14">
  <si>
    <t>Tarih</t>
  </si>
  <si>
    <t>Satış</t>
  </si>
  <si>
    <t>Son 6 Sayı</t>
  </si>
  <si>
    <t>Bin</t>
  </si>
  <si>
    <t>mak</t>
  </si>
  <si>
    <t>No</t>
  </si>
  <si>
    <t>HAZIRLIK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</si>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</sst>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₺&quot;#,##0.00;[Red]\-&quot;₺&quot;#,##0.00"/>
    <numFmt numFmtId="164" formatCode="[$-41F]mmmm\ yyyy;@"/>
    <numFmt numFmtId="165" formatCode="&quot;₺&quot;#,##0.00"/>
    <numFmt numFmtId="166" formatCode="&quot;₺&quot;#,##0\ &quot;B&quot;"/>
  </numFmts>
  <fonts count="10" x14ac:knownFonts="1">
    <font>
      <sz val="11"/>
      <color theme="1"/>
      <name val="Century Gothic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1"/>
      <color theme="0"/>
      <name val="Century Gothic"/>
      <family val="2"/>
      <charset val="162"/>
    </font>
    <font>
      <b/>
      <sz val="1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8" fontId="0" fillId="0" borderId="0" xfId="0" applyNumberFormat="1" applyAlignment="1">
      <alignment horizontal="right" vertical="center"/>
    </xf>
    <xf numFmtId="164" fontId="0" fillId="0" borderId="1" xfId="0" applyNumberFormat="1" applyBorder="1" applyAlignment="1">
      <alignment horizontal="left" vertical="center"/>
    </xf>
    <xf numFmtId="8" fontId="0" fillId="0" borderId="1" xfId="0" applyNumberForma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4" fillId="0" borderId="0" xfId="0" applyFont="1"/>
    <xf numFmtId="165" fontId="0" fillId="0" borderId="1" xfId="0" applyNumberFormat="1" applyBorder="1" applyAlignment="1">
      <alignment horizontal="left" vertical="center"/>
    </xf>
    <xf numFmtId="165" fontId="0" fillId="0" borderId="1" xfId="0" applyNumberFormat="1" applyBorder="1"/>
    <xf numFmtId="166" fontId="0" fillId="0" borderId="1" xfId="0" applyNumberFormat="1" applyBorder="1"/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7" fillId="2" borderId="2" xfId="2" applyFont="1" applyFill="1" applyBorder="1" applyAlignment="1">
      <alignment horizontal="left" vertical="center" wrapText="1" indent="1"/>
    </xf>
    <xf numFmtId="0" fontId="7" fillId="2" borderId="0" xfId="2" applyFont="1" applyFill="1" applyAlignment="1">
      <alignment horizontal="left" vertical="center" wrapText="1" indent="1"/>
    </xf>
    <xf numFmtId="0" fontId="7" fillId="2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4" borderId="0" xfId="2" applyFill="1" applyAlignment="1">
      <alignment horizontal="left" vertical="center"/>
    </xf>
    <xf numFmtId="0" fontId="1" fillId="4" borderId="0" xfId="2" applyFill="1" applyAlignment="1">
      <alignment horizontal="left" vertical="top"/>
    </xf>
    <xf numFmtId="0" fontId="8" fillId="4" borderId="3" xfId="2" applyFont="1" applyFill="1" applyBorder="1" applyAlignment="1">
      <alignment vertical="top"/>
    </xf>
    <xf numFmtId="0" fontId="1" fillId="4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9" fillId="4" borderId="0" xfId="3" applyFill="1" applyAlignment="1">
      <alignment horizontal="left" vertical="center"/>
    </xf>
    <xf numFmtId="0" fontId="1" fillId="4" borderId="0" xfId="2" applyFill="1" applyAlignment="1">
      <alignment vertical="center" wrapText="1"/>
    </xf>
    <xf numFmtId="0" fontId="1" fillId="4" borderId="0" xfId="2" applyFill="1" applyAlignment="1">
      <alignment vertical="top" wrapText="1"/>
    </xf>
    <xf numFmtId="0" fontId="1" fillId="4" borderId="0" xfId="2" applyFill="1"/>
    <xf numFmtId="0" fontId="1" fillId="4" borderId="0" xfId="2" applyFill="1" applyAlignment="1">
      <alignment horizontal="left" vertical="top" wrapText="1"/>
    </xf>
    <xf numFmtId="0" fontId="0" fillId="4" borderId="0" xfId="2" applyFont="1" applyFill="1" applyAlignment="1">
      <alignment horizontal="left" vertical="top" wrapText="1"/>
    </xf>
    <xf numFmtId="0" fontId="1" fillId="0" borderId="0" xfId="2"/>
    <xf numFmtId="0" fontId="1" fillId="4" borderId="0" xfId="2" applyFill="1" applyAlignment="1">
      <alignment horizontal="left" vertical="center" wrapText="1"/>
    </xf>
  </cellXfs>
  <cellStyles count="4">
    <cellStyle name="Köprü 2" xfId="3" xr:uid="{72F61705-7011-4E01-9342-97B87F70CB4E}"/>
    <cellStyle name="Normal" xfId="0" builtinId="0"/>
    <cellStyle name="Normal 2" xfId="1" xr:uid="{D471748B-07AB-4187-922F-55225214EE2D}"/>
    <cellStyle name="Normal 2 2" xfId="2" xr:uid="{9AD544BF-BB98-415D-B839-074A4AB2DF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100" b="0" i="0" baseline="0">
                <a:effectLst/>
              </a:rPr>
              <a:t>Son 6 Ay Satış Rakamları</a:t>
            </a:r>
            <a:endParaRPr lang="tr-TR" sz="1100">
              <a:effectLst/>
            </a:endParaRPr>
          </a:p>
        </c:rich>
      </c:tx>
      <c:layout>
        <c:manualLayout>
          <c:xMode val="edge"/>
          <c:yMode val="edge"/>
          <c:x val="0.27890639162646663"/>
          <c:y val="9.92355546513858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Main!$D$3</c:f>
              <c:strCache>
                <c:ptCount val="1"/>
                <c:pt idx="0">
                  <c:v>Bin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Main!$B$4:$B$9</c:f>
              <c:numCache>
                <c:formatCode>[$-41F]mmmm\ yyyy;@</c:formatCode>
                <c:ptCount val="6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</c:numCache>
            </c:numRef>
          </c:cat>
          <c:val>
            <c:numRef>
              <c:f>Main!$D$4:$D$9</c:f>
              <c:numCache>
                <c:formatCode>"₺"#,##0\ "B"</c:formatCode>
                <c:ptCount val="6"/>
                <c:pt idx="0">
                  <c:v>216.52199999999999</c:v>
                </c:pt>
                <c:pt idx="1">
                  <c:v>215.06700000000001</c:v>
                </c:pt>
                <c:pt idx="2">
                  <c:v>244.89599999999999</c:v>
                </c:pt>
                <c:pt idx="3">
                  <c:v>370.05799999999999</c:v>
                </c:pt>
                <c:pt idx="4">
                  <c:v>266.07799999999997</c:v>
                </c:pt>
                <c:pt idx="5">
                  <c:v>290.12799999999999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C-4158-A143-4F7982D714B9}"/>
            </c:ext>
          </c:extLst>
        </c:ser>
        <c:ser>
          <c:idx val="1"/>
          <c:order val="1"/>
          <c:tx>
            <c:strRef>
              <c:f>Main!$E$3</c:f>
              <c:strCache>
                <c:ptCount val="1"/>
                <c:pt idx="0">
                  <c:v>mak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Main!$B$4:$B$9</c:f>
              <c:numCache>
                <c:formatCode>[$-41F]mmmm\ yyyy;@</c:formatCode>
                <c:ptCount val="6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</c:numCache>
            </c:numRef>
          </c:cat>
          <c:val>
            <c:numRef>
              <c:f>Main!$E$4:$E$9</c:f>
              <c:numCache>
                <c:formatCode>"₺"#,##0\ "B"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370.05799999999999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C-4158-A143-4F7982D71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36154064"/>
        <c:axId val="536156360"/>
      </c:barChart>
      <c:dateAx>
        <c:axId val="53615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F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156360"/>
        <c:crosses val="autoZero"/>
        <c:auto val="1"/>
        <c:lblOffset val="100"/>
        <c:baseTimeUnit val="months"/>
      </c:dateAx>
      <c:valAx>
        <c:axId val="536156360"/>
        <c:scaling>
          <c:orientation val="minMax"/>
        </c:scaling>
        <c:delete val="1"/>
        <c:axPos val="l"/>
        <c:numFmt formatCode="&quot;₺&quot;#,##0\ &quot;B&quot;" sourceLinked="1"/>
        <c:majorTickMark val="none"/>
        <c:minorTickMark val="none"/>
        <c:tickLblPos val="nextTo"/>
        <c:crossAx val="53615406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289033</xdr:colOff>
      <xdr:row>1</xdr:row>
      <xdr:rowOff>65691</xdr:rowOff>
    </xdr:from>
    <xdr:to>
      <xdr:col>14</xdr:col>
      <xdr:colOff>492671</xdr:colOff>
      <xdr:row>14</xdr:row>
      <xdr:rowOff>151086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E80F66C4-7CB3-47DF-89D6-29D835D37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xl751">
  <a:themeElements>
    <a:clrScheme name="xl751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11914F"/>
      </a:accent1>
      <a:accent2>
        <a:srgbClr val="DD2F45"/>
      </a:accent2>
      <a:accent3>
        <a:srgbClr val="FFDF2B"/>
      </a:accent3>
      <a:accent4>
        <a:srgbClr val="343434"/>
      </a:accent4>
      <a:accent5>
        <a:srgbClr val="2B5A92"/>
      </a:accent5>
      <a:accent6>
        <a:srgbClr val="7B1EA4"/>
      </a:accent6>
      <a:hlink>
        <a:srgbClr val="EB8803"/>
      </a:hlink>
      <a:folHlink>
        <a:srgbClr val="5F77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AAB3-721C-49E1-92B5-60908B47162B}">
  <sheetPr codeName="Sayfa2"/>
  <dimension ref="A1:H21"/>
  <sheetViews>
    <sheetView showGridLines="0" topLeftCell="F1" zoomScale="145" zoomScaleNormal="145" workbookViewId="0">
      <selection activeCell="G15" sqref="G15"/>
    </sheetView>
  </sheetViews>
  <sheetFormatPr defaultRowHeight="13.8" x14ac:dyDescent="0.25"/>
  <cols>
    <col min="1" max="1" width="3.8984375" hidden="1" customWidth="1"/>
    <col min="2" max="2" width="15.59765625" hidden="1" customWidth="1"/>
    <col min="3" max="3" width="11" hidden="1" customWidth="1"/>
    <col min="4" max="5" width="11.09765625" hidden="1" customWidth="1"/>
    <col min="6" max="6" width="3" customWidth="1"/>
    <col min="7" max="7" width="13.8984375" style="1" customWidth="1"/>
    <col min="8" max="8" width="12.5" style="2" customWidth="1"/>
  </cols>
  <sheetData>
    <row r="1" spans="1:8" ht="22.5" customHeight="1" x14ac:dyDescent="0.4">
      <c r="A1" s="11" t="s">
        <v>6</v>
      </c>
      <c r="G1" s="6" t="s">
        <v>0</v>
      </c>
      <c r="H1" s="7" t="s">
        <v>1</v>
      </c>
    </row>
    <row r="2" spans="1:8" x14ac:dyDescent="0.25">
      <c r="G2" s="4">
        <v>44044</v>
      </c>
      <c r="H2" s="5">
        <v>394579</v>
      </c>
    </row>
    <row r="3" spans="1:8" x14ac:dyDescent="0.25">
      <c r="A3" s="8" t="s">
        <v>5</v>
      </c>
      <c r="B3" s="8" t="s">
        <v>0</v>
      </c>
      <c r="C3" s="8" t="s">
        <v>2</v>
      </c>
      <c r="D3" s="9" t="s">
        <v>3</v>
      </c>
      <c r="E3" s="9" t="s">
        <v>4</v>
      </c>
      <c r="G3" s="4">
        <v>44075</v>
      </c>
      <c r="H3" s="5">
        <v>472987</v>
      </c>
    </row>
    <row r="4" spans="1:8" x14ac:dyDescent="0.25">
      <c r="A4" s="10">
        <v>1</v>
      </c>
      <c r="B4" s="4">
        <f t="array" aca="1" ref="B4:B9" ca="1">OFFSET(G1,COUNTA(G:G)-6,0,6,1)</f>
        <v>44197</v>
      </c>
      <c r="C4" s="12">
        <f t="array" aca="1" ref="C4:C9" ca="1">OFFSET(H1,COUNTA(H:H)-6,0,6,1)</f>
        <v>216522</v>
      </c>
      <c r="D4" s="14">
        <f ca="1">C4/1000</f>
        <v>216.52199999999999</v>
      </c>
      <c r="E4" s="14">
        <f ca="1">IF(D4=MAX($D$4:$D$9),D4,0)</f>
        <v>0</v>
      </c>
      <c r="G4" s="4">
        <v>44105</v>
      </c>
      <c r="H4" s="5">
        <v>382876</v>
      </c>
    </row>
    <row r="5" spans="1:8" x14ac:dyDescent="0.25">
      <c r="A5" s="10">
        <v>2</v>
      </c>
      <c r="B5" s="4">
        <f ca="1"/>
        <v>44228</v>
      </c>
      <c r="C5" s="13">
        <f ca="1"/>
        <v>215067</v>
      </c>
      <c r="D5" s="14">
        <f t="shared" ref="D5:D9" ca="1" si="0">C5/1000</f>
        <v>215.06700000000001</v>
      </c>
      <c r="E5" s="14">
        <f t="shared" ref="E5:E9" ca="1" si="1">IF(D5=MAX($D$4:$D$9),D5,0)</f>
        <v>0</v>
      </c>
      <c r="G5" s="4">
        <v>44136</v>
      </c>
      <c r="H5" s="5">
        <v>153767</v>
      </c>
    </row>
    <row r="6" spans="1:8" x14ac:dyDescent="0.25">
      <c r="A6" s="10">
        <v>3</v>
      </c>
      <c r="B6" s="4">
        <f ca="1"/>
        <v>44256</v>
      </c>
      <c r="C6" s="13">
        <f ca="1"/>
        <v>244896</v>
      </c>
      <c r="D6" s="14">
        <f t="shared" ca="1" si="0"/>
        <v>244.89599999999999</v>
      </c>
      <c r="E6" s="14">
        <f t="shared" ca="1" si="1"/>
        <v>0</v>
      </c>
      <c r="G6" s="4">
        <v>44166</v>
      </c>
      <c r="H6" s="5">
        <v>377015</v>
      </c>
    </row>
    <row r="7" spans="1:8" x14ac:dyDescent="0.25">
      <c r="A7" s="10">
        <v>4</v>
      </c>
      <c r="B7" s="4">
        <f ca="1"/>
        <v>44287</v>
      </c>
      <c r="C7" s="13">
        <f ca="1"/>
        <v>370058</v>
      </c>
      <c r="D7" s="14">
        <f t="shared" ca="1" si="0"/>
        <v>370.05799999999999</v>
      </c>
      <c r="E7" s="14">
        <f t="shared" ca="1" si="1"/>
        <v>370.05799999999999</v>
      </c>
      <c r="G7" s="4">
        <v>44197</v>
      </c>
      <c r="H7" s="5">
        <v>216522</v>
      </c>
    </row>
    <row r="8" spans="1:8" x14ac:dyDescent="0.25">
      <c r="A8" s="10">
        <v>5</v>
      </c>
      <c r="B8" s="4">
        <f ca="1"/>
        <v>44317</v>
      </c>
      <c r="C8" s="13">
        <f ca="1"/>
        <v>266078</v>
      </c>
      <c r="D8" s="14">
        <f t="shared" ca="1" si="0"/>
        <v>266.07799999999997</v>
      </c>
      <c r="E8" s="14">
        <f t="shared" ca="1" si="1"/>
        <v>0</v>
      </c>
      <c r="G8" s="4">
        <v>44228</v>
      </c>
      <c r="H8" s="5">
        <v>215067</v>
      </c>
    </row>
    <row r="9" spans="1:8" x14ac:dyDescent="0.25">
      <c r="A9" s="10">
        <v>6</v>
      </c>
      <c r="B9" s="4">
        <f ca="1"/>
        <v>44348</v>
      </c>
      <c r="C9" s="13">
        <f ca="1"/>
        <v>290128</v>
      </c>
      <c r="D9" s="14">
        <f t="shared" ca="1" si="0"/>
        <v>290.12799999999999</v>
      </c>
      <c r="E9" s="14">
        <f t="shared" ca="1" si="1"/>
        <v>0</v>
      </c>
      <c r="G9" s="4">
        <v>44256</v>
      </c>
      <c r="H9" s="5">
        <v>244896</v>
      </c>
    </row>
    <row r="10" spans="1:8" x14ac:dyDescent="0.25">
      <c r="G10" s="4">
        <v>44287</v>
      </c>
      <c r="H10" s="5">
        <v>370058</v>
      </c>
    </row>
    <row r="11" spans="1:8" x14ac:dyDescent="0.25">
      <c r="G11" s="4">
        <v>44317</v>
      </c>
      <c r="H11" s="5">
        <v>266078</v>
      </c>
    </row>
    <row r="12" spans="1:8" x14ac:dyDescent="0.25">
      <c r="G12" s="4">
        <v>44348</v>
      </c>
      <c r="H12" s="5">
        <v>290128</v>
      </c>
    </row>
    <row r="13" spans="1:8" x14ac:dyDescent="0.25">
      <c r="G13"/>
      <c r="H13"/>
    </row>
    <row r="14" spans="1:8" x14ac:dyDescent="0.25">
      <c r="G14"/>
      <c r="H14"/>
    </row>
    <row r="15" spans="1:8" x14ac:dyDescent="0.25">
      <c r="G15"/>
      <c r="H15"/>
    </row>
    <row r="16" spans="1:8" x14ac:dyDescent="0.25">
      <c r="G16"/>
      <c r="H16"/>
    </row>
    <row r="17" spans="7:8" x14ac:dyDescent="0.25">
      <c r="G17"/>
      <c r="H17"/>
    </row>
    <row r="18" spans="7:8" x14ac:dyDescent="0.25">
      <c r="G18"/>
      <c r="H18"/>
    </row>
    <row r="19" spans="7:8" x14ac:dyDescent="0.25">
      <c r="G19"/>
      <c r="H19"/>
    </row>
    <row r="20" spans="7:8" x14ac:dyDescent="0.25">
      <c r="H20" s="3"/>
    </row>
    <row r="21" spans="7:8" x14ac:dyDescent="0.25">
      <c r="H21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2021-07-22T18:06:30Z</dcterms:created>
  <dcterms:modified xsi:type="dcterms:W3CDTF">2023-04-20T10:20:43Z</dcterms:modified>
</cp:coreProperties>
</file>