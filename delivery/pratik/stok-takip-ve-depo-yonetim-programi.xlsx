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 hidePivotFieldList="1"/>
  <ns2:revisionPtr revIDLastSave="0" documentId="13_ncr:1_{98BC1B8D-577E-448A-8E09-C30451214077}" ns3:coauthVersionLast="47" ns3:coauthVersionMax="47" ns4:uidLastSave="{00000000-0000-0000-0000-000000000000}"/>
  <ns0:bookViews>
    <ns0:workbookView xWindow="-108" yWindow="-108" windowWidth="23256" windowHeight="12456" ns5:uid="{00000000-000D-0000-FFFF-FFFF00000000}" activeTab="0"/>
  </ns0:bookViews>
  <ns0:sheets>
    <ns0:sheet name="Stok Hareketleri" sheetId="1" ns6:id="rId2"/>
    <ns0:sheet name="Ürünlerim" sheetId="3" ns6:id="rId3"/>
    <ns0:sheet name="Rapor" sheetId="2" ns6:id="rId4"/>
  </ns0:sheets>
  <ns0:externalReferences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[3]!Tablo1[İsim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ümHisseler">[6]!TÜM_HİSSELER_1[Menkul]</ns0:definedName>
    <ns0:definedName name="Lst_Ürün_Ailesi">[2]!Tbl_Ürün_Ailesi[Ürün Ailesi]</ns0:definedName>
    <ns0:definedName name="Lst_Ürünler">[1]!Tablo4[Ürün Adı]</ns0:definedName>
    <ns0:definedName name="Lst_Ürünlerim">Tablo2[Ürün Adı]</ns0:definedName>
    <ns0:definedName name="Lst_Yıl_Ay">[2]!Tablo8[Tarihler]</ns0:definedName>
    <ns0:definedName name="oran">[7]Ürün_Fiyat_Listesi!$E$3</ns0:definedName>
  </ns0:definedNames>
  <ns0:calcPr calcId="191029"/>
  <ns0:pivotCaches>
    <ns0:pivotCache cacheId="6" ns6:id="rId12"/>
  </ns0:pivotCaches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D7" i="1" l="1"/>
  <c r="D8" i="1" s="1"/>
</calcChain>
</file>

<file path=xl/sharedStrings.xml><?xml version="1.0" encoding="utf-8"?>
<sst xmlns="http://schemas.openxmlformats.org/spreadsheetml/2006/main" count="45" uniqueCount="25">
  <si>
    <t>STOK HAREKETLERİ</t>
  </si>
  <si>
    <t>Sorgulama</t>
  </si>
  <si>
    <t>Ürün Adı</t>
  </si>
  <si>
    <t>Stok Adeti</t>
  </si>
  <si>
    <t>Değeri</t>
  </si>
  <si>
    <t>Tarih</t>
  </si>
  <si>
    <t>Giriş Adeti</t>
  </si>
  <si>
    <t>Çıkış Adeti</t>
  </si>
  <si>
    <t>ÜRÜNLERİM</t>
  </si>
  <si>
    <t>Alış Fiyatı</t>
  </si>
  <si>
    <t>Satış Fiyatı</t>
  </si>
  <si>
    <t>Ürün 1</t>
  </si>
  <si>
    <t>Ürün 2</t>
  </si>
  <si>
    <t>Ürün 3</t>
  </si>
  <si>
    <t>RAPOR</t>
  </si>
  <si>
    <t>Satır Etiketleri</t>
  </si>
  <si>
    <t>Genel Toplam</t>
  </si>
  <si>
    <t>Toplam Kalan Stok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</si>
  <si>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</si>
  <si>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</si>
  <si>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</si>
  <si>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</si>
  <si>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</si>
  <si>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scheme val="minor"/>
      </rPr>
      <t>Kullanıcı Kılavuzunu in</t>
    </r>
    <r>
      <rPr>
        <sz val="11"/>
        <color theme="1"/>
        <rFont val="Century Gothic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</si>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</sst>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₺&quot;#,##0.00;[Red]\-&quot;₺&quot;#,##0.00"/>
  </numFmts>
  <fonts count="1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6"/>
      <color theme="4"/>
      <name val="Century Gothic"/>
      <family val="2"/>
      <charset val="162"/>
      <scheme val="minor"/>
    </font>
    <font>
      <b/>
      <sz val="11"/>
      <color theme="1"/>
      <name val="Century Gothic"/>
      <family val="2"/>
      <charset val="162"/>
      <scheme val="minor"/>
    </font>
    <font>
      <sz val="8"/>
      <name val="Century Gothic"/>
      <family val="2"/>
      <scheme val="minor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  <font>
      <sz val="10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ck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4" fillId="0" borderId="0" xfId="0" applyFont="1"/>
    <xf numFmtId="8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3" borderId="0" xfId="2" applyFont="1" applyFill="1" applyAlignment="1">
      <alignment horizontal="left" vertical="center" wrapText="1"/>
    </xf>
    <xf numFmtId="0" fontId="6" fillId="3" borderId="0" xfId="2" applyFont="1" applyFill="1" applyAlignment="1">
      <alignment horizontal="left" vertical="center"/>
    </xf>
    <xf numFmtId="0" fontId="7" fillId="3" borderId="2" xfId="2" applyFont="1" applyFill="1" applyBorder="1" applyAlignment="1">
      <alignment horizontal="left" vertical="center" wrapText="1" indent="1"/>
    </xf>
    <xf numFmtId="0" fontId="7" fillId="3" borderId="0" xfId="2" applyFont="1" applyFill="1" applyAlignment="1">
      <alignment horizontal="left" vertical="center" wrapText="1" indent="1"/>
    </xf>
    <xf numFmtId="0" fontId="7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8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9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  <xf numFmtId="0" fontId="4" fillId="0" borderId="4" xfId="0" applyFont="1" applyBorder="1" applyAlignment="1">
      <alignment horizontal="left" indent="1"/>
    </xf>
    <xf numFmtId="0" fontId="4" fillId="2" borderId="4" xfId="0" applyFont="1" applyFill="1" applyBorder="1" applyAlignment="1">
      <alignment horizontal="left" indent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8" fontId="0" fillId="2" borderId="4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0" borderId="0" xfId="0" pivotButton="1" applyFont="1"/>
    <xf numFmtId="0" fontId="10" fillId="0" borderId="0" xfId="0" applyFont="1" applyAlignment="1">
      <alignment shrinkToFit="1"/>
    </xf>
  </cellXfs>
  <cellStyles count="4">
    <cellStyle name="Köprü 2" xfId="3" xr:uid="{DD379F18-A5F8-40E4-94C9-D98A0F2B5375}"/>
    <cellStyle name="Normal" xfId="0" builtinId="0"/>
    <cellStyle name="Normal 2" xfId="1" xr:uid="{A5638564-ACF0-4ACF-8E7A-7460D32BEE0D}"/>
    <cellStyle name="Normal 2 2" xfId="2" xr:uid="{3F01C8FC-F647-4B74-B73E-9B11D2486A02}"/>
  </cellStyles>
  <dxfs count="25"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alignment shrinkToFit="1"/>
    </dxf>
    <dxf>
      <alignment shrinkToFit="1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₺&quot;#,##0.00;[Red]\-&quot;₺&quot;#,##0.00"/>
      <alignment horizontal="center" vertical="center" textRotation="0" wrapText="0" indent="0" justifyLastLine="0" shrinkToFit="0" readingOrder="0"/>
    </dxf>
    <dxf>
      <numFmt numFmtId="12" formatCode="&quot;₺&quot;#,##0.00;[Red]\-&quot;₺&quot;#,##0.00"/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StyleMedium2 2" pivot="0" count="7" xr9:uid="{FF503A5F-D100-4732-9E93-2BCD3176D28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mruColors>
      <color rgb="FFFFFF66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4.xml" /><ns0:Relationship Id="rId13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3.xml" /><ns0:Relationship Id="rId12" Type="http://schemas.openxmlformats.org/officeDocument/2006/relationships/pivotCacheDefinition" Target="pivotCache/pivotCacheDefinition1.xml" /><ns0:Relationship Id="rId2" Type="http://schemas.openxmlformats.org/officeDocument/2006/relationships/worksheet" Target="worksheets/sheet2.xml" /><ns0:Relationship Id="rId16" Type="http://schemas.openxmlformats.org/officeDocument/2006/relationships/calcChain" Target="calcChain.xml" /><ns0:Relationship Id="rId6" Type="http://schemas.openxmlformats.org/officeDocument/2006/relationships/externalLink" Target="externalLinks/externalLink2.xml" /><ns0:Relationship Id="rId11" Type="http://schemas.openxmlformats.org/officeDocument/2006/relationships/externalLink" Target="externalLinks/externalLink7.xml" /><ns0:Relationship Id="rId5" Type="http://schemas.openxmlformats.org/officeDocument/2006/relationships/externalLink" Target="externalLinks/externalLink1.xml" /><ns0:Relationship Id="rId15" Type="http://schemas.openxmlformats.org/officeDocument/2006/relationships/sharedStrings" Target="sharedStrings.xml" /><ns0:Relationship Id="rId10" Type="http://schemas.openxmlformats.org/officeDocument/2006/relationships/externalLink" Target="externalLinks/externalLink6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5.xml" /><ns0:Relationship Id="rId14" Type="http://schemas.openxmlformats.org/officeDocument/2006/relationships/styles" Target="styles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[-Stok_Programı.xlsm]Rapor!PivotTable1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710118748462285"/>
              <c:y val="-0.145138670166229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Rapor!$D$5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674-4CA3-9D5B-E6E75E82247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674-4CA3-9D5B-E6E75E82247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74-4CA3-9D5B-E6E75E822474}"/>
              </c:ext>
            </c:extLst>
          </c:dPt>
          <c:dLbls>
            <c:dLbl>
              <c:idx val="1"/>
              <c:layout>
                <c:manualLayout>
                  <c:x val="0.16710118748462285"/>
                  <c:y val="-0.145138670166229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74-4CA3-9D5B-E6E75E8224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Rapor!$C$6:$C$9</c:f>
              <c:strCache>
                <c:ptCount val="3"/>
                <c:pt idx="0">
                  <c:v>Ürün 1</c:v>
                </c:pt>
                <c:pt idx="1">
                  <c:v>Ürün 2</c:v>
                </c:pt>
                <c:pt idx="2">
                  <c:v>Ürün 3</c:v>
                </c:pt>
              </c:strCache>
            </c:strRef>
          </c:cat>
          <c:val>
            <c:numRef>
              <c:f>Rapor!$D$6:$D$9</c:f>
              <c:numCache>
                <c:formatCode>General</c:formatCode>
                <c:ptCount val="3"/>
                <c:pt idx="0">
                  <c:v>108</c:v>
                </c:pt>
                <c:pt idx="1">
                  <c:v>51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4-4CA3-9D5B-E6E75E8224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[-Stok_Programı.xlsm]Rapor!PivotTable1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i="1"/>
              <a:t>Kalan Stok Dağılımı</a:t>
            </a:r>
            <a:endParaRPr lang="en-US" sz="12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Rapor!$D$5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Rapor!$C$6:$C$9</c:f>
              <c:strCache>
                <c:ptCount val="3"/>
                <c:pt idx="0">
                  <c:v>Ürün 1</c:v>
                </c:pt>
                <c:pt idx="1">
                  <c:v>Ürün 2</c:v>
                </c:pt>
                <c:pt idx="2">
                  <c:v>Ürün 3</c:v>
                </c:pt>
              </c:strCache>
            </c:strRef>
          </c:cat>
          <c:val>
            <c:numRef>
              <c:f>Rapor!$D$6:$D$9</c:f>
              <c:numCache>
                <c:formatCode>General</c:formatCode>
                <c:ptCount val="3"/>
                <c:pt idx="0">
                  <c:v>108</c:v>
                </c:pt>
                <c:pt idx="1">
                  <c:v>51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C-4998-ABED-ACA4CF6666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axId val="1952675952"/>
        <c:axId val="1952676432"/>
      </c:barChart>
      <c:catAx>
        <c:axId val="195267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76432"/>
        <c:crosses val="autoZero"/>
        <c:auto val="1"/>
        <c:lblAlgn val="ctr"/>
        <c:lblOffset val="100"/>
        <c:noMultiLvlLbl val="0"/>
      </c:catAx>
      <c:valAx>
        <c:axId val="195267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5267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20;r&#252;nlerim!A1"/><Relationship Id="rId2" Type="http://schemas.openxmlformats.org/officeDocument/2006/relationships/hyperlink" Target="#Rapor!A1"/><Relationship Id="rId1" Type="http://schemas.openxmlformats.org/officeDocument/2006/relationships/hyperlink" Target="#'Stok Hareketleri'!A1"/><Relationship Id="rId5" Type="http://schemas.openxmlformats.org/officeDocument/2006/relationships/image" Target="../media/image13.sv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20;r&#252;nlerim!A1"/><Relationship Id="rId2" Type="http://schemas.openxmlformats.org/officeDocument/2006/relationships/hyperlink" Target="#Rapor!A1"/><Relationship Id="rId1" Type="http://schemas.openxmlformats.org/officeDocument/2006/relationships/hyperlink" Target="#'Stok Hareketleri'!A1"/><Relationship Id="rId5" Type="http://schemas.openxmlformats.org/officeDocument/2006/relationships/image" Target="../media/image13.sv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Rapor!A1"/><Relationship Id="rId7" Type="http://schemas.openxmlformats.org/officeDocument/2006/relationships/chart" Target="../charts/chart2.xml"/><Relationship Id="rId2" Type="http://schemas.openxmlformats.org/officeDocument/2006/relationships/hyperlink" Target="#'Stok Hareketleri'!A1"/><Relationship Id="rId1" Type="http://schemas.openxmlformats.org/officeDocument/2006/relationships/chart" Target="../charts/chart1.xml"/><Relationship Id="rId6" Type="http://schemas.openxmlformats.org/officeDocument/2006/relationships/image" Target="../media/image13.svg"/><Relationship Id="rId5" Type="http://schemas.openxmlformats.org/officeDocument/2006/relationships/image" Target="../media/image12.png"/><Relationship Id="rId4" Type="http://schemas.openxmlformats.org/officeDocument/2006/relationships/hyperlink" Target="#&#220;r&#252;nlerim!A1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171450</xdr:rowOff>
    </xdr:from>
    <xdr:to>
      <xdr:col>0</xdr:col>
      <xdr:colOff>1533525</xdr:colOff>
      <xdr:row>5</xdr:row>
      <xdr:rowOff>57150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AB657E2A-FA55-4907-B4CF-035894CAA785}"/>
            </a:ext>
          </a:extLst>
        </xdr:cNvPr>
        <xdr:cNvSpPr txBox="1"/>
      </xdr:nvSpPr>
      <xdr:spPr>
        <a:xfrm>
          <a:off x="66675" y="171450"/>
          <a:ext cx="1466850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 b="1">
              <a:solidFill>
                <a:schemeClr val="accent1"/>
              </a:solidFill>
            </a:rPr>
            <a:t>STOK PROGRAMI</a:t>
          </a:r>
        </a:p>
      </xdr:txBody>
    </xdr:sp>
    <xdr:clientData/>
  </xdr:twoCellAnchor>
  <xdr:twoCellAnchor>
    <xdr:from>
      <xdr:col>0</xdr:col>
      <xdr:colOff>5862</xdr:colOff>
      <xdr:row>5</xdr:row>
      <xdr:rowOff>173355</xdr:rowOff>
    </xdr:from>
    <xdr:to>
      <xdr:col>0</xdr:col>
      <xdr:colOff>1975338</xdr:colOff>
      <xdr:row>8</xdr:row>
      <xdr:rowOff>111369</xdr:rowOff>
    </xdr:to>
    <xdr:sp macro="" textlink="">
      <xdr:nvSpPr>
        <xdr:cNvPr id="3" name="Dikdörtgen: Çapraz Köşeleri Yuvarlatılmış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AD6E3-0080-4CB2-9A41-71C3E4EDAB49}"/>
            </a:ext>
          </a:extLst>
        </xdr:cNvPr>
        <xdr:cNvSpPr/>
      </xdr:nvSpPr>
      <xdr:spPr>
        <a:xfrm>
          <a:off x="5862" y="1052586"/>
          <a:ext cx="1969476" cy="465552"/>
        </a:xfrm>
        <a:prstGeom prst="round2DiagRect">
          <a:avLst>
            <a:gd name="adj1" fmla="val 0"/>
            <a:gd name="adj2" fmla="val 0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/>
            <a:t>Stok Hareketleri</a:t>
          </a:r>
        </a:p>
      </xdr:txBody>
    </xdr:sp>
    <xdr:clientData/>
  </xdr:twoCellAnchor>
  <xdr:twoCellAnchor>
    <xdr:from>
      <xdr:col>0</xdr:col>
      <xdr:colOff>5862</xdr:colOff>
      <xdr:row>13</xdr:row>
      <xdr:rowOff>80595</xdr:rowOff>
    </xdr:from>
    <xdr:to>
      <xdr:col>0</xdr:col>
      <xdr:colOff>1975338</xdr:colOff>
      <xdr:row>16</xdr:row>
      <xdr:rowOff>8468</xdr:rowOff>
    </xdr:to>
    <xdr:sp macro="" textlink="">
      <xdr:nvSpPr>
        <xdr:cNvPr id="4" name="Dikdörtgen: Çapraz Köşeleri Yuvarlatılmış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6066BC-79A8-4F97-8BB2-D932A8940B31}"/>
            </a:ext>
          </a:extLst>
        </xdr:cNvPr>
        <xdr:cNvSpPr/>
      </xdr:nvSpPr>
      <xdr:spPr>
        <a:xfrm>
          <a:off x="5862" y="2366595"/>
          <a:ext cx="1969476" cy="455411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Rapor</a:t>
          </a:r>
        </a:p>
      </xdr:txBody>
    </xdr:sp>
    <xdr:clientData/>
  </xdr:twoCellAnchor>
  <xdr:twoCellAnchor>
    <xdr:from>
      <xdr:col>0</xdr:col>
      <xdr:colOff>5862</xdr:colOff>
      <xdr:row>9</xdr:row>
      <xdr:rowOff>132046</xdr:rowOff>
    </xdr:from>
    <xdr:to>
      <xdr:col>0</xdr:col>
      <xdr:colOff>1975338</xdr:colOff>
      <xdr:row>12</xdr:row>
      <xdr:rowOff>59917</xdr:rowOff>
    </xdr:to>
    <xdr:sp macro="" textlink="">
      <xdr:nvSpPr>
        <xdr:cNvPr id="6" name="Dikdörtgen: Çapraz Köşeleri Yuvarlatılmış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E957EE-2395-4303-A1CD-1831B2C4A4AE}"/>
            </a:ext>
          </a:extLst>
        </xdr:cNvPr>
        <xdr:cNvSpPr/>
      </xdr:nvSpPr>
      <xdr:spPr>
        <a:xfrm>
          <a:off x="5862" y="1714661"/>
          <a:ext cx="1969476" cy="455410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Ürünlerim</a:t>
          </a:r>
        </a:p>
      </xdr:txBody>
    </xdr:sp>
    <xdr:clientData/>
  </xdr:twoCellAnchor>
  <xdr:twoCellAnchor editAs="oneCell">
    <xdr:from>
      <xdr:col>0</xdr:col>
      <xdr:colOff>474787</xdr:colOff>
      <xdr:row>19</xdr:row>
      <xdr:rowOff>13646</xdr:rowOff>
    </xdr:from>
    <xdr:to>
      <xdr:col>0</xdr:col>
      <xdr:colOff>1359876</xdr:colOff>
      <xdr:row>19</xdr:row>
      <xdr:rowOff>144770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426752-1D36-B44F-D00B-6468B71E8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rcRect/>
        <a:stretch/>
      </xdr:blipFill>
      <xdr:spPr>
        <a:xfrm>
          <a:off x="474787" y="3354723"/>
          <a:ext cx="885089" cy="131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171450</xdr:rowOff>
    </xdr:from>
    <xdr:to>
      <xdr:col>0</xdr:col>
      <xdr:colOff>1533525</xdr:colOff>
      <xdr:row>5</xdr:row>
      <xdr:rowOff>57150</xdr:rowOff>
    </xdr:to>
    <xdr:sp macro="" textlink="">
      <xdr:nvSpPr>
        <xdr:cNvPr id="22" name="Metin kutusu 1">
          <a:extLst>
            <a:ext uri="{FF2B5EF4-FFF2-40B4-BE49-F238E27FC236}">
              <a16:creationId xmlns:a16="http://schemas.microsoft.com/office/drawing/2014/main" id="{92F24718-47DF-4983-9780-9DC0BA5D3501}"/>
            </a:ext>
          </a:extLst>
        </xdr:cNvPr>
        <xdr:cNvSpPr txBox="1"/>
      </xdr:nvSpPr>
      <xdr:spPr>
        <a:xfrm>
          <a:off x="66675" y="171450"/>
          <a:ext cx="14668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 b="1">
              <a:solidFill>
                <a:schemeClr val="accent1"/>
              </a:solidFill>
            </a:rPr>
            <a:t>STOK PROGRAMI</a:t>
          </a:r>
        </a:p>
      </xdr:txBody>
    </xdr:sp>
    <xdr:clientData/>
  </xdr:twoCellAnchor>
  <xdr:twoCellAnchor>
    <xdr:from>
      <xdr:col>0</xdr:col>
      <xdr:colOff>5862</xdr:colOff>
      <xdr:row>5</xdr:row>
      <xdr:rowOff>173355</xdr:rowOff>
    </xdr:from>
    <xdr:to>
      <xdr:col>0</xdr:col>
      <xdr:colOff>1975338</xdr:colOff>
      <xdr:row>8</xdr:row>
      <xdr:rowOff>111369</xdr:rowOff>
    </xdr:to>
    <xdr:sp macro="" textlink="">
      <xdr:nvSpPr>
        <xdr:cNvPr id="23" name="Dikdörtgen: Çapraz Köşeleri Yuvarlatılmış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6BBAC-F1C5-4DE7-8C00-9BE1759158F5}"/>
            </a:ext>
          </a:extLst>
        </xdr:cNvPr>
        <xdr:cNvSpPr/>
      </xdr:nvSpPr>
      <xdr:spPr>
        <a:xfrm>
          <a:off x="5862" y="1049655"/>
          <a:ext cx="1969476" cy="463794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Stok Hareketleri</a:t>
          </a:r>
        </a:p>
      </xdr:txBody>
    </xdr:sp>
    <xdr:clientData/>
  </xdr:twoCellAnchor>
  <xdr:twoCellAnchor>
    <xdr:from>
      <xdr:col>0</xdr:col>
      <xdr:colOff>5862</xdr:colOff>
      <xdr:row>13</xdr:row>
      <xdr:rowOff>80595</xdr:rowOff>
    </xdr:from>
    <xdr:to>
      <xdr:col>0</xdr:col>
      <xdr:colOff>1975338</xdr:colOff>
      <xdr:row>16</xdr:row>
      <xdr:rowOff>8468</xdr:rowOff>
    </xdr:to>
    <xdr:sp macro="" textlink="">
      <xdr:nvSpPr>
        <xdr:cNvPr id="24" name="Dikdörtgen: Çapraz Köşeleri Yuvarlatılmış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2D5351-5873-4FF6-8A34-B33A66BDA0B5}"/>
            </a:ext>
          </a:extLst>
        </xdr:cNvPr>
        <xdr:cNvSpPr/>
      </xdr:nvSpPr>
      <xdr:spPr>
        <a:xfrm>
          <a:off x="5862" y="2358975"/>
          <a:ext cx="1969476" cy="453653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Rapor</a:t>
          </a:r>
        </a:p>
      </xdr:txBody>
    </xdr:sp>
    <xdr:clientData/>
  </xdr:twoCellAnchor>
  <xdr:twoCellAnchor>
    <xdr:from>
      <xdr:col>0</xdr:col>
      <xdr:colOff>5862</xdr:colOff>
      <xdr:row>9</xdr:row>
      <xdr:rowOff>132046</xdr:rowOff>
    </xdr:from>
    <xdr:to>
      <xdr:col>0</xdr:col>
      <xdr:colOff>1975338</xdr:colOff>
      <xdr:row>12</xdr:row>
      <xdr:rowOff>59917</xdr:rowOff>
    </xdr:to>
    <xdr:sp macro="" textlink="">
      <xdr:nvSpPr>
        <xdr:cNvPr id="25" name="Dikdörtgen: Çapraz Köşeleri Yuvarlatılmış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16CF53-A4D0-4D6B-892A-808B2A779D5F}"/>
            </a:ext>
          </a:extLst>
        </xdr:cNvPr>
        <xdr:cNvSpPr/>
      </xdr:nvSpPr>
      <xdr:spPr>
        <a:xfrm>
          <a:off x="5862" y="1709386"/>
          <a:ext cx="1969476" cy="453651"/>
        </a:xfrm>
        <a:prstGeom prst="round2DiagRect">
          <a:avLst>
            <a:gd name="adj1" fmla="val 0"/>
            <a:gd name="adj2" fmla="val 0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bg1"/>
              </a:solidFill>
            </a:rPr>
            <a:t>Ürünlerim</a:t>
          </a:r>
        </a:p>
      </xdr:txBody>
    </xdr:sp>
    <xdr:clientData/>
  </xdr:twoCellAnchor>
  <xdr:twoCellAnchor editAs="oneCell">
    <xdr:from>
      <xdr:col>0</xdr:col>
      <xdr:colOff>474787</xdr:colOff>
      <xdr:row>19</xdr:row>
      <xdr:rowOff>13646</xdr:rowOff>
    </xdr:from>
    <xdr:to>
      <xdr:col>0</xdr:col>
      <xdr:colOff>1359876</xdr:colOff>
      <xdr:row>19</xdr:row>
      <xdr:rowOff>144770</xdr:rowOff>
    </xdr:to>
    <xdr:pic>
      <xdr:nvPicPr>
        <xdr:cNvPr id="26" name="Picture 6">
          <a:extLst>
            <a:ext uri="{FF2B5EF4-FFF2-40B4-BE49-F238E27FC236}">
              <a16:creationId xmlns:a16="http://schemas.microsoft.com/office/drawing/2014/main" id="{ED0EB08B-4872-4AE2-B386-299DA5BA4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rcRect/>
        <a:stretch/>
      </xdr:blipFill>
      <xdr:spPr>
        <a:xfrm>
          <a:off x="474787" y="3343586"/>
          <a:ext cx="885089" cy="131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717177</xdr:colOff>
      <xdr:row>4</xdr:row>
      <xdr:rowOff>0</xdr:rowOff>
    </xdr:from>
    <xdr:to>
      <xdr:col>8</xdr:col>
      <xdr:colOff>621323</xdr:colOff>
      <xdr:row>17</xdr:row>
      <xdr:rowOff>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D08E0B8F-9D08-45AA-B727-1F6E67668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0</xdr:row>
      <xdr:rowOff>171450</xdr:rowOff>
    </xdr:from>
    <xdr:to>
      <xdr:col>0</xdr:col>
      <xdr:colOff>1533525</xdr:colOff>
      <xdr:row>5</xdr:row>
      <xdr:rowOff>57150</xdr:rowOff>
    </xdr:to>
    <xdr:sp macro="" textlink="">
      <xdr:nvSpPr>
        <xdr:cNvPr id="20" name="Metin kutusu 1">
          <a:extLst>
            <a:ext uri="{FF2B5EF4-FFF2-40B4-BE49-F238E27FC236}">
              <a16:creationId xmlns:a16="http://schemas.microsoft.com/office/drawing/2014/main" id="{295A0F4A-D471-4802-A686-2E56A07F345D}"/>
            </a:ext>
          </a:extLst>
        </xdr:cNvPr>
        <xdr:cNvSpPr txBox="1"/>
      </xdr:nvSpPr>
      <xdr:spPr>
        <a:xfrm>
          <a:off x="66675" y="171450"/>
          <a:ext cx="14668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 b="1">
              <a:solidFill>
                <a:schemeClr val="accent1"/>
              </a:solidFill>
            </a:rPr>
            <a:t>STOK PROGRAMI</a:t>
          </a:r>
        </a:p>
      </xdr:txBody>
    </xdr:sp>
    <xdr:clientData/>
  </xdr:twoCellAnchor>
  <xdr:twoCellAnchor>
    <xdr:from>
      <xdr:col>0</xdr:col>
      <xdr:colOff>5862</xdr:colOff>
      <xdr:row>5</xdr:row>
      <xdr:rowOff>173355</xdr:rowOff>
    </xdr:from>
    <xdr:to>
      <xdr:col>0</xdr:col>
      <xdr:colOff>1975338</xdr:colOff>
      <xdr:row>8</xdr:row>
      <xdr:rowOff>111369</xdr:rowOff>
    </xdr:to>
    <xdr:sp macro="" textlink="">
      <xdr:nvSpPr>
        <xdr:cNvPr id="21" name="Dikdörtgen: Çapraz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D9EF61-F942-4809-98BC-0D664345A0CD}"/>
            </a:ext>
          </a:extLst>
        </xdr:cNvPr>
        <xdr:cNvSpPr/>
      </xdr:nvSpPr>
      <xdr:spPr>
        <a:xfrm>
          <a:off x="5862" y="1049655"/>
          <a:ext cx="1969476" cy="463794"/>
        </a:xfrm>
        <a:prstGeom prst="round2DiagRect">
          <a:avLst>
            <a:gd name="adj1" fmla="val 0"/>
            <a:gd name="adj2" fmla="val 0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/>
            <a:t>Stok Hareketleri</a:t>
          </a:r>
        </a:p>
      </xdr:txBody>
    </xdr:sp>
    <xdr:clientData/>
  </xdr:twoCellAnchor>
  <xdr:twoCellAnchor>
    <xdr:from>
      <xdr:col>0</xdr:col>
      <xdr:colOff>5862</xdr:colOff>
      <xdr:row>13</xdr:row>
      <xdr:rowOff>80595</xdr:rowOff>
    </xdr:from>
    <xdr:to>
      <xdr:col>0</xdr:col>
      <xdr:colOff>1975338</xdr:colOff>
      <xdr:row>16</xdr:row>
      <xdr:rowOff>8468</xdr:rowOff>
    </xdr:to>
    <xdr:sp macro="" textlink="">
      <xdr:nvSpPr>
        <xdr:cNvPr id="22" name="Dikdörtgen: Çapraz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2FDDB6-EF4A-4CE0-A0AE-086E7F4BDFD9}"/>
            </a:ext>
          </a:extLst>
        </xdr:cNvPr>
        <xdr:cNvSpPr/>
      </xdr:nvSpPr>
      <xdr:spPr>
        <a:xfrm>
          <a:off x="5862" y="2358975"/>
          <a:ext cx="1969476" cy="453653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Rapor</a:t>
          </a:r>
        </a:p>
      </xdr:txBody>
    </xdr:sp>
    <xdr:clientData/>
  </xdr:twoCellAnchor>
  <xdr:twoCellAnchor>
    <xdr:from>
      <xdr:col>0</xdr:col>
      <xdr:colOff>5862</xdr:colOff>
      <xdr:row>9</xdr:row>
      <xdr:rowOff>132046</xdr:rowOff>
    </xdr:from>
    <xdr:to>
      <xdr:col>0</xdr:col>
      <xdr:colOff>1975338</xdr:colOff>
      <xdr:row>12</xdr:row>
      <xdr:rowOff>59917</xdr:rowOff>
    </xdr:to>
    <xdr:sp macro="" textlink="">
      <xdr:nvSpPr>
        <xdr:cNvPr id="23" name="Dikdörtgen: Çapraz Köşeleri Yuvarlatılmış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CC9DBF-ECCA-44B9-B8A1-15EA846E30D2}"/>
            </a:ext>
          </a:extLst>
        </xdr:cNvPr>
        <xdr:cNvSpPr/>
      </xdr:nvSpPr>
      <xdr:spPr>
        <a:xfrm>
          <a:off x="5862" y="1709386"/>
          <a:ext cx="1969476" cy="453651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Ürünlerim</a:t>
          </a:r>
        </a:p>
      </xdr:txBody>
    </xdr:sp>
    <xdr:clientData/>
  </xdr:twoCellAnchor>
  <xdr:twoCellAnchor editAs="oneCell">
    <xdr:from>
      <xdr:col>0</xdr:col>
      <xdr:colOff>474787</xdr:colOff>
      <xdr:row>19</xdr:row>
      <xdr:rowOff>13646</xdr:rowOff>
    </xdr:from>
    <xdr:to>
      <xdr:col>0</xdr:col>
      <xdr:colOff>1359876</xdr:colOff>
      <xdr:row>19</xdr:row>
      <xdr:rowOff>144770</xdr:rowOff>
    </xdr:to>
    <xdr:pic>
      <xdr:nvPicPr>
        <xdr:cNvPr id="24" name="Picture 6">
          <a:extLst>
            <a:ext uri="{FF2B5EF4-FFF2-40B4-BE49-F238E27FC236}">
              <a16:creationId xmlns:a16="http://schemas.microsoft.com/office/drawing/2014/main" id="{B01DDD1A-D348-4765-936E-B9A7AB5A7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474787" y="3343586"/>
          <a:ext cx="885089" cy="131124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0</xdr:row>
      <xdr:rowOff>171450</xdr:rowOff>
    </xdr:from>
    <xdr:to>
      <xdr:col>0</xdr:col>
      <xdr:colOff>1533525</xdr:colOff>
      <xdr:row>5</xdr:row>
      <xdr:rowOff>57150</xdr:rowOff>
    </xdr:to>
    <xdr:sp macro="" textlink="">
      <xdr:nvSpPr>
        <xdr:cNvPr id="25" name="Metin kutusu 1">
          <a:extLst>
            <a:ext uri="{FF2B5EF4-FFF2-40B4-BE49-F238E27FC236}">
              <a16:creationId xmlns:a16="http://schemas.microsoft.com/office/drawing/2014/main" id="{737AD623-0FE8-4360-9568-BE54AC5BE449}"/>
            </a:ext>
          </a:extLst>
        </xdr:cNvPr>
        <xdr:cNvSpPr txBox="1"/>
      </xdr:nvSpPr>
      <xdr:spPr>
        <a:xfrm>
          <a:off x="66675" y="171450"/>
          <a:ext cx="14668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 b="1">
              <a:solidFill>
                <a:schemeClr val="accent1"/>
              </a:solidFill>
            </a:rPr>
            <a:t>STOK PROGRAMI</a:t>
          </a:r>
        </a:p>
      </xdr:txBody>
    </xdr:sp>
    <xdr:clientData/>
  </xdr:twoCellAnchor>
  <xdr:twoCellAnchor>
    <xdr:from>
      <xdr:col>0</xdr:col>
      <xdr:colOff>5862</xdr:colOff>
      <xdr:row>5</xdr:row>
      <xdr:rowOff>173355</xdr:rowOff>
    </xdr:from>
    <xdr:to>
      <xdr:col>0</xdr:col>
      <xdr:colOff>1975338</xdr:colOff>
      <xdr:row>8</xdr:row>
      <xdr:rowOff>111369</xdr:rowOff>
    </xdr:to>
    <xdr:sp macro="" textlink="">
      <xdr:nvSpPr>
        <xdr:cNvPr id="26" name="Dikdörtgen: Çapraz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CD9161-0585-4F5B-94A2-7B0EDEB5C413}"/>
            </a:ext>
          </a:extLst>
        </xdr:cNvPr>
        <xdr:cNvSpPr/>
      </xdr:nvSpPr>
      <xdr:spPr>
        <a:xfrm>
          <a:off x="5862" y="1049655"/>
          <a:ext cx="1969476" cy="463794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Stok Hareketleri</a:t>
          </a:r>
        </a:p>
      </xdr:txBody>
    </xdr:sp>
    <xdr:clientData/>
  </xdr:twoCellAnchor>
  <xdr:twoCellAnchor>
    <xdr:from>
      <xdr:col>0</xdr:col>
      <xdr:colOff>5862</xdr:colOff>
      <xdr:row>13</xdr:row>
      <xdr:rowOff>80595</xdr:rowOff>
    </xdr:from>
    <xdr:to>
      <xdr:col>0</xdr:col>
      <xdr:colOff>1975338</xdr:colOff>
      <xdr:row>16</xdr:row>
      <xdr:rowOff>8468</xdr:rowOff>
    </xdr:to>
    <xdr:sp macro="" textlink="">
      <xdr:nvSpPr>
        <xdr:cNvPr id="27" name="Dikdörtgen: Çapraz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784FAB-DD71-482E-8DCF-6606C3E631FB}"/>
            </a:ext>
          </a:extLst>
        </xdr:cNvPr>
        <xdr:cNvSpPr/>
      </xdr:nvSpPr>
      <xdr:spPr>
        <a:xfrm>
          <a:off x="5862" y="2358975"/>
          <a:ext cx="1969476" cy="453653"/>
        </a:xfrm>
        <a:prstGeom prst="round2DiagRect">
          <a:avLst>
            <a:gd name="adj1" fmla="val 0"/>
            <a:gd name="adj2" fmla="val 0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bg1"/>
              </a:solidFill>
            </a:rPr>
            <a:t>Rapor</a:t>
          </a:r>
        </a:p>
      </xdr:txBody>
    </xdr:sp>
    <xdr:clientData/>
  </xdr:twoCellAnchor>
  <xdr:twoCellAnchor>
    <xdr:from>
      <xdr:col>0</xdr:col>
      <xdr:colOff>5862</xdr:colOff>
      <xdr:row>9</xdr:row>
      <xdr:rowOff>132046</xdr:rowOff>
    </xdr:from>
    <xdr:to>
      <xdr:col>0</xdr:col>
      <xdr:colOff>1975338</xdr:colOff>
      <xdr:row>12</xdr:row>
      <xdr:rowOff>59917</xdr:rowOff>
    </xdr:to>
    <xdr:sp macro="" textlink="">
      <xdr:nvSpPr>
        <xdr:cNvPr id="28" name="Dikdörtgen: Çapraz Köşeleri Yuvarlatılmış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EBD73D-5B6F-4AD7-B1A0-9E6500FC71FE}"/>
            </a:ext>
          </a:extLst>
        </xdr:cNvPr>
        <xdr:cNvSpPr/>
      </xdr:nvSpPr>
      <xdr:spPr>
        <a:xfrm>
          <a:off x="5862" y="1709386"/>
          <a:ext cx="1969476" cy="453651"/>
        </a:xfrm>
        <a:prstGeom prst="round2DiagRect">
          <a:avLst>
            <a:gd name="adj1" fmla="val 0"/>
            <a:gd name="adj2" fmla="val 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100">
              <a:solidFill>
                <a:schemeClr val="tx1">
                  <a:lumMod val="65000"/>
                  <a:lumOff val="35000"/>
                </a:schemeClr>
              </a:solidFill>
            </a:rPr>
            <a:t>Ürünlerim</a:t>
          </a:r>
        </a:p>
      </xdr:txBody>
    </xdr:sp>
    <xdr:clientData/>
  </xdr:twoCellAnchor>
  <xdr:twoCellAnchor editAs="oneCell">
    <xdr:from>
      <xdr:col>0</xdr:col>
      <xdr:colOff>474787</xdr:colOff>
      <xdr:row>19</xdr:row>
      <xdr:rowOff>13646</xdr:rowOff>
    </xdr:from>
    <xdr:to>
      <xdr:col>0</xdr:col>
      <xdr:colOff>1359876</xdr:colOff>
      <xdr:row>19</xdr:row>
      <xdr:rowOff>144770</xdr:rowOff>
    </xdr:to>
    <xdr:pic>
      <xdr:nvPicPr>
        <xdr:cNvPr id="29" name="Picture 6">
          <a:extLst>
            <a:ext uri="{FF2B5EF4-FFF2-40B4-BE49-F238E27FC236}">
              <a16:creationId xmlns:a16="http://schemas.microsoft.com/office/drawing/2014/main" id="{DB2458C2-8346-44E7-ADC9-809672BB1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474787" y="3343586"/>
          <a:ext cx="885089" cy="131124"/>
        </a:xfrm>
        <a:prstGeom prst="rect">
          <a:avLst/>
        </a:prstGeom>
      </xdr:spPr>
    </xdr:pic>
    <xdr:clientData/>
  </xdr:twoCellAnchor>
  <xdr:twoCellAnchor>
    <xdr:from>
      <xdr:col>4</xdr:col>
      <xdr:colOff>603738</xdr:colOff>
      <xdr:row>4</xdr:row>
      <xdr:rowOff>0</xdr:rowOff>
    </xdr:from>
    <xdr:to>
      <xdr:col>6</xdr:col>
      <xdr:colOff>463061</xdr:colOff>
      <xdr:row>17</xdr:row>
      <xdr:rowOff>23446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CBC0581-D179-1644-6C3E-BBC518BC5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glu" refreshedDate="44324.75635787037" createdVersion="7" refreshedVersion="7" minRefreshableVersion="3" recordCount="14" xr:uid="{8991857A-1005-401B-A958-52E6C2EDD558}">
  <cacheSource type="worksheet">
    <worksheetSource name="Tablo1"/>
  </cacheSource>
  <cacheFields count="5">
    <cacheField name="Tarih" numFmtId="14">
      <sharedItems containsSemiMixedTypes="0" containsNonDate="0" containsDate="1" containsString="0" minDate="2021-05-07T00:00:00" maxDate="2021-05-21T00:00:00"/>
    </cacheField>
    <cacheField name="Ürün Adı" numFmtId="0">
      <sharedItems count="3">
        <s v="Ürün 1"/>
        <s v="Ürün 2"/>
        <s v="Ürün 3"/>
      </sharedItems>
    </cacheField>
    <cacheField name="Giriş Adeti" numFmtId="0">
      <sharedItems containsString="0" containsBlank="1" containsNumber="1" containsInteger="1" minValue="1" maxValue="122"/>
    </cacheField>
    <cacheField name="Çıkış Adeti" numFmtId="0">
      <sharedItems containsString="0" containsBlank="1" containsNumber="1" containsInteger="1" minValue="2" maxValue="50"/>
    </cacheField>
    <cacheField name="Kalan Stok" numFmtId="0" formula="'Giriş Adeti'-'Çıkış Adeti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d v="2021-05-07T00:00:00"/>
    <x v="0"/>
    <n v="5"/>
    <m/>
  </r>
  <r>
    <d v="2021-05-08T00:00:00"/>
    <x v="1"/>
    <m/>
    <n v="5"/>
  </r>
  <r>
    <d v="2021-05-09T00:00:00"/>
    <x v="1"/>
    <n v="1"/>
    <m/>
  </r>
  <r>
    <d v="2021-05-10T00:00:00"/>
    <x v="0"/>
    <m/>
    <n v="5"/>
  </r>
  <r>
    <d v="2021-05-11T00:00:00"/>
    <x v="1"/>
    <n v="5"/>
    <m/>
  </r>
  <r>
    <d v="2021-05-12T00:00:00"/>
    <x v="2"/>
    <m/>
    <n v="2"/>
  </r>
  <r>
    <d v="2021-05-13T00:00:00"/>
    <x v="1"/>
    <n v="100"/>
    <m/>
  </r>
  <r>
    <d v="2021-05-14T00:00:00"/>
    <x v="0"/>
    <m/>
    <n v="3"/>
  </r>
  <r>
    <d v="2021-05-15T00:00:00"/>
    <x v="2"/>
    <n v="100"/>
    <m/>
  </r>
  <r>
    <d v="2021-05-16T00:00:00"/>
    <x v="0"/>
    <m/>
    <n v="23"/>
  </r>
  <r>
    <d v="2021-05-17T00:00:00"/>
    <x v="0"/>
    <n v="12"/>
    <m/>
  </r>
  <r>
    <d v="2021-05-18T00:00:00"/>
    <x v="2"/>
    <m/>
    <n v="23"/>
  </r>
  <r>
    <d v="2021-05-19T00:00:00"/>
    <x v="0"/>
    <n v="122"/>
    <m/>
  </r>
  <r>
    <d v="2021-05-20T00:00:00"/>
    <x v="1"/>
    <m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644DE-F2A5-45C8-A5BF-12AC179CD4E2}" name="PivotTable1" cacheId="6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 chartFormat="2">
  <location ref="C5:D9" firstHeaderRow="1" firstDataRow="1" firstDataCol="1"/>
  <pivotFields count="5"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Kalan Stok" fld="4" baseField="0" baseItem="0"/>
  </dataFields>
  <formats count="3">
    <format dxfId="10">
      <pivotArea dataOnly="0" labelOnly="1" outline="0" axis="axisValues" fieldPosition="0"/>
    </format>
    <format dxfId="4">
      <pivotArea field="1" type="button" dataOnly="0" labelOnly="1" outline="0" axis="axisRow" fieldPosition="0"/>
    </format>
    <format dxfId="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AB3BC-D139-4876-9822-B04E7C4B3F1A}" name="Tablo1" displayName="Tablo1" ref="C10:F24" totalsRowShown="0" dataDxfId="22">
  <autoFilter ref="C10:F24" xr:uid="{1BCF2388-C282-4B9B-8FAC-470CDC6ADFB4}">
    <filterColumn colId="0" hiddenButton="1"/>
    <filterColumn colId="1" hiddenButton="1"/>
    <filterColumn colId="2" hiddenButton="1"/>
    <filterColumn colId="3" hiddenButton="1"/>
  </autoFilter>
  <tableColumns count="4">
    <tableColumn id="1" xr3:uid="{BF2D1AFE-06A7-4D0E-AD9D-35E45B2E56B3}" name="Tarih" dataDxfId="20"/>
    <tableColumn id="2" xr3:uid="{F8D8489C-A43B-4FDF-9750-341178A68BD1}" name="Ürün Adı" dataDxfId="18"/>
    <tableColumn id="3" xr3:uid="{F2745D25-C6C6-40EE-A15E-A71E8BE41BEC}" name="Giriş Adeti" dataDxfId="19"/>
    <tableColumn id="4" xr3:uid="{59E103C6-3150-4EAB-BBB4-107FBC8A52F2}" name="Çıkış Adeti" dataDxfId="21"/>
  </tableColumns>
  <tableStyleInfo name="TableStyleMedium2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29520-0161-43D0-973A-E39CDDA99607}" name="Tablo2" displayName="Tablo2" ref="C5:E8" totalsRowShown="0">
  <autoFilter ref="C5:E8" xr:uid="{B21D3A03-FAA7-41B7-A456-BAD4BF8EF507}">
    <filterColumn colId="0" hiddenButton="1"/>
    <filterColumn colId="1" hiddenButton="1"/>
    <filterColumn colId="2" hiddenButton="1"/>
  </autoFilter>
  <tableColumns count="3">
    <tableColumn id="1" xr3:uid="{65F53CF3-7F3D-4BF2-80E0-2F62B8796DD8}" name="Ürün Adı"/>
    <tableColumn id="2" xr3:uid="{6F635F0E-28A8-4C4E-803E-5C4C120DB01F}" name="Alış Fiyatı" dataDxfId="24"/>
    <tableColumn id="3" xr3:uid="{92422F00-5F45-4443-A656-C7A8A50A231A}" name="Satış Fiyatı" dataDxfId="23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xl751">
  <a:themeElements>
    <a:clrScheme name="xl75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07C41"/>
      </a:accent1>
      <a:accent2>
        <a:srgbClr val="DD2F45"/>
      </a:accent2>
      <a:accent3>
        <a:srgbClr val="FFDF2B"/>
      </a:accent3>
      <a:accent4>
        <a:srgbClr val="343434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2:F24"/>
  <sheetViews>
    <sheetView showGridLines="0" zoomScale="130" zoomScaleNormal="130" workbookViewId="0"/>
  </sheetViews>
  <sheetFormatPr defaultRowHeight="13.8" x14ac:dyDescent="0.25"/>
  <cols>
    <col min="1" max="1" width="25.8984375" style="1" customWidth="1"/>
    <col min="2" max="2" width="5.5" customWidth="1"/>
    <col min="3" max="8" width="16.19921875" customWidth="1"/>
  </cols>
  <sheetData>
    <row r="2" spans="3:6" x14ac:dyDescent="0.25">
      <c r="C2" s="5" t="s">
        <v>0</v>
      </c>
      <c r="D2" s="6"/>
      <c r="E2" s="6"/>
      <c r="F2" s="6"/>
    </row>
    <row r="3" spans="3:6" x14ac:dyDescent="0.25">
      <c r="C3" s="5"/>
      <c r="D3" s="6"/>
      <c r="E3" s="6"/>
      <c r="F3" s="6"/>
    </row>
    <row r="5" spans="3:6" x14ac:dyDescent="0.25">
      <c r="C5" s="2" t="s">
        <v>1</v>
      </c>
    </row>
    <row r="6" spans="3:6" x14ac:dyDescent="0.25">
      <c r="C6" s="27" t="s">
        <v>2</v>
      </c>
      <c r="D6" s="29" t="s">
        <v>11</v>
      </c>
    </row>
    <row r="7" spans="3:6" x14ac:dyDescent="0.25">
      <c r="C7" s="28" t="s">
        <v>3</v>
      </c>
      <c r="D7" s="30">
        <f>SUMIF(Tablo1[Ürün Adı],D6,Tablo1[Giriş Adeti])-SUMIF(Tablo1[Ürün Adı],D6,Tablo1[Çıkış Adeti])</f>
        <v>108</v>
      </c>
    </row>
    <row r="8" spans="3:6" x14ac:dyDescent="0.25">
      <c r="C8" s="28" t="s">
        <v>4</v>
      </c>
      <c r="D8" s="31">
        <f>VLOOKUP(D6,Ürünlerim!C6:E8,3,0)*D7</f>
        <v>6480</v>
      </c>
    </row>
    <row r="10" spans="3:6" x14ac:dyDescent="0.25">
      <c r="C10" s="34" t="s">
        <v>5</v>
      </c>
      <c r="D10" s="35" t="s">
        <v>2</v>
      </c>
      <c r="E10" s="32" t="s">
        <v>6</v>
      </c>
      <c r="F10" s="32" t="s">
        <v>7</v>
      </c>
    </row>
    <row r="11" spans="3:6" x14ac:dyDescent="0.25">
      <c r="C11" s="36">
        <v>44323</v>
      </c>
      <c r="D11" s="35" t="s">
        <v>11</v>
      </c>
      <c r="E11" s="33">
        <v>5</v>
      </c>
      <c r="F11" s="33"/>
    </row>
    <row r="12" spans="3:6" x14ac:dyDescent="0.25">
      <c r="C12" s="36">
        <v>44324</v>
      </c>
      <c r="D12" s="35" t="s">
        <v>12</v>
      </c>
      <c r="E12" s="33"/>
      <c r="F12" s="33">
        <v>5</v>
      </c>
    </row>
    <row r="13" spans="3:6" x14ac:dyDescent="0.25">
      <c r="C13" s="36">
        <v>44325</v>
      </c>
      <c r="D13" s="35" t="s">
        <v>12</v>
      </c>
      <c r="E13" s="33">
        <v>1</v>
      </c>
      <c r="F13" s="33"/>
    </row>
    <row r="14" spans="3:6" x14ac:dyDescent="0.25">
      <c r="C14" s="36">
        <v>44326</v>
      </c>
      <c r="D14" s="35" t="s">
        <v>11</v>
      </c>
      <c r="E14" s="33"/>
      <c r="F14" s="33">
        <v>5</v>
      </c>
    </row>
    <row r="15" spans="3:6" x14ac:dyDescent="0.25">
      <c r="C15" s="36">
        <v>44327</v>
      </c>
      <c r="D15" s="35" t="s">
        <v>12</v>
      </c>
      <c r="E15" s="33">
        <v>5</v>
      </c>
      <c r="F15" s="33"/>
    </row>
    <row r="16" spans="3:6" x14ac:dyDescent="0.25">
      <c r="C16" s="36">
        <v>44328</v>
      </c>
      <c r="D16" s="35" t="s">
        <v>13</v>
      </c>
      <c r="E16" s="33"/>
      <c r="F16" s="33">
        <v>2</v>
      </c>
    </row>
    <row r="17" spans="3:6" x14ac:dyDescent="0.25">
      <c r="C17" s="36">
        <v>44329</v>
      </c>
      <c r="D17" s="35" t="s">
        <v>12</v>
      </c>
      <c r="E17" s="33">
        <v>100</v>
      </c>
      <c r="F17" s="33"/>
    </row>
    <row r="18" spans="3:6" x14ac:dyDescent="0.25">
      <c r="C18" s="36">
        <v>44330</v>
      </c>
      <c r="D18" s="35" t="s">
        <v>11</v>
      </c>
      <c r="E18" s="33"/>
      <c r="F18" s="33">
        <v>3</v>
      </c>
    </row>
    <row r="19" spans="3:6" x14ac:dyDescent="0.25">
      <c r="C19" s="36">
        <v>44331</v>
      </c>
      <c r="D19" s="35" t="s">
        <v>13</v>
      </c>
      <c r="E19" s="33">
        <v>100</v>
      </c>
      <c r="F19" s="33"/>
    </row>
    <row r="20" spans="3:6" x14ac:dyDescent="0.25">
      <c r="C20" s="36">
        <v>44332</v>
      </c>
      <c r="D20" s="35" t="s">
        <v>11</v>
      </c>
      <c r="E20" s="33"/>
      <c r="F20" s="33">
        <v>23</v>
      </c>
    </row>
    <row r="21" spans="3:6" x14ac:dyDescent="0.25">
      <c r="C21" s="36">
        <v>44333</v>
      </c>
      <c r="D21" s="35" t="s">
        <v>11</v>
      </c>
      <c r="E21" s="33">
        <v>12</v>
      </c>
      <c r="F21" s="33"/>
    </row>
    <row r="22" spans="3:6" x14ac:dyDescent="0.25">
      <c r="C22" s="36">
        <v>44334</v>
      </c>
      <c r="D22" s="35" t="s">
        <v>13</v>
      </c>
      <c r="E22" s="33"/>
      <c r="F22" s="33">
        <v>23</v>
      </c>
    </row>
    <row r="23" spans="3:6" x14ac:dyDescent="0.25">
      <c r="C23" s="36">
        <v>44335</v>
      </c>
      <c r="D23" s="35" t="s">
        <v>11</v>
      </c>
      <c r="E23" s="33">
        <v>122</v>
      </c>
      <c r="F23" s="33"/>
    </row>
    <row r="24" spans="3:6" x14ac:dyDescent="0.25">
      <c r="C24" s="36">
        <v>44336</v>
      </c>
      <c r="D24" s="35" t="s">
        <v>12</v>
      </c>
      <c r="E24" s="33"/>
      <c r="F24" s="33">
        <v>50</v>
      </c>
    </row>
  </sheetData>
  <mergeCells count="1">
    <mergeCell ref="C2:F3"/>
  </mergeCells>
  <dataValidations count="2">
    <dataValidation type="list" allowBlank="1" showInputMessage="1" showErrorMessage="1" sqref="D11:D24 D6" xr:uid="{D148599E-6532-485B-8146-E6B0AE9FA2C9}">
      <formula1>Lst_Ürünlerim</formula1>
    </dataValidation>
    <dataValidation type="whole" operator="equal" allowBlank="1" showInputMessage="1" showErrorMessage="1" sqref="D7:D8" xr:uid="{E2B283B5-1932-4B3D-B367-8C4B7F3B56CF}">
      <formula1>751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FD66-72CD-44C3-930E-EF6D9CE8CA92}">
  <sheetPr codeName="Sayfa3"/>
  <dimension ref="A2:F8"/>
  <sheetViews>
    <sheetView showGridLines="0" zoomScale="130" zoomScaleNormal="130" workbookViewId="0"/>
  </sheetViews>
  <sheetFormatPr defaultRowHeight="13.8" x14ac:dyDescent="0.25"/>
  <cols>
    <col min="1" max="1" width="25.8984375" style="1" customWidth="1"/>
    <col min="2" max="2" width="5.5" customWidth="1"/>
    <col min="3" max="8" width="16.19921875" customWidth="1"/>
  </cols>
  <sheetData>
    <row r="2" spans="3:6" x14ac:dyDescent="0.25">
      <c r="C2" s="5" t="s">
        <v>8</v>
      </c>
      <c r="D2" s="6"/>
      <c r="E2" s="6"/>
      <c r="F2" s="6"/>
    </row>
    <row r="3" spans="3:6" x14ac:dyDescent="0.25">
      <c r="C3" s="5"/>
      <c r="D3" s="6"/>
      <c r="E3" s="6"/>
      <c r="F3" s="6"/>
    </row>
    <row r="5" spans="3:6" x14ac:dyDescent="0.25">
      <c r="C5" t="s">
        <v>2</v>
      </c>
      <c r="D5" t="s">
        <v>9</v>
      </c>
      <c r="E5" t="s">
        <v>10</v>
      </c>
    </row>
    <row r="6" spans="3:6" x14ac:dyDescent="0.25">
      <c r="C6" t="s">
        <v>11</v>
      </c>
      <c r="D6" s="3">
        <v>50</v>
      </c>
      <c r="E6" s="3">
        <v>60</v>
      </c>
    </row>
    <row r="7" spans="3:6" x14ac:dyDescent="0.25">
      <c r="C7" t="s">
        <v>12</v>
      </c>
      <c r="D7" s="3">
        <v>200</v>
      </c>
      <c r="E7" s="3">
        <v>300</v>
      </c>
    </row>
    <row r="8" spans="3:6" x14ac:dyDescent="0.25">
      <c r="C8" t="s">
        <v>13</v>
      </c>
      <c r="D8" s="3">
        <v>150</v>
      </c>
      <c r="E8" s="3">
        <v>250</v>
      </c>
    </row>
  </sheetData>
  <mergeCells count="1">
    <mergeCell ref="C2:F3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CD03-87A4-4B79-A14B-3739D58C8465}">
  <sheetPr codeName="Sayfa4"/>
  <dimension ref="A2:F9"/>
  <sheetViews>
    <sheetView showGridLines="0" zoomScale="130" zoomScaleNormal="130" workbookViewId="0">
      <selection activeCell="D16" sqref="D16"/>
    </sheetView>
  </sheetViews>
  <sheetFormatPr defaultRowHeight="13.8" x14ac:dyDescent="0.25"/>
  <cols>
    <col min="1" max="1" width="25.8984375" style="1" customWidth="1"/>
    <col min="2" max="2" width="5.5" customWidth="1"/>
    <col min="3" max="8" width="16.19921875" customWidth="1"/>
  </cols>
  <sheetData>
    <row r="2" spans="3:6" x14ac:dyDescent="0.25">
      <c r="C2" s="5" t="s">
        <v>14</v>
      </c>
      <c r="D2" s="6"/>
      <c r="E2" s="6"/>
      <c r="F2" s="6"/>
    </row>
    <row r="3" spans="3:6" x14ac:dyDescent="0.25">
      <c r="C3" s="5"/>
      <c r="D3" s="6"/>
      <c r="E3" s="6"/>
      <c r="F3" s="6"/>
    </row>
    <row r="5" spans="3:6" x14ac:dyDescent="0.25">
      <c r="C5" s="37" t="s">
        <v>15</v>
      </c>
      <c r="D5" s="38" t="s">
        <v>17</v>
      </c>
    </row>
    <row r="6" spans="3:6" x14ac:dyDescent="0.25">
      <c r="C6" s="4" t="s">
        <v>11</v>
      </c>
      <c r="D6">
        <v>108</v>
      </c>
    </row>
    <row r="7" spans="3:6" x14ac:dyDescent="0.25">
      <c r="C7" s="4" t="s">
        <v>12</v>
      </c>
      <c r="D7">
        <v>51</v>
      </c>
    </row>
    <row r="8" spans="3:6" x14ac:dyDescent="0.25">
      <c r="C8" s="4" t="s">
        <v>13</v>
      </c>
      <c r="D8">
        <v>75</v>
      </c>
    </row>
    <row r="9" spans="3:6" x14ac:dyDescent="0.25">
      <c r="C9" s="4" t="s">
        <v>16</v>
      </c>
      <c r="D9">
        <v>234</v>
      </c>
    </row>
  </sheetData>
  <mergeCells count="1">
    <mergeCell ref="C2:F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Stok Hareketleri</vt:lpstr>
      <vt:lpstr>Ürünlerim</vt:lpstr>
      <vt:lpstr>Rapor</vt:lpstr>
      <vt:lpstr>Lst_Ürünlerim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2023-04-20T11:28:52Z</dcterms:modified>
</cp:coreProperties>
</file>