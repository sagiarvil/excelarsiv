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8/calcfeatures" ns1:Ignorable="x15 xr xr6 xr10 xr2">
  <ns0:fileVersion appName="xl" lastEdited="7" lowestEdited="5" rupBuild="26227" codeName="{37A63EE7-654F-3FA9-A528-636911D70600}"/>
  <ns0:workbookPr filterPrivacy="1"/>
  <ns2:revisionPtr revIDLastSave="0" documentId="13_ncr:1_{D8FB1554-8ACE-4BD6-B195-B5C0D420781A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Haftalık Zamanlama Planlayıcısı" sheetId="6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BaşlangıçTarihi">'Haftalık Zamanlama Planlayıcısı'!$E$5</ns0:definedName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  <ns0:definedName name="_xlnm.Print_Area" localSheetId="0">'Haftalık Zamanlama Planlayıcısı'!$B$2:$AV$40</ns0:definedName>
  </ns0:definedNames>
  <ns0:calcPr calcId="191029"/>
  <ns0:extLst>
    <ns0: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</ns7:calcFeatures>
    </ns0:ext>
  </ns0:extLst>
</ns0:workbook>
</file>

<file path=xl/calcChain.xml><?xml version="1.0" encoding="utf-8"?>
<calcChain xmlns="http://schemas.openxmlformats.org/spreadsheetml/2006/main">
  <c r="AY5" i="6" l="1"/>
  <c r="AO3" i="6" s="1"/>
  <c r="AY7" i="6" l="1"/>
  <c r="E5" i="6" l="1"/>
  <c r="AY9" i="6" s="1"/>
  <c r="AZ18" i="6"/>
  <c r="AY19" i="6"/>
  <c r="AY20" i="6" s="1"/>
  <c r="AY21" i="6" s="1"/>
  <c r="AY22" i="6" s="1"/>
  <c r="AY23" i="6" s="1"/>
  <c r="AY24" i="6" s="1"/>
  <c r="AY25" i="6" s="1"/>
  <c r="AY26" i="6" s="1"/>
  <c r="AY27" i="6" s="1"/>
  <c r="AY28" i="6" s="1"/>
  <c r="AY29" i="6" s="1"/>
  <c r="AY30" i="6" s="1"/>
  <c r="AY31" i="6" s="1"/>
  <c r="AY32" i="6" s="1"/>
  <c r="AY33" i="6" s="1"/>
  <c r="AY34" i="6" s="1"/>
  <c r="AY35" i="6" s="1"/>
  <c r="AY36" i="6" s="1"/>
  <c r="AX19" i="6"/>
  <c r="AZ19" i="6" l="1"/>
  <c r="AY6" i="6"/>
  <c r="AX20" i="6"/>
  <c r="AX21" i="6" s="1"/>
  <c r="AX22" i="6" s="1"/>
  <c r="AX23" i="6" s="1"/>
  <c r="AX24" i="6" s="1"/>
  <c r="AX25" i="6" s="1"/>
  <c r="AX26" i="6" s="1"/>
  <c r="AX27" i="6" s="1"/>
  <c r="AX28" i="6" s="1"/>
  <c r="AX29" i="6" s="1"/>
  <c r="AX30" i="6" s="1"/>
  <c r="AX31" i="6" s="1"/>
  <c r="AX32" i="6" s="1"/>
  <c r="AX33" i="6" s="1"/>
  <c r="AZ33" i="6" s="1"/>
  <c r="W16" i="6"/>
  <c r="C16" i="6"/>
  <c r="R16" i="6"/>
  <c r="AG16" i="6"/>
  <c r="M16" i="6"/>
  <c r="AB16" i="6"/>
  <c r="H16" i="6"/>
  <c r="Y17" i="6"/>
  <c r="E17" i="6"/>
  <c r="T17" i="6"/>
  <c r="AI17" i="6"/>
  <c r="O17" i="6"/>
  <c r="AD17" i="6"/>
  <c r="J17" i="6"/>
  <c r="AI16" i="6"/>
  <c r="T16" i="6"/>
  <c r="O16" i="6"/>
  <c r="AD16" i="6"/>
  <c r="J16" i="6"/>
  <c r="Y16" i="6"/>
  <c r="E16" i="6"/>
  <c r="AZ23" i="6" l="1"/>
  <c r="AZ20" i="6"/>
  <c r="AZ28" i="6"/>
  <c r="AZ25" i="6"/>
  <c r="AZ30" i="6"/>
  <c r="AZ22" i="6"/>
  <c r="AZ24" i="6"/>
  <c r="AX34" i="6"/>
  <c r="AZ34" i="6" s="1"/>
  <c r="AZ21" i="6"/>
  <c r="AZ27" i="6"/>
  <c r="AZ26" i="6"/>
  <c r="AY8" i="6"/>
  <c r="AZ29" i="6"/>
  <c r="AZ31" i="6"/>
  <c r="AZ32" i="6"/>
  <c r="AX35" i="6" l="1"/>
  <c r="AZ35" i="6" s="1"/>
  <c r="AO7" i="6"/>
  <c r="AN7" i="6" s="1"/>
  <c r="AX36" i="6"/>
  <c r="AZ36" i="6" s="1"/>
  <c r="AP7" i="6" l="1"/>
  <c r="AO8" i="6"/>
  <c r="AO9" i="6" l="1"/>
  <c r="AN8" i="6"/>
  <c r="AQ7" i="6"/>
  <c r="AP8" i="6"/>
  <c r="AP9" i="6" s="1"/>
  <c r="AP10" i="6" s="1"/>
  <c r="AP11" i="6" s="1"/>
  <c r="AP12" i="6" s="1"/>
  <c r="AO10" i="6" l="1"/>
  <c r="AN9" i="6"/>
  <c r="AR7" i="6"/>
  <c r="AQ8" i="6"/>
  <c r="AQ9" i="6" s="1"/>
  <c r="AQ10" i="6" s="1"/>
  <c r="AQ11" i="6" s="1"/>
  <c r="AQ12" i="6" s="1"/>
  <c r="AO11" i="6" l="1"/>
  <c r="AN10" i="6"/>
  <c r="AS7" i="6"/>
  <c r="AR8" i="6"/>
  <c r="AR9" i="6" s="1"/>
  <c r="AO12" i="6" l="1"/>
  <c r="AN12" i="6" s="1"/>
  <c r="AN11" i="6"/>
  <c r="AR10" i="6"/>
  <c r="AR11" i="6" s="1"/>
  <c r="AR12" i="6" s="1"/>
  <c r="AT7" i="6"/>
  <c r="AS8" i="6"/>
  <c r="AS9" i="6" s="1"/>
  <c r="AS10" i="6" s="1"/>
  <c r="AS11" i="6" s="1"/>
  <c r="AS12" i="6" s="1"/>
  <c r="AU7" i="6" l="1"/>
  <c r="AU8" i="6" s="1"/>
  <c r="AU9" i="6" s="1"/>
  <c r="AU10" i="6" s="1"/>
  <c r="AU11" i="6" s="1"/>
  <c r="AU12" i="6" s="1"/>
  <c r="AT8" i="6"/>
  <c r="AT9" i="6" s="1"/>
  <c r="AT10" i="6" s="1"/>
  <c r="AT11" i="6" s="1"/>
  <c r="AT12" i="6" s="1"/>
</calcChain>
</file>

<file path=xl/sharedStrings.xml><?xml version="1.0" encoding="utf-8"?>
<sst xmlns="http://schemas.openxmlformats.org/spreadsheetml/2006/main" count="118" uniqueCount="88">
  <si>
    <t>Haftalık Zamanlama Planlayıcısı</t>
  </si>
  <si>
    <t>Haftalık Hedefler</t>
  </si>
  <si>
    <t>✔</t>
  </si>
  <si>
    <t>✖</t>
  </si>
  <si>
    <t>Notlar</t>
  </si>
  <si>
    <t>Hafta:</t>
  </si>
  <si>
    <t>Bugün</t>
  </si>
  <si>
    <t>Hazırlık</t>
  </si>
  <si>
    <t>Beyin Fırtınası</t>
  </si>
  <si>
    <t>Egzersiz</t>
  </si>
  <si>
    <t>Halı saha Maçı</t>
  </si>
  <si>
    <t>Dışarıda Yemek</t>
  </si>
  <si>
    <t>Ekip Planlaması</t>
  </si>
  <si>
    <t>Ahmet le Toplantı (önemli)</t>
  </si>
  <si>
    <t>Aile - Sinema</t>
  </si>
  <si>
    <t>Elektrik Arızası (Elektrikçi)</t>
  </si>
  <si>
    <t>Çocuklar Tiyatro</t>
  </si>
  <si>
    <t>Eşimin Doğum Günü 🕯</t>
  </si>
  <si>
    <t>Ağustos için Tatil planı</t>
  </si>
  <si>
    <t>Laptop Tamiri</t>
  </si>
  <si>
    <t>Firma ABC ile görüşülecek</t>
  </si>
  <si>
    <t>Şu çok istediğin Kitabı Al</t>
  </si>
  <si>
    <t>Yeni dolap Al</t>
  </si>
  <si>
    <t>Hastahane Kontrolü</t>
  </si>
  <si>
    <t>20 Sayfa Kitap Okuma</t>
  </si>
  <si>
    <t>2 Litre Su İçme</t>
  </si>
  <si>
    <t>Projenin Tasarım Kısmının Bitirilmesi</t>
  </si>
  <si>
    <t>Saatler</t>
  </si>
  <si>
    <t>08:00-09:00</t>
  </si>
  <si>
    <t>10:00-11:00</t>
  </si>
  <si>
    <t>20:00-21:00</t>
  </si>
  <si>
    <t>21:00-22:00</t>
  </si>
  <si>
    <t>Yeni Dolap Siparişi</t>
  </si>
  <si>
    <t>Ahmet ile Toplantı</t>
  </si>
  <si>
    <t>05:00-06:00</t>
  </si>
  <si>
    <t>11:00-12:00</t>
  </si>
  <si>
    <t>09:00-10:00</t>
  </si>
  <si>
    <t>Öğle Yemeği - FR</t>
  </si>
  <si>
    <t>Elektrikçi</t>
  </si>
  <si>
    <t>Aile Sinema</t>
  </si>
  <si>
    <t>15:00-16:00</t>
  </si>
  <si>
    <t>Kitap Siparişi</t>
  </si>
  <si>
    <t>Netflix</t>
  </si>
  <si>
    <t>Dışarıda Yemek Pl</t>
  </si>
  <si>
    <t>Yemek</t>
  </si>
  <si>
    <t>19:00-20:00</t>
  </si>
  <si>
    <t>22:00-23:00</t>
  </si>
  <si>
    <t>Kahvaltı Org.</t>
  </si>
  <si>
    <t>Haftalık Plan</t>
  </si>
  <si>
    <t>Tatiller</t>
  </si>
  <si>
    <t>Yılbaşı</t>
  </si>
  <si>
    <t>Ulusal Egemenlik ve Çocuk Bay.</t>
  </si>
  <si>
    <t>Emek ve Dayanışma Günü</t>
  </si>
  <si>
    <t>Ramazan Bayramı Arefesi</t>
  </si>
  <si>
    <t>Ramazan Bayramı 1. Günü</t>
  </si>
  <si>
    <t>Ramazan Bayramı 2. Günü</t>
  </si>
  <si>
    <t>Ramazan Bayramı 3. Günü</t>
  </si>
  <si>
    <t>Gençlik ve Spor Bayramı</t>
  </si>
  <si>
    <t>Demokrasi ve Milli Birlik Günü</t>
  </si>
  <si>
    <t>Kurban Bayramı Arefesi</t>
  </si>
  <si>
    <t>Kurban Bayramı 1. Günü</t>
  </si>
  <si>
    <t>Kurban Bayramı 2. Günü</t>
  </si>
  <si>
    <t>Kurban Bayramı 3. Günü</t>
  </si>
  <si>
    <t>Kurban Bayramı 4. Günü</t>
  </si>
  <si>
    <t>Zafer Bayramı</t>
  </si>
  <si>
    <t>Cumhuriyet Bayramı</t>
  </si>
  <si>
    <t>Pzt</t>
  </si>
  <si>
    <t>Sal</t>
  </si>
  <si>
    <t>Çar</t>
  </si>
  <si>
    <t>Per</t>
  </si>
  <si>
    <t>Cum</t>
  </si>
  <si>
    <t>Cmt</t>
  </si>
  <si>
    <t>Paz</t>
  </si>
  <si>
    <t>Bu Yıl</t>
  </si>
  <si>
    <t>Bu Ay</t>
  </si>
  <si>
    <t>Ayın 1'i</t>
  </si>
  <si>
    <t>Bu Pazartesi</t>
  </si>
  <si>
    <t>►</t>
  </si>
  <si>
    <t>İşaretler</t>
  </si>
  <si>
    <t>AYARLAR</t>
  </si>
  <si>
    <t>18:00-19:00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</si>
  <si>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</si>
  <si>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</si>
  <si>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</si>
  <si>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</si>
  <si>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</si>
  <si>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 tint="0.24994659260841701"/>
        <rFont val="Calibri"/>
        <family val="2"/>
        <scheme val="minor"/>
      </rPr>
      <t>Kullanıcı Kılavuzunu in</t>
    </r>
    <r>
      <rPr>
        <sz val="11"/>
        <color theme="1" tint="0.2499465926084170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</si>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</sst>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\ &quot;₺&quot;_-;\-* #,##0\ &quot;₺&quot;_-;_-* &quot;-&quot;\ &quot;₺&quot;_-;_-@_-"/>
    <numFmt numFmtId="165" formatCode="_-* #,##0.00\ &quot;₺&quot;_-;\-* #,##0.00\ &quot;₺&quot;_-;_-* &quot;-&quot;??\ &quot;₺&quot;_-;_-@_-"/>
    <numFmt numFmtId="166" formatCode="_(* #,##0_);_(* \(#,##0\);_(* &quot;-&quot;_);_(@_)"/>
    <numFmt numFmtId="167" formatCode="_(* #,##0.00_);_(* \(#,##0.00\);_(* &quot;-&quot;??_);_(@_)"/>
    <numFmt numFmtId="168" formatCode="d"/>
    <numFmt numFmtId="169" formatCode="[$-F800]dddd\,\ mmmm\ dd\,\ yyyy"/>
    <numFmt numFmtId="170" formatCode="dd"/>
    <numFmt numFmtId="171" formatCode="d\ mmmm\ ddd\ yyyy"/>
  </numFmts>
  <fonts count="45" x14ac:knownFonts="1">
    <font>
      <sz val="11"/>
      <color theme="1" tint="0.2499465926084170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Arial Nova"/>
      <family val="2"/>
      <scheme val="major"/>
    </font>
    <font>
      <sz val="11"/>
      <color theme="1" tint="0.2499465926084170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 tint="0.24994659260841701"/>
      <name val="Gilroy Light"/>
      <family val="3"/>
    </font>
    <font>
      <sz val="12"/>
      <color theme="1" tint="0.24994659260841701"/>
      <name val="Gilroy Light"/>
      <family val="3"/>
    </font>
    <font>
      <sz val="11"/>
      <color theme="1" tint="0.24994659260841701"/>
      <name val="Gilroy Light"/>
      <family val="3"/>
    </font>
    <font>
      <sz val="20"/>
      <color theme="1" tint="0.24994659260841701"/>
      <name val="Gilroy Light"/>
      <family val="3"/>
    </font>
    <font>
      <sz val="20"/>
      <color theme="0"/>
      <name val="Gilroy Light"/>
      <family val="3"/>
    </font>
    <font>
      <b/>
      <sz val="22"/>
      <color theme="0"/>
      <name val="Gilroy Light"/>
      <family val="3"/>
    </font>
    <font>
      <b/>
      <sz val="12"/>
      <color theme="1" tint="0.24994659260841701"/>
      <name val="Gilroy Light"/>
      <family val="3"/>
    </font>
    <font>
      <u/>
      <sz val="12"/>
      <color theme="1" tint="0.24994659260841701"/>
      <name val="Gilroy Light"/>
      <family val="3"/>
    </font>
    <font>
      <sz val="12"/>
      <color theme="0"/>
      <name val="Gilroy Light"/>
      <family val="3"/>
    </font>
    <font>
      <sz val="28"/>
      <color theme="0"/>
      <name val="Gilroy Light"/>
      <family val="3"/>
    </font>
    <font>
      <b/>
      <sz val="14"/>
      <color theme="0"/>
      <name val="Gilroy Light"/>
      <family val="3"/>
    </font>
    <font>
      <sz val="10"/>
      <color theme="1" tint="0.24994659260841701"/>
      <name val="Gilroy Light"/>
      <family val="3"/>
    </font>
    <font>
      <sz val="10"/>
      <color rgb="FFFF0000"/>
      <name val="Gilroy Light"/>
      <family val="3"/>
    </font>
    <font>
      <b/>
      <sz val="11"/>
      <color theme="1" tint="0.24994659260841701"/>
      <name val="Gilroy Light"/>
      <family val="3"/>
    </font>
    <font>
      <sz val="14"/>
      <color theme="1" tint="0.24994659260841701"/>
      <name val="Century Gothic"/>
      <family val="2"/>
      <charset val="162"/>
    </font>
    <font>
      <b/>
      <sz val="26"/>
      <color rgb="FF248851"/>
      <name val="Gilroy Light"/>
      <family val="3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2488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3">
    <border>
      <left/>
      <right/>
      <top/>
      <bottom/>
      <diagonal/>
    </border>
    <border>
      <left style="thin">
        <color theme="0" tint="-0.14996795556505021"/>
      </left>
      <right/>
      <top style="medium">
        <color theme="4"/>
      </top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rgb="FFA6A6A6"/>
      </bottom>
      <diagonal/>
    </border>
    <border>
      <left/>
      <right/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rgb="FFA6A6A6"/>
      </bottom>
      <diagonal/>
    </border>
    <border>
      <left/>
      <right style="medium">
        <color theme="0" tint="-0.24994659260841701"/>
      </right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dotted">
        <color rgb="FFA6A6A6"/>
      </bottom>
      <diagonal/>
    </border>
    <border>
      <left style="medium">
        <color theme="0" tint="-0.24994659260841701"/>
      </left>
      <right/>
      <top style="dotted">
        <color rgb="FFA6A6A6"/>
      </top>
      <bottom style="medium">
        <color theme="0" tint="-0.24994659260841701"/>
      </bottom>
      <diagonal/>
    </border>
    <border>
      <left/>
      <right/>
      <top style="dotted">
        <color rgb="FFA6A6A6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rgb="FFA6A6A6"/>
      </top>
      <bottom style="medium">
        <color theme="0" tint="-0.24994659260841701"/>
      </bottom>
      <diagonal/>
    </border>
    <border>
      <left/>
      <right/>
      <top style="medium">
        <color rgb="FF24885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/>
      <top style="medium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rgb="FF248851"/>
      </left>
      <right/>
      <top style="medium">
        <color rgb="FF248851"/>
      </top>
      <bottom/>
      <diagonal/>
    </border>
    <border>
      <left/>
      <right style="medium">
        <color rgb="FF248851"/>
      </right>
      <top style="medium">
        <color rgb="FF248851"/>
      </top>
      <bottom/>
      <diagonal/>
    </border>
    <border>
      <left style="medium">
        <color rgb="FF248851"/>
      </left>
      <right/>
      <top/>
      <bottom style="medium">
        <color rgb="FF248851"/>
      </bottom>
      <diagonal/>
    </border>
    <border>
      <left/>
      <right/>
      <top/>
      <bottom style="medium">
        <color rgb="FF248851"/>
      </bottom>
      <diagonal/>
    </border>
    <border>
      <left/>
      <right style="medium">
        <color rgb="FF248851"/>
      </right>
      <top/>
      <bottom style="medium">
        <color rgb="FF248851"/>
      </bottom>
      <diagonal/>
    </border>
    <border>
      <left style="medium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/>
      <right/>
      <top style="medium">
        <color rgb="FF248851"/>
      </top>
      <bottom style="dotted">
        <color theme="0" tint="-0.24994659260841701"/>
      </bottom>
      <diagonal/>
    </border>
    <border>
      <left/>
      <right style="medium">
        <color theme="0" tint="-0.24994659260841701"/>
      </right>
      <top style="medium">
        <color rgb="FF24885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medium">
        <color rgb="FF24885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theme="0" tint="-0.24994659260841701"/>
      </right>
      <top style="medium">
        <color rgb="FF248851"/>
      </top>
      <bottom style="dotted">
        <color theme="0" tint="-0.24994659260841701"/>
      </bottom>
      <diagonal/>
    </border>
    <border>
      <left/>
      <right style="dotted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 style="thin">
        <color indexed="64"/>
      </left>
      <right/>
      <top style="medium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medium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medium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dotted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</borders>
  <cellStyleXfs count="61">
    <xf numFmtId="0" fontId="0" fillId="0" borderId="0"/>
    <xf numFmtId="0" fontId="6" fillId="0" borderId="0" applyNumberFormat="0" applyFill="0" applyBorder="0" applyAlignment="0" applyProtection="0"/>
    <xf numFmtId="0" fontId="3" fillId="0" borderId="0" applyNumberFormat="0" applyAlignment="0" applyProtection="0"/>
    <xf numFmtId="0" fontId="11" fillId="9" borderId="3" applyNumberFormat="0" applyAlignment="0" applyProtection="0"/>
    <xf numFmtId="14" fontId="8" fillId="2" borderId="2" applyProtection="0">
      <alignment horizontal="center" vertical="center"/>
    </xf>
    <xf numFmtId="168" fontId="12" fillId="9" borderId="3" applyProtection="0">
      <alignment horizontal="center" vertical="center"/>
    </xf>
    <xf numFmtId="0" fontId="4" fillId="0" borderId="1" applyBorder="0">
      <alignment vertical="center"/>
    </xf>
    <xf numFmtId="0" fontId="5" fillId="0" borderId="0">
      <alignment horizontal="left" vertical="center" wrapText="1" indent="1"/>
    </xf>
    <xf numFmtId="0" fontId="7" fillId="0" borderId="0" applyNumberFormat="0" applyFont="0" applyFill="0" applyBorder="0">
      <alignment horizontal="left" vertical="top" wrapText="1" indent="1"/>
    </xf>
    <xf numFmtId="0" fontId="7" fillId="0" borderId="4" applyNumberFormat="0" applyFont="0" applyFill="0">
      <alignment horizontal="left" vertical="top" wrapText="1" indent="1"/>
    </xf>
    <xf numFmtId="0" fontId="10" fillId="0" borderId="0">
      <alignment horizontal="left" vertical="center" wrapText="1" indent="1"/>
    </xf>
    <xf numFmtId="168" fontId="9" fillId="4" borderId="3" applyNumberFormat="0" applyFont="0" applyBorder="0" applyAlignment="0">
      <alignment horizontal="center" vertical="center"/>
    </xf>
    <xf numFmtId="168" fontId="9" fillId="5" borderId="3" applyNumberFormat="0" applyFont="0" applyBorder="0" applyAlignment="0">
      <alignment horizontal="center" vertical="center"/>
    </xf>
    <xf numFmtId="168" fontId="9" fillId="6" borderId="3" applyNumberFormat="0" applyFont="0" applyBorder="0" applyAlignment="0">
      <alignment horizontal="center" vertical="center"/>
    </xf>
    <xf numFmtId="168" fontId="9" fillId="7" borderId="3" applyNumberFormat="0" applyFont="0" applyBorder="0" applyAlignment="0">
      <alignment horizontal="center" vertical="center"/>
    </xf>
    <xf numFmtId="168" fontId="9" fillId="2" borderId="3" applyNumberFormat="0" applyFont="0" applyBorder="0" applyAlignment="0">
      <alignment horizontal="center" vertical="center"/>
    </xf>
    <xf numFmtId="168" fontId="9" fillId="3" borderId="3" applyNumberFormat="0" applyFont="0" applyBorder="0" applyAlignment="0">
      <alignment horizontal="center" vertical="center"/>
    </xf>
    <xf numFmtId="168" fontId="9" fillId="8" borderId="3" applyNumberFormat="0" applyFont="0" applyBorder="0" applyAlignment="0">
      <alignment horizontal="center" vertical="center"/>
    </xf>
    <xf numFmtId="167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39" applyNumberFormat="0" applyAlignment="0" applyProtection="0"/>
    <xf numFmtId="0" fontId="17" fillId="18" borderId="40" applyNumberFormat="0" applyAlignment="0" applyProtection="0"/>
    <xf numFmtId="0" fontId="18" fillId="0" borderId="41" applyNumberFormat="0" applyFill="0" applyAlignment="0" applyProtection="0"/>
    <xf numFmtId="0" fontId="19" fillId="19" borderId="42" applyNumberFormat="0" applyAlignment="0" applyProtection="0"/>
    <xf numFmtId="0" fontId="20" fillId="0" borderId="0" applyNumberFormat="0" applyFill="0" applyBorder="0" applyAlignment="0" applyProtection="0"/>
    <xf numFmtId="0" fontId="7" fillId="20" borderId="43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44" applyNumberFormat="0" applyFill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3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3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3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40" fillId="0" borderId="0"/>
    <xf numFmtId="0" fontId="1" fillId="0" borderId="0"/>
    <xf numFmtId="0" fontId="44" fillId="0" borderId="0" applyNumberFormat="0" applyFill="0" applyBorder="0" applyAlignment="0" applyProtection="0"/>
  </cellStyleXfs>
  <cellXfs count="144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5" fillId="10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center" vertical="center"/>
    </xf>
    <xf numFmtId="0" fontId="24" fillId="10" borderId="0" xfId="0" applyFont="1" applyFill="1" applyAlignment="1">
      <alignment vertical="center"/>
    </xf>
    <xf numFmtId="0" fontId="26" fillId="10" borderId="0" xfId="0" applyFont="1" applyFill="1"/>
    <xf numFmtId="0" fontId="25" fillId="0" borderId="0" xfId="0" applyFont="1" applyAlignment="1">
      <alignment vertical="center"/>
    </xf>
    <xf numFmtId="0" fontId="25" fillId="10" borderId="0" xfId="0" applyFont="1" applyFill="1" applyAlignment="1">
      <alignment vertical="center"/>
    </xf>
    <xf numFmtId="0" fontId="25" fillId="10" borderId="0" xfId="0" applyFont="1" applyFill="1"/>
    <xf numFmtId="0" fontId="25" fillId="0" borderId="0" xfId="0" applyFont="1"/>
    <xf numFmtId="0" fontId="24" fillId="0" borderId="0" xfId="0" applyFont="1"/>
    <xf numFmtId="0" fontId="24" fillId="10" borderId="0" xfId="0" applyFont="1" applyFill="1"/>
    <xf numFmtId="0" fontId="24" fillId="0" borderId="45" xfId="0" applyFont="1" applyBorder="1" applyAlignment="1">
      <alignment vertical="center"/>
    </xf>
    <xf numFmtId="14" fontId="24" fillId="0" borderId="45" xfId="0" applyNumberFormat="1" applyFont="1" applyBorder="1" applyAlignment="1">
      <alignment vertical="center"/>
    </xf>
    <xf numFmtId="0" fontId="26" fillId="0" borderId="56" xfId="0" applyFont="1" applyBorder="1" applyAlignment="1" applyProtection="1">
      <alignment horizontal="center" vertical="center"/>
      <protection locked="0"/>
    </xf>
    <xf numFmtId="0" fontId="26" fillId="0" borderId="57" xfId="0" applyFont="1" applyBorder="1" applyAlignment="1" applyProtection="1">
      <alignment horizontal="center" vertical="center"/>
      <protection locked="0"/>
    </xf>
    <xf numFmtId="0" fontId="26" fillId="0" borderId="58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14" fontId="24" fillId="0" borderId="45" xfId="0" applyNumberFormat="1" applyFont="1" applyBorder="1" applyAlignment="1">
      <alignment horizontal="right" vertical="center"/>
    </xf>
    <xf numFmtId="0" fontId="25" fillId="0" borderId="45" xfId="0" applyFont="1" applyBorder="1" applyAlignment="1">
      <alignment vertical="center"/>
    </xf>
    <xf numFmtId="170" fontId="25" fillId="0" borderId="45" xfId="0" applyNumberFormat="1" applyFont="1" applyBorder="1" applyAlignment="1">
      <alignment vertical="center"/>
    </xf>
    <xf numFmtId="0" fontId="34" fillId="6" borderId="0" xfId="0" applyFont="1" applyFill="1" applyAlignment="1">
      <alignment horizontal="center" vertical="center" wrapText="1"/>
    </xf>
    <xf numFmtId="0" fontId="34" fillId="6" borderId="59" xfId="0" applyFont="1" applyFill="1" applyBorder="1" applyAlignment="1">
      <alignment horizontal="left" vertical="center" wrapText="1"/>
    </xf>
    <xf numFmtId="0" fontId="27" fillId="0" borderId="0" xfId="0" applyFont="1"/>
    <xf numFmtId="0" fontId="27" fillId="10" borderId="0" xfId="0" applyFont="1" applyFill="1"/>
    <xf numFmtId="0" fontId="27" fillId="10" borderId="0" xfId="0" applyFont="1" applyFill="1" applyAlignment="1">
      <alignment horizontal="left" indent="3"/>
    </xf>
    <xf numFmtId="0" fontId="27" fillId="10" borderId="0" xfId="0" applyFont="1" applyFill="1" applyAlignment="1">
      <alignment vertical="center"/>
    </xf>
    <xf numFmtId="0" fontId="28" fillId="10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7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right" wrapText="1"/>
    </xf>
    <xf numFmtId="170" fontId="26" fillId="10" borderId="0" xfId="0" applyNumberFormat="1" applyFont="1" applyFill="1" applyAlignment="1">
      <alignment horizontal="center" vertical="center"/>
    </xf>
    <xf numFmtId="0" fontId="25" fillId="10" borderId="0" xfId="0" applyFont="1" applyFill="1" applyAlignment="1">
      <alignment horizontal="center"/>
    </xf>
    <xf numFmtId="0" fontId="38" fillId="0" borderId="0" xfId="0" applyFont="1" applyAlignment="1">
      <alignment vertical="center"/>
    </xf>
    <xf numFmtId="0" fontId="35" fillId="0" borderId="33" xfId="0" applyFont="1" applyBorder="1" applyAlignment="1" applyProtection="1">
      <alignment horizontal="center" vertical="center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19" xfId="0" applyFont="1" applyBorder="1" applyAlignment="1" applyProtection="1">
      <alignment horizontal="left" vertical="center"/>
      <protection locked="0"/>
    </xf>
    <xf numFmtId="0" fontId="35" fillId="0" borderId="35" xfId="0" applyFont="1" applyBorder="1" applyAlignment="1" applyProtection="1">
      <alignment horizontal="left" vertical="center"/>
      <protection locked="0"/>
    </xf>
    <xf numFmtId="0" fontId="35" fillId="0" borderId="30" xfId="0" applyFont="1" applyBorder="1" applyAlignment="1" applyProtection="1">
      <alignment horizontal="left" vertical="center"/>
      <protection locked="0"/>
    </xf>
    <xf numFmtId="0" fontId="35" fillId="0" borderId="46" xfId="0" applyFont="1" applyBorder="1" applyAlignment="1" applyProtection="1">
      <alignment horizontal="left" vertical="center"/>
      <protection locked="0"/>
    </xf>
    <xf numFmtId="0" fontId="36" fillId="0" borderId="19" xfId="0" applyFont="1" applyBorder="1" applyAlignment="1" applyProtection="1">
      <alignment horizontal="left" vertical="center"/>
      <protection locked="0"/>
    </xf>
    <xf numFmtId="0" fontId="36" fillId="0" borderId="35" xfId="0" applyFont="1" applyBorder="1" applyAlignment="1" applyProtection="1">
      <alignment horizontal="left" vertical="center"/>
      <protection locked="0"/>
    </xf>
    <xf numFmtId="0" fontId="35" fillId="0" borderId="22" xfId="0" applyFont="1" applyBorder="1" applyAlignment="1" applyProtection="1">
      <alignment horizontal="left" vertical="center"/>
      <protection locked="0"/>
    </xf>
    <xf numFmtId="0" fontId="35" fillId="0" borderId="47" xfId="0" applyFont="1" applyBorder="1" applyAlignment="1" applyProtection="1">
      <alignment horizontal="left" vertical="center"/>
      <protection locked="0"/>
    </xf>
    <xf numFmtId="0" fontId="35" fillId="0" borderId="34" xfId="0" applyFont="1" applyBorder="1" applyAlignment="1" applyProtection="1">
      <alignment horizontal="center" vertical="center"/>
      <protection locked="0"/>
    </xf>
    <xf numFmtId="0" fontId="35" fillId="0" borderId="22" xfId="0" applyFont="1" applyBorder="1" applyAlignment="1" applyProtection="1">
      <alignment horizontal="center" vertical="center"/>
      <protection locked="0"/>
    </xf>
    <xf numFmtId="0" fontId="35" fillId="0" borderId="20" xfId="0" applyFont="1" applyBorder="1" applyAlignment="1" applyProtection="1">
      <alignment horizontal="left" vertical="center"/>
      <protection locked="0"/>
    </xf>
    <xf numFmtId="0" fontId="35" fillId="0" borderId="23" xfId="0" applyFont="1" applyBorder="1" applyAlignment="1" applyProtection="1">
      <alignment horizontal="left" vertical="center"/>
      <protection locked="0"/>
    </xf>
    <xf numFmtId="0" fontId="35" fillId="0" borderId="18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29" fillId="6" borderId="0" xfId="0" applyFont="1" applyFill="1" applyAlignment="1">
      <alignment horizontal="center" vertical="center" wrapText="1"/>
    </xf>
    <xf numFmtId="0" fontId="29" fillId="6" borderId="0" xfId="0" applyFont="1" applyFill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4" fillId="6" borderId="45" xfId="0" applyFont="1" applyFill="1" applyBorder="1" applyAlignment="1">
      <alignment horizontal="left" vertical="center" wrapText="1"/>
    </xf>
    <xf numFmtId="0" fontId="34" fillId="6" borderId="45" xfId="0" applyFont="1" applyFill="1" applyBorder="1" applyAlignment="1">
      <alignment horizontal="left" vertical="center"/>
    </xf>
    <xf numFmtId="0" fontId="36" fillId="0" borderId="33" xfId="0" applyFont="1" applyBorder="1" applyAlignment="1" applyProtection="1">
      <alignment horizontal="center" vertical="center"/>
      <protection locked="0"/>
    </xf>
    <xf numFmtId="0" fontId="36" fillId="0" borderId="19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left" vertical="center"/>
      <protection locked="0"/>
    </xf>
    <xf numFmtId="0" fontId="36" fillId="0" borderId="20" xfId="0" applyFont="1" applyBorder="1" applyAlignment="1" applyProtection="1">
      <alignment horizontal="left" vertical="center"/>
      <protection locked="0"/>
    </xf>
    <xf numFmtId="0" fontId="32" fillId="6" borderId="48" xfId="0" applyFont="1" applyFill="1" applyBorder="1" applyAlignment="1">
      <alignment horizontal="center" vertical="center"/>
    </xf>
    <xf numFmtId="0" fontId="32" fillId="6" borderId="49" xfId="0" applyFont="1" applyFill="1" applyBorder="1" applyAlignment="1">
      <alignment horizontal="center" vertical="center"/>
    </xf>
    <xf numFmtId="0" fontId="26" fillId="0" borderId="50" xfId="0" applyFont="1" applyBorder="1" applyAlignment="1" applyProtection="1">
      <alignment horizontal="left" vertical="center"/>
      <protection locked="0"/>
    </xf>
    <xf numFmtId="0" fontId="26" fillId="0" borderId="16" xfId="0" applyFont="1" applyBorder="1" applyAlignment="1" applyProtection="1">
      <alignment horizontal="left" vertical="center"/>
      <protection locked="0"/>
    </xf>
    <xf numFmtId="0" fontId="26" fillId="0" borderId="17" xfId="0" applyFont="1" applyBorder="1" applyAlignment="1" applyProtection="1">
      <alignment horizontal="left" vertical="center"/>
      <protection locked="0"/>
    </xf>
    <xf numFmtId="0" fontId="26" fillId="0" borderId="51" xfId="0" applyFont="1" applyBorder="1" applyAlignment="1" applyProtection="1">
      <alignment horizontal="left" vertical="center"/>
      <protection locked="0"/>
    </xf>
    <xf numFmtId="0" fontId="26" fillId="0" borderId="19" xfId="0" applyFont="1" applyBorder="1" applyAlignment="1" applyProtection="1">
      <alignment horizontal="left" vertical="center"/>
      <protection locked="0"/>
    </xf>
    <xf numFmtId="0" fontId="26" fillId="0" borderId="20" xfId="0" applyFont="1" applyBorder="1" applyAlignment="1" applyProtection="1">
      <alignment horizontal="left" vertical="center"/>
      <protection locked="0"/>
    </xf>
    <xf numFmtId="0" fontId="26" fillId="0" borderId="54" xfId="0" applyFont="1" applyBorder="1" applyAlignment="1" applyProtection="1">
      <alignment horizontal="left" vertical="center"/>
      <protection locked="0"/>
    </xf>
    <xf numFmtId="0" fontId="26" fillId="0" borderId="22" xfId="0" applyFont="1" applyBorder="1" applyAlignment="1" applyProtection="1">
      <alignment horizontal="left" vertical="center"/>
      <protection locked="0"/>
    </xf>
    <xf numFmtId="0" fontId="26" fillId="0" borderId="23" xfId="0" applyFont="1" applyBorder="1" applyAlignment="1" applyProtection="1">
      <alignment horizontal="left" vertical="center"/>
      <protection locked="0"/>
    </xf>
    <xf numFmtId="0" fontId="26" fillId="0" borderId="52" xfId="0" applyFont="1" applyBorder="1" applyAlignment="1" applyProtection="1">
      <alignment horizontal="left" vertical="center"/>
      <protection locked="0"/>
    </xf>
    <xf numFmtId="0" fontId="26" fillId="0" borderId="53" xfId="0" applyFont="1" applyBorder="1" applyAlignment="1" applyProtection="1">
      <alignment horizontal="left" vertical="center"/>
      <protection locked="0"/>
    </xf>
    <xf numFmtId="0" fontId="26" fillId="0" borderId="55" xfId="0" applyFont="1" applyBorder="1" applyAlignment="1" applyProtection="1">
      <alignment horizontal="left" vertical="center"/>
      <protection locked="0"/>
    </xf>
    <xf numFmtId="0" fontId="32" fillId="6" borderId="36" xfId="0" applyFont="1" applyFill="1" applyBorder="1" applyAlignment="1">
      <alignment horizontal="left" vertical="center" indent="1"/>
    </xf>
    <xf numFmtId="0" fontId="32" fillId="6" borderId="37" xfId="0" applyFont="1" applyFill="1" applyBorder="1" applyAlignment="1">
      <alignment horizontal="left" vertical="center" indent="1"/>
    </xf>
    <xf numFmtId="0" fontId="32" fillId="6" borderId="38" xfId="0" applyFont="1" applyFill="1" applyBorder="1" applyAlignment="1">
      <alignment horizontal="left" vertical="center" indent="1"/>
    </xf>
    <xf numFmtId="0" fontId="25" fillId="13" borderId="15" xfId="0" applyFont="1" applyFill="1" applyBorder="1" applyAlignment="1">
      <alignment horizontal="left" indent="1"/>
    </xf>
    <xf numFmtId="0" fontId="25" fillId="13" borderId="16" xfId="0" applyFont="1" applyFill="1" applyBorder="1" applyAlignment="1">
      <alignment horizontal="left" indent="1"/>
    </xf>
    <xf numFmtId="0" fontId="25" fillId="13" borderId="17" xfId="0" applyFont="1" applyFill="1" applyBorder="1" applyAlignment="1">
      <alignment horizontal="left" indent="1"/>
    </xf>
    <xf numFmtId="0" fontId="25" fillId="13" borderId="18" xfId="0" applyFont="1" applyFill="1" applyBorder="1" applyAlignment="1" applyProtection="1">
      <alignment horizontal="left" vertical="center" indent="1"/>
      <protection locked="0"/>
    </xf>
    <xf numFmtId="0" fontId="25" fillId="13" borderId="19" xfId="0" applyFont="1" applyFill="1" applyBorder="1" applyAlignment="1" applyProtection="1">
      <alignment horizontal="left" vertical="center" indent="1"/>
      <protection locked="0"/>
    </xf>
    <xf numFmtId="0" fontId="25" fillId="13" borderId="20" xfId="0" applyFont="1" applyFill="1" applyBorder="1" applyAlignment="1" applyProtection="1">
      <alignment horizontal="left" vertical="center" indent="1"/>
      <protection locked="0"/>
    </xf>
    <xf numFmtId="0" fontId="25" fillId="13" borderId="21" xfId="0" applyFont="1" applyFill="1" applyBorder="1" applyAlignment="1" applyProtection="1">
      <alignment horizontal="left" vertical="center" indent="1"/>
      <protection locked="0"/>
    </xf>
    <xf numFmtId="0" fontId="25" fillId="13" borderId="22" xfId="0" applyFont="1" applyFill="1" applyBorder="1" applyAlignment="1" applyProtection="1">
      <alignment horizontal="left" vertical="center" indent="1"/>
      <protection locked="0"/>
    </xf>
    <xf numFmtId="0" fontId="25" fillId="13" borderId="23" xfId="0" applyFont="1" applyFill="1" applyBorder="1" applyAlignment="1" applyProtection="1">
      <alignment horizontal="left" vertical="center" indent="1"/>
      <protection locked="0"/>
    </xf>
    <xf numFmtId="0" fontId="32" fillId="12" borderId="27" xfId="0" applyFont="1" applyFill="1" applyBorder="1" applyAlignment="1">
      <alignment horizontal="left" vertical="center"/>
    </xf>
    <xf numFmtId="169" fontId="30" fillId="10" borderId="0" xfId="0" applyNumberFormat="1" applyFont="1" applyFill="1" applyAlignment="1">
      <alignment horizontal="left" vertical="center"/>
    </xf>
    <xf numFmtId="0" fontId="33" fillId="11" borderId="14" xfId="0" applyFont="1" applyFill="1" applyBorder="1" applyAlignment="1">
      <alignment horizontal="center" vertical="center"/>
    </xf>
    <xf numFmtId="0" fontId="33" fillId="11" borderId="27" xfId="0" applyFont="1" applyFill="1" applyBorder="1" applyAlignment="1">
      <alignment horizontal="center" vertical="center"/>
    </xf>
    <xf numFmtId="0" fontId="32" fillId="12" borderId="14" xfId="0" applyFont="1" applyFill="1" applyBorder="1" applyAlignment="1">
      <alignment horizontal="left" vertical="center"/>
    </xf>
    <xf numFmtId="0" fontId="26" fillId="10" borderId="0" xfId="0" applyFont="1" applyFill="1" applyAlignment="1" applyProtection="1">
      <alignment horizontal="left" vertical="center"/>
      <protection locked="0"/>
    </xf>
    <xf numFmtId="0" fontId="25" fillId="13" borderId="18" xfId="0" applyFont="1" applyFill="1" applyBorder="1" applyAlignment="1" applyProtection="1">
      <alignment horizontal="left" indent="1"/>
      <protection locked="0"/>
    </xf>
    <xf numFmtId="0" fontId="25" fillId="13" borderId="19" xfId="0" applyFont="1" applyFill="1" applyBorder="1" applyAlignment="1" applyProtection="1">
      <alignment horizontal="left" indent="1"/>
      <protection locked="0"/>
    </xf>
    <xf numFmtId="0" fontId="25" fillId="13" borderId="20" xfId="0" applyFont="1" applyFill="1" applyBorder="1" applyAlignment="1" applyProtection="1">
      <alignment horizontal="left" indent="1"/>
      <protection locked="0"/>
    </xf>
    <xf numFmtId="0" fontId="25" fillId="13" borderId="6" xfId="0" applyFont="1" applyFill="1" applyBorder="1" applyAlignment="1">
      <alignment horizontal="left" indent="1"/>
    </xf>
    <xf numFmtId="0" fontId="25" fillId="13" borderId="7" xfId="0" applyFont="1" applyFill="1" applyBorder="1" applyAlignment="1">
      <alignment horizontal="left" indent="1"/>
    </xf>
    <xf numFmtId="0" fontId="25" fillId="13" borderId="8" xfId="0" applyFont="1" applyFill="1" applyBorder="1" applyAlignment="1">
      <alignment horizontal="left" indent="1"/>
    </xf>
    <xf numFmtId="0" fontId="25" fillId="13" borderId="10" xfId="0" applyFont="1" applyFill="1" applyBorder="1" applyAlignment="1" applyProtection="1">
      <alignment horizontal="left" vertical="center" indent="1"/>
      <protection locked="0"/>
    </xf>
    <xf numFmtId="0" fontId="25" fillId="13" borderId="5" xfId="0" applyFont="1" applyFill="1" applyBorder="1" applyAlignment="1" applyProtection="1">
      <alignment horizontal="left" vertical="center" indent="1"/>
      <protection locked="0"/>
    </xf>
    <xf numFmtId="0" fontId="25" fillId="13" borderId="9" xfId="0" applyFont="1" applyFill="1" applyBorder="1" applyAlignment="1" applyProtection="1">
      <alignment horizontal="left" vertical="center" indent="1"/>
      <protection locked="0"/>
    </xf>
    <xf numFmtId="0" fontId="30" fillId="13" borderId="10" xfId="0" applyFont="1" applyFill="1" applyBorder="1" applyAlignment="1" applyProtection="1">
      <alignment horizontal="left" vertical="center" indent="1"/>
      <protection locked="0"/>
    </xf>
    <xf numFmtId="0" fontId="30" fillId="13" borderId="5" xfId="0" applyFont="1" applyFill="1" applyBorder="1" applyAlignment="1" applyProtection="1">
      <alignment horizontal="left" vertical="center" indent="1"/>
      <protection locked="0"/>
    </xf>
    <xf numFmtId="0" fontId="30" fillId="13" borderId="9" xfId="0" applyFont="1" applyFill="1" applyBorder="1" applyAlignment="1" applyProtection="1">
      <alignment horizontal="left" vertical="center" indent="1"/>
      <protection locked="0"/>
    </xf>
    <xf numFmtId="0" fontId="25" fillId="13" borderId="11" xfId="0" applyFont="1" applyFill="1" applyBorder="1" applyAlignment="1" applyProtection="1">
      <alignment horizontal="left" vertical="center" indent="1"/>
      <protection locked="0"/>
    </xf>
    <xf numFmtId="0" fontId="25" fillId="13" borderId="12" xfId="0" applyFont="1" applyFill="1" applyBorder="1" applyAlignment="1" applyProtection="1">
      <alignment horizontal="left" vertical="center" indent="1"/>
      <protection locked="0"/>
    </xf>
    <xf numFmtId="0" fontId="25" fillId="13" borderId="13" xfId="0" applyFont="1" applyFill="1" applyBorder="1" applyAlignment="1" applyProtection="1">
      <alignment horizontal="left" vertical="center" indent="1"/>
      <protection locked="0"/>
    </xf>
    <xf numFmtId="0" fontId="33" fillId="11" borderId="24" xfId="0" applyFont="1" applyFill="1" applyBorder="1" applyAlignment="1">
      <alignment horizontal="center" vertical="top"/>
    </xf>
    <xf numFmtId="0" fontId="33" fillId="11" borderId="14" xfId="0" applyFont="1" applyFill="1" applyBorder="1" applyAlignment="1">
      <alignment horizontal="center" vertical="top"/>
    </xf>
    <xf numFmtId="0" fontId="33" fillId="11" borderId="26" xfId="0" applyFont="1" applyFill="1" applyBorder="1" applyAlignment="1">
      <alignment horizontal="center" vertical="top"/>
    </xf>
    <xf numFmtId="0" fontId="33" fillId="11" borderId="27" xfId="0" applyFont="1" applyFill="1" applyBorder="1" applyAlignment="1">
      <alignment horizontal="center" vertical="top"/>
    </xf>
    <xf numFmtId="0" fontId="32" fillId="12" borderId="25" xfId="0" applyFont="1" applyFill="1" applyBorder="1" applyAlignment="1">
      <alignment horizontal="left" vertical="center"/>
    </xf>
    <xf numFmtId="0" fontId="32" fillId="12" borderId="28" xfId="0" applyFont="1" applyFill="1" applyBorder="1" applyAlignment="1">
      <alignment horizontal="left" vertical="center"/>
    </xf>
    <xf numFmtId="0" fontId="34" fillId="6" borderId="60" xfId="0" applyFont="1" applyFill="1" applyBorder="1" applyAlignment="1">
      <alignment horizontal="left" vertical="center" wrapText="1"/>
    </xf>
    <xf numFmtId="0" fontId="34" fillId="6" borderId="61" xfId="0" applyFont="1" applyFill="1" applyBorder="1" applyAlignment="1">
      <alignment horizontal="left" vertical="center" wrapText="1"/>
    </xf>
    <xf numFmtId="171" fontId="37" fillId="10" borderId="0" xfId="0" applyNumberFormat="1" applyFont="1" applyFill="1" applyAlignment="1" applyProtection="1">
      <alignment horizontal="left" vertical="center"/>
      <protection locked="0"/>
    </xf>
    <xf numFmtId="171" fontId="26" fillId="10" borderId="0" xfId="0" applyNumberFormat="1" applyFont="1" applyFill="1" applyAlignment="1" applyProtection="1">
      <alignment horizontal="left" vertical="center"/>
      <protection locked="0"/>
    </xf>
    <xf numFmtId="0" fontId="41" fillId="2" borderId="0" xfId="59" applyFont="1" applyFill="1" applyAlignment="1">
      <alignment horizontal="left" vertical="center" wrapText="1"/>
    </xf>
    <xf numFmtId="0" fontId="41" fillId="2" borderId="0" xfId="59" applyFont="1" applyFill="1" applyAlignment="1">
      <alignment horizontal="left" vertical="center"/>
    </xf>
    <xf numFmtId="0" fontId="42" fillId="2" borderId="3" xfId="59" applyFont="1" applyFill="1" applyBorder="1" applyAlignment="1">
      <alignment horizontal="left" vertical="center" wrapText="1" indent="1"/>
    </xf>
    <xf numFmtId="0" fontId="42" fillId="2" borderId="0" xfId="59" applyFont="1" applyFill="1" applyAlignment="1">
      <alignment horizontal="left" vertical="center" wrapText="1" indent="1"/>
    </xf>
    <xf numFmtId="0" fontId="42" fillId="2" borderId="0" xfId="59" applyFont="1" applyFill="1" applyAlignment="1">
      <alignment horizontal="left" vertical="top" wrapText="1"/>
    </xf>
    <xf numFmtId="0" fontId="1" fillId="0" borderId="0" xfId="59" applyAlignment="1">
      <alignment horizontal="left" vertical="center" wrapText="1"/>
    </xf>
    <xf numFmtId="0" fontId="1" fillId="0" borderId="0" xfId="59" applyAlignment="1">
      <alignment horizontal="left" vertical="center"/>
    </xf>
    <xf numFmtId="0" fontId="1" fillId="10" borderId="0" xfId="59" applyFill="1" applyAlignment="1">
      <alignment horizontal="left" vertical="center"/>
    </xf>
    <xf numFmtId="0" fontId="1" fillId="10" borderId="0" xfId="59" applyFill="1" applyAlignment="1">
      <alignment horizontal="left" vertical="top"/>
    </xf>
    <xf numFmtId="0" fontId="43" fillId="10" borderId="62" xfId="59" applyFont="1" applyFill="1" applyBorder="1" applyAlignment="1">
      <alignment vertical="top"/>
    </xf>
    <xf numFmtId="0" fontId="1" fillId="10" borderId="62" xfId="59" applyFill="1" applyBorder="1" applyAlignment="1">
      <alignment vertical="top" wrapText="1"/>
    </xf>
    <xf numFmtId="0" fontId="1" fillId="0" borderId="0" xfId="59" applyAlignment="1">
      <alignment horizontal="left" vertical="top"/>
    </xf>
    <xf numFmtId="0" fontId="44" fillId="10" borderId="0" xfId="60" applyFill="1" applyAlignment="1">
      <alignment horizontal="left" vertical="center"/>
    </xf>
    <xf numFmtId="0" fontId="1" fillId="10" borderId="0" xfId="59" applyFill="1" applyAlignment="1">
      <alignment vertical="center" wrapText="1"/>
    </xf>
    <xf numFmtId="0" fontId="1" fillId="10" borderId="0" xfId="59" applyFill="1" applyAlignment="1">
      <alignment vertical="top" wrapText="1"/>
    </xf>
    <xf numFmtId="0" fontId="1" fillId="10" borderId="0" xfId="59" applyFill="1"/>
    <xf numFmtId="0" fontId="1" fillId="10" borderId="0" xfId="59" applyFill="1" applyAlignment="1">
      <alignment horizontal="left" vertical="top" wrapText="1"/>
    </xf>
    <xf numFmtId="0" fontId="0" fillId="10" borderId="0" xfId="59" applyFont="1" applyFill="1" applyAlignment="1">
      <alignment horizontal="left" vertical="top" wrapText="1"/>
    </xf>
    <xf numFmtId="0" fontId="1" fillId="0" borderId="0" xfId="59"/>
    <xf numFmtId="0" fontId="1" fillId="10" borderId="0" xfId="59" applyFill="1" applyAlignment="1">
      <alignment horizontal="left" vertical="center" wrapText="1"/>
    </xf>
  </cellXfs>
  <cellStyles count="61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4" builtinId="27" customBuiltin="1"/>
    <cellStyle name="Calculation" xfId="6" builtinId="22" hidden="1" customBuiltin="1"/>
    <cellStyle name="Check Cell" xfId="29" builtinId="23" customBuiltin="1"/>
    <cellStyle name="Comma" xfId="18" builtinId="3" customBuiltin="1"/>
    <cellStyle name="Comma [0]" xfId="19" builtinId="6" customBuiltin="1"/>
    <cellStyle name="Currency" xfId="20" builtinId="4" customBuiltin="1"/>
    <cellStyle name="Currency [0]" xfId="21" builtinId="7" customBuiltin="1"/>
    <cellStyle name="Explanatory Text" xfId="32" builtinId="53" customBuiltin="1"/>
    <cellStyle name="Good" xfId="23" builtinId="26" customBuiltin="1"/>
    <cellStyle name="Gün 1 İçin Renk" xfId="17" xr:uid="{00000000-0005-0000-0000-000004000000}"/>
    <cellStyle name="Gün 2 İçin Renk" xfId="16" xr:uid="{00000000-0005-0000-0000-000005000000}"/>
    <cellStyle name="Gün 3 İçin Renk" xfId="15" xr:uid="{00000000-0005-0000-0000-000006000000}"/>
    <cellStyle name="Gün 4 İçin Renk" xfId="14" xr:uid="{00000000-0005-0000-0000-000007000000}"/>
    <cellStyle name="Gün 5 İçin Renk" xfId="13" xr:uid="{00000000-0005-0000-0000-000008000000}"/>
    <cellStyle name="Gün 6 İçin Renk" xfId="12" xr:uid="{00000000-0005-0000-0000-000009000000}"/>
    <cellStyle name="Gün 7 İçin Renk" xfId="11" xr:uid="{00000000-0005-0000-0000-00000A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26" builtinId="20" customBuiltin="1"/>
    <cellStyle name="İş Başlığı" xfId="8" xr:uid="{00000000-0005-0000-0000-000003000000}"/>
    <cellStyle name="İş Sütun Stili" xfId="7" xr:uid="{00000000-0005-0000-0000-000002000000}"/>
    <cellStyle name="Kenarlık Sağ" xfId="9" xr:uid="{00000000-0005-0000-0000-000000000000}"/>
    <cellStyle name="Köprü 2" xfId="60" xr:uid="{E8372A50-2A79-459E-907E-685DE55F7B66}"/>
    <cellStyle name="Linked Cell" xfId="28" builtinId="24" customBuiltin="1"/>
    <cellStyle name="Neutral" xfId="25" builtinId="28" customBuiltin="1"/>
    <cellStyle name="Normal" xfId="0" builtinId="0" customBuiltin="1"/>
    <cellStyle name="Normal 2" xfId="58" xr:uid="{583CF46D-DD0B-4A94-9E35-3AD5A6A77D8D}"/>
    <cellStyle name="Normal 2 2" xfId="59" xr:uid="{5DD3452D-A448-43D8-BFE1-A341E2E2037F}"/>
    <cellStyle name="Note" xfId="31" builtinId="10" customBuiltin="1"/>
    <cellStyle name="Output" xfId="27" builtinId="21" customBuiltin="1"/>
    <cellStyle name="Percent" xfId="22" builtinId="5" customBuiltin="1"/>
    <cellStyle name="Tablo Ayrıntıları" xfId="10" xr:uid="{00000000-0005-0000-0000-000010000000}"/>
    <cellStyle name="Title" xfId="1" builtinId="15" customBuiltin="1"/>
    <cellStyle name="Total" xfId="33" builtinId="25" customBuiltin="1"/>
    <cellStyle name="Warning Text" xfId="30" builtinId="11" customBuiltin="1"/>
  </cellStyles>
  <dxfs count="14">
    <dxf>
      <font>
        <strike/>
        <color rgb="FF248851"/>
      </font>
    </dxf>
    <dxf>
      <font>
        <color rgb="FFFF0000"/>
      </font>
    </dxf>
    <dxf>
      <font>
        <color rgb="FF248851"/>
      </font>
    </dxf>
    <dxf>
      <font>
        <color rgb="FFFF0000"/>
      </font>
    </dxf>
    <dxf>
      <font>
        <color theme="0" tint="-0.24994659260841701"/>
      </font>
    </dxf>
    <dxf>
      <font>
        <color rgb="FFFF0000"/>
      </font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ill>
        <patternFill>
          <bgColor rgb="FFDDEFE2"/>
        </patternFill>
      </fill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1" defaultPivotStyle="PivotStyleLight16">
    <tableStyle name="Planlayıcı" pivot="0" count="1" xr9:uid="{00000000-0011-0000-FFFF-FFFF00000000}">
      <tableStyleElement type="wholeTable" dxfId="13"/>
    </tableStyle>
  </tableStyles>
  <colors>
    <mruColors>
      <color rgb="FF248851"/>
      <color rgb="FFDDEFE2"/>
      <color rgb="FFE5F3E9"/>
      <color rgb="FFE8F4EB"/>
      <color rgb="FF1D6F42"/>
      <color rgb="FF3F752B"/>
      <color rgb="FF62983E"/>
      <color rgb="FFFBFBFB"/>
      <color rgb="FF757575"/>
      <color rgb="FF6D1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17" Type="http://schemas.openxmlformats.org/officeDocument/2006/relationships/customXml" Target="../customXml/item3.xml" /><ns0:Relationship Id="rId2" Type="http://schemas.openxmlformats.org/officeDocument/2006/relationships/worksheet" Target="worksheets/sheet2.xml" /><ns0:Relationship Id="rId16" Type="http://schemas.openxmlformats.org/officeDocument/2006/relationships/customXml" Target="../customXml/item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5" Type="http://schemas.openxmlformats.org/officeDocument/2006/relationships/customXml" Target="../customXml/item1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120781</xdr:colOff>
      <xdr:row>34</xdr:row>
      <xdr:rowOff>254425</xdr:rowOff>
    </xdr:from>
    <xdr:to>
      <xdr:col>37</xdr:col>
      <xdr:colOff>0</xdr:colOff>
      <xdr:row>35</xdr:row>
      <xdr:rowOff>114300</xdr:rowOff>
    </xdr:to>
    <xdr:grpSp>
      <xdr:nvGrpSpPr>
        <xdr:cNvPr id="11" name="Spiral" descr="Spiral Şekli">
          <a:extLst>
            <a:ext uri="{FF2B5EF4-FFF2-40B4-BE49-F238E27FC236}">
              <a16:creationId xmlns:a16="http://schemas.microsoft.com/office/drawing/2014/main" id="{8CE34F4C-40D5-4D87-96AB-95B451001771}"/>
            </a:ext>
          </a:extLst>
        </xdr:cNvPr>
        <xdr:cNvGrpSpPr/>
      </xdr:nvGrpSpPr>
      <xdr:grpSpPr>
        <a:xfrm>
          <a:off x="577981" y="8614654"/>
          <a:ext cx="13823819" cy="240875"/>
          <a:chOff x="1120906" y="8550700"/>
          <a:chExt cx="10423394" cy="262675"/>
        </a:xfrm>
      </xdr:grpSpPr>
      <xdr:pic>
        <xdr:nvPicPr>
          <xdr:cNvPr id="16" name="Resim 15" descr="Tablo Üst Bilgisi için Spiral Cilt Grafiği">
            <a:extLst>
              <a:ext uri="{FF2B5EF4-FFF2-40B4-BE49-F238E27FC236}">
                <a16:creationId xmlns:a16="http://schemas.microsoft.com/office/drawing/2014/main" id="{6FBBC638-89CF-4926-80A0-77462DB83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0906" y="8550700"/>
            <a:ext cx="3100456" cy="253150"/>
          </a:xfrm>
          <a:prstGeom prst="rect">
            <a:avLst/>
          </a:prstGeom>
        </xdr:spPr>
      </xdr:pic>
      <xdr:pic>
        <xdr:nvPicPr>
          <xdr:cNvPr id="17" name="Resim 16" descr="Tablo Üst Bilgisi için Spiral Cilt Grafiği">
            <a:extLst>
              <a:ext uri="{FF2B5EF4-FFF2-40B4-BE49-F238E27FC236}">
                <a16:creationId xmlns:a16="http://schemas.microsoft.com/office/drawing/2014/main" id="{8BD661E8-A1EE-43B9-935E-CD7055F2E9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0356" y="8550700"/>
            <a:ext cx="3100456" cy="253150"/>
          </a:xfrm>
          <a:prstGeom prst="rect">
            <a:avLst/>
          </a:prstGeom>
        </xdr:spPr>
      </xdr:pic>
      <xdr:pic>
        <xdr:nvPicPr>
          <xdr:cNvPr id="19" name="Resim 18" descr="Tablo Üst Bilgisi için Spiral Cilt Grafiği">
            <a:extLst>
              <a:ext uri="{FF2B5EF4-FFF2-40B4-BE49-F238E27FC236}">
                <a16:creationId xmlns:a16="http://schemas.microsoft.com/office/drawing/2014/main" id="{5A73600E-9CE9-4084-A92D-ABC02A99D7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59806" y="8560225"/>
            <a:ext cx="3100456" cy="253150"/>
          </a:xfrm>
          <a:prstGeom prst="rect">
            <a:avLst/>
          </a:prstGeom>
        </xdr:spPr>
      </xdr:pic>
      <xdr:pic>
        <xdr:nvPicPr>
          <xdr:cNvPr id="20" name="Resim 19" descr="Tablo Üst Bilgisi için Spiral Cilt Grafiği">
            <a:extLst>
              <a:ext uri="{FF2B5EF4-FFF2-40B4-BE49-F238E27FC236}">
                <a16:creationId xmlns:a16="http://schemas.microsoft.com/office/drawing/2014/main" id="{5E6A4823-31F7-4D49-AD28-3DB5377C84D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779256" y="8560225"/>
            <a:ext cx="765044" cy="240875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85725</xdr:colOff>
      <xdr:row>6</xdr:row>
      <xdr:rowOff>257175</xdr:rowOff>
    </xdr:from>
    <xdr:to>
      <xdr:col>11</xdr:col>
      <xdr:colOff>339587</xdr:colOff>
      <xdr:row>7</xdr:row>
      <xdr:rowOff>112910</xdr:rowOff>
    </xdr:to>
    <xdr:pic>
      <xdr:nvPicPr>
        <xdr:cNvPr id="23" name="Resim 22" descr="Tablo Üst Bilgisi için Spiral Cilt Grafiği">
          <a:extLst>
            <a:ext uri="{FF2B5EF4-FFF2-40B4-BE49-F238E27FC236}">
              <a16:creationId xmlns:a16="http://schemas.microsoft.com/office/drawing/2014/main" id="{4C7AC175-94DE-40EC-81F0-12E6D0C8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986" y="1979958"/>
          <a:ext cx="3740840" cy="236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Weekly Planner">
      <a:majorFont>
        <a:latin typeface="Arial Nov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A66D-EEE4-4492-97C8-6AD44475CD8F}">
  <sheetPr codeName="Sheet5"/>
  <dimension ref="A2:AZ43"/>
  <sheetViews>
    <sheetView showGridLines="0" zoomScale="70" zoomScaleNormal="70" zoomScalePageLayoutView="70" workbookViewId="0">
      <selection activeCell="AR35" sqref="AR35:AU35"/>
    </sheetView>
  </sheetViews>
  <sheetFormatPr defaultColWidth="9.109375" defaultRowHeight="18" customHeight="1" x14ac:dyDescent="0.3"/>
  <cols>
    <col min="1" max="1" width="4" style="1" customWidth="1"/>
    <col min="2" max="2" width="2.6640625" style="1" customWidth="1"/>
    <col min="3" max="4" width="6.109375" style="2" customWidth="1"/>
    <col min="5" max="7" width="5.5546875" style="2" customWidth="1"/>
    <col min="8" max="9" width="6.109375" style="2" customWidth="1"/>
    <col min="10" max="12" width="5.5546875" style="2" customWidth="1"/>
    <col min="13" max="14" width="6.109375" style="2" customWidth="1"/>
    <col min="15" max="17" width="5.5546875" style="2" customWidth="1"/>
    <col min="18" max="19" width="6.109375" style="2" customWidth="1"/>
    <col min="20" max="22" width="5.5546875" style="2" customWidth="1"/>
    <col min="23" max="24" width="6.109375" style="2" customWidth="1"/>
    <col min="25" max="27" width="5.5546875" style="2" customWidth="1"/>
    <col min="28" max="29" width="6.109375" style="2" customWidth="1"/>
    <col min="30" max="32" width="5.5546875" style="2" customWidth="1"/>
    <col min="33" max="34" width="6.109375" style="2" customWidth="1"/>
    <col min="35" max="37" width="5.5546875" style="2" customWidth="1"/>
    <col min="38" max="38" width="3.6640625" style="1" customWidth="1"/>
    <col min="39" max="40" width="8.109375" style="3" customWidth="1"/>
    <col min="41" max="47" width="8" style="3" customWidth="1"/>
    <col min="48" max="48" width="8.109375" style="3" customWidth="1"/>
    <col min="50" max="50" width="14.88671875" style="1" hidden="1" customWidth="1"/>
    <col min="51" max="51" width="20.5546875" style="1" hidden="1" customWidth="1"/>
    <col min="52" max="52" width="22.33203125" style="1" hidden="1" customWidth="1"/>
    <col min="53" max="16384" width="9.109375" style="1"/>
  </cols>
  <sheetData>
    <row r="2" spans="1:52" s="32" customFormat="1" ht="24.9" customHeight="1" x14ac:dyDescent="0.45">
      <c r="A2" s="26"/>
      <c r="B2" s="27"/>
      <c r="C2" s="28"/>
      <c r="D2" s="27"/>
      <c r="E2" s="27"/>
      <c r="F2" s="27"/>
      <c r="G2" s="27"/>
      <c r="H2" s="27"/>
      <c r="I2" s="27"/>
      <c r="J2" s="29"/>
      <c r="K2" s="30"/>
      <c r="L2" s="30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  <c r="AC2" s="30"/>
      <c r="AD2" s="27"/>
      <c r="AE2" s="27"/>
      <c r="AF2" s="27"/>
      <c r="AG2" s="27"/>
      <c r="AH2" s="27"/>
      <c r="AI2" s="27"/>
      <c r="AJ2" s="27"/>
      <c r="AK2" s="27"/>
      <c r="AL2" s="27"/>
      <c r="AM2" s="26"/>
      <c r="AN2" s="7"/>
      <c r="AO2" s="7"/>
      <c r="AP2" s="7"/>
      <c r="AQ2" s="7"/>
      <c r="AR2" s="7"/>
      <c r="AS2" s="7"/>
      <c r="AT2" s="7"/>
      <c r="AU2" s="7"/>
      <c r="AV2" s="7"/>
      <c r="AW2"/>
      <c r="AX2" s="31" t="s">
        <v>79</v>
      </c>
    </row>
    <row r="3" spans="1:52" ht="36" customHeight="1" x14ac:dyDescent="0.45">
      <c r="B3" s="27"/>
      <c r="C3" s="57" t="s">
        <v>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27"/>
      <c r="AM3" s="1"/>
      <c r="AN3" s="7"/>
      <c r="AO3" s="57" t="str">
        <f ca="1">TEXT(AY5,"aaaa")&amp;" Ayı Takvimi"</f>
        <v>Nisan Ayı Takvimi</v>
      </c>
      <c r="AP3" s="58"/>
      <c r="AQ3" s="58"/>
      <c r="AR3" s="58"/>
      <c r="AS3" s="58"/>
      <c r="AT3" s="58"/>
      <c r="AU3" s="58"/>
      <c r="AV3" s="7"/>
    </row>
    <row r="4" spans="1:52" ht="18.75" customHeight="1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1"/>
      <c r="AN4" s="7"/>
      <c r="AO4" s="7"/>
      <c r="AP4" s="7"/>
      <c r="AQ4" s="7"/>
      <c r="AR4" s="7"/>
      <c r="AS4" s="7"/>
      <c r="AT4" s="7"/>
      <c r="AU4" s="7"/>
      <c r="AV4" s="7"/>
      <c r="AX4" s="61" t="s">
        <v>7</v>
      </c>
      <c r="AY4" s="62"/>
      <c r="AZ4" s="32"/>
    </row>
    <row r="5" spans="1:52" ht="18.75" customHeight="1" x14ac:dyDescent="0.45">
      <c r="B5" s="27"/>
      <c r="C5" s="9" t="s">
        <v>5</v>
      </c>
      <c r="D5" s="9"/>
      <c r="E5" s="94">
        <f ca="1">AY5-WEEKDAY(AY5,2)+1</f>
        <v>45033</v>
      </c>
      <c r="F5" s="94"/>
      <c r="G5" s="94"/>
      <c r="H5" s="94"/>
      <c r="I5" s="94"/>
      <c r="J5" s="94"/>
      <c r="K5" s="94"/>
      <c r="L5" s="9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27"/>
      <c r="AN5" s="7"/>
      <c r="AO5" s="7"/>
      <c r="AP5" s="7"/>
      <c r="AQ5" s="7"/>
      <c r="AR5" s="7"/>
      <c r="AS5" s="7"/>
      <c r="AT5" s="7"/>
      <c r="AU5" s="7"/>
      <c r="AV5" s="7"/>
      <c r="AX5" s="14" t="s">
        <v>6</v>
      </c>
      <c r="AY5" s="15">
        <f ca="1">TODAY()</f>
        <v>45036</v>
      </c>
    </row>
    <row r="6" spans="1:52" ht="18.75" customHeight="1" thickBot="1" x14ac:dyDescent="0.35">
      <c r="B6" s="6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  <c r="AN6" s="7"/>
      <c r="AO6" s="33" t="s">
        <v>66</v>
      </c>
      <c r="AP6" s="33" t="s">
        <v>67</v>
      </c>
      <c r="AQ6" s="33" t="s">
        <v>68</v>
      </c>
      <c r="AR6" s="33" t="s">
        <v>69</v>
      </c>
      <c r="AS6" s="33" t="s">
        <v>70</v>
      </c>
      <c r="AT6" s="33" t="s">
        <v>71</v>
      </c>
      <c r="AU6" s="33" t="s">
        <v>72</v>
      </c>
      <c r="AV6" s="7"/>
      <c r="AX6" s="14" t="s">
        <v>73</v>
      </c>
      <c r="AY6" s="14">
        <f ca="1">YEAR(E5)</f>
        <v>2023</v>
      </c>
    </row>
    <row r="7" spans="1:52" s="8" customFormat="1" ht="30" customHeight="1" thickBot="1" x14ac:dyDescent="0.35">
      <c r="B7" s="9"/>
      <c r="C7" s="59" t="s">
        <v>1</v>
      </c>
      <c r="D7" s="60"/>
      <c r="E7" s="60"/>
      <c r="F7" s="60"/>
      <c r="G7" s="60"/>
      <c r="H7" s="60"/>
      <c r="I7" s="60"/>
      <c r="J7" s="60"/>
      <c r="K7" s="60"/>
      <c r="L7" s="60"/>
      <c r="M7" s="4"/>
      <c r="N7" s="5"/>
      <c r="O7" s="67" t="s">
        <v>8</v>
      </c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10"/>
      <c r="AM7" s="11"/>
      <c r="AN7" s="34" t="str">
        <f t="shared" ref="AN7:AN12" ca="1" si="0">IF($AY$9=AO7,$AX$14,"")</f>
        <v/>
      </c>
      <c r="AO7" s="35">
        <f ca="1">DATE($AY$6,$AY$7,1)-MATCH($AY$8,$AO$6:$AU$6,0)+1</f>
        <v>45012</v>
      </c>
      <c r="AP7" s="35">
        <f ca="1">AO7+1</f>
        <v>45013</v>
      </c>
      <c r="AQ7" s="35">
        <f t="shared" ref="AQ7:AU7" ca="1" si="1">AP7+1</f>
        <v>45014</v>
      </c>
      <c r="AR7" s="35">
        <f t="shared" ca="1" si="1"/>
        <v>45015</v>
      </c>
      <c r="AS7" s="35">
        <f t="shared" ca="1" si="1"/>
        <v>45016</v>
      </c>
      <c r="AT7" s="35">
        <f t="shared" ca="1" si="1"/>
        <v>45017</v>
      </c>
      <c r="AU7" s="35">
        <f t="shared" ca="1" si="1"/>
        <v>45018</v>
      </c>
      <c r="AV7" s="7"/>
      <c r="AW7"/>
      <c r="AX7" s="14" t="s">
        <v>74</v>
      </c>
      <c r="AY7" s="14">
        <f ca="1">MONTH(AY5)</f>
        <v>4</v>
      </c>
      <c r="AZ7" s="1"/>
    </row>
    <row r="8" spans="1:52" s="12" customFormat="1" ht="20.100000000000001" customHeight="1" x14ac:dyDescent="0.35">
      <c r="A8" s="3"/>
      <c r="B8" s="7"/>
      <c r="C8" s="102"/>
      <c r="D8" s="103"/>
      <c r="E8" s="103"/>
      <c r="F8" s="103"/>
      <c r="G8" s="103"/>
      <c r="H8" s="103"/>
      <c r="I8" s="103"/>
      <c r="J8" s="103"/>
      <c r="K8" s="103"/>
      <c r="L8" s="104"/>
      <c r="M8" s="36"/>
      <c r="N8" s="5"/>
      <c r="O8" s="16" t="s">
        <v>2</v>
      </c>
      <c r="P8" s="70" t="s">
        <v>9</v>
      </c>
      <c r="Q8" s="70"/>
      <c r="R8" s="70"/>
      <c r="S8" s="70"/>
      <c r="T8" s="70"/>
      <c r="U8" s="70"/>
      <c r="V8" s="78"/>
      <c r="W8" s="16" t="s">
        <v>2</v>
      </c>
      <c r="X8" s="69" t="s">
        <v>15</v>
      </c>
      <c r="Y8" s="70"/>
      <c r="Z8" s="70"/>
      <c r="AA8" s="70"/>
      <c r="AB8" s="70"/>
      <c r="AC8" s="70"/>
      <c r="AD8" s="78"/>
      <c r="AE8" s="16" t="s">
        <v>2</v>
      </c>
      <c r="AF8" s="69" t="s">
        <v>21</v>
      </c>
      <c r="AG8" s="70"/>
      <c r="AH8" s="70"/>
      <c r="AI8" s="70"/>
      <c r="AJ8" s="70"/>
      <c r="AK8" s="71"/>
      <c r="AL8" s="7"/>
      <c r="AM8" s="3"/>
      <c r="AN8" s="34" t="str">
        <f t="shared" ca="1" si="0"/>
        <v/>
      </c>
      <c r="AO8" s="35">
        <f ca="1">AO7+7</f>
        <v>45019</v>
      </c>
      <c r="AP8" s="35">
        <f t="shared" ref="AP8:AU8" ca="1" si="2">AP7+7</f>
        <v>45020</v>
      </c>
      <c r="AQ8" s="35">
        <f t="shared" ca="1" si="2"/>
        <v>45021</v>
      </c>
      <c r="AR8" s="35">
        <f t="shared" ca="1" si="2"/>
        <v>45022</v>
      </c>
      <c r="AS8" s="35">
        <f t="shared" ca="1" si="2"/>
        <v>45023</v>
      </c>
      <c r="AT8" s="35">
        <f t="shared" ca="1" si="2"/>
        <v>45024</v>
      </c>
      <c r="AU8" s="35">
        <f t="shared" ca="1" si="2"/>
        <v>45025</v>
      </c>
      <c r="AV8" s="7"/>
      <c r="AW8"/>
      <c r="AX8" s="14" t="s">
        <v>75</v>
      </c>
      <c r="AY8" s="21" t="str">
        <f ca="1">TEXT(DATE(AY6,AY7,1),"ggg")</f>
        <v>Cmt</v>
      </c>
      <c r="AZ8" s="1"/>
    </row>
    <row r="9" spans="1:52" ht="18" customHeight="1" x14ac:dyDescent="0.3">
      <c r="B9" s="6"/>
      <c r="C9" s="105" t="s">
        <v>24</v>
      </c>
      <c r="D9" s="106"/>
      <c r="E9" s="106"/>
      <c r="F9" s="106"/>
      <c r="G9" s="106"/>
      <c r="H9" s="106"/>
      <c r="I9" s="106"/>
      <c r="J9" s="106"/>
      <c r="K9" s="106"/>
      <c r="L9" s="107"/>
      <c r="M9" s="4"/>
      <c r="N9" s="5"/>
      <c r="O9" s="17"/>
      <c r="P9" s="73" t="s">
        <v>10</v>
      </c>
      <c r="Q9" s="73"/>
      <c r="R9" s="73"/>
      <c r="S9" s="73"/>
      <c r="T9" s="73"/>
      <c r="U9" s="73"/>
      <c r="V9" s="79"/>
      <c r="W9" s="17"/>
      <c r="X9" s="72" t="s">
        <v>16</v>
      </c>
      <c r="Y9" s="73"/>
      <c r="Z9" s="73"/>
      <c r="AA9" s="73"/>
      <c r="AB9" s="73"/>
      <c r="AC9" s="73"/>
      <c r="AD9" s="79"/>
      <c r="AE9" s="17" t="s">
        <v>2</v>
      </c>
      <c r="AF9" s="72" t="s">
        <v>22</v>
      </c>
      <c r="AG9" s="73"/>
      <c r="AH9" s="73"/>
      <c r="AI9" s="73"/>
      <c r="AJ9" s="73"/>
      <c r="AK9" s="74"/>
      <c r="AL9" s="7"/>
      <c r="AN9" s="34" t="str">
        <f t="shared" ca="1" si="0"/>
        <v/>
      </c>
      <c r="AO9" s="35">
        <f t="shared" ref="AO9:AO12" ca="1" si="3">AO8+7</f>
        <v>45026</v>
      </c>
      <c r="AP9" s="35">
        <f t="shared" ref="AP9:AP12" ca="1" si="4">AP8+7</f>
        <v>45027</v>
      </c>
      <c r="AQ9" s="35">
        <f t="shared" ref="AQ9:AQ12" ca="1" si="5">AQ8+7</f>
        <v>45028</v>
      </c>
      <c r="AR9" s="35">
        <f t="shared" ref="AR9:AR12" ca="1" si="6">AR8+7</f>
        <v>45029</v>
      </c>
      <c r="AS9" s="35">
        <f t="shared" ref="AS9:AS12" ca="1" si="7">AS8+7</f>
        <v>45030</v>
      </c>
      <c r="AT9" s="35">
        <f t="shared" ref="AT9:AT12" ca="1" si="8">AT8+7</f>
        <v>45031</v>
      </c>
      <c r="AU9" s="35">
        <f t="shared" ref="AU9:AU12" ca="1" si="9">AU8+7</f>
        <v>45032</v>
      </c>
      <c r="AV9" s="7"/>
      <c r="AX9" s="22" t="s">
        <v>76</v>
      </c>
      <c r="AY9" s="23">
        <f ca="1">BaşlangıçTarihi</f>
        <v>45033</v>
      </c>
      <c r="AZ9" s="8"/>
    </row>
    <row r="10" spans="1:52" ht="18" customHeight="1" x14ac:dyDescent="0.35">
      <c r="B10" s="6"/>
      <c r="C10" s="105" t="s">
        <v>25</v>
      </c>
      <c r="D10" s="106"/>
      <c r="E10" s="106"/>
      <c r="F10" s="106"/>
      <c r="G10" s="106"/>
      <c r="H10" s="106"/>
      <c r="I10" s="106"/>
      <c r="J10" s="106"/>
      <c r="K10" s="106"/>
      <c r="L10" s="107"/>
      <c r="M10" s="4"/>
      <c r="N10" s="5"/>
      <c r="O10" s="17" t="s">
        <v>2</v>
      </c>
      <c r="P10" s="73" t="s">
        <v>11</v>
      </c>
      <c r="Q10" s="73"/>
      <c r="R10" s="73"/>
      <c r="S10" s="73"/>
      <c r="T10" s="73"/>
      <c r="U10" s="73"/>
      <c r="V10" s="79"/>
      <c r="W10" s="17" t="s">
        <v>3</v>
      </c>
      <c r="X10" s="72" t="s">
        <v>17</v>
      </c>
      <c r="Y10" s="73"/>
      <c r="Z10" s="73"/>
      <c r="AA10" s="73"/>
      <c r="AB10" s="73"/>
      <c r="AC10" s="73"/>
      <c r="AD10" s="79"/>
      <c r="AE10" s="17" t="s">
        <v>3</v>
      </c>
      <c r="AF10" s="72" t="s">
        <v>23</v>
      </c>
      <c r="AG10" s="73"/>
      <c r="AH10" s="73"/>
      <c r="AI10" s="73"/>
      <c r="AJ10" s="73"/>
      <c r="AK10" s="74"/>
      <c r="AL10" s="7"/>
      <c r="AN10" s="34" t="str">
        <f t="shared" ca="1" si="0"/>
        <v>►</v>
      </c>
      <c r="AO10" s="35">
        <f t="shared" ca="1" si="3"/>
        <v>45033</v>
      </c>
      <c r="AP10" s="35">
        <f t="shared" ca="1" si="4"/>
        <v>45034</v>
      </c>
      <c r="AQ10" s="35">
        <f t="shared" ca="1" si="5"/>
        <v>45035</v>
      </c>
      <c r="AR10" s="35">
        <f t="shared" ca="1" si="6"/>
        <v>45036</v>
      </c>
      <c r="AS10" s="35">
        <f t="shared" ca="1" si="7"/>
        <v>45037</v>
      </c>
      <c r="AT10" s="35">
        <f t="shared" ca="1" si="8"/>
        <v>45038</v>
      </c>
      <c r="AU10" s="35">
        <f t="shared" ca="1" si="9"/>
        <v>45039</v>
      </c>
      <c r="AV10" s="7"/>
      <c r="AX10" s="12"/>
      <c r="AY10" s="12"/>
      <c r="AZ10" s="12"/>
    </row>
    <row r="11" spans="1:52" ht="18" customHeight="1" x14ac:dyDescent="0.3">
      <c r="B11" s="6"/>
      <c r="C11" s="108" t="s">
        <v>26</v>
      </c>
      <c r="D11" s="109"/>
      <c r="E11" s="109"/>
      <c r="F11" s="109"/>
      <c r="G11" s="109"/>
      <c r="H11" s="109"/>
      <c r="I11" s="109"/>
      <c r="J11" s="109"/>
      <c r="K11" s="109"/>
      <c r="L11" s="110"/>
      <c r="M11" s="4"/>
      <c r="N11" s="5"/>
      <c r="O11" s="17"/>
      <c r="P11" s="73" t="s">
        <v>12</v>
      </c>
      <c r="Q11" s="73"/>
      <c r="R11" s="73"/>
      <c r="S11" s="73"/>
      <c r="T11" s="73"/>
      <c r="U11" s="73"/>
      <c r="V11" s="79"/>
      <c r="W11" s="17" t="s">
        <v>2</v>
      </c>
      <c r="X11" s="72" t="s">
        <v>18</v>
      </c>
      <c r="Y11" s="73"/>
      <c r="Z11" s="73"/>
      <c r="AA11" s="73"/>
      <c r="AB11" s="73"/>
      <c r="AC11" s="73"/>
      <c r="AD11" s="79"/>
      <c r="AE11" s="17"/>
      <c r="AF11" s="72"/>
      <c r="AG11" s="73"/>
      <c r="AH11" s="73"/>
      <c r="AI11" s="73"/>
      <c r="AJ11" s="73"/>
      <c r="AK11" s="74"/>
      <c r="AL11" s="7"/>
      <c r="AN11" s="34" t="str">
        <f t="shared" ca="1" si="0"/>
        <v/>
      </c>
      <c r="AO11" s="35">
        <f t="shared" ca="1" si="3"/>
        <v>45040</v>
      </c>
      <c r="AP11" s="35">
        <f t="shared" ca="1" si="4"/>
        <v>45041</v>
      </c>
      <c r="AQ11" s="35">
        <f t="shared" ca="1" si="5"/>
        <v>45042</v>
      </c>
      <c r="AR11" s="35">
        <f t="shared" ca="1" si="6"/>
        <v>45043</v>
      </c>
      <c r="AS11" s="35">
        <f t="shared" ca="1" si="7"/>
        <v>45044</v>
      </c>
      <c r="AT11" s="35">
        <f t="shared" ca="1" si="8"/>
        <v>45045</v>
      </c>
      <c r="AU11" s="35">
        <f t="shared" ca="1" si="9"/>
        <v>45046</v>
      </c>
      <c r="AV11" s="7"/>
      <c r="AX11" s="120" t="s">
        <v>78</v>
      </c>
      <c r="AY11" s="121"/>
    </row>
    <row r="12" spans="1:52" ht="18" customHeight="1" x14ac:dyDescent="0.3">
      <c r="B12" s="6"/>
      <c r="C12" s="105"/>
      <c r="D12" s="106"/>
      <c r="E12" s="106"/>
      <c r="F12" s="106"/>
      <c r="G12" s="106"/>
      <c r="H12" s="106"/>
      <c r="I12" s="106"/>
      <c r="J12" s="106"/>
      <c r="K12" s="106"/>
      <c r="L12" s="107"/>
      <c r="M12" s="4"/>
      <c r="N12" s="5"/>
      <c r="O12" s="17" t="s">
        <v>3</v>
      </c>
      <c r="P12" s="73" t="s">
        <v>13</v>
      </c>
      <c r="Q12" s="73"/>
      <c r="R12" s="73"/>
      <c r="S12" s="73"/>
      <c r="T12" s="73"/>
      <c r="U12" s="73"/>
      <c r="V12" s="79"/>
      <c r="W12" s="17"/>
      <c r="X12" s="72" t="s">
        <v>19</v>
      </c>
      <c r="Y12" s="73"/>
      <c r="Z12" s="73"/>
      <c r="AA12" s="73"/>
      <c r="AB12" s="73"/>
      <c r="AC12" s="73"/>
      <c r="AD12" s="79"/>
      <c r="AE12" s="17"/>
      <c r="AF12" s="72"/>
      <c r="AG12" s="73"/>
      <c r="AH12" s="73"/>
      <c r="AI12" s="73"/>
      <c r="AJ12" s="73"/>
      <c r="AK12" s="74"/>
      <c r="AL12" s="7"/>
      <c r="AN12" s="34" t="str">
        <f t="shared" ca="1" si="0"/>
        <v/>
      </c>
      <c r="AO12" s="35">
        <f t="shared" ca="1" si="3"/>
        <v>45047</v>
      </c>
      <c r="AP12" s="35">
        <f t="shared" ca="1" si="4"/>
        <v>45048</v>
      </c>
      <c r="AQ12" s="35">
        <f t="shared" ca="1" si="5"/>
        <v>45049</v>
      </c>
      <c r="AR12" s="35">
        <f t="shared" ca="1" si="6"/>
        <v>45050</v>
      </c>
      <c r="AS12" s="35">
        <f t="shared" ca="1" si="7"/>
        <v>45051</v>
      </c>
      <c r="AT12" s="35">
        <f t="shared" ca="1" si="8"/>
        <v>45052</v>
      </c>
      <c r="AU12" s="35">
        <f t="shared" ca="1" si="9"/>
        <v>45053</v>
      </c>
      <c r="AV12" s="7"/>
      <c r="AX12" s="1" t="s">
        <v>2</v>
      </c>
    </row>
    <row r="13" spans="1:52" ht="18" customHeight="1" thickBot="1" x14ac:dyDescent="0.4">
      <c r="B13" s="6"/>
      <c r="C13" s="111"/>
      <c r="D13" s="112"/>
      <c r="E13" s="112"/>
      <c r="F13" s="112"/>
      <c r="G13" s="112"/>
      <c r="H13" s="112"/>
      <c r="I13" s="112"/>
      <c r="J13" s="112"/>
      <c r="K13" s="112"/>
      <c r="L13" s="113"/>
      <c r="M13" s="4"/>
      <c r="N13" s="5"/>
      <c r="O13" s="18" t="s">
        <v>2</v>
      </c>
      <c r="P13" s="76" t="s">
        <v>14</v>
      </c>
      <c r="Q13" s="76"/>
      <c r="R13" s="76"/>
      <c r="S13" s="76"/>
      <c r="T13" s="76"/>
      <c r="U13" s="76"/>
      <c r="V13" s="80"/>
      <c r="W13" s="18" t="s">
        <v>3</v>
      </c>
      <c r="X13" s="75" t="s">
        <v>20</v>
      </c>
      <c r="Y13" s="76"/>
      <c r="Z13" s="76"/>
      <c r="AA13" s="76"/>
      <c r="AB13" s="76"/>
      <c r="AC13" s="76"/>
      <c r="AD13" s="80"/>
      <c r="AE13" s="18"/>
      <c r="AF13" s="75"/>
      <c r="AG13" s="76"/>
      <c r="AH13" s="76"/>
      <c r="AI13" s="76"/>
      <c r="AJ13" s="76"/>
      <c r="AK13" s="77"/>
      <c r="AL13" s="7"/>
      <c r="AN13" s="7"/>
      <c r="AO13" s="7"/>
      <c r="AP13" s="7"/>
      <c r="AQ13" s="7"/>
      <c r="AR13" s="7"/>
      <c r="AS13" s="7"/>
      <c r="AT13" s="7"/>
      <c r="AU13" s="7"/>
      <c r="AV13" s="7"/>
      <c r="AX13" s="12" t="s">
        <v>3</v>
      </c>
    </row>
    <row r="14" spans="1:52" ht="18" customHeight="1" x14ac:dyDescent="0.3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  <c r="AX14" s="37" t="s">
        <v>77</v>
      </c>
    </row>
    <row r="15" spans="1:52" ht="18" customHeight="1" thickBot="1" x14ac:dyDescent="0.3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52" ht="18" customHeight="1" x14ac:dyDescent="0.3">
      <c r="B16" s="6"/>
      <c r="C16" s="114" t="str">
        <f ca="1">TEXT(BaşlangıçTarihi+0,"gg")</f>
        <v>17</v>
      </c>
      <c r="D16" s="115"/>
      <c r="E16" s="97" t="str">
        <f ca="1">(TEXT(BaşlangıçTarihi+0,"gggg"))</f>
        <v>Pazartesi</v>
      </c>
      <c r="F16" s="97"/>
      <c r="G16" s="97"/>
      <c r="H16" s="95" t="str">
        <f ca="1">TEXT(BaşlangıçTarihi+1,"gg")</f>
        <v>18</v>
      </c>
      <c r="I16" s="95"/>
      <c r="J16" s="97" t="str">
        <f ca="1">(TEXT(BaşlangıçTarihi+1,"gggg"))</f>
        <v>Salı</v>
      </c>
      <c r="K16" s="97"/>
      <c r="L16" s="97"/>
      <c r="M16" s="95" t="str">
        <f ca="1">TEXT(BaşlangıçTarihi+2,"gg")</f>
        <v>19</v>
      </c>
      <c r="N16" s="95"/>
      <c r="O16" s="97" t="str">
        <f ca="1">(TEXT(BaşlangıçTarihi+2,"gggg"))</f>
        <v>Çarşamba</v>
      </c>
      <c r="P16" s="97"/>
      <c r="Q16" s="97"/>
      <c r="R16" s="95" t="str">
        <f ca="1">TEXT(BaşlangıçTarihi+3,"gg")</f>
        <v>20</v>
      </c>
      <c r="S16" s="95"/>
      <c r="T16" s="97" t="str">
        <f ca="1">(TEXT(BaşlangıçTarihi+3,"gggg"))</f>
        <v>Perşembe</v>
      </c>
      <c r="U16" s="97"/>
      <c r="V16" s="97"/>
      <c r="W16" s="95" t="str">
        <f ca="1">TEXT(BaşlangıçTarihi+4,"gg")</f>
        <v>21</v>
      </c>
      <c r="X16" s="95"/>
      <c r="Y16" s="97" t="str">
        <f ca="1">(TEXT(BaşlangıçTarihi+4,"gggg"))</f>
        <v>Cuma</v>
      </c>
      <c r="Z16" s="97"/>
      <c r="AA16" s="97"/>
      <c r="AB16" s="95" t="str">
        <f ca="1">TEXT(BaşlangıçTarihi+5,"gg")</f>
        <v>22</v>
      </c>
      <c r="AC16" s="95"/>
      <c r="AD16" s="97" t="str">
        <f ca="1">(TEXT(BaşlangıçTarihi+5,"gggg"))</f>
        <v>Cumartesi</v>
      </c>
      <c r="AE16" s="97"/>
      <c r="AF16" s="97"/>
      <c r="AG16" s="95" t="str">
        <f ca="1">TEXT(BaşlangıçTarihi+6,"gg")</f>
        <v>23</v>
      </c>
      <c r="AH16" s="95"/>
      <c r="AI16" s="97" t="str">
        <f ca="1">(TEXT(BaşlangıçTarihi+6,"gggg"))</f>
        <v>Pazar</v>
      </c>
      <c r="AJ16" s="97"/>
      <c r="AK16" s="118"/>
      <c r="AL16" s="7"/>
      <c r="AN16" s="7"/>
      <c r="AO16" s="57" t="s">
        <v>49</v>
      </c>
      <c r="AP16" s="57"/>
      <c r="AQ16" s="57"/>
      <c r="AR16" s="57"/>
      <c r="AS16" s="57"/>
      <c r="AT16" s="57"/>
      <c r="AU16" s="57"/>
      <c r="AV16" s="7"/>
    </row>
    <row r="17" spans="2:52" ht="20.100000000000001" customHeight="1" thickBot="1" x14ac:dyDescent="0.35">
      <c r="B17" s="6"/>
      <c r="C17" s="116"/>
      <c r="D17" s="117"/>
      <c r="E17" s="93" t="str">
        <f ca="1">(TEXT(BaşlangıçTarihi+0,"aaaa"))</f>
        <v>Nisan</v>
      </c>
      <c r="F17" s="93"/>
      <c r="G17" s="93"/>
      <c r="H17" s="96"/>
      <c r="I17" s="96"/>
      <c r="J17" s="93" t="str">
        <f ca="1">(TEXT(BaşlangıçTarihi+1,"aaaa"))</f>
        <v>Nisan</v>
      </c>
      <c r="K17" s="93"/>
      <c r="L17" s="93"/>
      <c r="M17" s="96"/>
      <c r="N17" s="96"/>
      <c r="O17" s="93" t="str">
        <f ca="1">(TEXT(BaşlangıçTarihi+2,"aaaa"))</f>
        <v>Nisan</v>
      </c>
      <c r="P17" s="93"/>
      <c r="Q17" s="93"/>
      <c r="R17" s="96"/>
      <c r="S17" s="96"/>
      <c r="T17" s="93" t="str">
        <f ca="1">(TEXT(BaşlangıçTarihi+3,"aaaa"))</f>
        <v>Nisan</v>
      </c>
      <c r="U17" s="93"/>
      <c r="V17" s="93"/>
      <c r="W17" s="96"/>
      <c r="X17" s="96"/>
      <c r="Y17" s="93" t="str">
        <f ca="1">(TEXT(BaşlangıçTarihi+4,"aaaa"))</f>
        <v>Nisan</v>
      </c>
      <c r="Z17" s="93"/>
      <c r="AA17" s="93"/>
      <c r="AB17" s="96"/>
      <c r="AC17" s="96"/>
      <c r="AD17" s="93" t="str">
        <f ca="1">(TEXT(BaşlangıçTarihi+5,"aaaa"))</f>
        <v>Nisan</v>
      </c>
      <c r="AE17" s="93"/>
      <c r="AF17" s="93"/>
      <c r="AG17" s="96"/>
      <c r="AH17" s="96"/>
      <c r="AI17" s="93" t="str">
        <f ca="1">(TEXT(BaşlangıçTarihi+6,"aaaa"))</f>
        <v>Nisan</v>
      </c>
      <c r="AJ17" s="93"/>
      <c r="AK17" s="119"/>
      <c r="AL17" s="7"/>
      <c r="AN17" s="7"/>
      <c r="AO17" s="57"/>
      <c r="AP17" s="57"/>
      <c r="AQ17" s="57"/>
      <c r="AR17" s="57"/>
      <c r="AS17" s="57"/>
      <c r="AT17" s="57"/>
      <c r="AU17" s="57"/>
      <c r="AV17" s="7"/>
      <c r="AX17" s="25" t="s">
        <v>27</v>
      </c>
      <c r="AY17" s="24"/>
      <c r="AZ17" s="24"/>
    </row>
    <row r="18" spans="2:52" ht="20.100000000000001" customHeight="1" x14ac:dyDescent="0.3">
      <c r="B18" s="6"/>
      <c r="C18" s="54" t="s">
        <v>34</v>
      </c>
      <c r="D18" s="55"/>
      <c r="E18" s="42" t="s">
        <v>9</v>
      </c>
      <c r="F18" s="42"/>
      <c r="G18" s="43"/>
      <c r="H18" s="56" t="s">
        <v>34</v>
      </c>
      <c r="I18" s="55"/>
      <c r="J18" s="42" t="s">
        <v>9</v>
      </c>
      <c r="K18" s="42"/>
      <c r="L18" s="43"/>
      <c r="M18" s="56" t="s">
        <v>34</v>
      </c>
      <c r="N18" s="55"/>
      <c r="O18" s="42" t="s">
        <v>9</v>
      </c>
      <c r="P18" s="42"/>
      <c r="Q18" s="43"/>
      <c r="R18" s="56" t="s">
        <v>34</v>
      </c>
      <c r="S18" s="55"/>
      <c r="T18" s="42" t="s">
        <v>9</v>
      </c>
      <c r="U18" s="42"/>
      <c r="V18" s="43"/>
      <c r="W18" s="56" t="s">
        <v>34</v>
      </c>
      <c r="X18" s="55"/>
      <c r="Y18" s="42" t="s">
        <v>9</v>
      </c>
      <c r="Z18" s="42"/>
      <c r="AA18" s="43"/>
      <c r="AB18" s="56" t="s">
        <v>34</v>
      </c>
      <c r="AC18" s="55"/>
      <c r="AD18" s="42" t="s">
        <v>9</v>
      </c>
      <c r="AE18" s="42"/>
      <c r="AF18" s="43"/>
      <c r="AG18" s="56" t="s">
        <v>34</v>
      </c>
      <c r="AH18" s="55"/>
      <c r="AI18" s="42" t="s">
        <v>9</v>
      </c>
      <c r="AJ18" s="42"/>
      <c r="AK18" s="65"/>
      <c r="AL18" s="7"/>
      <c r="AN18" s="7"/>
      <c r="AO18" s="7"/>
      <c r="AP18" s="7"/>
      <c r="AQ18" s="7"/>
      <c r="AR18" s="7"/>
      <c r="AS18" s="7"/>
      <c r="AT18" s="7"/>
      <c r="AU18" s="7"/>
      <c r="AV18" s="7"/>
      <c r="AX18" s="20">
        <v>0.20833333333333334</v>
      </c>
      <c r="AY18" s="20">
        <v>0.25</v>
      </c>
      <c r="AZ18" s="19" t="str">
        <f>CONCATENATE(TEXT(AX18,"ss:dd"),"-",TEXT(AY18,"ss:dd"))</f>
        <v>05:00-06:00</v>
      </c>
    </row>
    <row r="19" spans="2:52" ht="20.100000000000001" customHeight="1" x14ac:dyDescent="0.3">
      <c r="B19" s="6"/>
      <c r="C19" s="52" t="s">
        <v>35</v>
      </c>
      <c r="D19" s="39"/>
      <c r="E19" s="40" t="s">
        <v>32</v>
      </c>
      <c r="F19" s="40"/>
      <c r="G19" s="41"/>
      <c r="H19" s="38" t="s">
        <v>28</v>
      </c>
      <c r="I19" s="39"/>
      <c r="J19" s="40" t="s">
        <v>12</v>
      </c>
      <c r="K19" s="40"/>
      <c r="L19" s="41"/>
      <c r="M19" s="63" t="s">
        <v>35</v>
      </c>
      <c r="N19" s="64"/>
      <c r="O19" s="44" t="s">
        <v>37</v>
      </c>
      <c r="P19" s="44"/>
      <c r="Q19" s="45"/>
      <c r="R19" s="38" t="s">
        <v>36</v>
      </c>
      <c r="S19" s="39"/>
      <c r="T19" s="40" t="s">
        <v>38</v>
      </c>
      <c r="U19" s="40"/>
      <c r="V19" s="41"/>
      <c r="W19" s="38" t="s">
        <v>40</v>
      </c>
      <c r="X19" s="39"/>
      <c r="Y19" s="40" t="s">
        <v>41</v>
      </c>
      <c r="Z19" s="40"/>
      <c r="AA19" s="41"/>
      <c r="AB19" s="38" t="s">
        <v>29</v>
      </c>
      <c r="AC19" s="39"/>
      <c r="AD19" s="40" t="s">
        <v>43</v>
      </c>
      <c r="AE19" s="40"/>
      <c r="AF19" s="41"/>
      <c r="AG19" s="63" t="s">
        <v>36</v>
      </c>
      <c r="AH19" s="64"/>
      <c r="AI19" s="44" t="s">
        <v>47</v>
      </c>
      <c r="AJ19" s="44"/>
      <c r="AK19" s="66"/>
      <c r="AL19" s="7"/>
      <c r="AN19" s="7"/>
      <c r="AO19" s="122">
        <v>44197</v>
      </c>
      <c r="AP19" s="122"/>
      <c r="AQ19" s="122"/>
      <c r="AR19" s="98" t="s">
        <v>50</v>
      </c>
      <c r="AS19" s="98"/>
      <c r="AT19" s="98"/>
      <c r="AU19" s="98"/>
      <c r="AV19" s="7"/>
      <c r="AX19" s="20">
        <f>AX18+TIME(1,0,0)</f>
        <v>0.25</v>
      </c>
      <c r="AY19" s="20">
        <f>AY18+TIME(1,0,0)</f>
        <v>0.29166666666666669</v>
      </c>
      <c r="AZ19" s="19" t="str">
        <f t="shared" ref="AZ19:AZ36" si="10">CONCATENATE(TEXT(AX19,"ss:dd"),"-",TEXT(AY19,"ss:dd"))</f>
        <v>06:00-07:00</v>
      </c>
    </row>
    <row r="20" spans="2:52" ht="18" customHeight="1" x14ac:dyDescent="0.3">
      <c r="B20" s="6"/>
      <c r="C20" s="52" t="s">
        <v>30</v>
      </c>
      <c r="D20" s="39"/>
      <c r="E20" s="40" t="s">
        <v>33</v>
      </c>
      <c r="F20" s="40"/>
      <c r="G20" s="41"/>
      <c r="H20" s="38"/>
      <c r="I20" s="39"/>
      <c r="J20" s="40"/>
      <c r="K20" s="40"/>
      <c r="L20" s="41"/>
      <c r="M20" s="38"/>
      <c r="N20" s="39"/>
      <c r="O20" s="40"/>
      <c r="P20" s="40"/>
      <c r="Q20" s="41"/>
      <c r="R20" s="38" t="s">
        <v>31</v>
      </c>
      <c r="S20" s="39"/>
      <c r="T20" s="40" t="s">
        <v>39</v>
      </c>
      <c r="U20" s="40"/>
      <c r="V20" s="41"/>
      <c r="W20" s="38" t="s">
        <v>30</v>
      </c>
      <c r="X20" s="39"/>
      <c r="Y20" s="40" t="s">
        <v>42</v>
      </c>
      <c r="Z20" s="40"/>
      <c r="AA20" s="41"/>
      <c r="AB20" s="38" t="s">
        <v>31</v>
      </c>
      <c r="AC20" s="39"/>
      <c r="AD20" s="40" t="s">
        <v>44</v>
      </c>
      <c r="AE20" s="40"/>
      <c r="AF20" s="41"/>
      <c r="AG20" s="38" t="s">
        <v>45</v>
      </c>
      <c r="AH20" s="39"/>
      <c r="AI20" s="40" t="s">
        <v>42</v>
      </c>
      <c r="AJ20" s="40"/>
      <c r="AK20" s="50"/>
      <c r="AL20" s="7"/>
      <c r="AN20" s="7"/>
      <c r="AO20" s="122">
        <v>44309</v>
      </c>
      <c r="AP20" s="122"/>
      <c r="AQ20" s="122"/>
      <c r="AR20" s="98" t="s">
        <v>51</v>
      </c>
      <c r="AS20" s="98"/>
      <c r="AT20" s="98"/>
      <c r="AU20" s="98"/>
      <c r="AV20" s="7"/>
      <c r="AX20" s="20">
        <f t="shared" ref="AX20:AX32" si="11">AX19+TIME(1,0,0)</f>
        <v>0.29166666666666669</v>
      </c>
      <c r="AY20" s="20">
        <f t="shared" ref="AY20:AY32" si="12">AY19+TIME(1,0,0)</f>
        <v>0.33333333333333337</v>
      </c>
      <c r="AZ20" s="19" t="str">
        <f t="shared" si="10"/>
        <v>07:00-08:00</v>
      </c>
    </row>
    <row r="21" spans="2:52" ht="18" customHeight="1" x14ac:dyDescent="0.3">
      <c r="B21" s="6"/>
      <c r="C21" s="52" t="s">
        <v>80</v>
      </c>
      <c r="D21" s="39"/>
      <c r="E21" s="40"/>
      <c r="F21" s="40"/>
      <c r="G21" s="41"/>
      <c r="H21" s="38"/>
      <c r="I21" s="39"/>
      <c r="J21" s="40"/>
      <c r="K21" s="40"/>
      <c r="L21" s="41"/>
      <c r="M21" s="38"/>
      <c r="N21" s="39"/>
      <c r="O21" s="40"/>
      <c r="P21" s="40"/>
      <c r="Q21" s="41"/>
      <c r="R21" s="38"/>
      <c r="S21" s="39"/>
      <c r="T21" s="40"/>
      <c r="U21" s="40"/>
      <c r="V21" s="41"/>
      <c r="W21" s="38"/>
      <c r="X21" s="39"/>
      <c r="Y21" s="40"/>
      <c r="Z21" s="40"/>
      <c r="AA21" s="41"/>
      <c r="AB21" s="38"/>
      <c r="AC21" s="39"/>
      <c r="AD21" s="40"/>
      <c r="AE21" s="40"/>
      <c r="AF21" s="41"/>
      <c r="AG21" s="38" t="s">
        <v>46</v>
      </c>
      <c r="AH21" s="39"/>
      <c r="AI21" s="40" t="s">
        <v>48</v>
      </c>
      <c r="AJ21" s="40"/>
      <c r="AK21" s="50"/>
      <c r="AL21" s="7"/>
      <c r="AN21" s="7"/>
      <c r="AO21" s="122">
        <v>44317</v>
      </c>
      <c r="AP21" s="122"/>
      <c r="AQ21" s="122"/>
      <c r="AR21" s="98" t="s">
        <v>52</v>
      </c>
      <c r="AS21" s="98"/>
      <c r="AT21" s="98"/>
      <c r="AU21" s="98"/>
      <c r="AV21" s="7"/>
      <c r="AX21" s="20">
        <f t="shared" si="11"/>
        <v>0.33333333333333337</v>
      </c>
      <c r="AY21" s="20">
        <f t="shared" si="12"/>
        <v>0.37500000000000006</v>
      </c>
      <c r="AZ21" s="19" t="str">
        <f t="shared" si="10"/>
        <v>08:00-09:00</v>
      </c>
    </row>
    <row r="22" spans="2:52" ht="18" customHeight="1" x14ac:dyDescent="0.3">
      <c r="B22" s="6"/>
      <c r="C22" s="52"/>
      <c r="D22" s="39"/>
      <c r="E22" s="40"/>
      <c r="F22" s="40"/>
      <c r="G22" s="41"/>
      <c r="H22" s="38"/>
      <c r="I22" s="39"/>
      <c r="J22" s="40"/>
      <c r="K22" s="40"/>
      <c r="L22" s="41"/>
      <c r="M22" s="38"/>
      <c r="N22" s="39"/>
      <c r="O22" s="40"/>
      <c r="P22" s="40"/>
      <c r="Q22" s="41"/>
      <c r="R22" s="38"/>
      <c r="S22" s="39"/>
      <c r="T22" s="40"/>
      <c r="U22" s="40"/>
      <c r="V22" s="41"/>
      <c r="W22" s="38"/>
      <c r="X22" s="39"/>
      <c r="Y22" s="40"/>
      <c r="Z22" s="40"/>
      <c r="AA22" s="41"/>
      <c r="AB22" s="38"/>
      <c r="AC22" s="39"/>
      <c r="AD22" s="40"/>
      <c r="AE22" s="40"/>
      <c r="AF22" s="41"/>
      <c r="AG22" s="38"/>
      <c r="AH22" s="39"/>
      <c r="AI22" s="40"/>
      <c r="AJ22" s="40"/>
      <c r="AK22" s="50"/>
      <c r="AL22" s="7"/>
      <c r="AN22" s="7"/>
      <c r="AO22" s="122">
        <v>44328</v>
      </c>
      <c r="AP22" s="122"/>
      <c r="AQ22" s="122"/>
      <c r="AR22" s="98" t="s">
        <v>53</v>
      </c>
      <c r="AS22" s="98"/>
      <c r="AT22" s="98"/>
      <c r="AU22" s="98"/>
      <c r="AV22" s="7"/>
      <c r="AX22" s="20">
        <f t="shared" si="11"/>
        <v>0.37500000000000006</v>
      </c>
      <c r="AY22" s="20">
        <f t="shared" si="12"/>
        <v>0.41666666666666674</v>
      </c>
      <c r="AZ22" s="19" t="str">
        <f t="shared" si="10"/>
        <v>09:00-10:00</v>
      </c>
    </row>
    <row r="23" spans="2:52" ht="18" customHeight="1" x14ac:dyDescent="0.3">
      <c r="B23" s="6"/>
      <c r="C23" s="52"/>
      <c r="D23" s="39"/>
      <c r="E23" s="40"/>
      <c r="F23" s="40"/>
      <c r="G23" s="41"/>
      <c r="H23" s="38"/>
      <c r="I23" s="39"/>
      <c r="J23" s="40"/>
      <c r="K23" s="40"/>
      <c r="L23" s="41"/>
      <c r="M23" s="38"/>
      <c r="N23" s="39"/>
      <c r="O23" s="40"/>
      <c r="P23" s="40"/>
      <c r="Q23" s="41"/>
      <c r="R23" s="38"/>
      <c r="S23" s="39"/>
      <c r="T23" s="40"/>
      <c r="U23" s="40"/>
      <c r="V23" s="41"/>
      <c r="W23" s="38"/>
      <c r="X23" s="39"/>
      <c r="Y23" s="40"/>
      <c r="Z23" s="40"/>
      <c r="AA23" s="41"/>
      <c r="AB23" s="38"/>
      <c r="AC23" s="39"/>
      <c r="AD23" s="40"/>
      <c r="AE23" s="40"/>
      <c r="AF23" s="41"/>
      <c r="AG23" s="38"/>
      <c r="AH23" s="39"/>
      <c r="AI23" s="40"/>
      <c r="AJ23" s="40"/>
      <c r="AK23" s="50"/>
      <c r="AL23" s="7"/>
      <c r="AN23" s="7"/>
      <c r="AO23" s="122">
        <v>44329</v>
      </c>
      <c r="AP23" s="122"/>
      <c r="AQ23" s="122"/>
      <c r="AR23" s="98" t="s">
        <v>54</v>
      </c>
      <c r="AS23" s="98"/>
      <c r="AT23" s="98"/>
      <c r="AU23" s="98"/>
      <c r="AV23" s="7"/>
      <c r="AX23" s="20">
        <f t="shared" si="11"/>
        <v>0.41666666666666674</v>
      </c>
      <c r="AY23" s="20">
        <f t="shared" si="12"/>
        <v>0.45833333333333343</v>
      </c>
      <c r="AZ23" s="19" t="str">
        <f t="shared" si="10"/>
        <v>10:00-11:00</v>
      </c>
    </row>
    <row r="24" spans="2:52" ht="18" customHeight="1" x14ac:dyDescent="0.3">
      <c r="B24" s="6"/>
      <c r="C24" s="52"/>
      <c r="D24" s="39"/>
      <c r="E24" s="40"/>
      <c r="F24" s="40"/>
      <c r="G24" s="41"/>
      <c r="H24" s="38"/>
      <c r="I24" s="39"/>
      <c r="J24" s="40"/>
      <c r="K24" s="40"/>
      <c r="L24" s="41"/>
      <c r="M24" s="38"/>
      <c r="N24" s="39"/>
      <c r="O24" s="40"/>
      <c r="P24" s="40"/>
      <c r="Q24" s="41"/>
      <c r="R24" s="38"/>
      <c r="S24" s="39"/>
      <c r="T24" s="40"/>
      <c r="U24" s="40"/>
      <c r="V24" s="41"/>
      <c r="W24" s="38"/>
      <c r="X24" s="39"/>
      <c r="Y24" s="40"/>
      <c r="Z24" s="40"/>
      <c r="AA24" s="41"/>
      <c r="AB24" s="38"/>
      <c r="AC24" s="39"/>
      <c r="AD24" s="40"/>
      <c r="AE24" s="40"/>
      <c r="AF24" s="41"/>
      <c r="AG24" s="38"/>
      <c r="AH24" s="39"/>
      <c r="AI24" s="40"/>
      <c r="AJ24" s="40"/>
      <c r="AK24" s="50"/>
      <c r="AL24" s="7"/>
      <c r="AN24" s="7"/>
      <c r="AO24" s="122">
        <v>44330</v>
      </c>
      <c r="AP24" s="122"/>
      <c r="AQ24" s="122"/>
      <c r="AR24" s="98" t="s">
        <v>55</v>
      </c>
      <c r="AS24" s="98"/>
      <c r="AT24" s="98"/>
      <c r="AU24" s="98"/>
      <c r="AV24" s="7"/>
      <c r="AX24" s="20">
        <f t="shared" si="11"/>
        <v>0.45833333333333343</v>
      </c>
      <c r="AY24" s="20">
        <f t="shared" si="12"/>
        <v>0.50000000000000011</v>
      </c>
      <c r="AZ24" s="19" t="str">
        <f t="shared" si="10"/>
        <v>11:00-12:00</v>
      </c>
    </row>
    <row r="25" spans="2:52" ht="18" customHeight="1" x14ac:dyDescent="0.3">
      <c r="B25" s="6"/>
      <c r="C25" s="52"/>
      <c r="D25" s="39"/>
      <c r="E25" s="40"/>
      <c r="F25" s="40"/>
      <c r="G25" s="41"/>
      <c r="H25" s="38"/>
      <c r="I25" s="39"/>
      <c r="J25" s="40"/>
      <c r="K25" s="40"/>
      <c r="L25" s="41"/>
      <c r="M25" s="38"/>
      <c r="N25" s="39"/>
      <c r="O25" s="40"/>
      <c r="P25" s="40"/>
      <c r="Q25" s="41"/>
      <c r="R25" s="38"/>
      <c r="S25" s="39"/>
      <c r="T25" s="40"/>
      <c r="U25" s="40"/>
      <c r="V25" s="41"/>
      <c r="W25" s="38"/>
      <c r="X25" s="39"/>
      <c r="Y25" s="40"/>
      <c r="Z25" s="40"/>
      <c r="AA25" s="41"/>
      <c r="AB25" s="38"/>
      <c r="AC25" s="39"/>
      <c r="AD25" s="40"/>
      <c r="AE25" s="40"/>
      <c r="AF25" s="41"/>
      <c r="AG25" s="38"/>
      <c r="AH25" s="39"/>
      <c r="AI25" s="40"/>
      <c r="AJ25" s="40"/>
      <c r="AK25" s="50"/>
      <c r="AL25" s="7"/>
      <c r="AN25" s="7"/>
      <c r="AO25" s="122">
        <v>44331</v>
      </c>
      <c r="AP25" s="122"/>
      <c r="AQ25" s="122"/>
      <c r="AR25" s="98" t="s">
        <v>56</v>
      </c>
      <c r="AS25" s="98"/>
      <c r="AT25" s="98"/>
      <c r="AU25" s="98"/>
      <c r="AV25" s="7"/>
      <c r="AX25" s="20">
        <f t="shared" si="11"/>
        <v>0.50000000000000011</v>
      </c>
      <c r="AY25" s="20">
        <f t="shared" si="12"/>
        <v>0.54166666666666674</v>
      </c>
      <c r="AZ25" s="19" t="str">
        <f t="shared" si="10"/>
        <v>12:00-13:00</v>
      </c>
    </row>
    <row r="26" spans="2:52" ht="18" customHeight="1" x14ac:dyDescent="0.3">
      <c r="B26" s="6"/>
      <c r="C26" s="52"/>
      <c r="D26" s="39"/>
      <c r="E26" s="40"/>
      <c r="F26" s="40"/>
      <c r="G26" s="41"/>
      <c r="H26" s="38"/>
      <c r="I26" s="39"/>
      <c r="J26" s="40"/>
      <c r="K26" s="40"/>
      <c r="L26" s="41"/>
      <c r="M26" s="38"/>
      <c r="N26" s="39"/>
      <c r="O26" s="40"/>
      <c r="P26" s="40"/>
      <c r="Q26" s="41"/>
      <c r="R26" s="38"/>
      <c r="S26" s="39"/>
      <c r="T26" s="40"/>
      <c r="U26" s="40"/>
      <c r="V26" s="41"/>
      <c r="W26" s="38"/>
      <c r="X26" s="39"/>
      <c r="Y26" s="40"/>
      <c r="Z26" s="40"/>
      <c r="AA26" s="41"/>
      <c r="AB26" s="38"/>
      <c r="AC26" s="39"/>
      <c r="AD26" s="40"/>
      <c r="AE26" s="40"/>
      <c r="AF26" s="41"/>
      <c r="AG26" s="38"/>
      <c r="AH26" s="39"/>
      <c r="AI26" s="40"/>
      <c r="AJ26" s="40"/>
      <c r="AK26" s="50"/>
      <c r="AL26" s="7"/>
      <c r="AN26" s="7"/>
      <c r="AO26" s="122">
        <v>44335</v>
      </c>
      <c r="AP26" s="122"/>
      <c r="AQ26" s="122"/>
      <c r="AR26" s="98" t="s">
        <v>57</v>
      </c>
      <c r="AS26" s="98"/>
      <c r="AT26" s="98"/>
      <c r="AU26" s="98"/>
      <c r="AV26" s="7"/>
      <c r="AX26" s="20">
        <f t="shared" si="11"/>
        <v>0.54166666666666674</v>
      </c>
      <c r="AY26" s="20">
        <f t="shared" si="12"/>
        <v>0.58333333333333337</v>
      </c>
      <c r="AZ26" s="19" t="str">
        <f t="shared" si="10"/>
        <v>13:00-14:00</v>
      </c>
    </row>
    <row r="27" spans="2:52" ht="18" customHeight="1" x14ac:dyDescent="0.3">
      <c r="B27" s="6"/>
      <c r="C27" s="52"/>
      <c r="D27" s="39"/>
      <c r="E27" s="40"/>
      <c r="F27" s="40"/>
      <c r="G27" s="41"/>
      <c r="H27" s="38"/>
      <c r="I27" s="39"/>
      <c r="J27" s="40"/>
      <c r="K27" s="40"/>
      <c r="L27" s="41"/>
      <c r="M27" s="38"/>
      <c r="N27" s="39"/>
      <c r="O27" s="40"/>
      <c r="P27" s="40"/>
      <c r="Q27" s="41"/>
      <c r="R27" s="38"/>
      <c r="S27" s="39"/>
      <c r="T27" s="40"/>
      <c r="U27" s="40"/>
      <c r="V27" s="41"/>
      <c r="W27" s="38"/>
      <c r="X27" s="39"/>
      <c r="Y27" s="40"/>
      <c r="Z27" s="40"/>
      <c r="AA27" s="41"/>
      <c r="AB27" s="38"/>
      <c r="AC27" s="39"/>
      <c r="AD27" s="40"/>
      <c r="AE27" s="40"/>
      <c r="AF27" s="41"/>
      <c r="AG27" s="38"/>
      <c r="AH27" s="39"/>
      <c r="AI27" s="40"/>
      <c r="AJ27" s="40"/>
      <c r="AK27" s="50"/>
      <c r="AL27" s="7"/>
      <c r="AN27" s="7"/>
      <c r="AO27" s="122">
        <v>44392</v>
      </c>
      <c r="AP27" s="122"/>
      <c r="AQ27" s="122"/>
      <c r="AR27" s="98" t="s">
        <v>58</v>
      </c>
      <c r="AS27" s="98"/>
      <c r="AT27" s="98"/>
      <c r="AU27" s="98"/>
      <c r="AV27" s="7"/>
      <c r="AX27" s="20">
        <f t="shared" si="11"/>
        <v>0.58333333333333337</v>
      </c>
      <c r="AY27" s="20">
        <f t="shared" si="12"/>
        <v>0.625</v>
      </c>
      <c r="AZ27" s="19" t="str">
        <f t="shared" si="10"/>
        <v>14:00-15:00</v>
      </c>
    </row>
    <row r="28" spans="2:52" ht="18" customHeight="1" x14ac:dyDescent="0.3">
      <c r="B28" s="6"/>
      <c r="C28" s="52"/>
      <c r="D28" s="39"/>
      <c r="E28" s="40"/>
      <c r="F28" s="40"/>
      <c r="G28" s="41"/>
      <c r="H28" s="38"/>
      <c r="I28" s="39"/>
      <c r="J28" s="40"/>
      <c r="K28" s="40"/>
      <c r="L28" s="41"/>
      <c r="M28" s="38"/>
      <c r="N28" s="39"/>
      <c r="O28" s="40"/>
      <c r="P28" s="40"/>
      <c r="Q28" s="41"/>
      <c r="R28" s="38"/>
      <c r="S28" s="39"/>
      <c r="T28" s="40"/>
      <c r="U28" s="40"/>
      <c r="V28" s="41"/>
      <c r="W28" s="38"/>
      <c r="X28" s="39"/>
      <c r="Y28" s="40"/>
      <c r="Z28" s="40"/>
      <c r="AA28" s="41"/>
      <c r="AB28" s="38"/>
      <c r="AC28" s="39"/>
      <c r="AD28" s="40"/>
      <c r="AE28" s="40"/>
      <c r="AF28" s="41"/>
      <c r="AG28" s="38"/>
      <c r="AH28" s="39"/>
      <c r="AI28" s="40"/>
      <c r="AJ28" s="40"/>
      <c r="AK28" s="50"/>
      <c r="AL28" s="7"/>
      <c r="AN28" s="7"/>
      <c r="AO28" s="122">
        <v>44396</v>
      </c>
      <c r="AP28" s="122"/>
      <c r="AQ28" s="122"/>
      <c r="AR28" s="98" t="s">
        <v>59</v>
      </c>
      <c r="AS28" s="98"/>
      <c r="AT28" s="98"/>
      <c r="AU28" s="98"/>
      <c r="AV28" s="7"/>
      <c r="AX28" s="20">
        <f t="shared" si="11"/>
        <v>0.625</v>
      </c>
      <c r="AY28" s="20">
        <f t="shared" si="12"/>
        <v>0.66666666666666663</v>
      </c>
      <c r="AZ28" s="19" t="str">
        <f t="shared" si="10"/>
        <v>15:00-16:00</v>
      </c>
    </row>
    <row r="29" spans="2:52" ht="18" customHeight="1" x14ac:dyDescent="0.3">
      <c r="B29" s="6"/>
      <c r="C29" s="52"/>
      <c r="D29" s="39"/>
      <c r="E29" s="40"/>
      <c r="F29" s="40"/>
      <c r="G29" s="41"/>
      <c r="H29" s="38"/>
      <c r="I29" s="39"/>
      <c r="J29" s="40"/>
      <c r="K29" s="40"/>
      <c r="L29" s="41"/>
      <c r="M29" s="38"/>
      <c r="N29" s="39"/>
      <c r="O29" s="40"/>
      <c r="P29" s="40"/>
      <c r="Q29" s="41"/>
      <c r="R29" s="38"/>
      <c r="S29" s="39"/>
      <c r="T29" s="40"/>
      <c r="U29" s="40"/>
      <c r="V29" s="41"/>
      <c r="W29" s="38"/>
      <c r="X29" s="39"/>
      <c r="Y29" s="40"/>
      <c r="Z29" s="40"/>
      <c r="AA29" s="41"/>
      <c r="AB29" s="38"/>
      <c r="AC29" s="39"/>
      <c r="AD29" s="40"/>
      <c r="AE29" s="40"/>
      <c r="AF29" s="41"/>
      <c r="AG29" s="38"/>
      <c r="AH29" s="39"/>
      <c r="AI29" s="40"/>
      <c r="AJ29" s="40"/>
      <c r="AK29" s="50"/>
      <c r="AL29" s="7"/>
      <c r="AN29" s="7"/>
      <c r="AO29" s="122">
        <v>44397</v>
      </c>
      <c r="AP29" s="122"/>
      <c r="AQ29" s="122"/>
      <c r="AR29" s="98" t="s">
        <v>60</v>
      </c>
      <c r="AS29" s="98"/>
      <c r="AT29" s="98"/>
      <c r="AU29" s="98"/>
      <c r="AV29" s="7"/>
      <c r="AX29" s="20">
        <f t="shared" si="11"/>
        <v>0.66666666666666663</v>
      </c>
      <c r="AY29" s="20">
        <f t="shared" si="12"/>
        <v>0.70833333333333326</v>
      </c>
      <c r="AZ29" s="19" t="str">
        <f t="shared" si="10"/>
        <v>16:00-17:00</v>
      </c>
    </row>
    <row r="30" spans="2:52" ht="18" customHeight="1" x14ac:dyDescent="0.3">
      <c r="B30" s="6"/>
      <c r="C30" s="52"/>
      <c r="D30" s="39"/>
      <c r="E30" s="40"/>
      <c r="F30" s="40"/>
      <c r="G30" s="41"/>
      <c r="H30" s="38"/>
      <c r="I30" s="39"/>
      <c r="J30" s="40"/>
      <c r="K30" s="40"/>
      <c r="L30" s="41"/>
      <c r="M30" s="38"/>
      <c r="N30" s="39"/>
      <c r="O30" s="40"/>
      <c r="P30" s="40"/>
      <c r="Q30" s="41"/>
      <c r="R30" s="38"/>
      <c r="S30" s="39"/>
      <c r="T30" s="40"/>
      <c r="U30" s="40"/>
      <c r="V30" s="41"/>
      <c r="W30" s="38"/>
      <c r="X30" s="39"/>
      <c r="Y30" s="40"/>
      <c r="Z30" s="40"/>
      <c r="AA30" s="41"/>
      <c r="AB30" s="38"/>
      <c r="AC30" s="39"/>
      <c r="AD30" s="40"/>
      <c r="AE30" s="40"/>
      <c r="AF30" s="41"/>
      <c r="AG30" s="38"/>
      <c r="AH30" s="39"/>
      <c r="AI30" s="40"/>
      <c r="AJ30" s="40"/>
      <c r="AK30" s="50"/>
      <c r="AL30" s="7"/>
      <c r="AN30" s="7"/>
      <c r="AO30" s="122">
        <v>44398</v>
      </c>
      <c r="AP30" s="122"/>
      <c r="AQ30" s="122"/>
      <c r="AR30" s="98" t="s">
        <v>61</v>
      </c>
      <c r="AS30" s="98"/>
      <c r="AT30" s="98"/>
      <c r="AU30" s="98"/>
      <c r="AV30" s="7"/>
      <c r="AX30" s="20">
        <f t="shared" si="11"/>
        <v>0.70833333333333326</v>
      </c>
      <c r="AY30" s="20">
        <f t="shared" si="12"/>
        <v>0.74999999999999989</v>
      </c>
      <c r="AZ30" s="19" t="str">
        <f t="shared" si="10"/>
        <v>17:00-18:00</v>
      </c>
    </row>
    <row r="31" spans="2:52" ht="18" customHeight="1" x14ac:dyDescent="0.3">
      <c r="B31" s="6"/>
      <c r="C31" s="52"/>
      <c r="D31" s="39"/>
      <c r="E31" s="40"/>
      <c r="F31" s="40"/>
      <c r="G31" s="41"/>
      <c r="H31" s="38"/>
      <c r="I31" s="39"/>
      <c r="J31" s="40"/>
      <c r="K31" s="40"/>
      <c r="L31" s="41"/>
      <c r="M31" s="38"/>
      <c r="N31" s="39"/>
      <c r="O31" s="40"/>
      <c r="P31" s="40"/>
      <c r="Q31" s="41"/>
      <c r="R31" s="38"/>
      <c r="S31" s="39"/>
      <c r="T31" s="40"/>
      <c r="U31" s="40"/>
      <c r="V31" s="41"/>
      <c r="W31" s="38"/>
      <c r="X31" s="39"/>
      <c r="Y31" s="40"/>
      <c r="Z31" s="40"/>
      <c r="AA31" s="41"/>
      <c r="AB31" s="38"/>
      <c r="AC31" s="39"/>
      <c r="AD31" s="40"/>
      <c r="AE31" s="40"/>
      <c r="AF31" s="41"/>
      <c r="AG31" s="38"/>
      <c r="AH31" s="39"/>
      <c r="AI31" s="40"/>
      <c r="AJ31" s="40"/>
      <c r="AK31" s="50"/>
      <c r="AL31" s="7"/>
      <c r="AN31" s="7"/>
      <c r="AO31" s="122">
        <v>44399</v>
      </c>
      <c r="AP31" s="122"/>
      <c r="AQ31" s="122"/>
      <c r="AR31" s="98" t="s">
        <v>62</v>
      </c>
      <c r="AS31" s="98"/>
      <c r="AT31" s="98"/>
      <c r="AU31" s="98"/>
      <c r="AV31" s="7"/>
      <c r="AX31" s="20">
        <f t="shared" si="11"/>
        <v>0.74999999999999989</v>
      </c>
      <c r="AY31" s="20">
        <f t="shared" si="12"/>
        <v>0.79166666666666652</v>
      </c>
      <c r="AZ31" s="19" t="str">
        <f t="shared" si="10"/>
        <v>18:00-19:00</v>
      </c>
    </row>
    <row r="32" spans="2:52" ht="18" customHeight="1" thickBot="1" x14ac:dyDescent="0.35">
      <c r="B32" s="6"/>
      <c r="C32" s="53"/>
      <c r="D32" s="49"/>
      <c r="E32" s="46"/>
      <c r="F32" s="46"/>
      <c r="G32" s="47"/>
      <c r="H32" s="48"/>
      <c r="I32" s="49"/>
      <c r="J32" s="46"/>
      <c r="K32" s="46"/>
      <c r="L32" s="47"/>
      <c r="M32" s="48"/>
      <c r="N32" s="49"/>
      <c r="O32" s="46"/>
      <c r="P32" s="46"/>
      <c r="Q32" s="47"/>
      <c r="R32" s="48"/>
      <c r="S32" s="49"/>
      <c r="T32" s="46"/>
      <c r="U32" s="46"/>
      <c r="V32" s="47"/>
      <c r="W32" s="48"/>
      <c r="X32" s="49"/>
      <c r="Y32" s="46"/>
      <c r="Z32" s="46"/>
      <c r="AA32" s="47"/>
      <c r="AB32" s="48"/>
      <c r="AC32" s="49"/>
      <c r="AD32" s="46"/>
      <c r="AE32" s="46"/>
      <c r="AF32" s="47"/>
      <c r="AG32" s="48"/>
      <c r="AH32" s="49"/>
      <c r="AI32" s="46"/>
      <c r="AJ32" s="46"/>
      <c r="AK32" s="51"/>
      <c r="AL32" s="7"/>
      <c r="AN32" s="7"/>
      <c r="AO32" s="122">
        <v>44400</v>
      </c>
      <c r="AP32" s="122"/>
      <c r="AQ32" s="122"/>
      <c r="AR32" s="98" t="s">
        <v>63</v>
      </c>
      <c r="AS32" s="98"/>
      <c r="AT32" s="98"/>
      <c r="AU32" s="98"/>
      <c r="AV32" s="7"/>
      <c r="AX32" s="20">
        <f t="shared" si="11"/>
        <v>0.79166666666666652</v>
      </c>
      <c r="AY32" s="20">
        <f t="shared" si="12"/>
        <v>0.83333333333333315</v>
      </c>
      <c r="AZ32" s="19" t="str">
        <f t="shared" si="10"/>
        <v>19:00-20:00</v>
      </c>
    </row>
    <row r="33" spans="2:52" ht="18" customHeight="1" x14ac:dyDescent="0.3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N33" s="7"/>
      <c r="AO33" s="122">
        <v>44438</v>
      </c>
      <c r="AP33" s="122"/>
      <c r="AQ33" s="122"/>
      <c r="AR33" s="98" t="s">
        <v>64</v>
      </c>
      <c r="AS33" s="98"/>
      <c r="AT33" s="98"/>
      <c r="AU33" s="98"/>
      <c r="AV33" s="7"/>
      <c r="AX33" s="20">
        <f>AX32+TIME(1,0,0)</f>
        <v>0.83333333333333315</v>
      </c>
      <c r="AY33" s="20">
        <f>AY32+TIME(1,0,0)</f>
        <v>0.87499999999999978</v>
      </c>
      <c r="AZ33" s="19" t="str">
        <f t="shared" si="10"/>
        <v>20:00-21:00</v>
      </c>
    </row>
    <row r="34" spans="2:52" ht="18" customHeight="1" thickBot="1" x14ac:dyDescent="0.3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N34" s="7"/>
      <c r="AO34" s="122">
        <v>44498</v>
      </c>
      <c r="AP34" s="122"/>
      <c r="AQ34" s="122"/>
      <c r="AR34" s="98" t="s">
        <v>65</v>
      </c>
      <c r="AS34" s="98"/>
      <c r="AT34" s="98"/>
      <c r="AU34" s="98"/>
      <c r="AV34" s="7"/>
      <c r="AX34" s="20">
        <f t="shared" ref="AX34" si="13">AX33+TIME(1,0,0)</f>
        <v>0.87499999999999978</v>
      </c>
      <c r="AY34" s="20">
        <f t="shared" ref="AY34" si="14">AY33+TIME(1,0,0)</f>
        <v>0.91666666666666641</v>
      </c>
      <c r="AZ34" s="19" t="str">
        <f t="shared" si="10"/>
        <v>21:00-22:00</v>
      </c>
    </row>
    <row r="35" spans="2:52" ht="30" customHeight="1" thickBot="1" x14ac:dyDescent="0.35">
      <c r="B35" s="6"/>
      <c r="C35" s="81" t="s">
        <v>4</v>
      </c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3"/>
      <c r="AL35" s="7"/>
      <c r="AN35" s="7"/>
      <c r="AO35" s="123"/>
      <c r="AP35" s="123"/>
      <c r="AQ35" s="123"/>
      <c r="AR35" s="98"/>
      <c r="AS35" s="98"/>
      <c r="AT35" s="98"/>
      <c r="AU35" s="98"/>
      <c r="AV35" s="7"/>
      <c r="AX35" s="20">
        <f>AX34+TIME(1,0,0)</f>
        <v>0.91666666666666641</v>
      </c>
      <c r="AY35" s="20">
        <f>AY34+TIME(1,0,0)</f>
        <v>0.95833333333333304</v>
      </c>
      <c r="AZ35" s="19" t="str">
        <f t="shared" si="10"/>
        <v>22:00-23:00</v>
      </c>
    </row>
    <row r="36" spans="2:52" s="12" customFormat="1" ht="21" customHeight="1" x14ac:dyDescent="0.35">
      <c r="B36" s="13"/>
      <c r="C36" s="84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6"/>
      <c r="AL36" s="7"/>
      <c r="AM36" s="3"/>
      <c r="AN36" s="7"/>
      <c r="AO36" s="123"/>
      <c r="AP36" s="123"/>
      <c r="AQ36" s="123"/>
      <c r="AR36" s="98"/>
      <c r="AS36" s="98"/>
      <c r="AT36" s="98"/>
      <c r="AU36" s="98"/>
      <c r="AV36" s="7"/>
      <c r="AW36"/>
      <c r="AX36" s="20">
        <f>AX35+TIME(1,0,0)</f>
        <v>0.95833333333333304</v>
      </c>
      <c r="AY36" s="20">
        <f>AY35+TIME(1,0,0)</f>
        <v>0.99999999999999967</v>
      </c>
      <c r="AZ36" s="19" t="str">
        <f t="shared" si="10"/>
        <v>23:00-00:00</v>
      </c>
    </row>
    <row r="37" spans="2:52" s="12" customFormat="1" ht="21" customHeight="1" x14ac:dyDescent="0.35">
      <c r="B37" s="13"/>
      <c r="C37" s="99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1"/>
      <c r="AL37" s="7"/>
      <c r="AM37" s="3"/>
      <c r="AN37" s="7"/>
      <c r="AO37" s="123"/>
      <c r="AP37" s="123"/>
      <c r="AQ37" s="123"/>
      <c r="AR37" s="98"/>
      <c r="AS37" s="98"/>
      <c r="AT37" s="98"/>
      <c r="AU37" s="98"/>
      <c r="AV37" s="7"/>
      <c r="AW37"/>
    </row>
    <row r="38" spans="2:52" ht="18" customHeight="1" x14ac:dyDescent="0.3">
      <c r="B38" s="6"/>
      <c r="C38" s="87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9"/>
      <c r="AL38" s="7"/>
      <c r="AN38" s="7"/>
      <c r="AO38" s="123"/>
      <c r="AP38" s="123"/>
      <c r="AQ38" s="123"/>
      <c r="AR38" s="98"/>
      <c r="AS38" s="98"/>
      <c r="AT38" s="98"/>
      <c r="AU38" s="98"/>
      <c r="AV38" s="7"/>
    </row>
    <row r="39" spans="2:52" ht="18" customHeight="1" thickBot="1" x14ac:dyDescent="0.35">
      <c r="B39" s="6"/>
      <c r="C39" s="90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2"/>
      <c r="AL39" s="7"/>
      <c r="AN39" s="7"/>
      <c r="AO39" s="123"/>
      <c r="AP39" s="123"/>
      <c r="AQ39" s="123"/>
      <c r="AR39" s="98"/>
      <c r="AS39" s="98"/>
      <c r="AT39" s="98"/>
      <c r="AU39" s="98"/>
      <c r="AV39" s="7"/>
    </row>
    <row r="40" spans="2:52" ht="18" customHeight="1" x14ac:dyDescent="0.3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2:52" s="3" customFormat="1" ht="18" customHeight="1" x14ac:dyDescent="0.3">
      <c r="AW41"/>
    </row>
    <row r="42" spans="2:52" ht="18" customHeight="1" x14ac:dyDescent="0.3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2:52" ht="18" customHeight="1" x14ac:dyDescent="0.3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</sheetData>
  <sheetProtection sheet="1" objects="1" scenarios="1" selectLockedCells="1"/>
  <mergeCells count="310">
    <mergeCell ref="AO3:AU3"/>
    <mergeCell ref="AX11:AY11"/>
    <mergeCell ref="AR39:AU39"/>
    <mergeCell ref="AO19:AQ19"/>
    <mergeCell ref="AO20:AQ20"/>
    <mergeCell ref="AO21:AQ21"/>
    <mergeCell ref="AO22:AQ22"/>
    <mergeCell ref="AO23:AQ23"/>
    <mergeCell ref="AO24:AQ24"/>
    <mergeCell ref="AO25:AQ25"/>
    <mergeCell ref="AO26:AQ26"/>
    <mergeCell ref="AO27:AQ27"/>
    <mergeCell ref="AO28:AQ28"/>
    <mergeCell ref="AO29:AQ29"/>
    <mergeCell ref="AO30:AQ30"/>
    <mergeCell ref="AO31:AQ31"/>
    <mergeCell ref="AO32:AQ32"/>
    <mergeCell ref="AO33:AQ33"/>
    <mergeCell ref="AO34:AQ34"/>
    <mergeCell ref="AO35:AQ35"/>
    <mergeCell ref="AO36:AQ36"/>
    <mergeCell ref="AO37:AQ37"/>
    <mergeCell ref="AO38:AQ38"/>
    <mergeCell ref="AO39:AQ39"/>
    <mergeCell ref="AR30:AU30"/>
    <mergeCell ref="AR31:AU31"/>
    <mergeCell ref="AR32:AU32"/>
    <mergeCell ref="AR33:AU33"/>
    <mergeCell ref="AR34:AU34"/>
    <mergeCell ref="AR35:AU35"/>
    <mergeCell ref="AR36:AU36"/>
    <mergeCell ref="AR37:AU37"/>
    <mergeCell ref="AR38:AU38"/>
    <mergeCell ref="AR21:AU21"/>
    <mergeCell ref="AR22:AU22"/>
    <mergeCell ref="AR23:AU23"/>
    <mergeCell ref="AR24:AU24"/>
    <mergeCell ref="AR25:AU25"/>
    <mergeCell ref="AR26:AU26"/>
    <mergeCell ref="AR27:AU27"/>
    <mergeCell ref="AR28:AU28"/>
    <mergeCell ref="AR29:AU29"/>
    <mergeCell ref="AO16:AU17"/>
    <mergeCell ref="AR19:AU19"/>
    <mergeCell ref="AR20:AU20"/>
    <mergeCell ref="C37:AK37"/>
    <mergeCell ref="AG16:AH17"/>
    <mergeCell ref="C8:L8"/>
    <mergeCell ref="C9:L9"/>
    <mergeCell ref="C10:L10"/>
    <mergeCell ref="C11:L11"/>
    <mergeCell ref="C12:L12"/>
    <mergeCell ref="C13:L13"/>
    <mergeCell ref="C16:D17"/>
    <mergeCell ref="E16:G16"/>
    <mergeCell ref="E17:G17"/>
    <mergeCell ref="W16:X17"/>
    <mergeCell ref="Y16:AA16"/>
    <mergeCell ref="Y17:AA17"/>
    <mergeCell ref="AB16:AC17"/>
    <mergeCell ref="AD16:AF16"/>
    <mergeCell ref="AD17:AF17"/>
    <mergeCell ref="AI16:AK16"/>
    <mergeCell ref="AI17:AK17"/>
    <mergeCell ref="R16:S17"/>
    <mergeCell ref="T16:V16"/>
    <mergeCell ref="T17:V17"/>
    <mergeCell ref="E5:L5"/>
    <mergeCell ref="X10:AD10"/>
    <mergeCell ref="X11:AD11"/>
    <mergeCell ref="X12:AD12"/>
    <mergeCell ref="X13:AD13"/>
    <mergeCell ref="P8:V8"/>
    <mergeCell ref="P9:V9"/>
    <mergeCell ref="P10:V10"/>
    <mergeCell ref="P11:V11"/>
    <mergeCell ref="H16:I17"/>
    <mergeCell ref="J16:L16"/>
    <mergeCell ref="J17:L17"/>
    <mergeCell ref="M16:N17"/>
    <mergeCell ref="O16:Q16"/>
    <mergeCell ref="O17:Q17"/>
    <mergeCell ref="C35:AK35"/>
    <mergeCell ref="C36:AK36"/>
    <mergeCell ref="C38:AK38"/>
    <mergeCell ref="C39:AK39"/>
    <mergeCell ref="M18:N18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H24:I24"/>
    <mergeCell ref="H25:I25"/>
    <mergeCell ref="H26:I26"/>
    <mergeCell ref="H27:I27"/>
    <mergeCell ref="M19:N19"/>
    <mergeCell ref="M20:N20"/>
    <mergeCell ref="M21:N21"/>
    <mergeCell ref="M22:N22"/>
    <mergeCell ref="M23:N23"/>
    <mergeCell ref="H18:I18"/>
    <mergeCell ref="AX4:AY4"/>
    <mergeCell ref="AG18:AH18"/>
    <mergeCell ref="AG19:AH19"/>
    <mergeCell ref="AG20:AH20"/>
    <mergeCell ref="AG21:AH21"/>
    <mergeCell ref="AG22:AH22"/>
    <mergeCell ref="AI18:AK18"/>
    <mergeCell ref="AI19:AK19"/>
    <mergeCell ref="AI20:AK20"/>
    <mergeCell ref="AI21:AK21"/>
    <mergeCell ref="AI22:AK22"/>
    <mergeCell ref="O7:AK7"/>
    <mergeCell ref="AF8:AK8"/>
    <mergeCell ref="AF9:AK9"/>
    <mergeCell ref="AF10:AK10"/>
    <mergeCell ref="AF11:AK11"/>
    <mergeCell ref="AF12:AK12"/>
    <mergeCell ref="AF13:AK13"/>
    <mergeCell ref="X8:AD8"/>
    <mergeCell ref="X9:AD9"/>
    <mergeCell ref="W22:X22"/>
    <mergeCell ref="Y21:AA21"/>
    <mergeCell ref="P12:V12"/>
    <mergeCell ref="P13:V13"/>
    <mergeCell ref="C3:AK3"/>
    <mergeCell ref="C7:L7"/>
    <mergeCell ref="H19:I19"/>
    <mergeCell ref="H20:I20"/>
    <mergeCell ref="AG32:AH32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G23:AH23"/>
    <mergeCell ref="AG24:AH24"/>
    <mergeCell ref="AG25:AH25"/>
    <mergeCell ref="AG26:AH26"/>
    <mergeCell ref="R32:S32"/>
    <mergeCell ref="W18:X18"/>
    <mergeCell ref="W19:X19"/>
    <mergeCell ref="W20:X20"/>
    <mergeCell ref="W21:X21"/>
    <mergeCell ref="W27:X27"/>
    <mergeCell ref="W28:X28"/>
    <mergeCell ref="W29:X29"/>
    <mergeCell ref="W30:X30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C27:D27"/>
    <mergeCell ref="C28:D28"/>
    <mergeCell ref="C29:D29"/>
    <mergeCell ref="C30:D30"/>
    <mergeCell ref="C31:D31"/>
    <mergeCell ref="C32:D32"/>
    <mergeCell ref="E18:G18"/>
    <mergeCell ref="E19:G19"/>
    <mergeCell ref="E20:G20"/>
    <mergeCell ref="E21:G21"/>
    <mergeCell ref="E23:G23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I30:AK30"/>
    <mergeCell ref="W26:X26"/>
    <mergeCell ref="Y22:AA22"/>
    <mergeCell ref="Y23:AA23"/>
    <mergeCell ref="Y24:AA24"/>
    <mergeCell ref="Y25:AA25"/>
    <mergeCell ref="Y26:AA26"/>
    <mergeCell ref="E24:G24"/>
    <mergeCell ref="E25:G25"/>
    <mergeCell ref="E26:G26"/>
    <mergeCell ref="E27:G27"/>
    <mergeCell ref="E28:G28"/>
    <mergeCell ref="E29:G29"/>
    <mergeCell ref="E30:G30"/>
    <mergeCell ref="W23:X23"/>
    <mergeCell ref="W24:X24"/>
    <mergeCell ref="W25:X25"/>
    <mergeCell ref="AG27:AH27"/>
    <mergeCell ref="AG28:AH28"/>
    <mergeCell ref="AG29:AH29"/>
    <mergeCell ref="AG30:AH30"/>
    <mergeCell ref="H28:I28"/>
    <mergeCell ref="H29:I29"/>
    <mergeCell ref="H30:I30"/>
    <mergeCell ref="AI32:AK32"/>
    <mergeCell ref="AD18:AF18"/>
    <mergeCell ref="AD19:AF19"/>
    <mergeCell ref="AD20:AF20"/>
    <mergeCell ref="AD21:AF21"/>
    <mergeCell ref="AD22:AF22"/>
    <mergeCell ref="AD23:AF23"/>
    <mergeCell ref="AD24:AF24"/>
    <mergeCell ref="AD25:AF25"/>
    <mergeCell ref="AD26:AF26"/>
    <mergeCell ref="AD27:AF27"/>
    <mergeCell ref="AD28:AF28"/>
    <mergeCell ref="AD29:AF29"/>
    <mergeCell ref="AD30:AF30"/>
    <mergeCell ref="AD31:AF31"/>
    <mergeCell ref="AD32:AF32"/>
    <mergeCell ref="AI23:AK23"/>
    <mergeCell ref="AI24:AK24"/>
    <mergeCell ref="AI31:AK31"/>
    <mergeCell ref="AG31:AH31"/>
    <mergeCell ref="AI25:AK25"/>
    <mergeCell ref="AI26:AK26"/>
    <mergeCell ref="AI27:AK27"/>
    <mergeCell ref="AI29:AK29"/>
    <mergeCell ref="AI28:AK28"/>
    <mergeCell ref="Y32:AA32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Y18:AA18"/>
    <mergeCell ref="Y19:AA19"/>
    <mergeCell ref="Y20:AA20"/>
    <mergeCell ref="Y27:AA27"/>
    <mergeCell ref="Y28:AA28"/>
    <mergeCell ref="Y29:AA29"/>
    <mergeCell ref="Y30:AA30"/>
    <mergeCell ref="Y31:AA31"/>
    <mergeCell ref="E31:G31"/>
    <mergeCell ref="E32:G32"/>
    <mergeCell ref="O27:Q27"/>
    <mergeCell ref="O28:Q28"/>
    <mergeCell ref="O29:Q29"/>
    <mergeCell ref="O30:Q30"/>
    <mergeCell ref="O31:Q31"/>
    <mergeCell ref="O32:Q32"/>
    <mergeCell ref="J27:L27"/>
    <mergeCell ref="J28:L28"/>
    <mergeCell ref="J29:L29"/>
    <mergeCell ref="J30:L30"/>
    <mergeCell ref="J31:L31"/>
    <mergeCell ref="J32:L32"/>
    <mergeCell ref="W31:X31"/>
    <mergeCell ref="H32:I32"/>
    <mergeCell ref="H31:I31"/>
    <mergeCell ref="W32:X32"/>
    <mergeCell ref="R27:S27"/>
    <mergeCell ref="R28:S28"/>
    <mergeCell ref="R29:S29"/>
    <mergeCell ref="R30:S30"/>
    <mergeCell ref="R31:S31"/>
    <mergeCell ref="O24:Q24"/>
    <mergeCell ref="O25:Q25"/>
    <mergeCell ref="O26:Q26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H22:I22"/>
    <mergeCell ref="H23:I23"/>
    <mergeCell ref="E22:G22"/>
    <mergeCell ref="O18:Q18"/>
    <mergeCell ref="O19:Q19"/>
    <mergeCell ref="O20:Q20"/>
    <mergeCell ref="O21:Q21"/>
    <mergeCell ref="O22:Q22"/>
    <mergeCell ref="O23:Q23"/>
    <mergeCell ref="H21:I21"/>
  </mergeCells>
  <conditionalFormatting sqref="C18:G32">
    <cfRule type="expression" dxfId="12" priority="33">
      <formula>$E$5=$AY$5</formula>
    </cfRule>
  </conditionalFormatting>
  <conditionalFormatting sqref="H18:L32">
    <cfRule type="expression" dxfId="11" priority="34">
      <formula>$E$5+1=$AY$5</formula>
    </cfRule>
  </conditionalFormatting>
  <conditionalFormatting sqref="M18:Q32">
    <cfRule type="expression" dxfId="10" priority="35">
      <formula>$E$5+2=$AY$5</formula>
    </cfRule>
  </conditionalFormatting>
  <conditionalFormatting sqref="R18:V32">
    <cfRule type="expression" dxfId="9" priority="36">
      <formula>$E$5+3=$AY$5</formula>
    </cfRule>
  </conditionalFormatting>
  <conditionalFormatting sqref="W18:AA32">
    <cfRule type="expression" dxfId="8" priority="37">
      <formula>$E$5+4=$AY$5</formula>
    </cfRule>
  </conditionalFormatting>
  <conditionalFormatting sqref="AB18:AF32">
    <cfRule type="expression" dxfId="7" priority="38">
      <formula>$E$5+5=$AY$5</formula>
    </cfRule>
  </conditionalFormatting>
  <conditionalFormatting sqref="AG18:AK32">
    <cfRule type="expression" dxfId="6" priority="39">
      <formula>$E$5+6=$AY$5</formula>
    </cfRule>
  </conditionalFormatting>
  <conditionalFormatting sqref="AO7:AU12">
    <cfRule type="expression" dxfId="5" priority="40">
      <formula>COUNTIF($AO$19:$AQ$39,AO7)&gt;0</formula>
    </cfRule>
    <cfRule type="expression" dxfId="4" priority="41">
      <formula>MONTH(AO7)&lt;&gt;$AY$7</formula>
    </cfRule>
  </conditionalFormatting>
  <conditionalFormatting sqref="O8:O13 W8:W13 AE8:AE13">
    <cfRule type="cellIs" dxfId="3" priority="42" operator="equal">
      <formula>$AX$13</formula>
    </cfRule>
    <cfRule type="cellIs" dxfId="2" priority="43" operator="equal">
      <formula>$AX$12</formula>
    </cfRule>
  </conditionalFormatting>
  <conditionalFormatting sqref="P8:V13 X8:AD13 AF8:AK13">
    <cfRule type="expression" dxfId="1" priority="48">
      <formula>O8=$AX$13</formula>
    </cfRule>
    <cfRule type="expression" dxfId="0" priority="49">
      <formula>O8=$AX$12</formula>
    </cfRule>
  </conditionalFormatting>
  <dataValidations count="2">
    <dataValidation type="list" allowBlank="1" showInputMessage="1" showErrorMessage="1" sqref="C18:D32 H18:I32 M18:N32 R18:S32 W18:X32 AB18:AC32 AG18:AH32" xr:uid="{7B457CD5-9917-44A8-9415-EA6D321F7667}">
      <formula1>$AZ$18:$AZ$36</formula1>
    </dataValidation>
    <dataValidation type="list" allowBlank="1" showInputMessage="1" showErrorMessage="1" sqref="O8:O13 AE8:AE13 W8:W13" xr:uid="{4065E9A8-4250-4B19-B3B3-AEE273575E2D}">
      <formula1>$AX$12:$AX$13</formula1>
    </dataValidation>
  </dataValidations>
  <pageMargins left="0.25" right="0.25" top="0.75" bottom="0.75" header="0.3" footer="0.3"/>
  <pageSetup paperSize="9" scale="48" orientation="landscape" r:id="rId1"/>
  <headerFooter>
    <oddFooter>&amp;C&amp;G
&amp;"Gilroy Light,Kalın"&amp;12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6e0ad8bcb937777a496f4378509b82b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3afd91b9dddacb5807afd727ccca0e2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C0559-A3A8-404B-B3C9-59977EEF143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16c05727-aa75-4e4a-9b5f-8a80a1165891"/>
    <ds:schemaRef ds:uri="71af3243-3dd4-4a8d-8c0d-dd76da1f02a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895C161-5F30-4256-BAD3-309A5874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3BEF7D-0560-4D92-8503-510D68BBA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TM66910461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Haftalık Zamanlama Planlayıcısı</vt:lpstr>
      <vt:lpstr>BaşlangıçTarihi</vt:lpstr>
      <vt:lpstr>'Haftalık Zamanlama Planlayıcısı'!Print_Area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2019-10-10T14:02:30Z</dcterms:created>
  <dcterms:modified xsi:type="dcterms:W3CDTF">2023-04-20T11:31:25Z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