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ns0:workbook xmlns:ns0="http://schemas.openxmlformats.org/spreadsheetml/2006/main" xmlns:ns1="http://schemas.openxmlformats.org/markup-compatibility/2006" xmlns:ns2="http://schemas.microsoft.com/office/spreadsheetml/2014/revision" xmlns:ns3="http://schemas.microsoft.com/office/spreadsheetml/2016/revision6" xmlns:ns4="http://schemas.microsoft.com/office/spreadsheetml/2016/revision10" xmlns:ns5="http://schemas.microsoft.com/office/spreadsheetml/2015/revision2" xmlns:ns6="http://schemas.openxmlformats.org/officeDocument/2006/relationships" xmlns:ns7="http://schemas.microsoft.com/office/spreadsheetml/2009/9/main" xmlns:ns8="http://schemas.microsoft.com/office/spreadsheetml/2010/11/main" xmlns:ns9="http://schemas.microsoft.com/office/spreadsheetml/2018/calcfeatures" ns1:Ignorable="x15 xr xr6 xr10 xr2">
  <ns0:fileVersion appName="xl" lastEdited="7" lowestEdited="7" rupBuild="26227" codeName="{37A63EE7-654F-3FA9-A528-636911D70600}"/>
  <ns0:workbookPr hidePivotFieldList="1"/>
  <ns2:revisionPtr revIDLastSave="0" documentId="13_ncr:1_{1428DA68-A365-4258-94F6-B7FB113B5F64}" ns3:coauthVersionLast="47" ns3:coauthVersionMax="47" ns4:uidLastSave="{00000000-0000-0000-0000-000000000000}"/>
  <ns0:bookViews>
    <ns0:workbookView xWindow="-96" yWindow="0" windowWidth="11712" windowHeight="12336" tabRatio="830" ns5:uid="{840EAB88-4F15-436A-84B7-CDBA146AFAE2}" activeTab="0"/>
  </ns0:bookViews>
  <ns0:sheets>
    <ns0:sheet name="DashBoard" sheetId="3" ns6:id="rId2"/>
    <ns0:sheet name="G_Siparişler" sheetId="2" ns6:id="rId3"/>
    <ns0:sheet name="Pvt_Siparişler" sheetId="16" state="hidden" ns6:id="rId4"/>
  </ns0:sheets>
  <ns0:externalReferences>
    <ns0:externalReference ns6:id="rId5"/>
    <ns0:externalReference ns6:id="rId6"/>
    <ns0:externalReference ns6:id="rId7"/>
    <ns0:externalReference ns6:id="rId8"/>
    <ns0:externalReference ns6:id="rId9"/>
    <ns0:externalReference ns6:id="rId10"/>
    <ns0:externalReference ns6:id="rId11"/>
    <ns0:externalReference ns6:id="rId12"/>
  </ns0:externalReferences>
  <ns0:definedNames>
    <ns0:definedName name="Dilimleyici_Kategori">#N/A</ns0:definedName>
    <ns0:definedName name="Dilimleyici_Ödeme_Tipi">#N/A</ns0:definedName>
    <ns0:definedName name="Dilimleyici_Sipariş_Durumu">#N/A</ns0:definedName>
    <ns0:definedName name="Dilimleyici_Ürün_Adı">#N/A</ns0:definedName>
    <ns0:definedName name="DolarKuru">[1]Ürünlerim!$G$2</ns0:definedName>
    <ns0:definedName name="EuroKuru">[1]Ürünlerim!$G$3</ns0:definedName>
    <ns0:definedName name="Lst_Banka_Kasa">[2]!Tbl_Banka_Kasa[Banka-Kasa]</ns0:definedName>
    <ns0:definedName name="Lst_Cariler">[1]!Tablo3[Cari Adı]</ns0:definedName>
    <ns0:definedName name="lst_EmlakTipi">[3]!tbl_ayar_EmlakTipi[Emlak Tipi]</ns0:definedName>
    <ns0:definedName name="Lst_Maliye_Kategorileri">OFFSET([2]Pvt_Listeler!$A$3,1,0,COUNTA([2]Pvt_Listeler!$A:$A)-1,1)</ns0:definedName>
    <ns0:definedName name="lst_Müşteriler">[3]!Tablo1[İsim Soyisim]</ns0:definedName>
    <ns0:definedName name="Lst_Nakit_Vadeli">[1]!Tablo13[Nakit / Vadeli Seçimi]</ns0:definedName>
    <ns0:definedName name="Lst_Ödeme_Yön">[2]!Tbl_Ödeme_Yön[Ödeme Yöntemi]</ns0:definedName>
    <ns0:definedName name="lst_Satılık_Kiralık">[3]!tbl_ayar_Satılık[Satılık/Kiralık]</ns0:definedName>
    <ns0:definedName name="Lst_Satış_Per">[5]!Tablo2[Ad Soyad]</ns0:definedName>
    <ns0:definedName name="Lst_Servis">[2]!Tbl_Sektör_Kategori[Servis]</ns0:definedName>
    <ns0:definedName name="Lst_TümHisseler">[6]!TÜM_HİSSELER_1[Menkul]</ns0:definedName>
    <ns0:definedName name="Lst_Ürün_Ailesi">[2]!Tbl_Ürün_Ailesi[Ürün Ailesi]</ns0:definedName>
    <ns0:definedName name="Lst_Ürünler">[1]!Tablo4[Ürün Adı]</ns0:definedName>
    <ns0:definedName name="Lst_Ürünlerim">[7]!Tablo2[Ürün Adı]</ns0:definedName>
    <ns0:definedName name="Lst_Yıl_Ay">[2]!Tablo8[Tarihler]</ns0:definedName>
    <ns0:definedName name="oran">[8]Ürün_Fiyat_Listesi!$E$3</ns0:definedName>
    <ns0:definedName name="Slicer_Ay">#N/A</ns0:definedName>
    <ns0:definedName name="Slicer_Yıl">#N/A</ns0:definedName>
  </ns0:definedNames>
  <ns0:calcPr calcId="191029"/>
  <ns0:pivotCaches>
    <ns0:pivotCache cacheId="8" ns6:id="rId13"/>
  </ns0:pivotCaches>
  <ns0:extLst>
    <ns0:ext uri="{BBE1A952-AA13-448e-AADC-164F8A28A991}">
      <ns7:slicerCaches>
        <ns7:slicerCache ns6:id="rId14"/>
        <ns7:slicerCache ns6:id="rId15"/>
        <ns7:slicerCache ns6:id="rId16"/>
        <ns7:slicerCache ns6:id="rId17"/>
        <ns7:slicerCache ns6:id="rId18"/>
        <ns7:slicerCache ns6:id="rId19"/>
      </ns7:slicerCaches>
    </ns0:ext>
    <ns0:ext uri="{79F54976-1DA5-4618-B147-4CDE4B953A38}">
      <ns7:workbookPr/>
    </ns0:ext>
    <ns0:ext uri="{140A7094-0E35-4892-8432-C4D2E57EDEB5}">
      <ns8:workbookPr chartTrackingRefBase="1"/>
    </ns0:ext>
    <ns0:ext uri="{B58B0392-4F1F-4190-BB64-5DF3571DCE5F}">
      <ns9:calcFeatures>
        <ns9:feature name="microsoft.com:RD"/>
        <ns9:feature name="microsoft.com:Single"/>
        <ns9:feature name="microsoft.com:FV"/>
        <ns9:feature name="microsoft.com:CNMTM"/>
        <ns9:feature name="microsoft.com:LET_WF"/>
      </ns9:calcFeatures>
    </ns0:ext>
  </ns0:extLst>
</ns0:workbook>
</file>

<file path=xl/calcChain.xml><?xml version="1.0" encoding="utf-8"?>
<calcChain xmlns="http://schemas.openxmlformats.org/spreadsheetml/2006/main">
  <c r="AH3" i="16" l="1"/>
  <c r="T1" i="16"/>
  <c r="X1" i="16"/>
  <c r="AB1" i="16"/>
  <c r="AH4" i="16" l="1"/>
  <c r="AH5" i="16" s="1"/>
</calcChain>
</file>

<file path=xl/sharedStrings.xml><?xml version="1.0" encoding="utf-8"?>
<sst xmlns="http://schemas.openxmlformats.org/spreadsheetml/2006/main" count="573" uniqueCount="124">
  <si>
    <t>Ürün Adı</t>
  </si>
  <si>
    <t>Kategori</t>
  </si>
  <si>
    <t>Toplam Tutar</t>
  </si>
  <si>
    <t>Sipariş Durumu</t>
  </si>
  <si>
    <t>Tamamlandı</t>
  </si>
  <si>
    <t>Beklemede</t>
  </si>
  <si>
    <t>Teslim Edildi,Ödeme Alınacak</t>
  </si>
  <si>
    <t>Tarih</t>
  </si>
  <si>
    <t>Ödeme Tipi</t>
  </si>
  <si>
    <t>Nakit</t>
  </si>
  <si>
    <t>Kredi Kartı</t>
  </si>
  <si>
    <t>Havale / EFT</t>
  </si>
  <si>
    <t>Sipariş Adeti</t>
  </si>
  <si>
    <t>Salih Giresun</t>
  </si>
  <si>
    <t>Ahmet Yalçın</t>
  </si>
  <si>
    <t>Halit Doğru</t>
  </si>
  <si>
    <t>Cansu Şehirli</t>
  </si>
  <si>
    <t>Yağmur  Gözaçan</t>
  </si>
  <si>
    <t>Feride  Dalbastı</t>
  </si>
  <si>
    <t>Nuri Beyoğlu</t>
  </si>
  <si>
    <t>Esra Kılıç</t>
  </si>
  <si>
    <t>Mahir  Gürer</t>
  </si>
  <si>
    <t>Zehra Avcu</t>
  </si>
  <si>
    <t>Azra  Horuz</t>
  </si>
  <si>
    <t>Muammer  Kumral</t>
  </si>
  <si>
    <t>Veli  Kurşun</t>
  </si>
  <si>
    <t>Yakup  Cerit</t>
  </si>
  <si>
    <t>Berru Bilgi</t>
  </si>
  <si>
    <t>Metin Fırat</t>
  </si>
  <si>
    <t>Sıla Kuru</t>
  </si>
  <si>
    <t>Mert Herdili</t>
  </si>
  <si>
    <t>Asel  Tuğluoğlu</t>
  </si>
  <si>
    <t>Elifsu  Demir Göçmen</t>
  </si>
  <si>
    <t>Meryemsu Atlanoğlu</t>
  </si>
  <si>
    <t>Sercan  Gökçen</t>
  </si>
  <si>
    <t>Seymen Alan</t>
  </si>
  <si>
    <t>Uğur Önder Siviş</t>
  </si>
  <si>
    <t>Muharrem  Öztürkeri</t>
  </si>
  <si>
    <t>İkranur  Çavuşoğlu</t>
  </si>
  <si>
    <t>Damla  Bağcık</t>
  </si>
  <si>
    <t>Kübra  Karaoğlu</t>
  </si>
  <si>
    <t>Şerife  Sarıçam</t>
  </si>
  <si>
    <t>Yeliz  Aksoy</t>
  </si>
  <si>
    <t>Sezer  Bölük</t>
  </si>
  <si>
    <t>Şevin Kulaç</t>
  </si>
  <si>
    <t>Sualp Kozcu</t>
  </si>
  <si>
    <t>Resul  Alkurt Kayıkçı</t>
  </si>
  <si>
    <t>Alperen  Gülçalar</t>
  </si>
  <si>
    <t>İhsan  Akyüz</t>
  </si>
  <si>
    <t>Feride  Tolan</t>
  </si>
  <si>
    <t>Meryem Aslankara</t>
  </si>
  <si>
    <t>Hakkı  Orhon</t>
  </si>
  <si>
    <t>Şükrüye Okutan</t>
  </si>
  <si>
    <t>Nuriye  Sazak</t>
  </si>
  <si>
    <t>Orhan  Baştürk Ayhan</t>
  </si>
  <si>
    <t>Rojin  Akyüz</t>
  </si>
  <si>
    <t>Süleyman  Arifoğlu</t>
  </si>
  <si>
    <t>Güler  Demirbaş</t>
  </si>
  <si>
    <t>Nazife  Ersoy</t>
  </si>
  <si>
    <t>Yasin  Çimen</t>
  </si>
  <si>
    <t>Hanife  Pınarbaşılı</t>
  </si>
  <si>
    <t>Memet  Demirtaş</t>
  </si>
  <si>
    <t>Kevser  Rüzgar</t>
  </si>
  <si>
    <t>Süleyman Avcu</t>
  </si>
  <si>
    <t>Derin Ballı</t>
  </si>
  <si>
    <t>Ulaş Fındık Güvendi</t>
  </si>
  <si>
    <t>Çağla  Seyfeli</t>
  </si>
  <si>
    <t>Hikmet  Filizer</t>
  </si>
  <si>
    <t>Toplam Toplam Tutar</t>
  </si>
  <si>
    <t>Toplam Sipariş Sayısı</t>
  </si>
  <si>
    <t>Toplam Sipariş Tutarı</t>
  </si>
  <si>
    <t>Toplam Sipariş Adeti</t>
  </si>
  <si>
    <t>Teslim Edildi</t>
  </si>
  <si>
    <t>Ahmet Yılmaz</t>
  </si>
  <si>
    <t>Tahsilat</t>
  </si>
  <si>
    <t>Renk</t>
  </si>
  <si>
    <t>Kalite</t>
  </si>
  <si>
    <t>Firma / Müşteri Adı</t>
  </si>
  <si>
    <t>Kırmızı</t>
  </si>
  <si>
    <t>Beyaz</t>
  </si>
  <si>
    <t>Yeşil</t>
  </si>
  <si>
    <t>Gri</t>
  </si>
  <si>
    <t>Siyah</t>
  </si>
  <si>
    <t>Mavi</t>
  </si>
  <si>
    <t>A</t>
  </si>
  <si>
    <t>B</t>
  </si>
  <si>
    <t>C</t>
  </si>
  <si>
    <t>Tişört</t>
  </si>
  <si>
    <t>Kupa</t>
  </si>
  <si>
    <t>Kalem</t>
  </si>
  <si>
    <t>Tekstil</t>
  </si>
  <si>
    <t>Cam</t>
  </si>
  <si>
    <t>Kağıt</t>
  </si>
  <si>
    <t>Ahşap</t>
  </si>
  <si>
    <t>Kartvizit</t>
  </si>
  <si>
    <t>Gömlek</t>
  </si>
  <si>
    <t>Defter</t>
  </si>
  <si>
    <t>Birim Satış Fiyatı</t>
  </si>
  <si>
    <t>Oca</t>
  </si>
  <si>
    <t>Şub</t>
  </si>
  <si>
    <t>Mar</t>
  </si>
  <si>
    <t>Nis</t>
  </si>
  <si>
    <t>May</t>
  </si>
  <si>
    <t>Haz</t>
  </si>
  <si>
    <t>Tem</t>
  </si>
  <si>
    <t>Ağu</t>
  </si>
  <si>
    <t>Eyl</t>
  </si>
  <si>
    <t>Eki</t>
  </si>
  <si>
    <t>Kas</t>
  </si>
  <si>
    <t>Ara</t>
  </si>
  <si>
    <t>Kalan</t>
  </si>
  <si>
    <t>Salih Hocaoğlu</t>
  </si>
  <si>
    <t>Say Toplam Tutar</t>
  </si>
  <si>
    <t>Ay</t>
  </si>
  <si>
    <t>Yıl</t>
  </si>
  <si>
    <t>Satır Etiketleri</t>
  </si>
  <si>
    <t>Genel Toplam</t>
  </si>
  <si>
    <t>KILAVUZ</t>
  </si>
  <si>
    <t>EĞİTİM VİDEOSU</t>
  </si>
  <si>
    <t>KULLANICI KILAVUZU</t>
  </si>
  <si>
    <t>HAKKIMIZDA</t>
  </si>
  <si>
    <t>Bu şablonun nasıl kullanıldığını videolu ve detaylı bir şekilde öğrenmek için aşağıdaki düğmeye tıklayabilirsiniz.</t>
  </si>
  <si>
    <r>
      <t xml:space="preserve">Excel Şablonlarımızı nasıl kullanmanız gerektiğini öğrenmek için buraya tıklayarak </t>
    </r>
    <r>
      <rPr>
        <sz val="11"/>
        <color theme="1"/>
        <rFont val="Montserrat"/>
        <family val="2"/>
        <charset val="162"/>
        <scheme val="minor"/>
      </rPr>
      <t>Kullanıcı Kılavuzunu in</t>
    </r>
    <r>
      <rPr>
        <sz val="11"/>
        <color theme="1"/>
        <rFont val="Montserrat"/>
        <family val="2"/>
        <charset val="162"/>
        <scheme val="minor"/>
      </rPr>
      <t>direbilirsiniz.</t>
    </r>
  </si>
  <si>
    <t> olarak eğitim,danışmanlık ve yazılım hizmeti sunmaktayız. Ürün &amp; Hizmetlerimiz ve daha fazlası için tıklayınız.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</si>
</sst>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8" formatCode="&quot;₺&quot;#,##0.00;[Red]\-&quot;₺&quot;#,##0.00"/>
    <numFmt numFmtId="164" formatCode="&quot;₺&quot;#,##0.00"/>
    <numFmt numFmtId="165" formatCode="[$€-2]\ #,##0.00;[Red]\-[$€-2]\ #,##0.00"/>
    <numFmt numFmtId="166" formatCode="[$€-2]\ #,##0.0;[Red]\-[$€-2]\ #,##0.0"/>
    <numFmt numFmtId="167" formatCode="[$€-2]\ #,##0;[Red]\-[$€-2]\ #,##0"/>
  </numFmts>
  <fonts count="8" x14ac:knownFonts="1">
    <font>
      <sz val="11"/>
      <color theme="1"/>
      <name val="Montserrat"/>
      <family val="2"/>
      <charset val="162"/>
      <scheme val="minor"/>
    </font>
    <font>
      <b/>
      <sz val="48"/>
      <color theme="9"/>
      <name val="Montserrat"/>
      <scheme val="minor"/>
    </font>
    <font>
      <b/>
      <sz val="11"/>
      <color theme="1"/>
      <name val="Montserrat"/>
      <family val="2"/>
      <charset val="162"/>
      <scheme val="minor"/>
    </font>
    <font>
      <sz val="11"/>
      <color theme="1"/>
      <name val="Montserrat"/>
      <family val="2"/>
      <charset val="162"/>
      <scheme val="minor"/>
    </font>
    <font>
      <sz val="11"/>
      <color theme="0"/>
      <name val="Montserrat"/>
      <family val="2"/>
      <charset val="162"/>
      <scheme val="minor"/>
    </font>
    <font>
      <b/>
      <sz val="24"/>
      <color theme="0"/>
      <name val="Montserrat"/>
    </font>
    <font>
      <b/>
      <sz val="11"/>
      <color theme="4"/>
      <name val="Montserrat"/>
      <family val="2"/>
      <scheme val="minor"/>
    </font>
    <font>
      <u/>
      <sz val="11"/>
      <color theme="10"/>
      <name val="Montserrat"/>
      <family val="2"/>
      <charset val="162"/>
      <scheme val="minor"/>
    </font>
  </fonts>
  <fills count="4">
    <fill>
      <patternFill patternType="none"/>
    </fill>
    <fill>
      <patternFill patternType="gray125"/>
    </fill>
    <fill>
      <patternFill patternType="solid">
        <fgColor theme="4"/>
        <bgColor indexed="64"/>
      </patternFill>
    </fill>
    <fill>
      <patternFill patternType="solid">
        <fgColor theme="0" tint="-4.9989318521683403E-2"/>
        <bgColor indexed="64"/>
      </patternFill>
    </fill>
  </fills>
  <borders count="3">
    <border>
      <left/>
      <right/>
      <top/>
      <bottom/>
      <diagonal/>
    </border>
    <border>
      <left style="thick">
        <color theme="0"/>
      </left>
      <right/>
      <top/>
      <bottom/>
      <diagonal/>
    </border>
    <border>
      <left/>
      <right/>
      <top/>
      <bottom style="thin">
        <color theme="0" tint="-0.249977111117893"/>
      </bottom>
      <diagonal/>
    </border>
  </borders>
  <cellStyleXfs count="3">
    <xf numFmtId="0" fontId="0" fillId="0" borderId="0"/>
    <xf numFmtId="0" fontId="3" fillId="0" borderId="0"/>
    <xf numFmtId="0" fontId="7" fillId="0" borderId="0" applyNumberFormat="0" applyFill="0" applyBorder="0" applyAlignment="0" applyProtection="0"/>
  </cellStyleXfs>
  <cellXfs count="35">
    <xf numFmtId="0" fontId="0" fillId="0" borderId="0" xfId="0"/>
    <xf numFmtId="0" fontId="0" fillId="0" borderId="0" xfId="0" applyAlignment="1">
      <alignment horizontal="left"/>
    </xf>
    <xf numFmtId="0" fontId="0" fillId="0" borderId="0" xfId="0" pivotButton="1"/>
    <xf numFmtId="164" fontId="0" fillId="0" borderId="0" xfId="0" applyNumberFormat="1"/>
    <xf numFmtId="3" fontId="0" fillId="0" borderId="0" xfId="0" applyNumberFormat="1"/>
    <xf numFmtId="165" fontId="0" fillId="0" borderId="0" xfId="0" applyNumberFormat="1"/>
    <xf numFmtId="167" fontId="0" fillId="0" borderId="0" xfId="0" applyNumberFormat="1"/>
    <xf numFmtId="0" fontId="0" fillId="0" borderId="0" xfId="0" applyAlignment="1">
      <alignment horizontal="left" indent="1"/>
    </xf>
    <xf numFmtId="0" fontId="0" fillId="0" borderId="0" xfId="0" applyAlignment="1">
      <alignment horizontal="center" vertical="center"/>
    </xf>
    <xf numFmtId="14" fontId="0" fillId="0" borderId="0" xfId="0" applyNumberFormat="1" applyAlignment="1">
      <alignment vertical="center"/>
    </xf>
    <xf numFmtId="0" fontId="0" fillId="0" borderId="0" xfId="0" applyAlignment="1">
      <alignment vertical="center"/>
    </xf>
    <xf numFmtId="165" fontId="0" fillId="0" borderId="0" xfId="0" applyNumberForma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center" vertical="center" wrapText="1"/>
    </xf>
    <xf numFmtId="0" fontId="1" fillId="0" borderId="0" xfId="0" applyFont="1" applyAlignment="1">
      <alignment horizontal="left" vertical="center" wrapText="1" indent="1"/>
    </xf>
    <xf numFmtId="0" fontId="4" fillId="2" borderId="0" xfId="1" applyFont="1" applyFill="1" applyAlignment="1">
      <alignment horizontal="left" vertical="center" wrapText="1"/>
    </xf>
    <xf numFmtId="0" fontId="4" fillId="2" borderId="0" xfId="1" applyFont="1" applyFill="1" applyAlignment="1">
      <alignment horizontal="left" vertical="center"/>
    </xf>
    <xf numFmtId="0" fontId="5" fillId="2" borderId="1" xfId="1" applyFont="1" applyFill="1" applyBorder="1" applyAlignment="1">
      <alignment horizontal="left" vertical="center" wrapText="1" indent="1"/>
    </xf>
    <xf numFmtId="0" fontId="5" fillId="2" borderId="0" xfId="1" applyFont="1" applyFill="1" applyAlignment="1">
      <alignment horizontal="left" vertical="center" wrapText="1" indent="1"/>
    </xf>
    <xf numFmtId="0" fontId="5" fillId="2" borderId="0" xfId="1" applyFont="1" applyFill="1" applyAlignment="1">
      <alignment horizontal="left" vertical="top" wrapText="1"/>
    </xf>
    <xf numFmtId="0" fontId="3" fillId="0" borderId="0" xfId="1" applyAlignment="1">
      <alignment horizontal="left" vertical="center" wrapText="1"/>
    </xf>
    <xf numFmtId="0" fontId="3" fillId="0" borderId="0" xfId="1" applyAlignment="1">
      <alignment horizontal="left" vertical="center"/>
    </xf>
    <xf numFmtId="0" fontId="3" fillId="3" borderId="0" xfId="1" applyFill="1" applyAlignment="1">
      <alignment horizontal="left" vertical="center"/>
    </xf>
    <xf numFmtId="0" fontId="3" fillId="3" borderId="0" xfId="1" applyFill="1" applyAlignment="1">
      <alignment horizontal="left" vertical="top"/>
    </xf>
    <xf numFmtId="0" fontId="6" fillId="3" borderId="2" xfId="1" applyFont="1" applyFill="1" applyBorder="1" applyAlignment="1">
      <alignment vertical="top"/>
    </xf>
    <xf numFmtId="0" fontId="3" fillId="3" borderId="2" xfId="1" applyFill="1" applyBorder="1" applyAlignment="1">
      <alignment vertical="top" wrapText="1"/>
    </xf>
    <xf numFmtId="0" fontId="3" fillId="0" borderId="0" xfId="1" applyAlignment="1">
      <alignment horizontal="left" vertical="top"/>
    </xf>
    <xf numFmtId="0" fontId="7" fillId="3" borderId="0" xfId="2" applyFill="1" applyAlignment="1">
      <alignment horizontal="left" vertical="center"/>
    </xf>
    <xf numFmtId="0" fontId="3" fillId="3" borderId="0" xfId="1" applyFill="1" applyAlignment="1">
      <alignment vertical="center" wrapText="1"/>
    </xf>
    <xf numFmtId="0" fontId="3" fillId="3" borderId="0" xfId="1" applyFill="1" applyAlignment="1">
      <alignment vertical="top" wrapText="1"/>
    </xf>
    <xf numFmtId="0" fontId="3" fillId="3" borderId="0" xfId="1" applyFill="1"/>
    <xf numFmtId="0" fontId="3" fillId="3" borderId="0" xfId="1" applyFill="1" applyAlignment="1">
      <alignment horizontal="left" vertical="top" wrapText="1"/>
    </xf>
    <xf numFmtId="0" fontId="0" fillId="3" borderId="0" xfId="1" applyFont="1" applyFill="1" applyAlignment="1">
      <alignment horizontal="left" vertical="top" wrapText="1"/>
    </xf>
    <xf numFmtId="0" fontId="3" fillId="0" borderId="0" xfId="1"/>
    <xf numFmtId="0" fontId="3" fillId="3" borderId="0" xfId="1" applyFill="1" applyAlignment="1">
      <alignment horizontal="left" vertical="center" wrapText="1"/>
    </xf>
  </cellXfs>
  <cellStyles count="3">
    <cellStyle name="Köprü 2" xfId="2" xr:uid="{856AFCF8-8C4F-4428-AAF0-D0DB8713D78F}"/>
    <cellStyle name="Normal" xfId="0" builtinId="0"/>
    <cellStyle name="Normal 2" xfId="1" xr:uid="{B76578A4-F5C6-43B9-9F6F-C7495727B0D1}"/>
  </cellStyles>
  <dxfs count="47">
    <dxf>
      <numFmt numFmtId="165" formatCode="[$€-2]\ #,##0.00;[Red]\-[$€-2]\ #,##0.00"/>
    </dxf>
    <dxf>
      <font>
        <b/>
      </font>
      <numFmt numFmtId="166" formatCode="[$€-2]\ #,##0.0;[Red]\-[$€-2]\ #,##0.0"/>
      <fill>
        <patternFill patternType="none">
          <fgColor indexed="64"/>
          <bgColor auto="1"/>
        </patternFill>
      </fill>
      <alignment horizontal="right" vertical="center" textRotation="0" wrapText="0" indent="0" justifyLastLine="0" shrinkToFit="0" readingOrder="0"/>
      <protection locked="1" hidden="0"/>
    </dxf>
    <dxf>
      <font>
        <b/>
      </font>
      <numFmt numFmtId="166" formatCode="[$€-2]\ #,##0.0;[Red]\-[$€-2]\ #,##0.0"/>
      <fill>
        <patternFill patternType="none">
          <fgColor indexed="64"/>
          <bgColor auto="1"/>
        </patternFill>
      </fill>
      <alignment horizontal="right" vertical="center" textRotation="0" wrapText="0" indent="0" justifyLastLine="0" shrinkToFit="0" readingOrder="0"/>
      <protection locked="1" hidden="0"/>
    </dxf>
    <dxf>
      <numFmt numFmtId="165" formatCode="[$€-2]\ #,##0.00;[Red]\-[$€-2]\ #,##0.00"/>
      <fill>
        <patternFill patternType="none">
          <fgColor indexed="64"/>
          <bgColor auto="1"/>
        </patternFill>
      </fill>
      <alignment horizontal="right" vertical="center" textRotation="0" wrapText="0" indent="0" justifyLastLine="0" shrinkToFit="0" readingOrder="0"/>
      <protection locked="1" hidden="0"/>
    </dxf>
    <dxf>
      <fill>
        <patternFill patternType="none">
          <fgColor indexed="64"/>
          <bgColor auto="1"/>
        </patternFill>
      </fill>
      <alignment horizontal="center" vertical="center" textRotation="0" wrapText="0" indent="0" justifyLastLine="0" shrinkToFit="0" readingOrder="0"/>
      <protection locked="1" hidden="0"/>
    </dxf>
    <dxf>
      <fill>
        <patternFill patternType="none">
          <fgColor indexed="64"/>
          <bgColor auto="1"/>
        </patternFill>
      </fill>
      <alignment horizontal="center" vertical="center" textRotation="0" wrapText="0" indent="0" justifyLastLine="0" shrinkToFit="0" readingOrder="0"/>
      <protection locked="1" hidden="0"/>
    </dxf>
    <dxf>
      <fill>
        <patternFill patternType="none">
          <fgColor indexed="64"/>
          <bgColor auto="1"/>
        </patternFill>
      </fill>
      <alignment horizontal="general" vertical="center" textRotation="0" wrapText="0" indent="0" justifyLastLine="0" shrinkToFit="0" readingOrder="0"/>
      <protection locked="1" hidden="0"/>
    </dxf>
    <dxf>
      <fill>
        <patternFill patternType="none">
          <fgColor indexed="64"/>
          <bgColor auto="1"/>
        </patternFill>
      </fill>
      <alignment vertical="center" textRotation="0" wrapText="0" indent="0" justifyLastLine="0" shrinkToFit="0" readingOrder="0"/>
      <protection locked="1" hidden="0"/>
    </dxf>
    <dxf>
      <fill>
        <patternFill patternType="none">
          <fgColor indexed="64"/>
          <bgColor auto="1"/>
        </patternFill>
      </fill>
      <alignment horizontal="general" vertical="center" textRotation="0" wrapText="0" indent="0" justifyLastLine="0" shrinkToFit="0" readingOrder="0"/>
      <protection locked="1" hidden="0"/>
    </dxf>
    <dxf>
      <fill>
        <patternFill patternType="none">
          <fgColor indexed="64"/>
          <bgColor auto="1"/>
        </patternFill>
      </fill>
      <alignment vertical="center" textRotation="0" wrapText="0" indent="0" justifyLastLine="0" shrinkToFit="0" readingOrder="0"/>
      <protection locked="1" hidden="0"/>
    </dxf>
    <dxf>
      <fill>
        <patternFill patternType="none">
          <fgColor indexed="64"/>
          <bgColor auto="1"/>
        </patternFill>
      </fill>
      <alignment vertical="center" textRotation="0" wrapText="0" indent="0" justifyLastLine="0" shrinkToFit="0" readingOrder="0"/>
      <protection locked="1" hidden="0"/>
    </dxf>
    <dxf>
      <fill>
        <patternFill patternType="none">
          <fgColor indexed="64"/>
          <bgColor auto="1"/>
        </patternFill>
      </fill>
      <alignment vertical="center" textRotation="0" wrapText="0" indent="0" justifyLastLine="0" shrinkToFit="0" readingOrder="0"/>
      <protection locked="1" hidden="0"/>
    </dxf>
    <dxf>
      <numFmt numFmtId="19" formatCode="d/mm/yyyy"/>
      <fill>
        <patternFill patternType="none">
          <fgColor indexed="64"/>
          <bgColor auto="1"/>
        </patternFill>
      </fill>
      <alignment vertical="center" textRotation="0" wrapText="0" indent="0" justifyLastLine="0" shrinkToFit="0" readingOrder="0"/>
      <protection locked="1" hidden="0"/>
    </dxf>
    <dxf>
      <numFmt numFmtId="0" formatCode="General"/>
      <fill>
        <patternFill patternType="none">
          <fgColor indexed="64"/>
          <bgColor auto="1"/>
        </patternFill>
      </fill>
      <alignment horizontal="center" vertical="center" textRotation="0" wrapText="0" indent="0" justifyLastLine="0" shrinkToFit="0" readingOrder="0"/>
      <protection locked="1" hidden="0"/>
    </dxf>
    <dxf>
      <numFmt numFmtId="0" formatCode="General"/>
      <fill>
        <patternFill patternType="none">
          <fgColor indexed="64"/>
          <bgColor auto="1"/>
        </patternFill>
      </fill>
      <alignment horizontal="center" vertical="center" textRotation="0" wrapText="0" indent="0" justifyLastLine="0" shrinkToFit="0" readingOrder="0"/>
      <protection locked="1" hidden="0"/>
    </dxf>
    <dxf>
      <fill>
        <patternFill patternType="none">
          <fgColor indexed="64"/>
          <bgColor auto="1"/>
        </patternFill>
      </fill>
      <alignment vertical="center" textRotation="0" wrapText="0" indent="0" justifyLastLine="0" shrinkToFit="0" readingOrder="0"/>
      <protection locked="1" hidden="0"/>
    </dxf>
    <dxf>
      <fill>
        <patternFill patternType="none">
          <fgColor indexed="64"/>
          <bgColor auto="1"/>
        </patternFill>
      </fill>
      <alignment horizontal="center" vertical="center" textRotation="0" wrapText="1" indent="0" justifyLastLine="0" shrinkToFit="0" readingOrder="0"/>
      <protection locked="1" hidden="0"/>
    </dxf>
    <dxf>
      <border>
        <left style="thin">
          <color theme="9"/>
        </left>
      </border>
    </dxf>
    <dxf>
      <border>
        <left style="thin">
          <color theme="9"/>
        </left>
      </border>
    </dxf>
    <dxf>
      <fill>
        <patternFill>
          <bgColor theme="9" tint="0.79998168889431442"/>
        </patternFill>
      </fill>
      <border>
        <top style="thin">
          <color theme="9"/>
        </top>
      </border>
    </dxf>
    <dxf>
      <border>
        <top style="thin">
          <color theme="9"/>
        </top>
      </border>
    </dxf>
    <dxf>
      <font>
        <b/>
        <color theme="1"/>
      </font>
    </dxf>
    <dxf>
      <font>
        <b/>
        <color theme="1"/>
      </font>
    </dxf>
    <dxf>
      <font>
        <b/>
        <color theme="1"/>
      </font>
      <border>
        <top style="double">
          <color theme="9"/>
        </top>
      </border>
    </dxf>
    <dxf>
      <font>
        <b/>
        <color theme="0"/>
      </font>
      <fill>
        <patternFill patternType="solid">
          <fgColor theme="9"/>
          <bgColor theme="9"/>
        </patternFill>
      </fill>
    </dxf>
    <dxf>
      <font>
        <color theme="1"/>
      </font>
      <border>
        <left style="thin">
          <color theme="9"/>
        </left>
        <right style="thin">
          <color theme="9"/>
        </right>
        <top style="thin">
          <color theme="9"/>
        </top>
        <bottom style="thin">
          <color theme="9"/>
        </bottom>
      </border>
    </dxf>
    <dxf>
      <font>
        <b/>
        <color theme="1"/>
      </font>
      <border diagonalUp="0" diagonalDown="0">
        <left/>
        <right/>
        <top/>
        <bottom/>
        <vertical/>
        <horizontal/>
      </border>
    </dxf>
    <dxf>
      <font>
        <color theme="1"/>
      </font>
      <fill>
        <patternFill patternType="none">
          <bgColor auto="1"/>
        </patternFill>
      </fill>
      <border diagonalUp="0" diagonalDown="0">
        <left/>
        <right/>
        <top/>
        <bottom/>
        <vertical/>
        <horizontal/>
      </border>
    </dxf>
    <dxf>
      <fill>
        <patternFill patternType="none">
          <fgColor indexed="64"/>
          <bgColor auto="1"/>
        </patternFill>
      </fill>
      <border>
        <left style="thin">
          <color theme="5" tint="0.39994506668294322"/>
        </left>
        <right style="thin">
          <color theme="5" tint="0.39994506668294322"/>
        </right>
        <top style="thin">
          <color theme="5" tint="0.39994506668294322"/>
        </top>
        <bottom style="thin">
          <color theme="5" tint="0.39994506668294322"/>
        </bottom>
        <vertical style="thin">
          <color theme="5" tint="0.39994506668294322"/>
        </vertical>
        <horizontal style="thin">
          <color theme="5" tint="0.39994506668294322"/>
        </horizontal>
      </border>
    </dxf>
    <dxf>
      <fill>
        <patternFill patternType="solid">
          <fgColor theme="5" tint="0.79998168889431442"/>
          <bgColor theme="5" tint="0.79998168889431442"/>
        </patternFill>
      </fill>
    </dxf>
    <dxf>
      <font>
        <b/>
        <color theme="1"/>
      </font>
    </dxf>
    <dxf>
      <font>
        <b/>
        <color theme="1"/>
      </font>
    </dxf>
    <dxf>
      <font>
        <b/>
        <color theme="1"/>
      </font>
      <border>
        <top style="double">
          <color theme="5"/>
        </top>
      </border>
    </dxf>
    <dxf>
      <font>
        <b/>
        <color theme="0"/>
      </font>
      <fill>
        <patternFill patternType="solid">
          <fgColor theme="5"/>
          <bgColor theme="5"/>
        </patternFill>
      </fill>
    </dxf>
    <dxf>
      <font>
        <color theme="1"/>
      </font>
      <border>
        <left style="thin">
          <color theme="5" tint="0.39997558519241921"/>
        </left>
        <right style="thin">
          <color theme="5" tint="0.39997558519241921"/>
        </right>
        <top style="thin">
          <color theme="5" tint="0.39997558519241921"/>
        </top>
        <bottom style="thin">
          <color theme="5" tint="0.39997558519241921"/>
        </bottom>
        <horizontal style="thin">
          <color theme="5" tint="0.39997558519241921"/>
        </horizontal>
      </border>
    </dxf>
    <dxf>
      <font>
        <b/>
        <color theme="1"/>
      </font>
      <border diagonalUp="0" diagonalDown="0">
        <left/>
        <right/>
        <top/>
        <bottom/>
        <vertical/>
        <horizontal/>
      </border>
    </dxf>
    <dxf>
      <font>
        <color theme="3"/>
      </font>
      <fill>
        <patternFill patternType="none">
          <bgColor auto="1"/>
        </patternFill>
      </fill>
      <border diagonalUp="0" diagonalDown="0">
        <left/>
        <right/>
        <top/>
        <bottom/>
        <vertical/>
        <horizontal/>
      </border>
    </dxf>
    <dxf>
      <font>
        <b/>
        <color theme="1"/>
      </font>
      <border diagonalUp="0" diagonalDown="0">
        <left/>
        <right/>
        <top/>
        <bottom/>
        <vertical/>
        <horizontal/>
      </border>
    </dxf>
    <dxf>
      <font>
        <color theme="3"/>
      </font>
      <fill>
        <patternFill patternType="none">
          <bgColor auto="1"/>
        </patternFill>
      </fill>
      <border diagonalUp="0" diagonalDown="0">
        <left/>
        <right/>
        <top/>
        <bottom/>
        <vertical/>
        <horizontal/>
      </border>
    </dxf>
    <dxf>
      <border>
        <left style="thin">
          <color theme="4" tint="0.39994506668294322"/>
        </left>
        <right style="thin">
          <color theme="4" tint="0.39994506668294322"/>
        </right>
        <top style="thin">
          <color theme="4" tint="0.39994506668294322"/>
        </top>
        <bottom style="thin">
          <color theme="4" tint="0.39994506668294322"/>
        </bottom>
        <vertical style="thin">
          <color theme="4" tint="0.39994506668294322"/>
        </vertical>
        <horizontal style="thin">
          <color theme="4" tint="0.39994506668294322"/>
        </horizontal>
      </border>
    </dxf>
    <dxf>
      <fill>
        <patternFill patternType="none">
          <fgColor indexed="64"/>
          <bgColor auto="1"/>
        </patternFill>
      </fill>
      <border>
        <left style="thin">
          <color theme="4" tint="0.39994506668294322"/>
        </left>
        <right style="thin">
          <color theme="4" tint="0.39994506668294322"/>
        </right>
        <top style="thin">
          <color theme="4" tint="0.39994506668294322"/>
        </top>
        <bottom style="thin">
          <color theme="4" tint="0.39994506668294322"/>
        </bottom>
        <vertical style="thin">
          <color theme="4" tint="0.39994506668294322"/>
        </vertical>
        <horizontal style="thin">
          <color theme="4" tint="0.39994506668294322"/>
        </horizontal>
      </border>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s>
  <tableStyles count="6" defaultTableStyle="TableStyleMedium2" defaultPivotStyle="PivotStyleLight16">
    <tableStyle name="751_Custom" pivot="0" count="8" xr9:uid="{0673AF6F-3E49-4719-B866-AD239C803B36}">
      <tableStyleElement type="wholeTable" dxfId="46"/>
      <tableStyleElement type="headerRow" dxfId="45"/>
      <tableStyleElement type="totalRow" dxfId="44"/>
      <tableStyleElement type="firstColumn" dxfId="43"/>
      <tableStyleElement type="lastColumn" dxfId="42"/>
      <tableStyleElement type="firstRowStripe" dxfId="41"/>
      <tableStyleElement type="firstColumnStripe" dxfId="40"/>
      <tableStyleElement type="secondColumnStripe" dxfId="39"/>
    </tableStyle>
    <tableStyle name="751_Custom_Slicer" pivot="0" table="0" count="10" xr9:uid="{A5DBDC51-F403-48D5-8790-920A67656941}">
      <tableStyleElement type="wholeTable" dxfId="38"/>
      <tableStyleElement type="headerRow" dxfId="37"/>
    </tableStyle>
    <tableStyle name="751_Custom_Slicer 2" pivot="0" table="0" count="10" xr9:uid="{01379753-8EA7-4378-813C-37BD92BD0D6F}">
      <tableStyleElement type="wholeTable" dxfId="36"/>
      <tableStyleElement type="headerRow" dxfId="35"/>
    </tableStyle>
    <tableStyle name="751_orange" pivot="0" count="7" xr9:uid="{4ABE7E8D-C4F2-4CB9-B631-843AC7300448}">
      <tableStyleElement type="wholeTable" dxfId="34"/>
      <tableStyleElement type="headerRow" dxfId="33"/>
      <tableStyleElement type="totalRow" dxfId="32"/>
      <tableStyleElement type="firstColumn" dxfId="31"/>
      <tableStyleElement type="lastColumn" dxfId="30"/>
      <tableStyleElement type="firstRowStripe" dxfId="29"/>
      <tableStyleElement type="firstColumnStripe" dxfId="28"/>
    </tableStyle>
    <tableStyle name="SlicerStyleLight4 2" pivot="0" table="0" count="10" xr9:uid="{0E89E3A2-D7A9-4C0F-AE00-6A444323C459}">
      <tableStyleElement type="wholeTable" dxfId="27"/>
      <tableStyleElement type="headerRow" dxfId="26"/>
    </tableStyle>
    <tableStyle name="TableStyleLight14 2" pivot="0" count="9" xr9:uid="{C9398BFB-A990-481A-8123-1F75C7A4CFF1}">
      <tableStyleElement type="wholeTable" dxfId="25"/>
      <tableStyleElement type="headerRow" dxfId="24"/>
      <tableStyleElement type="totalRow" dxfId="23"/>
      <tableStyleElement type="firstColumn" dxfId="22"/>
      <tableStyleElement type="lastColumn" dxfId="21"/>
      <tableStyleElement type="firstRowStripe" dxfId="20"/>
      <tableStyleElement type="secondRowStripe" dxfId="19"/>
      <tableStyleElement type="firstColumnStripe" dxfId="18"/>
      <tableStyleElement type="secondColumnStripe" dxfId="17"/>
    </tableStyle>
  </tableStyles>
  <colors>
    <mruColors>
      <color rgb="FFFFCCCC"/>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7" tint="0.59999389629810485"/>
              <bgColor theme="9"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751_Custom_Slicer">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751_Custom_Slicer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ns0:Relationships xmlns:ns0="http://schemas.openxmlformats.org/package/2006/relationships"><ns0:Relationship Id="rId8" Type="http://schemas.openxmlformats.org/officeDocument/2006/relationships/externalLink" Target="externalLinks/externalLink4.xml" /><ns0:Relationship Id="rId13" Type="http://schemas.openxmlformats.org/officeDocument/2006/relationships/pivotCacheDefinition" Target="pivotCache/pivotCacheDefinition1.xml" /><ns0:Relationship Id="rId18" Type="http://schemas.microsoft.com/office/2007/relationships/slicerCache" Target="slicerCaches/slicerCache5.xml" /><ns0:Relationship Id="rId3" Type="http://schemas.openxmlformats.org/officeDocument/2006/relationships/worksheet" Target="worksheets/sheet3.xml" /><ns0:Relationship Id="rId21" Type="http://schemas.openxmlformats.org/officeDocument/2006/relationships/styles" Target="styles.xml" /><ns0:Relationship Id="rId7" Type="http://schemas.openxmlformats.org/officeDocument/2006/relationships/externalLink" Target="externalLinks/externalLink3.xml" /><ns0:Relationship Id="rId12" Type="http://schemas.openxmlformats.org/officeDocument/2006/relationships/externalLink" Target="externalLinks/externalLink8.xml" /><ns0:Relationship Id="rId17" Type="http://schemas.microsoft.com/office/2007/relationships/slicerCache" Target="slicerCaches/slicerCache4.xml" /><ns0:Relationship Id="rId2" Type="http://schemas.openxmlformats.org/officeDocument/2006/relationships/worksheet" Target="worksheets/sheet2.xml" /><ns0:Relationship Id="rId16" Type="http://schemas.microsoft.com/office/2007/relationships/slicerCache" Target="slicerCaches/slicerCache3.xml" /><ns0:Relationship Id="rId20" Type="http://schemas.openxmlformats.org/officeDocument/2006/relationships/theme" Target="theme/theme1.xml" /><ns0:Relationship Id="rId6" Type="http://schemas.openxmlformats.org/officeDocument/2006/relationships/externalLink" Target="externalLinks/externalLink2.xml" /><ns0:Relationship Id="rId11" Type="http://schemas.openxmlformats.org/officeDocument/2006/relationships/externalLink" Target="externalLinks/externalLink7.xml" /><ns0:Relationship Id="rId24" Type="http://schemas.openxmlformats.org/officeDocument/2006/relationships/customXml" Target="../customXml/item1.xml" /><ns0:Relationship Id="rId5" Type="http://schemas.openxmlformats.org/officeDocument/2006/relationships/externalLink" Target="externalLinks/externalLink1.xml" /><ns0:Relationship Id="rId15" Type="http://schemas.microsoft.com/office/2007/relationships/slicerCache" Target="slicerCaches/slicerCache2.xml" /><ns0:Relationship Id="rId23" Type="http://schemas.openxmlformats.org/officeDocument/2006/relationships/calcChain" Target="calcChain.xml" /><ns0:Relationship Id="rId10" Type="http://schemas.openxmlformats.org/officeDocument/2006/relationships/externalLink" Target="externalLinks/externalLink6.xml" /><ns0:Relationship Id="rId19" Type="http://schemas.microsoft.com/office/2007/relationships/slicerCache" Target="slicerCaches/slicerCache6.xml" /><ns0:Relationship Id="rId4" Type="http://schemas.openxmlformats.org/officeDocument/2006/relationships/worksheet" Target="worksheets/sheet4.xml" /><ns0:Relationship Id="rId9" Type="http://schemas.openxmlformats.org/officeDocument/2006/relationships/externalLink" Target="externalLinks/externalLink5.xml" /><ns0:Relationship Id="rId14" Type="http://schemas.microsoft.com/office/2007/relationships/slicerCache" Target="slicerCaches/slicerCache1.xml" /><ns0:Relationship Id="rId22" Type="http://schemas.openxmlformats.org/officeDocument/2006/relationships/sharedStrings" Target="sharedStrings.xml" /></ns0: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[-Tam_Ekran_Geçiş_Düğmesi_(Toggle).xlsm]Pvt_Siparişler!PivotTable4</c:name>
    <c:fmtId val="3"/>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tr-TR" b="1">
                <a:solidFill>
                  <a:schemeClr val="tx2"/>
                </a:solidFill>
              </a:rPr>
              <a:t>Ödeme</a:t>
            </a:r>
            <a:r>
              <a:rPr lang="tr-TR" b="1" baseline="0">
                <a:solidFill>
                  <a:schemeClr val="tx2"/>
                </a:solidFill>
              </a:rPr>
              <a:t> Tipinde Toplam Sipariş Tutarları</a:t>
            </a:r>
            <a:endParaRPr lang="en-US" b="1">
              <a:solidFill>
                <a:schemeClr val="tx2"/>
              </a:solidFill>
            </a:endParaRPr>
          </a:p>
        </c:rich>
      </c:tx>
      <c:layout>
        <c:manualLayout>
          <c:xMode val="edge"/>
          <c:yMode val="edge"/>
          <c:x val="0.12847758620829472"/>
          <c:y val="5.32163840707987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382272741199178E-2"/>
          <c:y val="0.22298622047244093"/>
          <c:w val="0.79867055771725037"/>
          <c:h val="0.66091830708661414"/>
        </c:manualLayout>
      </c:layout>
      <c:barChart>
        <c:barDir val="col"/>
        <c:grouping val="clustered"/>
        <c:varyColors val="0"/>
        <c:ser>
          <c:idx val="0"/>
          <c:order val="0"/>
          <c:tx>
            <c:strRef>
              <c:f>Pvt_Siparişler!$B$3</c:f>
              <c:strCache>
                <c:ptCount val="1"/>
                <c:pt idx="0">
                  <c:v>Total</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Pvt_Siparişler!$A$4:$A$7</c:f>
              <c:strCache>
                <c:ptCount val="3"/>
                <c:pt idx="0">
                  <c:v>Havale / EFT</c:v>
                </c:pt>
                <c:pt idx="1">
                  <c:v>Kredi Kartı</c:v>
                </c:pt>
                <c:pt idx="2">
                  <c:v>Nakit</c:v>
                </c:pt>
              </c:strCache>
            </c:strRef>
          </c:cat>
          <c:val>
            <c:numRef>
              <c:f>Pvt_Siparişler!$B$4:$B$7</c:f>
              <c:numCache>
                <c:formatCode>General</c:formatCode>
                <c:ptCount val="3"/>
                <c:pt idx="0">
                  <c:v>4846</c:v>
                </c:pt>
                <c:pt idx="1">
                  <c:v>4860</c:v>
                </c:pt>
                <c:pt idx="2">
                  <c:v>4984</c:v>
                </c:pt>
              </c:numCache>
            </c:numRef>
          </c:val>
          <c:extLst>
            <c:ext xmlns:c16="http://schemas.microsoft.com/office/drawing/2014/chart" uri="{C3380CC4-5D6E-409C-BE32-E72D297353CC}">
              <c16:uniqueId val="{00000000-02FF-4B58-8933-2A7B94BAE203}"/>
            </c:ext>
          </c:extLst>
        </c:ser>
        <c:dLbls>
          <c:showLegendKey val="0"/>
          <c:showVal val="0"/>
          <c:showCatName val="0"/>
          <c:showSerName val="0"/>
          <c:showPercent val="0"/>
          <c:showBubbleSize val="0"/>
        </c:dLbls>
        <c:gapWidth val="143"/>
        <c:axId val="571026048"/>
        <c:axId val="571028544"/>
      </c:barChart>
      <c:catAx>
        <c:axId val="571026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028544"/>
        <c:crosses val="autoZero"/>
        <c:auto val="1"/>
        <c:lblAlgn val="ctr"/>
        <c:lblOffset val="100"/>
        <c:noMultiLvlLbl val="0"/>
      </c:catAx>
      <c:valAx>
        <c:axId val="571028544"/>
        <c:scaling>
          <c:orientation val="minMax"/>
        </c:scaling>
        <c:delete val="1"/>
        <c:axPos val="l"/>
        <c:numFmt formatCode="General" sourceLinked="1"/>
        <c:majorTickMark val="none"/>
        <c:minorTickMark val="none"/>
        <c:tickLblPos val="nextTo"/>
        <c:crossAx val="571026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75000"/>
        </a:schemeClr>
      </a:solidFill>
      <a:round/>
    </a:ln>
    <a:effectLst>
      <a:outerShdw blurRad="508000" dist="38100" dir="5400000" algn="t" rotWithShape="0">
        <a:prstClr val="black">
          <a:alpha val="29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[-Tam_Ekran_Geçiş_Düğmesi_(Toggle).xlsm]Pvt_Siparişler!PivotTable5</c:name>
    <c:fmtId val="4"/>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tr-TR" b="1">
                <a:solidFill>
                  <a:schemeClr val="tx2"/>
                </a:solidFill>
              </a:rPr>
              <a:t>Kategori Bazlı Toplam Sipariş Tutarı</a:t>
            </a:r>
            <a:endParaRPr lang="en-US" b="1">
              <a:solidFill>
                <a:schemeClr val="tx2"/>
              </a:solidFill>
            </a:endParaRPr>
          </a:p>
        </c:rich>
      </c:tx>
      <c:layout>
        <c:manualLayout>
          <c:xMode val="edge"/>
          <c:yMode val="edge"/>
          <c:x val="0.1547196672837953"/>
          <c:y val="2.500000000000000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78126269781129"/>
          <c:y val="0.21141207349081365"/>
          <c:w val="0.65127313060762804"/>
          <c:h val="0.73719881889763783"/>
        </c:manualLayout>
      </c:layout>
      <c:barChart>
        <c:barDir val="bar"/>
        <c:grouping val="clustered"/>
        <c:varyColors val="0"/>
        <c:ser>
          <c:idx val="0"/>
          <c:order val="0"/>
          <c:tx>
            <c:strRef>
              <c:f>Pvt_Siparişler!$F$3</c:f>
              <c:strCache>
                <c:ptCount val="1"/>
                <c:pt idx="0">
                  <c:v>Total</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Pvt_Siparişler!$E$4:$E$8</c:f>
              <c:strCache>
                <c:ptCount val="4"/>
                <c:pt idx="0">
                  <c:v>Ahşap</c:v>
                </c:pt>
                <c:pt idx="1">
                  <c:v>Kağıt</c:v>
                </c:pt>
                <c:pt idx="2">
                  <c:v>Tekstil</c:v>
                </c:pt>
                <c:pt idx="3">
                  <c:v>Cam</c:v>
                </c:pt>
              </c:strCache>
            </c:strRef>
          </c:cat>
          <c:val>
            <c:numRef>
              <c:f>Pvt_Siparişler!$F$4:$F$8</c:f>
              <c:numCache>
                <c:formatCode>General</c:formatCode>
                <c:ptCount val="4"/>
                <c:pt idx="0">
                  <c:v>7320</c:v>
                </c:pt>
                <c:pt idx="1">
                  <c:v>4320</c:v>
                </c:pt>
                <c:pt idx="2">
                  <c:v>2050</c:v>
                </c:pt>
                <c:pt idx="3">
                  <c:v>1000</c:v>
                </c:pt>
              </c:numCache>
            </c:numRef>
          </c:val>
          <c:extLst>
            <c:ext xmlns:c16="http://schemas.microsoft.com/office/drawing/2014/chart" uri="{C3380CC4-5D6E-409C-BE32-E72D297353CC}">
              <c16:uniqueId val="{00000000-285D-402D-AB3B-1FC54E9FAB55}"/>
            </c:ext>
          </c:extLst>
        </c:ser>
        <c:dLbls>
          <c:showLegendKey val="0"/>
          <c:showVal val="0"/>
          <c:showCatName val="0"/>
          <c:showSerName val="0"/>
          <c:showPercent val="0"/>
          <c:showBubbleSize val="0"/>
        </c:dLbls>
        <c:gapWidth val="70"/>
        <c:axId val="1224458079"/>
        <c:axId val="1224447263"/>
      </c:barChart>
      <c:catAx>
        <c:axId val="122445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447263"/>
        <c:crosses val="autoZero"/>
        <c:auto val="1"/>
        <c:lblAlgn val="ctr"/>
        <c:lblOffset val="100"/>
        <c:noMultiLvlLbl val="0"/>
      </c:catAx>
      <c:valAx>
        <c:axId val="1224447263"/>
        <c:scaling>
          <c:orientation val="minMax"/>
        </c:scaling>
        <c:delete val="1"/>
        <c:axPos val="b"/>
        <c:numFmt formatCode="General" sourceLinked="1"/>
        <c:majorTickMark val="none"/>
        <c:minorTickMark val="none"/>
        <c:tickLblPos val="nextTo"/>
        <c:crossAx val="1224458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75000"/>
        </a:schemeClr>
      </a:solidFill>
      <a:round/>
    </a:ln>
    <a:effectLst>
      <a:outerShdw blurRad="508000" dist="38100" dir="5400000" algn="t" rotWithShape="0">
        <a:prstClr val="black">
          <a:alpha val="29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[-Tam_Ekran_Geçiş_Düğmesi_(Toggle).xlsm]Pvt_Siparişler!PivotTable6</c:name>
    <c:fmtId val="8"/>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tr-TR" b="1">
                <a:solidFill>
                  <a:schemeClr val="tx2"/>
                </a:solidFill>
              </a:rPr>
              <a:t>Toplam</a:t>
            </a:r>
            <a:r>
              <a:rPr lang="tr-TR" b="1" baseline="0">
                <a:solidFill>
                  <a:schemeClr val="tx2"/>
                </a:solidFill>
              </a:rPr>
              <a:t> Sipariş Tutarı &amp; Sayısı</a:t>
            </a:r>
            <a:endParaRPr lang="tr-TR" b="1">
              <a:solidFill>
                <a:schemeClr val="tx2"/>
              </a:solidFill>
            </a:endParaRPr>
          </a:p>
        </c:rich>
      </c:tx>
      <c:layout>
        <c:manualLayout>
          <c:xMode val="edge"/>
          <c:yMode val="edge"/>
          <c:x val="0.33483216422004136"/>
          <c:y val="4.74896479922771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34925" cap="rnd">
            <a:solidFill>
              <a:schemeClr val="accent1"/>
            </a:solidFill>
            <a:round/>
          </a:ln>
          <a:effectLst>
            <a:outerShdw blurRad="63500" dist="38100" dir="4920000" algn="t" rotWithShape="0">
              <a:schemeClr val="accent1">
                <a:lumMod val="50000"/>
                <a:alpha val="36000"/>
              </a:schemeClr>
            </a:outerShdw>
          </a:effectLst>
        </c:spPr>
        <c:marker>
          <c:symbol val="circle"/>
          <c:size val="5"/>
          <c:spPr>
            <a:solidFill>
              <a:schemeClr val="accent1">
                <a:lumMod val="75000"/>
              </a:schemeClr>
            </a:solidFill>
            <a:ln w="9525">
              <a:solidFill>
                <a:schemeClr val="accent1"/>
              </a:solidFill>
            </a:ln>
            <a:effectLst>
              <a:outerShdw blurRad="63500" dist="38100" dir="4920000" algn="t" rotWithShape="0">
                <a:schemeClr val="accent1">
                  <a:lumMod val="50000"/>
                  <a:alpha val="36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4925" cap="rnd">
            <a:solidFill>
              <a:schemeClr val="accent1"/>
            </a:solidFill>
            <a:round/>
          </a:ln>
          <a:effectLst>
            <a:outerShdw blurRad="63500" dist="38100" dir="4920000" algn="t" rotWithShape="0">
              <a:schemeClr val="accent1">
                <a:lumMod val="50000"/>
                <a:alpha val="36000"/>
              </a:schemeClr>
            </a:outerShdw>
          </a:effectLst>
        </c:spPr>
        <c:marker>
          <c:symbol val="circle"/>
          <c:size val="5"/>
          <c:spPr>
            <a:solidFill>
              <a:schemeClr val="accent1">
                <a:lumMod val="75000"/>
              </a:schemeClr>
            </a:solidFill>
            <a:ln w="9525">
              <a:solidFill>
                <a:schemeClr val="accent1"/>
              </a:solidFill>
            </a:ln>
            <a:effectLst>
              <a:outerShdw blurRad="63500" dist="38100" dir="4920000" algn="t" rotWithShape="0">
                <a:schemeClr val="accent1">
                  <a:lumMod val="50000"/>
                  <a:alpha val="36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lumMod val="75000"/>
              </a:schemeClr>
            </a:solidFill>
            <a:round/>
          </a:ln>
          <a:effectLst/>
        </c:spPr>
        <c:marker>
          <c:symbol val="circle"/>
          <c:size val="5"/>
          <c:spPr>
            <a:solidFill>
              <a:schemeClr val="accent6">
                <a:lumMod val="50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20000"/>
              <a:lumOff val="80000"/>
            </a:schemeClr>
          </a:solidFill>
          <a:ln w="34925">
            <a:noFill/>
          </a:ln>
          <a:effectLst>
            <a:outerShdw blurRad="63500" dist="38100" dir="4920000" algn="t" rotWithShape="0">
              <a:schemeClr val="accent1">
                <a:lumMod val="50000"/>
                <a:alpha val="36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891186194410665E-2"/>
          <c:y val="0.34779494422369489"/>
          <c:w val="0.90799611120885482"/>
          <c:h val="0.3995384095237523"/>
        </c:manualLayout>
      </c:layout>
      <c:barChart>
        <c:barDir val="col"/>
        <c:grouping val="clustered"/>
        <c:varyColors val="0"/>
        <c:ser>
          <c:idx val="0"/>
          <c:order val="0"/>
          <c:tx>
            <c:strRef>
              <c:f>Pvt_Siparişler!$J$3</c:f>
              <c:strCache>
                <c:ptCount val="1"/>
                <c:pt idx="0">
                  <c:v>Toplam Sipariş Tutarı</c:v>
                </c:pt>
              </c:strCache>
            </c:strRef>
          </c:tx>
          <c:spPr>
            <a:solidFill>
              <a:schemeClr val="accent6">
                <a:lumMod val="20000"/>
                <a:lumOff val="80000"/>
              </a:schemeClr>
            </a:solidFill>
            <a:ln w="34925">
              <a:noFill/>
            </a:ln>
            <a:effectLst>
              <a:outerShdw blurRad="63500" dist="38100" dir="4920000" algn="t" rotWithShape="0">
                <a:schemeClr val="accent1">
                  <a:lumMod val="50000"/>
                  <a:alpha val="36000"/>
                </a:schemeClr>
              </a:outerShdw>
            </a:effectLst>
          </c:spPr>
          <c:invertIfNegative val="0"/>
          <c:cat>
            <c:multiLvlStrRef>
              <c:f>Pvt_Siparişler!$I$4:$I$24</c:f>
              <c:multiLvlStrCache>
                <c:ptCount val="18"/>
                <c:lvl>
                  <c:pt idx="0">
                    <c:v>Oca</c:v>
                  </c:pt>
                  <c:pt idx="1">
                    <c:v>Şub</c:v>
                  </c:pt>
                  <c:pt idx="2">
                    <c:v>Mar</c:v>
                  </c:pt>
                  <c:pt idx="3">
                    <c:v>Nis</c:v>
                  </c:pt>
                  <c:pt idx="4">
                    <c:v>May</c:v>
                  </c:pt>
                  <c:pt idx="5">
                    <c:v>Haz</c:v>
                  </c:pt>
                  <c:pt idx="6">
                    <c:v>Tem</c:v>
                  </c:pt>
                  <c:pt idx="7">
                    <c:v>Ağu</c:v>
                  </c:pt>
                  <c:pt idx="8">
                    <c:v>Eyl</c:v>
                  </c:pt>
                  <c:pt idx="9">
                    <c:v>Eki</c:v>
                  </c:pt>
                  <c:pt idx="10">
                    <c:v>Kas</c:v>
                  </c:pt>
                  <c:pt idx="11">
                    <c:v>Ara</c:v>
                  </c:pt>
                  <c:pt idx="12">
                    <c:v>Şub</c:v>
                  </c:pt>
                  <c:pt idx="13">
                    <c:v>Mar</c:v>
                  </c:pt>
                  <c:pt idx="14">
                    <c:v>Nis</c:v>
                  </c:pt>
                  <c:pt idx="15">
                    <c:v>May</c:v>
                  </c:pt>
                  <c:pt idx="16">
                    <c:v>Haz</c:v>
                  </c:pt>
                  <c:pt idx="17">
                    <c:v>Eki</c:v>
                  </c:pt>
                </c:lvl>
                <c:lvl>
                  <c:pt idx="0">
                    <c:v>2022</c:v>
                  </c:pt>
                  <c:pt idx="12">
                    <c:v>2021</c:v>
                  </c:pt>
                </c:lvl>
              </c:multiLvlStrCache>
            </c:multiLvlStrRef>
          </c:cat>
          <c:val>
            <c:numRef>
              <c:f>Pvt_Siparişler!$J$4:$J$24</c:f>
              <c:numCache>
                <c:formatCode>General</c:formatCode>
                <c:ptCount val="18"/>
                <c:pt idx="0">
                  <c:v>860</c:v>
                </c:pt>
                <c:pt idx="1">
                  <c:v>3110</c:v>
                </c:pt>
                <c:pt idx="2">
                  <c:v>820</c:v>
                </c:pt>
                <c:pt idx="3">
                  <c:v>430</c:v>
                </c:pt>
                <c:pt idx="4">
                  <c:v>1220</c:v>
                </c:pt>
                <c:pt idx="5">
                  <c:v>494</c:v>
                </c:pt>
                <c:pt idx="6">
                  <c:v>2080</c:v>
                </c:pt>
                <c:pt idx="7">
                  <c:v>1920</c:v>
                </c:pt>
                <c:pt idx="8">
                  <c:v>60</c:v>
                </c:pt>
                <c:pt idx="9">
                  <c:v>1310</c:v>
                </c:pt>
                <c:pt idx="10">
                  <c:v>768</c:v>
                </c:pt>
                <c:pt idx="11">
                  <c:v>900</c:v>
                </c:pt>
                <c:pt idx="12">
                  <c:v>70</c:v>
                </c:pt>
                <c:pt idx="13">
                  <c:v>120</c:v>
                </c:pt>
                <c:pt idx="14">
                  <c:v>68</c:v>
                </c:pt>
                <c:pt idx="15">
                  <c:v>60</c:v>
                </c:pt>
                <c:pt idx="16">
                  <c:v>300</c:v>
                </c:pt>
                <c:pt idx="17">
                  <c:v>100</c:v>
                </c:pt>
              </c:numCache>
            </c:numRef>
          </c:val>
          <c:extLst>
            <c:ext xmlns:c16="http://schemas.microsoft.com/office/drawing/2014/chart" uri="{C3380CC4-5D6E-409C-BE32-E72D297353CC}">
              <c16:uniqueId val="{00000001-0C05-4308-9963-D70D7D09E2CA}"/>
            </c:ext>
          </c:extLst>
        </c:ser>
        <c:dLbls>
          <c:showLegendKey val="0"/>
          <c:showVal val="0"/>
          <c:showCatName val="0"/>
          <c:showSerName val="0"/>
          <c:showPercent val="0"/>
          <c:showBubbleSize val="0"/>
        </c:dLbls>
        <c:gapWidth val="118"/>
        <c:axId val="1538726495"/>
        <c:axId val="1538727327"/>
      </c:barChart>
      <c:lineChart>
        <c:grouping val="stacked"/>
        <c:varyColors val="0"/>
        <c:ser>
          <c:idx val="1"/>
          <c:order val="1"/>
          <c:tx>
            <c:strRef>
              <c:f>Pvt_Siparişler!$K$3</c:f>
              <c:strCache>
                <c:ptCount val="1"/>
                <c:pt idx="0">
                  <c:v>Toplam Sipariş Sayısı</c:v>
                </c:pt>
              </c:strCache>
            </c:strRef>
          </c:tx>
          <c:spPr>
            <a:ln w="28575" cap="rnd">
              <a:solidFill>
                <a:schemeClr val="accent6">
                  <a:lumMod val="75000"/>
                </a:schemeClr>
              </a:solidFill>
              <a:round/>
            </a:ln>
            <a:effectLst/>
          </c:spPr>
          <c:marker>
            <c:symbol val="circle"/>
            <c:size val="5"/>
            <c:spPr>
              <a:solidFill>
                <a:schemeClr val="accent6">
                  <a:lumMod val="50000"/>
                </a:schemeClr>
              </a:solidFill>
              <a:ln w="9525">
                <a:solidFill>
                  <a:schemeClr val="accent6">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Pvt_Siparişler!$I$4:$I$24</c:f>
              <c:multiLvlStrCache>
                <c:ptCount val="18"/>
                <c:lvl>
                  <c:pt idx="0">
                    <c:v>Oca</c:v>
                  </c:pt>
                  <c:pt idx="1">
                    <c:v>Şub</c:v>
                  </c:pt>
                  <c:pt idx="2">
                    <c:v>Mar</c:v>
                  </c:pt>
                  <c:pt idx="3">
                    <c:v>Nis</c:v>
                  </c:pt>
                  <c:pt idx="4">
                    <c:v>May</c:v>
                  </c:pt>
                  <c:pt idx="5">
                    <c:v>Haz</c:v>
                  </c:pt>
                  <c:pt idx="6">
                    <c:v>Tem</c:v>
                  </c:pt>
                  <c:pt idx="7">
                    <c:v>Ağu</c:v>
                  </c:pt>
                  <c:pt idx="8">
                    <c:v>Eyl</c:v>
                  </c:pt>
                  <c:pt idx="9">
                    <c:v>Eki</c:v>
                  </c:pt>
                  <c:pt idx="10">
                    <c:v>Kas</c:v>
                  </c:pt>
                  <c:pt idx="11">
                    <c:v>Ara</c:v>
                  </c:pt>
                  <c:pt idx="12">
                    <c:v>Şub</c:v>
                  </c:pt>
                  <c:pt idx="13">
                    <c:v>Mar</c:v>
                  </c:pt>
                  <c:pt idx="14">
                    <c:v>Nis</c:v>
                  </c:pt>
                  <c:pt idx="15">
                    <c:v>May</c:v>
                  </c:pt>
                  <c:pt idx="16">
                    <c:v>Haz</c:v>
                  </c:pt>
                  <c:pt idx="17">
                    <c:v>Eki</c:v>
                  </c:pt>
                </c:lvl>
                <c:lvl>
                  <c:pt idx="0">
                    <c:v>2022</c:v>
                  </c:pt>
                  <c:pt idx="12">
                    <c:v>2021</c:v>
                  </c:pt>
                </c:lvl>
              </c:multiLvlStrCache>
            </c:multiLvlStrRef>
          </c:cat>
          <c:val>
            <c:numRef>
              <c:f>Pvt_Siparişler!$K$4:$K$24</c:f>
              <c:numCache>
                <c:formatCode>General</c:formatCode>
                <c:ptCount val="18"/>
                <c:pt idx="0">
                  <c:v>5</c:v>
                </c:pt>
                <c:pt idx="1">
                  <c:v>10</c:v>
                </c:pt>
                <c:pt idx="2">
                  <c:v>3</c:v>
                </c:pt>
                <c:pt idx="3">
                  <c:v>3</c:v>
                </c:pt>
                <c:pt idx="4">
                  <c:v>6</c:v>
                </c:pt>
                <c:pt idx="5">
                  <c:v>4</c:v>
                </c:pt>
                <c:pt idx="6">
                  <c:v>6</c:v>
                </c:pt>
                <c:pt idx="7">
                  <c:v>8</c:v>
                </c:pt>
                <c:pt idx="8">
                  <c:v>1</c:v>
                </c:pt>
                <c:pt idx="9">
                  <c:v>3</c:v>
                </c:pt>
                <c:pt idx="10">
                  <c:v>5</c:v>
                </c:pt>
                <c:pt idx="11">
                  <c:v>3</c:v>
                </c:pt>
                <c:pt idx="12">
                  <c:v>1</c:v>
                </c:pt>
                <c:pt idx="13">
                  <c:v>1</c:v>
                </c:pt>
                <c:pt idx="14">
                  <c:v>1</c:v>
                </c:pt>
                <c:pt idx="15">
                  <c:v>1</c:v>
                </c:pt>
                <c:pt idx="16">
                  <c:v>1</c:v>
                </c:pt>
                <c:pt idx="17">
                  <c:v>1</c:v>
                </c:pt>
              </c:numCache>
            </c:numRef>
          </c:val>
          <c:smooth val="1"/>
          <c:extLst>
            <c:ext xmlns:c16="http://schemas.microsoft.com/office/drawing/2014/chart" uri="{C3380CC4-5D6E-409C-BE32-E72D297353CC}">
              <c16:uniqueId val="{00000000-0C05-4308-9963-D70D7D09E2CA}"/>
            </c:ext>
          </c:extLst>
        </c:ser>
        <c:dLbls>
          <c:showLegendKey val="0"/>
          <c:showVal val="0"/>
          <c:showCatName val="0"/>
          <c:showSerName val="0"/>
          <c:showPercent val="0"/>
          <c:showBubbleSize val="0"/>
        </c:dLbls>
        <c:marker val="1"/>
        <c:smooth val="0"/>
        <c:axId val="772095744"/>
        <c:axId val="772111552"/>
      </c:lineChart>
      <c:catAx>
        <c:axId val="1538726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727327"/>
        <c:crosses val="autoZero"/>
        <c:auto val="1"/>
        <c:lblAlgn val="ctr"/>
        <c:lblOffset val="100"/>
        <c:noMultiLvlLbl val="0"/>
      </c:catAx>
      <c:valAx>
        <c:axId val="1538727327"/>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726495"/>
        <c:crosses val="autoZero"/>
        <c:crossBetween val="between"/>
      </c:valAx>
      <c:valAx>
        <c:axId val="772111552"/>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095744"/>
        <c:crosses val="max"/>
        <c:crossBetween val="between"/>
      </c:valAx>
      <c:catAx>
        <c:axId val="772095744"/>
        <c:scaling>
          <c:orientation val="minMax"/>
        </c:scaling>
        <c:delete val="1"/>
        <c:axPos val="b"/>
        <c:numFmt formatCode="General" sourceLinked="1"/>
        <c:majorTickMark val="out"/>
        <c:minorTickMark val="none"/>
        <c:tickLblPos val="nextTo"/>
        <c:crossAx val="772111552"/>
        <c:crosses val="autoZero"/>
        <c:auto val="1"/>
        <c:lblAlgn val="ctr"/>
        <c:lblOffset val="100"/>
        <c:noMultiLvlLbl val="0"/>
      </c:catAx>
      <c:spPr>
        <a:noFill/>
        <a:ln>
          <a:noFill/>
        </a:ln>
        <a:effectLst/>
      </c:spPr>
    </c:plotArea>
    <c:legend>
      <c:legendPos val="t"/>
      <c:layout>
        <c:manualLayout>
          <c:xMode val="edge"/>
          <c:yMode val="edge"/>
          <c:x val="0.23003955944066673"/>
          <c:y val="0.16968674542095113"/>
          <c:w val="0.57529569442117612"/>
          <c:h val="7.025098425196850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75000"/>
        </a:schemeClr>
      </a:solidFill>
      <a:round/>
    </a:ln>
    <a:effectLst>
      <a:outerShdw blurRad="508000" dist="38100" dir="5400000" algn="t" rotWithShape="0">
        <a:prstClr val="black">
          <a:alpha val="29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[-Tam_Ekran_Geçiş_Düğmesi_(Toggle).xlsm]Pvt_Siparişler!PivotTable1</c:name>
    <c:fmtId val="18"/>
  </c:pivotSource>
  <c:chart>
    <c:title>
      <c:tx>
        <c:rich>
          <a:bodyPr rot="0" spcFirstLastPara="1" vertOverflow="ellipsis" vert="horz" wrap="square" anchor="ctr" anchorCtr="1"/>
          <a:lstStyle/>
          <a:p>
            <a:pPr algn="ctr" rtl="0">
              <a:defRPr lang="tr-TR" sz="1400" b="1" i="0" u="none" strike="noStrike" kern="1200" spc="0" baseline="0">
                <a:solidFill>
                  <a:schemeClr val="tx2"/>
                </a:solidFill>
                <a:latin typeface="+mn-lt"/>
                <a:ea typeface="+mn-ea"/>
                <a:cs typeface="+mn-cs"/>
              </a:defRPr>
            </a:pPr>
            <a:r>
              <a:rPr lang="tr-TR" sz="1400" b="1" i="0" u="none" strike="noStrike" kern="1200" spc="0" baseline="0">
                <a:solidFill>
                  <a:schemeClr val="tx2"/>
                </a:solidFill>
                <a:latin typeface="+mn-lt"/>
                <a:ea typeface="+mn-ea"/>
                <a:cs typeface="+mn-cs"/>
              </a:rPr>
              <a:t>Sipariş Durumları - Sipariş Sayısı</a:t>
            </a:r>
          </a:p>
        </c:rich>
      </c:tx>
      <c:layout>
        <c:manualLayout>
          <c:xMode val="edge"/>
          <c:yMode val="edge"/>
          <c:x val="0.13694489021432538"/>
          <c:y val="3.6701869523086961E-2"/>
        </c:manualLayout>
      </c:layout>
      <c:overlay val="0"/>
      <c:spPr>
        <a:noFill/>
        <a:ln>
          <a:noFill/>
        </a:ln>
        <a:effectLst/>
      </c:spPr>
      <c:txPr>
        <a:bodyPr rot="0" spcFirstLastPara="1" vertOverflow="ellipsis" vert="horz" wrap="square" anchor="ctr" anchorCtr="1"/>
        <a:lstStyle/>
        <a:p>
          <a:pPr algn="ctr" rtl="0">
            <a:defRPr lang="tr-T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6">
              <a:lumMod val="20000"/>
              <a:lumOff val="80000"/>
            </a:schemeClr>
          </a:solidFill>
          <a:ln w="19050">
            <a:solidFill>
              <a:schemeClr val="lt1"/>
            </a:solidFill>
          </a:ln>
          <a:effectLst/>
        </c:spPr>
      </c:pivotFmt>
      <c:pivotFmt>
        <c:idx val="2"/>
        <c:spPr>
          <a:solidFill>
            <a:schemeClr val="accent6">
              <a:lumMod val="40000"/>
              <a:lumOff val="60000"/>
            </a:schemeClr>
          </a:solidFill>
          <a:ln w="19050">
            <a:solidFill>
              <a:schemeClr val="lt1"/>
            </a:solidFill>
          </a:ln>
          <a:effectLst/>
        </c:spPr>
      </c:pivotFmt>
      <c:pivotFmt>
        <c:idx val="3"/>
        <c:spPr>
          <a:solidFill>
            <a:schemeClr val="accent6">
              <a:lumMod val="60000"/>
              <a:lumOff val="40000"/>
            </a:schemeClr>
          </a:solidFill>
          <a:ln w="19050">
            <a:solidFill>
              <a:schemeClr val="lt1"/>
            </a:solidFill>
          </a:ln>
          <a:effectLst/>
        </c:spPr>
      </c:pivotFmt>
      <c:pivotFmt>
        <c:idx val="4"/>
        <c:spPr>
          <a:solidFill>
            <a:schemeClr val="accent6">
              <a:lumMod val="7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pivotFmt>
      <c:pivotFmt>
        <c:idx val="7"/>
        <c:spPr>
          <a:solidFill>
            <a:schemeClr val="accent6">
              <a:lumMod val="20000"/>
              <a:lumOff val="80000"/>
            </a:schemeClr>
          </a:solidFill>
          <a:ln w="19050">
            <a:solidFill>
              <a:schemeClr val="lt1"/>
            </a:solidFill>
          </a:ln>
          <a:effectLst/>
        </c:spPr>
      </c:pivotFmt>
      <c:pivotFmt>
        <c:idx val="8"/>
        <c:spPr>
          <a:solidFill>
            <a:schemeClr val="accent6">
              <a:lumMod val="40000"/>
              <a:lumOff val="60000"/>
            </a:schemeClr>
          </a:solidFill>
          <a:ln w="19050">
            <a:solidFill>
              <a:schemeClr val="lt1"/>
            </a:solidFill>
          </a:ln>
          <a:effectLst/>
        </c:spPr>
      </c:pivotFmt>
      <c:pivotFmt>
        <c:idx val="9"/>
        <c:spPr>
          <a:solidFill>
            <a:schemeClr val="accent6">
              <a:lumMod val="60000"/>
              <a:lumOff val="4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chemeClr val="accent6">
              <a:lumMod val="75000"/>
            </a:schemeClr>
          </a:solidFill>
          <a:ln w="19050">
            <a:solidFill>
              <a:schemeClr val="lt1"/>
            </a:solidFill>
          </a:ln>
          <a:effectLst/>
        </c:spPr>
      </c:pivotFmt>
      <c:pivotFmt>
        <c:idx val="12"/>
        <c:spPr>
          <a:solidFill>
            <a:schemeClr val="accent6">
              <a:lumMod val="20000"/>
              <a:lumOff val="80000"/>
            </a:schemeClr>
          </a:solidFill>
          <a:ln w="19050">
            <a:solidFill>
              <a:schemeClr val="lt1"/>
            </a:solidFill>
          </a:ln>
          <a:effectLst/>
        </c:spPr>
      </c:pivotFmt>
      <c:pivotFmt>
        <c:idx val="13"/>
        <c:spPr>
          <a:solidFill>
            <a:schemeClr val="accent6">
              <a:lumMod val="40000"/>
              <a:lumOff val="60000"/>
            </a:schemeClr>
          </a:solidFill>
          <a:ln w="19050">
            <a:solidFill>
              <a:schemeClr val="lt1"/>
            </a:solidFill>
          </a:ln>
          <a:effectLst/>
        </c:spPr>
      </c:pivotFmt>
      <c:pivotFmt>
        <c:idx val="14"/>
        <c:spPr>
          <a:solidFill>
            <a:schemeClr val="accent6">
              <a:lumMod val="60000"/>
              <a:lumOff val="40000"/>
            </a:schemeClr>
          </a:solidFill>
          <a:ln w="19050">
            <a:solidFill>
              <a:schemeClr val="lt1"/>
            </a:solidFill>
          </a:ln>
          <a:effectLst/>
        </c:spPr>
      </c:pivotFmt>
      <c:pivotFmt>
        <c:idx val="15"/>
        <c:spPr>
          <a:solidFill>
            <a:schemeClr val="accent6">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542184368624465"/>
          <c:y val="0.21783316822202686"/>
          <c:w val="0.39123775926450144"/>
          <c:h val="0.68688236608060382"/>
        </c:manualLayout>
      </c:layout>
      <c:barChart>
        <c:barDir val="bar"/>
        <c:grouping val="clustered"/>
        <c:varyColors val="0"/>
        <c:ser>
          <c:idx val="0"/>
          <c:order val="0"/>
          <c:tx>
            <c:strRef>
              <c:f>Pvt_Siparişler!$P$3</c:f>
              <c:strCache>
                <c:ptCount val="1"/>
                <c:pt idx="0">
                  <c:v>Total</c:v>
                </c:pt>
              </c:strCache>
            </c:strRef>
          </c:tx>
          <c:spPr>
            <a:solidFill>
              <a:schemeClr val="accent6">
                <a:lumMod val="40000"/>
                <a:lumOff val="60000"/>
              </a:schemeClr>
            </a:solidFill>
            <a:ln w="19050">
              <a:solidFill>
                <a:schemeClr val="lt1"/>
              </a:solidFill>
            </a:ln>
            <a:effectLst/>
          </c:spPr>
          <c:invertIfNegative val="0"/>
          <c:cat>
            <c:strRef>
              <c:f>Pvt_Siparişler!$O$4:$O$8</c:f>
              <c:strCache>
                <c:ptCount val="4"/>
                <c:pt idx="0">
                  <c:v>Beklemede</c:v>
                </c:pt>
                <c:pt idx="1">
                  <c:v>Tamamlandı</c:v>
                </c:pt>
                <c:pt idx="2">
                  <c:v>Teslim Edildi,Ödeme Alınacak</c:v>
                </c:pt>
                <c:pt idx="3">
                  <c:v>Teslim Edildi</c:v>
                </c:pt>
              </c:strCache>
            </c:strRef>
          </c:cat>
          <c:val>
            <c:numRef>
              <c:f>Pvt_Siparişler!$P$4:$P$8</c:f>
              <c:numCache>
                <c:formatCode>General</c:formatCode>
                <c:ptCount val="4"/>
                <c:pt idx="0">
                  <c:v>14</c:v>
                </c:pt>
                <c:pt idx="1">
                  <c:v>20</c:v>
                </c:pt>
                <c:pt idx="2">
                  <c:v>22</c:v>
                </c:pt>
                <c:pt idx="3">
                  <c:v>7</c:v>
                </c:pt>
              </c:numCache>
            </c:numRef>
          </c:val>
          <c:extLst>
            <c:ext xmlns:c16="http://schemas.microsoft.com/office/drawing/2014/chart" uri="{C3380CC4-5D6E-409C-BE32-E72D297353CC}">
              <c16:uniqueId val="{00000009-8A9F-49D1-86FD-290FE1DD0DC2}"/>
            </c:ext>
          </c:extLst>
        </c:ser>
        <c:dLbls>
          <c:showLegendKey val="0"/>
          <c:showVal val="0"/>
          <c:showCatName val="0"/>
          <c:showSerName val="0"/>
          <c:showPercent val="0"/>
          <c:showBubbleSize val="0"/>
        </c:dLbls>
        <c:gapWidth val="100"/>
        <c:axId val="766599216"/>
        <c:axId val="766598384"/>
      </c:barChart>
      <c:valAx>
        <c:axId val="7665983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599216"/>
        <c:crosses val="autoZero"/>
        <c:crossBetween val="between"/>
      </c:valAx>
      <c:catAx>
        <c:axId val="7665992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59838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75000"/>
        </a:schemeClr>
      </a:solidFill>
      <a:round/>
    </a:ln>
    <a:effectLst>
      <a:outerShdw blurRad="508000" dist="38100" dir="5400000" algn="t" rotWithShape="0">
        <a:prstClr val="black">
          <a:alpha val="29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tr-TR" sz="1400" b="1" i="0" u="none" strike="noStrike" kern="1200" spc="0" baseline="0">
                <a:solidFill>
                  <a:schemeClr val="tx2"/>
                </a:solidFill>
                <a:latin typeface="+mn-lt"/>
                <a:ea typeface="+mn-ea"/>
                <a:cs typeface="+mn-cs"/>
              </a:defRPr>
            </a:pPr>
            <a:r>
              <a:rPr lang="tr-TR" sz="1400" b="1" i="0" u="none" strike="noStrike" kern="1200" spc="0" baseline="0">
                <a:solidFill>
                  <a:schemeClr val="tx2"/>
                </a:solidFill>
                <a:latin typeface="+mn-lt"/>
                <a:ea typeface="+mn-ea"/>
                <a:cs typeface="+mn-cs"/>
              </a:rPr>
              <a:t>Tahsilat / Kalan</a:t>
            </a:r>
          </a:p>
        </c:rich>
      </c:tx>
      <c:overlay val="0"/>
      <c:spPr>
        <a:noFill/>
        <a:ln>
          <a:noFill/>
        </a:ln>
        <a:effectLst/>
      </c:spPr>
      <c:txPr>
        <a:bodyPr rot="0" spcFirstLastPara="1" vertOverflow="ellipsis" vert="horz" wrap="square" anchor="ctr" anchorCtr="1"/>
        <a:lstStyle/>
        <a:p>
          <a:pPr algn="ctr" rtl="0">
            <a:defRPr lang="tr-TR" sz="1400" b="1" i="0" u="none" strike="noStrike" kern="1200" spc="0" baseline="0">
              <a:solidFill>
                <a:schemeClr val="tx2"/>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E643-4CDD-9B04-B6A8F3A1AC93}"/>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E643-4CDD-9B04-B6A8F3A1AC93}"/>
              </c:ext>
            </c:extLst>
          </c:dPt>
          <c:dLbls>
            <c:dLbl>
              <c:idx val="0"/>
              <c:layout>
                <c:manualLayout>
                  <c:x val="0.17499999999999999"/>
                  <c:y val="-3.7037037037037035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E643-4CDD-9B04-B6A8F3A1AC93}"/>
                </c:ext>
              </c:extLst>
            </c:dLbl>
            <c:dLbl>
              <c:idx val="1"/>
              <c:layout>
                <c:manualLayout>
                  <c:x val="-4.4444444444444446E-2"/>
                  <c:y val="-1.8518518518518517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E643-4CDD-9B04-B6A8F3A1AC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(Pvt_Siparişler!$AG$3,Pvt_Siparişler!$AG$5)</c:f>
              <c:strCache>
                <c:ptCount val="2"/>
                <c:pt idx="0">
                  <c:v>Tahsilat</c:v>
                </c:pt>
                <c:pt idx="1">
                  <c:v>Kalan</c:v>
                </c:pt>
              </c:strCache>
            </c:strRef>
          </c:cat>
          <c:val>
            <c:numRef>
              <c:f>(Pvt_Siparişler!$AH$3,Pvt_Siparişler!$AH$5)</c:f>
              <c:numCache>
                <c:formatCode>General</c:formatCode>
                <c:ptCount val="2"/>
                <c:pt idx="0">
                  <c:v>10638</c:v>
                </c:pt>
                <c:pt idx="1">
                  <c:v>4052</c:v>
                </c:pt>
              </c:numCache>
            </c:numRef>
          </c:val>
          <c:extLst>
            <c:ext xmlns:c16="http://schemas.microsoft.com/office/drawing/2014/chart" uri="{C3380CC4-5D6E-409C-BE32-E72D297353CC}">
              <c16:uniqueId val="{00000004-E643-4CDD-9B04-B6A8F3A1AC93}"/>
            </c:ext>
          </c:extLst>
        </c:ser>
        <c:dLbls>
          <c:showLegendKey val="0"/>
          <c:showVal val="0"/>
          <c:showCatName val="0"/>
          <c:showSerName val="0"/>
          <c:showPercent val="0"/>
          <c:showBubbleSize val="0"/>
          <c:showLeaderLines val="1"/>
        </c:dLbls>
        <c:firstSliceAng val="0"/>
        <c:holeSize val="49"/>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75000"/>
        </a:schemeClr>
      </a:solidFill>
      <a:round/>
    </a:ln>
    <a:effectLst>
      <a:outerShdw blurRad="508000" dist="38100" dir="5400000" algn="t" rotWithShape="0">
        <a:prstClr val="black">
          <a:alpha val="3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chart" Target="../charts/chart3.xml"/><Relationship Id="rId7" Type="http://schemas.openxmlformats.org/officeDocument/2006/relationships/image" Target="../media/image15.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4.png"/><Relationship Id="rId11" Type="http://schemas.openxmlformats.org/officeDocument/2006/relationships/chart" Target="../charts/chart5.xml"/><Relationship Id="rId5" Type="http://schemas.openxmlformats.org/officeDocument/2006/relationships/image" Target="../media/image13.svg"/><Relationship Id="rId10" Type="http://schemas.openxmlformats.org/officeDocument/2006/relationships/chart" Target="../charts/chart4.xml"/><Relationship Id="rId4" Type="http://schemas.openxmlformats.org/officeDocument/2006/relationships/image" Target="../media/image12.png"/><Relationship Id="rId9" Type="http://schemas.openxmlformats.org/officeDocument/2006/relationships/image" Target="../media/image17.svg"/></Relationships>
</file>

<file path=xl/drawings/drawing2.xml><?xml version="1.0" encoding="utf-8"?>
<xdr:wsDr xmlns:xdr="http://schemas.openxmlformats.org/drawingml/2006/spreadsheetDrawing" xmlns:a="http://schemas.openxmlformats.org/drawingml/2006/main">
  <xdr:twoCellAnchor>
    <xdr:from>
      <xdr:col>1</xdr:col>
      <xdr:colOff>0</xdr:colOff>
      <xdr:row>6</xdr:row>
      <xdr:rowOff>0</xdr:rowOff>
    </xdr:from>
    <xdr:to>
      <xdr:col>11</xdr:col>
      <xdr:colOff>436788</xdr:colOff>
      <xdr:row>14</xdr:row>
      <xdr:rowOff>54428</xdr:rowOff>
    </xdr:to>
    <xdr:graphicFrame macro="">
      <xdr:nvGraphicFramePr>
        <xdr:cNvPr id="2" name="Grafik 1">
          <a:extLst>
            <a:ext uri="{FF2B5EF4-FFF2-40B4-BE49-F238E27FC236}">
              <a16:creationId xmlns:a16="http://schemas.microsoft.com/office/drawing/2014/main" id="{5761A193-70EB-4870-88EC-3E8452784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xdr:colOff>
      <xdr:row>16</xdr:row>
      <xdr:rowOff>0</xdr:rowOff>
    </xdr:from>
    <xdr:to>
      <xdr:col>12</xdr:col>
      <xdr:colOff>0</xdr:colOff>
      <xdr:row>24</xdr:row>
      <xdr:rowOff>0</xdr:rowOff>
    </xdr:to>
    <xdr:graphicFrame macro="">
      <xdr:nvGraphicFramePr>
        <xdr:cNvPr id="3" name="Grafik 2">
          <a:extLst>
            <a:ext uri="{FF2B5EF4-FFF2-40B4-BE49-F238E27FC236}">
              <a16:creationId xmlns:a16="http://schemas.microsoft.com/office/drawing/2014/main" id="{9CE1B23A-F2E9-4FFF-BE6D-7B4A64E7D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42939</xdr:colOff>
      <xdr:row>1</xdr:row>
      <xdr:rowOff>35677</xdr:rowOff>
    </xdr:from>
    <xdr:to>
      <xdr:col>11</xdr:col>
      <xdr:colOff>424309</xdr:colOff>
      <xdr:row>3</xdr:row>
      <xdr:rowOff>315737</xdr:rowOff>
    </xdr:to>
    <mc:AlternateContent xmlns:mc="http://schemas.openxmlformats.org/markup-compatibility/2006" xmlns:a14="http://schemas.microsoft.com/office/drawing/2010/main">
      <mc:Choice Requires="a14">
        <xdr:graphicFrame macro="">
          <xdr:nvGraphicFramePr>
            <xdr:cNvPr id="5" name="Sipariş Durumu">
              <a:extLst>
                <a:ext uri="{FF2B5EF4-FFF2-40B4-BE49-F238E27FC236}">
                  <a16:creationId xmlns:a16="http://schemas.microsoft.com/office/drawing/2014/main" id="{BB37ED54-806C-4235-B983-14F933950524}"/>
                </a:ext>
              </a:extLst>
            </xdr:cNvPr>
            <xdr:cNvGraphicFramePr/>
          </xdr:nvGraphicFramePr>
          <xdr:xfrm>
            <a:off x="0" y="0"/>
            <a:ext cx="0" cy="0"/>
          </xdr:xfrm>
          <a:graphic>
            <a:graphicData uri="http://schemas.microsoft.com/office/drawing/2010/slicer">
              <sle:slicer xmlns:sle="http://schemas.microsoft.com/office/drawing/2010/slicer" name="Sipariş Durumu"/>
            </a:graphicData>
          </a:graphic>
        </xdr:graphicFrame>
      </mc:Choice>
      <mc:Fallback xmlns="">
        <xdr:sp macro="" textlink="">
          <xdr:nvSpPr>
            <xdr:cNvPr id="0" name=""/>
            <xdr:cNvSpPr>
              <a:spLocks noTextEdit="1"/>
            </xdr:cNvSpPr>
          </xdr:nvSpPr>
          <xdr:spPr>
            <a:xfrm>
              <a:off x="2690889" y="292852"/>
              <a:ext cx="2619745" cy="1137310"/>
            </a:xfrm>
            <a:prstGeom prst="rect">
              <a:avLst/>
            </a:prstGeom>
            <a:solidFill>
              <a:prstClr val="white"/>
            </a:solidFill>
            <a:ln w="1">
              <a:solidFill>
                <a:prstClr val="green"/>
              </a:solidFill>
            </a:ln>
          </xdr:spPr>
          <xdr:txBody>
            <a:bodyPr vertOverflow="clip" horzOverflow="clip"/>
            <a:lstStyle/>
            <a:p>
              <a:r>
                <a:rPr lang="tr-TR" sz="1100"/>
                <a:t>Bu şekil bir dilimleyiciyi gösterir. Dilimleyiciler Excel 2010 ve sonraki sürümlerde desteklenir.
Şekil daha önceki bir Excel sürümünde değiştirildiyse veya çalışma kitabı Excel 2003 veya önceki sürümünde kaydedildiyse, dilimleyici kullanılamaz.</a:t>
              </a:r>
            </a:p>
          </xdr:txBody>
        </xdr:sp>
      </mc:Fallback>
    </mc:AlternateContent>
    <xdr:clientData/>
  </xdr:twoCellAnchor>
  <xdr:twoCellAnchor>
    <xdr:from>
      <xdr:col>13</xdr:col>
      <xdr:colOff>1</xdr:colOff>
      <xdr:row>6</xdr:row>
      <xdr:rowOff>0</xdr:rowOff>
    </xdr:from>
    <xdr:to>
      <xdr:col>33</xdr:col>
      <xdr:colOff>2968</xdr:colOff>
      <xdr:row>14</xdr:row>
      <xdr:rowOff>119743</xdr:rowOff>
    </xdr:to>
    <xdr:graphicFrame macro="">
      <xdr:nvGraphicFramePr>
        <xdr:cNvPr id="7" name="Grafik 6">
          <a:extLst>
            <a:ext uri="{FF2B5EF4-FFF2-40B4-BE49-F238E27FC236}">
              <a16:creationId xmlns:a16="http://schemas.microsoft.com/office/drawing/2014/main" id="{601B02C6-66E1-4E48-8244-3AF7FFF72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163286</xdr:colOff>
      <xdr:row>1</xdr:row>
      <xdr:rowOff>35677</xdr:rowOff>
    </xdr:from>
    <xdr:to>
      <xdr:col>5</xdr:col>
      <xdr:colOff>228231</xdr:colOff>
      <xdr:row>4</xdr:row>
      <xdr:rowOff>233475</xdr:rowOff>
    </xdr:to>
    <mc:AlternateContent xmlns:mc="http://schemas.openxmlformats.org/markup-compatibility/2006" xmlns:a14="http://schemas.microsoft.com/office/drawing/2010/main">
      <mc:Choice Requires="a14">
        <xdr:graphicFrame macro="">
          <xdr:nvGraphicFramePr>
            <xdr:cNvPr id="8" name="Ödeme Tipi">
              <a:extLst>
                <a:ext uri="{FF2B5EF4-FFF2-40B4-BE49-F238E27FC236}">
                  <a16:creationId xmlns:a16="http://schemas.microsoft.com/office/drawing/2014/main" id="{F9127C14-EC18-4681-8516-FD8AFB3E473A}"/>
                </a:ext>
              </a:extLst>
            </xdr:cNvPr>
            <xdr:cNvGraphicFramePr/>
          </xdr:nvGraphicFramePr>
          <xdr:xfrm>
            <a:off x="0" y="0"/>
            <a:ext cx="0" cy="0"/>
          </xdr:xfrm>
          <a:graphic>
            <a:graphicData uri="http://schemas.microsoft.com/office/drawing/2010/slicer">
              <sle:slicer xmlns:sle="http://schemas.microsoft.com/office/drawing/2010/slicer" name="Ödeme Tipi"/>
            </a:graphicData>
          </a:graphic>
        </xdr:graphicFrame>
      </mc:Choice>
      <mc:Fallback xmlns="">
        <xdr:sp macro="" textlink="">
          <xdr:nvSpPr>
            <xdr:cNvPr id="0" name=""/>
            <xdr:cNvSpPr>
              <a:spLocks noTextEdit="1"/>
            </xdr:cNvSpPr>
          </xdr:nvSpPr>
          <xdr:spPr>
            <a:xfrm>
              <a:off x="572861" y="292852"/>
              <a:ext cx="1855645" cy="1436048"/>
            </a:xfrm>
            <a:prstGeom prst="rect">
              <a:avLst/>
            </a:prstGeom>
            <a:solidFill>
              <a:prstClr val="white"/>
            </a:solidFill>
            <a:ln w="1">
              <a:solidFill>
                <a:prstClr val="green"/>
              </a:solidFill>
            </a:ln>
          </xdr:spPr>
          <xdr:txBody>
            <a:bodyPr vertOverflow="clip" horzOverflow="clip"/>
            <a:lstStyle/>
            <a:p>
              <a:r>
                <a:rPr lang="tr-TR" sz="1100"/>
                <a:t>Bu şekil bir dilimleyiciyi gösterir. Dilimleyiciler Excel 2010 ve sonraki sürümlerde desteklenir.
Şekil daha önceki bir Excel sürümünde değiştirildiyse veya çalışma kitabı Excel 2003 veya önceki sürümünde kaydedildiyse, dilimleyici kullanılamaz.</a:t>
              </a:r>
            </a:p>
          </xdr:txBody>
        </xdr:sp>
      </mc:Fallback>
    </mc:AlternateContent>
    <xdr:clientData/>
  </xdr:twoCellAnchor>
  <xdr:twoCellAnchor editAs="oneCell">
    <xdr:from>
      <xdr:col>13</xdr:col>
      <xdr:colOff>108387</xdr:colOff>
      <xdr:row>1</xdr:row>
      <xdr:rowOff>35677</xdr:rowOff>
    </xdr:from>
    <xdr:to>
      <xdr:col>17</xdr:col>
      <xdr:colOff>304800</xdr:colOff>
      <xdr:row>5</xdr:row>
      <xdr:rowOff>45573</xdr:rowOff>
    </xdr:to>
    <mc:AlternateContent xmlns:mc="http://schemas.openxmlformats.org/markup-compatibility/2006" xmlns:a14="http://schemas.microsoft.com/office/drawing/2010/main">
      <mc:Choice Requires="a14">
        <xdr:graphicFrame macro="">
          <xdr:nvGraphicFramePr>
            <xdr:cNvPr id="9" name="Kategori">
              <a:extLst>
                <a:ext uri="{FF2B5EF4-FFF2-40B4-BE49-F238E27FC236}">
                  <a16:creationId xmlns:a16="http://schemas.microsoft.com/office/drawing/2014/main" id="{0136DA9F-680E-416C-8715-794B77E083FD}"/>
                </a:ext>
              </a:extLst>
            </xdr:cNvPr>
            <xdr:cNvGraphicFramePr/>
          </xdr:nvGraphicFramePr>
          <xdr:xfrm>
            <a:off x="0" y="0"/>
            <a:ext cx="0" cy="0"/>
          </xdr:xfrm>
          <a:graphic>
            <a:graphicData uri="http://schemas.microsoft.com/office/drawing/2010/slicer">
              <sle:slicer xmlns:sle="http://schemas.microsoft.com/office/drawing/2010/slicer" name="Kategori"/>
            </a:graphicData>
          </a:graphic>
        </xdr:graphicFrame>
      </mc:Choice>
      <mc:Fallback xmlns="">
        <xdr:sp macro="" textlink="">
          <xdr:nvSpPr>
            <xdr:cNvPr id="0" name=""/>
            <xdr:cNvSpPr>
              <a:spLocks noTextEdit="1"/>
            </xdr:cNvSpPr>
          </xdr:nvSpPr>
          <xdr:spPr>
            <a:xfrm>
              <a:off x="6051987" y="296934"/>
              <a:ext cx="1981670" cy="16318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35</xdr:col>
      <xdr:colOff>221115</xdr:colOff>
      <xdr:row>6</xdr:row>
      <xdr:rowOff>5937</xdr:rowOff>
    </xdr:from>
    <xdr:to>
      <xdr:col>42</xdr:col>
      <xdr:colOff>222474</xdr:colOff>
      <xdr:row>7</xdr:row>
      <xdr:rowOff>5937</xdr:rowOff>
    </xdr:to>
    <xdr:sp macro="" textlink="">
      <xdr:nvSpPr>
        <xdr:cNvPr id="12" name="Metin kutusu 11">
          <a:extLst>
            <a:ext uri="{FF2B5EF4-FFF2-40B4-BE49-F238E27FC236}">
              <a16:creationId xmlns:a16="http://schemas.microsoft.com/office/drawing/2014/main" id="{7BEC340D-62E4-43B4-BF40-762182C02654}"/>
            </a:ext>
          </a:extLst>
        </xdr:cNvPr>
        <xdr:cNvSpPr txBox="1"/>
      </xdr:nvSpPr>
      <xdr:spPr>
        <a:xfrm>
          <a:off x="15710497" y="2181101"/>
          <a:ext cx="3104777" cy="387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b="1">
              <a:solidFill>
                <a:schemeClr val="tx2"/>
              </a:solidFill>
            </a:rPr>
            <a:t>Toplam Sipariş Tutarı</a:t>
          </a:r>
        </a:p>
      </xdr:txBody>
    </xdr:sp>
    <xdr:clientData/>
  </xdr:twoCellAnchor>
  <xdr:twoCellAnchor>
    <xdr:from>
      <xdr:col>35</xdr:col>
      <xdr:colOff>221115</xdr:colOff>
      <xdr:row>7</xdr:row>
      <xdr:rowOff>93022</xdr:rowOff>
    </xdr:from>
    <xdr:to>
      <xdr:col>42</xdr:col>
      <xdr:colOff>232001</xdr:colOff>
      <xdr:row>10</xdr:row>
      <xdr:rowOff>30022</xdr:rowOff>
    </xdr:to>
    <xdr:grpSp>
      <xdr:nvGrpSpPr>
        <xdr:cNvPr id="26" name="Grup 25">
          <a:extLst>
            <a:ext uri="{FF2B5EF4-FFF2-40B4-BE49-F238E27FC236}">
              <a16:creationId xmlns:a16="http://schemas.microsoft.com/office/drawing/2014/main" id="{6EAE4CEE-5198-42D5-BE36-1877F748D389}"/>
            </a:ext>
          </a:extLst>
        </xdr:cNvPr>
        <xdr:cNvGrpSpPr/>
      </xdr:nvGrpSpPr>
      <xdr:grpSpPr>
        <a:xfrm>
          <a:off x="15983629" y="2738251"/>
          <a:ext cx="3135086" cy="1080000"/>
          <a:chOff x="161925" y="2362200"/>
          <a:chExt cx="3428536" cy="1080000"/>
        </a:xfrm>
        <a:effectLst>
          <a:outerShdw blurRad="508000" dist="38100" dir="5400000" algn="t" rotWithShape="0">
            <a:prstClr val="black">
              <a:alpha val="30000"/>
            </a:prstClr>
          </a:outerShdw>
        </a:effectLst>
      </xdr:grpSpPr>
      <xdr:sp macro="" textlink="">
        <xdr:nvSpPr>
          <xdr:cNvPr id="18" name="Dikdörtgen: Köşeleri Yuvarlatılmış 17">
            <a:extLst>
              <a:ext uri="{FF2B5EF4-FFF2-40B4-BE49-F238E27FC236}">
                <a16:creationId xmlns:a16="http://schemas.microsoft.com/office/drawing/2014/main" id="{FDEB48F8-AC55-4329-978E-76CD29C83988}"/>
              </a:ext>
            </a:extLst>
          </xdr:cNvPr>
          <xdr:cNvSpPr/>
        </xdr:nvSpPr>
        <xdr:spPr>
          <a:xfrm>
            <a:off x="161925" y="2362200"/>
            <a:ext cx="990600" cy="1080000"/>
          </a:xfrm>
          <a:prstGeom prst="roundRect">
            <a:avLst>
              <a:gd name="adj" fmla="val 9803"/>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0" i="0" u="none" strike="noStrike">
              <a:solidFill>
                <a:schemeClr val="accent6">
                  <a:lumMod val="75000"/>
                </a:schemeClr>
              </a:solidFill>
              <a:latin typeface="Montserrat"/>
            </a:endParaRPr>
          </a:p>
        </xdr:txBody>
      </xdr:sp>
      <xdr:sp macro="" textlink="Pvt_Siparişler!$T$1">
        <xdr:nvSpPr>
          <xdr:cNvPr id="11" name="Dikdörtgen: Köşeleri Yuvarlatılmış 10">
            <a:extLst>
              <a:ext uri="{FF2B5EF4-FFF2-40B4-BE49-F238E27FC236}">
                <a16:creationId xmlns:a16="http://schemas.microsoft.com/office/drawing/2014/main" id="{6EF94417-B2E8-4086-934E-079A423187C4}"/>
              </a:ext>
            </a:extLst>
          </xdr:cNvPr>
          <xdr:cNvSpPr/>
        </xdr:nvSpPr>
        <xdr:spPr>
          <a:xfrm>
            <a:off x="920002" y="2362200"/>
            <a:ext cx="2670459" cy="1080000"/>
          </a:xfrm>
          <a:prstGeom prst="roundRect">
            <a:avLst>
              <a:gd name="adj" fmla="val 9803"/>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7FB29E8-F14A-426C-8207-B31E4463E8F5}" type="TxLink">
              <a:rPr lang="en-US" sz="3200" b="1" i="0" u="none" strike="noStrike">
                <a:solidFill>
                  <a:schemeClr val="accent6">
                    <a:lumMod val="75000"/>
                  </a:schemeClr>
                </a:solidFill>
                <a:latin typeface="Montserrat"/>
              </a:rPr>
              <a:pPr algn="ctr"/>
              <a:t>€ 14.690</a:t>
            </a:fld>
            <a:endParaRPr lang="tr-TR" sz="3200" b="1">
              <a:solidFill>
                <a:schemeClr val="accent6">
                  <a:lumMod val="75000"/>
                </a:schemeClr>
              </a:solidFill>
            </a:endParaRPr>
          </a:p>
        </xdr:txBody>
      </xdr:sp>
      <xdr:pic>
        <xdr:nvPicPr>
          <xdr:cNvPr id="17" name="Grafik 16" descr="Madeni paralar düz dolguyla">
            <a:extLst>
              <a:ext uri="{FF2B5EF4-FFF2-40B4-BE49-F238E27FC236}">
                <a16:creationId xmlns:a16="http://schemas.microsoft.com/office/drawing/2014/main" id="{8CDB0533-DB24-4653-A5A3-89B6CA743E2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a:stretch/>
        </xdr:blipFill>
        <xdr:spPr>
          <a:xfrm>
            <a:off x="471487" y="2709862"/>
            <a:ext cx="371476" cy="371476"/>
          </a:xfrm>
          <a:prstGeom prst="rect">
            <a:avLst/>
          </a:prstGeom>
        </xdr:spPr>
      </xdr:pic>
    </xdr:grpSp>
    <xdr:clientData/>
  </xdr:twoCellAnchor>
  <xdr:twoCellAnchor>
    <xdr:from>
      <xdr:col>35</xdr:col>
      <xdr:colOff>215071</xdr:colOff>
      <xdr:row>20</xdr:row>
      <xdr:rowOff>86098</xdr:rowOff>
    </xdr:from>
    <xdr:to>
      <xdr:col>42</xdr:col>
      <xdr:colOff>257094</xdr:colOff>
      <xdr:row>21</xdr:row>
      <xdr:rowOff>86097</xdr:rowOff>
    </xdr:to>
    <xdr:sp macro="" textlink="">
      <xdr:nvSpPr>
        <xdr:cNvPr id="14" name="Metin kutusu 13">
          <a:extLst>
            <a:ext uri="{FF2B5EF4-FFF2-40B4-BE49-F238E27FC236}">
              <a16:creationId xmlns:a16="http://schemas.microsoft.com/office/drawing/2014/main" id="{5FA35C66-D3DD-47C4-84B0-E85C4C34387B}"/>
            </a:ext>
          </a:extLst>
        </xdr:cNvPr>
        <xdr:cNvSpPr txBox="1"/>
      </xdr:nvSpPr>
      <xdr:spPr>
        <a:xfrm>
          <a:off x="15704453" y="7692243"/>
          <a:ext cx="3145441" cy="387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b="1">
              <a:solidFill>
                <a:schemeClr val="tx2"/>
              </a:solidFill>
            </a:rPr>
            <a:t>Toplam Sipariş Sayısı</a:t>
          </a:r>
        </a:p>
      </xdr:txBody>
    </xdr:sp>
    <xdr:clientData/>
  </xdr:twoCellAnchor>
  <xdr:twoCellAnchor>
    <xdr:from>
      <xdr:col>35</xdr:col>
      <xdr:colOff>196021</xdr:colOff>
      <xdr:row>21</xdr:row>
      <xdr:rowOff>86096</xdr:rowOff>
    </xdr:from>
    <xdr:to>
      <xdr:col>42</xdr:col>
      <xdr:colOff>257095</xdr:colOff>
      <xdr:row>24</xdr:row>
      <xdr:rowOff>23096</xdr:rowOff>
    </xdr:to>
    <xdr:grpSp>
      <xdr:nvGrpSpPr>
        <xdr:cNvPr id="27" name="Grup 26">
          <a:extLst>
            <a:ext uri="{FF2B5EF4-FFF2-40B4-BE49-F238E27FC236}">
              <a16:creationId xmlns:a16="http://schemas.microsoft.com/office/drawing/2014/main" id="{9E1A297E-EADE-43B4-BD4E-2B1C528D3A5F}"/>
            </a:ext>
          </a:extLst>
        </xdr:cNvPr>
        <xdr:cNvGrpSpPr/>
      </xdr:nvGrpSpPr>
      <xdr:grpSpPr>
        <a:xfrm>
          <a:off x="15958535" y="8065325"/>
          <a:ext cx="3185274" cy="1080000"/>
          <a:chOff x="4724400" y="2514600"/>
          <a:chExt cx="3194799" cy="1080000"/>
        </a:xfrm>
        <a:effectLst>
          <a:outerShdw blurRad="508000" dist="38100" dir="5400000" algn="t" rotWithShape="0">
            <a:prstClr val="black">
              <a:alpha val="30000"/>
            </a:prstClr>
          </a:outerShdw>
        </a:effectLst>
      </xdr:grpSpPr>
      <xdr:sp macro="" textlink="Pvt_Siparişler!X1">
        <xdr:nvSpPr>
          <xdr:cNvPr id="13" name="Dikdörtgen: Köşeleri Yuvarlatılmış 12">
            <a:extLst>
              <a:ext uri="{FF2B5EF4-FFF2-40B4-BE49-F238E27FC236}">
                <a16:creationId xmlns:a16="http://schemas.microsoft.com/office/drawing/2014/main" id="{8557D634-43B6-4FD5-8C9D-691B6E4D2119}"/>
              </a:ext>
            </a:extLst>
          </xdr:cNvPr>
          <xdr:cNvSpPr/>
        </xdr:nvSpPr>
        <xdr:spPr>
          <a:xfrm>
            <a:off x="5543551" y="2514600"/>
            <a:ext cx="2375648" cy="1080000"/>
          </a:xfrm>
          <a:prstGeom prst="roundRect">
            <a:avLst>
              <a:gd name="adj" fmla="val 9803"/>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23F9A46-8CA5-423D-8E06-DA154C03DBFC}" type="TxLink">
              <a:rPr lang="en-US" sz="3200" b="1" i="0" u="none" strike="noStrike">
                <a:solidFill>
                  <a:schemeClr val="accent6">
                    <a:lumMod val="75000"/>
                  </a:schemeClr>
                </a:solidFill>
                <a:latin typeface="Montserrat"/>
                <a:ea typeface="+mn-ea"/>
                <a:cs typeface="+mn-cs"/>
              </a:rPr>
              <a:pPr marL="0" indent="0" algn="ctr"/>
              <a:t>63</a:t>
            </a:fld>
            <a:endParaRPr lang="tr-TR" sz="3200" b="1" i="0" u="none" strike="noStrike">
              <a:solidFill>
                <a:schemeClr val="accent6">
                  <a:lumMod val="75000"/>
                </a:schemeClr>
              </a:solidFill>
              <a:latin typeface="Montserrat"/>
              <a:ea typeface="+mn-ea"/>
              <a:cs typeface="+mn-cs"/>
            </a:endParaRPr>
          </a:p>
        </xdr:txBody>
      </xdr:sp>
      <xdr:sp macro="" textlink="">
        <xdr:nvSpPr>
          <xdr:cNvPr id="22" name="Dikdörtgen: Köşeleri Yuvarlatılmış 21">
            <a:extLst>
              <a:ext uri="{FF2B5EF4-FFF2-40B4-BE49-F238E27FC236}">
                <a16:creationId xmlns:a16="http://schemas.microsoft.com/office/drawing/2014/main" id="{ED9136CB-E5F5-494A-9471-DC94F52A0DFB}"/>
              </a:ext>
            </a:extLst>
          </xdr:cNvPr>
          <xdr:cNvSpPr/>
        </xdr:nvSpPr>
        <xdr:spPr>
          <a:xfrm>
            <a:off x="4724400" y="2514600"/>
            <a:ext cx="990600" cy="1080000"/>
          </a:xfrm>
          <a:prstGeom prst="roundRect">
            <a:avLst>
              <a:gd name="adj" fmla="val 9803"/>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0" i="0" u="none" strike="noStrike">
              <a:solidFill>
                <a:schemeClr val="accent6">
                  <a:lumMod val="75000"/>
                </a:schemeClr>
              </a:solidFill>
              <a:latin typeface="Montserrat"/>
            </a:endParaRPr>
          </a:p>
        </xdr:txBody>
      </xdr:sp>
      <xdr:pic>
        <xdr:nvPicPr>
          <xdr:cNvPr id="23" name="Grafik 22" descr="Alışveriş sepeti düz dolguyla">
            <a:extLst>
              <a:ext uri="{FF2B5EF4-FFF2-40B4-BE49-F238E27FC236}">
                <a16:creationId xmlns:a16="http://schemas.microsoft.com/office/drawing/2014/main" id="{3BAC1732-DC86-422C-BD7F-BC9C28477D7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a:stretch/>
        </xdr:blipFill>
        <xdr:spPr>
          <a:xfrm>
            <a:off x="5033962" y="2873148"/>
            <a:ext cx="371476" cy="371476"/>
          </a:xfrm>
          <a:prstGeom prst="rect">
            <a:avLst/>
          </a:prstGeom>
        </xdr:spPr>
      </xdr:pic>
    </xdr:grpSp>
    <xdr:clientData/>
  </xdr:twoCellAnchor>
  <xdr:twoCellAnchor>
    <xdr:from>
      <xdr:col>35</xdr:col>
      <xdr:colOff>141513</xdr:colOff>
      <xdr:row>13</xdr:row>
      <xdr:rowOff>21772</xdr:rowOff>
    </xdr:from>
    <xdr:to>
      <xdr:col>42</xdr:col>
      <xdr:colOff>273503</xdr:colOff>
      <xdr:row>14</xdr:row>
      <xdr:rowOff>21772</xdr:rowOff>
    </xdr:to>
    <xdr:sp macro="" textlink="">
      <xdr:nvSpPr>
        <xdr:cNvPr id="16" name="Metin kutusu 15">
          <a:extLst>
            <a:ext uri="{FF2B5EF4-FFF2-40B4-BE49-F238E27FC236}">
              <a16:creationId xmlns:a16="http://schemas.microsoft.com/office/drawing/2014/main" id="{A4E118CF-5164-4871-BAF5-AA04DF060128}"/>
            </a:ext>
          </a:extLst>
        </xdr:cNvPr>
        <xdr:cNvSpPr txBox="1"/>
      </xdr:nvSpPr>
      <xdr:spPr>
        <a:xfrm>
          <a:off x="15479484" y="4833258"/>
          <a:ext cx="325619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b="1">
              <a:solidFill>
                <a:schemeClr val="tx2"/>
              </a:solidFill>
            </a:rPr>
            <a:t>Siparişlerdeki</a:t>
          </a:r>
          <a:r>
            <a:rPr lang="tr-TR" sz="1100" b="1" baseline="0">
              <a:solidFill>
                <a:schemeClr val="tx2"/>
              </a:solidFill>
            </a:rPr>
            <a:t> Toplam Ürün Adeti</a:t>
          </a:r>
          <a:endParaRPr lang="tr-TR" sz="1100" b="1">
            <a:solidFill>
              <a:schemeClr val="tx2"/>
            </a:solidFill>
          </a:endParaRPr>
        </a:p>
      </xdr:txBody>
    </xdr:sp>
    <xdr:clientData/>
  </xdr:twoCellAnchor>
  <xdr:twoCellAnchor>
    <xdr:from>
      <xdr:col>35</xdr:col>
      <xdr:colOff>178253</xdr:colOff>
      <xdr:row>14</xdr:row>
      <xdr:rowOff>108857</xdr:rowOff>
    </xdr:from>
    <xdr:to>
      <xdr:col>42</xdr:col>
      <xdr:colOff>311603</xdr:colOff>
      <xdr:row>17</xdr:row>
      <xdr:rowOff>45857</xdr:rowOff>
    </xdr:to>
    <xdr:grpSp>
      <xdr:nvGrpSpPr>
        <xdr:cNvPr id="28" name="Grup 27">
          <a:extLst>
            <a:ext uri="{FF2B5EF4-FFF2-40B4-BE49-F238E27FC236}">
              <a16:creationId xmlns:a16="http://schemas.microsoft.com/office/drawing/2014/main" id="{06FED319-DC9A-4540-86DF-7BABDDA14BE8}"/>
            </a:ext>
          </a:extLst>
        </xdr:cNvPr>
        <xdr:cNvGrpSpPr/>
      </xdr:nvGrpSpPr>
      <xdr:grpSpPr>
        <a:xfrm>
          <a:off x="15940767" y="5421086"/>
          <a:ext cx="3257550" cy="1080000"/>
          <a:chOff x="9467850" y="2340429"/>
          <a:chExt cx="3267075" cy="1080000"/>
        </a:xfrm>
        <a:effectLst>
          <a:outerShdw blurRad="508000" dist="38100" dir="5400000" algn="t" rotWithShape="0">
            <a:prstClr val="black">
              <a:alpha val="30000"/>
            </a:prstClr>
          </a:outerShdw>
        </a:effectLst>
      </xdr:grpSpPr>
      <xdr:sp macro="" textlink="Pvt_Siparişler!AB1">
        <xdr:nvSpPr>
          <xdr:cNvPr id="15" name="Dikdörtgen: Köşeleri Yuvarlatılmış 14">
            <a:extLst>
              <a:ext uri="{FF2B5EF4-FFF2-40B4-BE49-F238E27FC236}">
                <a16:creationId xmlns:a16="http://schemas.microsoft.com/office/drawing/2014/main" id="{460BF619-3FBC-4C76-A6BA-A5BBFE301754}"/>
              </a:ext>
            </a:extLst>
          </xdr:cNvPr>
          <xdr:cNvSpPr/>
        </xdr:nvSpPr>
        <xdr:spPr>
          <a:xfrm>
            <a:off x="10359277" y="2340429"/>
            <a:ext cx="2375648" cy="1080000"/>
          </a:xfrm>
          <a:prstGeom prst="roundRect">
            <a:avLst>
              <a:gd name="adj" fmla="val 9803"/>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A6451EA-25E4-4D38-9DBF-3AC89EAD5470}" type="TxLink">
              <a:rPr lang="en-US" sz="3200" b="1" i="0" u="none" strike="noStrike">
                <a:solidFill>
                  <a:schemeClr val="accent6">
                    <a:lumMod val="75000"/>
                  </a:schemeClr>
                </a:solidFill>
                <a:latin typeface="Montserrat"/>
                <a:ea typeface="+mn-ea"/>
                <a:cs typeface="+mn-cs"/>
              </a:rPr>
              <a:pPr marL="0" indent="0" algn="ctr"/>
              <a:t>409</a:t>
            </a:fld>
            <a:endParaRPr lang="tr-TR" sz="3200" b="1" i="0" u="none" strike="noStrike">
              <a:solidFill>
                <a:schemeClr val="accent6">
                  <a:lumMod val="75000"/>
                </a:schemeClr>
              </a:solidFill>
              <a:latin typeface="Montserrat"/>
              <a:ea typeface="+mn-ea"/>
              <a:cs typeface="+mn-cs"/>
            </a:endParaRPr>
          </a:p>
        </xdr:txBody>
      </xdr:sp>
      <xdr:sp macro="" textlink="">
        <xdr:nvSpPr>
          <xdr:cNvPr id="24" name="Dikdörtgen: Köşeleri Yuvarlatılmış 23">
            <a:extLst>
              <a:ext uri="{FF2B5EF4-FFF2-40B4-BE49-F238E27FC236}">
                <a16:creationId xmlns:a16="http://schemas.microsoft.com/office/drawing/2014/main" id="{609F2C04-DEE8-40A1-A022-0EC1C193261A}"/>
              </a:ext>
            </a:extLst>
          </xdr:cNvPr>
          <xdr:cNvSpPr/>
        </xdr:nvSpPr>
        <xdr:spPr>
          <a:xfrm>
            <a:off x="9467850" y="2340429"/>
            <a:ext cx="990600" cy="1080000"/>
          </a:xfrm>
          <a:prstGeom prst="roundRect">
            <a:avLst>
              <a:gd name="adj" fmla="val 9803"/>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0" i="0" u="none" strike="noStrike">
              <a:solidFill>
                <a:schemeClr val="accent6">
                  <a:lumMod val="75000"/>
                </a:schemeClr>
              </a:solidFill>
              <a:latin typeface="Montserrat"/>
            </a:endParaRPr>
          </a:p>
        </xdr:txBody>
      </xdr:sp>
      <xdr:pic>
        <xdr:nvPicPr>
          <xdr:cNvPr id="25" name="Grafik 24" descr="Envanter düz dolguyla">
            <a:extLst>
              <a:ext uri="{FF2B5EF4-FFF2-40B4-BE49-F238E27FC236}">
                <a16:creationId xmlns:a16="http://schemas.microsoft.com/office/drawing/2014/main" id="{F2F4281B-AAB7-4AC9-927D-50874A9E879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rcRect/>
          <a:stretch/>
        </xdr:blipFill>
        <xdr:spPr>
          <a:xfrm>
            <a:off x="9777412" y="2709862"/>
            <a:ext cx="371476" cy="371476"/>
          </a:xfrm>
          <a:prstGeom prst="rect">
            <a:avLst/>
          </a:prstGeom>
        </xdr:spPr>
      </xdr:pic>
    </xdr:grpSp>
    <xdr:clientData/>
  </xdr:twoCellAnchor>
  <xdr:twoCellAnchor editAs="oneCell">
    <xdr:from>
      <xdr:col>18</xdr:col>
      <xdr:colOff>288608</xdr:colOff>
      <xdr:row>1</xdr:row>
      <xdr:rowOff>35677</xdr:rowOff>
    </xdr:from>
    <xdr:to>
      <xdr:col>23</xdr:col>
      <xdr:colOff>364399</xdr:colOff>
      <xdr:row>4</xdr:row>
      <xdr:rowOff>214597</xdr:rowOff>
    </xdr:to>
    <mc:AlternateContent xmlns:mc="http://schemas.openxmlformats.org/markup-compatibility/2006" xmlns:a14="http://schemas.microsoft.com/office/drawing/2010/main">
      <mc:Choice Requires="a14">
        <xdr:graphicFrame macro="">
          <xdr:nvGraphicFramePr>
            <xdr:cNvPr id="4" name="Ürün Adı">
              <a:extLst>
                <a:ext uri="{FF2B5EF4-FFF2-40B4-BE49-F238E27FC236}">
                  <a16:creationId xmlns:a16="http://schemas.microsoft.com/office/drawing/2014/main" id="{CABD444E-AFE6-4622-B2E6-CAAD5ECB72BF}"/>
                </a:ext>
              </a:extLst>
            </xdr:cNvPr>
            <xdr:cNvGraphicFramePr/>
          </xdr:nvGraphicFramePr>
          <xdr:xfrm>
            <a:off x="0" y="0"/>
            <a:ext cx="0" cy="0"/>
          </xdr:xfrm>
          <a:graphic>
            <a:graphicData uri="http://schemas.microsoft.com/office/drawing/2010/slicer">
              <sle:slicer xmlns:sle="http://schemas.microsoft.com/office/drawing/2010/slicer" name="Ürün Adı"/>
            </a:graphicData>
          </a:graphic>
        </xdr:graphicFrame>
      </mc:Choice>
      <mc:Fallback xmlns="">
        <xdr:sp macro="" textlink="">
          <xdr:nvSpPr>
            <xdr:cNvPr id="0" name=""/>
            <xdr:cNvSpPr>
              <a:spLocks noTextEdit="1"/>
            </xdr:cNvSpPr>
          </xdr:nvSpPr>
          <xdr:spPr>
            <a:xfrm>
              <a:off x="8463779" y="296934"/>
              <a:ext cx="2307363" cy="14198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443344</xdr:colOff>
      <xdr:row>16</xdr:row>
      <xdr:rowOff>0</xdr:rowOff>
    </xdr:from>
    <xdr:to>
      <xdr:col>33</xdr:col>
      <xdr:colOff>-1</xdr:colOff>
      <xdr:row>24</xdr:row>
      <xdr:rowOff>54429</xdr:rowOff>
    </xdr:to>
    <xdr:graphicFrame macro="">
      <xdr:nvGraphicFramePr>
        <xdr:cNvPr id="29" name="Grafik 28">
          <a:extLst>
            <a:ext uri="{FF2B5EF4-FFF2-40B4-BE49-F238E27FC236}">
              <a16:creationId xmlns:a16="http://schemas.microsoft.com/office/drawing/2014/main" id="{ED47CEDA-08E6-416E-B4F3-4021E4311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1</xdr:colOff>
      <xdr:row>16</xdr:row>
      <xdr:rowOff>83128</xdr:rowOff>
    </xdr:from>
    <xdr:to>
      <xdr:col>22</xdr:col>
      <xdr:colOff>0</xdr:colOff>
      <xdr:row>24</xdr:row>
      <xdr:rowOff>0</xdr:rowOff>
    </xdr:to>
    <xdr:graphicFrame macro="">
      <xdr:nvGraphicFramePr>
        <xdr:cNvPr id="30" name="Grafik 29">
          <a:extLst>
            <a:ext uri="{FF2B5EF4-FFF2-40B4-BE49-F238E27FC236}">
              <a16:creationId xmlns:a16="http://schemas.microsoft.com/office/drawing/2014/main" id="{7A128F31-DD5C-4792-A7BD-51FA98B22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35</xdr:col>
      <xdr:colOff>137988</xdr:colOff>
      <xdr:row>1</xdr:row>
      <xdr:rowOff>158337</xdr:rowOff>
    </xdr:from>
    <xdr:to>
      <xdr:col>42</xdr:col>
      <xdr:colOff>139347</xdr:colOff>
      <xdr:row>2</xdr:row>
      <xdr:rowOff>61354</xdr:rowOff>
    </xdr:to>
    <xdr:sp macro="" textlink="">
      <xdr:nvSpPr>
        <xdr:cNvPr id="34" name="Metin kutusu 33">
          <a:extLst>
            <a:ext uri="{FF2B5EF4-FFF2-40B4-BE49-F238E27FC236}">
              <a16:creationId xmlns:a16="http://schemas.microsoft.com/office/drawing/2014/main" id="{98D000EC-7754-4319-B331-3C20F01B06AF}"/>
            </a:ext>
          </a:extLst>
        </xdr:cNvPr>
        <xdr:cNvSpPr txBox="1"/>
      </xdr:nvSpPr>
      <xdr:spPr>
        <a:xfrm>
          <a:off x="15627370" y="296882"/>
          <a:ext cx="3104777" cy="387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b="1">
              <a:solidFill>
                <a:schemeClr val="tx2"/>
              </a:solidFill>
            </a:rPr>
            <a:t>Tam Ekran Modu</a:t>
          </a:r>
        </a:p>
      </xdr:txBody>
    </xdr:sp>
    <xdr:clientData/>
  </xdr:twoCellAnchor>
  <xdr:twoCellAnchor editAs="oneCell">
    <xdr:from>
      <xdr:col>28</xdr:col>
      <xdr:colOff>334192</xdr:colOff>
      <xdr:row>1</xdr:row>
      <xdr:rowOff>72935</xdr:rowOff>
    </xdr:from>
    <xdr:to>
      <xdr:col>32</xdr:col>
      <xdr:colOff>377735</xdr:colOff>
      <xdr:row>4</xdr:row>
      <xdr:rowOff>359229</xdr:rowOff>
    </xdr:to>
    <mc:AlternateContent xmlns:mc="http://schemas.openxmlformats.org/markup-compatibility/2006" xmlns:a14="http://schemas.microsoft.com/office/drawing/2010/main">
      <mc:Choice Requires="a14">
        <xdr:graphicFrame macro="">
          <xdr:nvGraphicFramePr>
            <xdr:cNvPr id="35" name="Ay">
              <a:extLst>
                <a:ext uri="{FF2B5EF4-FFF2-40B4-BE49-F238E27FC236}">
                  <a16:creationId xmlns:a16="http://schemas.microsoft.com/office/drawing/2014/main" id="{66DC6A07-A938-450E-BFE9-AAAF5B0F2E0E}"/>
                </a:ext>
              </a:extLst>
            </xdr:cNvPr>
            <xdr:cNvGraphicFramePr/>
          </xdr:nvGraphicFramePr>
          <xdr:xfrm>
            <a:off x="0" y="0"/>
            <a:ext cx="0" cy="0"/>
          </xdr:xfrm>
          <a:graphic>
            <a:graphicData uri="http://schemas.microsoft.com/office/drawing/2010/slicer">
              <sle:slicer xmlns:sle="http://schemas.microsoft.com/office/drawing/2010/slicer" name="Ay"/>
            </a:graphicData>
          </a:graphic>
        </xdr:graphicFrame>
      </mc:Choice>
      <mc:Fallback xmlns="">
        <xdr:sp macro="" textlink="">
          <xdr:nvSpPr>
            <xdr:cNvPr id="0" name=""/>
            <xdr:cNvSpPr>
              <a:spLocks noTextEdit="1"/>
            </xdr:cNvSpPr>
          </xdr:nvSpPr>
          <xdr:spPr>
            <a:xfrm>
              <a:off x="12972506" y="334192"/>
              <a:ext cx="1828800" cy="1527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348207</xdr:colOff>
      <xdr:row>1</xdr:row>
      <xdr:rowOff>97972</xdr:rowOff>
    </xdr:from>
    <xdr:to>
      <xdr:col>27</xdr:col>
      <xdr:colOff>350385</xdr:colOff>
      <xdr:row>4</xdr:row>
      <xdr:rowOff>185057</xdr:rowOff>
    </xdr:to>
    <mc:AlternateContent xmlns:mc="http://schemas.openxmlformats.org/markup-compatibility/2006" xmlns:a14="http://schemas.microsoft.com/office/drawing/2010/main">
      <mc:Choice Requires="a14">
        <xdr:graphicFrame macro="">
          <xdr:nvGraphicFramePr>
            <xdr:cNvPr id="36" name="Yıl">
              <a:extLst>
                <a:ext uri="{FF2B5EF4-FFF2-40B4-BE49-F238E27FC236}">
                  <a16:creationId xmlns:a16="http://schemas.microsoft.com/office/drawing/2014/main" id="{784D8C8E-CADD-4139-9622-9A2F2B8D6B93}"/>
                </a:ext>
              </a:extLst>
            </xdr:cNvPr>
            <xdr:cNvGraphicFramePr/>
          </xdr:nvGraphicFramePr>
          <xdr:xfrm>
            <a:off x="0" y="0"/>
            <a:ext cx="0" cy="0"/>
          </xdr:xfrm>
          <a:graphic>
            <a:graphicData uri="http://schemas.microsoft.com/office/drawing/2010/slicer">
              <sle:slicer xmlns:sle="http://schemas.microsoft.com/office/drawing/2010/slicer" name="Yıl"/>
            </a:graphicData>
          </a:graphic>
        </xdr:graphicFrame>
      </mc:Choice>
      <mc:Fallback xmlns="">
        <xdr:sp macro="" textlink="">
          <xdr:nvSpPr>
            <xdr:cNvPr id="0" name=""/>
            <xdr:cNvSpPr>
              <a:spLocks noTextEdit="1"/>
            </xdr:cNvSpPr>
          </xdr:nvSpPr>
          <xdr:spPr>
            <a:xfrm>
              <a:off x="11201264" y="359229"/>
              <a:ext cx="1341121" cy="13280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293077</xdr:colOff>
      <xdr:row>2</xdr:row>
      <xdr:rowOff>316525</xdr:rowOff>
    </xdr:from>
    <xdr:to>
      <xdr:col>40</xdr:col>
      <xdr:colOff>51461</xdr:colOff>
      <xdr:row>4</xdr:row>
      <xdr:rowOff>18925</xdr:rowOff>
    </xdr:to>
    <xdr:sp macro="" textlink="">
      <xdr:nvSpPr>
        <xdr:cNvPr id="6" name="Dikdörtgen: Köşeleri Yuvarlatılmış 5">
          <a:extLst>
            <a:ext uri="{FF2B5EF4-FFF2-40B4-BE49-F238E27FC236}">
              <a16:creationId xmlns:a16="http://schemas.microsoft.com/office/drawing/2014/main" id="{928BE229-DA69-4C62-8B44-E44BCC24E33A}"/>
            </a:ext>
          </a:extLst>
        </xdr:cNvPr>
        <xdr:cNvSpPr/>
      </xdr:nvSpPr>
      <xdr:spPr>
        <a:xfrm>
          <a:off x="17049056" y="1058472"/>
          <a:ext cx="1105921" cy="464400"/>
        </a:xfrm>
        <a:prstGeom prst="roundRect">
          <a:avLst>
            <a:gd name="adj" fmla="val 5000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37</xdr:col>
      <xdr:colOff>340326</xdr:colOff>
      <xdr:row>2</xdr:row>
      <xdr:rowOff>355502</xdr:rowOff>
    </xdr:from>
    <xdr:to>
      <xdr:col>40</xdr:col>
      <xdr:colOff>91627</xdr:colOff>
      <xdr:row>3</xdr:row>
      <xdr:rowOff>360948</xdr:rowOff>
    </xdr:to>
    <xdr:grpSp>
      <xdr:nvGrpSpPr>
        <xdr:cNvPr id="20" name="Toggle_Closed">
          <a:extLst>
            <a:ext uri="{FF2B5EF4-FFF2-40B4-BE49-F238E27FC236}">
              <a16:creationId xmlns:a16="http://schemas.microsoft.com/office/drawing/2014/main" id="{884D3966-E047-4B1E-B349-F8496A9EAA71}"/>
            </a:ext>
          </a:extLst>
        </xdr:cNvPr>
        <xdr:cNvGrpSpPr/>
      </xdr:nvGrpSpPr>
      <xdr:grpSpPr>
        <a:xfrm>
          <a:off x="16995469" y="1095731"/>
          <a:ext cx="1090244" cy="386446"/>
          <a:chOff x="17096305" y="1097449"/>
          <a:chExt cx="1098838" cy="386446"/>
        </a:xfrm>
      </xdr:grpSpPr>
      <xdr:sp macro="[0]!FullScreen_On" textlink="">
        <xdr:nvSpPr>
          <xdr:cNvPr id="10" name="Oval 9">
            <a:extLst>
              <a:ext uri="{FF2B5EF4-FFF2-40B4-BE49-F238E27FC236}">
                <a16:creationId xmlns:a16="http://schemas.microsoft.com/office/drawing/2014/main" id="{39114DE4-520F-451A-AB64-D69A64E30B21}"/>
              </a:ext>
            </a:extLst>
          </xdr:cNvPr>
          <xdr:cNvSpPr/>
        </xdr:nvSpPr>
        <xdr:spPr>
          <a:xfrm>
            <a:off x="17096305" y="1097449"/>
            <a:ext cx="383990" cy="386446"/>
          </a:xfrm>
          <a:prstGeom prst="ellipse">
            <a:avLst/>
          </a:pr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sp macro="[0]!FullScreen_On" textlink="">
        <xdr:nvSpPr>
          <xdr:cNvPr id="19" name="Metin kutusu 18">
            <a:extLst>
              <a:ext uri="{FF2B5EF4-FFF2-40B4-BE49-F238E27FC236}">
                <a16:creationId xmlns:a16="http://schemas.microsoft.com/office/drawing/2014/main" id="{A4A2D42A-9BF7-4965-AC67-43BBF96F6639}"/>
              </a:ext>
            </a:extLst>
          </xdr:cNvPr>
          <xdr:cNvSpPr txBox="1"/>
        </xdr:nvSpPr>
        <xdr:spPr>
          <a:xfrm>
            <a:off x="17513969" y="1152309"/>
            <a:ext cx="681174" cy="276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100">
                <a:solidFill>
                  <a:schemeClr val="bg1">
                    <a:lumMod val="65000"/>
                  </a:schemeClr>
                </a:solidFill>
              </a:rPr>
              <a:t>kapalı</a:t>
            </a:r>
          </a:p>
        </xdr:txBody>
      </xdr:sp>
    </xdr:grpSp>
    <xdr:clientData/>
  </xdr:twoCellAnchor>
  <xdr:twoCellAnchor>
    <xdr:from>
      <xdr:col>37</xdr:col>
      <xdr:colOff>316832</xdr:colOff>
      <xdr:row>2</xdr:row>
      <xdr:rowOff>355502</xdr:rowOff>
    </xdr:from>
    <xdr:to>
      <xdr:col>39</xdr:col>
      <xdr:colOff>415505</xdr:colOff>
      <xdr:row>3</xdr:row>
      <xdr:rowOff>360948</xdr:rowOff>
    </xdr:to>
    <xdr:grpSp>
      <xdr:nvGrpSpPr>
        <xdr:cNvPr id="21" name="Toggle_Open" hidden="1">
          <a:extLst>
            <a:ext uri="{FF2B5EF4-FFF2-40B4-BE49-F238E27FC236}">
              <a16:creationId xmlns:a16="http://schemas.microsoft.com/office/drawing/2014/main" id="{BF519D14-07BE-48F0-AD1F-BAE4C9BBA4E5}"/>
            </a:ext>
          </a:extLst>
        </xdr:cNvPr>
        <xdr:cNvGrpSpPr/>
      </xdr:nvGrpSpPr>
      <xdr:grpSpPr>
        <a:xfrm>
          <a:off x="16971975" y="1095731"/>
          <a:ext cx="991301" cy="386446"/>
          <a:chOff x="17072811" y="1614807"/>
          <a:chExt cx="997031" cy="386446"/>
        </a:xfrm>
      </xdr:grpSpPr>
      <xdr:sp macro="[0]!FullScreen_Off" textlink="">
        <xdr:nvSpPr>
          <xdr:cNvPr id="32" name="Oval 31" hidden="1">
            <a:extLst>
              <a:ext uri="{FF2B5EF4-FFF2-40B4-BE49-F238E27FC236}">
                <a16:creationId xmlns:a16="http://schemas.microsoft.com/office/drawing/2014/main" id="{A361982B-3062-47E3-89DB-422304700F53}"/>
              </a:ext>
            </a:extLst>
          </xdr:cNvPr>
          <xdr:cNvSpPr/>
        </xdr:nvSpPr>
        <xdr:spPr>
          <a:xfrm>
            <a:off x="17685852" y="1614807"/>
            <a:ext cx="383990" cy="38644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sp macro="[0]!FullScreen_Off" textlink="">
        <xdr:nvSpPr>
          <xdr:cNvPr id="33" name="Metin kutusu 32" hidden="1">
            <a:extLst>
              <a:ext uri="{FF2B5EF4-FFF2-40B4-BE49-F238E27FC236}">
                <a16:creationId xmlns:a16="http://schemas.microsoft.com/office/drawing/2014/main" id="{152155EE-571E-4BC3-AC57-89EAB38CB3E2}"/>
              </a:ext>
            </a:extLst>
          </xdr:cNvPr>
          <xdr:cNvSpPr txBox="1"/>
        </xdr:nvSpPr>
        <xdr:spPr>
          <a:xfrm>
            <a:off x="17072811" y="1669667"/>
            <a:ext cx="681174" cy="276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100">
                <a:solidFill>
                  <a:srgbClr val="00B050"/>
                </a:solidFill>
              </a:rPr>
              <a:t>açık</a:t>
            </a: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y%20Drive/CRM/Excel_Projeleri/1-In_Prog/2022-06-02-Mahmut_Yal&#231;&#305;n_Ayakab&#305;_Hammadde/Main_Sipari&#351;_Fi&#351;i.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y%20Drive/CRM/Excel_Projeleri/Tamamlananlar/2022-04-18-Express_Solutions_Mozambik/ES-Sat&#305;&#351;-Al&#305;&#351;-Maliyet_Program&#305;_v0.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salih\Desktop\-Emlak%20Takip%20Program&#305;.xlsm" TargetMode="External"/><Relationship Id="rId1" Type="http://schemas.openxmlformats.org/officeDocument/2006/relationships/externalLinkPath" Target="file:///C:\Users\salih\Desktop\-Emlak%20Takip%20Program&#305;.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salih\Desktop\-SATI&#350;_TAK&#304;P_PROGRAMI.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salih\Desktop\-SATI&#350;_TAK&#304;P_PROGRAMI_Hamburger_Men&#252;l&#252;.xlsm"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salih\Desktop\-BORSA_PROGRAMI.xlsm" TargetMode="External"/><Relationship Id="rId1" Type="http://schemas.openxmlformats.org/officeDocument/2006/relationships/externalLinkPath" Target="file:///C:\Users\salih\Desktop\-BORSA_PROGRAMI.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y%20Drive/WEBSITES/BLOG./Free_Resources/-Stok_Program&#305;.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y%20Drive/PRODUCTS/Shopier/Paketler/40plus_Excel_&#350;ablon_Paketi/2022-04-25_40+_&#350;ablonlar_VBA_Kilitli/Program%20&amp;%20Taslaklar/-Fiyatlara_Zam-&#304;ndirim_Uygulama_Program&#30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_Sipariş Fişi"/>
      <sheetName val="Siparişler"/>
      <sheetName val="Ürünlerim"/>
      <sheetName val="Carilerim"/>
      <sheetName val="Döküm Raporu"/>
      <sheetName val="Ayarlar"/>
      <sheetName val="Kılavuz"/>
      <sheetName val="Sayfa3"/>
      <sheetName val="Main_Sipariş_Fişi"/>
    </sheetNames>
    <sheetDataSet>
      <sheetData sheetId="0"/>
      <sheetData sheetId="1"/>
      <sheetData sheetId="2">
        <row r="2">
          <cell r="G2">
            <v>15</v>
          </cell>
        </row>
        <row r="3">
          <cell r="G3">
            <v>16</v>
          </cell>
        </row>
      </sheetData>
      <sheetData sheetId="3"/>
      <sheetData sheetId="4"/>
      <sheetData sheetId="5"/>
      <sheetData sheetId="6"/>
      <sheetData sheetId="7"/>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_Satışlar"/>
      <sheetName val="G_Alışlar"/>
      <sheetName val="G_Maliyetler"/>
      <sheetName val="R_DashBoard"/>
      <sheetName val="R_Servis"/>
      <sheetName val="R_Banka-Kasa"/>
      <sheetName val="R_Müş-Ted"/>
      <sheetName val="R_Vade"/>
      <sheetName val="Ayarlar"/>
      <sheetName val="Personeller"/>
      <sheetName val="Kılavuz"/>
      <sheetName val="data"/>
      <sheetName val="pvt_Dashh"/>
      <sheetName val="Pvt_Listeler"/>
      <sheetName val="ES-Satış-Alış-Maliyet_Programı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sheetData sheetId="12" refreshError="1"/>
      <sheetData sheetId="13">
        <row r="3">
          <cell r="A3" t="str">
            <v>Maliyet Kategorisi</v>
          </cell>
        </row>
        <row r="4">
          <cell r="A4" t="str">
            <v>Ofis</v>
          </cell>
        </row>
        <row r="5">
          <cell r="A5" t="str">
            <v>Personel Giderleri</v>
          </cell>
        </row>
        <row r="6">
          <cell r="A6" t="str">
            <v>Yatırım Giderleri</v>
          </cell>
        </row>
      </sheetData>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ılavuz"/>
      <sheetName val="✚ Giriş"/>
      <sheetName val="✚ Müşteriler"/>
      <sheetName val="◔ Rapor"/>
      <sheetName val="❖ Ayarlar"/>
      <sheetName val="pvt"/>
    </sheetNames>
    <sheetDataSet>
      <sheetData sheetId="0"/>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l_Durum"/>
      <sheetName val="Ürünler"/>
      <sheetName val="Satışlar"/>
      <sheetName val="Personeller"/>
      <sheetName val="Kaynaklar"/>
      <sheetName val="ayarlar"/>
      <sheetName val="pvt_dash"/>
      <sheetName val="-SATIŞ_TAKİP_PROGRAMI"/>
    </sheetNames>
    <sheetDataSet>
      <sheetData sheetId="0"/>
      <sheetData sheetId="1"/>
      <sheetData sheetId="2"/>
      <sheetData sheetId="3"/>
      <sheetData sheetId="4"/>
      <sheetData sheetId="5"/>
      <sheetData sheetId="6"/>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l_Durum"/>
      <sheetName val="Ürünler"/>
      <sheetName val="Satışlar"/>
      <sheetName val="Personeller"/>
      <sheetName val="Kaynaklar"/>
      <sheetName val="Ayarlar"/>
      <sheetName val="pvt_dash"/>
      <sheetName val="-SATIŞ_TAKİP_PROGRAMI_H"/>
    </sheetNames>
    <sheetDataSet>
      <sheetData sheetId="0"/>
      <sheetData sheetId="1"/>
      <sheetData sheetId="2"/>
      <sheetData sheetId="3"/>
      <sheetData sheetId="4"/>
      <sheetData sheetId="5"/>
      <sheetData sheetId="6"/>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petim"/>
      <sheetName val="Rapor"/>
      <sheetName val="BIST 100"/>
      <sheetName val="TÜM HİSSELER"/>
      <sheetName val="Kaynaklar"/>
      <sheetName val="-BORSA_PROGRAMI"/>
      <sheetName val="Kılavuz"/>
    </sheetNames>
    <sheetDataSet>
      <sheetData sheetId="0"/>
      <sheetData sheetId="1"/>
      <sheetData sheetId="2"/>
      <sheetData sheetId="3"/>
      <sheetData sheetId="4" refreshError="1"/>
      <sheetData sheetId="5" refreshError="1"/>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Stok Hareketleri"/>
      <sheetName val="Ürünlerim"/>
      <sheetName val="Rapor"/>
      <sheetName val="-Stok_Programı"/>
    </sheetNames>
    <sheetDataSet>
      <sheetData sheetId="0"/>
      <sheetData sheetId="1"/>
      <sheetData sheetId="2"/>
      <sheetData sheetId="3"/>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Ürün_Fiyat_Listesi"/>
    </sheetNames>
    <sheetDataSet>
      <sheetData sheetId="0" refreshError="1"/>
      <sheetData sheetId="1">
        <row r="3">
          <cell r="E3">
            <v>0</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ih Hocaoğlu" refreshedDate="44617.80234490741" missingItemsLimit="0" createdVersion="7" refreshedVersion="7" minRefreshableVersion="3" recordCount="63" xr:uid="{F42BDAD1-5C9C-4C72-816F-AABB8AC95599}">
  <cacheSource type="worksheet">
    <worksheetSource name="Tbl_Siparişler"/>
  </cacheSource>
  <cacheFields count="14">
    <cacheField name="Ay" numFmtId="0">
      <sharedItems count="12">
        <s v="Oca"/>
        <s v="May"/>
        <s v="Şub"/>
        <s v="Mar"/>
        <s v="Tem"/>
        <s v="Ağu"/>
        <s v="Haz"/>
        <s v="Kas"/>
        <s v="Ara"/>
        <s v="Eki"/>
        <s v="Nis"/>
        <s v="Eyl"/>
      </sharedItems>
    </cacheField>
    <cacheField name="Yıl" numFmtId="0">
      <sharedItems containsSemiMixedTypes="0" containsString="0" containsNumber="1" containsInteger="1" minValue="2021" maxValue="2022" count="2">
        <n v="2022"/>
        <n v="2021"/>
      </sharedItems>
    </cacheField>
    <cacheField name="Tarih" numFmtId="14">
      <sharedItems containsSemiMixedTypes="0" containsNonDate="0" containsDate="1" containsString="0" minDate="2021-02-19T00:00:00" maxDate="2022-12-27T00:00:00" count="57">
        <d v="2022-01-05T00:00:00"/>
        <d v="2022-05-15T00:00:00"/>
        <d v="2022-02-17T00:00:00"/>
        <d v="2022-03-18T00:00:00"/>
        <d v="2022-07-19T00:00:00"/>
        <d v="2022-08-02T00:00:00"/>
        <d v="2022-01-14T00:00:00"/>
        <d v="2022-06-19T00:00:00"/>
        <d v="2022-11-07T00:00:00"/>
        <d v="2022-07-17T00:00:00"/>
        <d v="2022-02-05T00:00:00"/>
        <d v="2022-12-24T00:00:00"/>
        <d v="2022-05-16T00:00:00"/>
        <d v="2022-11-21T00:00:00"/>
        <d v="2022-08-20T00:00:00"/>
        <d v="2022-02-16T00:00:00"/>
        <d v="2022-08-16T00:00:00"/>
        <d v="2022-11-12T00:00:00"/>
        <d v="2022-10-19T00:00:00"/>
        <d v="2022-04-09T00:00:00"/>
        <d v="2022-02-26T00:00:00"/>
        <d v="2022-05-11T00:00:00"/>
        <d v="2022-08-14T00:00:00"/>
        <d v="2022-12-02T00:00:00"/>
        <d v="2022-08-28T00:00:00"/>
        <d v="2022-11-08T00:00:00"/>
        <d v="2022-04-26T00:00:00"/>
        <d v="2022-02-19T00:00:00"/>
        <d v="2022-06-24T00:00:00"/>
        <d v="2022-05-17T00:00:00"/>
        <d v="2022-07-10T00:00:00"/>
        <d v="2022-06-11T00:00:00"/>
        <d v="2022-03-23T00:00:00"/>
        <d v="2022-02-03T00:00:00"/>
        <d v="2022-01-11T00:00:00"/>
        <d v="2022-05-04T00:00:00"/>
        <d v="2022-01-25T00:00:00"/>
        <d v="2022-07-15T00:00:00"/>
        <d v="2022-02-02T00:00:00"/>
        <d v="2022-03-19T00:00:00"/>
        <d v="2022-08-11T00:00:00"/>
        <d v="2022-07-28T00:00:00"/>
        <d v="2022-10-05T00:00:00"/>
        <d v="2022-12-26T00:00:00"/>
        <d v="2022-10-17T00:00:00"/>
        <d v="2022-04-27T00:00:00"/>
        <d v="2022-05-26T00:00:00"/>
        <d v="2022-07-26T00:00:00"/>
        <d v="2022-09-16T00:00:00"/>
        <d v="2022-08-23T00:00:00"/>
        <d v="2022-06-27T00:00:00"/>
        <d v="2021-02-19T00:00:00"/>
        <d v="2021-03-20T00:00:00"/>
        <d v="2021-04-21T00:00:00"/>
        <d v="2021-05-22T00:00:00"/>
        <d v="2021-06-23T00:00:00"/>
        <d v="2021-10-24T00:00:00"/>
      </sharedItems>
    </cacheField>
    <cacheField name="Sipariş Durumu" numFmtId="0">
      <sharedItems count="4">
        <s v="Teslim Edildi"/>
        <s v="Beklemede"/>
        <s v="Teslim Edildi,Ödeme Alınacak"/>
        <s v="Tamamlandı"/>
      </sharedItems>
    </cacheField>
    <cacheField name="Ödeme Tipi" numFmtId="0">
      <sharedItems count="3">
        <s v="Nakit"/>
        <s v="Kredi Kartı"/>
        <s v="Havale / EFT"/>
      </sharedItems>
    </cacheField>
    <cacheField name="Firma / Müşteri Adı" numFmtId="0">
      <sharedItems/>
    </cacheField>
    <cacheField name="Kategori" numFmtId="0">
      <sharedItems count="4">
        <s v="Tekstil"/>
        <s v="Ahşap"/>
        <s v="Kağıt"/>
        <s v="Cam"/>
      </sharedItems>
    </cacheField>
    <cacheField name="Ürün Adı" numFmtId="0">
      <sharedItems count="6">
        <s v="Gömlek"/>
        <s v="Kalem"/>
        <s v="Defter"/>
        <s v="Kupa"/>
        <s v="Tişört"/>
        <s v="Kartvizit"/>
      </sharedItems>
    </cacheField>
    <cacheField name="Renk" numFmtId="0">
      <sharedItems/>
    </cacheField>
    <cacheField name="Kalite" numFmtId="0">
      <sharedItems/>
    </cacheField>
    <cacheField name="Sipariş Adeti" numFmtId="0">
      <sharedItems containsSemiMixedTypes="0" containsString="0" containsNumber="1" containsInteger="1" minValue="2" maxValue="10"/>
    </cacheField>
    <cacheField name="Tahsilat" numFmtId="165">
      <sharedItems containsSemiMixedTypes="0" containsString="0" containsNumber="1" containsInteger="1" minValue="7" maxValue="800"/>
    </cacheField>
    <cacheField name="Birim Satış Fiyatı" numFmtId="166">
      <sharedItems containsSemiMixedTypes="0" containsString="0" containsNumber="1" containsInteger="1" minValue="10" maxValue="80"/>
    </cacheField>
    <cacheField name="Toplam Tutar" numFmtId="166">
      <sharedItems containsSemiMixedTypes="0" containsString="0" containsNumber="1" containsInteger="1" minValue="30" maxValue="800"/>
    </cacheField>
  </cacheFields>
  <extLst>
    <ext xmlns:x14="http://schemas.microsoft.com/office/spreadsheetml/2009/9/main" uri="{725AE2AE-9491-48be-B2B4-4EB974FC3084}">
      <x14:pivotCacheDefinition pivotCacheId="14971050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x v="0"/>
    <x v="0"/>
    <x v="0"/>
    <x v="0"/>
    <s v="Ahmet Yılmaz"/>
    <x v="0"/>
    <x v="0"/>
    <s v="Mavi"/>
    <s v="A"/>
    <n v="3"/>
    <n v="46"/>
    <n v="50"/>
    <n v="150"/>
  </r>
  <r>
    <x v="1"/>
    <x v="0"/>
    <x v="1"/>
    <x v="1"/>
    <x v="0"/>
    <s v="Ahmet Yalçın"/>
    <x v="1"/>
    <x v="1"/>
    <s v="Gri"/>
    <s v="B"/>
    <n v="10"/>
    <n v="300"/>
    <n v="30"/>
    <n v="300"/>
  </r>
  <r>
    <x v="2"/>
    <x v="0"/>
    <x v="2"/>
    <x v="1"/>
    <x v="1"/>
    <s v="Salih Hocaoğlu"/>
    <x v="2"/>
    <x v="2"/>
    <s v="Beyaz"/>
    <s v="B"/>
    <n v="8"/>
    <n v="37"/>
    <n v="50"/>
    <n v="400"/>
  </r>
  <r>
    <x v="3"/>
    <x v="0"/>
    <x v="3"/>
    <x v="0"/>
    <x v="1"/>
    <s v="Halit Doğru"/>
    <x v="3"/>
    <x v="3"/>
    <s v="Siyah"/>
    <s v="C"/>
    <n v="6"/>
    <n v="55"/>
    <n v="10"/>
    <n v="60"/>
  </r>
  <r>
    <x v="4"/>
    <x v="0"/>
    <x v="4"/>
    <x v="2"/>
    <x v="2"/>
    <s v="Cansu Şehirli"/>
    <x v="1"/>
    <x v="1"/>
    <s v="Beyaz"/>
    <s v="A"/>
    <n v="8"/>
    <n v="640"/>
    <n v="80"/>
    <n v="640"/>
  </r>
  <r>
    <x v="5"/>
    <x v="0"/>
    <x v="5"/>
    <x v="3"/>
    <x v="0"/>
    <s v="Yağmur  Gözaçan"/>
    <x v="1"/>
    <x v="1"/>
    <s v="Gri"/>
    <s v="B"/>
    <n v="7"/>
    <n v="210"/>
    <n v="30"/>
    <n v="210"/>
  </r>
  <r>
    <x v="0"/>
    <x v="0"/>
    <x v="6"/>
    <x v="0"/>
    <x v="1"/>
    <s v="Feride  Dalbastı"/>
    <x v="1"/>
    <x v="1"/>
    <s v="Gri"/>
    <s v="B"/>
    <n v="5"/>
    <n v="53"/>
    <n v="30"/>
    <n v="150"/>
  </r>
  <r>
    <x v="6"/>
    <x v="0"/>
    <x v="7"/>
    <x v="1"/>
    <x v="0"/>
    <s v="Nuri Beyoğlu"/>
    <x v="1"/>
    <x v="1"/>
    <s v="Gri"/>
    <s v="B"/>
    <n v="3"/>
    <n v="65"/>
    <n v="30"/>
    <n v="90"/>
  </r>
  <r>
    <x v="7"/>
    <x v="0"/>
    <x v="8"/>
    <x v="2"/>
    <x v="2"/>
    <s v="Esra Kılıç"/>
    <x v="2"/>
    <x v="2"/>
    <s v="Gri"/>
    <s v="C"/>
    <n v="6"/>
    <n v="390"/>
    <n v="65"/>
    <n v="390"/>
  </r>
  <r>
    <x v="4"/>
    <x v="0"/>
    <x v="9"/>
    <x v="0"/>
    <x v="1"/>
    <s v="Mahir  Gürer"/>
    <x v="1"/>
    <x v="1"/>
    <s v="Beyaz"/>
    <s v="A"/>
    <n v="10"/>
    <n v="303"/>
    <n v="80"/>
    <n v="800"/>
  </r>
  <r>
    <x v="2"/>
    <x v="0"/>
    <x v="10"/>
    <x v="0"/>
    <x v="2"/>
    <s v="Zehra Avcu"/>
    <x v="1"/>
    <x v="1"/>
    <s v="Gri"/>
    <s v="B"/>
    <n v="8"/>
    <n v="240"/>
    <n v="30"/>
    <n v="240"/>
  </r>
  <r>
    <x v="8"/>
    <x v="0"/>
    <x v="11"/>
    <x v="3"/>
    <x v="1"/>
    <s v="Azra  Horuz"/>
    <x v="1"/>
    <x v="1"/>
    <s v="Gri"/>
    <s v="B"/>
    <n v="9"/>
    <n v="270"/>
    <n v="30"/>
    <n v="270"/>
  </r>
  <r>
    <x v="0"/>
    <x v="0"/>
    <x v="6"/>
    <x v="2"/>
    <x v="2"/>
    <s v="Muammer  Kumral"/>
    <x v="2"/>
    <x v="2"/>
    <s v="Gri"/>
    <s v="C"/>
    <n v="6"/>
    <n v="30"/>
    <n v="65"/>
    <n v="390"/>
  </r>
  <r>
    <x v="1"/>
    <x v="0"/>
    <x v="12"/>
    <x v="3"/>
    <x v="1"/>
    <s v="Veli  Kurşun"/>
    <x v="0"/>
    <x v="0"/>
    <s v="Mavi"/>
    <s v="A"/>
    <n v="8"/>
    <n v="400"/>
    <n v="50"/>
    <n v="400"/>
  </r>
  <r>
    <x v="7"/>
    <x v="0"/>
    <x v="13"/>
    <x v="2"/>
    <x v="2"/>
    <s v="Yakup  Cerit"/>
    <x v="3"/>
    <x v="3"/>
    <s v="Siyah"/>
    <s v="C"/>
    <n v="10"/>
    <n v="20"/>
    <n v="10"/>
    <n v="100"/>
  </r>
  <r>
    <x v="5"/>
    <x v="0"/>
    <x v="14"/>
    <x v="1"/>
    <x v="0"/>
    <s v="Berru Bilgi"/>
    <x v="1"/>
    <x v="1"/>
    <s v="Gri"/>
    <s v="B"/>
    <n v="4"/>
    <n v="120"/>
    <n v="30"/>
    <n v="120"/>
  </r>
  <r>
    <x v="2"/>
    <x v="0"/>
    <x v="15"/>
    <x v="3"/>
    <x v="0"/>
    <s v="Metin Fırat"/>
    <x v="2"/>
    <x v="2"/>
    <s v="Gri"/>
    <s v="C"/>
    <n v="6"/>
    <n v="390"/>
    <n v="65"/>
    <n v="390"/>
  </r>
  <r>
    <x v="5"/>
    <x v="0"/>
    <x v="16"/>
    <x v="3"/>
    <x v="1"/>
    <s v="Sıla Kuru"/>
    <x v="0"/>
    <x v="4"/>
    <s v="Beyaz"/>
    <s v="B"/>
    <n v="8"/>
    <n v="240"/>
    <n v="30"/>
    <n v="240"/>
  </r>
  <r>
    <x v="7"/>
    <x v="0"/>
    <x v="17"/>
    <x v="1"/>
    <x v="0"/>
    <s v="Mert Herdili"/>
    <x v="3"/>
    <x v="3"/>
    <s v="Siyah"/>
    <s v="C"/>
    <n v="3"/>
    <n v="30"/>
    <n v="10"/>
    <n v="30"/>
  </r>
  <r>
    <x v="9"/>
    <x v="0"/>
    <x v="18"/>
    <x v="0"/>
    <x v="1"/>
    <s v="Asel  Tuğluoğlu"/>
    <x v="1"/>
    <x v="1"/>
    <s v="Gri"/>
    <s v="B"/>
    <n v="9"/>
    <n v="222"/>
    <n v="30"/>
    <n v="270"/>
  </r>
  <r>
    <x v="10"/>
    <x v="0"/>
    <x v="19"/>
    <x v="2"/>
    <x v="2"/>
    <s v="Elifsu  Demir Göçmen"/>
    <x v="3"/>
    <x v="3"/>
    <s v="Siyah"/>
    <s v="C"/>
    <n v="9"/>
    <n v="55"/>
    <n v="10"/>
    <n v="90"/>
  </r>
  <r>
    <x v="2"/>
    <x v="0"/>
    <x v="20"/>
    <x v="3"/>
    <x v="0"/>
    <s v="Meryemsu Atlanoğlu"/>
    <x v="1"/>
    <x v="1"/>
    <s v="Gri"/>
    <s v="B"/>
    <n v="3"/>
    <n v="90"/>
    <n v="30"/>
    <n v="90"/>
  </r>
  <r>
    <x v="1"/>
    <x v="0"/>
    <x v="21"/>
    <x v="2"/>
    <x v="2"/>
    <s v="Sercan  Gökçen"/>
    <x v="1"/>
    <x v="1"/>
    <s v="Gri"/>
    <s v="B"/>
    <n v="3"/>
    <n v="90"/>
    <n v="30"/>
    <n v="90"/>
  </r>
  <r>
    <x v="5"/>
    <x v="0"/>
    <x v="22"/>
    <x v="0"/>
    <x v="1"/>
    <s v="Seymen Alan"/>
    <x v="1"/>
    <x v="1"/>
    <s v="Beyaz"/>
    <s v="A"/>
    <n v="4"/>
    <n v="320"/>
    <n v="80"/>
    <n v="320"/>
  </r>
  <r>
    <x v="8"/>
    <x v="0"/>
    <x v="23"/>
    <x v="2"/>
    <x v="2"/>
    <s v="Uğur Önder Siviş"/>
    <x v="2"/>
    <x v="5"/>
    <s v="Kırmızı"/>
    <s v="A"/>
    <n v="7"/>
    <n v="98"/>
    <n v="60"/>
    <n v="420"/>
  </r>
  <r>
    <x v="2"/>
    <x v="0"/>
    <x v="20"/>
    <x v="3"/>
    <x v="0"/>
    <s v="Muharrem  Öztürkeri"/>
    <x v="3"/>
    <x v="3"/>
    <s v="Siyah"/>
    <s v="C"/>
    <n v="10"/>
    <n v="100"/>
    <n v="10"/>
    <n v="100"/>
  </r>
  <r>
    <x v="5"/>
    <x v="0"/>
    <x v="24"/>
    <x v="1"/>
    <x v="0"/>
    <s v="İkranur  Çavuşoğlu"/>
    <x v="2"/>
    <x v="2"/>
    <s v="Gri"/>
    <s v="C"/>
    <n v="6"/>
    <n v="143"/>
    <n v="65"/>
    <n v="390"/>
  </r>
  <r>
    <x v="7"/>
    <x v="0"/>
    <x v="25"/>
    <x v="2"/>
    <x v="2"/>
    <s v="Damla  Bağcık"/>
    <x v="1"/>
    <x v="1"/>
    <s v="Gri"/>
    <s v="B"/>
    <n v="6"/>
    <n v="179"/>
    <n v="30"/>
    <n v="180"/>
  </r>
  <r>
    <x v="10"/>
    <x v="0"/>
    <x v="26"/>
    <x v="3"/>
    <x v="1"/>
    <s v="Kübra  Karaoğlu"/>
    <x v="0"/>
    <x v="0"/>
    <s v="Mavi"/>
    <s v="A"/>
    <n v="2"/>
    <n v="100"/>
    <n v="50"/>
    <n v="100"/>
  </r>
  <r>
    <x v="2"/>
    <x v="0"/>
    <x v="27"/>
    <x v="2"/>
    <x v="2"/>
    <s v="Şerife  Sarıçam"/>
    <x v="2"/>
    <x v="2"/>
    <s v="Gri"/>
    <s v="C"/>
    <n v="10"/>
    <n v="133"/>
    <n v="65"/>
    <n v="650"/>
  </r>
  <r>
    <x v="6"/>
    <x v="0"/>
    <x v="28"/>
    <x v="1"/>
    <x v="0"/>
    <s v="Yeliz  Aksoy"/>
    <x v="2"/>
    <x v="2"/>
    <s v="Yeşil"/>
    <s v="C"/>
    <n v="6"/>
    <n v="7"/>
    <n v="34"/>
    <n v="204"/>
  </r>
  <r>
    <x v="1"/>
    <x v="0"/>
    <x v="29"/>
    <x v="2"/>
    <x v="2"/>
    <s v="Sezer  Bölük"/>
    <x v="0"/>
    <x v="4"/>
    <s v="Beyaz"/>
    <s v="B"/>
    <n v="9"/>
    <n v="65"/>
    <n v="30"/>
    <n v="270"/>
  </r>
  <r>
    <x v="4"/>
    <x v="0"/>
    <x v="30"/>
    <x v="3"/>
    <x v="0"/>
    <s v="Şevin Kulaç"/>
    <x v="1"/>
    <x v="1"/>
    <s v="Gri"/>
    <s v="B"/>
    <n v="6"/>
    <n v="180"/>
    <n v="30"/>
    <n v="180"/>
  </r>
  <r>
    <x v="6"/>
    <x v="0"/>
    <x v="31"/>
    <x v="2"/>
    <x v="2"/>
    <s v="Sualp Kozcu"/>
    <x v="1"/>
    <x v="1"/>
    <s v="Gri"/>
    <s v="B"/>
    <n v="4"/>
    <n v="62"/>
    <n v="30"/>
    <n v="120"/>
  </r>
  <r>
    <x v="3"/>
    <x v="0"/>
    <x v="32"/>
    <x v="3"/>
    <x v="1"/>
    <s v="Resul  Alkurt Kayıkçı"/>
    <x v="0"/>
    <x v="0"/>
    <s v="Mavi"/>
    <s v="A"/>
    <n v="4"/>
    <n v="38"/>
    <n v="50"/>
    <n v="200"/>
  </r>
  <r>
    <x v="2"/>
    <x v="0"/>
    <x v="33"/>
    <x v="2"/>
    <x v="2"/>
    <s v="Alperen  Gülçalar"/>
    <x v="3"/>
    <x v="3"/>
    <s v="Siyah"/>
    <s v="C"/>
    <n v="7"/>
    <n v="70"/>
    <n v="10"/>
    <n v="70"/>
  </r>
  <r>
    <x v="2"/>
    <x v="0"/>
    <x v="15"/>
    <x v="3"/>
    <x v="0"/>
    <s v="İhsan  Akyüz"/>
    <x v="2"/>
    <x v="5"/>
    <s v="Kırmızı"/>
    <s v="A"/>
    <n v="8"/>
    <n v="480"/>
    <n v="60"/>
    <n v="480"/>
  </r>
  <r>
    <x v="0"/>
    <x v="0"/>
    <x v="34"/>
    <x v="1"/>
    <x v="0"/>
    <s v="Feride  Tolan"/>
    <x v="2"/>
    <x v="2"/>
    <s v="Gri"/>
    <s v="C"/>
    <n v="2"/>
    <n v="130"/>
    <n v="65"/>
    <n v="130"/>
  </r>
  <r>
    <x v="1"/>
    <x v="0"/>
    <x v="35"/>
    <x v="2"/>
    <x v="2"/>
    <s v="Meryem Aslankara"/>
    <x v="3"/>
    <x v="3"/>
    <s v="Siyah"/>
    <s v="C"/>
    <n v="9"/>
    <n v="9"/>
    <n v="10"/>
    <n v="90"/>
  </r>
  <r>
    <x v="0"/>
    <x v="0"/>
    <x v="36"/>
    <x v="3"/>
    <x v="1"/>
    <s v="Hakkı  Orhon"/>
    <x v="3"/>
    <x v="3"/>
    <s v="Siyah"/>
    <s v="C"/>
    <n v="4"/>
    <n v="40"/>
    <n v="10"/>
    <n v="40"/>
  </r>
  <r>
    <x v="4"/>
    <x v="0"/>
    <x v="37"/>
    <x v="3"/>
    <x v="1"/>
    <s v="Şükrüye Okutan"/>
    <x v="2"/>
    <x v="2"/>
    <s v="Yeşil"/>
    <s v="C"/>
    <n v="5"/>
    <n v="77"/>
    <n v="34"/>
    <n v="170"/>
  </r>
  <r>
    <x v="2"/>
    <x v="0"/>
    <x v="38"/>
    <x v="2"/>
    <x v="2"/>
    <s v="Nuriye  Sazak"/>
    <x v="0"/>
    <x v="4"/>
    <s v="Beyaz"/>
    <s v="B"/>
    <n v="8"/>
    <n v="240"/>
    <n v="30"/>
    <n v="240"/>
  </r>
  <r>
    <x v="3"/>
    <x v="0"/>
    <x v="39"/>
    <x v="3"/>
    <x v="1"/>
    <s v="Orhan  Baştürk Ayhan"/>
    <x v="1"/>
    <x v="1"/>
    <s v="Beyaz"/>
    <s v="A"/>
    <n v="7"/>
    <n v="560"/>
    <n v="80"/>
    <n v="560"/>
  </r>
  <r>
    <x v="5"/>
    <x v="0"/>
    <x v="40"/>
    <x v="3"/>
    <x v="0"/>
    <s v="Rojin  Akyüz"/>
    <x v="1"/>
    <x v="1"/>
    <s v="Gri"/>
    <s v="B"/>
    <n v="8"/>
    <n v="215"/>
    <n v="30"/>
    <n v="240"/>
  </r>
  <r>
    <x v="4"/>
    <x v="0"/>
    <x v="41"/>
    <x v="2"/>
    <x v="2"/>
    <s v="Süleyman  Arifoğlu"/>
    <x v="2"/>
    <x v="2"/>
    <s v="Yeşil"/>
    <s v="C"/>
    <n v="5"/>
    <n v="170"/>
    <n v="34"/>
    <n v="170"/>
  </r>
  <r>
    <x v="9"/>
    <x v="0"/>
    <x v="42"/>
    <x v="3"/>
    <x v="1"/>
    <s v="Güler  Demirbaş"/>
    <x v="1"/>
    <x v="1"/>
    <s v="Beyaz"/>
    <s v="A"/>
    <n v="10"/>
    <n v="800"/>
    <n v="80"/>
    <n v="800"/>
  </r>
  <r>
    <x v="8"/>
    <x v="0"/>
    <x v="43"/>
    <x v="3"/>
    <x v="0"/>
    <s v="Nazife  Ersoy"/>
    <x v="1"/>
    <x v="1"/>
    <s v="Gri"/>
    <s v="B"/>
    <n v="7"/>
    <n v="202"/>
    <n v="30"/>
    <n v="210"/>
  </r>
  <r>
    <x v="9"/>
    <x v="0"/>
    <x v="44"/>
    <x v="1"/>
    <x v="0"/>
    <s v="Yasin  Çimen"/>
    <x v="1"/>
    <x v="1"/>
    <s v="Gri"/>
    <s v="B"/>
    <n v="8"/>
    <n v="240"/>
    <n v="30"/>
    <n v="240"/>
  </r>
  <r>
    <x v="10"/>
    <x v="0"/>
    <x v="45"/>
    <x v="2"/>
    <x v="2"/>
    <s v="Hanife  Pınarbaşılı"/>
    <x v="1"/>
    <x v="1"/>
    <s v="Gri"/>
    <s v="B"/>
    <n v="8"/>
    <n v="177"/>
    <n v="30"/>
    <n v="240"/>
  </r>
  <r>
    <x v="1"/>
    <x v="0"/>
    <x v="46"/>
    <x v="3"/>
    <x v="0"/>
    <s v="Memet  Demirtaş"/>
    <x v="3"/>
    <x v="3"/>
    <s v="Siyah"/>
    <s v="C"/>
    <n v="7"/>
    <n v="15"/>
    <n v="10"/>
    <n v="70"/>
  </r>
  <r>
    <x v="4"/>
    <x v="0"/>
    <x v="47"/>
    <x v="1"/>
    <x v="0"/>
    <s v="Kevser  Rüzgar"/>
    <x v="1"/>
    <x v="1"/>
    <s v="Gri"/>
    <s v="B"/>
    <n v="4"/>
    <n v="120"/>
    <n v="30"/>
    <n v="120"/>
  </r>
  <r>
    <x v="7"/>
    <x v="0"/>
    <x v="8"/>
    <x v="2"/>
    <x v="2"/>
    <s v="Süleyman Avcu"/>
    <x v="2"/>
    <x v="2"/>
    <s v="Yeşil"/>
    <s v="C"/>
    <n v="2"/>
    <n v="68"/>
    <n v="34"/>
    <n v="68"/>
  </r>
  <r>
    <x v="11"/>
    <x v="0"/>
    <x v="48"/>
    <x v="2"/>
    <x v="2"/>
    <s v="Derin Ballı"/>
    <x v="1"/>
    <x v="1"/>
    <s v="Gri"/>
    <s v="B"/>
    <n v="2"/>
    <n v="60"/>
    <n v="30"/>
    <n v="60"/>
  </r>
  <r>
    <x v="5"/>
    <x v="0"/>
    <x v="49"/>
    <x v="1"/>
    <x v="0"/>
    <s v="Ulaş Fındık Güvendi"/>
    <x v="1"/>
    <x v="1"/>
    <s v="Gri"/>
    <s v="B"/>
    <n v="10"/>
    <n v="300"/>
    <n v="30"/>
    <n v="300"/>
  </r>
  <r>
    <x v="5"/>
    <x v="0"/>
    <x v="5"/>
    <x v="2"/>
    <x v="2"/>
    <s v="Çağla  Seyfeli"/>
    <x v="3"/>
    <x v="3"/>
    <s v="Siyah"/>
    <s v="C"/>
    <n v="10"/>
    <n v="100"/>
    <n v="10"/>
    <n v="100"/>
  </r>
  <r>
    <x v="6"/>
    <x v="0"/>
    <x v="50"/>
    <x v="3"/>
    <x v="1"/>
    <s v="Hikmet  Filizer"/>
    <x v="3"/>
    <x v="3"/>
    <s v="Siyah"/>
    <s v="C"/>
    <n v="8"/>
    <n v="56"/>
    <n v="10"/>
    <n v="80"/>
  </r>
  <r>
    <x v="2"/>
    <x v="0"/>
    <x v="15"/>
    <x v="1"/>
    <x v="0"/>
    <s v="Salih Giresun"/>
    <x v="0"/>
    <x v="0"/>
    <s v="Mavi"/>
    <s v="A"/>
    <n v="9"/>
    <n v="125"/>
    <n v="50"/>
    <n v="450"/>
  </r>
  <r>
    <x v="2"/>
    <x v="1"/>
    <x v="51"/>
    <x v="3"/>
    <x v="0"/>
    <s v="Memet  Demirtaş"/>
    <x v="3"/>
    <x v="3"/>
    <s v="Siyah"/>
    <s v="C"/>
    <n v="7"/>
    <n v="15"/>
    <n v="10"/>
    <n v="70"/>
  </r>
  <r>
    <x v="3"/>
    <x v="1"/>
    <x v="52"/>
    <x v="1"/>
    <x v="0"/>
    <s v="Kevser  Rüzgar"/>
    <x v="1"/>
    <x v="1"/>
    <s v="Gri"/>
    <s v="B"/>
    <n v="4"/>
    <n v="120"/>
    <n v="30"/>
    <n v="120"/>
  </r>
  <r>
    <x v="10"/>
    <x v="1"/>
    <x v="53"/>
    <x v="2"/>
    <x v="2"/>
    <s v="Süleyman Avcu"/>
    <x v="2"/>
    <x v="2"/>
    <s v="Yeşil"/>
    <s v="C"/>
    <n v="2"/>
    <n v="68"/>
    <n v="34"/>
    <n v="68"/>
  </r>
  <r>
    <x v="1"/>
    <x v="1"/>
    <x v="54"/>
    <x v="2"/>
    <x v="2"/>
    <s v="Derin Ballı"/>
    <x v="1"/>
    <x v="1"/>
    <s v="Gri"/>
    <s v="B"/>
    <n v="2"/>
    <n v="60"/>
    <n v="30"/>
    <n v="60"/>
  </r>
  <r>
    <x v="6"/>
    <x v="1"/>
    <x v="55"/>
    <x v="1"/>
    <x v="0"/>
    <s v="Ulaş Fındık Güvendi"/>
    <x v="1"/>
    <x v="1"/>
    <s v="Gri"/>
    <s v="B"/>
    <n v="10"/>
    <n v="300"/>
    <n v="30"/>
    <n v="300"/>
  </r>
  <r>
    <x v="9"/>
    <x v="1"/>
    <x v="56"/>
    <x v="2"/>
    <x v="2"/>
    <s v="Çağla  Seyfeli"/>
    <x v="3"/>
    <x v="3"/>
    <s v="Siyah"/>
    <s v="C"/>
    <n v="10"/>
    <n v="100"/>
    <n v="10"/>
    <n v="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1D1F1F-395E-42D5-8DE3-43B53B15A63E}" name="PivotTable6" cacheId="8" applyNumberFormats="0" applyBorderFormats="0" applyFontFormats="0" applyPatternFormats="0" applyAlignmentFormats="0" applyWidthHeightFormats="1" dataCaption="Değerler" updatedVersion="7" minRefreshableVersion="3" useAutoFormatting="1" itemPrintTitles="1" createdVersion="7" indent="0" outline="1" outlineData="1" multipleFieldFilters="0" chartFormat="9">
  <location ref="I3:K24" firstHeaderRow="0" firstDataRow="1" firstDataCol="1"/>
  <pivotFields count="14">
    <pivotField name="Ay2" axis="axisRow" showAll="0">
      <items count="13">
        <item sd="0" x="0"/>
        <item sd="0" x="2"/>
        <item sd="0" x="3"/>
        <item sd="0" x="10"/>
        <item sd="0" x="1"/>
        <item sd="0" x="6"/>
        <item sd="0" x="4"/>
        <item sd="0" x="5"/>
        <item sd="0" x="11"/>
        <item sd="0" x="9"/>
        <item sd="0" x="7"/>
        <item sd="0" x="8"/>
        <item t="default" sd="0"/>
      </items>
    </pivotField>
    <pivotField axis="axisRow" showAll="0">
      <items count="3">
        <item x="0"/>
        <item x="1"/>
        <item t="default"/>
      </items>
    </pivotField>
    <pivotField axis="axisRow" numFmtId="14" outline="0" showAll="0">
      <items count="58">
        <item x="0"/>
        <item x="34"/>
        <item x="6"/>
        <item x="36"/>
        <item x="38"/>
        <item x="33"/>
        <item x="10"/>
        <item x="15"/>
        <item x="2"/>
        <item x="27"/>
        <item x="20"/>
        <item x="3"/>
        <item x="39"/>
        <item x="32"/>
        <item x="19"/>
        <item x="26"/>
        <item x="45"/>
        <item x="35"/>
        <item x="21"/>
        <item x="1"/>
        <item x="12"/>
        <item x="29"/>
        <item x="46"/>
        <item x="31"/>
        <item x="7"/>
        <item x="28"/>
        <item x="50"/>
        <item x="30"/>
        <item x="37"/>
        <item x="9"/>
        <item x="4"/>
        <item x="47"/>
        <item x="41"/>
        <item x="5"/>
        <item x="40"/>
        <item x="22"/>
        <item x="16"/>
        <item x="14"/>
        <item x="49"/>
        <item x="24"/>
        <item x="48"/>
        <item x="42"/>
        <item x="44"/>
        <item x="18"/>
        <item x="8"/>
        <item x="25"/>
        <item x="17"/>
        <item x="13"/>
        <item x="23"/>
        <item x="11"/>
        <item x="43"/>
        <item x="51"/>
        <item x="52"/>
        <item x="53"/>
        <item x="54"/>
        <item x="55"/>
        <item x="56"/>
        <item t="default"/>
      </items>
    </pivotField>
    <pivotField dataField="1" showAll="0">
      <items count="5">
        <item x="1"/>
        <item x="3"/>
        <item x="0"/>
        <item x="2"/>
        <item t="default"/>
      </items>
    </pivotField>
    <pivotField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7">
        <item x="2"/>
        <item x="0"/>
        <item x="1"/>
        <item x="5"/>
        <item x="3"/>
        <item x="4"/>
        <item t="default"/>
      </items>
    </pivotField>
    <pivotField showAll="0"/>
    <pivotField showAll="0"/>
    <pivotField showAll="0"/>
    <pivotField numFmtId="8" showAll="0"/>
    <pivotField showAll="0"/>
    <pivotField dataField="1" numFmtId="8" showAll="0"/>
  </pivotFields>
  <rowFields count="3">
    <field x="1"/>
    <field x="0"/>
    <field x="2"/>
  </rowFields>
  <rowItems count="21">
    <i>
      <x/>
    </i>
    <i r="1">
      <x/>
    </i>
    <i r="1">
      <x v="1"/>
    </i>
    <i r="1">
      <x v="2"/>
    </i>
    <i r="1">
      <x v="3"/>
    </i>
    <i r="1">
      <x v="4"/>
    </i>
    <i r="1">
      <x v="5"/>
    </i>
    <i r="1">
      <x v="6"/>
    </i>
    <i r="1">
      <x v="7"/>
    </i>
    <i r="1">
      <x v="8"/>
    </i>
    <i r="1">
      <x v="9"/>
    </i>
    <i r="1">
      <x v="10"/>
    </i>
    <i r="1">
      <x v="11"/>
    </i>
    <i>
      <x v="1"/>
    </i>
    <i r="1">
      <x v="1"/>
    </i>
    <i r="1">
      <x v="2"/>
    </i>
    <i r="1">
      <x v="3"/>
    </i>
    <i r="1">
      <x v="4"/>
    </i>
    <i r="1">
      <x v="5"/>
    </i>
    <i r="1">
      <x v="9"/>
    </i>
    <i t="grand">
      <x/>
    </i>
  </rowItems>
  <colFields count="1">
    <field x="-2"/>
  </colFields>
  <colItems count="2">
    <i>
      <x/>
    </i>
    <i i="1">
      <x v="1"/>
    </i>
  </colItems>
  <dataFields count="2">
    <dataField name="Toplam Sipariş Tutarı" fld="13" baseField="0" baseItem="0" numFmtId="165"/>
    <dataField name="Toplam Sipariş Sayısı" fld="3" subtotal="count" baseField="0" baseItem="0"/>
  </dataFields>
  <chartFormats count="8">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 chart="7" format="7"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 chart="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843567-B146-4E64-9A68-CE4F4569802B}" name="PivotTable3" cacheId="8" applyNumberFormats="0" applyBorderFormats="0" applyFontFormats="0" applyPatternFormats="0" applyAlignmentFormats="0" applyWidthHeightFormats="1" dataCaption="Değerler" updatedVersion="7" minRefreshableVersion="3" useAutoFormatting="1" itemPrintTitles="1" createdVersion="7" indent="0" outline="1" outlineData="1" multipleFieldFilters="0" chartFormat="15">
  <location ref="X3:X4" firstHeaderRow="1" firstDataRow="1" firstDataCol="0"/>
  <pivotFields count="14">
    <pivotField name="Ay2" showAll="0">
      <items count="13">
        <item x="0"/>
        <item x="2"/>
        <item x="3"/>
        <item x="10"/>
        <item x="1"/>
        <item x="6"/>
        <item x="4"/>
        <item x="5"/>
        <item x="11"/>
        <item x="9"/>
        <item x="7"/>
        <item x="8"/>
        <item t="default"/>
      </items>
    </pivotField>
    <pivotField showAll="0">
      <items count="3">
        <item x="1"/>
        <item x="0"/>
        <item t="default"/>
      </items>
    </pivotField>
    <pivotField dataField="1" numFmtId="14" showAll="0"/>
    <pivotField showAll="0">
      <items count="5">
        <item x="1"/>
        <item x="3"/>
        <item x="0"/>
        <item x="2"/>
        <item t="default"/>
      </items>
    </pivotField>
    <pivotField showAll="0">
      <items count="4">
        <item x="2"/>
        <item x="1"/>
        <item x="0"/>
        <item t="default"/>
      </items>
    </pivotField>
    <pivotField showAll="0"/>
    <pivotField showAll="0">
      <items count="5">
        <item x="1"/>
        <item x="3"/>
        <item x="2"/>
        <item x="0"/>
        <item t="default"/>
      </items>
    </pivotField>
    <pivotField showAll="0">
      <items count="7">
        <item x="2"/>
        <item x="0"/>
        <item x="1"/>
        <item x="5"/>
        <item x="3"/>
        <item x="4"/>
        <item t="default"/>
      </items>
    </pivotField>
    <pivotField showAll="0"/>
    <pivotField showAll="0"/>
    <pivotField showAll="0"/>
    <pivotField numFmtId="8" showAll="0"/>
    <pivotField showAll="0"/>
    <pivotField numFmtId="8" showAll="0"/>
  </pivotFields>
  <rowItems count="1">
    <i/>
  </rowItems>
  <colItems count="1">
    <i/>
  </colItems>
  <dataFields count="1">
    <dataField name="Toplam Sipariş Adeti"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154D32-E819-4B01-BA76-5D09151F0794}" name="PivotTable2" cacheId="8" applyNumberFormats="0" applyBorderFormats="0" applyFontFormats="0" applyPatternFormats="0" applyAlignmentFormats="0" applyWidthHeightFormats="1" dataCaption="Değerler" updatedVersion="7" minRefreshableVersion="3" useAutoFormatting="1" itemPrintTitles="1" createdVersion="7" indent="0" outline="1" outlineData="1" multipleFieldFilters="0" chartFormat="15">
  <location ref="T3:T4" firstHeaderRow="1" firstDataRow="1" firstDataCol="0"/>
  <pivotFields count="14">
    <pivotField name="Ay2" showAll="0">
      <items count="13">
        <item x="0"/>
        <item x="2"/>
        <item x="3"/>
        <item x="10"/>
        <item x="1"/>
        <item x="6"/>
        <item x="4"/>
        <item x="5"/>
        <item x="11"/>
        <item x="9"/>
        <item x="7"/>
        <item x="8"/>
        <item t="default"/>
      </items>
    </pivotField>
    <pivotField showAll="0">
      <items count="3">
        <item x="1"/>
        <item x="0"/>
        <item t="default"/>
      </items>
    </pivotField>
    <pivotField numFmtId="14" showAll="0"/>
    <pivotField showAll="0">
      <items count="5">
        <item x="1"/>
        <item x="3"/>
        <item x="0"/>
        <item x="2"/>
        <item t="default"/>
      </items>
    </pivotField>
    <pivotField showAll="0">
      <items count="4">
        <item x="2"/>
        <item x="1"/>
        <item x="0"/>
        <item t="default"/>
      </items>
    </pivotField>
    <pivotField showAll="0"/>
    <pivotField showAll="0">
      <items count="5">
        <item x="1"/>
        <item x="3"/>
        <item x="2"/>
        <item x="0"/>
        <item t="default"/>
      </items>
    </pivotField>
    <pivotField showAll="0">
      <items count="7">
        <item x="2"/>
        <item x="0"/>
        <item x="1"/>
        <item x="5"/>
        <item x="3"/>
        <item x="4"/>
        <item t="default"/>
      </items>
    </pivotField>
    <pivotField showAll="0"/>
    <pivotField showAll="0"/>
    <pivotField showAll="0"/>
    <pivotField numFmtId="8" showAll="0"/>
    <pivotField showAll="0"/>
    <pivotField dataField="1" numFmtId="8" showAll="0"/>
  </pivotFields>
  <rowItems count="1">
    <i/>
  </rowItems>
  <colItems count="1">
    <i/>
  </colItems>
  <dataFields count="1">
    <dataField name="Toplam Sipariş Tutarı" fld="13" baseField="0" baseItem="0" numFmtId="164"/>
  </dataFields>
  <chartFormats count="1">
    <chartFormat chart="1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DD09EA-B825-4AA2-A040-FE1F0D62CFD8}" name="PivotTable5" cacheId="8" applyNumberFormats="0" applyBorderFormats="0" applyFontFormats="0" applyPatternFormats="0" applyAlignmentFormats="0" applyWidthHeightFormats="1" dataCaption="Değerler" updatedVersion="7" minRefreshableVersion="3" useAutoFormatting="1" itemPrintTitles="1" createdVersion="7" indent="0" outline="1" outlineData="1" multipleFieldFilters="0" chartFormat="5">
  <location ref="E3:F8" firstHeaderRow="1" firstDataRow="1" firstDataCol="1"/>
  <pivotFields count="14">
    <pivotField name="Ay2" showAll="0">
      <items count="13">
        <item x="0"/>
        <item x="2"/>
        <item x="3"/>
        <item x="10"/>
        <item x="1"/>
        <item x="6"/>
        <item x="4"/>
        <item x="5"/>
        <item x="11"/>
        <item x="9"/>
        <item x="7"/>
        <item x="8"/>
        <item t="default"/>
      </items>
    </pivotField>
    <pivotField showAll="0">
      <items count="3">
        <item x="1"/>
        <item x="0"/>
        <item t="default"/>
      </items>
    </pivotField>
    <pivotField numFmtId="14" showAll="0"/>
    <pivotField showAll="0">
      <items count="5">
        <item x="1"/>
        <item x="3"/>
        <item x="0"/>
        <item x="2"/>
        <item t="default"/>
      </items>
    </pivotField>
    <pivotField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items count="7">
        <item x="2"/>
        <item x="0"/>
        <item x="1"/>
        <item x="5"/>
        <item x="3"/>
        <item x="4"/>
        <item t="default"/>
      </items>
    </pivotField>
    <pivotField showAll="0"/>
    <pivotField showAll="0"/>
    <pivotField showAll="0"/>
    <pivotField numFmtId="8" showAll="0"/>
    <pivotField showAll="0"/>
    <pivotField dataField="1" numFmtId="8" showAll="0"/>
  </pivotFields>
  <rowFields count="1">
    <field x="6"/>
  </rowFields>
  <rowItems count="5">
    <i>
      <x/>
    </i>
    <i>
      <x v="3"/>
    </i>
    <i>
      <x v="2"/>
    </i>
    <i>
      <x v="1"/>
    </i>
    <i t="grand">
      <x/>
    </i>
  </rowItems>
  <colItems count="1">
    <i/>
  </colItems>
  <dataFields count="1">
    <dataField name="Toplam Toplam Tutar" fld="13" baseField="0"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EDEEB0-5629-45AF-A801-1FAEBA87231F}" name="PivotTable1" cacheId="8" applyNumberFormats="0" applyBorderFormats="0" applyFontFormats="0" applyPatternFormats="0" applyAlignmentFormats="0" applyWidthHeightFormats="1" dataCaption="Değerler" updatedVersion="7" minRefreshableVersion="3" useAutoFormatting="1" itemPrintTitles="1" createdVersion="7" indent="0" outline="1" outlineData="1" multipleFieldFilters="0" chartFormat="19">
  <location ref="O3:P8" firstHeaderRow="1" firstDataRow="1" firstDataCol="1"/>
  <pivotFields count="14">
    <pivotField name="Ay2" showAll="0">
      <items count="13">
        <item x="0"/>
        <item x="2"/>
        <item x="3"/>
        <item x="10"/>
        <item x="1"/>
        <item x="6"/>
        <item x="4"/>
        <item x="5"/>
        <item x="11"/>
        <item x="9"/>
        <item x="7"/>
        <item x="8"/>
        <item t="default"/>
      </items>
    </pivotField>
    <pivotField showAll="0">
      <items count="3">
        <item x="1"/>
        <item x="0"/>
        <item t="default"/>
      </items>
    </pivotField>
    <pivotField numFmtId="14" showAll="0"/>
    <pivotField axis="axisRow" showAll="0">
      <items count="5">
        <item x="1"/>
        <item x="3"/>
        <item x="2"/>
        <item x="0"/>
        <item t="default"/>
      </items>
    </pivotField>
    <pivotField showAll="0">
      <items count="4">
        <item x="2"/>
        <item x="1"/>
        <item x="0"/>
        <item t="default"/>
      </items>
    </pivotField>
    <pivotField showAll="0"/>
    <pivotField showAll="0">
      <items count="5">
        <item x="1"/>
        <item x="3"/>
        <item x="2"/>
        <item x="0"/>
        <item t="default"/>
      </items>
    </pivotField>
    <pivotField showAll="0">
      <items count="7">
        <item x="2"/>
        <item x="0"/>
        <item x="1"/>
        <item x="5"/>
        <item x="3"/>
        <item x="4"/>
        <item t="default"/>
      </items>
    </pivotField>
    <pivotField showAll="0"/>
    <pivotField showAll="0"/>
    <pivotField showAll="0"/>
    <pivotField numFmtId="8" showAll="0"/>
    <pivotField showAll="0"/>
    <pivotField dataField="1" numFmtId="8" showAll="0"/>
  </pivotFields>
  <rowFields count="1">
    <field x="3"/>
  </rowFields>
  <rowItems count="5">
    <i>
      <x/>
    </i>
    <i>
      <x v="1"/>
    </i>
    <i>
      <x v="2"/>
    </i>
    <i>
      <x v="3"/>
    </i>
    <i t="grand">
      <x/>
    </i>
  </rowItems>
  <colItems count="1">
    <i/>
  </colItems>
  <dataFields count="1">
    <dataField name="Say Toplam Tutar" fld="13" subtotal="count" baseField="2" baseItem="2"/>
  </dataFields>
  <chartFormats count="1">
    <chartFormat chart="18" format="15"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9B66FD-C8A2-44C7-8D8D-B8CB82DF48EE}" name="PivotTable4" cacheId="8" applyNumberFormats="0" applyBorderFormats="0" applyFontFormats="0" applyPatternFormats="0" applyAlignmentFormats="0" applyWidthHeightFormats="1" dataCaption="Değerler" updatedVersion="7" minRefreshableVersion="3" useAutoFormatting="1" itemPrintTitles="1" createdVersion="7" indent="0" outline="1" outlineData="1" multipleFieldFilters="0" chartFormat="4">
  <location ref="A3:B7" firstHeaderRow="1" firstDataRow="1" firstDataCol="1"/>
  <pivotFields count="14">
    <pivotField name="Ay2" showAll="0">
      <items count="13">
        <item x="0"/>
        <item x="2"/>
        <item x="3"/>
        <item x="10"/>
        <item x="1"/>
        <item x="6"/>
        <item x="4"/>
        <item x="5"/>
        <item x="11"/>
        <item x="9"/>
        <item x="7"/>
        <item x="8"/>
        <item t="default"/>
      </items>
    </pivotField>
    <pivotField showAll="0">
      <items count="3">
        <item x="1"/>
        <item x="0"/>
        <item t="default"/>
      </items>
    </pivotField>
    <pivotField numFmtId="14" showAll="0"/>
    <pivotField showAll="0">
      <items count="5">
        <item x="1"/>
        <item x="3"/>
        <item x="0"/>
        <item x="2"/>
        <item t="default"/>
      </items>
    </pivotField>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items count="5">
        <item x="1"/>
        <item x="3"/>
        <item x="2"/>
        <item x="0"/>
        <item t="default"/>
      </items>
    </pivotField>
    <pivotField showAll="0">
      <items count="7">
        <item x="2"/>
        <item x="0"/>
        <item x="1"/>
        <item x="5"/>
        <item x="3"/>
        <item x="4"/>
        <item t="default"/>
      </items>
    </pivotField>
    <pivotField showAll="0"/>
    <pivotField showAll="0"/>
    <pivotField showAll="0"/>
    <pivotField numFmtId="8" showAll="0"/>
    <pivotField showAll="0"/>
    <pivotField dataField="1" numFmtId="8" showAll="0"/>
  </pivotFields>
  <rowFields count="1">
    <field x="4"/>
  </rowFields>
  <rowItems count="4">
    <i>
      <x/>
    </i>
    <i>
      <x v="1"/>
    </i>
    <i>
      <x v="2"/>
    </i>
    <i t="grand">
      <x/>
    </i>
  </rowItems>
  <colItems count="1">
    <i/>
  </colItems>
  <dataFields count="1">
    <dataField name="Toplam Toplam Tutar" fld="13" baseField="0" baseItem="0" numFmtId="164"/>
  </dataFields>
  <formats count="1">
    <format dxfId="0">
      <pivotArea collapsedLevelsAreSubtotals="1" fieldPosition="0">
        <references count="1">
          <reference field="4" count="1">
            <x v="1"/>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925D30-B1D0-4744-B56C-FBCA78BEB96B}" name="PivotTable7" cacheId="8" applyNumberFormats="0" applyBorderFormats="0" applyFontFormats="0" applyPatternFormats="0" applyAlignmentFormats="0" applyWidthHeightFormats="1" dataCaption="Değerler" updatedVersion="7" minRefreshableVersion="3" useAutoFormatting="1" itemPrintTitles="1" createdVersion="7" indent="0" outline="1" outlineData="1" multipleFieldFilters="0" chartFormat="15">
  <location ref="AB3:AB4" firstHeaderRow="1" firstDataRow="1" firstDataCol="0"/>
  <pivotFields count="14">
    <pivotField name="Ay2" showAll="0">
      <items count="13">
        <item x="0"/>
        <item x="2"/>
        <item x="3"/>
        <item x="10"/>
        <item x="1"/>
        <item x="6"/>
        <item x="4"/>
        <item x="5"/>
        <item x="11"/>
        <item x="9"/>
        <item x="7"/>
        <item x="8"/>
        <item t="default"/>
      </items>
    </pivotField>
    <pivotField showAll="0">
      <items count="3">
        <item x="1"/>
        <item x="0"/>
        <item t="default"/>
      </items>
    </pivotField>
    <pivotField numFmtId="14" showAll="0"/>
    <pivotField showAll="0">
      <items count="5">
        <item x="1"/>
        <item x="3"/>
        <item x="0"/>
        <item x="2"/>
        <item t="default"/>
      </items>
    </pivotField>
    <pivotField showAll="0">
      <items count="4">
        <item x="2"/>
        <item x="1"/>
        <item x="0"/>
        <item t="default"/>
      </items>
    </pivotField>
    <pivotField showAll="0"/>
    <pivotField showAll="0">
      <items count="5">
        <item x="1"/>
        <item x="3"/>
        <item x="2"/>
        <item x="0"/>
        <item t="default"/>
      </items>
    </pivotField>
    <pivotField showAll="0">
      <items count="7">
        <item x="2"/>
        <item x="0"/>
        <item x="1"/>
        <item x="5"/>
        <item x="3"/>
        <item x="4"/>
        <item t="default"/>
      </items>
    </pivotField>
    <pivotField showAll="0"/>
    <pivotField showAll="0"/>
    <pivotField dataField="1" showAll="0"/>
    <pivotField numFmtId="8" showAll="0"/>
    <pivotField showAll="0"/>
    <pivotField numFmtId="8" showAll="0"/>
  </pivotFields>
  <rowItems count="1">
    <i/>
  </rowItems>
  <colItems count="1">
    <i/>
  </colItems>
  <dataFields count="1">
    <dataField name="Toplam Sipariş Adeti"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Sipariş_Durumu" xr10:uid="{1B62AE51-6954-45C7-8EC2-C4E6FC9FA695}" sourceName="Sipariş Durumu">
  <pivotTables>
    <pivotTable tabId="16" name="PivotTable5"/>
    <pivotTable tabId="16" name="PivotTable6"/>
    <pivotTable tabId="16" name="PivotTable4"/>
    <pivotTable tabId="16" name="PivotTable1"/>
    <pivotTable tabId="16" name="PivotTable2"/>
    <pivotTable tabId="16" name="PivotTable3"/>
    <pivotTable tabId="16" name="PivotTable7"/>
  </pivotTables>
  <data>
    <tabular pivotCacheId="1497105025">
      <items count="4">
        <i x="1" s="1"/>
        <i x="3" s="1"/>
        <i x="0"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Ödeme_Tipi" xr10:uid="{713E3435-A1A5-49BB-A049-9B264EC89A16}" sourceName="Ödeme Tipi">
  <pivotTables>
    <pivotTable tabId="16" name="PivotTable5"/>
    <pivotTable tabId="16" name="PivotTable1"/>
    <pivotTable tabId="16" name="PivotTable2"/>
    <pivotTable tabId="16" name="PivotTable3"/>
    <pivotTable tabId="16" name="PivotTable4"/>
    <pivotTable tabId="16" name="PivotTable6"/>
    <pivotTable tabId="16" name="PivotTable7"/>
  </pivotTables>
  <data>
    <tabular pivotCacheId="1497105025">
      <items count="3">
        <i x="2" s="1"/>
        <i x="1"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Kategori" xr10:uid="{F1D379DB-762F-482D-B3AB-24DC2A7C6CF1}" sourceName="Kategori">
  <pivotTables>
    <pivotTable tabId="16" name="PivotTable6"/>
    <pivotTable tabId="16" name="PivotTable4"/>
    <pivotTable tabId="16" name="PivotTable5"/>
    <pivotTable tabId="16" name="PivotTable1"/>
    <pivotTable tabId="16" name="PivotTable2"/>
    <pivotTable tabId="16" name="PivotTable3"/>
    <pivotTable tabId="16" name="PivotTable7"/>
  </pivotTables>
  <data>
    <tabular pivotCacheId="1497105025">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Ürün_Adı" xr10:uid="{6CCF92B6-A56A-40F6-8B4B-AF3A4683A99B}" sourceName="Ürün Adı">
  <pivotTables>
    <pivotTable tabId="16" name="PivotTable5"/>
    <pivotTable tabId="16" name="PivotTable1"/>
    <pivotTable tabId="16" name="PivotTable2"/>
    <pivotTable tabId="16" name="PivotTable3"/>
    <pivotTable tabId="16" name="PivotTable4"/>
    <pivotTable tabId="16" name="PivotTable6"/>
    <pivotTable tabId="16" name="PivotTable7"/>
  </pivotTables>
  <data>
    <tabular pivotCacheId="1497105025">
      <items count="6">
        <i x="2" s="1"/>
        <i x="0" s="1"/>
        <i x="1" s="1"/>
        <i x="5"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y" xr10:uid="{D72B7066-D989-4210-B2FC-B95C21A13FB2}" sourceName="Ay">
  <pivotTables>
    <pivotTable tabId="16" name="PivotTable6"/>
    <pivotTable tabId="16" name="PivotTable1"/>
    <pivotTable tabId="16" name="PivotTable2"/>
    <pivotTable tabId="16" name="PivotTable3"/>
    <pivotTable tabId="16" name="PivotTable4"/>
    <pivotTable tabId="16" name="PivotTable5"/>
    <pivotTable tabId="16" name="PivotTable7"/>
  </pivotTables>
  <data>
    <tabular pivotCacheId="1497105025">
      <items count="12">
        <i x="0" s="1"/>
        <i x="2" s="1"/>
        <i x="3" s="1"/>
        <i x="10" s="1"/>
        <i x="1" s="1"/>
        <i x="6" s="1"/>
        <i x="4" s="1"/>
        <i x="5" s="1"/>
        <i x="11" s="1"/>
        <i x="9" s="1"/>
        <i x="7" s="1"/>
        <i x="8"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ıl" xr10:uid="{AFD73BDD-2539-44A4-ACD7-3E1372405054}" sourceName="Yıl">
  <pivotTables>
    <pivotTable tabId="16" name="PivotTable6"/>
    <pivotTable tabId="16" name="PivotTable1"/>
    <pivotTable tabId="16" name="PivotTable2"/>
    <pivotTable tabId="16" name="PivotTable3"/>
    <pivotTable tabId="16" name="PivotTable4"/>
    <pivotTable tabId="16" name="PivotTable5"/>
    <pivotTable tabId="16" name="PivotTable7"/>
  </pivotTables>
  <data>
    <tabular pivotCacheId="1497105025">
      <items count="2">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pariş Durumu" xr10:uid="{5A720D82-52E3-44E2-B14E-3FDE43D93B98}" cache="Dilimleyici_Sipariş_Durumu" caption="Sipariş Durumu" columnCount="2" style="751_Custom_Slicer" rowHeight="252000"/>
  <slicer name="Ödeme Tipi" xr10:uid="{ACAB892B-000B-45DF-A500-FF13842E6DA3}" cache="Dilimleyici_Ödeme_Tipi" caption="Ödeme Tipi" style="751_Custom_Slicer" rowHeight="252000"/>
  <slicer name="Kategori" xr10:uid="{307335E2-E124-4BBB-9C60-D216AFE9E9E9}" cache="Dilimleyici_Kategori" caption="Kategori" columnCount="2" style="751_Custom_Slicer 2" rowHeight="252000"/>
  <slicer name="Ürün Adı" xr10:uid="{4A315DD9-0AFC-47C8-B2CF-E499908C1E8A}" cache="Dilimleyici_Ürün_Adı" caption="Ürün Adı" columnCount="2" style="751_Custom_Slicer 2" rowHeight="273050"/>
  <slicer name="Ay" xr10:uid="{DE428338-A4E6-442A-970D-EF6A5D543FBF}" cache="Slicer_Ay" caption="Ay" columnCount="3" style="SlicerStyleLight4 2" rowHeight="252000"/>
  <slicer name="Yıl" xr10:uid="{83435196-D900-4AA2-9B33-B84641126FB4}" cache="Slicer_Yıl" caption="Yıl" style="SlicerStyleLight4 2"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7C2E99-21FE-4338-AFEC-284844390965}" name="Tbl_Siparişler" displayName="Tbl_Siparişler" ref="A1:N64" totalsRowShown="0" headerRowDxfId="16" dataDxfId="15">
  <autoFilter ref="A1:N64" xr:uid="{C77C2E99-21FE-4338-AFEC-284844390965}"/>
  <tableColumns count="14">
    <tableColumn id="17" xr3:uid="{F17CADFD-5E86-4D80-89BF-8E168A502190}" name="Ay" dataDxfId="14"/>
    <tableColumn id="16" xr3:uid="{F82AC645-7D74-4C71-B16A-31E227549C75}" name="Yıl" dataDxfId="13"/>
    <tableColumn id="1" xr3:uid="{88E6953A-6982-4504-8E80-51F88214448C}" name="Tarih" dataDxfId="12"/>
    <tableColumn id="2" xr3:uid="{E419C640-D173-4D3B-8F9E-E694BABA4512}" name="Sipariş Durumu" dataDxfId="11"/>
    <tableColumn id="3" xr3:uid="{E51A31DB-F0E1-4DCA-817D-FE5D237420DF}" name="Ödeme Tipi" dataDxfId="10"/>
    <tableColumn id="4" xr3:uid="{1D7A96A3-8DC3-47B7-B5E5-99A774CE4661}" name="Firma / Müşteri Adı" dataDxfId="9"/>
    <tableColumn id="5" xr3:uid="{A1EF2AD0-CD1E-4D80-858D-6A66313C2D85}" name="Kategori" dataDxfId="8"/>
    <tableColumn id="6" xr3:uid="{66AF279C-BC26-4F0A-BDD1-3C0698552A62}" name="Ürün Adı" dataDxfId="7"/>
    <tableColumn id="14" xr3:uid="{35A1CB2C-2872-44EE-BA1A-5E48F09B8A6D}" name="Renk" dataDxfId="6"/>
    <tableColumn id="12" xr3:uid="{79BA3AAB-EBA8-4E48-A524-632A73C310B1}" name="Kalite" dataDxfId="5"/>
    <tableColumn id="7" xr3:uid="{53EDA844-467B-4943-91A2-713C98FA98C5}" name="Sipariş Adeti" dataDxfId="4"/>
    <tableColumn id="13" xr3:uid="{02037B32-8955-4A2D-AA7E-6637ADBC6D0D}" name="Tahsilat" dataDxfId="3"/>
    <tableColumn id="8" xr3:uid="{BE9294C7-D63E-4F9E-8FEE-9CB3B17F4061}" name="Birim Satış Fiyatı" dataDxfId="2"/>
    <tableColumn id="9" xr3:uid="{67CBF9E9-4174-4BAC-8B26-FBB364ACF21F}" name="Toplam Tutar" dataDxfId="1"/>
  </tableColumns>
  <tableStyleInfo name="751_Custom" showFirstColumn="0" showLastColumn="0" showRowStripes="1" showColumnStripes="1"/>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Montserrat">
      <a:majorFont>
        <a:latin typeface="Montserrat"/>
        <a:ea typeface=""/>
        <a:cs typeface=""/>
      </a:majorFont>
      <a:minorFont>
        <a:latin typeface="Montserrat"/>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313F2-A51C-44D1-AB19-3907B3B455F0}">
  <sheetPr codeName="Sayfa1">
    <tabColor theme="9" tint="0.39997558519241921"/>
  </sheetPr>
  <dimension ref="B1:F5"/>
  <sheetViews>
    <sheetView showGridLines="0" zoomScale="70" zoomScaleNormal="70" workbookViewId="0">
      <selection activeCell="B2" sqref="B2:F5"/>
    </sheetView>
  </sheetViews>
  <sheetFormatPr defaultColWidth="4.9140625" defaultRowHeight="30" customHeight="1" x14ac:dyDescent="0.4"/>
  <cols>
    <col min="1" max="1" width="6.4140625" customWidth="1"/>
  </cols>
  <sheetData>
    <row r="1" spans="2:6" ht="20.399999999999999" customHeight="1" x14ac:dyDescent="0.4"/>
    <row r="2" spans="2:6" ht="37.799999999999997" customHeight="1" x14ac:dyDescent="0.4">
      <c r="B2" s="14"/>
      <c r="C2" s="14"/>
      <c r="D2" s="14"/>
      <c r="E2" s="14"/>
      <c r="F2" s="14"/>
    </row>
    <row r="3" spans="2:6" ht="30" customHeight="1" x14ac:dyDescent="0.4">
      <c r="B3" s="14"/>
      <c r="C3" s="14"/>
      <c r="D3" s="14"/>
      <c r="E3" s="14"/>
      <c r="F3" s="14"/>
    </row>
    <row r="4" spans="2:6" ht="30" customHeight="1" x14ac:dyDescent="0.4">
      <c r="B4" s="14"/>
      <c r="C4" s="14"/>
      <c r="D4" s="14"/>
      <c r="E4" s="14"/>
      <c r="F4" s="14"/>
    </row>
    <row r="5" spans="2:6" ht="30" customHeight="1" x14ac:dyDescent="0.4">
      <c r="B5" s="14"/>
      <c r="C5" s="14"/>
      <c r="D5" s="14"/>
      <c r="E5" s="14"/>
      <c r="F5" s="14"/>
    </row>
  </sheetData>
  <sheetProtection selectLockedCells="1" pivotTables="0" selectUnlockedCells="1"/>
  <mergeCells count="1">
    <mergeCell ref="B2:F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2BFC-1186-4A67-8667-52CD59586CFD}">
  <sheetPr codeName="Sayfa4">
    <tabColor theme="8" tint="0.39997558519241921"/>
  </sheetPr>
  <dimension ref="A1:N64"/>
  <sheetViews>
    <sheetView showGridLines="0" topLeftCell="C1" zoomScale="70" zoomScaleNormal="70" workbookViewId="0">
      <selection activeCell="C1" sqref="C1"/>
    </sheetView>
  </sheetViews>
  <sheetFormatPr defaultRowHeight="30" customHeight="1" x14ac:dyDescent="0.4"/>
  <cols>
    <col min="1" max="2" width="10.9140625" hidden="1" customWidth="1"/>
    <col min="3" max="3" width="11.5" customWidth="1"/>
    <col min="4" max="4" width="15.9140625" customWidth="1"/>
    <col min="5" max="5" width="13.4140625" customWidth="1"/>
    <col min="6" max="6" width="16.83203125" customWidth="1"/>
    <col min="7" max="7" width="16.5" customWidth="1"/>
    <col min="8" max="8" width="20.6640625" customWidth="1"/>
    <col min="9" max="10" width="13.6640625" customWidth="1"/>
    <col min="11" max="12" width="10.9140625" customWidth="1"/>
    <col min="13" max="13" width="11.83203125" customWidth="1"/>
    <col min="14" max="14" width="14.25" customWidth="1"/>
  </cols>
  <sheetData>
    <row r="1" spans="1:14" ht="39.6" customHeight="1" x14ac:dyDescent="0.4">
      <c r="A1" s="13" t="s">
        <v>113</v>
      </c>
      <c r="B1" s="13" t="s">
        <v>114</v>
      </c>
      <c r="C1" s="13" t="s">
        <v>7</v>
      </c>
      <c r="D1" s="13" t="s">
        <v>3</v>
      </c>
      <c r="E1" s="13" t="s">
        <v>8</v>
      </c>
      <c r="F1" s="13" t="s">
        <v>77</v>
      </c>
      <c r="G1" s="13" t="s">
        <v>1</v>
      </c>
      <c r="H1" s="13" t="s">
        <v>0</v>
      </c>
      <c r="I1" s="13" t="s">
        <v>75</v>
      </c>
      <c r="J1" s="13" t="s">
        <v>76</v>
      </c>
      <c r="K1" s="13" t="s">
        <v>12</v>
      </c>
      <c r="L1" s="13" t="s">
        <v>74</v>
      </c>
      <c r="M1" s="13" t="s">
        <v>97</v>
      </c>
      <c r="N1" s="13" t="s">
        <v>2</v>
      </c>
    </row>
    <row r="2" spans="1:14" ht="30" customHeight="1" x14ac:dyDescent="0.4">
      <c r="A2" s="8" t="s">
        <v>98</v>
      </c>
      <c r="B2" s="8">
        <v>2022</v>
      </c>
      <c r="C2" s="9">
        <v>44566</v>
      </c>
      <c r="D2" s="10" t="s">
        <v>72</v>
      </c>
      <c r="E2" s="10" t="s">
        <v>9</v>
      </c>
      <c r="F2" s="10" t="s">
        <v>73</v>
      </c>
      <c r="G2" s="10" t="s">
        <v>90</v>
      </c>
      <c r="H2" s="10" t="s">
        <v>95</v>
      </c>
      <c r="I2" s="10" t="s">
        <v>83</v>
      </c>
      <c r="J2" s="8" t="s">
        <v>84</v>
      </c>
      <c r="K2" s="8">
        <v>3</v>
      </c>
      <c r="L2" s="11">
        <v>46</v>
      </c>
      <c r="M2" s="12">
        <v>50</v>
      </c>
      <c r="N2" s="12">
        <v>150</v>
      </c>
    </row>
    <row r="3" spans="1:14" ht="30" customHeight="1" x14ac:dyDescent="0.4">
      <c r="A3" s="8" t="s">
        <v>102</v>
      </c>
      <c r="B3" s="8">
        <v>2022</v>
      </c>
      <c r="C3" s="9">
        <v>44696</v>
      </c>
      <c r="D3" s="10" t="s">
        <v>5</v>
      </c>
      <c r="E3" s="10" t="s">
        <v>9</v>
      </c>
      <c r="F3" s="10" t="s">
        <v>14</v>
      </c>
      <c r="G3" s="10" t="s">
        <v>93</v>
      </c>
      <c r="H3" s="10" t="s">
        <v>89</v>
      </c>
      <c r="I3" s="10" t="s">
        <v>81</v>
      </c>
      <c r="J3" s="8" t="s">
        <v>85</v>
      </c>
      <c r="K3" s="8">
        <v>10</v>
      </c>
      <c r="L3" s="11">
        <v>300</v>
      </c>
      <c r="M3" s="12">
        <v>30</v>
      </c>
      <c r="N3" s="12">
        <v>300</v>
      </c>
    </row>
    <row r="4" spans="1:14" ht="30" customHeight="1" x14ac:dyDescent="0.4">
      <c r="A4" s="8" t="s">
        <v>99</v>
      </c>
      <c r="B4" s="8">
        <v>2022</v>
      </c>
      <c r="C4" s="9">
        <v>44609</v>
      </c>
      <c r="D4" s="10" t="s">
        <v>5</v>
      </c>
      <c r="E4" s="10" t="s">
        <v>10</v>
      </c>
      <c r="F4" s="10" t="s">
        <v>111</v>
      </c>
      <c r="G4" s="10" t="s">
        <v>92</v>
      </c>
      <c r="H4" s="10" t="s">
        <v>96</v>
      </c>
      <c r="I4" s="10" t="s">
        <v>79</v>
      </c>
      <c r="J4" s="8" t="s">
        <v>85</v>
      </c>
      <c r="K4" s="8">
        <v>8</v>
      </c>
      <c r="L4" s="11">
        <v>37</v>
      </c>
      <c r="M4" s="12">
        <v>50</v>
      </c>
      <c r="N4" s="12">
        <v>400</v>
      </c>
    </row>
    <row r="5" spans="1:14" ht="30" customHeight="1" x14ac:dyDescent="0.4">
      <c r="A5" s="8" t="s">
        <v>100</v>
      </c>
      <c r="B5" s="8">
        <v>2022</v>
      </c>
      <c r="C5" s="9">
        <v>44638</v>
      </c>
      <c r="D5" s="10" t="s">
        <v>72</v>
      </c>
      <c r="E5" s="10" t="s">
        <v>10</v>
      </c>
      <c r="F5" s="10" t="s">
        <v>15</v>
      </c>
      <c r="G5" s="10" t="s">
        <v>91</v>
      </c>
      <c r="H5" s="10" t="s">
        <v>88</v>
      </c>
      <c r="I5" s="10" t="s">
        <v>82</v>
      </c>
      <c r="J5" s="8" t="s">
        <v>86</v>
      </c>
      <c r="K5" s="8">
        <v>6</v>
      </c>
      <c r="L5" s="11">
        <v>55</v>
      </c>
      <c r="M5" s="12">
        <v>10</v>
      </c>
      <c r="N5" s="12">
        <v>60</v>
      </c>
    </row>
    <row r="6" spans="1:14" ht="30" customHeight="1" x14ac:dyDescent="0.4">
      <c r="A6" s="8" t="s">
        <v>104</v>
      </c>
      <c r="B6" s="8">
        <v>2022</v>
      </c>
      <c r="C6" s="9">
        <v>44761</v>
      </c>
      <c r="D6" s="10" t="s">
        <v>6</v>
      </c>
      <c r="E6" s="10" t="s">
        <v>11</v>
      </c>
      <c r="F6" s="10" t="s">
        <v>16</v>
      </c>
      <c r="G6" s="10" t="s">
        <v>93</v>
      </c>
      <c r="H6" s="10" t="s">
        <v>89</v>
      </c>
      <c r="I6" s="10" t="s">
        <v>79</v>
      </c>
      <c r="J6" s="8" t="s">
        <v>84</v>
      </c>
      <c r="K6" s="8">
        <v>8</v>
      </c>
      <c r="L6" s="11">
        <v>640</v>
      </c>
      <c r="M6" s="12">
        <v>80</v>
      </c>
      <c r="N6" s="12">
        <v>640</v>
      </c>
    </row>
    <row r="7" spans="1:14" ht="30" customHeight="1" x14ac:dyDescent="0.4">
      <c r="A7" s="8" t="s">
        <v>105</v>
      </c>
      <c r="B7" s="8">
        <v>2022</v>
      </c>
      <c r="C7" s="9">
        <v>44775</v>
      </c>
      <c r="D7" s="10" t="s">
        <v>4</v>
      </c>
      <c r="E7" s="10" t="s">
        <v>9</v>
      </c>
      <c r="F7" s="10" t="s">
        <v>17</v>
      </c>
      <c r="G7" s="10" t="s">
        <v>93</v>
      </c>
      <c r="H7" s="10" t="s">
        <v>89</v>
      </c>
      <c r="I7" s="10" t="s">
        <v>81</v>
      </c>
      <c r="J7" s="8" t="s">
        <v>85</v>
      </c>
      <c r="K7" s="8">
        <v>7</v>
      </c>
      <c r="L7" s="11">
        <v>210</v>
      </c>
      <c r="M7" s="12">
        <v>30</v>
      </c>
      <c r="N7" s="12">
        <v>210</v>
      </c>
    </row>
    <row r="8" spans="1:14" ht="30" customHeight="1" x14ac:dyDescent="0.4">
      <c r="A8" s="8" t="s">
        <v>98</v>
      </c>
      <c r="B8" s="8">
        <v>2022</v>
      </c>
      <c r="C8" s="9">
        <v>44575</v>
      </c>
      <c r="D8" s="10" t="s">
        <v>72</v>
      </c>
      <c r="E8" s="10" t="s">
        <v>10</v>
      </c>
      <c r="F8" s="10" t="s">
        <v>18</v>
      </c>
      <c r="G8" s="10" t="s">
        <v>93</v>
      </c>
      <c r="H8" s="10" t="s">
        <v>89</v>
      </c>
      <c r="I8" s="10" t="s">
        <v>81</v>
      </c>
      <c r="J8" s="8" t="s">
        <v>85</v>
      </c>
      <c r="K8" s="8">
        <v>5</v>
      </c>
      <c r="L8" s="11">
        <v>53</v>
      </c>
      <c r="M8" s="12">
        <v>30</v>
      </c>
      <c r="N8" s="12">
        <v>150</v>
      </c>
    </row>
    <row r="9" spans="1:14" ht="30" customHeight="1" x14ac:dyDescent="0.4">
      <c r="A9" s="8" t="s">
        <v>103</v>
      </c>
      <c r="B9" s="8">
        <v>2022</v>
      </c>
      <c r="C9" s="9">
        <v>44731</v>
      </c>
      <c r="D9" s="10" t="s">
        <v>5</v>
      </c>
      <c r="E9" s="10" t="s">
        <v>9</v>
      </c>
      <c r="F9" s="10" t="s">
        <v>19</v>
      </c>
      <c r="G9" s="10" t="s">
        <v>93</v>
      </c>
      <c r="H9" s="10" t="s">
        <v>89</v>
      </c>
      <c r="I9" s="10" t="s">
        <v>81</v>
      </c>
      <c r="J9" s="8" t="s">
        <v>85</v>
      </c>
      <c r="K9" s="8">
        <v>3</v>
      </c>
      <c r="L9" s="11">
        <v>65</v>
      </c>
      <c r="M9" s="12">
        <v>30</v>
      </c>
      <c r="N9" s="12">
        <v>90</v>
      </c>
    </row>
    <row r="10" spans="1:14" ht="30" customHeight="1" x14ac:dyDescent="0.4">
      <c r="A10" s="8" t="s">
        <v>108</v>
      </c>
      <c r="B10" s="8">
        <v>2022</v>
      </c>
      <c r="C10" s="9">
        <v>44872</v>
      </c>
      <c r="D10" s="10" t="s">
        <v>6</v>
      </c>
      <c r="E10" s="10" t="s">
        <v>11</v>
      </c>
      <c r="F10" s="10" t="s">
        <v>20</v>
      </c>
      <c r="G10" s="10" t="s">
        <v>92</v>
      </c>
      <c r="H10" s="10" t="s">
        <v>96</v>
      </c>
      <c r="I10" s="10" t="s">
        <v>81</v>
      </c>
      <c r="J10" s="8" t="s">
        <v>86</v>
      </c>
      <c r="K10" s="8">
        <v>6</v>
      </c>
      <c r="L10" s="11">
        <v>390</v>
      </c>
      <c r="M10" s="12">
        <v>65</v>
      </c>
      <c r="N10" s="12">
        <v>390</v>
      </c>
    </row>
    <row r="11" spans="1:14" ht="30" customHeight="1" x14ac:dyDescent="0.4">
      <c r="A11" s="8" t="s">
        <v>104</v>
      </c>
      <c r="B11" s="8">
        <v>2022</v>
      </c>
      <c r="C11" s="9">
        <v>44759</v>
      </c>
      <c r="D11" s="10" t="s">
        <v>72</v>
      </c>
      <c r="E11" s="10" t="s">
        <v>10</v>
      </c>
      <c r="F11" s="10" t="s">
        <v>21</v>
      </c>
      <c r="G11" s="10" t="s">
        <v>93</v>
      </c>
      <c r="H11" s="10" t="s">
        <v>89</v>
      </c>
      <c r="I11" s="10" t="s">
        <v>79</v>
      </c>
      <c r="J11" s="8" t="s">
        <v>84</v>
      </c>
      <c r="K11" s="8">
        <v>10</v>
      </c>
      <c r="L11" s="11">
        <v>303</v>
      </c>
      <c r="M11" s="12">
        <v>80</v>
      </c>
      <c r="N11" s="12">
        <v>800</v>
      </c>
    </row>
    <row r="12" spans="1:14" ht="30" customHeight="1" x14ac:dyDescent="0.4">
      <c r="A12" s="8" t="s">
        <v>99</v>
      </c>
      <c r="B12" s="8">
        <v>2022</v>
      </c>
      <c r="C12" s="9">
        <v>44597</v>
      </c>
      <c r="D12" s="10" t="s">
        <v>72</v>
      </c>
      <c r="E12" s="10" t="s">
        <v>11</v>
      </c>
      <c r="F12" s="10" t="s">
        <v>22</v>
      </c>
      <c r="G12" s="10" t="s">
        <v>93</v>
      </c>
      <c r="H12" s="10" t="s">
        <v>89</v>
      </c>
      <c r="I12" s="10" t="s">
        <v>81</v>
      </c>
      <c r="J12" s="8" t="s">
        <v>85</v>
      </c>
      <c r="K12" s="8">
        <v>8</v>
      </c>
      <c r="L12" s="11">
        <v>240</v>
      </c>
      <c r="M12" s="12">
        <v>30</v>
      </c>
      <c r="N12" s="12">
        <v>240</v>
      </c>
    </row>
    <row r="13" spans="1:14" ht="30" customHeight="1" x14ac:dyDescent="0.4">
      <c r="A13" s="8" t="s">
        <v>109</v>
      </c>
      <c r="B13" s="8">
        <v>2022</v>
      </c>
      <c r="C13" s="9">
        <v>44919</v>
      </c>
      <c r="D13" s="10" t="s">
        <v>4</v>
      </c>
      <c r="E13" s="10" t="s">
        <v>10</v>
      </c>
      <c r="F13" s="10" t="s">
        <v>23</v>
      </c>
      <c r="G13" s="10" t="s">
        <v>93</v>
      </c>
      <c r="H13" s="10" t="s">
        <v>89</v>
      </c>
      <c r="I13" s="10" t="s">
        <v>81</v>
      </c>
      <c r="J13" s="8" t="s">
        <v>85</v>
      </c>
      <c r="K13" s="8">
        <v>9</v>
      </c>
      <c r="L13" s="11">
        <v>270</v>
      </c>
      <c r="M13" s="12">
        <v>30</v>
      </c>
      <c r="N13" s="12">
        <v>270</v>
      </c>
    </row>
    <row r="14" spans="1:14" ht="30" customHeight="1" x14ac:dyDescent="0.4">
      <c r="A14" s="8" t="s">
        <v>98</v>
      </c>
      <c r="B14" s="8">
        <v>2022</v>
      </c>
      <c r="C14" s="9">
        <v>44575</v>
      </c>
      <c r="D14" s="10" t="s">
        <v>6</v>
      </c>
      <c r="E14" s="10" t="s">
        <v>11</v>
      </c>
      <c r="F14" s="10" t="s">
        <v>24</v>
      </c>
      <c r="G14" s="10" t="s">
        <v>92</v>
      </c>
      <c r="H14" s="10" t="s">
        <v>96</v>
      </c>
      <c r="I14" s="10" t="s">
        <v>81</v>
      </c>
      <c r="J14" s="8" t="s">
        <v>86</v>
      </c>
      <c r="K14" s="8">
        <v>6</v>
      </c>
      <c r="L14" s="11">
        <v>30</v>
      </c>
      <c r="M14" s="12">
        <v>65</v>
      </c>
      <c r="N14" s="12">
        <v>390</v>
      </c>
    </row>
    <row r="15" spans="1:14" ht="30" customHeight="1" x14ac:dyDescent="0.4">
      <c r="A15" s="8" t="s">
        <v>102</v>
      </c>
      <c r="B15" s="8">
        <v>2022</v>
      </c>
      <c r="C15" s="9">
        <v>44697</v>
      </c>
      <c r="D15" s="10" t="s">
        <v>4</v>
      </c>
      <c r="E15" s="10" t="s">
        <v>10</v>
      </c>
      <c r="F15" s="10" t="s">
        <v>25</v>
      </c>
      <c r="G15" s="10" t="s">
        <v>90</v>
      </c>
      <c r="H15" s="10" t="s">
        <v>95</v>
      </c>
      <c r="I15" s="10" t="s">
        <v>83</v>
      </c>
      <c r="J15" s="8" t="s">
        <v>84</v>
      </c>
      <c r="K15" s="8">
        <v>8</v>
      </c>
      <c r="L15" s="11">
        <v>400</v>
      </c>
      <c r="M15" s="12">
        <v>50</v>
      </c>
      <c r="N15" s="12">
        <v>400</v>
      </c>
    </row>
    <row r="16" spans="1:14" ht="30" customHeight="1" x14ac:dyDescent="0.4">
      <c r="A16" s="8" t="s">
        <v>108</v>
      </c>
      <c r="B16" s="8">
        <v>2022</v>
      </c>
      <c r="C16" s="9">
        <v>44886</v>
      </c>
      <c r="D16" s="10" t="s">
        <v>6</v>
      </c>
      <c r="E16" s="10" t="s">
        <v>11</v>
      </c>
      <c r="F16" s="10" t="s">
        <v>26</v>
      </c>
      <c r="G16" s="10" t="s">
        <v>91</v>
      </c>
      <c r="H16" s="10" t="s">
        <v>88</v>
      </c>
      <c r="I16" s="10" t="s">
        <v>82</v>
      </c>
      <c r="J16" s="8" t="s">
        <v>86</v>
      </c>
      <c r="K16" s="8">
        <v>10</v>
      </c>
      <c r="L16" s="11">
        <v>20</v>
      </c>
      <c r="M16" s="12">
        <v>10</v>
      </c>
      <c r="N16" s="12">
        <v>100</v>
      </c>
    </row>
    <row r="17" spans="1:14" ht="30" customHeight="1" x14ac:dyDescent="0.4">
      <c r="A17" s="8" t="s">
        <v>105</v>
      </c>
      <c r="B17" s="8">
        <v>2022</v>
      </c>
      <c r="C17" s="9">
        <v>44793</v>
      </c>
      <c r="D17" s="10" t="s">
        <v>5</v>
      </c>
      <c r="E17" s="10" t="s">
        <v>9</v>
      </c>
      <c r="F17" s="10" t="s">
        <v>27</v>
      </c>
      <c r="G17" s="10" t="s">
        <v>93</v>
      </c>
      <c r="H17" s="10" t="s">
        <v>89</v>
      </c>
      <c r="I17" s="10" t="s">
        <v>81</v>
      </c>
      <c r="J17" s="8" t="s">
        <v>85</v>
      </c>
      <c r="K17" s="8">
        <v>4</v>
      </c>
      <c r="L17" s="11">
        <v>120</v>
      </c>
      <c r="M17" s="12">
        <v>30</v>
      </c>
      <c r="N17" s="12">
        <v>120</v>
      </c>
    </row>
    <row r="18" spans="1:14" ht="30" customHeight="1" x14ac:dyDescent="0.4">
      <c r="A18" s="8" t="s">
        <v>99</v>
      </c>
      <c r="B18" s="8">
        <v>2022</v>
      </c>
      <c r="C18" s="9">
        <v>44608</v>
      </c>
      <c r="D18" s="10" t="s">
        <v>4</v>
      </c>
      <c r="E18" s="10" t="s">
        <v>9</v>
      </c>
      <c r="F18" s="10" t="s">
        <v>28</v>
      </c>
      <c r="G18" s="10" t="s">
        <v>92</v>
      </c>
      <c r="H18" s="10" t="s">
        <v>96</v>
      </c>
      <c r="I18" s="10" t="s">
        <v>81</v>
      </c>
      <c r="J18" s="8" t="s">
        <v>86</v>
      </c>
      <c r="K18" s="8">
        <v>6</v>
      </c>
      <c r="L18" s="11">
        <v>390</v>
      </c>
      <c r="M18" s="12">
        <v>65</v>
      </c>
      <c r="N18" s="12">
        <v>390</v>
      </c>
    </row>
    <row r="19" spans="1:14" ht="30" customHeight="1" x14ac:dyDescent="0.4">
      <c r="A19" s="8" t="s">
        <v>105</v>
      </c>
      <c r="B19" s="8">
        <v>2022</v>
      </c>
      <c r="C19" s="9">
        <v>44789</v>
      </c>
      <c r="D19" s="10" t="s">
        <v>4</v>
      </c>
      <c r="E19" s="10" t="s">
        <v>10</v>
      </c>
      <c r="F19" s="10" t="s">
        <v>29</v>
      </c>
      <c r="G19" s="10" t="s">
        <v>90</v>
      </c>
      <c r="H19" s="10" t="s">
        <v>87</v>
      </c>
      <c r="I19" s="10" t="s">
        <v>79</v>
      </c>
      <c r="J19" s="8" t="s">
        <v>85</v>
      </c>
      <c r="K19" s="8">
        <v>8</v>
      </c>
      <c r="L19" s="11">
        <v>240</v>
      </c>
      <c r="M19" s="12">
        <v>30</v>
      </c>
      <c r="N19" s="12">
        <v>240</v>
      </c>
    </row>
    <row r="20" spans="1:14" ht="30" customHeight="1" x14ac:dyDescent="0.4">
      <c r="A20" s="8" t="s">
        <v>108</v>
      </c>
      <c r="B20" s="8">
        <v>2022</v>
      </c>
      <c r="C20" s="9">
        <v>44877</v>
      </c>
      <c r="D20" s="10" t="s">
        <v>5</v>
      </c>
      <c r="E20" s="10" t="s">
        <v>9</v>
      </c>
      <c r="F20" s="10" t="s">
        <v>30</v>
      </c>
      <c r="G20" s="10" t="s">
        <v>91</v>
      </c>
      <c r="H20" s="10" t="s">
        <v>88</v>
      </c>
      <c r="I20" s="10" t="s">
        <v>82</v>
      </c>
      <c r="J20" s="8" t="s">
        <v>86</v>
      </c>
      <c r="K20" s="8">
        <v>3</v>
      </c>
      <c r="L20" s="11">
        <v>30</v>
      </c>
      <c r="M20" s="12">
        <v>10</v>
      </c>
      <c r="N20" s="12">
        <v>30</v>
      </c>
    </row>
    <row r="21" spans="1:14" ht="30" customHeight="1" x14ac:dyDescent="0.4">
      <c r="A21" s="8" t="s">
        <v>107</v>
      </c>
      <c r="B21" s="8">
        <v>2022</v>
      </c>
      <c r="C21" s="9">
        <v>44853</v>
      </c>
      <c r="D21" s="10" t="s">
        <v>72</v>
      </c>
      <c r="E21" s="10" t="s">
        <v>10</v>
      </c>
      <c r="F21" s="10" t="s">
        <v>31</v>
      </c>
      <c r="G21" s="10" t="s">
        <v>93</v>
      </c>
      <c r="H21" s="10" t="s">
        <v>89</v>
      </c>
      <c r="I21" s="10" t="s">
        <v>81</v>
      </c>
      <c r="J21" s="8" t="s">
        <v>85</v>
      </c>
      <c r="K21" s="8">
        <v>9</v>
      </c>
      <c r="L21" s="11">
        <v>222</v>
      </c>
      <c r="M21" s="12">
        <v>30</v>
      </c>
      <c r="N21" s="12">
        <v>270</v>
      </c>
    </row>
    <row r="22" spans="1:14" ht="30" customHeight="1" x14ac:dyDescent="0.4">
      <c r="A22" s="8" t="s">
        <v>101</v>
      </c>
      <c r="B22" s="8">
        <v>2022</v>
      </c>
      <c r="C22" s="9">
        <v>44660</v>
      </c>
      <c r="D22" s="10" t="s">
        <v>6</v>
      </c>
      <c r="E22" s="10" t="s">
        <v>11</v>
      </c>
      <c r="F22" s="10" t="s">
        <v>32</v>
      </c>
      <c r="G22" s="10" t="s">
        <v>91</v>
      </c>
      <c r="H22" s="10" t="s">
        <v>88</v>
      </c>
      <c r="I22" s="10" t="s">
        <v>82</v>
      </c>
      <c r="J22" s="8" t="s">
        <v>86</v>
      </c>
      <c r="K22" s="8">
        <v>9</v>
      </c>
      <c r="L22" s="11">
        <v>55</v>
      </c>
      <c r="M22" s="12">
        <v>10</v>
      </c>
      <c r="N22" s="12">
        <v>90</v>
      </c>
    </row>
    <row r="23" spans="1:14" ht="30" customHeight="1" x14ac:dyDescent="0.4">
      <c r="A23" s="8" t="s">
        <v>99</v>
      </c>
      <c r="B23" s="8">
        <v>2022</v>
      </c>
      <c r="C23" s="9">
        <v>44618</v>
      </c>
      <c r="D23" s="10" t="s">
        <v>4</v>
      </c>
      <c r="E23" s="10" t="s">
        <v>9</v>
      </c>
      <c r="F23" s="10" t="s">
        <v>33</v>
      </c>
      <c r="G23" s="10" t="s">
        <v>93</v>
      </c>
      <c r="H23" s="10" t="s">
        <v>89</v>
      </c>
      <c r="I23" s="10" t="s">
        <v>81</v>
      </c>
      <c r="J23" s="8" t="s">
        <v>85</v>
      </c>
      <c r="K23" s="8">
        <v>3</v>
      </c>
      <c r="L23" s="11">
        <v>90</v>
      </c>
      <c r="M23" s="12">
        <v>30</v>
      </c>
      <c r="N23" s="12">
        <v>90</v>
      </c>
    </row>
    <row r="24" spans="1:14" ht="30" customHeight="1" x14ac:dyDescent="0.4">
      <c r="A24" s="8" t="s">
        <v>102</v>
      </c>
      <c r="B24" s="8">
        <v>2022</v>
      </c>
      <c r="C24" s="9">
        <v>44692</v>
      </c>
      <c r="D24" s="10" t="s">
        <v>6</v>
      </c>
      <c r="E24" s="10" t="s">
        <v>11</v>
      </c>
      <c r="F24" s="10" t="s">
        <v>34</v>
      </c>
      <c r="G24" s="10" t="s">
        <v>93</v>
      </c>
      <c r="H24" s="10" t="s">
        <v>89</v>
      </c>
      <c r="I24" s="10" t="s">
        <v>81</v>
      </c>
      <c r="J24" s="8" t="s">
        <v>85</v>
      </c>
      <c r="K24" s="8">
        <v>3</v>
      </c>
      <c r="L24" s="11">
        <v>90</v>
      </c>
      <c r="M24" s="12">
        <v>30</v>
      </c>
      <c r="N24" s="12">
        <v>90</v>
      </c>
    </row>
    <row r="25" spans="1:14" ht="30" customHeight="1" x14ac:dyDescent="0.4">
      <c r="A25" s="8" t="s">
        <v>105</v>
      </c>
      <c r="B25" s="8">
        <v>2022</v>
      </c>
      <c r="C25" s="9">
        <v>44787</v>
      </c>
      <c r="D25" s="10" t="s">
        <v>72</v>
      </c>
      <c r="E25" s="10" t="s">
        <v>10</v>
      </c>
      <c r="F25" s="10" t="s">
        <v>35</v>
      </c>
      <c r="G25" s="10" t="s">
        <v>93</v>
      </c>
      <c r="H25" s="10" t="s">
        <v>89</v>
      </c>
      <c r="I25" s="10" t="s">
        <v>79</v>
      </c>
      <c r="J25" s="8" t="s">
        <v>84</v>
      </c>
      <c r="K25" s="8">
        <v>4</v>
      </c>
      <c r="L25" s="11">
        <v>320</v>
      </c>
      <c r="M25" s="12">
        <v>80</v>
      </c>
      <c r="N25" s="12">
        <v>320</v>
      </c>
    </row>
    <row r="26" spans="1:14" ht="30" customHeight="1" x14ac:dyDescent="0.4">
      <c r="A26" s="8" t="s">
        <v>109</v>
      </c>
      <c r="B26" s="8">
        <v>2022</v>
      </c>
      <c r="C26" s="9">
        <v>44897</v>
      </c>
      <c r="D26" s="10" t="s">
        <v>6</v>
      </c>
      <c r="E26" s="10" t="s">
        <v>11</v>
      </c>
      <c r="F26" s="10" t="s">
        <v>36</v>
      </c>
      <c r="G26" s="10" t="s">
        <v>92</v>
      </c>
      <c r="H26" s="10" t="s">
        <v>94</v>
      </c>
      <c r="I26" s="10" t="s">
        <v>78</v>
      </c>
      <c r="J26" s="8" t="s">
        <v>84</v>
      </c>
      <c r="K26" s="8">
        <v>7</v>
      </c>
      <c r="L26" s="11">
        <v>98</v>
      </c>
      <c r="M26" s="12">
        <v>60</v>
      </c>
      <c r="N26" s="12">
        <v>420</v>
      </c>
    </row>
    <row r="27" spans="1:14" ht="30" customHeight="1" x14ac:dyDescent="0.4">
      <c r="A27" s="8" t="s">
        <v>99</v>
      </c>
      <c r="B27" s="8">
        <v>2022</v>
      </c>
      <c r="C27" s="9">
        <v>44618</v>
      </c>
      <c r="D27" s="10" t="s">
        <v>4</v>
      </c>
      <c r="E27" s="10" t="s">
        <v>9</v>
      </c>
      <c r="F27" s="10" t="s">
        <v>37</v>
      </c>
      <c r="G27" s="10" t="s">
        <v>91</v>
      </c>
      <c r="H27" s="10" t="s">
        <v>88</v>
      </c>
      <c r="I27" s="10" t="s">
        <v>82</v>
      </c>
      <c r="J27" s="8" t="s">
        <v>86</v>
      </c>
      <c r="K27" s="8">
        <v>10</v>
      </c>
      <c r="L27" s="11">
        <v>100</v>
      </c>
      <c r="M27" s="12">
        <v>10</v>
      </c>
      <c r="N27" s="12">
        <v>100</v>
      </c>
    </row>
    <row r="28" spans="1:14" ht="30" customHeight="1" x14ac:dyDescent="0.4">
      <c r="A28" s="8" t="s">
        <v>105</v>
      </c>
      <c r="B28" s="8">
        <v>2022</v>
      </c>
      <c r="C28" s="9">
        <v>44801</v>
      </c>
      <c r="D28" s="10" t="s">
        <v>5</v>
      </c>
      <c r="E28" s="10" t="s">
        <v>9</v>
      </c>
      <c r="F28" s="10" t="s">
        <v>38</v>
      </c>
      <c r="G28" s="10" t="s">
        <v>92</v>
      </c>
      <c r="H28" s="10" t="s">
        <v>96</v>
      </c>
      <c r="I28" s="10" t="s">
        <v>81</v>
      </c>
      <c r="J28" s="8" t="s">
        <v>86</v>
      </c>
      <c r="K28" s="8">
        <v>6</v>
      </c>
      <c r="L28" s="11">
        <v>143</v>
      </c>
      <c r="M28" s="12">
        <v>65</v>
      </c>
      <c r="N28" s="12">
        <v>390</v>
      </c>
    </row>
    <row r="29" spans="1:14" ht="30" customHeight="1" x14ac:dyDescent="0.4">
      <c r="A29" s="8" t="s">
        <v>108</v>
      </c>
      <c r="B29" s="8">
        <v>2022</v>
      </c>
      <c r="C29" s="9">
        <v>44873</v>
      </c>
      <c r="D29" s="10" t="s">
        <v>6</v>
      </c>
      <c r="E29" s="10" t="s">
        <v>11</v>
      </c>
      <c r="F29" s="10" t="s">
        <v>39</v>
      </c>
      <c r="G29" s="10" t="s">
        <v>93</v>
      </c>
      <c r="H29" s="10" t="s">
        <v>89</v>
      </c>
      <c r="I29" s="10" t="s">
        <v>81</v>
      </c>
      <c r="J29" s="8" t="s">
        <v>85</v>
      </c>
      <c r="K29" s="8">
        <v>6</v>
      </c>
      <c r="L29" s="11">
        <v>179</v>
      </c>
      <c r="M29" s="12">
        <v>30</v>
      </c>
      <c r="N29" s="12">
        <v>180</v>
      </c>
    </row>
    <row r="30" spans="1:14" ht="30" customHeight="1" x14ac:dyDescent="0.4">
      <c r="A30" s="8" t="s">
        <v>101</v>
      </c>
      <c r="B30" s="8">
        <v>2022</v>
      </c>
      <c r="C30" s="9">
        <v>44677</v>
      </c>
      <c r="D30" s="10" t="s">
        <v>4</v>
      </c>
      <c r="E30" s="10" t="s">
        <v>10</v>
      </c>
      <c r="F30" s="10" t="s">
        <v>40</v>
      </c>
      <c r="G30" s="10" t="s">
        <v>90</v>
      </c>
      <c r="H30" s="10" t="s">
        <v>95</v>
      </c>
      <c r="I30" s="10" t="s">
        <v>83</v>
      </c>
      <c r="J30" s="8" t="s">
        <v>84</v>
      </c>
      <c r="K30" s="8">
        <v>2</v>
      </c>
      <c r="L30" s="11">
        <v>100</v>
      </c>
      <c r="M30" s="12">
        <v>50</v>
      </c>
      <c r="N30" s="12">
        <v>100</v>
      </c>
    </row>
    <row r="31" spans="1:14" ht="30" customHeight="1" x14ac:dyDescent="0.4">
      <c r="A31" s="8" t="s">
        <v>99</v>
      </c>
      <c r="B31" s="8">
        <v>2022</v>
      </c>
      <c r="C31" s="9">
        <v>44611</v>
      </c>
      <c r="D31" s="10" t="s">
        <v>6</v>
      </c>
      <c r="E31" s="10" t="s">
        <v>11</v>
      </c>
      <c r="F31" s="10" t="s">
        <v>41</v>
      </c>
      <c r="G31" s="10" t="s">
        <v>92</v>
      </c>
      <c r="H31" s="10" t="s">
        <v>96</v>
      </c>
      <c r="I31" s="10" t="s">
        <v>81</v>
      </c>
      <c r="J31" s="8" t="s">
        <v>86</v>
      </c>
      <c r="K31" s="8">
        <v>10</v>
      </c>
      <c r="L31" s="11">
        <v>133</v>
      </c>
      <c r="M31" s="12">
        <v>65</v>
      </c>
      <c r="N31" s="12">
        <v>650</v>
      </c>
    </row>
    <row r="32" spans="1:14" ht="30" customHeight="1" x14ac:dyDescent="0.4">
      <c r="A32" s="8" t="s">
        <v>103</v>
      </c>
      <c r="B32" s="8">
        <v>2022</v>
      </c>
      <c r="C32" s="9">
        <v>44736</v>
      </c>
      <c r="D32" s="10" t="s">
        <v>5</v>
      </c>
      <c r="E32" s="10" t="s">
        <v>9</v>
      </c>
      <c r="F32" s="10" t="s">
        <v>42</v>
      </c>
      <c r="G32" s="10" t="s">
        <v>92</v>
      </c>
      <c r="H32" s="10" t="s">
        <v>96</v>
      </c>
      <c r="I32" s="10" t="s">
        <v>80</v>
      </c>
      <c r="J32" s="8" t="s">
        <v>86</v>
      </c>
      <c r="K32" s="8">
        <v>6</v>
      </c>
      <c r="L32" s="11">
        <v>7</v>
      </c>
      <c r="M32" s="12">
        <v>34</v>
      </c>
      <c r="N32" s="12">
        <v>204</v>
      </c>
    </row>
    <row r="33" spans="1:14" ht="30" customHeight="1" x14ac:dyDescent="0.4">
      <c r="A33" s="8" t="s">
        <v>102</v>
      </c>
      <c r="B33" s="8">
        <v>2022</v>
      </c>
      <c r="C33" s="9">
        <v>44698</v>
      </c>
      <c r="D33" s="10" t="s">
        <v>6</v>
      </c>
      <c r="E33" s="10" t="s">
        <v>11</v>
      </c>
      <c r="F33" s="10" t="s">
        <v>43</v>
      </c>
      <c r="G33" s="10" t="s">
        <v>90</v>
      </c>
      <c r="H33" s="10" t="s">
        <v>87</v>
      </c>
      <c r="I33" s="10" t="s">
        <v>79</v>
      </c>
      <c r="J33" s="8" t="s">
        <v>85</v>
      </c>
      <c r="K33" s="8">
        <v>9</v>
      </c>
      <c r="L33" s="11">
        <v>65</v>
      </c>
      <c r="M33" s="12">
        <v>30</v>
      </c>
      <c r="N33" s="12">
        <v>270</v>
      </c>
    </row>
    <row r="34" spans="1:14" ht="30" customHeight="1" x14ac:dyDescent="0.4">
      <c r="A34" s="8" t="s">
        <v>104</v>
      </c>
      <c r="B34" s="8">
        <v>2022</v>
      </c>
      <c r="C34" s="9">
        <v>44752</v>
      </c>
      <c r="D34" s="10" t="s">
        <v>4</v>
      </c>
      <c r="E34" s="10" t="s">
        <v>9</v>
      </c>
      <c r="F34" s="10" t="s">
        <v>44</v>
      </c>
      <c r="G34" s="10" t="s">
        <v>93</v>
      </c>
      <c r="H34" s="10" t="s">
        <v>89</v>
      </c>
      <c r="I34" s="10" t="s">
        <v>81</v>
      </c>
      <c r="J34" s="8" t="s">
        <v>85</v>
      </c>
      <c r="K34" s="8">
        <v>6</v>
      </c>
      <c r="L34" s="11">
        <v>180</v>
      </c>
      <c r="M34" s="12">
        <v>30</v>
      </c>
      <c r="N34" s="12">
        <v>180</v>
      </c>
    </row>
    <row r="35" spans="1:14" ht="30" customHeight="1" x14ac:dyDescent="0.4">
      <c r="A35" s="8" t="s">
        <v>103</v>
      </c>
      <c r="B35" s="8">
        <v>2022</v>
      </c>
      <c r="C35" s="9">
        <v>44723</v>
      </c>
      <c r="D35" s="10" t="s">
        <v>6</v>
      </c>
      <c r="E35" s="10" t="s">
        <v>11</v>
      </c>
      <c r="F35" s="10" t="s">
        <v>45</v>
      </c>
      <c r="G35" s="10" t="s">
        <v>93</v>
      </c>
      <c r="H35" s="10" t="s">
        <v>89</v>
      </c>
      <c r="I35" s="10" t="s">
        <v>81</v>
      </c>
      <c r="J35" s="8" t="s">
        <v>85</v>
      </c>
      <c r="K35" s="8">
        <v>4</v>
      </c>
      <c r="L35" s="11">
        <v>62</v>
      </c>
      <c r="M35" s="12">
        <v>30</v>
      </c>
      <c r="N35" s="12">
        <v>120</v>
      </c>
    </row>
    <row r="36" spans="1:14" ht="30" customHeight="1" x14ac:dyDescent="0.4">
      <c r="A36" s="8" t="s">
        <v>100</v>
      </c>
      <c r="B36" s="8">
        <v>2022</v>
      </c>
      <c r="C36" s="9">
        <v>44643</v>
      </c>
      <c r="D36" s="10" t="s">
        <v>4</v>
      </c>
      <c r="E36" s="10" t="s">
        <v>10</v>
      </c>
      <c r="F36" s="10" t="s">
        <v>46</v>
      </c>
      <c r="G36" s="10" t="s">
        <v>90</v>
      </c>
      <c r="H36" s="10" t="s">
        <v>95</v>
      </c>
      <c r="I36" s="10" t="s">
        <v>83</v>
      </c>
      <c r="J36" s="8" t="s">
        <v>84</v>
      </c>
      <c r="K36" s="8">
        <v>4</v>
      </c>
      <c r="L36" s="11">
        <v>38</v>
      </c>
      <c r="M36" s="12">
        <v>50</v>
      </c>
      <c r="N36" s="12">
        <v>200</v>
      </c>
    </row>
    <row r="37" spans="1:14" ht="30" customHeight="1" x14ac:dyDescent="0.4">
      <c r="A37" s="8" t="s">
        <v>99</v>
      </c>
      <c r="B37" s="8">
        <v>2022</v>
      </c>
      <c r="C37" s="9">
        <v>44595</v>
      </c>
      <c r="D37" s="10" t="s">
        <v>6</v>
      </c>
      <c r="E37" s="10" t="s">
        <v>11</v>
      </c>
      <c r="F37" s="10" t="s">
        <v>47</v>
      </c>
      <c r="G37" s="10" t="s">
        <v>91</v>
      </c>
      <c r="H37" s="10" t="s">
        <v>88</v>
      </c>
      <c r="I37" s="10" t="s">
        <v>82</v>
      </c>
      <c r="J37" s="8" t="s">
        <v>86</v>
      </c>
      <c r="K37" s="8">
        <v>7</v>
      </c>
      <c r="L37" s="11">
        <v>70</v>
      </c>
      <c r="M37" s="12">
        <v>10</v>
      </c>
      <c r="N37" s="12">
        <v>70</v>
      </c>
    </row>
    <row r="38" spans="1:14" ht="30" customHeight="1" x14ac:dyDescent="0.4">
      <c r="A38" s="8" t="s">
        <v>99</v>
      </c>
      <c r="B38" s="8">
        <v>2022</v>
      </c>
      <c r="C38" s="9">
        <v>44608</v>
      </c>
      <c r="D38" s="10" t="s">
        <v>4</v>
      </c>
      <c r="E38" s="10" t="s">
        <v>9</v>
      </c>
      <c r="F38" s="10" t="s">
        <v>48</v>
      </c>
      <c r="G38" s="10" t="s">
        <v>92</v>
      </c>
      <c r="H38" s="10" t="s">
        <v>94</v>
      </c>
      <c r="I38" s="10" t="s">
        <v>78</v>
      </c>
      <c r="J38" s="8" t="s">
        <v>84</v>
      </c>
      <c r="K38" s="8">
        <v>8</v>
      </c>
      <c r="L38" s="11">
        <v>480</v>
      </c>
      <c r="M38" s="12">
        <v>60</v>
      </c>
      <c r="N38" s="12">
        <v>480</v>
      </c>
    </row>
    <row r="39" spans="1:14" ht="30" customHeight="1" x14ac:dyDescent="0.4">
      <c r="A39" s="8" t="s">
        <v>98</v>
      </c>
      <c r="B39" s="8">
        <v>2022</v>
      </c>
      <c r="C39" s="9">
        <v>44572</v>
      </c>
      <c r="D39" s="10" t="s">
        <v>5</v>
      </c>
      <c r="E39" s="10" t="s">
        <v>9</v>
      </c>
      <c r="F39" s="10" t="s">
        <v>49</v>
      </c>
      <c r="G39" s="10" t="s">
        <v>92</v>
      </c>
      <c r="H39" s="10" t="s">
        <v>96</v>
      </c>
      <c r="I39" s="10" t="s">
        <v>81</v>
      </c>
      <c r="J39" s="8" t="s">
        <v>86</v>
      </c>
      <c r="K39" s="8">
        <v>2</v>
      </c>
      <c r="L39" s="11">
        <v>130</v>
      </c>
      <c r="M39" s="12">
        <v>65</v>
      </c>
      <c r="N39" s="12">
        <v>130</v>
      </c>
    </row>
    <row r="40" spans="1:14" ht="30" customHeight="1" x14ac:dyDescent="0.4">
      <c r="A40" s="8" t="s">
        <v>102</v>
      </c>
      <c r="B40" s="8">
        <v>2022</v>
      </c>
      <c r="C40" s="9">
        <v>44685</v>
      </c>
      <c r="D40" s="10" t="s">
        <v>6</v>
      </c>
      <c r="E40" s="10" t="s">
        <v>11</v>
      </c>
      <c r="F40" s="10" t="s">
        <v>50</v>
      </c>
      <c r="G40" s="10" t="s">
        <v>91</v>
      </c>
      <c r="H40" s="10" t="s">
        <v>88</v>
      </c>
      <c r="I40" s="10" t="s">
        <v>82</v>
      </c>
      <c r="J40" s="8" t="s">
        <v>86</v>
      </c>
      <c r="K40" s="8">
        <v>9</v>
      </c>
      <c r="L40" s="11">
        <v>9</v>
      </c>
      <c r="M40" s="12">
        <v>10</v>
      </c>
      <c r="N40" s="12">
        <v>90</v>
      </c>
    </row>
    <row r="41" spans="1:14" ht="30" customHeight="1" x14ac:dyDescent="0.4">
      <c r="A41" s="8" t="s">
        <v>98</v>
      </c>
      <c r="B41" s="8">
        <v>2022</v>
      </c>
      <c r="C41" s="9">
        <v>44586</v>
      </c>
      <c r="D41" s="10" t="s">
        <v>4</v>
      </c>
      <c r="E41" s="10" t="s">
        <v>10</v>
      </c>
      <c r="F41" s="10" t="s">
        <v>51</v>
      </c>
      <c r="G41" s="10" t="s">
        <v>91</v>
      </c>
      <c r="H41" s="10" t="s">
        <v>88</v>
      </c>
      <c r="I41" s="10" t="s">
        <v>82</v>
      </c>
      <c r="J41" s="8" t="s">
        <v>86</v>
      </c>
      <c r="K41" s="8">
        <v>4</v>
      </c>
      <c r="L41" s="11">
        <v>40</v>
      </c>
      <c r="M41" s="12">
        <v>10</v>
      </c>
      <c r="N41" s="12">
        <v>40</v>
      </c>
    </row>
    <row r="42" spans="1:14" ht="30" customHeight="1" x14ac:dyDescent="0.4">
      <c r="A42" s="8" t="s">
        <v>104</v>
      </c>
      <c r="B42" s="8">
        <v>2022</v>
      </c>
      <c r="C42" s="9">
        <v>44757</v>
      </c>
      <c r="D42" s="10" t="s">
        <v>4</v>
      </c>
      <c r="E42" s="10" t="s">
        <v>10</v>
      </c>
      <c r="F42" s="10" t="s">
        <v>52</v>
      </c>
      <c r="G42" s="10" t="s">
        <v>92</v>
      </c>
      <c r="H42" s="10" t="s">
        <v>96</v>
      </c>
      <c r="I42" s="10" t="s">
        <v>80</v>
      </c>
      <c r="J42" s="8" t="s">
        <v>86</v>
      </c>
      <c r="K42" s="8">
        <v>5</v>
      </c>
      <c r="L42" s="11">
        <v>77</v>
      </c>
      <c r="M42" s="12">
        <v>34</v>
      </c>
      <c r="N42" s="12">
        <v>170</v>
      </c>
    </row>
    <row r="43" spans="1:14" ht="30" customHeight="1" x14ac:dyDescent="0.4">
      <c r="A43" s="8" t="s">
        <v>99</v>
      </c>
      <c r="B43" s="8">
        <v>2022</v>
      </c>
      <c r="C43" s="9">
        <v>44594</v>
      </c>
      <c r="D43" s="10" t="s">
        <v>6</v>
      </c>
      <c r="E43" s="10" t="s">
        <v>11</v>
      </c>
      <c r="F43" s="10" t="s">
        <v>53</v>
      </c>
      <c r="G43" s="10" t="s">
        <v>90</v>
      </c>
      <c r="H43" s="10" t="s">
        <v>87</v>
      </c>
      <c r="I43" s="10" t="s">
        <v>79</v>
      </c>
      <c r="J43" s="8" t="s">
        <v>85</v>
      </c>
      <c r="K43" s="8">
        <v>8</v>
      </c>
      <c r="L43" s="11">
        <v>240</v>
      </c>
      <c r="M43" s="12">
        <v>30</v>
      </c>
      <c r="N43" s="12">
        <v>240</v>
      </c>
    </row>
    <row r="44" spans="1:14" ht="30" customHeight="1" x14ac:dyDescent="0.4">
      <c r="A44" s="8" t="s">
        <v>100</v>
      </c>
      <c r="B44" s="8">
        <v>2022</v>
      </c>
      <c r="C44" s="9">
        <v>44639</v>
      </c>
      <c r="D44" s="10" t="s">
        <v>4</v>
      </c>
      <c r="E44" s="10" t="s">
        <v>10</v>
      </c>
      <c r="F44" s="10" t="s">
        <v>54</v>
      </c>
      <c r="G44" s="10" t="s">
        <v>93</v>
      </c>
      <c r="H44" s="10" t="s">
        <v>89</v>
      </c>
      <c r="I44" s="10" t="s">
        <v>79</v>
      </c>
      <c r="J44" s="8" t="s">
        <v>84</v>
      </c>
      <c r="K44" s="8">
        <v>7</v>
      </c>
      <c r="L44" s="11">
        <v>560</v>
      </c>
      <c r="M44" s="12">
        <v>80</v>
      </c>
      <c r="N44" s="12">
        <v>560</v>
      </c>
    </row>
    <row r="45" spans="1:14" ht="30" customHeight="1" x14ac:dyDescent="0.4">
      <c r="A45" s="8" t="s">
        <v>105</v>
      </c>
      <c r="B45" s="8">
        <v>2022</v>
      </c>
      <c r="C45" s="9">
        <v>44784</v>
      </c>
      <c r="D45" s="10" t="s">
        <v>4</v>
      </c>
      <c r="E45" s="10" t="s">
        <v>9</v>
      </c>
      <c r="F45" s="10" t="s">
        <v>55</v>
      </c>
      <c r="G45" s="10" t="s">
        <v>93</v>
      </c>
      <c r="H45" s="10" t="s">
        <v>89</v>
      </c>
      <c r="I45" s="10" t="s">
        <v>81</v>
      </c>
      <c r="J45" s="8" t="s">
        <v>85</v>
      </c>
      <c r="K45" s="8">
        <v>8</v>
      </c>
      <c r="L45" s="11">
        <v>215</v>
      </c>
      <c r="M45" s="12">
        <v>30</v>
      </c>
      <c r="N45" s="12">
        <v>240</v>
      </c>
    </row>
    <row r="46" spans="1:14" ht="30" customHeight="1" x14ac:dyDescent="0.4">
      <c r="A46" s="8" t="s">
        <v>104</v>
      </c>
      <c r="B46" s="8">
        <v>2022</v>
      </c>
      <c r="C46" s="9">
        <v>44770</v>
      </c>
      <c r="D46" s="10" t="s">
        <v>6</v>
      </c>
      <c r="E46" s="10" t="s">
        <v>11</v>
      </c>
      <c r="F46" s="10" t="s">
        <v>56</v>
      </c>
      <c r="G46" s="10" t="s">
        <v>92</v>
      </c>
      <c r="H46" s="10" t="s">
        <v>96</v>
      </c>
      <c r="I46" s="10" t="s">
        <v>80</v>
      </c>
      <c r="J46" s="8" t="s">
        <v>86</v>
      </c>
      <c r="K46" s="8">
        <v>5</v>
      </c>
      <c r="L46" s="11">
        <v>170</v>
      </c>
      <c r="M46" s="12">
        <v>34</v>
      </c>
      <c r="N46" s="12">
        <v>170</v>
      </c>
    </row>
    <row r="47" spans="1:14" ht="30" customHeight="1" x14ac:dyDescent="0.4">
      <c r="A47" s="8" t="s">
        <v>107</v>
      </c>
      <c r="B47" s="8">
        <v>2022</v>
      </c>
      <c r="C47" s="9">
        <v>44839</v>
      </c>
      <c r="D47" s="10" t="s">
        <v>4</v>
      </c>
      <c r="E47" s="10" t="s">
        <v>10</v>
      </c>
      <c r="F47" s="10" t="s">
        <v>57</v>
      </c>
      <c r="G47" s="10" t="s">
        <v>93</v>
      </c>
      <c r="H47" s="10" t="s">
        <v>89</v>
      </c>
      <c r="I47" s="10" t="s">
        <v>79</v>
      </c>
      <c r="J47" s="8" t="s">
        <v>84</v>
      </c>
      <c r="K47" s="8">
        <v>10</v>
      </c>
      <c r="L47" s="11">
        <v>800</v>
      </c>
      <c r="M47" s="12">
        <v>80</v>
      </c>
      <c r="N47" s="12">
        <v>800</v>
      </c>
    </row>
    <row r="48" spans="1:14" ht="30" customHeight="1" x14ac:dyDescent="0.4">
      <c r="A48" s="8" t="s">
        <v>109</v>
      </c>
      <c r="B48" s="8">
        <v>2022</v>
      </c>
      <c r="C48" s="9">
        <v>44921</v>
      </c>
      <c r="D48" s="10" t="s">
        <v>4</v>
      </c>
      <c r="E48" s="10" t="s">
        <v>9</v>
      </c>
      <c r="F48" s="10" t="s">
        <v>58</v>
      </c>
      <c r="G48" s="10" t="s">
        <v>93</v>
      </c>
      <c r="H48" s="10" t="s">
        <v>89</v>
      </c>
      <c r="I48" s="10" t="s">
        <v>81</v>
      </c>
      <c r="J48" s="8" t="s">
        <v>85</v>
      </c>
      <c r="K48" s="8">
        <v>7</v>
      </c>
      <c r="L48" s="11">
        <v>202</v>
      </c>
      <c r="M48" s="12">
        <v>30</v>
      </c>
      <c r="N48" s="12">
        <v>210</v>
      </c>
    </row>
    <row r="49" spans="1:14" ht="30" customHeight="1" x14ac:dyDescent="0.4">
      <c r="A49" s="8" t="s">
        <v>107</v>
      </c>
      <c r="B49" s="8">
        <v>2022</v>
      </c>
      <c r="C49" s="9">
        <v>44851</v>
      </c>
      <c r="D49" s="10" t="s">
        <v>5</v>
      </c>
      <c r="E49" s="10" t="s">
        <v>9</v>
      </c>
      <c r="F49" s="10" t="s">
        <v>59</v>
      </c>
      <c r="G49" s="10" t="s">
        <v>93</v>
      </c>
      <c r="H49" s="10" t="s">
        <v>89</v>
      </c>
      <c r="I49" s="10" t="s">
        <v>81</v>
      </c>
      <c r="J49" s="8" t="s">
        <v>85</v>
      </c>
      <c r="K49" s="8">
        <v>8</v>
      </c>
      <c r="L49" s="11">
        <v>240</v>
      </c>
      <c r="M49" s="12">
        <v>30</v>
      </c>
      <c r="N49" s="12">
        <v>240</v>
      </c>
    </row>
    <row r="50" spans="1:14" ht="30" customHeight="1" x14ac:dyDescent="0.4">
      <c r="A50" s="8" t="s">
        <v>101</v>
      </c>
      <c r="B50" s="8">
        <v>2022</v>
      </c>
      <c r="C50" s="9">
        <v>44678</v>
      </c>
      <c r="D50" s="10" t="s">
        <v>6</v>
      </c>
      <c r="E50" s="10" t="s">
        <v>11</v>
      </c>
      <c r="F50" s="10" t="s">
        <v>60</v>
      </c>
      <c r="G50" s="10" t="s">
        <v>93</v>
      </c>
      <c r="H50" s="10" t="s">
        <v>89</v>
      </c>
      <c r="I50" s="10" t="s">
        <v>81</v>
      </c>
      <c r="J50" s="8" t="s">
        <v>85</v>
      </c>
      <c r="K50" s="8">
        <v>8</v>
      </c>
      <c r="L50" s="11">
        <v>177</v>
      </c>
      <c r="M50" s="12">
        <v>30</v>
      </c>
      <c r="N50" s="12">
        <v>240</v>
      </c>
    </row>
    <row r="51" spans="1:14" ht="30" customHeight="1" x14ac:dyDescent="0.4">
      <c r="A51" s="8" t="s">
        <v>102</v>
      </c>
      <c r="B51" s="8">
        <v>2022</v>
      </c>
      <c r="C51" s="9">
        <v>44707</v>
      </c>
      <c r="D51" s="10" t="s">
        <v>4</v>
      </c>
      <c r="E51" s="10" t="s">
        <v>9</v>
      </c>
      <c r="F51" s="10" t="s">
        <v>61</v>
      </c>
      <c r="G51" s="10" t="s">
        <v>91</v>
      </c>
      <c r="H51" s="10" t="s">
        <v>88</v>
      </c>
      <c r="I51" s="10" t="s">
        <v>82</v>
      </c>
      <c r="J51" s="8" t="s">
        <v>86</v>
      </c>
      <c r="K51" s="8">
        <v>7</v>
      </c>
      <c r="L51" s="11">
        <v>15</v>
      </c>
      <c r="M51" s="12">
        <v>10</v>
      </c>
      <c r="N51" s="12">
        <v>70</v>
      </c>
    </row>
    <row r="52" spans="1:14" ht="30" customHeight="1" x14ac:dyDescent="0.4">
      <c r="A52" s="8" t="s">
        <v>104</v>
      </c>
      <c r="B52" s="8">
        <v>2022</v>
      </c>
      <c r="C52" s="9">
        <v>44768</v>
      </c>
      <c r="D52" s="10" t="s">
        <v>5</v>
      </c>
      <c r="E52" s="10" t="s">
        <v>9</v>
      </c>
      <c r="F52" s="10" t="s">
        <v>62</v>
      </c>
      <c r="G52" s="10" t="s">
        <v>93</v>
      </c>
      <c r="H52" s="10" t="s">
        <v>89</v>
      </c>
      <c r="I52" s="10" t="s">
        <v>81</v>
      </c>
      <c r="J52" s="8" t="s">
        <v>85</v>
      </c>
      <c r="K52" s="8">
        <v>4</v>
      </c>
      <c r="L52" s="11">
        <v>120</v>
      </c>
      <c r="M52" s="12">
        <v>30</v>
      </c>
      <c r="N52" s="12">
        <v>120</v>
      </c>
    </row>
    <row r="53" spans="1:14" ht="30" customHeight="1" x14ac:dyDescent="0.4">
      <c r="A53" s="8" t="s">
        <v>108</v>
      </c>
      <c r="B53" s="8">
        <v>2022</v>
      </c>
      <c r="C53" s="9">
        <v>44872</v>
      </c>
      <c r="D53" s="10" t="s">
        <v>6</v>
      </c>
      <c r="E53" s="10" t="s">
        <v>11</v>
      </c>
      <c r="F53" s="10" t="s">
        <v>63</v>
      </c>
      <c r="G53" s="10" t="s">
        <v>92</v>
      </c>
      <c r="H53" s="10" t="s">
        <v>96</v>
      </c>
      <c r="I53" s="10" t="s">
        <v>80</v>
      </c>
      <c r="J53" s="8" t="s">
        <v>86</v>
      </c>
      <c r="K53" s="8">
        <v>2</v>
      </c>
      <c r="L53" s="11">
        <v>68</v>
      </c>
      <c r="M53" s="12">
        <v>34</v>
      </c>
      <c r="N53" s="12">
        <v>68</v>
      </c>
    </row>
    <row r="54" spans="1:14" ht="30" customHeight="1" x14ac:dyDescent="0.4">
      <c r="A54" s="8" t="s">
        <v>106</v>
      </c>
      <c r="B54" s="8">
        <v>2022</v>
      </c>
      <c r="C54" s="9">
        <v>44820</v>
      </c>
      <c r="D54" s="10" t="s">
        <v>6</v>
      </c>
      <c r="E54" s="10" t="s">
        <v>11</v>
      </c>
      <c r="F54" s="10" t="s">
        <v>64</v>
      </c>
      <c r="G54" s="10" t="s">
        <v>93</v>
      </c>
      <c r="H54" s="10" t="s">
        <v>89</v>
      </c>
      <c r="I54" s="10" t="s">
        <v>81</v>
      </c>
      <c r="J54" s="8" t="s">
        <v>85</v>
      </c>
      <c r="K54" s="8">
        <v>2</v>
      </c>
      <c r="L54" s="11">
        <v>60</v>
      </c>
      <c r="M54" s="12">
        <v>30</v>
      </c>
      <c r="N54" s="12">
        <v>60</v>
      </c>
    </row>
    <row r="55" spans="1:14" ht="30" customHeight="1" x14ac:dyDescent="0.4">
      <c r="A55" s="8" t="s">
        <v>105</v>
      </c>
      <c r="B55" s="8">
        <v>2022</v>
      </c>
      <c r="C55" s="9">
        <v>44796</v>
      </c>
      <c r="D55" s="10" t="s">
        <v>5</v>
      </c>
      <c r="E55" s="10" t="s">
        <v>9</v>
      </c>
      <c r="F55" s="10" t="s">
        <v>65</v>
      </c>
      <c r="G55" s="10" t="s">
        <v>93</v>
      </c>
      <c r="H55" s="10" t="s">
        <v>89</v>
      </c>
      <c r="I55" s="10" t="s">
        <v>81</v>
      </c>
      <c r="J55" s="8" t="s">
        <v>85</v>
      </c>
      <c r="K55" s="8">
        <v>10</v>
      </c>
      <c r="L55" s="11">
        <v>300</v>
      </c>
      <c r="M55" s="12">
        <v>30</v>
      </c>
      <c r="N55" s="12">
        <v>300</v>
      </c>
    </row>
    <row r="56" spans="1:14" ht="30" customHeight="1" x14ac:dyDescent="0.4">
      <c r="A56" s="8" t="s">
        <v>105</v>
      </c>
      <c r="B56" s="8">
        <v>2022</v>
      </c>
      <c r="C56" s="9">
        <v>44775</v>
      </c>
      <c r="D56" s="10" t="s">
        <v>6</v>
      </c>
      <c r="E56" s="10" t="s">
        <v>11</v>
      </c>
      <c r="F56" s="10" t="s">
        <v>66</v>
      </c>
      <c r="G56" s="10" t="s">
        <v>91</v>
      </c>
      <c r="H56" s="10" t="s">
        <v>88</v>
      </c>
      <c r="I56" s="10" t="s">
        <v>82</v>
      </c>
      <c r="J56" s="8" t="s">
        <v>86</v>
      </c>
      <c r="K56" s="8">
        <v>10</v>
      </c>
      <c r="L56" s="11">
        <v>100</v>
      </c>
      <c r="M56" s="12">
        <v>10</v>
      </c>
      <c r="N56" s="12">
        <v>100</v>
      </c>
    </row>
    <row r="57" spans="1:14" ht="30" customHeight="1" x14ac:dyDescent="0.4">
      <c r="A57" s="8" t="s">
        <v>103</v>
      </c>
      <c r="B57" s="8">
        <v>2022</v>
      </c>
      <c r="C57" s="9">
        <v>44739</v>
      </c>
      <c r="D57" s="10" t="s">
        <v>4</v>
      </c>
      <c r="E57" s="10" t="s">
        <v>10</v>
      </c>
      <c r="F57" s="10" t="s">
        <v>67</v>
      </c>
      <c r="G57" s="10" t="s">
        <v>91</v>
      </c>
      <c r="H57" s="10" t="s">
        <v>88</v>
      </c>
      <c r="I57" s="10" t="s">
        <v>82</v>
      </c>
      <c r="J57" s="8" t="s">
        <v>86</v>
      </c>
      <c r="K57" s="8">
        <v>8</v>
      </c>
      <c r="L57" s="11">
        <v>56</v>
      </c>
      <c r="M57" s="12">
        <v>10</v>
      </c>
      <c r="N57" s="12">
        <v>80</v>
      </c>
    </row>
    <row r="58" spans="1:14" ht="30" customHeight="1" x14ac:dyDescent="0.4">
      <c r="A58" s="8" t="s">
        <v>99</v>
      </c>
      <c r="B58" s="8">
        <v>2022</v>
      </c>
      <c r="C58" s="9">
        <v>44608</v>
      </c>
      <c r="D58" s="10" t="s">
        <v>5</v>
      </c>
      <c r="E58" s="10" t="s">
        <v>9</v>
      </c>
      <c r="F58" s="10" t="s">
        <v>13</v>
      </c>
      <c r="G58" s="10" t="s">
        <v>90</v>
      </c>
      <c r="H58" s="10" t="s">
        <v>95</v>
      </c>
      <c r="I58" s="10" t="s">
        <v>83</v>
      </c>
      <c r="J58" s="8" t="s">
        <v>84</v>
      </c>
      <c r="K58" s="8">
        <v>9</v>
      </c>
      <c r="L58" s="11">
        <v>125</v>
      </c>
      <c r="M58" s="12">
        <v>50</v>
      </c>
      <c r="N58" s="12">
        <v>450</v>
      </c>
    </row>
    <row r="59" spans="1:14" ht="30" customHeight="1" x14ac:dyDescent="0.4">
      <c r="A59" s="8" t="s">
        <v>99</v>
      </c>
      <c r="B59" s="8">
        <v>2021</v>
      </c>
      <c r="C59" s="9">
        <v>44246</v>
      </c>
      <c r="D59" s="10" t="s">
        <v>4</v>
      </c>
      <c r="E59" s="10" t="s">
        <v>9</v>
      </c>
      <c r="F59" s="10" t="s">
        <v>61</v>
      </c>
      <c r="G59" s="10" t="s">
        <v>91</v>
      </c>
      <c r="H59" s="10" t="s">
        <v>88</v>
      </c>
      <c r="I59" s="10" t="s">
        <v>82</v>
      </c>
      <c r="J59" s="8" t="s">
        <v>86</v>
      </c>
      <c r="K59" s="8">
        <v>7</v>
      </c>
      <c r="L59" s="11">
        <v>15</v>
      </c>
      <c r="M59" s="12">
        <v>10</v>
      </c>
      <c r="N59" s="12">
        <v>70</v>
      </c>
    </row>
    <row r="60" spans="1:14" ht="30" customHeight="1" x14ac:dyDescent="0.4">
      <c r="A60" s="8" t="s">
        <v>100</v>
      </c>
      <c r="B60" s="8">
        <v>2021</v>
      </c>
      <c r="C60" s="9">
        <v>44275</v>
      </c>
      <c r="D60" s="10" t="s">
        <v>5</v>
      </c>
      <c r="E60" s="10" t="s">
        <v>9</v>
      </c>
      <c r="F60" s="10" t="s">
        <v>62</v>
      </c>
      <c r="G60" s="10" t="s">
        <v>93</v>
      </c>
      <c r="H60" s="10" t="s">
        <v>89</v>
      </c>
      <c r="I60" s="10" t="s">
        <v>81</v>
      </c>
      <c r="J60" s="8" t="s">
        <v>85</v>
      </c>
      <c r="K60" s="8">
        <v>4</v>
      </c>
      <c r="L60" s="11">
        <v>120</v>
      </c>
      <c r="M60" s="12">
        <v>30</v>
      </c>
      <c r="N60" s="12">
        <v>120</v>
      </c>
    </row>
    <row r="61" spans="1:14" ht="30" customHeight="1" x14ac:dyDescent="0.4">
      <c r="A61" s="8" t="s">
        <v>101</v>
      </c>
      <c r="B61" s="8">
        <v>2021</v>
      </c>
      <c r="C61" s="9">
        <v>44307</v>
      </c>
      <c r="D61" s="10" t="s">
        <v>6</v>
      </c>
      <c r="E61" s="10" t="s">
        <v>11</v>
      </c>
      <c r="F61" s="10" t="s">
        <v>63</v>
      </c>
      <c r="G61" s="10" t="s">
        <v>92</v>
      </c>
      <c r="H61" s="10" t="s">
        <v>96</v>
      </c>
      <c r="I61" s="10" t="s">
        <v>80</v>
      </c>
      <c r="J61" s="8" t="s">
        <v>86</v>
      </c>
      <c r="K61" s="8">
        <v>2</v>
      </c>
      <c r="L61" s="11">
        <v>68</v>
      </c>
      <c r="M61" s="12">
        <v>34</v>
      </c>
      <c r="N61" s="12">
        <v>68</v>
      </c>
    </row>
    <row r="62" spans="1:14" ht="30" customHeight="1" x14ac:dyDescent="0.4">
      <c r="A62" s="8" t="s">
        <v>102</v>
      </c>
      <c r="B62" s="8">
        <v>2021</v>
      </c>
      <c r="C62" s="9">
        <v>44338</v>
      </c>
      <c r="D62" s="10" t="s">
        <v>6</v>
      </c>
      <c r="E62" s="10" t="s">
        <v>11</v>
      </c>
      <c r="F62" s="10" t="s">
        <v>64</v>
      </c>
      <c r="G62" s="10" t="s">
        <v>93</v>
      </c>
      <c r="H62" s="10" t="s">
        <v>89</v>
      </c>
      <c r="I62" s="10" t="s">
        <v>81</v>
      </c>
      <c r="J62" s="8" t="s">
        <v>85</v>
      </c>
      <c r="K62" s="8">
        <v>2</v>
      </c>
      <c r="L62" s="11">
        <v>60</v>
      </c>
      <c r="M62" s="12">
        <v>30</v>
      </c>
      <c r="N62" s="12">
        <v>60</v>
      </c>
    </row>
    <row r="63" spans="1:14" ht="30" customHeight="1" x14ac:dyDescent="0.4">
      <c r="A63" s="8" t="s">
        <v>103</v>
      </c>
      <c r="B63" s="8">
        <v>2021</v>
      </c>
      <c r="C63" s="9">
        <v>44370</v>
      </c>
      <c r="D63" s="10" t="s">
        <v>5</v>
      </c>
      <c r="E63" s="10" t="s">
        <v>9</v>
      </c>
      <c r="F63" s="10" t="s">
        <v>65</v>
      </c>
      <c r="G63" s="10" t="s">
        <v>93</v>
      </c>
      <c r="H63" s="10" t="s">
        <v>89</v>
      </c>
      <c r="I63" s="10" t="s">
        <v>81</v>
      </c>
      <c r="J63" s="8" t="s">
        <v>85</v>
      </c>
      <c r="K63" s="8">
        <v>10</v>
      </c>
      <c r="L63" s="11">
        <v>300</v>
      </c>
      <c r="M63" s="12">
        <v>30</v>
      </c>
      <c r="N63" s="12">
        <v>300</v>
      </c>
    </row>
    <row r="64" spans="1:14" ht="30" customHeight="1" x14ac:dyDescent="0.4">
      <c r="A64" s="8" t="s">
        <v>107</v>
      </c>
      <c r="B64" s="8">
        <v>2021</v>
      </c>
      <c r="C64" s="9">
        <v>44493</v>
      </c>
      <c r="D64" s="10" t="s">
        <v>6</v>
      </c>
      <c r="E64" s="10" t="s">
        <v>11</v>
      </c>
      <c r="F64" s="10" t="s">
        <v>66</v>
      </c>
      <c r="G64" s="10" t="s">
        <v>91</v>
      </c>
      <c r="H64" s="10" t="s">
        <v>88</v>
      </c>
      <c r="I64" s="10" t="s">
        <v>82</v>
      </c>
      <c r="J64" s="8" t="s">
        <v>86</v>
      </c>
      <c r="K64" s="8">
        <v>10</v>
      </c>
      <c r="L64" s="11">
        <v>100</v>
      </c>
      <c r="M64" s="12">
        <v>10</v>
      </c>
      <c r="N64" s="12">
        <v>100</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F0C01-37AC-4FF9-93CF-D67BB69D59EE}">
  <sheetPr codeName="Sayfa7">
    <tabColor theme="4"/>
  </sheetPr>
  <dimension ref="A1:AH24"/>
  <sheetViews>
    <sheetView zoomScale="60" zoomScaleNormal="60" workbookViewId="0">
      <selection activeCell="J11" sqref="J11"/>
    </sheetView>
  </sheetViews>
  <sheetFormatPr defaultRowHeight="16.8" x14ac:dyDescent="0.4"/>
  <cols>
    <col min="1" max="1" width="15.08203125" bestFit="1" customWidth="1"/>
    <col min="2" max="2" width="18.6640625" bestFit="1" customWidth="1"/>
    <col min="3" max="4" width="2.58203125" customWidth="1"/>
    <col min="5" max="5" width="15.08203125" bestFit="1" customWidth="1"/>
    <col min="6" max="6" width="18.6640625" bestFit="1" customWidth="1"/>
    <col min="7" max="8" width="2.58203125" customWidth="1"/>
    <col min="9" max="9" width="15.08203125" bestFit="1" customWidth="1"/>
    <col min="10" max="10" width="18.4140625" bestFit="1" customWidth="1"/>
    <col min="11" max="11" width="18.1640625" bestFit="1" customWidth="1"/>
    <col min="12" max="14" width="2.58203125" customWidth="1"/>
    <col min="15" max="15" width="23.83203125" bestFit="1" customWidth="1"/>
    <col min="16" max="16" width="15.33203125" bestFit="1" customWidth="1"/>
    <col min="17" max="19" width="2.58203125" customWidth="1"/>
    <col min="20" max="20" width="18.4140625" bestFit="1" customWidth="1"/>
    <col min="21" max="23" width="2.58203125" customWidth="1"/>
    <col min="24" max="24" width="17.83203125" bestFit="1" customWidth="1"/>
    <col min="25" max="27" width="2.58203125" customWidth="1"/>
    <col min="28" max="28" width="17.83203125" bestFit="1" customWidth="1"/>
    <col min="29" max="32" width="3" customWidth="1"/>
    <col min="33" max="33" width="13.4140625" customWidth="1"/>
    <col min="34" max="34" width="16.5" customWidth="1"/>
    <col min="35" max="35" width="18.6640625" bestFit="1" customWidth="1"/>
  </cols>
  <sheetData>
    <row r="1" spans="1:34" x14ac:dyDescent="0.4">
      <c r="T1" s="6">
        <f>GETPIVOTDATA("Toplam Tutar",$T$3)</f>
        <v>14690</v>
      </c>
      <c r="X1" s="4">
        <f>GETPIVOTDATA("Tarih",$X$3)</f>
        <v>63</v>
      </c>
      <c r="AB1" s="4">
        <f>GETPIVOTDATA("Sipariş Adeti",$AB$3)</f>
        <v>409</v>
      </c>
    </row>
    <row r="3" spans="1:34" x14ac:dyDescent="0.4">
      <c r="A3" s="2" t="s">
        <v>115</v>
      </c>
      <c r="B3" t="s">
        <v>68</v>
      </c>
      <c r="E3" s="2" t="s">
        <v>115</v>
      </c>
      <c r="F3" t="s">
        <v>68</v>
      </c>
      <c r="I3" s="2" t="s">
        <v>115</v>
      </c>
      <c r="J3" t="s">
        <v>70</v>
      </c>
      <c r="K3" t="s">
        <v>69</v>
      </c>
      <c r="O3" s="2" t="s">
        <v>115</v>
      </c>
      <c r="P3" t="s">
        <v>112</v>
      </c>
      <c r="T3" t="s">
        <v>70</v>
      </c>
      <c r="X3" t="s">
        <v>71</v>
      </c>
      <c r="AB3" t="s">
        <v>71</v>
      </c>
      <c r="AG3" t="s">
        <v>74</v>
      </c>
      <c r="AH3" s="6">
        <f>SUM(Tbl_Siparişler[Tahsilat])</f>
        <v>10638</v>
      </c>
    </row>
    <row r="4" spans="1:34" x14ac:dyDescent="0.4">
      <c r="A4" s="1" t="s">
        <v>11</v>
      </c>
      <c r="B4" s="3">
        <v>4846</v>
      </c>
      <c r="E4" s="1" t="s">
        <v>93</v>
      </c>
      <c r="F4" s="5">
        <v>7320</v>
      </c>
      <c r="I4" s="1">
        <v>2022</v>
      </c>
      <c r="J4" s="5">
        <v>13972</v>
      </c>
      <c r="K4">
        <v>57</v>
      </c>
      <c r="O4" s="1" t="s">
        <v>5</v>
      </c>
      <c r="P4">
        <v>14</v>
      </c>
      <c r="T4" s="3">
        <v>14690</v>
      </c>
      <c r="X4">
        <v>63</v>
      </c>
      <c r="AB4">
        <v>409</v>
      </c>
      <c r="AG4" t="s">
        <v>2</v>
      </c>
      <c r="AH4" s="6">
        <f>SUM(Tbl_Siparişler[Toplam Tutar])</f>
        <v>14690</v>
      </c>
    </row>
    <row r="5" spans="1:34" x14ac:dyDescent="0.4">
      <c r="A5" s="1" t="s">
        <v>10</v>
      </c>
      <c r="B5" s="5">
        <v>4860</v>
      </c>
      <c r="E5" s="1" t="s">
        <v>92</v>
      </c>
      <c r="F5" s="5">
        <v>4320</v>
      </c>
      <c r="I5" s="7" t="s">
        <v>98</v>
      </c>
      <c r="J5" s="5">
        <v>860</v>
      </c>
      <c r="K5">
        <v>5</v>
      </c>
      <c r="O5" s="1" t="s">
        <v>4</v>
      </c>
      <c r="P5">
        <v>20</v>
      </c>
      <c r="AG5" t="s">
        <v>110</v>
      </c>
      <c r="AH5" s="6">
        <f>AH4-AH3</f>
        <v>4052</v>
      </c>
    </row>
    <row r="6" spans="1:34" x14ac:dyDescent="0.4">
      <c r="A6" s="1" t="s">
        <v>9</v>
      </c>
      <c r="B6" s="3">
        <v>4984</v>
      </c>
      <c r="E6" s="1" t="s">
        <v>90</v>
      </c>
      <c r="F6" s="5">
        <v>2050</v>
      </c>
      <c r="I6" s="7" t="s">
        <v>99</v>
      </c>
      <c r="J6" s="5">
        <v>3110</v>
      </c>
      <c r="K6">
        <v>10</v>
      </c>
      <c r="O6" s="1" t="s">
        <v>6</v>
      </c>
      <c r="P6">
        <v>22</v>
      </c>
    </row>
    <row r="7" spans="1:34" x14ac:dyDescent="0.4">
      <c r="A7" s="1" t="s">
        <v>116</v>
      </c>
      <c r="B7" s="3">
        <v>14690</v>
      </c>
      <c r="E7" s="1" t="s">
        <v>91</v>
      </c>
      <c r="F7" s="5">
        <v>1000</v>
      </c>
      <c r="I7" s="7" t="s">
        <v>100</v>
      </c>
      <c r="J7" s="5">
        <v>820</v>
      </c>
      <c r="K7">
        <v>3</v>
      </c>
      <c r="O7" s="1" t="s">
        <v>72</v>
      </c>
      <c r="P7">
        <v>7</v>
      </c>
    </row>
    <row r="8" spans="1:34" x14ac:dyDescent="0.4">
      <c r="E8" s="1" t="s">
        <v>116</v>
      </c>
      <c r="F8" s="5">
        <v>14690</v>
      </c>
      <c r="I8" s="7" t="s">
        <v>101</v>
      </c>
      <c r="J8" s="5">
        <v>430</v>
      </c>
      <c r="K8">
        <v>3</v>
      </c>
      <c r="O8" s="1" t="s">
        <v>116</v>
      </c>
      <c r="P8">
        <v>63</v>
      </c>
    </row>
    <row r="9" spans="1:34" x14ac:dyDescent="0.4">
      <c r="I9" s="7" t="s">
        <v>102</v>
      </c>
      <c r="J9" s="5">
        <v>1220</v>
      </c>
      <c r="K9">
        <v>6</v>
      </c>
    </row>
    <row r="10" spans="1:34" x14ac:dyDescent="0.4">
      <c r="I10" s="7" t="s">
        <v>103</v>
      </c>
      <c r="J10" s="5">
        <v>494</v>
      </c>
      <c r="K10">
        <v>4</v>
      </c>
    </row>
    <row r="11" spans="1:34" x14ac:dyDescent="0.4">
      <c r="I11" s="7" t="s">
        <v>104</v>
      </c>
      <c r="J11" s="5">
        <v>2080</v>
      </c>
      <c r="K11">
        <v>6</v>
      </c>
    </row>
    <row r="12" spans="1:34" x14ac:dyDescent="0.4">
      <c r="I12" s="7" t="s">
        <v>105</v>
      </c>
      <c r="J12" s="5">
        <v>1920</v>
      </c>
      <c r="K12">
        <v>8</v>
      </c>
    </row>
    <row r="13" spans="1:34" x14ac:dyDescent="0.4">
      <c r="I13" s="7" t="s">
        <v>106</v>
      </c>
      <c r="J13" s="5">
        <v>60</v>
      </c>
      <c r="K13">
        <v>1</v>
      </c>
    </row>
    <row r="14" spans="1:34" x14ac:dyDescent="0.4">
      <c r="I14" s="7" t="s">
        <v>107</v>
      </c>
      <c r="J14" s="5">
        <v>1310</v>
      </c>
      <c r="K14">
        <v>3</v>
      </c>
    </row>
    <row r="15" spans="1:34" x14ac:dyDescent="0.4">
      <c r="I15" s="7" t="s">
        <v>108</v>
      </c>
      <c r="J15" s="5">
        <v>768</v>
      </c>
      <c r="K15">
        <v>5</v>
      </c>
    </row>
    <row r="16" spans="1:34" x14ac:dyDescent="0.4">
      <c r="I16" s="7" t="s">
        <v>109</v>
      </c>
      <c r="J16" s="5">
        <v>900</v>
      </c>
      <c r="K16">
        <v>3</v>
      </c>
    </row>
    <row r="17" spans="9:11" x14ac:dyDescent="0.4">
      <c r="I17" s="1">
        <v>2021</v>
      </c>
      <c r="J17" s="5">
        <v>718</v>
      </c>
      <c r="K17">
        <v>6</v>
      </c>
    </row>
    <row r="18" spans="9:11" x14ac:dyDescent="0.4">
      <c r="I18" s="7" t="s">
        <v>99</v>
      </c>
      <c r="J18" s="5">
        <v>70</v>
      </c>
      <c r="K18">
        <v>1</v>
      </c>
    </row>
    <row r="19" spans="9:11" x14ac:dyDescent="0.4">
      <c r="I19" s="7" t="s">
        <v>100</v>
      </c>
      <c r="J19" s="5">
        <v>120</v>
      </c>
      <c r="K19">
        <v>1</v>
      </c>
    </row>
    <row r="20" spans="9:11" x14ac:dyDescent="0.4">
      <c r="I20" s="7" t="s">
        <v>101</v>
      </c>
      <c r="J20" s="5">
        <v>68</v>
      </c>
      <c r="K20">
        <v>1</v>
      </c>
    </row>
    <row r="21" spans="9:11" x14ac:dyDescent="0.4">
      <c r="I21" s="7" t="s">
        <v>102</v>
      </c>
      <c r="J21" s="5">
        <v>60</v>
      </c>
      <c r="K21">
        <v>1</v>
      </c>
    </row>
    <row r="22" spans="9:11" x14ac:dyDescent="0.4">
      <c r="I22" s="7" t="s">
        <v>103</v>
      </c>
      <c r="J22" s="5">
        <v>300</v>
      </c>
      <c r="K22">
        <v>1</v>
      </c>
    </row>
    <row r="23" spans="9:11" x14ac:dyDescent="0.4">
      <c r="I23" s="7" t="s">
        <v>107</v>
      </c>
      <c r="J23" s="5">
        <v>100</v>
      </c>
      <c r="K23">
        <v>1</v>
      </c>
    </row>
    <row r="24" spans="9:11" x14ac:dyDescent="0.4">
      <c r="I24" s="1" t="s">
        <v>116</v>
      </c>
      <c r="J24" s="5">
        <v>14690</v>
      </c>
      <c r="K24">
        <v>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2073F4-12D3-41CC-86F0-9E4DF6BD7E8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4" baseType="lpstr">
      <vt:lpstr>DashBoard</vt:lpstr>
      <vt:lpstr>G_Siparişler</vt:lpstr>
      <vt:lpstr>Pvt_Siparişler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2022-01-04T16:02:52Z</dcterms:created>
  <dcterms:modified xsi:type="dcterms:W3CDTF">2023-04-20T11:32:44Z</dcterms:modified>
</cp:coreProperties>
</file>