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C2467A65-F765-4F68-8BE2-1C9832EEA2AB}" ns3:coauthVersionLast="47" ns3:coauthVersionMax="47" ns4:uidLastSave="{00000000-0000-0000-0000-000000000000}"/>
  <ns0:bookViews>
    <ns0:workbookView xWindow="-108" yWindow="-108" windowWidth="23256" windowHeight="12456" ns5:uid="{7FD80F63-985C-4624-8B80-01AAE52E6AB6}" activeTab="0"/>
  </ns0:bookViews>
  <ns0:sheets>
    <ns0:sheet name="Ürün_Girişi" sheetId="9" ns6:id="rId2"/>
    <ns0:sheet name="Ürünler" sheetId="5" ns6:id="rId3"/>
    <ns0:sheet name="Kategoriler" sheetId="10" ns6:id="rId4"/>
    <ns0:sheet name="Ayarlar" sheetId="11" ns6:id="rId5"/>
  </ns0:sheets>
  <ns0:externalReferences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  <ns0:externalReference ns6:id="rId13"/>
    <ns0:externalReference ns6:id="rId14"/>
  </ns0:externalReferences>
  <ns0:definedNames>
    <ns0:definedName name="_xlcn.WorksheetConnection_AlışsatışProgramı.xlsxTable251" hidden="1">Tbl_Satışlar</ns0:definedName>
    <ns0:definedName name="_xlcn.WorksheetConnection_AlışsatışProgramı.xlsxTable51" hidden="1">'[1]Ürünler(Pvt)'!$E$3:$G$100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Kategori_Resimleri">INDEX(Kategoriler!$A:$B,MATCH(Ürün_Girişi!$D$6,Kategoriler!$A:$A,0),2)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 localSheetId="1">Table14[Ürün Kategorisi]</ns0:definedName>
    <ns0:definedName name="Lst_Ürünler">[2]!Tablo4[Ürün Adı]</ns0:definedName>
    <ns0:definedName name="Lst_Ürünlerim">[8]!Tablo2[Ürün Adı]</ns0:definedName>
    <ns0:definedName name="Lst_Yıl_Ay">[3]!Tablo8[Tarihler]</ns0:definedName>
    <ns0:definedName name="oran">[9]Ürün_Fiyat_Listesi!$E$3</ns0:definedName>
    <ns0:definedName name="rng_tarih">Ürün_Girişi!$D$5</ns0:definedName>
  </ns0:definedNames>
  <ns0:calcPr calcId="191029"/>
  <ns0:extLst>
    <ns0:ext uri="{140A7094-0E35-4892-8432-C4D2E57EDEB5}">
      <ns7:workbookPr chartTrackingRefBase="1"/>
    </ns0:ext>
    <ns0:ext uri="{FCE2AD5D-F65C-4FA6-A056-5C36A1767C68}">
      <ns7:dataModel>
        <ns7:modelTables>
          <ns7:modelTable id="Table5" name="Table5" connection="WorksheetConnection_Alış-satış-Programı.xlsx!Table5"/>
          <ns7:modelTable id="Table25" name="Satışlar" connection="WorksheetConnection_Alış-satış-Programı.xlsx!Table25"/>
        </ns7:modelTables>
      </ns7:dataModel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H5" i="9" l="1"/>
  <c r="H6" i="9"/>
  <c r="D12" i="9"/>
  <c r="G15" i="9" s="1"/>
  <c r="D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509E8-4A98-4311-83BA-B52375F46FA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2526A49-384E-4F8B-990C-6BB7D6BD568B}" name="WorksheetConnection_Alış-satış-Programı.xlsx!Table25" type="102" refreshedVersion="6" minRefreshableVersion="5">
    <extLst>
      <ext xmlns:x15="http://schemas.microsoft.com/office/spreadsheetml/2010/11/main" uri="{DE250136-89BD-433C-8126-D09CA5730AF9}">
        <x15:connection id="Table25">
          <x15:rangePr sourceName="_xlcn.WorksheetConnection_AlışsatışProgramı.xlsxTable251"/>
        </x15:connection>
      </ext>
    </extLst>
  </connection>
  <connection id="3" xr16:uid="{E6476B99-6453-4575-9B18-B18029B24E11}" name="WorksheetConnection_Alış-satış-Programı.xlsx!Table5" type="102" refreshedVersion="6" minRefreshableVersion="5">
    <extLst>
      <ext xmlns:x15="http://schemas.microsoft.com/office/spreadsheetml/2010/11/main" uri="{DE250136-89BD-433C-8126-D09CA5730AF9}">
        <x15:connection id="Table5">
          <x15:rangePr sourceName="_xlcn.WorksheetConnection_AlışsatışProgramı.xlsxTable51"/>
        </x15:connection>
      </ext>
    </extLst>
  </connection>
</connections>
</file>

<file path=xl/sharedStrings.xml><?xml version="1.0" encoding="utf-8"?>
<sst xmlns="http://schemas.openxmlformats.org/spreadsheetml/2006/main" count="64" uniqueCount="35">
  <si>
    <t>Laptop</t>
  </si>
  <si>
    <t>Klavye</t>
  </si>
  <si>
    <t>Kulaklık</t>
  </si>
  <si>
    <t>Alış Fiyatı</t>
  </si>
  <si>
    <t>Satış Fiyatı</t>
  </si>
  <si>
    <t>Kâr Oranı</t>
  </si>
  <si>
    <t>Telefon</t>
  </si>
  <si>
    <t>Marka</t>
  </si>
  <si>
    <t>Model</t>
  </si>
  <si>
    <t>Renk</t>
  </si>
  <si>
    <t>Tarih</t>
  </si>
  <si>
    <t>Apple</t>
  </si>
  <si>
    <t>Samsung</t>
  </si>
  <si>
    <t>Huawei</t>
  </si>
  <si>
    <t>Ürün Kategorisi</t>
  </si>
  <si>
    <t>YENİ ÜRÜN GİRİŞ FORMU</t>
  </si>
  <si>
    <t>Kategori</t>
  </si>
  <si>
    <t>Siyah</t>
  </si>
  <si>
    <t>Mavi</t>
  </si>
  <si>
    <t>Kırmızı</t>
  </si>
  <si>
    <t>Gümüş</t>
  </si>
  <si>
    <t>Sarı</t>
  </si>
  <si>
    <t>Mor</t>
  </si>
  <si>
    <t>Resim</t>
  </si>
  <si>
    <t>AYARLAR</t>
  </si>
  <si>
    <t>SATIŞ FİYATI</t>
  </si>
  <si>
    <t>DF-9855</t>
  </si>
  <si>
    <t>ÜRÜN KARTI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</si>
  <si>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</si>
  <si>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</si>
  <si>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</si>
  <si>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</si>
  <si>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</si>
  <si>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Product Sans"/>
        <family val="2"/>
        <charset val="162"/>
        <scheme val="minor"/>
      </rPr>
      <t>Kullanıcı Kılavuzunu in</t>
    </r>
    <r>
      <rPr>
        <sz val="11"/>
        <color theme="1"/>
        <rFont val="Product Sans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</si>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</sst>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₺&quot;#,##0.00;[Red]\-&quot;₺&quot;#,##0.00"/>
    <numFmt numFmtId="164" formatCode=";;;"/>
    <numFmt numFmtId="165" formatCode="[$-41F]dd/mm/yyyy\ hh:mm;@"/>
  </numFmts>
  <fonts count="12" x14ac:knownFonts="1">
    <font>
      <sz val="11"/>
      <color theme="1"/>
      <name val="Product Sans"/>
      <family val="2"/>
      <charset val="162"/>
      <scheme val="minor"/>
    </font>
    <font>
      <b/>
      <sz val="11"/>
      <color theme="1"/>
      <name val="Product Sans"/>
      <family val="2"/>
      <scheme val="minor"/>
    </font>
    <font>
      <b/>
      <sz val="24"/>
      <color theme="1"/>
      <name val="Product Sans"/>
      <family val="2"/>
      <scheme val="minor"/>
    </font>
    <font>
      <b/>
      <sz val="22"/>
      <color theme="1"/>
      <name val="Product Sans"/>
      <family val="2"/>
      <scheme val="minor"/>
    </font>
    <font>
      <sz val="8"/>
      <name val="Product Sans"/>
      <family val="2"/>
      <charset val="162"/>
      <scheme val="minor"/>
    </font>
    <font>
      <b/>
      <sz val="11"/>
      <color theme="1" tint="0.249977111117893"/>
      <name val="Product Sans"/>
      <family val="2"/>
      <scheme val="minor"/>
    </font>
    <font>
      <sz val="12"/>
      <color theme="1"/>
      <name val="Product Sans"/>
      <family val="2"/>
      <charset val="162"/>
      <scheme val="minor"/>
    </font>
    <font>
      <sz val="11"/>
      <color theme="1"/>
      <name val="Product Sans"/>
      <family val="2"/>
      <charset val="162"/>
      <scheme val="minor"/>
    </font>
    <font>
      <sz val="11"/>
      <color theme="0"/>
      <name val="Product Sans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Product Sans"/>
      <family val="2"/>
      <scheme val="minor"/>
    </font>
    <font>
      <u/>
      <sz val="11"/>
      <color theme="10"/>
      <name val="Product Sans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9" fontId="0" fillId="0" borderId="0" xfId="0" applyNumberFormat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8" fontId="0" fillId="2" borderId="2" xfId="0" applyNumberFormat="1" applyFill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8" fontId="0" fillId="2" borderId="0" xfId="0" applyNumberFormat="1" applyFill="1" applyAlignment="1">
      <alignment horizontal="left" vertical="center"/>
    </xf>
    <xf numFmtId="0" fontId="0" fillId="3" borderId="0" xfId="0" applyFill="1"/>
    <xf numFmtId="0" fontId="0" fillId="2" borderId="0" xfId="0" applyFill="1"/>
    <xf numFmtId="165" fontId="0" fillId="2" borderId="0" xfId="0" applyNumberFormat="1" applyFill="1" applyAlignment="1">
      <alignment horizontal="left" vertical="center"/>
    </xf>
    <xf numFmtId="9" fontId="0" fillId="2" borderId="0" xfId="0" applyNumberForma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8" fontId="0" fillId="0" borderId="2" xfId="0" applyNumberFormat="1" applyBorder="1" applyAlignment="1">
      <alignment horizontal="left" vertical="center"/>
    </xf>
    <xf numFmtId="9" fontId="0" fillId="0" borderId="2" xfId="0" applyNumberFormat="1" applyBorder="1" applyAlignment="1">
      <alignment horizontal="left" vertical="center"/>
    </xf>
    <xf numFmtId="165" fontId="0" fillId="4" borderId="2" xfId="0" applyNumberForma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right" vertical="center" indent="2"/>
    </xf>
    <xf numFmtId="164" fontId="0" fillId="2" borderId="0" xfId="0" applyNumberFormat="1" applyFill="1"/>
    <xf numFmtId="0" fontId="6" fillId="2" borderId="0" xfId="0" applyFont="1" applyFill="1" applyAlignment="1">
      <alignment vertical="top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8" fontId="3" fillId="2" borderId="0" xfId="0" applyNumberFormat="1" applyFont="1" applyFill="1" applyAlignment="1">
      <alignment horizontal="center" vertical="center" wrapText="1"/>
    </xf>
    <xf numFmtId="0" fontId="8" fillId="5" borderId="0" xfId="1" applyFont="1" applyFill="1" applyAlignment="1">
      <alignment horizontal="left" vertical="center" wrapText="1"/>
    </xf>
    <xf numFmtId="0" fontId="8" fillId="5" borderId="0" xfId="1" applyFont="1" applyFill="1" applyAlignment="1">
      <alignment horizontal="left" vertical="center"/>
    </xf>
    <xf numFmtId="0" fontId="9" fillId="5" borderId="4" xfId="1" applyFont="1" applyFill="1" applyBorder="1" applyAlignment="1">
      <alignment horizontal="left" vertical="center" wrapText="1" indent="1"/>
    </xf>
    <xf numFmtId="0" fontId="9" fillId="5" borderId="0" xfId="1" applyFont="1" applyFill="1" applyAlignment="1">
      <alignment horizontal="left" vertical="center" wrapText="1" indent="1"/>
    </xf>
    <xf numFmtId="0" fontId="9" fillId="5" borderId="0" xfId="1" applyFont="1" applyFill="1" applyAlignment="1">
      <alignment horizontal="left" vertical="top" wrapText="1"/>
    </xf>
    <xf numFmtId="0" fontId="7" fillId="0" borderId="0" xfId="1" applyAlignment="1">
      <alignment horizontal="left" vertical="center" wrapText="1"/>
    </xf>
    <xf numFmtId="0" fontId="7" fillId="0" borderId="0" xfId="1" applyAlignment="1">
      <alignment horizontal="left" vertical="center"/>
    </xf>
    <xf numFmtId="0" fontId="7" fillId="2" borderId="0" xfId="1" applyFill="1" applyAlignment="1">
      <alignment horizontal="left" vertical="center"/>
    </xf>
    <xf numFmtId="0" fontId="7" fillId="2" borderId="0" xfId="1" applyFill="1" applyAlignment="1">
      <alignment horizontal="left" vertical="top"/>
    </xf>
    <xf numFmtId="0" fontId="10" fillId="2" borderId="5" xfId="1" applyFont="1" applyFill="1" applyBorder="1" applyAlignment="1">
      <alignment vertical="top"/>
    </xf>
    <xf numFmtId="0" fontId="7" fillId="2" borderId="5" xfId="1" applyFill="1" applyBorder="1" applyAlignment="1">
      <alignment vertical="top" wrapText="1"/>
    </xf>
    <xf numFmtId="0" fontId="7" fillId="0" borderId="0" xfId="1" applyAlignment="1">
      <alignment horizontal="left" vertical="top"/>
    </xf>
    <xf numFmtId="0" fontId="11" fillId="2" borderId="0" xfId="2" applyFill="1" applyAlignment="1">
      <alignment horizontal="left" vertical="center"/>
    </xf>
    <xf numFmtId="0" fontId="7" fillId="2" borderId="0" xfId="1" applyFill="1" applyAlignment="1">
      <alignment vertical="center" wrapText="1"/>
    </xf>
    <xf numFmtId="0" fontId="7" fillId="2" borderId="0" xfId="1" applyFill="1" applyAlignment="1">
      <alignment vertical="top" wrapText="1"/>
    </xf>
    <xf numFmtId="0" fontId="7" fillId="2" borderId="0" xfId="1" applyFill="1"/>
    <xf numFmtId="0" fontId="7" fillId="2" borderId="0" xfId="1" applyFill="1" applyAlignment="1">
      <alignment horizontal="left" vertical="top" wrapText="1"/>
    </xf>
    <xf numFmtId="0" fontId="0" fillId="2" borderId="0" xfId="1" applyFont="1" applyFill="1" applyAlignment="1">
      <alignment horizontal="left" vertical="top" wrapText="1"/>
    </xf>
    <xf numFmtId="0" fontId="7" fillId="0" borderId="0" xfId="1"/>
    <xf numFmtId="0" fontId="7" fillId="2" borderId="0" xfId="1" applyFill="1" applyAlignment="1">
      <alignment horizontal="left" vertical="center" wrapText="1"/>
    </xf>
  </cellXfs>
  <cellStyles count="3">
    <cellStyle name="Köprü 2" xfId="2" xr:uid="{6A5CAADF-1BA5-4588-8531-89AB1F844D53}"/>
    <cellStyle name="Normal" xfId="0" builtinId="0"/>
    <cellStyle name="Normal 2" xfId="1" xr:uid="{E7E86753-8B8B-451B-BF6E-556DCC334828}"/>
  </cellStyles>
  <dxfs count="10">
    <dxf>
      <numFmt numFmtId="13" formatCode="0%"/>
    </dxf>
    <dxf>
      <numFmt numFmtId="13" formatCode="0%"/>
    </dxf>
    <dxf>
      <fill>
        <patternFill patternType="none">
          <fgColor indexed="64"/>
          <bgColor auto="1"/>
        </patternFill>
      </fill>
    </dxf>
    <dxf>
      <numFmt numFmtId="165" formatCode="[$-41F]dd/mm/yyyy\ hh:mm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>
          <bgColor rgb="FFFF5050"/>
        </patternFill>
      </fill>
    </dxf>
    <dxf>
      <fill>
        <patternFill>
          <bgColor theme="1" tint="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3" Type="http://schemas.openxmlformats.org/officeDocument/2006/relationships/externalLink" Target="externalLinks/externalLink8.xml" /><ns0:Relationship Id="rId18" Type="http://schemas.openxmlformats.org/officeDocument/2006/relationships/sharedStrings" Target="sharedStrings.xml" /><ns0:Relationship Id="rId26" Type="http://schemas.openxmlformats.org/officeDocument/2006/relationships/customXml" Target="../customXml/item6.xml" /><ns0:Relationship Id="rId21" Type="http://schemas.openxmlformats.org/officeDocument/2006/relationships/customXml" Target="../customXml/item1.xml" /><ns0:Relationship Id="rId34" Type="http://schemas.openxmlformats.org/officeDocument/2006/relationships/customXml" Target="../customXml/item14.xml" /><ns0:Relationship Id="rId7" Type="http://schemas.openxmlformats.org/officeDocument/2006/relationships/externalLink" Target="externalLinks/externalLink2.xml" /><ns0:Relationship Id="rId12" Type="http://schemas.openxmlformats.org/officeDocument/2006/relationships/externalLink" Target="externalLinks/externalLink7.xml" /><ns0:Relationship Id="rId17" Type="http://schemas.openxmlformats.org/officeDocument/2006/relationships/styles" Target="styles.xml" /><ns0:Relationship Id="rId25" Type="http://schemas.openxmlformats.org/officeDocument/2006/relationships/customXml" Target="../customXml/item5.xml" /><ns0:Relationship Id="rId33" Type="http://schemas.openxmlformats.org/officeDocument/2006/relationships/customXml" Target="../customXml/item13.xml" /><ns0:Relationship Id="rId38" Type="http://schemas.openxmlformats.org/officeDocument/2006/relationships/customXml" Target="../customXml/item18.xml" /><ns0:Relationship Id="rId2" Type="http://schemas.openxmlformats.org/officeDocument/2006/relationships/worksheet" Target="worksheets/sheet2.xml" /><ns0:Relationship Id="rId16" Type="http://schemas.openxmlformats.org/officeDocument/2006/relationships/connections" Target="connections.xml" /><ns0:Relationship Id="rId20" Type="http://schemas.openxmlformats.org/officeDocument/2006/relationships/calcChain" Target="calcChain.xml" /><ns0:Relationship Id="rId29" Type="http://schemas.openxmlformats.org/officeDocument/2006/relationships/customXml" Target="../customXml/item9.xml" /><ns0:Relationship Id="rId6" Type="http://schemas.openxmlformats.org/officeDocument/2006/relationships/externalLink" Target="externalLinks/externalLink1.xml" /><ns0:Relationship Id="rId11" Type="http://schemas.openxmlformats.org/officeDocument/2006/relationships/externalLink" Target="externalLinks/externalLink6.xml" /><ns0:Relationship Id="rId24" Type="http://schemas.openxmlformats.org/officeDocument/2006/relationships/customXml" Target="../customXml/item4.xml" /><ns0:Relationship Id="rId32" Type="http://schemas.openxmlformats.org/officeDocument/2006/relationships/customXml" Target="../customXml/item12.xml" /><ns0:Relationship Id="rId37" Type="http://schemas.openxmlformats.org/officeDocument/2006/relationships/customXml" Target="../customXml/item17.xml" /><ns0:Relationship Id="rId5" Type="http://schemas.openxmlformats.org/officeDocument/2006/relationships/worksheet" Target="worksheets/sheet5.xml" /><ns0:Relationship Id="rId15" Type="http://schemas.openxmlformats.org/officeDocument/2006/relationships/theme" Target="theme/theme1.xml" /><ns0:Relationship Id="rId23" Type="http://schemas.openxmlformats.org/officeDocument/2006/relationships/customXml" Target="../customXml/item3.xml" /><ns0:Relationship Id="rId28" Type="http://schemas.openxmlformats.org/officeDocument/2006/relationships/customXml" Target="../customXml/item8.xml" /><ns0:Relationship Id="rId36" Type="http://schemas.openxmlformats.org/officeDocument/2006/relationships/customXml" Target="../customXml/item16.xml" /><ns0:Relationship Id="rId10" Type="http://schemas.openxmlformats.org/officeDocument/2006/relationships/externalLink" Target="externalLinks/externalLink5.xml" /><ns0:Relationship Id="rId19" Type="http://schemas.openxmlformats.org/officeDocument/2006/relationships/powerPivotData" Target="model/item.data" /><ns0:Relationship Id="rId31" Type="http://schemas.openxmlformats.org/officeDocument/2006/relationships/customXml" Target="../customXml/item11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4.xml" /><ns0:Relationship Id="rId14" Type="http://schemas.openxmlformats.org/officeDocument/2006/relationships/externalLink" Target="externalLinks/externalLink9.xml" /><ns0:Relationship Id="rId22" Type="http://schemas.openxmlformats.org/officeDocument/2006/relationships/customXml" Target="../customXml/item2.xml" /><ns0:Relationship Id="rId27" Type="http://schemas.openxmlformats.org/officeDocument/2006/relationships/customXml" Target="../customXml/item7.xml" /><ns0:Relationship Id="rId30" Type="http://schemas.openxmlformats.org/officeDocument/2006/relationships/customXml" Target="../customXml/item10.xml" /><ns0:Relationship Id="rId35" Type="http://schemas.openxmlformats.org/officeDocument/2006/relationships/customXml" Target="../customXml/item15.xml" /><ns0:Relationship Id="rId8" Type="http://schemas.openxmlformats.org/officeDocument/2006/relationships/externalLink" Target="externalLinks/externalLink3.xml" /><ns0:Relationship Id="rId3" Type="http://schemas.openxmlformats.org/officeDocument/2006/relationships/worksheet" Target="worksheets/sheet3.xml" /></ns0: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svg"/><Relationship Id="rId2" Type="http://schemas.openxmlformats.org/officeDocument/2006/relationships/image" Target="../media/image13.png"/><Relationship Id="rId1" Type="http://schemas.openxmlformats.org/officeDocument/2006/relationships/image" Target="../media/image1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212514</xdr:colOff>
          <xdr:row>5</xdr:row>
          <xdr:rowOff>211666</xdr:rowOff>
        </xdr:from>
        <xdr:to>
          <xdr:col>14</xdr:col>
          <xdr:colOff>59265</xdr:colOff>
          <xdr:row>9</xdr:row>
          <xdr:rowOff>267359</xdr:rowOff>
        </xdr:to>
        <xdr:pic>
          <xdr:nvPicPr>
            <xdr:cNvPr id="3" name="Resim 2">
              <a:extLst>
                <a:ext uri="{FF2B5EF4-FFF2-40B4-BE49-F238E27FC236}">
                  <a16:creationId xmlns:a16="http://schemas.microsoft.com/office/drawing/2014/main" id="{969AA160-E093-4B3E-BAAB-FA40E0731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st_Kategori_Resimleri" spid="_x0000_s208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6325447" y="1938866"/>
              <a:ext cx="3419685" cy="19183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720970</xdr:colOff>
      <xdr:row>3</xdr:row>
      <xdr:rowOff>0</xdr:rowOff>
    </xdr:from>
    <xdr:to>
      <xdr:col>15</xdr:col>
      <xdr:colOff>11725</xdr:colOff>
      <xdr:row>17</xdr:row>
      <xdr:rowOff>0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8B104C59-B604-4C93-A646-5B2A14C63311}"/>
            </a:ext>
          </a:extLst>
        </xdr:cNvPr>
        <xdr:cNvSpPr/>
      </xdr:nvSpPr>
      <xdr:spPr>
        <a:xfrm>
          <a:off x="6258170" y="838200"/>
          <a:ext cx="3905088" cy="5147733"/>
        </a:xfrm>
        <a:prstGeom prst="roundRect">
          <a:avLst>
            <a:gd name="adj" fmla="val 2064"/>
          </a:avLst>
        </a:prstGeom>
        <a:noFill/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AFB56057-8ADE-4C1C-9343-F67DB0AEFCC6}"/>
            </a:ext>
          </a:extLst>
        </xdr:cNvPr>
        <xdr:cNvSpPr/>
      </xdr:nvSpPr>
      <xdr:spPr>
        <a:xfrm>
          <a:off x="731520" y="678180"/>
          <a:ext cx="4975860" cy="5265420"/>
        </a:xfrm>
        <a:prstGeom prst="roundRect">
          <a:avLst>
            <a:gd name="adj" fmla="val 1322"/>
          </a:avLst>
        </a:prstGeom>
        <a:noFill/>
        <a:ln w="762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338667</xdr:colOff>
      <xdr:row>13</xdr:row>
      <xdr:rowOff>150709</xdr:rowOff>
    </xdr:from>
    <xdr:to>
      <xdr:col>3</xdr:col>
      <xdr:colOff>2331919</xdr:colOff>
      <xdr:row>15</xdr:row>
      <xdr:rowOff>160867</xdr:rowOff>
    </xdr:to>
    <xdr:grpSp>
      <xdr:nvGrpSpPr>
        <xdr:cNvPr id="10" name="Grup 9">
          <a:extLst>
            <a:ext uri="{FF2B5EF4-FFF2-40B4-BE49-F238E27FC236}">
              <a16:creationId xmlns:a16="http://schemas.microsoft.com/office/drawing/2014/main" id="{ECE25AB9-BA38-489B-A782-D2F32C8F512F}"/>
            </a:ext>
          </a:extLst>
        </xdr:cNvPr>
        <xdr:cNvGrpSpPr/>
      </xdr:nvGrpSpPr>
      <xdr:grpSpPr>
        <a:xfrm>
          <a:off x="2798838" y="4918652"/>
          <a:ext cx="1993252" cy="576215"/>
          <a:chOff x="2829691" y="5130801"/>
          <a:chExt cx="1886242" cy="506011"/>
        </a:xfrm>
      </xdr:grpSpPr>
      <xdr:sp macro="[0]!Kaydet" textlink="">
        <xdr:nvSpPr>
          <xdr:cNvPr id="8" name="Dikdörtgen: Köşeleri Yuvarlatılmış 7">
            <a:extLst>
              <a:ext uri="{FF2B5EF4-FFF2-40B4-BE49-F238E27FC236}">
                <a16:creationId xmlns:a16="http://schemas.microsoft.com/office/drawing/2014/main" id="{33CB3D87-36D9-4ABE-91A6-BB3AB3070899}"/>
              </a:ext>
            </a:extLst>
          </xdr:cNvPr>
          <xdr:cNvSpPr/>
        </xdr:nvSpPr>
        <xdr:spPr>
          <a:xfrm>
            <a:off x="2829691" y="5130801"/>
            <a:ext cx="1886242" cy="506011"/>
          </a:xfrm>
          <a:prstGeom prst="roundRect">
            <a:avLst>
              <a:gd name="adj" fmla="val 16528"/>
            </a:avLst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203200" dist="38100" dir="5400000" algn="t" rotWithShape="0">
              <a:schemeClr val="accent4">
                <a:lumMod val="50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r-TR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 macro="[0]!Kaydet">
        <xdr:nvPicPr>
          <xdr:cNvPr id="6" name="Grafik 5" descr="Disk düz dolguyla">
            <a:extLst>
              <a:ext uri="{FF2B5EF4-FFF2-40B4-BE49-F238E27FC236}">
                <a16:creationId xmlns:a16="http://schemas.microsoft.com/office/drawing/2014/main" id="{F92697BD-246A-4963-B40A-66BE2F3CA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976118" y="5227258"/>
            <a:ext cx="313099" cy="313100"/>
          </a:xfrm>
          <a:prstGeom prst="rect">
            <a:avLst/>
          </a:prstGeom>
        </xdr:spPr>
      </xdr:pic>
      <xdr:sp macro="[0]!Kaydet" textlink="">
        <xdr:nvSpPr>
          <xdr:cNvPr id="9" name="Metin kutusu 8">
            <a:extLst>
              <a:ext uri="{FF2B5EF4-FFF2-40B4-BE49-F238E27FC236}">
                <a16:creationId xmlns:a16="http://schemas.microsoft.com/office/drawing/2014/main" id="{56343060-03CA-4868-8FF5-07472AE887A6}"/>
              </a:ext>
            </a:extLst>
          </xdr:cNvPr>
          <xdr:cNvSpPr txBox="1"/>
        </xdr:nvSpPr>
        <xdr:spPr>
          <a:xfrm>
            <a:off x="3572932" y="5261039"/>
            <a:ext cx="838202" cy="2592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tr-TR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Kaydet</a:t>
            </a:r>
          </a:p>
        </xdr:txBody>
      </xdr:sp>
    </xdr:grpSp>
    <xdr:clientData/>
  </xdr:twoCellAnchor>
  <xdr:twoCellAnchor>
    <xdr:from>
      <xdr:col>7</xdr:col>
      <xdr:colOff>0</xdr:colOff>
      <xdr:row>5</xdr:row>
      <xdr:rowOff>0</xdr:rowOff>
    </xdr:from>
    <xdr:to>
      <xdr:col>14</xdr:col>
      <xdr:colOff>0</xdr:colOff>
      <xdr:row>10</xdr:row>
      <xdr:rowOff>0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C259BC2B-0374-4D55-BE5D-6AB6F7519FE2}"/>
            </a:ext>
          </a:extLst>
        </xdr:cNvPr>
        <xdr:cNvSpPr/>
      </xdr:nvSpPr>
      <xdr:spPr>
        <a:xfrm>
          <a:off x="6578600" y="1794933"/>
          <a:ext cx="3259667" cy="2328334"/>
        </a:xfrm>
        <a:prstGeom prst="roundRect">
          <a:avLst>
            <a:gd name="adj" fmla="val 2064"/>
          </a:avLst>
        </a:prstGeom>
        <a:noFill/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436240</xdr:colOff>
      <xdr:row>3</xdr:row>
      <xdr:rowOff>27067</xdr:rowOff>
    </xdr:from>
    <xdr:to>
      <xdr:col>1</xdr:col>
      <xdr:colOff>1148883</xdr:colOff>
      <xdr:row>3</xdr:row>
      <xdr:rowOff>807027</xdr:rowOff>
    </xdr:to>
    <xdr:pic>
      <xdr:nvPicPr>
        <xdr:cNvPr id="26" name="Resim 25" descr="Headphones PNG images free download">
          <a:extLst>
            <a:ext uri="{FF2B5EF4-FFF2-40B4-BE49-F238E27FC236}">
              <a16:creationId xmlns:a16="http://schemas.microsoft.com/office/drawing/2014/main" id="{810B9812-A717-4E82-BA6A-9A307299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932" y="1943790"/>
          <a:ext cx="712643" cy="77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187208</xdr:colOff>
      <xdr:row>2</xdr:row>
      <xdr:rowOff>90486</xdr:rowOff>
    </xdr:from>
    <xdr:to>
      <xdr:col>1</xdr:col>
      <xdr:colOff>1397915</xdr:colOff>
      <xdr:row>2</xdr:row>
      <xdr:rowOff>776286</xdr:rowOff>
    </xdr:to>
    <xdr:pic>
      <xdr:nvPicPr>
        <xdr:cNvPr id="27" name="Resim 26" descr="Keyboard PNG Transparent Images | PNG All">
          <a:extLst>
            <a:ext uri="{FF2B5EF4-FFF2-40B4-BE49-F238E27FC236}">
              <a16:creationId xmlns:a16="http://schemas.microsoft.com/office/drawing/2014/main" id="{3EDF9769-143C-491C-B22B-4E5B3C61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900" y="1145563"/>
          <a:ext cx="1210707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419866</xdr:colOff>
      <xdr:row>4</xdr:row>
      <xdr:rowOff>80962</xdr:rowOff>
    </xdr:from>
    <xdr:to>
      <xdr:col>1</xdr:col>
      <xdr:colOff>1165256</xdr:colOff>
      <xdr:row>4</xdr:row>
      <xdr:rowOff>820243</xdr:rowOff>
    </xdr:to>
    <xdr:pic>
      <xdr:nvPicPr>
        <xdr:cNvPr id="28" name="Resim 27" descr="Buy iPhone 12 | iPhone 12 Deals &amp;amp; Contracts | EE">
          <a:extLst>
            <a:ext uri="{FF2B5EF4-FFF2-40B4-BE49-F238E27FC236}">
              <a16:creationId xmlns:a16="http://schemas.microsoft.com/office/drawing/2014/main" id="{BA865488-325D-478D-9A8D-9B66FC7F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58" y="2859331"/>
          <a:ext cx="745390" cy="739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186034</xdr:colOff>
      <xdr:row>1</xdr:row>
      <xdr:rowOff>1</xdr:rowOff>
    </xdr:from>
    <xdr:to>
      <xdr:col>1</xdr:col>
      <xdr:colOff>1440034</xdr:colOff>
      <xdr:row>1</xdr:row>
      <xdr:rowOff>820615</xdr:rowOff>
    </xdr:to>
    <xdr:pic>
      <xdr:nvPicPr>
        <xdr:cNvPr id="29" name="Resim 28" descr="LENOVO 82GW0095TX/ Ideapad/ Athlon Silver 3050E/ 4GB Ram/ 128GB SSD/ 14&amp;quot;/  Win 10 Home Laptop Gri Laptop">
          <a:extLst>
            <a:ext uri="{FF2B5EF4-FFF2-40B4-BE49-F238E27FC236}">
              <a16:creationId xmlns:a16="http://schemas.microsoft.com/office/drawing/2014/main" id="{F8AE8604-D4F4-4B85-9FA7-266E792F74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3" t="11666" r="6343" b="11666"/>
        <a:stretch/>
      </xdr:blipFill>
      <xdr:spPr bwMode="auto">
        <a:xfrm>
          <a:off x="918726" y="193432"/>
          <a:ext cx="1254000" cy="820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0;r&#252;nler(Pvt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rünler(Pvt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EFFA00-9FD9-4206-809A-6785AB32EAD5}" name="Table14" displayName="Table14" ref="A1:H5" totalsRowShown="0">
  <autoFilter ref="A1:H5" xr:uid="{C1987C5A-E6EC-40B6-A13D-2ECE832B92F2}"/>
  <tableColumns count="8">
    <tableColumn id="10" xr3:uid="{86DB56DB-C3DB-42B5-B9EE-18723EAD6B9C}" name="Tarih" dataDxfId="3"/>
    <tableColumn id="1" xr3:uid="{D267C1BE-9FFB-4C1D-BD1B-A42ED23FB4B2}" name="Ürün Kategorisi" dataDxfId="2"/>
    <tableColumn id="3" xr3:uid="{97C9887A-5956-48AB-88A6-278AA1BE7B71}" name="Marka"/>
    <tableColumn id="5" xr3:uid="{95AEA3CF-C64E-479C-B85D-88B110D6F9E3}" name="Model"/>
    <tableColumn id="6" xr3:uid="{D52F8EC2-A68F-4BF1-9464-21515B24EED6}" name="Renk" dataDxfId="1"/>
    <tableColumn id="8" xr3:uid="{5A30808D-B77A-4019-B527-A8925A475EB5}" name="Alış Fiyatı"/>
    <tableColumn id="7" xr3:uid="{C41CA332-D624-414A-9E58-3B25CBB0AFDB}" name="Kâr Oranı" dataDxfId="0"/>
    <tableColumn id="9" xr3:uid="{444DF806-1BA9-436F-9194-4685B9300BF6}" name="Satış Fiyat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Özel 1">
      <a:majorFont>
        <a:latin typeface="Product Sans"/>
        <a:ea typeface=""/>
        <a:cs typeface=""/>
      </a:majorFont>
      <a:minorFont>
        <a:latin typeface="Product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71F-6E7A-4505-AAD4-7EC117DDC7EB}">
  <sheetPr codeName="sh_Entry_Form"/>
  <dimension ref="B1:O17"/>
  <sheetViews>
    <sheetView showGridLines="0" zoomScale="70" zoomScaleNormal="70" workbookViewId="0">
      <selection activeCell="D10" sqref="D10"/>
    </sheetView>
  </sheetViews>
  <sheetFormatPr defaultRowHeight="15" x14ac:dyDescent="0.35"/>
  <cols>
    <col min="2" max="2" width="5" customWidth="1"/>
    <col min="3" max="3" width="15.54296875" customWidth="1"/>
    <col min="4" max="4" width="31.7265625" customWidth="1"/>
    <col min="5" max="5" width="5" customWidth="1"/>
    <col min="6" max="6" width="6.81640625" customWidth="1"/>
    <col min="7" max="7" width="3.7265625" customWidth="1"/>
    <col min="8" max="14" width="5.54296875" customWidth="1"/>
    <col min="15" max="15" width="3.7265625" customWidth="1"/>
    <col min="17" max="17" width="6.1796875" customWidth="1"/>
  </cols>
  <sheetData>
    <row r="1" spans="2:15" ht="21" customHeight="1" x14ac:dyDescent="0.35"/>
    <row r="2" spans="2:15" ht="31.2" customHeight="1" x14ac:dyDescent="0.65">
      <c r="B2" s="4" t="s">
        <v>15</v>
      </c>
      <c r="G2" s="4" t="s">
        <v>27</v>
      </c>
    </row>
    <row r="3" spans="2:15" ht="13.2" customHeight="1" x14ac:dyDescent="0.65">
      <c r="C3" s="4"/>
    </row>
    <row r="4" spans="2:15" ht="33" customHeight="1" x14ac:dyDescent="0.35">
      <c r="B4" s="15"/>
      <c r="C4" s="15"/>
      <c r="D4" s="15"/>
      <c r="E4" s="15"/>
      <c r="G4" s="15"/>
      <c r="H4" s="15"/>
      <c r="I4" s="15"/>
      <c r="J4" s="15"/>
      <c r="K4" s="15"/>
      <c r="L4" s="15"/>
      <c r="M4" s="15"/>
      <c r="N4" s="15"/>
      <c r="O4" s="15"/>
    </row>
    <row r="5" spans="2:15" ht="36.6" customHeight="1" x14ac:dyDescent="0.35">
      <c r="B5" s="15"/>
      <c r="C5" s="23" t="s">
        <v>10</v>
      </c>
      <c r="D5" s="21">
        <f ca="1">NOW()</f>
        <v>45036.569921180555</v>
      </c>
      <c r="E5" s="16"/>
      <c r="G5" s="15"/>
      <c r="H5" s="25" t="str">
        <f>D7&amp;" "&amp;D6&amp;" "&amp;D8&amp;" Model"&amp;" "&amp;D9</f>
        <v>Huawei Telefon DF-9855 Model Sarı</v>
      </c>
      <c r="I5" s="25"/>
      <c r="J5" s="25"/>
      <c r="K5" s="25"/>
      <c r="L5" s="25"/>
      <c r="M5" s="25"/>
      <c r="N5" s="25"/>
      <c r="O5" s="25"/>
    </row>
    <row r="6" spans="2:15" ht="36.6" customHeight="1" x14ac:dyDescent="0.35">
      <c r="B6" s="15"/>
      <c r="C6" s="23" t="s">
        <v>14</v>
      </c>
      <c r="D6" s="18" t="s">
        <v>6</v>
      </c>
      <c r="E6" s="12"/>
      <c r="G6" s="15"/>
      <c r="H6" s="26" t="str">
        <f>D9</f>
        <v>Sarı</v>
      </c>
      <c r="I6" s="26"/>
      <c r="J6" s="26"/>
      <c r="K6" s="26"/>
      <c r="L6" s="26"/>
      <c r="M6" s="26"/>
      <c r="N6" s="26"/>
      <c r="O6" s="24"/>
    </row>
    <row r="7" spans="2:15" ht="36.6" customHeight="1" x14ac:dyDescent="0.35">
      <c r="B7" s="15"/>
      <c r="C7" s="23" t="s">
        <v>7</v>
      </c>
      <c r="D7" s="18" t="s">
        <v>13</v>
      </c>
      <c r="E7" s="12"/>
      <c r="G7" s="15"/>
      <c r="H7" s="26"/>
      <c r="I7" s="26"/>
      <c r="J7" s="26"/>
      <c r="K7" s="26"/>
      <c r="L7" s="26"/>
      <c r="M7" s="26"/>
      <c r="N7" s="26"/>
      <c r="O7" s="24"/>
    </row>
    <row r="8" spans="2:15" ht="36.6" customHeight="1" x14ac:dyDescent="0.35">
      <c r="B8" s="15"/>
      <c r="C8" s="23" t="s">
        <v>8</v>
      </c>
      <c r="D8" s="18" t="s">
        <v>26</v>
      </c>
      <c r="E8" s="12"/>
      <c r="G8" s="15"/>
      <c r="H8" s="26"/>
      <c r="I8" s="26"/>
      <c r="J8" s="26"/>
      <c r="K8" s="26"/>
      <c r="L8" s="26"/>
      <c r="M8" s="26"/>
      <c r="N8" s="26"/>
      <c r="O8" s="24"/>
    </row>
    <row r="9" spans="2:15" ht="36.6" customHeight="1" x14ac:dyDescent="0.35">
      <c r="B9" s="15"/>
      <c r="C9" s="23" t="s">
        <v>9</v>
      </c>
      <c r="D9" s="18" t="s">
        <v>21</v>
      </c>
      <c r="E9" s="12"/>
      <c r="G9" s="15"/>
      <c r="H9" s="26"/>
      <c r="I9" s="26"/>
      <c r="J9" s="26"/>
      <c r="K9" s="26"/>
      <c r="L9" s="26"/>
      <c r="M9" s="26"/>
      <c r="N9" s="26"/>
      <c r="O9" s="24"/>
    </row>
    <row r="10" spans="2:15" ht="36.6" customHeight="1" x14ac:dyDescent="0.35">
      <c r="B10" s="15"/>
      <c r="C10" s="23" t="s">
        <v>3</v>
      </c>
      <c r="D10" s="19">
        <v>4562</v>
      </c>
      <c r="E10" s="13"/>
      <c r="G10" s="15"/>
      <c r="H10" s="26"/>
      <c r="I10" s="26"/>
      <c r="J10" s="26"/>
      <c r="K10" s="26"/>
      <c r="L10" s="26"/>
      <c r="M10" s="26"/>
      <c r="N10" s="26"/>
      <c r="O10" s="15"/>
    </row>
    <row r="11" spans="2:15" ht="36.6" customHeight="1" x14ac:dyDescent="0.35">
      <c r="B11" s="15"/>
      <c r="C11" s="23" t="s">
        <v>5</v>
      </c>
      <c r="D11" s="20">
        <v>0.1</v>
      </c>
      <c r="E11" s="17"/>
      <c r="G11" s="15"/>
      <c r="H11" s="15"/>
      <c r="I11" s="15"/>
      <c r="J11" s="15"/>
      <c r="K11" s="15"/>
      <c r="L11" s="15"/>
      <c r="M11" s="15"/>
      <c r="N11" s="15"/>
      <c r="O11" s="15"/>
    </row>
    <row r="12" spans="2:15" ht="36.6" hidden="1" customHeight="1" x14ac:dyDescent="0.35">
      <c r="B12" s="14"/>
      <c r="C12" s="22" t="s">
        <v>4</v>
      </c>
      <c r="D12" s="10">
        <f>D10*(1+D11)</f>
        <v>5018.2000000000007</v>
      </c>
      <c r="E12" s="13"/>
    </row>
    <row r="13" spans="2:15" ht="19.2" customHeight="1" x14ac:dyDescent="0.35">
      <c r="B13" s="15"/>
      <c r="C13" s="15"/>
      <c r="D13" s="15"/>
      <c r="E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2:15" x14ac:dyDescent="0.35">
      <c r="B14" s="15"/>
      <c r="C14" s="15"/>
      <c r="D14" s="15"/>
      <c r="E14" s="15"/>
      <c r="G14" s="27" t="s">
        <v>25</v>
      </c>
      <c r="H14" s="27"/>
      <c r="I14" s="27"/>
      <c r="J14" s="27"/>
      <c r="K14" s="27"/>
      <c r="L14" s="27"/>
      <c r="M14" s="27"/>
      <c r="N14" s="27"/>
      <c r="O14" s="27"/>
    </row>
    <row r="15" spans="2:15" ht="29.4" x14ac:dyDescent="0.35">
      <c r="B15" s="15"/>
      <c r="C15" s="15"/>
      <c r="D15" s="15"/>
      <c r="E15" s="15"/>
      <c r="G15" s="28">
        <f>D12</f>
        <v>5018.2000000000007</v>
      </c>
      <c r="H15" s="28"/>
      <c r="I15" s="28"/>
      <c r="J15" s="28"/>
      <c r="K15" s="28"/>
      <c r="L15" s="28"/>
      <c r="M15" s="28"/>
      <c r="N15" s="28"/>
      <c r="O15" s="28"/>
    </row>
    <row r="16" spans="2:15" x14ac:dyDescent="0.35">
      <c r="B16" s="15"/>
      <c r="C16" s="15"/>
      <c r="D16" s="15"/>
      <c r="E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2:15" ht="33" customHeight="1" x14ac:dyDescent="0.35">
      <c r="B17" s="15"/>
      <c r="C17" s="15"/>
      <c r="D17" s="15"/>
      <c r="E17" s="15"/>
      <c r="G17" s="15"/>
      <c r="H17" s="15"/>
      <c r="I17" s="15"/>
      <c r="J17" s="15"/>
      <c r="K17" s="15"/>
      <c r="L17" s="15"/>
      <c r="M17" s="15"/>
      <c r="N17" s="15"/>
      <c r="O17" s="15"/>
    </row>
  </sheetData>
  <mergeCells count="3">
    <mergeCell ref="H6:N10"/>
    <mergeCell ref="G14:O14"/>
    <mergeCell ref="G15:O15"/>
  </mergeCells>
  <conditionalFormatting sqref="H6">
    <cfRule type="containsText" dxfId="9" priority="1" operator="containsText" text="Gümüş">
      <formula>NOT(ISERROR(SEARCH("Gümüş",H6)))</formula>
    </cfRule>
    <cfRule type="containsText" dxfId="8" priority="2" operator="containsText" text="Mor">
      <formula>NOT(ISERROR(SEARCH("Mor",H6)))</formula>
    </cfRule>
    <cfRule type="containsText" dxfId="7" priority="3" operator="containsText" text="Sarı">
      <formula>NOT(ISERROR(SEARCH("Sarı",H6)))</formula>
    </cfRule>
    <cfRule type="containsText" dxfId="6" priority="4" operator="containsText" text="Mavi">
      <formula>NOT(ISERROR(SEARCH("Mavi",H6)))</formula>
    </cfRule>
    <cfRule type="containsText" dxfId="5" priority="5" operator="containsText" text="Siyah">
      <formula>NOT(ISERROR(SEARCH("Siyah",H6)))</formula>
    </cfRule>
    <cfRule type="containsText" dxfId="4" priority="6" operator="containsText" text="Kırmızı">
      <formula>NOT(ISERROR(SEARCH("Kırmızı",H6)))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784510-1808-4E79-A436-70F41011E183}">
          <x14:formula1>
            <xm:f>Kategoriler!$A$2:$A$10</xm:f>
          </x14:formula1>
          <xm:sqref>D6:E6</xm:sqref>
        </x14:dataValidation>
        <x14:dataValidation type="list" allowBlank="1" showInputMessage="1" showErrorMessage="1" xr:uid="{829A631F-AED6-452A-894E-79B7ECEDD218}">
          <x14:formula1>
            <xm:f>Ayarlar!$B$6:$B$8</xm:f>
          </x14:formula1>
          <xm:sqref>D7:E7</xm:sqref>
        </x14:dataValidation>
        <x14:dataValidation type="list" allowBlank="1" showInputMessage="1" showErrorMessage="1" xr:uid="{6344AA3A-F9ED-435A-9F8C-3F342C0ACBCE}">
          <x14:formula1>
            <xm:f>Ayarlar!$D$6:$D$11</xm:f>
          </x14:formula1>
          <xm:sqref>D9:E9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C097-00B2-4A4F-8AD4-391368549276}">
  <sheetPr codeName="sh_DB"/>
  <dimension ref="A1:H5"/>
  <sheetViews>
    <sheetView showGridLines="0" zoomScale="160" zoomScaleNormal="160" workbookViewId="0">
      <selection activeCell="H5" sqref="H5"/>
    </sheetView>
  </sheetViews>
  <sheetFormatPr defaultRowHeight="15" x14ac:dyDescent="0.35"/>
  <cols>
    <col min="1" max="1" width="13.1796875" customWidth="1"/>
    <col min="2" max="2" width="16" customWidth="1"/>
    <col min="3" max="4" width="10.54296875" customWidth="1"/>
    <col min="5" max="5" width="11.26953125" customWidth="1"/>
    <col min="6" max="6" width="12" customWidth="1"/>
    <col min="7" max="7" width="11.81640625" customWidth="1"/>
    <col min="8" max="8" width="11.6328125" customWidth="1"/>
  </cols>
  <sheetData>
    <row r="1" spans="1:8" x14ac:dyDescent="0.35">
      <c r="A1" t="s">
        <v>10</v>
      </c>
      <c r="B1" t="s">
        <v>14</v>
      </c>
      <c r="C1" t="s">
        <v>7</v>
      </c>
      <c r="D1" t="s">
        <v>8</v>
      </c>
      <c r="E1" t="s">
        <v>9</v>
      </c>
      <c r="F1" t="s">
        <v>3</v>
      </c>
      <c r="G1" t="s">
        <v>5</v>
      </c>
      <c r="H1" t="s">
        <v>4</v>
      </c>
    </row>
    <row r="2" spans="1:8" x14ac:dyDescent="0.35">
      <c r="A2" s="11">
        <v>44603.654933680555</v>
      </c>
      <c r="B2" t="s">
        <v>2</v>
      </c>
      <c r="C2" t="s">
        <v>13</v>
      </c>
      <c r="D2" t="s">
        <v>26</v>
      </c>
      <c r="E2" s="1" t="s">
        <v>20</v>
      </c>
      <c r="F2">
        <v>6895</v>
      </c>
      <c r="G2" s="1">
        <v>3.5000000000000003E-2</v>
      </c>
      <c r="H2">
        <v>7136.3249999999998</v>
      </c>
    </row>
    <row r="3" spans="1:8" x14ac:dyDescent="0.35">
      <c r="A3" s="11">
        <v>44603.704142592593</v>
      </c>
      <c r="B3" t="s">
        <v>0</v>
      </c>
      <c r="C3" t="s">
        <v>13</v>
      </c>
      <c r="D3" t="s">
        <v>26</v>
      </c>
      <c r="E3" s="1" t="s">
        <v>22</v>
      </c>
      <c r="F3">
        <v>6895</v>
      </c>
      <c r="G3" s="1">
        <v>3.5000000000000003E-2</v>
      </c>
      <c r="H3">
        <v>7136.3249999999998</v>
      </c>
    </row>
    <row r="4" spans="1:8" x14ac:dyDescent="0.35">
      <c r="A4" s="11">
        <v>44603.705008101853</v>
      </c>
      <c r="B4" t="s">
        <v>6</v>
      </c>
      <c r="C4" t="s">
        <v>13</v>
      </c>
      <c r="D4" t="s">
        <v>26</v>
      </c>
      <c r="E4" s="1" t="s">
        <v>21</v>
      </c>
      <c r="F4">
        <v>4562</v>
      </c>
      <c r="G4" s="1">
        <v>0.1</v>
      </c>
      <c r="H4">
        <v>5018.2000000000007</v>
      </c>
    </row>
    <row r="5" spans="1:8" x14ac:dyDescent="0.35">
      <c r="A5" s="11">
        <v>44603.714828009259</v>
      </c>
      <c r="B5" t="s">
        <v>6</v>
      </c>
      <c r="C5" t="s">
        <v>13</v>
      </c>
      <c r="D5" t="s">
        <v>26</v>
      </c>
      <c r="E5" s="1" t="s">
        <v>21</v>
      </c>
      <c r="F5">
        <v>4562</v>
      </c>
      <c r="G5" s="1">
        <v>0.1</v>
      </c>
      <c r="H5">
        <v>5018.2000000000007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D20E-684C-4809-ADF5-0C883D4F0E8E}">
  <sheetPr codeName="Sayfa3"/>
  <dimension ref="A1:B5"/>
  <sheetViews>
    <sheetView showGridLines="0" zoomScale="130" zoomScaleNormal="130" workbookViewId="0">
      <selection activeCell="C3" sqref="C3"/>
    </sheetView>
  </sheetViews>
  <sheetFormatPr defaultRowHeight="15" x14ac:dyDescent="0.35"/>
  <cols>
    <col min="2" max="2" width="18.453125" customWidth="1"/>
  </cols>
  <sheetData>
    <row r="1" spans="1:2" ht="19.2" customHeight="1" x14ac:dyDescent="0.35">
      <c r="A1" s="6" t="s">
        <v>16</v>
      </c>
      <c r="B1" s="6" t="s">
        <v>23</v>
      </c>
    </row>
    <row r="2" spans="1:2" ht="67.8" customHeight="1" x14ac:dyDescent="0.35">
      <c r="A2" s="5" t="s">
        <v>0</v>
      </c>
      <c r="B2" s="5"/>
    </row>
    <row r="3" spans="1:2" ht="67.8" customHeight="1" x14ac:dyDescent="0.35">
      <c r="A3" s="5" t="s">
        <v>1</v>
      </c>
      <c r="B3" s="5"/>
    </row>
    <row r="4" spans="1:2" ht="67.8" customHeight="1" x14ac:dyDescent="0.35">
      <c r="A4" s="5" t="s">
        <v>2</v>
      </c>
      <c r="B4" s="5"/>
    </row>
    <row r="5" spans="1:2" ht="67.8" customHeight="1" x14ac:dyDescent="0.35">
      <c r="A5" s="5" t="s">
        <v>6</v>
      </c>
      <c r="B5" s="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F256-BEC1-4BC6-B900-BF2CA07DD2CA}">
  <sheetPr codeName="Sayfa4"/>
  <dimension ref="B2:D11"/>
  <sheetViews>
    <sheetView showGridLines="0" zoomScale="145" zoomScaleNormal="145" workbookViewId="0">
      <selection activeCell="D11" sqref="D11"/>
    </sheetView>
  </sheetViews>
  <sheetFormatPr defaultRowHeight="15" x14ac:dyDescent="0.35"/>
  <cols>
    <col min="1" max="1" width="4" customWidth="1"/>
    <col min="2" max="2" width="8.7265625" style="8"/>
    <col min="3" max="3" width="3.26953125" style="8" customWidth="1"/>
    <col min="4" max="4" width="8.7265625" style="8"/>
  </cols>
  <sheetData>
    <row r="2" spans="2:4" ht="31.8" x14ac:dyDescent="0.65">
      <c r="B2" s="7" t="s">
        <v>24</v>
      </c>
    </row>
    <row r="5" spans="2:4" x14ac:dyDescent="0.35">
      <c r="B5" s="3" t="s">
        <v>7</v>
      </c>
      <c r="D5" s="3" t="s">
        <v>9</v>
      </c>
    </row>
    <row r="6" spans="2:4" x14ac:dyDescent="0.35">
      <c r="B6" s="2" t="s">
        <v>11</v>
      </c>
      <c r="D6" s="2" t="s">
        <v>17</v>
      </c>
    </row>
    <row r="7" spans="2:4" x14ac:dyDescent="0.35">
      <c r="B7" s="2" t="s">
        <v>12</v>
      </c>
      <c r="D7" s="2" t="s">
        <v>18</v>
      </c>
    </row>
    <row r="8" spans="2:4" x14ac:dyDescent="0.35">
      <c r="B8" s="2" t="s">
        <v>13</v>
      </c>
      <c r="D8" s="2" t="s">
        <v>19</v>
      </c>
    </row>
    <row r="9" spans="2:4" x14ac:dyDescent="0.35">
      <c r="B9" s="9"/>
      <c r="D9" s="2" t="s">
        <v>20</v>
      </c>
    </row>
    <row r="10" spans="2:4" x14ac:dyDescent="0.35">
      <c r="B10" s="9"/>
      <c r="D10" s="2" t="s">
        <v>21</v>
      </c>
    </row>
    <row r="11" spans="2:4" x14ac:dyDescent="0.35">
      <c r="B11" s="9"/>
      <c r="D11" s="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��11_111_111_111_1
</file>

<file path=customXml/item6.xml>��
</file>

<file path=customXml/item7.xml>��1_1_1111111_1_1_1_11_11_1_1_1_1_11_11_1_1_1_111_111_11_11_1_1_1_11_11_1_1_1_1_11_11_1_1_1_111_111_11_1_111111_111_111_111_1
</file>

<file path=customXml/item8.xml>��
</file>

<file path=customXml/item9.xml>��1_1_111_1_11111_111_1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��1111
</file>

<file path=customXml/item16.xml>��111111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C49A3F0-C99E-410A-8427-4EFEAB2A485D}">
  <ds:schemaRefs/>
</ds:datastoreItem>
</file>

<file path=customXml/itemProps2.xml><?xml version="1.0" encoding="utf-8"?>
<ds:datastoreItem xmlns:ds="http://schemas.openxmlformats.org/officeDocument/2006/customXml" ds:itemID="{372CB9F3-B6E9-4C8B-814A-3299F72C7484}">
  <ds:schemaRefs/>
</ds:datastoreItem>
</file>

<file path=customXml/itemProps3.xml><?xml version="1.0" encoding="utf-8"?>
<ds:datastoreItem xmlns:ds="http://schemas.openxmlformats.org/officeDocument/2006/customXml" ds:itemID="{5009358A-5611-475B-8621-C9B09609AE70}">
  <ds:schemaRefs/>
</ds:datastoreItem>
</file>

<file path=customXml/itemProps4.xml><?xml version="1.0" encoding="utf-8"?>
<ds:datastoreItem xmlns:ds="http://schemas.openxmlformats.org/officeDocument/2006/customXml" ds:itemID="{523D3CF6-9221-4B49-800E-997E533B45DD}">
  <ds:schemaRefs/>
</ds:datastoreItem>
</file>

<file path=customXml/itemProps5.xml><?xml version="1.0" encoding="utf-8"?>
<ds:datastoreItem xmlns:ds="http://schemas.openxmlformats.org/officeDocument/2006/customXml" ds:itemID="{3DFEA27D-246A-41D2-ADDC-92E3DD344CF3}">
  <ds:schemaRefs/>
</ds:datastoreItem>
</file>

<file path=customXml/itemProps6.xml><?xml version="1.0" encoding="utf-8"?>
<ds:datastoreItem xmlns:ds="http://schemas.openxmlformats.org/officeDocument/2006/customXml" ds:itemID="{C2BB8F09-F035-45E6-B9F9-7323DBE6A92F}">
  <ds:schemaRefs/>
</ds:datastoreItem>
</file>

<file path=customXml/itemProps7.xml><?xml version="1.0" encoding="utf-8"?>
<ds:datastoreItem xmlns:ds="http://schemas.openxmlformats.org/officeDocument/2006/customXml" ds:itemID="{70DB1406-65FB-418F-B203-B1F723D65404}">
  <ds:schemaRefs/>
</ds:datastoreItem>
</file>

<file path=customXml/itemProps8.xml><?xml version="1.0" encoding="utf-8"?>
<ds:datastoreItem xmlns:ds="http://schemas.openxmlformats.org/officeDocument/2006/customXml" ds:itemID="{5DF98949-E00E-4B57-8422-0D830F2BDB43}">
  <ds:schemaRefs/>
</ds:datastoreItem>
</file>

<file path=customXml/itemProps9.xml><?xml version="1.0" encoding="utf-8"?>
<ds:datastoreItem xmlns:ds="http://schemas.openxmlformats.org/officeDocument/2006/customXml" ds:itemID="{1288618E-E9D1-442C-B106-15B7EA89820D}">
  <ds:schemaRefs/>
</ds:datastoreItem>
</file>

<file path=customXml/itemProps10.xml><?xml version="1.0" encoding="utf-8"?>
<ds:datastoreItem xmlns:ds="http://schemas.openxmlformats.org/officeDocument/2006/customXml" ds:itemID="{0364C44D-CF91-4713-BA58-EC7CC41C3721}">
  <ds:schemaRefs/>
</ds:datastoreItem>
</file>

<file path=customXml/itemProps11.xml><?xml version="1.0" encoding="utf-8"?>
<ds:datastoreItem xmlns:ds="http://schemas.openxmlformats.org/officeDocument/2006/customXml" ds:itemID="{20EC348E-E95F-44D2-8B1E-7AF2551217FB}">
  <ds:schemaRefs/>
</ds:datastoreItem>
</file>

<file path=customXml/itemProps12.xml><?xml version="1.0" encoding="utf-8"?>
<ds:datastoreItem xmlns:ds="http://schemas.openxmlformats.org/officeDocument/2006/customXml" ds:itemID="{D4335B6A-DBE8-444B-8000-CDE83A36E74C}">
  <ds:schemaRefs/>
</ds:datastoreItem>
</file>

<file path=customXml/itemProps13.xml><?xml version="1.0" encoding="utf-8"?>
<ds:datastoreItem xmlns:ds="http://schemas.openxmlformats.org/officeDocument/2006/customXml" ds:itemID="{CA187780-9C93-482D-AD8E-3F1DA3EE35E9}">
  <ds:schemaRefs/>
</ds:datastoreItem>
</file>

<file path=customXml/itemProps14.xml><?xml version="1.0" encoding="utf-8"?>
<ds:datastoreItem xmlns:ds="http://schemas.openxmlformats.org/officeDocument/2006/customXml" ds:itemID="{1F72880A-3065-4511-A738-F1D715D2C2CD}">
  <ds:schemaRefs/>
</ds:datastoreItem>
</file>

<file path=customXml/itemProps15.xml><?xml version="1.0" encoding="utf-8"?>
<ds:datastoreItem xmlns:ds="http://schemas.openxmlformats.org/officeDocument/2006/customXml" ds:itemID="{51D5D902-1024-4F2E-8DB3-E4B09D1C7C1C}">
  <ds:schemaRefs/>
</ds:datastoreItem>
</file>

<file path=customXml/itemProps16.xml><?xml version="1.0" encoding="utf-8"?>
<ds:datastoreItem xmlns:ds="http://schemas.openxmlformats.org/officeDocument/2006/customXml" ds:itemID="{C942FAF1-BA5D-47CD-B6C5-FF8ADB35FFB7}">
  <ds:schemaRefs/>
</ds:datastoreItem>
</file>

<file path=customXml/itemProps17.xml><?xml version="1.0" encoding="utf-8"?>
<ds:datastoreItem xmlns:ds="http://schemas.openxmlformats.org/officeDocument/2006/customXml" ds:itemID="{207D4060-C14B-422A-82EC-3B3EB66B45C1}">
  <ds:schemaRefs/>
</ds:datastoreItem>
</file>

<file path=customXml/itemProps18.xml><?xml version="1.0" encoding="utf-8"?>
<ds:datastoreItem xmlns:ds="http://schemas.openxmlformats.org/officeDocument/2006/customXml" ds:itemID="{FC8E7BC0-E2B5-4BA0-AC42-88669F8628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Ürün_Girişi</vt:lpstr>
      <vt:lpstr>Ürünler</vt:lpstr>
      <vt:lpstr>Kategoriler</vt:lpstr>
      <vt:lpstr>Ayarlar</vt:lpstr>
      <vt:lpstr>Ürünler!Lst_Ürünler</vt:lpstr>
      <vt:lpstr>rng_tarih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2022-02-01T07:24:18Z</dcterms:created>
  <dcterms:modified xsi:type="dcterms:W3CDTF">2023-04-20T10:47:48Z</dcterms:modified>
</cp:coreProperties>
</file>